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anee\Downloads\Barik sir\"/>
    </mc:Choice>
  </mc:AlternateContent>
  <xr:revisionPtr revIDLastSave="0" documentId="13_ncr:1_{8EFDF3D9-898C-42B2-ADBA-B321DBB15EB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redit_risk_data" sheetId="1" r:id="rId1"/>
    <sheet name="Rating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O6001" i="1"/>
  <c r="M6001" i="1"/>
  <c r="N6001" i="1" s="1"/>
  <c r="O6000" i="1"/>
  <c r="M6000" i="1"/>
  <c r="N6000" i="1" s="1"/>
  <c r="O5999" i="1"/>
  <c r="M5999" i="1"/>
  <c r="N5999" i="1" s="1"/>
  <c r="O5998" i="1"/>
  <c r="N5998" i="1"/>
  <c r="M5998" i="1"/>
  <c r="O5997" i="1"/>
  <c r="N5997" i="1"/>
  <c r="M5997" i="1"/>
  <c r="O5996" i="1"/>
  <c r="M5996" i="1"/>
  <c r="N5996" i="1" s="1"/>
  <c r="Q5995" i="1"/>
  <c r="O5995" i="1"/>
  <c r="M5995" i="1"/>
  <c r="N5995" i="1" s="1"/>
  <c r="P5995" i="1" s="1"/>
  <c r="O5994" i="1"/>
  <c r="M5994" i="1"/>
  <c r="N5994" i="1" s="1"/>
  <c r="P5993" i="1"/>
  <c r="O5993" i="1"/>
  <c r="M5993" i="1"/>
  <c r="N5993" i="1" s="1"/>
  <c r="Q5993" i="1" s="1"/>
  <c r="Q5992" i="1"/>
  <c r="P5992" i="1"/>
  <c r="O5992" i="1"/>
  <c r="M5992" i="1"/>
  <c r="N5992" i="1" s="1"/>
  <c r="O5991" i="1"/>
  <c r="N5991" i="1"/>
  <c r="M5991" i="1"/>
  <c r="O5990" i="1"/>
  <c r="N5990" i="1"/>
  <c r="M5990" i="1"/>
  <c r="Q5989" i="1"/>
  <c r="O5989" i="1"/>
  <c r="P5989" i="1" s="1"/>
  <c r="N5989" i="1"/>
  <c r="M5989" i="1"/>
  <c r="O5988" i="1"/>
  <c r="N5988" i="1"/>
  <c r="M5988" i="1"/>
  <c r="P5987" i="1"/>
  <c r="O5987" i="1"/>
  <c r="N5987" i="1"/>
  <c r="Q5987" i="1" s="1"/>
  <c r="M5987" i="1"/>
  <c r="O5986" i="1"/>
  <c r="N5986" i="1"/>
  <c r="M5986" i="1"/>
  <c r="O5985" i="1"/>
  <c r="M5985" i="1"/>
  <c r="N5985" i="1" s="1"/>
  <c r="Q5984" i="1"/>
  <c r="O5984" i="1"/>
  <c r="M5984" i="1"/>
  <c r="N5984" i="1" s="1"/>
  <c r="O5983" i="1"/>
  <c r="N5983" i="1"/>
  <c r="M5983" i="1"/>
  <c r="O5982" i="1"/>
  <c r="N5982" i="1"/>
  <c r="M5982" i="1"/>
  <c r="Q5981" i="1"/>
  <c r="P5981" i="1"/>
  <c r="O5981" i="1"/>
  <c r="M5981" i="1"/>
  <c r="N5981" i="1" s="1"/>
  <c r="O5980" i="1"/>
  <c r="M5980" i="1"/>
  <c r="N5980" i="1" s="1"/>
  <c r="Q5979" i="1"/>
  <c r="O5979" i="1"/>
  <c r="M5979" i="1"/>
  <c r="N5979" i="1" s="1"/>
  <c r="P5979" i="1" s="1"/>
  <c r="O5978" i="1"/>
  <c r="M5978" i="1"/>
  <c r="N5978" i="1" s="1"/>
  <c r="Q5978" i="1" s="1"/>
  <c r="Q5977" i="1"/>
  <c r="P5977" i="1"/>
  <c r="O5977" i="1"/>
  <c r="M5977" i="1"/>
  <c r="N5977" i="1" s="1"/>
  <c r="Q5976" i="1"/>
  <c r="P5976" i="1"/>
  <c r="O5976" i="1"/>
  <c r="M5976" i="1"/>
  <c r="N5976" i="1" s="1"/>
  <c r="O5975" i="1"/>
  <c r="N5975" i="1"/>
  <c r="M5975" i="1"/>
  <c r="O5974" i="1"/>
  <c r="N5974" i="1"/>
  <c r="Q5974" i="1" s="1"/>
  <c r="M5974" i="1"/>
  <c r="O5973" i="1"/>
  <c r="N5973" i="1"/>
  <c r="M5973" i="1"/>
  <c r="O5972" i="1"/>
  <c r="M5972" i="1"/>
  <c r="N5972" i="1" s="1"/>
  <c r="O5971" i="1"/>
  <c r="M5971" i="1"/>
  <c r="N5971" i="1" s="1"/>
  <c r="O5970" i="1"/>
  <c r="M5970" i="1"/>
  <c r="N5970" i="1" s="1"/>
  <c r="O5969" i="1"/>
  <c r="M5969" i="1"/>
  <c r="N5969" i="1" s="1"/>
  <c r="O5968" i="1"/>
  <c r="N5968" i="1"/>
  <c r="M5968" i="1"/>
  <c r="O5967" i="1"/>
  <c r="N5967" i="1"/>
  <c r="M5967" i="1"/>
  <c r="O5966" i="1"/>
  <c r="N5966" i="1"/>
  <c r="P5966" i="1" s="1"/>
  <c r="M5966" i="1"/>
  <c r="O5965" i="1"/>
  <c r="M5965" i="1"/>
  <c r="N5965" i="1" s="1"/>
  <c r="Q5964" i="1"/>
  <c r="P5964" i="1"/>
  <c r="O5964" i="1"/>
  <c r="N5964" i="1"/>
  <c r="M5964" i="1"/>
  <c r="Q5963" i="1"/>
  <c r="P5963" i="1"/>
  <c r="O5963" i="1"/>
  <c r="M5963" i="1"/>
  <c r="N5963" i="1" s="1"/>
  <c r="O5962" i="1"/>
  <c r="M5962" i="1"/>
  <c r="N5962" i="1" s="1"/>
  <c r="Q5961" i="1"/>
  <c r="O5961" i="1"/>
  <c r="P5961" i="1" s="1"/>
  <c r="M5961" i="1"/>
  <c r="N5961" i="1" s="1"/>
  <c r="Q5960" i="1"/>
  <c r="P5960" i="1"/>
  <c r="O5960" i="1"/>
  <c r="M5960" i="1"/>
  <c r="N5960" i="1" s="1"/>
  <c r="O5959" i="1"/>
  <c r="N5959" i="1"/>
  <c r="P5959" i="1" s="1"/>
  <c r="M5959" i="1"/>
  <c r="O5958" i="1"/>
  <c r="N5958" i="1"/>
  <c r="M5958" i="1"/>
  <c r="O5957" i="1"/>
  <c r="N5957" i="1"/>
  <c r="M5957" i="1"/>
  <c r="O5956" i="1"/>
  <c r="M5956" i="1"/>
  <c r="N5956" i="1" s="1"/>
  <c r="P5955" i="1"/>
  <c r="O5955" i="1"/>
  <c r="N5955" i="1"/>
  <c r="Q5955" i="1" s="1"/>
  <c r="M5955" i="1"/>
  <c r="O5954" i="1"/>
  <c r="M5954" i="1"/>
  <c r="N5954" i="1" s="1"/>
  <c r="O5953" i="1"/>
  <c r="M5953" i="1"/>
  <c r="N5953" i="1" s="1"/>
  <c r="O5952" i="1"/>
  <c r="M5952" i="1"/>
  <c r="N5952" i="1" s="1"/>
  <c r="O5951" i="1"/>
  <c r="N5951" i="1"/>
  <c r="M5951" i="1"/>
  <c r="O5950" i="1"/>
  <c r="N5950" i="1"/>
  <c r="P5950" i="1" s="1"/>
  <c r="M5950" i="1"/>
  <c r="P5949" i="1"/>
  <c r="O5949" i="1"/>
  <c r="N5949" i="1"/>
  <c r="Q5949" i="1" s="1"/>
  <c r="M5949" i="1"/>
  <c r="O5948" i="1"/>
  <c r="M5948" i="1"/>
  <c r="N5948" i="1" s="1"/>
  <c r="Q5947" i="1"/>
  <c r="O5947" i="1"/>
  <c r="M5947" i="1"/>
  <c r="N5947" i="1" s="1"/>
  <c r="P5947" i="1" s="1"/>
  <c r="O5946" i="1"/>
  <c r="M5946" i="1"/>
  <c r="N5946" i="1" s="1"/>
  <c r="O5945" i="1"/>
  <c r="M5945" i="1"/>
  <c r="N5945" i="1" s="1"/>
  <c r="Q5944" i="1"/>
  <c r="O5944" i="1"/>
  <c r="M5944" i="1"/>
  <c r="N5944" i="1" s="1"/>
  <c r="Q5943" i="1"/>
  <c r="O5943" i="1"/>
  <c r="N5943" i="1"/>
  <c r="M5943" i="1"/>
  <c r="O5942" i="1"/>
  <c r="N5942" i="1"/>
  <c r="M5942" i="1"/>
  <c r="Q5941" i="1"/>
  <c r="P5941" i="1"/>
  <c r="O5941" i="1"/>
  <c r="N5941" i="1"/>
  <c r="M5941" i="1"/>
  <c r="P5940" i="1"/>
  <c r="O5940" i="1"/>
  <c r="N5940" i="1"/>
  <c r="Q5940" i="1" s="1"/>
  <c r="M5940" i="1"/>
  <c r="O5939" i="1"/>
  <c r="M5939" i="1"/>
  <c r="N5939" i="1" s="1"/>
  <c r="P5938" i="1"/>
  <c r="O5938" i="1"/>
  <c r="M5938" i="1"/>
  <c r="N5938" i="1" s="1"/>
  <c r="Q5938" i="1" s="1"/>
  <c r="O5937" i="1"/>
  <c r="M5937" i="1"/>
  <c r="N5937" i="1" s="1"/>
  <c r="Q5936" i="1"/>
  <c r="O5936" i="1"/>
  <c r="M5936" i="1"/>
  <c r="N5936" i="1" s="1"/>
  <c r="P5936" i="1" s="1"/>
  <c r="Q5935" i="1"/>
  <c r="O5935" i="1"/>
  <c r="M5935" i="1"/>
  <c r="N5935" i="1" s="1"/>
  <c r="O5934" i="1"/>
  <c r="N5934" i="1"/>
  <c r="M5934" i="1"/>
  <c r="O5933" i="1"/>
  <c r="M5933" i="1"/>
  <c r="N5933" i="1" s="1"/>
  <c r="Q5933" i="1" s="1"/>
  <c r="P5932" i="1"/>
  <c r="O5932" i="1"/>
  <c r="N5932" i="1"/>
  <c r="Q5932" i="1" s="1"/>
  <c r="M5932" i="1"/>
  <c r="O5931" i="1"/>
  <c r="M5931" i="1"/>
  <c r="N5931" i="1" s="1"/>
  <c r="Q5931" i="1" s="1"/>
  <c r="O5930" i="1"/>
  <c r="P5930" i="1" s="1"/>
  <c r="M5930" i="1"/>
  <c r="N5930" i="1" s="1"/>
  <c r="Q5930" i="1" s="1"/>
  <c r="Q5929" i="1"/>
  <c r="P5929" i="1"/>
  <c r="O5929" i="1"/>
  <c r="M5929" i="1"/>
  <c r="N5929" i="1" s="1"/>
  <c r="O5928" i="1"/>
  <c r="M5928" i="1"/>
  <c r="N5928" i="1" s="1"/>
  <c r="Q5927" i="1"/>
  <c r="O5927" i="1"/>
  <c r="N5927" i="1"/>
  <c r="P5927" i="1" s="1"/>
  <c r="M5927" i="1"/>
  <c r="O5926" i="1"/>
  <c r="N5926" i="1"/>
  <c r="M5926" i="1"/>
  <c r="Q5925" i="1"/>
  <c r="P5925" i="1"/>
  <c r="O5925" i="1"/>
  <c r="N5925" i="1"/>
  <c r="M5925" i="1"/>
  <c r="O5924" i="1"/>
  <c r="N5924" i="1"/>
  <c r="M5924" i="1"/>
  <c r="O5923" i="1"/>
  <c r="M5923" i="1"/>
  <c r="N5923" i="1" s="1"/>
  <c r="O5922" i="1"/>
  <c r="M5922" i="1"/>
  <c r="N5922" i="1" s="1"/>
  <c r="O5921" i="1"/>
  <c r="M5921" i="1"/>
  <c r="N5921" i="1" s="1"/>
  <c r="O5920" i="1"/>
  <c r="N5920" i="1"/>
  <c r="M5920" i="1"/>
  <c r="Q5919" i="1"/>
  <c r="O5919" i="1"/>
  <c r="N5919" i="1"/>
  <c r="P5919" i="1" s="1"/>
  <c r="M5919" i="1"/>
  <c r="O5918" i="1"/>
  <c r="N5918" i="1"/>
  <c r="M5918" i="1"/>
  <c r="O5917" i="1"/>
  <c r="N5917" i="1"/>
  <c r="M5917" i="1"/>
  <c r="P5916" i="1"/>
  <c r="O5916" i="1"/>
  <c r="N5916" i="1"/>
  <c r="Q5916" i="1" s="1"/>
  <c r="M5916" i="1"/>
  <c r="O5915" i="1"/>
  <c r="M5915" i="1"/>
  <c r="N5915" i="1" s="1"/>
  <c r="P5914" i="1"/>
  <c r="O5914" i="1"/>
  <c r="M5914" i="1"/>
  <c r="N5914" i="1" s="1"/>
  <c r="Q5914" i="1" s="1"/>
  <c r="Q5913" i="1"/>
  <c r="O5913" i="1"/>
  <c r="P5913" i="1" s="1"/>
  <c r="M5913" i="1"/>
  <c r="N5913" i="1" s="1"/>
  <c r="O5912" i="1"/>
  <c r="M5912" i="1"/>
  <c r="N5912" i="1" s="1"/>
  <c r="Q5912" i="1" s="1"/>
  <c r="O5911" i="1"/>
  <c r="N5911" i="1"/>
  <c r="M5911" i="1"/>
  <c r="O5910" i="1"/>
  <c r="N5910" i="1"/>
  <c r="M5910" i="1"/>
  <c r="O5909" i="1"/>
  <c r="N5909" i="1"/>
  <c r="M5909" i="1"/>
  <c r="P5908" i="1"/>
  <c r="O5908" i="1"/>
  <c r="M5908" i="1"/>
  <c r="N5908" i="1" s="1"/>
  <c r="Q5908" i="1" s="1"/>
  <c r="O5907" i="1"/>
  <c r="M5907" i="1"/>
  <c r="N5907" i="1" s="1"/>
  <c r="O5906" i="1"/>
  <c r="N5906" i="1"/>
  <c r="M5906" i="1"/>
  <c r="O5905" i="1"/>
  <c r="M5905" i="1"/>
  <c r="N5905" i="1" s="1"/>
  <c r="O5904" i="1"/>
  <c r="M5904" i="1"/>
  <c r="N5904" i="1" s="1"/>
  <c r="O5903" i="1"/>
  <c r="M5903" i="1"/>
  <c r="N5903" i="1" s="1"/>
  <c r="Q5902" i="1"/>
  <c r="O5902" i="1"/>
  <c r="N5902" i="1"/>
  <c r="P5902" i="1" s="1"/>
  <c r="M5902" i="1"/>
  <c r="O5901" i="1"/>
  <c r="M5901" i="1"/>
  <c r="N5901" i="1" s="1"/>
  <c r="Q5900" i="1"/>
  <c r="O5900" i="1"/>
  <c r="M5900" i="1"/>
  <c r="N5900" i="1" s="1"/>
  <c r="P5900" i="1" s="1"/>
  <c r="O5899" i="1"/>
  <c r="M5899" i="1"/>
  <c r="N5899" i="1" s="1"/>
  <c r="O5898" i="1"/>
  <c r="M5898" i="1"/>
  <c r="N5898" i="1" s="1"/>
  <c r="Q5897" i="1"/>
  <c r="P5897" i="1"/>
  <c r="O5897" i="1"/>
  <c r="M5897" i="1"/>
  <c r="N5897" i="1" s="1"/>
  <c r="Q5896" i="1"/>
  <c r="O5896" i="1"/>
  <c r="P5896" i="1" s="1"/>
  <c r="M5896" i="1"/>
  <c r="N5896" i="1" s="1"/>
  <c r="O5895" i="1"/>
  <c r="N5895" i="1"/>
  <c r="P5895" i="1" s="1"/>
  <c r="M5895" i="1"/>
  <c r="Q5894" i="1"/>
  <c r="O5894" i="1"/>
  <c r="P5894" i="1" s="1"/>
  <c r="N5894" i="1"/>
  <c r="M5894" i="1"/>
  <c r="Q5893" i="1"/>
  <c r="O5893" i="1"/>
  <c r="N5893" i="1"/>
  <c r="P5893" i="1" s="1"/>
  <c r="M5893" i="1"/>
  <c r="P5892" i="1"/>
  <c r="O5892" i="1"/>
  <c r="N5892" i="1"/>
  <c r="Q5892" i="1" s="1"/>
  <c r="M5892" i="1"/>
  <c r="O5891" i="1"/>
  <c r="M5891" i="1"/>
  <c r="N5891" i="1" s="1"/>
  <c r="O5890" i="1"/>
  <c r="N5890" i="1"/>
  <c r="M5890" i="1"/>
  <c r="O5889" i="1"/>
  <c r="M5889" i="1"/>
  <c r="N5889" i="1" s="1"/>
  <c r="Q5888" i="1"/>
  <c r="O5888" i="1"/>
  <c r="N5888" i="1"/>
  <c r="M5888" i="1"/>
  <c r="O5887" i="1"/>
  <c r="M5887" i="1"/>
  <c r="N5887" i="1" s="1"/>
  <c r="Q5886" i="1"/>
  <c r="O5886" i="1"/>
  <c r="N5886" i="1"/>
  <c r="P5886" i="1" s="1"/>
  <c r="M5886" i="1"/>
  <c r="P5885" i="1"/>
  <c r="O5885" i="1"/>
  <c r="M5885" i="1"/>
  <c r="N5885" i="1" s="1"/>
  <c r="Q5885" i="1" s="1"/>
  <c r="Q5884" i="1"/>
  <c r="P5884" i="1"/>
  <c r="O5884" i="1"/>
  <c r="N5884" i="1"/>
  <c r="M5884" i="1"/>
  <c r="O5883" i="1"/>
  <c r="M5883" i="1"/>
  <c r="N5883" i="1" s="1"/>
  <c r="Q5883" i="1" s="1"/>
  <c r="O5882" i="1"/>
  <c r="M5882" i="1"/>
  <c r="N5882" i="1" s="1"/>
  <c r="Q5882" i="1" s="1"/>
  <c r="O5881" i="1"/>
  <c r="M5881" i="1"/>
  <c r="N5881" i="1" s="1"/>
  <c r="Q5880" i="1"/>
  <c r="P5880" i="1"/>
  <c r="O5880" i="1"/>
  <c r="M5880" i="1"/>
  <c r="N5880" i="1" s="1"/>
  <c r="O5879" i="1"/>
  <c r="M5879" i="1"/>
  <c r="N5879" i="1" s="1"/>
  <c r="O5878" i="1"/>
  <c r="M5878" i="1"/>
  <c r="N5878" i="1" s="1"/>
  <c r="Q5878" i="1" s="1"/>
  <c r="O5877" i="1"/>
  <c r="M5877" i="1"/>
  <c r="N5877" i="1" s="1"/>
  <c r="O5876" i="1"/>
  <c r="M5876" i="1"/>
  <c r="N5876" i="1" s="1"/>
  <c r="O5875" i="1"/>
  <c r="N5875" i="1"/>
  <c r="M5875" i="1"/>
  <c r="O5874" i="1"/>
  <c r="M5874" i="1"/>
  <c r="N5874" i="1" s="1"/>
  <c r="O5873" i="1"/>
  <c r="M5873" i="1"/>
  <c r="N5873" i="1" s="1"/>
  <c r="O5872" i="1"/>
  <c r="M5872" i="1"/>
  <c r="N5872" i="1" s="1"/>
  <c r="O5871" i="1"/>
  <c r="M5871" i="1"/>
  <c r="N5871" i="1" s="1"/>
  <c r="O5870" i="1"/>
  <c r="M5870" i="1"/>
  <c r="N5870" i="1" s="1"/>
  <c r="P5870" i="1" s="1"/>
  <c r="O5869" i="1"/>
  <c r="M5869" i="1"/>
  <c r="N5869" i="1" s="1"/>
  <c r="O5868" i="1"/>
  <c r="M5868" i="1"/>
  <c r="N5868" i="1" s="1"/>
  <c r="P5868" i="1" s="1"/>
  <c r="O5867" i="1"/>
  <c r="M5867" i="1"/>
  <c r="N5867" i="1" s="1"/>
  <c r="Q5867" i="1" s="1"/>
  <c r="O5866" i="1"/>
  <c r="M5866" i="1"/>
  <c r="N5866" i="1" s="1"/>
  <c r="Q5866" i="1" s="1"/>
  <c r="O5865" i="1"/>
  <c r="M5865" i="1"/>
  <c r="N5865" i="1" s="1"/>
  <c r="Q5865" i="1" s="1"/>
  <c r="O5864" i="1"/>
  <c r="M5864" i="1"/>
  <c r="N5864" i="1" s="1"/>
  <c r="P5864" i="1" s="1"/>
  <c r="O5863" i="1"/>
  <c r="M5863" i="1"/>
  <c r="N5863" i="1" s="1"/>
  <c r="O5862" i="1"/>
  <c r="M5862" i="1"/>
  <c r="N5862" i="1" s="1"/>
  <c r="Q5862" i="1" s="1"/>
  <c r="O5861" i="1"/>
  <c r="M5861" i="1"/>
  <c r="N5861" i="1" s="1"/>
  <c r="Q5861" i="1" s="1"/>
  <c r="O5860" i="1"/>
  <c r="M5860" i="1"/>
  <c r="N5860" i="1" s="1"/>
  <c r="O5859" i="1"/>
  <c r="M5859" i="1"/>
  <c r="N5859" i="1" s="1"/>
  <c r="O5858" i="1"/>
  <c r="M5858" i="1"/>
  <c r="N5858" i="1" s="1"/>
  <c r="Q5858" i="1" s="1"/>
  <c r="O5857" i="1"/>
  <c r="M5857" i="1"/>
  <c r="N5857" i="1" s="1"/>
  <c r="O5856" i="1"/>
  <c r="M5856" i="1"/>
  <c r="N5856" i="1" s="1"/>
  <c r="O5855" i="1"/>
  <c r="M5855" i="1"/>
  <c r="N5855" i="1" s="1"/>
  <c r="O5854" i="1"/>
  <c r="M5854" i="1"/>
  <c r="N5854" i="1" s="1"/>
  <c r="O5853" i="1"/>
  <c r="N5853" i="1"/>
  <c r="Q5853" i="1" s="1"/>
  <c r="M5853" i="1"/>
  <c r="O5852" i="1"/>
  <c r="M5852" i="1"/>
  <c r="N5852" i="1" s="1"/>
  <c r="O5851" i="1"/>
  <c r="M5851" i="1"/>
  <c r="N5851" i="1" s="1"/>
  <c r="Q5851" i="1" s="1"/>
  <c r="O5850" i="1"/>
  <c r="P5850" i="1" s="1"/>
  <c r="M5850" i="1"/>
  <c r="N5850" i="1" s="1"/>
  <c r="Q5850" i="1" s="1"/>
  <c r="O5849" i="1"/>
  <c r="M5849" i="1"/>
  <c r="N5849" i="1" s="1"/>
  <c r="O5848" i="1"/>
  <c r="M5848" i="1"/>
  <c r="N5848" i="1" s="1"/>
  <c r="Q5848" i="1" s="1"/>
  <c r="O5847" i="1"/>
  <c r="M5847" i="1"/>
  <c r="N5847" i="1" s="1"/>
  <c r="O5846" i="1"/>
  <c r="M5846" i="1"/>
  <c r="N5846" i="1" s="1"/>
  <c r="Q5846" i="1" s="1"/>
  <c r="O5845" i="1"/>
  <c r="M5845" i="1"/>
  <c r="N5845" i="1" s="1"/>
  <c r="Q5845" i="1" s="1"/>
  <c r="O5844" i="1"/>
  <c r="M5844" i="1"/>
  <c r="N5844" i="1" s="1"/>
  <c r="O5843" i="1"/>
  <c r="M5843" i="1"/>
  <c r="N5843" i="1" s="1"/>
  <c r="Q5843" i="1" s="1"/>
  <c r="O5842" i="1"/>
  <c r="M5842" i="1"/>
  <c r="N5842" i="1" s="1"/>
  <c r="O5841" i="1"/>
  <c r="M5841" i="1"/>
  <c r="N5841" i="1" s="1"/>
  <c r="O5840" i="1"/>
  <c r="M5840" i="1"/>
  <c r="N5840" i="1" s="1"/>
  <c r="O5839" i="1"/>
  <c r="N5839" i="1"/>
  <c r="P5839" i="1" s="1"/>
  <c r="M5839" i="1"/>
  <c r="O5838" i="1"/>
  <c r="M5838" i="1"/>
  <c r="N5838" i="1" s="1"/>
  <c r="O5837" i="1"/>
  <c r="M5837" i="1"/>
  <c r="N5837" i="1" s="1"/>
  <c r="O5836" i="1"/>
  <c r="M5836" i="1"/>
  <c r="N5836" i="1" s="1"/>
  <c r="O5835" i="1"/>
  <c r="M5835" i="1"/>
  <c r="N5835" i="1" s="1"/>
  <c r="Q5835" i="1" s="1"/>
  <c r="O5834" i="1"/>
  <c r="M5834" i="1"/>
  <c r="N5834" i="1" s="1"/>
  <c r="O5833" i="1"/>
  <c r="M5833" i="1"/>
  <c r="N5833" i="1" s="1"/>
  <c r="Q5833" i="1" s="1"/>
  <c r="O5832" i="1"/>
  <c r="M5832" i="1"/>
  <c r="N5832" i="1" s="1"/>
  <c r="O5831" i="1"/>
  <c r="M5831" i="1"/>
  <c r="N5831" i="1" s="1"/>
  <c r="P5831" i="1" s="1"/>
  <c r="O5830" i="1"/>
  <c r="M5830" i="1"/>
  <c r="N5830" i="1" s="1"/>
  <c r="O5829" i="1"/>
  <c r="N5829" i="1"/>
  <c r="Q5829" i="1" s="1"/>
  <c r="M5829" i="1"/>
  <c r="O5828" i="1"/>
  <c r="M5828" i="1"/>
  <c r="N5828" i="1" s="1"/>
  <c r="O5827" i="1"/>
  <c r="M5827" i="1"/>
  <c r="N5827" i="1" s="1"/>
  <c r="O5826" i="1"/>
  <c r="M5826" i="1"/>
  <c r="N5826" i="1" s="1"/>
  <c r="O5825" i="1"/>
  <c r="M5825" i="1"/>
  <c r="N5825" i="1" s="1"/>
  <c r="O5824" i="1"/>
  <c r="M5824" i="1"/>
  <c r="N5824" i="1" s="1"/>
  <c r="O5823" i="1"/>
  <c r="N5823" i="1"/>
  <c r="M5823" i="1"/>
  <c r="Q5822" i="1"/>
  <c r="O5822" i="1"/>
  <c r="N5822" i="1"/>
  <c r="P5822" i="1" s="1"/>
  <c r="M5822" i="1"/>
  <c r="O5821" i="1"/>
  <c r="M5821" i="1"/>
  <c r="N5821" i="1" s="1"/>
  <c r="O5820" i="1"/>
  <c r="M5820" i="1"/>
  <c r="N5820" i="1" s="1"/>
  <c r="O5819" i="1"/>
  <c r="M5819" i="1"/>
  <c r="N5819" i="1" s="1"/>
  <c r="Q5819" i="1" s="1"/>
  <c r="O5818" i="1"/>
  <c r="M5818" i="1"/>
  <c r="N5818" i="1" s="1"/>
  <c r="O5817" i="1"/>
  <c r="M5817" i="1"/>
  <c r="N5817" i="1" s="1"/>
  <c r="Q5817" i="1" s="1"/>
  <c r="O5816" i="1"/>
  <c r="M5816" i="1"/>
  <c r="N5816" i="1" s="1"/>
  <c r="O5815" i="1"/>
  <c r="N5815" i="1"/>
  <c r="Q5815" i="1" s="1"/>
  <c r="M5815" i="1"/>
  <c r="O5814" i="1"/>
  <c r="N5814" i="1"/>
  <c r="M5814" i="1"/>
  <c r="O5813" i="1"/>
  <c r="M5813" i="1"/>
  <c r="N5813" i="1" s="1"/>
  <c r="O5812" i="1"/>
  <c r="M5812" i="1"/>
  <c r="N5812" i="1" s="1"/>
  <c r="O5811" i="1"/>
  <c r="M5811" i="1"/>
  <c r="N5811" i="1" s="1"/>
  <c r="O5810" i="1"/>
  <c r="N5810" i="1"/>
  <c r="M5810" i="1"/>
  <c r="O5809" i="1"/>
  <c r="M5809" i="1"/>
  <c r="N5809" i="1" s="1"/>
  <c r="O5808" i="1"/>
  <c r="M5808" i="1"/>
  <c r="N5808" i="1" s="1"/>
  <c r="O5807" i="1"/>
  <c r="M5807" i="1"/>
  <c r="N5807" i="1" s="1"/>
  <c r="P5807" i="1" s="1"/>
  <c r="O5806" i="1"/>
  <c r="M5806" i="1"/>
  <c r="N5806" i="1" s="1"/>
  <c r="O5805" i="1"/>
  <c r="M5805" i="1"/>
  <c r="N5805" i="1" s="1"/>
  <c r="O5804" i="1"/>
  <c r="M5804" i="1"/>
  <c r="N5804" i="1" s="1"/>
  <c r="Q5803" i="1"/>
  <c r="O5803" i="1"/>
  <c r="M5803" i="1"/>
  <c r="N5803" i="1" s="1"/>
  <c r="P5803" i="1" s="1"/>
  <c r="O5802" i="1"/>
  <c r="M5802" i="1"/>
  <c r="N5802" i="1" s="1"/>
  <c r="Q5802" i="1" s="1"/>
  <c r="O5801" i="1"/>
  <c r="M5801" i="1"/>
  <c r="N5801" i="1" s="1"/>
  <c r="P5801" i="1" s="1"/>
  <c r="O5800" i="1"/>
  <c r="M5800" i="1"/>
  <c r="N5800" i="1" s="1"/>
  <c r="Q5800" i="1" s="1"/>
  <c r="O5799" i="1"/>
  <c r="N5799" i="1"/>
  <c r="M5799" i="1"/>
  <c r="O5798" i="1"/>
  <c r="N5798" i="1"/>
  <c r="M5798" i="1"/>
  <c r="O5797" i="1"/>
  <c r="M5797" i="1"/>
  <c r="N5797" i="1" s="1"/>
  <c r="O5796" i="1"/>
  <c r="M5796" i="1"/>
  <c r="N5796" i="1" s="1"/>
  <c r="Q5796" i="1" s="1"/>
  <c r="O5795" i="1"/>
  <c r="M5795" i="1"/>
  <c r="N5795" i="1" s="1"/>
  <c r="O5794" i="1"/>
  <c r="N5794" i="1"/>
  <c r="Q5794" i="1" s="1"/>
  <c r="M5794" i="1"/>
  <c r="O5793" i="1"/>
  <c r="M5793" i="1"/>
  <c r="N5793" i="1" s="1"/>
  <c r="O5792" i="1"/>
  <c r="M5792" i="1"/>
  <c r="N5792" i="1" s="1"/>
  <c r="O5791" i="1"/>
  <c r="M5791" i="1"/>
  <c r="N5791" i="1" s="1"/>
  <c r="P5791" i="1" s="1"/>
  <c r="O5790" i="1"/>
  <c r="M5790" i="1"/>
  <c r="N5790" i="1" s="1"/>
  <c r="O5789" i="1"/>
  <c r="M5789" i="1"/>
  <c r="N5789" i="1" s="1"/>
  <c r="Q5788" i="1"/>
  <c r="O5788" i="1"/>
  <c r="M5788" i="1"/>
  <c r="N5788" i="1" s="1"/>
  <c r="P5788" i="1" s="1"/>
  <c r="Q5787" i="1"/>
  <c r="O5787" i="1"/>
  <c r="M5787" i="1"/>
  <c r="N5787" i="1" s="1"/>
  <c r="P5787" i="1" s="1"/>
  <c r="O5786" i="1"/>
  <c r="M5786" i="1"/>
  <c r="N5786" i="1" s="1"/>
  <c r="O5785" i="1"/>
  <c r="M5785" i="1"/>
  <c r="N5785" i="1" s="1"/>
  <c r="Q5785" i="1" s="1"/>
  <c r="O5784" i="1"/>
  <c r="P5784" i="1" s="1"/>
  <c r="M5784" i="1"/>
  <c r="N5784" i="1" s="1"/>
  <c r="Q5784" i="1" s="1"/>
  <c r="O5783" i="1"/>
  <c r="N5783" i="1"/>
  <c r="M5783" i="1"/>
  <c r="Q5782" i="1"/>
  <c r="O5782" i="1"/>
  <c r="N5782" i="1"/>
  <c r="P5782" i="1" s="1"/>
  <c r="M5782" i="1"/>
  <c r="O5781" i="1"/>
  <c r="N5781" i="1"/>
  <c r="M5781" i="1"/>
  <c r="O5780" i="1"/>
  <c r="M5780" i="1"/>
  <c r="N5780" i="1" s="1"/>
  <c r="O5779" i="1"/>
  <c r="N5779" i="1"/>
  <c r="M5779" i="1"/>
  <c r="P5778" i="1"/>
  <c r="O5778" i="1"/>
  <c r="M5778" i="1"/>
  <c r="N5778" i="1" s="1"/>
  <c r="Q5778" i="1" s="1"/>
  <c r="O5777" i="1"/>
  <c r="M5777" i="1"/>
  <c r="N5777" i="1" s="1"/>
  <c r="O5776" i="1"/>
  <c r="N5776" i="1"/>
  <c r="M5776" i="1"/>
  <c r="Q5775" i="1"/>
  <c r="O5775" i="1"/>
  <c r="M5775" i="1"/>
  <c r="N5775" i="1" s="1"/>
  <c r="P5775" i="1" s="1"/>
  <c r="Q5774" i="1"/>
  <c r="O5774" i="1"/>
  <c r="N5774" i="1"/>
  <c r="P5774" i="1" s="1"/>
  <c r="M5774" i="1"/>
  <c r="O5773" i="1"/>
  <c r="M5773" i="1"/>
  <c r="N5773" i="1" s="1"/>
  <c r="O5772" i="1"/>
  <c r="N5772" i="1"/>
  <c r="Q5772" i="1" s="1"/>
  <c r="M5772" i="1"/>
  <c r="O5771" i="1"/>
  <c r="M5771" i="1"/>
  <c r="N5771" i="1" s="1"/>
  <c r="O5770" i="1"/>
  <c r="N5770" i="1"/>
  <c r="Q5770" i="1" s="1"/>
  <c r="M5770" i="1"/>
  <c r="O5769" i="1"/>
  <c r="M5769" i="1"/>
  <c r="N5769" i="1" s="1"/>
  <c r="Q5768" i="1"/>
  <c r="P5768" i="1"/>
  <c r="O5768" i="1"/>
  <c r="M5768" i="1"/>
  <c r="N5768" i="1" s="1"/>
  <c r="O5767" i="1"/>
  <c r="N5767" i="1"/>
  <c r="M5767" i="1"/>
  <c r="O5766" i="1"/>
  <c r="P5766" i="1" s="1"/>
  <c r="N5766" i="1"/>
  <c r="Q5766" i="1" s="1"/>
  <c r="M5766" i="1"/>
  <c r="Q5765" i="1"/>
  <c r="O5765" i="1"/>
  <c r="N5765" i="1"/>
  <c r="P5765" i="1" s="1"/>
  <c r="M5765" i="1"/>
  <c r="O5764" i="1"/>
  <c r="M5764" i="1"/>
  <c r="N5764" i="1" s="1"/>
  <c r="Q5764" i="1" s="1"/>
  <c r="Q5763" i="1"/>
  <c r="P5763" i="1"/>
  <c r="O5763" i="1"/>
  <c r="M5763" i="1"/>
  <c r="N5763" i="1" s="1"/>
  <c r="O5762" i="1"/>
  <c r="M5762" i="1"/>
  <c r="N5762" i="1" s="1"/>
  <c r="O5761" i="1"/>
  <c r="M5761" i="1"/>
  <c r="N5761" i="1" s="1"/>
  <c r="O5760" i="1"/>
  <c r="N5760" i="1"/>
  <c r="M5760" i="1"/>
  <c r="O5759" i="1"/>
  <c r="M5759" i="1"/>
  <c r="N5759" i="1" s="1"/>
  <c r="O5758" i="1"/>
  <c r="N5758" i="1"/>
  <c r="M5758" i="1"/>
  <c r="Q5757" i="1"/>
  <c r="O5757" i="1"/>
  <c r="N5757" i="1"/>
  <c r="P5757" i="1" s="1"/>
  <c r="M5757" i="1"/>
  <c r="O5756" i="1"/>
  <c r="N5756" i="1"/>
  <c r="M5756" i="1"/>
  <c r="P5755" i="1"/>
  <c r="O5755" i="1"/>
  <c r="M5755" i="1"/>
  <c r="N5755" i="1" s="1"/>
  <c r="Q5755" i="1" s="1"/>
  <c r="O5754" i="1"/>
  <c r="N5754" i="1"/>
  <c r="Q5754" i="1" s="1"/>
  <c r="M5754" i="1"/>
  <c r="Q5753" i="1"/>
  <c r="P5753" i="1"/>
  <c r="O5753" i="1"/>
  <c r="M5753" i="1"/>
  <c r="N5753" i="1" s="1"/>
  <c r="O5752" i="1"/>
  <c r="M5752" i="1"/>
  <c r="N5752" i="1" s="1"/>
  <c r="O5751" i="1"/>
  <c r="N5751" i="1"/>
  <c r="P5751" i="1" s="1"/>
  <c r="M5751" i="1"/>
  <c r="Q5750" i="1"/>
  <c r="P5750" i="1"/>
  <c r="O5750" i="1"/>
  <c r="N5750" i="1"/>
  <c r="M5750" i="1"/>
  <c r="O5749" i="1"/>
  <c r="N5749" i="1"/>
  <c r="M5749" i="1"/>
  <c r="O5748" i="1"/>
  <c r="M5748" i="1"/>
  <c r="N5748" i="1" s="1"/>
  <c r="O5747" i="1"/>
  <c r="N5747" i="1"/>
  <c r="M5747" i="1"/>
  <c r="O5746" i="1"/>
  <c r="N5746" i="1"/>
  <c r="M5746" i="1"/>
  <c r="O5745" i="1"/>
  <c r="M5745" i="1"/>
  <c r="N5745" i="1" s="1"/>
  <c r="Q5744" i="1"/>
  <c r="O5744" i="1"/>
  <c r="P5744" i="1" s="1"/>
  <c r="M5744" i="1"/>
  <c r="N5744" i="1" s="1"/>
  <c r="O5743" i="1"/>
  <c r="M5743" i="1"/>
  <c r="N5743" i="1" s="1"/>
  <c r="Q5742" i="1"/>
  <c r="O5742" i="1"/>
  <c r="N5742" i="1"/>
  <c r="P5742" i="1" s="1"/>
  <c r="M5742" i="1"/>
  <c r="O5741" i="1"/>
  <c r="N5741" i="1"/>
  <c r="M5741" i="1"/>
  <c r="Q5740" i="1"/>
  <c r="O5740" i="1"/>
  <c r="N5740" i="1"/>
  <c r="P5740" i="1" s="1"/>
  <c r="M5740" i="1"/>
  <c r="O5739" i="1"/>
  <c r="M5739" i="1"/>
  <c r="N5739" i="1" s="1"/>
  <c r="O5738" i="1"/>
  <c r="P5738" i="1" s="1"/>
  <c r="N5738" i="1"/>
  <c r="Q5738" i="1" s="1"/>
  <c r="M5738" i="1"/>
  <c r="Q5737" i="1"/>
  <c r="P5737" i="1"/>
  <c r="O5737" i="1"/>
  <c r="M5737" i="1"/>
  <c r="N5737" i="1" s="1"/>
  <c r="O5736" i="1"/>
  <c r="P5736" i="1" s="1"/>
  <c r="M5736" i="1"/>
  <c r="N5736" i="1" s="1"/>
  <c r="Q5736" i="1" s="1"/>
  <c r="O5735" i="1"/>
  <c r="M5735" i="1"/>
  <c r="N5735" i="1" s="1"/>
  <c r="P5735" i="1" s="1"/>
  <c r="Q5734" i="1"/>
  <c r="P5734" i="1"/>
  <c r="O5734" i="1"/>
  <c r="N5734" i="1"/>
  <c r="M5734" i="1"/>
  <c r="Q5733" i="1"/>
  <c r="P5733" i="1"/>
  <c r="O5733" i="1"/>
  <c r="N5733" i="1"/>
  <c r="M5733" i="1"/>
  <c r="O5732" i="1"/>
  <c r="M5732" i="1"/>
  <c r="N5732" i="1" s="1"/>
  <c r="O5731" i="1"/>
  <c r="M5731" i="1"/>
  <c r="N5731" i="1" s="1"/>
  <c r="P5731" i="1" s="1"/>
  <c r="O5730" i="1"/>
  <c r="N5730" i="1"/>
  <c r="M5730" i="1"/>
  <c r="O5729" i="1"/>
  <c r="M5729" i="1"/>
  <c r="N5729" i="1" s="1"/>
  <c r="O5728" i="1"/>
  <c r="N5728" i="1"/>
  <c r="M5728" i="1"/>
  <c r="Q5727" i="1"/>
  <c r="O5727" i="1"/>
  <c r="N5727" i="1"/>
  <c r="P5727" i="1" s="1"/>
  <c r="M5727" i="1"/>
  <c r="O5726" i="1"/>
  <c r="N5726" i="1"/>
  <c r="P5726" i="1" s="1"/>
  <c r="M5726" i="1"/>
  <c r="O5725" i="1"/>
  <c r="M5725" i="1"/>
  <c r="N5725" i="1" s="1"/>
  <c r="O5724" i="1"/>
  <c r="N5724" i="1"/>
  <c r="M5724" i="1"/>
  <c r="Q5723" i="1"/>
  <c r="P5723" i="1"/>
  <c r="O5723" i="1"/>
  <c r="M5723" i="1"/>
  <c r="N5723" i="1" s="1"/>
  <c r="O5722" i="1"/>
  <c r="M5722" i="1"/>
  <c r="N5722" i="1" s="1"/>
  <c r="O5721" i="1"/>
  <c r="P5721" i="1" s="1"/>
  <c r="M5721" i="1"/>
  <c r="N5721" i="1" s="1"/>
  <c r="Q5721" i="1" s="1"/>
  <c r="O5720" i="1"/>
  <c r="M5720" i="1"/>
  <c r="N5720" i="1" s="1"/>
  <c r="O5719" i="1"/>
  <c r="N5719" i="1"/>
  <c r="M5719" i="1"/>
  <c r="Q5718" i="1"/>
  <c r="P5718" i="1"/>
  <c r="O5718" i="1"/>
  <c r="N5718" i="1"/>
  <c r="M5718" i="1"/>
  <c r="O5717" i="1"/>
  <c r="N5717" i="1"/>
  <c r="M5717" i="1"/>
  <c r="O5716" i="1"/>
  <c r="M5716" i="1"/>
  <c r="N5716" i="1" s="1"/>
  <c r="O5715" i="1"/>
  <c r="M5715" i="1"/>
  <c r="N5715" i="1" s="1"/>
  <c r="P5715" i="1" s="1"/>
  <c r="P5714" i="1"/>
  <c r="O5714" i="1"/>
  <c r="M5714" i="1"/>
  <c r="N5714" i="1" s="1"/>
  <c r="Q5714" i="1" s="1"/>
  <c r="O5713" i="1"/>
  <c r="M5713" i="1"/>
  <c r="N5713" i="1" s="1"/>
  <c r="Q5712" i="1"/>
  <c r="P5712" i="1"/>
  <c r="O5712" i="1"/>
  <c r="M5712" i="1"/>
  <c r="N5712" i="1" s="1"/>
  <c r="O5711" i="1"/>
  <c r="N5711" i="1"/>
  <c r="P5711" i="1" s="1"/>
  <c r="M5711" i="1"/>
  <c r="Q5710" i="1"/>
  <c r="O5710" i="1"/>
  <c r="N5710" i="1"/>
  <c r="P5710" i="1" s="1"/>
  <c r="M5710" i="1"/>
  <c r="O5709" i="1"/>
  <c r="M5709" i="1"/>
  <c r="N5709" i="1" s="1"/>
  <c r="Q5708" i="1"/>
  <c r="O5708" i="1"/>
  <c r="P5708" i="1" s="1"/>
  <c r="N5708" i="1"/>
  <c r="M5708" i="1"/>
  <c r="Q5707" i="1"/>
  <c r="P5707" i="1"/>
  <c r="O5707" i="1"/>
  <c r="M5707" i="1"/>
  <c r="N5707" i="1" s="1"/>
  <c r="O5706" i="1"/>
  <c r="N5706" i="1"/>
  <c r="Q5706" i="1" s="1"/>
  <c r="M5706" i="1"/>
  <c r="Q5705" i="1"/>
  <c r="O5705" i="1"/>
  <c r="M5705" i="1"/>
  <c r="N5705" i="1" s="1"/>
  <c r="P5705" i="1" s="1"/>
  <c r="O5704" i="1"/>
  <c r="M5704" i="1"/>
  <c r="N5704" i="1" s="1"/>
  <c r="Q5703" i="1"/>
  <c r="O5703" i="1"/>
  <c r="N5703" i="1"/>
  <c r="M5703" i="1"/>
  <c r="O5702" i="1"/>
  <c r="M5702" i="1"/>
  <c r="N5702" i="1" s="1"/>
  <c r="Q5701" i="1"/>
  <c r="O5701" i="1"/>
  <c r="N5701" i="1"/>
  <c r="P5701" i="1" s="1"/>
  <c r="M5701" i="1"/>
  <c r="O5700" i="1"/>
  <c r="N5700" i="1"/>
  <c r="M5700" i="1"/>
  <c r="Q5699" i="1"/>
  <c r="O5699" i="1"/>
  <c r="N5699" i="1"/>
  <c r="P5699" i="1" s="1"/>
  <c r="M5699" i="1"/>
  <c r="O5698" i="1"/>
  <c r="M5698" i="1"/>
  <c r="N5698" i="1" s="1"/>
  <c r="O5697" i="1"/>
  <c r="M5697" i="1"/>
  <c r="N5697" i="1" s="1"/>
  <c r="O5696" i="1"/>
  <c r="N5696" i="1"/>
  <c r="M5696" i="1"/>
  <c r="O5695" i="1"/>
  <c r="M5695" i="1"/>
  <c r="N5695" i="1" s="1"/>
  <c r="O5694" i="1"/>
  <c r="N5694" i="1"/>
  <c r="M5694" i="1"/>
  <c r="Q5693" i="1"/>
  <c r="O5693" i="1"/>
  <c r="N5693" i="1"/>
  <c r="P5693" i="1" s="1"/>
  <c r="M5693" i="1"/>
  <c r="O5692" i="1"/>
  <c r="M5692" i="1"/>
  <c r="N5692" i="1" s="1"/>
  <c r="O5691" i="1"/>
  <c r="M5691" i="1"/>
  <c r="N5691" i="1" s="1"/>
  <c r="O5690" i="1"/>
  <c r="P5690" i="1" s="1"/>
  <c r="N5690" i="1"/>
  <c r="Q5690" i="1" s="1"/>
  <c r="M5690" i="1"/>
  <c r="Q5689" i="1"/>
  <c r="P5689" i="1"/>
  <c r="O5689" i="1"/>
  <c r="N5689" i="1"/>
  <c r="M5689" i="1"/>
  <c r="O5688" i="1"/>
  <c r="M5688" i="1"/>
  <c r="N5688" i="1" s="1"/>
  <c r="Q5687" i="1"/>
  <c r="O5687" i="1"/>
  <c r="M5687" i="1"/>
  <c r="N5687" i="1" s="1"/>
  <c r="P5687" i="1" s="1"/>
  <c r="Q5686" i="1"/>
  <c r="P5686" i="1"/>
  <c r="O5686" i="1"/>
  <c r="M5686" i="1"/>
  <c r="N5686" i="1" s="1"/>
  <c r="Q5685" i="1"/>
  <c r="P5685" i="1"/>
  <c r="O5685" i="1"/>
  <c r="N5685" i="1"/>
  <c r="M5685" i="1"/>
  <c r="O5684" i="1"/>
  <c r="M5684" i="1"/>
  <c r="N5684" i="1" s="1"/>
  <c r="O5683" i="1"/>
  <c r="P5683" i="1" s="1"/>
  <c r="M5683" i="1"/>
  <c r="N5683" i="1" s="1"/>
  <c r="Q5683" i="1" s="1"/>
  <c r="O5682" i="1"/>
  <c r="M5682" i="1"/>
  <c r="N5682" i="1" s="1"/>
  <c r="O5681" i="1"/>
  <c r="M5681" i="1"/>
  <c r="N5681" i="1" s="1"/>
  <c r="O5680" i="1"/>
  <c r="N5680" i="1"/>
  <c r="M5680" i="1"/>
  <c r="O5679" i="1"/>
  <c r="M5679" i="1"/>
  <c r="N5679" i="1" s="1"/>
  <c r="P5679" i="1" s="1"/>
  <c r="Q5678" i="1"/>
  <c r="O5678" i="1"/>
  <c r="M5678" i="1"/>
  <c r="N5678" i="1" s="1"/>
  <c r="P5678" i="1" s="1"/>
  <c r="O5677" i="1"/>
  <c r="M5677" i="1"/>
  <c r="N5677" i="1" s="1"/>
  <c r="O5676" i="1"/>
  <c r="M5676" i="1"/>
  <c r="N5676" i="1" s="1"/>
  <c r="O5675" i="1"/>
  <c r="M5675" i="1"/>
  <c r="N5675" i="1" s="1"/>
  <c r="O5674" i="1"/>
  <c r="M5674" i="1"/>
  <c r="N5674" i="1" s="1"/>
  <c r="O5673" i="1"/>
  <c r="N5673" i="1"/>
  <c r="M5673" i="1"/>
  <c r="O5672" i="1"/>
  <c r="M5672" i="1"/>
  <c r="N5672" i="1" s="1"/>
  <c r="O5671" i="1"/>
  <c r="M5671" i="1"/>
  <c r="N5671" i="1" s="1"/>
  <c r="O5670" i="1"/>
  <c r="M5670" i="1"/>
  <c r="N5670" i="1" s="1"/>
  <c r="Q5670" i="1" s="1"/>
  <c r="O5669" i="1"/>
  <c r="N5669" i="1"/>
  <c r="M5669" i="1"/>
  <c r="Q5668" i="1"/>
  <c r="O5668" i="1"/>
  <c r="N5668" i="1"/>
  <c r="P5668" i="1" s="1"/>
  <c r="M5668" i="1"/>
  <c r="P5667" i="1"/>
  <c r="O5667" i="1"/>
  <c r="M5667" i="1"/>
  <c r="N5667" i="1" s="1"/>
  <c r="Q5667" i="1" s="1"/>
  <c r="O5666" i="1"/>
  <c r="M5666" i="1"/>
  <c r="N5666" i="1" s="1"/>
  <c r="O5665" i="1"/>
  <c r="P5665" i="1" s="1"/>
  <c r="M5665" i="1"/>
  <c r="N5665" i="1" s="1"/>
  <c r="Q5665" i="1" s="1"/>
  <c r="O5664" i="1"/>
  <c r="M5664" i="1"/>
  <c r="N5664" i="1" s="1"/>
  <c r="Q5663" i="1"/>
  <c r="O5663" i="1"/>
  <c r="P5663" i="1" s="1"/>
  <c r="N5663" i="1"/>
  <c r="M5663" i="1"/>
  <c r="O5662" i="1"/>
  <c r="N5662" i="1"/>
  <c r="P5662" i="1" s="1"/>
  <c r="M5662" i="1"/>
  <c r="O5661" i="1"/>
  <c r="M5661" i="1"/>
  <c r="N5661" i="1" s="1"/>
  <c r="Q5660" i="1"/>
  <c r="P5660" i="1"/>
  <c r="O5660" i="1"/>
  <c r="M5660" i="1"/>
  <c r="N5660" i="1" s="1"/>
  <c r="O5659" i="1"/>
  <c r="N5659" i="1"/>
  <c r="M5659" i="1"/>
  <c r="Q5658" i="1"/>
  <c r="O5658" i="1"/>
  <c r="N5658" i="1"/>
  <c r="P5658" i="1" s="1"/>
  <c r="M5658" i="1"/>
  <c r="O5657" i="1"/>
  <c r="N5657" i="1"/>
  <c r="M5657" i="1"/>
  <c r="O5656" i="1"/>
  <c r="M5656" i="1"/>
  <c r="N5656" i="1" s="1"/>
  <c r="O5655" i="1"/>
  <c r="M5655" i="1"/>
  <c r="N5655" i="1" s="1"/>
  <c r="Q5655" i="1" s="1"/>
  <c r="O5654" i="1"/>
  <c r="N5654" i="1"/>
  <c r="M5654" i="1"/>
  <c r="P5653" i="1"/>
  <c r="O5653" i="1"/>
  <c r="N5653" i="1"/>
  <c r="Q5653" i="1" s="1"/>
  <c r="M5653" i="1"/>
  <c r="O5652" i="1"/>
  <c r="N5652" i="1"/>
  <c r="M5652" i="1"/>
  <c r="O5651" i="1"/>
  <c r="M5651" i="1"/>
  <c r="N5651" i="1" s="1"/>
  <c r="O5650" i="1"/>
  <c r="M5650" i="1"/>
  <c r="N5650" i="1" s="1"/>
  <c r="Q5650" i="1" s="1"/>
  <c r="O5649" i="1"/>
  <c r="N5649" i="1"/>
  <c r="M5649" i="1"/>
  <c r="Q5648" i="1"/>
  <c r="O5648" i="1"/>
  <c r="N5648" i="1"/>
  <c r="P5648" i="1" s="1"/>
  <c r="M5648" i="1"/>
  <c r="O5647" i="1"/>
  <c r="M5647" i="1"/>
  <c r="N5647" i="1" s="1"/>
  <c r="Q5646" i="1"/>
  <c r="O5646" i="1"/>
  <c r="M5646" i="1"/>
  <c r="N5646" i="1" s="1"/>
  <c r="Q5645" i="1"/>
  <c r="P5645" i="1"/>
  <c r="O5645" i="1"/>
  <c r="M5645" i="1"/>
  <c r="N5645" i="1" s="1"/>
  <c r="O5644" i="1"/>
  <c r="M5644" i="1"/>
  <c r="N5644" i="1" s="1"/>
  <c r="Q5643" i="1"/>
  <c r="P5643" i="1"/>
  <c r="O5643" i="1"/>
  <c r="N5643" i="1"/>
  <c r="M5643" i="1"/>
  <c r="Q5642" i="1"/>
  <c r="P5642" i="1"/>
  <c r="O5642" i="1"/>
  <c r="N5642" i="1"/>
  <c r="M5642" i="1"/>
  <c r="O5641" i="1"/>
  <c r="N5641" i="1"/>
  <c r="M5641" i="1"/>
  <c r="O5640" i="1"/>
  <c r="M5640" i="1"/>
  <c r="N5640" i="1" s="1"/>
  <c r="O5639" i="1"/>
  <c r="M5639" i="1"/>
  <c r="N5639" i="1" s="1"/>
  <c r="Q5638" i="1"/>
  <c r="O5638" i="1"/>
  <c r="N5638" i="1"/>
  <c r="P5638" i="1" s="1"/>
  <c r="M5638" i="1"/>
  <c r="Q5637" i="1"/>
  <c r="O5637" i="1"/>
  <c r="N5637" i="1"/>
  <c r="P5637" i="1" s="1"/>
  <c r="M5637" i="1"/>
  <c r="O5636" i="1"/>
  <c r="N5636" i="1"/>
  <c r="M5636" i="1"/>
  <c r="O5635" i="1"/>
  <c r="M5635" i="1"/>
  <c r="N5635" i="1" s="1"/>
  <c r="Q5635" i="1" s="1"/>
  <c r="O5634" i="1"/>
  <c r="M5634" i="1"/>
  <c r="N5634" i="1" s="1"/>
  <c r="P5633" i="1"/>
  <c r="O5633" i="1"/>
  <c r="N5633" i="1"/>
  <c r="Q5633" i="1" s="1"/>
  <c r="M5633" i="1"/>
  <c r="O5632" i="1"/>
  <c r="N5632" i="1"/>
  <c r="M5632" i="1"/>
  <c r="O5631" i="1"/>
  <c r="M5631" i="1"/>
  <c r="N5631" i="1" s="1"/>
  <c r="O5630" i="1"/>
  <c r="M5630" i="1"/>
  <c r="N5630" i="1" s="1"/>
  <c r="O5629" i="1"/>
  <c r="M5629" i="1"/>
  <c r="N5629" i="1" s="1"/>
  <c r="Q5628" i="1"/>
  <c r="O5628" i="1"/>
  <c r="N5628" i="1"/>
  <c r="P5628" i="1" s="1"/>
  <c r="M5628" i="1"/>
  <c r="O5627" i="1"/>
  <c r="M5627" i="1"/>
  <c r="N5627" i="1" s="1"/>
  <c r="O5626" i="1"/>
  <c r="N5626" i="1"/>
  <c r="M5626" i="1"/>
  <c r="O5625" i="1"/>
  <c r="M5625" i="1"/>
  <c r="N5625" i="1" s="1"/>
  <c r="P5624" i="1"/>
  <c r="O5624" i="1"/>
  <c r="M5624" i="1"/>
  <c r="N5624" i="1" s="1"/>
  <c r="Q5624" i="1" s="1"/>
  <c r="O5623" i="1"/>
  <c r="N5623" i="1"/>
  <c r="M5623" i="1"/>
  <c r="O5622" i="1"/>
  <c r="N5622" i="1"/>
  <c r="Q5622" i="1" s="1"/>
  <c r="M5622" i="1"/>
  <c r="O5621" i="1"/>
  <c r="N5621" i="1"/>
  <c r="M5621" i="1"/>
  <c r="P5620" i="1"/>
  <c r="O5620" i="1"/>
  <c r="M5620" i="1"/>
  <c r="N5620" i="1" s="1"/>
  <c r="Q5620" i="1" s="1"/>
  <c r="O5619" i="1"/>
  <c r="M5619" i="1"/>
  <c r="N5619" i="1" s="1"/>
  <c r="O5618" i="1"/>
  <c r="M5618" i="1"/>
  <c r="N5618" i="1" s="1"/>
  <c r="P5617" i="1"/>
  <c r="O5617" i="1"/>
  <c r="M5617" i="1"/>
  <c r="N5617" i="1" s="1"/>
  <c r="Q5617" i="1" s="1"/>
  <c r="O5616" i="1"/>
  <c r="M5616" i="1"/>
  <c r="N5616" i="1" s="1"/>
  <c r="O5615" i="1"/>
  <c r="M5615" i="1"/>
  <c r="N5615" i="1" s="1"/>
  <c r="Q5615" i="1" s="1"/>
  <c r="O5614" i="1"/>
  <c r="N5614" i="1"/>
  <c r="M5614" i="1"/>
  <c r="Q5613" i="1"/>
  <c r="O5613" i="1"/>
  <c r="N5613" i="1"/>
  <c r="P5613" i="1" s="1"/>
  <c r="M5613" i="1"/>
  <c r="Q5612" i="1"/>
  <c r="P5612" i="1"/>
  <c r="O5612" i="1"/>
  <c r="N5612" i="1"/>
  <c r="M5612" i="1"/>
  <c r="O5611" i="1"/>
  <c r="M5611" i="1"/>
  <c r="N5611" i="1" s="1"/>
  <c r="Q5610" i="1"/>
  <c r="O5610" i="1"/>
  <c r="P5610" i="1" s="1"/>
  <c r="N5610" i="1"/>
  <c r="M5610" i="1"/>
  <c r="O5609" i="1"/>
  <c r="M5609" i="1"/>
  <c r="N5609" i="1" s="1"/>
  <c r="O5608" i="1"/>
  <c r="M5608" i="1"/>
  <c r="N5608" i="1" s="1"/>
  <c r="Q5608" i="1" s="1"/>
  <c r="Q5607" i="1"/>
  <c r="O5607" i="1"/>
  <c r="P5607" i="1" s="1"/>
  <c r="M5607" i="1"/>
  <c r="N5607" i="1" s="1"/>
  <c r="O5606" i="1"/>
  <c r="N5606" i="1"/>
  <c r="M5606" i="1"/>
  <c r="Q5605" i="1"/>
  <c r="P5605" i="1"/>
  <c r="O5605" i="1"/>
  <c r="N5605" i="1"/>
  <c r="M5605" i="1"/>
  <c r="O5604" i="1"/>
  <c r="N5604" i="1"/>
  <c r="M5604" i="1"/>
  <c r="O5603" i="1"/>
  <c r="M5603" i="1"/>
  <c r="N5603" i="1" s="1"/>
  <c r="Q5603" i="1" s="1"/>
  <c r="Q5602" i="1"/>
  <c r="P5602" i="1"/>
  <c r="O5602" i="1"/>
  <c r="M5602" i="1"/>
  <c r="N5602" i="1" s="1"/>
  <c r="O5601" i="1"/>
  <c r="M5601" i="1"/>
  <c r="N5601" i="1" s="1"/>
  <c r="Q5600" i="1"/>
  <c r="O5600" i="1"/>
  <c r="P5600" i="1" s="1"/>
  <c r="M5600" i="1"/>
  <c r="N5600" i="1" s="1"/>
  <c r="O5599" i="1"/>
  <c r="M5599" i="1"/>
  <c r="N5599" i="1" s="1"/>
  <c r="O5598" i="1"/>
  <c r="N5598" i="1"/>
  <c r="P5598" i="1" s="1"/>
  <c r="M5598" i="1"/>
  <c r="O5597" i="1"/>
  <c r="M5597" i="1"/>
  <c r="N5597" i="1" s="1"/>
  <c r="O5596" i="1"/>
  <c r="M5596" i="1"/>
  <c r="N5596" i="1" s="1"/>
  <c r="Q5595" i="1"/>
  <c r="O5595" i="1"/>
  <c r="M5595" i="1"/>
  <c r="N5595" i="1" s="1"/>
  <c r="P5595" i="1" s="1"/>
  <c r="O5594" i="1"/>
  <c r="M5594" i="1"/>
  <c r="N5594" i="1" s="1"/>
  <c r="O5593" i="1"/>
  <c r="M5593" i="1"/>
  <c r="N5593" i="1" s="1"/>
  <c r="Q5592" i="1"/>
  <c r="O5592" i="1"/>
  <c r="P5592" i="1" s="1"/>
  <c r="M5592" i="1"/>
  <c r="N5592" i="1" s="1"/>
  <c r="O5591" i="1"/>
  <c r="N5591" i="1"/>
  <c r="M5591" i="1"/>
  <c r="O5590" i="1"/>
  <c r="M5590" i="1"/>
  <c r="N5590" i="1" s="1"/>
  <c r="Q5589" i="1"/>
  <c r="O5589" i="1"/>
  <c r="N5589" i="1"/>
  <c r="M5589" i="1"/>
  <c r="O5588" i="1"/>
  <c r="M5588" i="1"/>
  <c r="N5588" i="1" s="1"/>
  <c r="Q5587" i="1"/>
  <c r="O5587" i="1"/>
  <c r="N5587" i="1"/>
  <c r="P5587" i="1" s="1"/>
  <c r="M5587" i="1"/>
  <c r="O5586" i="1"/>
  <c r="M5586" i="1"/>
  <c r="N5586" i="1" s="1"/>
  <c r="P5586" i="1" s="1"/>
  <c r="P5585" i="1"/>
  <c r="O5585" i="1"/>
  <c r="M5585" i="1"/>
  <c r="N5585" i="1" s="1"/>
  <c r="Q5585" i="1" s="1"/>
  <c r="O5584" i="1"/>
  <c r="N5584" i="1"/>
  <c r="M5584" i="1"/>
  <c r="O5583" i="1"/>
  <c r="P5583" i="1" s="1"/>
  <c r="M5583" i="1"/>
  <c r="N5583" i="1" s="1"/>
  <c r="Q5583" i="1" s="1"/>
  <c r="O5582" i="1"/>
  <c r="N5582" i="1"/>
  <c r="P5582" i="1" s="1"/>
  <c r="M5582" i="1"/>
  <c r="O5581" i="1"/>
  <c r="N5581" i="1"/>
  <c r="M5581" i="1"/>
  <c r="P5580" i="1"/>
  <c r="O5580" i="1"/>
  <c r="M5580" i="1"/>
  <c r="N5580" i="1" s="1"/>
  <c r="Q5580" i="1" s="1"/>
  <c r="Q5579" i="1"/>
  <c r="P5579" i="1"/>
  <c r="O5579" i="1"/>
  <c r="N5579" i="1"/>
  <c r="M5579" i="1"/>
  <c r="O5578" i="1"/>
  <c r="M5578" i="1"/>
  <c r="N5578" i="1" s="1"/>
  <c r="O5577" i="1"/>
  <c r="N5577" i="1"/>
  <c r="M5577" i="1"/>
  <c r="Q5576" i="1"/>
  <c r="P5576" i="1"/>
  <c r="O5576" i="1"/>
  <c r="M5576" i="1"/>
  <c r="N5576" i="1" s="1"/>
  <c r="O5575" i="1"/>
  <c r="M5575" i="1"/>
  <c r="N5575" i="1" s="1"/>
  <c r="O5574" i="1"/>
  <c r="M5574" i="1"/>
  <c r="N5574" i="1" s="1"/>
  <c r="O5573" i="1"/>
  <c r="N5573" i="1"/>
  <c r="M5573" i="1"/>
  <c r="O5572" i="1"/>
  <c r="M5572" i="1"/>
  <c r="N5572" i="1" s="1"/>
  <c r="O5571" i="1"/>
  <c r="N5571" i="1"/>
  <c r="M5571" i="1"/>
  <c r="O5570" i="1"/>
  <c r="M5570" i="1"/>
  <c r="N5570" i="1" s="1"/>
  <c r="O5569" i="1"/>
  <c r="M5569" i="1"/>
  <c r="N5569" i="1" s="1"/>
  <c r="O5568" i="1"/>
  <c r="M5568" i="1"/>
  <c r="N5568" i="1" s="1"/>
  <c r="O5567" i="1"/>
  <c r="N5567" i="1"/>
  <c r="M5567" i="1"/>
  <c r="O5566" i="1"/>
  <c r="M5566" i="1"/>
  <c r="N5566" i="1" s="1"/>
  <c r="Q5565" i="1"/>
  <c r="P5565" i="1"/>
  <c r="O5565" i="1"/>
  <c r="M5565" i="1"/>
  <c r="N5565" i="1" s="1"/>
  <c r="O5564" i="1"/>
  <c r="M5564" i="1"/>
  <c r="N5564" i="1" s="1"/>
  <c r="O5563" i="1"/>
  <c r="N5563" i="1"/>
  <c r="M5563" i="1"/>
  <c r="O5562" i="1"/>
  <c r="M5562" i="1"/>
  <c r="N5562" i="1" s="1"/>
  <c r="O5561" i="1"/>
  <c r="M5561" i="1"/>
  <c r="N5561" i="1" s="1"/>
  <c r="Q5560" i="1"/>
  <c r="O5560" i="1"/>
  <c r="M5560" i="1"/>
  <c r="N5560" i="1" s="1"/>
  <c r="P5560" i="1" s="1"/>
  <c r="Q5559" i="1"/>
  <c r="O5559" i="1"/>
  <c r="P5559" i="1" s="1"/>
  <c r="N5559" i="1"/>
  <c r="M5559" i="1"/>
  <c r="O5558" i="1"/>
  <c r="M5558" i="1"/>
  <c r="N5558" i="1" s="1"/>
  <c r="Q5557" i="1"/>
  <c r="O5557" i="1"/>
  <c r="N5557" i="1"/>
  <c r="P5557" i="1" s="1"/>
  <c r="M5557" i="1"/>
  <c r="Q5556" i="1"/>
  <c r="O5556" i="1"/>
  <c r="M5556" i="1"/>
  <c r="N5556" i="1" s="1"/>
  <c r="P5556" i="1" s="1"/>
  <c r="Q5555" i="1"/>
  <c r="O5555" i="1"/>
  <c r="N5555" i="1"/>
  <c r="P5555" i="1" s="1"/>
  <c r="M5555" i="1"/>
  <c r="O5554" i="1"/>
  <c r="N5554" i="1"/>
  <c r="M5554" i="1"/>
  <c r="O5553" i="1"/>
  <c r="M5553" i="1"/>
  <c r="N5553" i="1" s="1"/>
  <c r="Q5552" i="1"/>
  <c r="O5552" i="1"/>
  <c r="M5552" i="1"/>
  <c r="N5552" i="1" s="1"/>
  <c r="P5552" i="1" s="1"/>
  <c r="O5551" i="1"/>
  <c r="N5551" i="1"/>
  <c r="M5551" i="1"/>
  <c r="O5550" i="1"/>
  <c r="M5550" i="1"/>
  <c r="N5550" i="1" s="1"/>
  <c r="Q5549" i="1"/>
  <c r="P5549" i="1"/>
  <c r="O5549" i="1"/>
  <c r="N5549" i="1"/>
  <c r="M5549" i="1"/>
  <c r="O5548" i="1"/>
  <c r="N5548" i="1"/>
  <c r="M5548" i="1"/>
  <c r="O5547" i="1"/>
  <c r="M5547" i="1"/>
  <c r="N5547" i="1" s="1"/>
  <c r="O5546" i="1"/>
  <c r="N5546" i="1"/>
  <c r="M5546" i="1"/>
  <c r="O5545" i="1"/>
  <c r="M5545" i="1"/>
  <c r="N5545" i="1" s="1"/>
  <c r="Q5544" i="1"/>
  <c r="O5544" i="1"/>
  <c r="P5544" i="1" s="1"/>
  <c r="N5544" i="1"/>
  <c r="M5544" i="1"/>
  <c r="O5543" i="1"/>
  <c r="M5543" i="1"/>
  <c r="N5543" i="1" s="1"/>
  <c r="P5543" i="1" s="1"/>
  <c r="Q5542" i="1"/>
  <c r="O5542" i="1"/>
  <c r="N5542" i="1"/>
  <c r="P5542" i="1" s="1"/>
  <c r="M5542" i="1"/>
  <c r="O5541" i="1"/>
  <c r="M5541" i="1"/>
  <c r="N5541" i="1" s="1"/>
  <c r="Q5540" i="1"/>
  <c r="P5540" i="1"/>
  <c r="O5540" i="1"/>
  <c r="M5540" i="1"/>
  <c r="N5540" i="1" s="1"/>
  <c r="O5539" i="1"/>
  <c r="M5539" i="1"/>
  <c r="N5539" i="1" s="1"/>
  <c r="Q5539" i="1" s="1"/>
  <c r="O5538" i="1"/>
  <c r="M5538" i="1"/>
  <c r="N5538" i="1" s="1"/>
  <c r="Q5538" i="1" s="1"/>
  <c r="O5537" i="1"/>
  <c r="N5537" i="1"/>
  <c r="M5537" i="1"/>
  <c r="Q5536" i="1"/>
  <c r="O5536" i="1"/>
  <c r="M5536" i="1"/>
  <c r="N5536" i="1" s="1"/>
  <c r="P5536" i="1" s="1"/>
  <c r="O5535" i="1"/>
  <c r="M5535" i="1"/>
  <c r="N5535" i="1" s="1"/>
  <c r="P5534" i="1"/>
  <c r="O5534" i="1"/>
  <c r="M5534" i="1"/>
  <c r="N5534" i="1" s="1"/>
  <c r="Q5534" i="1" s="1"/>
  <c r="O5533" i="1"/>
  <c r="N5533" i="1"/>
  <c r="Q5533" i="1" s="1"/>
  <c r="M5533" i="1"/>
  <c r="O5532" i="1"/>
  <c r="M5532" i="1"/>
  <c r="N5532" i="1" s="1"/>
  <c r="Q5531" i="1"/>
  <c r="O5531" i="1"/>
  <c r="M5531" i="1"/>
  <c r="N5531" i="1" s="1"/>
  <c r="P5531" i="1" s="1"/>
  <c r="O5530" i="1"/>
  <c r="M5530" i="1"/>
  <c r="N5530" i="1" s="1"/>
  <c r="O5529" i="1"/>
  <c r="M5529" i="1"/>
  <c r="N5529" i="1" s="1"/>
  <c r="Q5528" i="1"/>
  <c r="O5528" i="1"/>
  <c r="M5528" i="1"/>
  <c r="N5528" i="1" s="1"/>
  <c r="P5528" i="1" s="1"/>
  <c r="O5527" i="1"/>
  <c r="M5527" i="1"/>
  <c r="N5527" i="1" s="1"/>
  <c r="Q5527" i="1" s="1"/>
  <c r="Q5526" i="1"/>
  <c r="O5526" i="1"/>
  <c r="N5526" i="1"/>
  <c r="P5526" i="1" s="1"/>
  <c r="M5526" i="1"/>
  <c r="Q5525" i="1"/>
  <c r="P5525" i="1"/>
  <c r="O5525" i="1"/>
  <c r="M5525" i="1"/>
  <c r="N5525" i="1" s="1"/>
  <c r="O5524" i="1"/>
  <c r="M5524" i="1"/>
  <c r="N5524" i="1" s="1"/>
  <c r="Q5523" i="1"/>
  <c r="O5523" i="1"/>
  <c r="M5523" i="1"/>
  <c r="N5523" i="1" s="1"/>
  <c r="P5523" i="1" s="1"/>
  <c r="O5522" i="1"/>
  <c r="N5522" i="1"/>
  <c r="M5522" i="1"/>
  <c r="Q5521" i="1"/>
  <c r="O5521" i="1"/>
  <c r="M5521" i="1"/>
  <c r="N5521" i="1" s="1"/>
  <c r="P5521" i="1" s="1"/>
  <c r="Q5520" i="1"/>
  <c r="P5520" i="1"/>
  <c r="O5520" i="1"/>
  <c r="M5520" i="1"/>
  <c r="N5520" i="1" s="1"/>
  <c r="O5519" i="1"/>
  <c r="N5519" i="1"/>
  <c r="M5519" i="1"/>
  <c r="O5518" i="1"/>
  <c r="N5518" i="1"/>
  <c r="M5518" i="1"/>
  <c r="O5517" i="1"/>
  <c r="N5517" i="1"/>
  <c r="M5517" i="1"/>
  <c r="O5516" i="1"/>
  <c r="M5516" i="1"/>
  <c r="N5516" i="1" s="1"/>
  <c r="Q5515" i="1"/>
  <c r="P5515" i="1"/>
  <c r="O5515" i="1"/>
  <c r="N5515" i="1"/>
  <c r="M5515" i="1"/>
  <c r="O5514" i="1"/>
  <c r="M5514" i="1"/>
  <c r="N5514" i="1" s="1"/>
  <c r="O5513" i="1"/>
  <c r="M5513" i="1"/>
  <c r="N5513" i="1" s="1"/>
  <c r="O5512" i="1"/>
  <c r="M5512" i="1"/>
  <c r="N5512" i="1" s="1"/>
  <c r="O5511" i="1"/>
  <c r="N5511" i="1"/>
  <c r="M5511" i="1"/>
  <c r="Q5510" i="1"/>
  <c r="O5510" i="1"/>
  <c r="N5510" i="1"/>
  <c r="P5510" i="1" s="1"/>
  <c r="M5510" i="1"/>
  <c r="O5509" i="1"/>
  <c r="M5509" i="1"/>
  <c r="N5509" i="1" s="1"/>
  <c r="O5508" i="1"/>
  <c r="M5508" i="1"/>
  <c r="N5508" i="1" s="1"/>
  <c r="Q5508" i="1" s="1"/>
  <c r="Q5507" i="1"/>
  <c r="P5507" i="1"/>
  <c r="O5507" i="1"/>
  <c r="M5507" i="1"/>
  <c r="N5507" i="1" s="1"/>
  <c r="O5506" i="1"/>
  <c r="M5506" i="1"/>
  <c r="N5506" i="1" s="1"/>
  <c r="Q5505" i="1"/>
  <c r="P5505" i="1"/>
  <c r="O5505" i="1"/>
  <c r="M5505" i="1"/>
  <c r="N5505" i="1" s="1"/>
  <c r="Q5504" i="1"/>
  <c r="O5504" i="1"/>
  <c r="P5504" i="1" s="1"/>
  <c r="M5504" i="1"/>
  <c r="N5504" i="1" s="1"/>
  <c r="O5503" i="1"/>
  <c r="M5503" i="1"/>
  <c r="N5503" i="1" s="1"/>
  <c r="O5502" i="1"/>
  <c r="M5502" i="1"/>
  <c r="N5502" i="1" s="1"/>
  <c r="Q5501" i="1"/>
  <c r="O5501" i="1"/>
  <c r="P5501" i="1" s="1"/>
  <c r="N5501" i="1"/>
  <c r="M5501" i="1"/>
  <c r="O5500" i="1"/>
  <c r="M5500" i="1"/>
  <c r="N5500" i="1" s="1"/>
  <c r="Q5499" i="1"/>
  <c r="O5499" i="1"/>
  <c r="P5499" i="1" s="1"/>
  <c r="M5499" i="1"/>
  <c r="N5499" i="1" s="1"/>
  <c r="P5498" i="1"/>
  <c r="O5498" i="1"/>
  <c r="M5498" i="1"/>
  <c r="N5498" i="1" s="1"/>
  <c r="Q5498" i="1" s="1"/>
  <c r="O5497" i="1"/>
  <c r="M5497" i="1"/>
  <c r="N5497" i="1" s="1"/>
  <c r="O5496" i="1"/>
  <c r="M5496" i="1"/>
  <c r="N5496" i="1" s="1"/>
  <c r="Q5495" i="1"/>
  <c r="P5495" i="1"/>
  <c r="O5495" i="1"/>
  <c r="M5495" i="1"/>
  <c r="N5495" i="1" s="1"/>
  <c r="Q5494" i="1"/>
  <c r="O5494" i="1"/>
  <c r="N5494" i="1"/>
  <c r="P5494" i="1" s="1"/>
  <c r="M5494" i="1"/>
  <c r="O5493" i="1"/>
  <c r="N5493" i="1"/>
  <c r="M5493" i="1"/>
  <c r="Q5492" i="1"/>
  <c r="O5492" i="1"/>
  <c r="N5492" i="1"/>
  <c r="M5492" i="1"/>
  <c r="O5491" i="1"/>
  <c r="M5491" i="1"/>
  <c r="N5491" i="1" s="1"/>
  <c r="P5490" i="1"/>
  <c r="O5490" i="1"/>
  <c r="M5490" i="1"/>
  <c r="N5490" i="1" s="1"/>
  <c r="Q5490" i="1" s="1"/>
  <c r="O5489" i="1"/>
  <c r="N5489" i="1"/>
  <c r="M5489" i="1"/>
  <c r="Q5488" i="1"/>
  <c r="P5488" i="1"/>
  <c r="O5488" i="1"/>
  <c r="M5488" i="1"/>
  <c r="N5488" i="1" s="1"/>
  <c r="O5487" i="1"/>
  <c r="N5487" i="1"/>
  <c r="M5487" i="1"/>
  <c r="O5486" i="1"/>
  <c r="M5486" i="1"/>
  <c r="N5486" i="1" s="1"/>
  <c r="Q5486" i="1" s="1"/>
  <c r="Q5485" i="1"/>
  <c r="O5485" i="1"/>
  <c r="P5485" i="1" s="1"/>
  <c r="N5485" i="1"/>
  <c r="M5485" i="1"/>
  <c r="O5484" i="1"/>
  <c r="M5484" i="1"/>
  <c r="N5484" i="1" s="1"/>
  <c r="O5483" i="1"/>
  <c r="M5483" i="1"/>
  <c r="N5483" i="1" s="1"/>
  <c r="Q5482" i="1"/>
  <c r="P5482" i="1"/>
  <c r="O5482" i="1"/>
  <c r="M5482" i="1"/>
  <c r="N5482" i="1" s="1"/>
  <c r="O5481" i="1"/>
  <c r="M5481" i="1"/>
  <c r="N5481" i="1" s="1"/>
  <c r="Q5480" i="1"/>
  <c r="O5480" i="1"/>
  <c r="M5480" i="1"/>
  <c r="N5480" i="1" s="1"/>
  <c r="P5480" i="1" s="1"/>
  <c r="Q5479" i="1"/>
  <c r="P5479" i="1"/>
  <c r="O5479" i="1"/>
  <c r="M5479" i="1"/>
  <c r="N5479" i="1" s="1"/>
  <c r="Q5478" i="1"/>
  <c r="O5478" i="1"/>
  <c r="N5478" i="1"/>
  <c r="P5478" i="1" s="1"/>
  <c r="M5478" i="1"/>
  <c r="O5477" i="1"/>
  <c r="N5477" i="1"/>
  <c r="M5477" i="1"/>
  <c r="O5476" i="1"/>
  <c r="N5476" i="1"/>
  <c r="M5476" i="1"/>
  <c r="Q5475" i="1"/>
  <c r="P5475" i="1"/>
  <c r="O5475" i="1"/>
  <c r="M5475" i="1"/>
  <c r="N5475" i="1" s="1"/>
  <c r="O5474" i="1"/>
  <c r="M5474" i="1"/>
  <c r="N5474" i="1" s="1"/>
  <c r="Q5474" i="1" s="1"/>
  <c r="O5473" i="1"/>
  <c r="M5473" i="1"/>
  <c r="N5473" i="1" s="1"/>
  <c r="O5472" i="1"/>
  <c r="M5472" i="1"/>
  <c r="N5472" i="1" s="1"/>
  <c r="O5471" i="1"/>
  <c r="M5471" i="1"/>
  <c r="N5471" i="1" s="1"/>
  <c r="Q5470" i="1"/>
  <c r="P5470" i="1"/>
  <c r="O5470" i="1"/>
  <c r="M5470" i="1"/>
  <c r="N5470" i="1" s="1"/>
  <c r="Q5469" i="1"/>
  <c r="O5469" i="1"/>
  <c r="N5469" i="1"/>
  <c r="P5469" i="1" s="1"/>
  <c r="M5469" i="1"/>
  <c r="O5468" i="1"/>
  <c r="M5468" i="1"/>
  <c r="N5468" i="1" s="1"/>
  <c r="Q5467" i="1"/>
  <c r="O5467" i="1"/>
  <c r="M5467" i="1"/>
  <c r="N5467" i="1" s="1"/>
  <c r="P5467" i="1" s="1"/>
  <c r="Q5466" i="1"/>
  <c r="P5466" i="1"/>
  <c r="O5466" i="1"/>
  <c r="N5466" i="1"/>
  <c r="M5466" i="1"/>
  <c r="O5465" i="1"/>
  <c r="M5465" i="1"/>
  <c r="N5465" i="1" s="1"/>
  <c r="O5464" i="1"/>
  <c r="M5464" i="1"/>
  <c r="N5464" i="1" s="1"/>
  <c r="O5463" i="1"/>
  <c r="M5463" i="1"/>
  <c r="N5463" i="1" s="1"/>
  <c r="Q5462" i="1"/>
  <c r="O5462" i="1"/>
  <c r="N5462" i="1"/>
  <c r="P5462" i="1" s="1"/>
  <c r="M5462" i="1"/>
  <c r="O5461" i="1"/>
  <c r="M5461" i="1"/>
  <c r="N5461" i="1" s="1"/>
  <c r="O5460" i="1"/>
  <c r="N5460" i="1"/>
  <c r="M5460" i="1"/>
  <c r="O5459" i="1"/>
  <c r="M5459" i="1"/>
  <c r="N5459" i="1" s="1"/>
  <c r="P5458" i="1"/>
  <c r="O5458" i="1"/>
  <c r="M5458" i="1"/>
  <c r="N5458" i="1" s="1"/>
  <c r="Q5458" i="1" s="1"/>
  <c r="O5457" i="1"/>
  <c r="N5457" i="1"/>
  <c r="M5457" i="1"/>
  <c r="O5456" i="1"/>
  <c r="M5456" i="1"/>
  <c r="N5456" i="1" s="1"/>
  <c r="O5455" i="1"/>
  <c r="N5455" i="1"/>
  <c r="M5455" i="1"/>
  <c r="Q5454" i="1"/>
  <c r="O5454" i="1"/>
  <c r="M5454" i="1"/>
  <c r="N5454" i="1" s="1"/>
  <c r="P5454" i="1" s="1"/>
  <c r="O5453" i="1"/>
  <c r="N5453" i="1"/>
  <c r="M5453" i="1"/>
  <c r="O5452" i="1"/>
  <c r="N5452" i="1"/>
  <c r="M5452" i="1"/>
  <c r="P5451" i="1"/>
  <c r="O5451" i="1"/>
  <c r="N5451" i="1"/>
  <c r="Q5451" i="1" s="1"/>
  <c r="M5451" i="1"/>
  <c r="O5450" i="1"/>
  <c r="N5450" i="1"/>
  <c r="M5450" i="1"/>
  <c r="O5449" i="1"/>
  <c r="M5449" i="1"/>
  <c r="N5449" i="1" s="1"/>
  <c r="O5448" i="1"/>
  <c r="M5448" i="1"/>
  <c r="N5448" i="1" s="1"/>
  <c r="Q5447" i="1"/>
  <c r="P5447" i="1"/>
  <c r="O5447" i="1"/>
  <c r="M5447" i="1"/>
  <c r="N5447" i="1" s="1"/>
  <c r="Q5446" i="1"/>
  <c r="O5446" i="1"/>
  <c r="N5446" i="1"/>
  <c r="P5446" i="1" s="1"/>
  <c r="M5446" i="1"/>
  <c r="O5445" i="1"/>
  <c r="M5445" i="1"/>
  <c r="N5445" i="1" s="1"/>
  <c r="O5444" i="1"/>
  <c r="N5444" i="1"/>
  <c r="M5444" i="1"/>
  <c r="O5443" i="1"/>
  <c r="M5443" i="1"/>
  <c r="N5443" i="1" s="1"/>
  <c r="O5442" i="1"/>
  <c r="M5442" i="1"/>
  <c r="N5442" i="1" s="1"/>
  <c r="O5441" i="1"/>
  <c r="M5441" i="1"/>
  <c r="N5441" i="1" s="1"/>
  <c r="Q5440" i="1"/>
  <c r="O5440" i="1"/>
  <c r="P5440" i="1" s="1"/>
  <c r="M5440" i="1"/>
  <c r="N5440" i="1" s="1"/>
  <c r="O5439" i="1"/>
  <c r="M5439" i="1"/>
  <c r="N5439" i="1" s="1"/>
  <c r="O5438" i="1"/>
  <c r="N5438" i="1"/>
  <c r="M5438" i="1"/>
  <c r="O5437" i="1"/>
  <c r="N5437" i="1"/>
  <c r="Q5437" i="1" s="1"/>
  <c r="M5437" i="1"/>
  <c r="O5436" i="1"/>
  <c r="N5436" i="1"/>
  <c r="M5436" i="1"/>
  <c r="O5435" i="1"/>
  <c r="M5435" i="1"/>
  <c r="N5435" i="1" s="1"/>
  <c r="Q5434" i="1"/>
  <c r="P5434" i="1"/>
  <c r="O5434" i="1"/>
  <c r="M5434" i="1"/>
  <c r="N5434" i="1" s="1"/>
  <c r="O5433" i="1"/>
  <c r="M5433" i="1"/>
  <c r="N5433" i="1" s="1"/>
  <c r="O5432" i="1"/>
  <c r="M5432" i="1"/>
  <c r="N5432" i="1" s="1"/>
  <c r="O5431" i="1"/>
  <c r="M5431" i="1"/>
  <c r="N5431" i="1" s="1"/>
  <c r="Q5430" i="1"/>
  <c r="O5430" i="1"/>
  <c r="N5430" i="1"/>
  <c r="P5430" i="1" s="1"/>
  <c r="M5430" i="1"/>
  <c r="Q5429" i="1"/>
  <c r="P5429" i="1"/>
  <c r="O5429" i="1"/>
  <c r="M5429" i="1"/>
  <c r="N5429" i="1" s="1"/>
  <c r="O5428" i="1"/>
  <c r="M5428" i="1"/>
  <c r="N5428" i="1" s="1"/>
  <c r="P5427" i="1"/>
  <c r="O5427" i="1"/>
  <c r="M5427" i="1"/>
  <c r="N5427" i="1" s="1"/>
  <c r="Q5427" i="1" s="1"/>
  <c r="O5426" i="1"/>
  <c r="M5426" i="1"/>
  <c r="N5426" i="1" s="1"/>
  <c r="Q5425" i="1"/>
  <c r="P5425" i="1"/>
  <c r="O5425" i="1"/>
  <c r="M5425" i="1"/>
  <c r="N5425" i="1" s="1"/>
  <c r="O5424" i="1"/>
  <c r="M5424" i="1"/>
  <c r="N5424" i="1" s="1"/>
  <c r="O5423" i="1"/>
  <c r="M5423" i="1"/>
  <c r="N5423" i="1" s="1"/>
  <c r="P5422" i="1"/>
  <c r="O5422" i="1"/>
  <c r="M5422" i="1"/>
  <c r="N5422" i="1" s="1"/>
  <c r="Q5422" i="1" s="1"/>
  <c r="Q5421" i="1"/>
  <c r="P5421" i="1"/>
  <c r="O5421" i="1"/>
  <c r="N5421" i="1"/>
  <c r="M5421" i="1"/>
  <c r="O5420" i="1"/>
  <c r="M5420" i="1"/>
  <c r="N5420" i="1" s="1"/>
  <c r="Q5419" i="1"/>
  <c r="O5419" i="1"/>
  <c r="M5419" i="1"/>
  <c r="N5419" i="1" s="1"/>
  <c r="O5418" i="1"/>
  <c r="M5418" i="1"/>
  <c r="N5418" i="1" s="1"/>
  <c r="O5417" i="1"/>
  <c r="M5417" i="1"/>
  <c r="N5417" i="1" s="1"/>
  <c r="O5416" i="1"/>
  <c r="M5416" i="1"/>
  <c r="N5416" i="1" s="1"/>
  <c r="Q5415" i="1"/>
  <c r="O5415" i="1"/>
  <c r="N5415" i="1"/>
  <c r="M5415" i="1"/>
  <c r="O5414" i="1"/>
  <c r="N5414" i="1"/>
  <c r="P5414" i="1" s="1"/>
  <c r="M5414" i="1"/>
  <c r="O5413" i="1"/>
  <c r="N5413" i="1"/>
  <c r="M5413" i="1"/>
  <c r="O5412" i="1"/>
  <c r="N5412" i="1"/>
  <c r="M5412" i="1"/>
  <c r="O5411" i="1"/>
  <c r="M5411" i="1"/>
  <c r="N5411" i="1" s="1"/>
  <c r="O5410" i="1"/>
  <c r="P5410" i="1" s="1"/>
  <c r="M5410" i="1"/>
  <c r="N5410" i="1" s="1"/>
  <c r="Q5410" i="1" s="1"/>
  <c r="P5409" i="1"/>
  <c r="O5409" i="1"/>
  <c r="N5409" i="1"/>
  <c r="Q5409" i="1" s="1"/>
  <c r="M5409" i="1"/>
  <c r="O5408" i="1"/>
  <c r="M5408" i="1"/>
  <c r="N5408" i="1" s="1"/>
  <c r="O5407" i="1"/>
  <c r="N5407" i="1"/>
  <c r="M5407" i="1"/>
  <c r="Q5406" i="1"/>
  <c r="O5406" i="1"/>
  <c r="M5406" i="1"/>
  <c r="N5406" i="1" s="1"/>
  <c r="P5406" i="1" s="1"/>
  <c r="Q5405" i="1"/>
  <c r="O5405" i="1"/>
  <c r="P5405" i="1" s="1"/>
  <c r="N5405" i="1"/>
  <c r="M5405" i="1"/>
  <c r="O5404" i="1"/>
  <c r="M5404" i="1"/>
  <c r="N5404" i="1" s="1"/>
  <c r="Q5403" i="1"/>
  <c r="O5403" i="1"/>
  <c r="M5403" i="1"/>
  <c r="N5403" i="1" s="1"/>
  <c r="O5402" i="1"/>
  <c r="M5402" i="1"/>
  <c r="N5402" i="1" s="1"/>
  <c r="O5401" i="1"/>
  <c r="M5401" i="1"/>
  <c r="N5401" i="1" s="1"/>
  <c r="O5400" i="1"/>
  <c r="M5400" i="1"/>
  <c r="N5400" i="1" s="1"/>
  <c r="Q5399" i="1"/>
  <c r="P5399" i="1"/>
  <c r="O5399" i="1"/>
  <c r="M5399" i="1"/>
  <c r="N5399" i="1" s="1"/>
  <c r="Q5398" i="1"/>
  <c r="O5398" i="1"/>
  <c r="N5398" i="1"/>
  <c r="P5398" i="1" s="1"/>
  <c r="M5398" i="1"/>
  <c r="O5397" i="1"/>
  <c r="N5397" i="1"/>
  <c r="M5397" i="1"/>
  <c r="O5396" i="1"/>
  <c r="N5396" i="1"/>
  <c r="M5396" i="1"/>
  <c r="O5395" i="1"/>
  <c r="M5395" i="1"/>
  <c r="N5395" i="1" s="1"/>
  <c r="O5394" i="1"/>
  <c r="N5394" i="1"/>
  <c r="M5394" i="1"/>
  <c r="O5393" i="1"/>
  <c r="N5393" i="1"/>
  <c r="Q5393" i="1" s="1"/>
  <c r="M5393" i="1"/>
  <c r="Q5392" i="1"/>
  <c r="P5392" i="1"/>
  <c r="O5392" i="1"/>
  <c r="M5392" i="1"/>
  <c r="N5392" i="1" s="1"/>
  <c r="O5391" i="1"/>
  <c r="M5391" i="1"/>
  <c r="N5391" i="1" s="1"/>
  <c r="Q5390" i="1"/>
  <c r="P5390" i="1"/>
  <c r="O5390" i="1"/>
  <c r="N5390" i="1"/>
  <c r="M5390" i="1"/>
  <c r="O5389" i="1"/>
  <c r="M5389" i="1"/>
  <c r="N5389" i="1" s="1"/>
  <c r="Q5389" i="1" s="1"/>
  <c r="O5388" i="1"/>
  <c r="M5388" i="1"/>
  <c r="N5388" i="1" s="1"/>
  <c r="O5387" i="1"/>
  <c r="M5387" i="1"/>
  <c r="N5387" i="1" s="1"/>
  <c r="O5386" i="1"/>
  <c r="N5386" i="1"/>
  <c r="Q5386" i="1" s="1"/>
  <c r="M5386" i="1"/>
  <c r="Q5385" i="1"/>
  <c r="O5385" i="1"/>
  <c r="M5385" i="1"/>
  <c r="N5385" i="1" s="1"/>
  <c r="P5385" i="1" s="1"/>
  <c r="O5384" i="1"/>
  <c r="N5384" i="1"/>
  <c r="M5384" i="1"/>
  <c r="O5383" i="1"/>
  <c r="N5383" i="1"/>
  <c r="M5383" i="1"/>
  <c r="Q5382" i="1"/>
  <c r="O5382" i="1"/>
  <c r="M5382" i="1"/>
  <c r="N5382" i="1" s="1"/>
  <c r="P5382" i="1" s="1"/>
  <c r="O5381" i="1"/>
  <c r="M5381" i="1"/>
  <c r="N5381" i="1" s="1"/>
  <c r="O5380" i="1"/>
  <c r="M5380" i="1"/>
  <c r="N5380" i="1" s="1"/>
  <c r="Q5379" i="1"/>
  <c r="O5379" i="1"/>
  <c r="P5379" i="1" s="1"/>
  <c r="M5379" i="1"/>
  <c r="N5379" i="1" s="1"/>
  <c r="O5378" i="1"/>
  <c r="M5378" i="1"/>
  <c r="N5378" i="1" s="1"/>
  <c r="O5377" i="1"/>
  <c r="N5377" i="1"/>
  <c r="M5377" i="1"/>
  <c r="Q5376" i="1"/>
  <c r="P5376" i="1"/>
  <c r="O5376" i="1"/>
  <c r="N5376" i="1"/>
  <c r="M5376" i="1"/>
  <c r="O5375" i="1"/>
  <c r="N5375" i="1"/>
  <c r="M5375" i="1"/>
  <c r="Q5374" i="1"/>
  <c r="O5374" i="1"/>
  <c r="M5374" i="1"/>
  <c r="N5374" i="1" s="1"/>
  <c r="P5374" i="1" s="1"/>
  <c r="O5373" i="1"/>
  <c r="N5373" i="1"/>
  <c r="P5373" i="1" s="1"/>
  <c r="M5373" i="1"/>
  <c r="O5372" i="1"/>
  <c r="N5372" i="1"/>
  <c r="M5372" i="1"/>
  <c r="P5371" i="1"/>
  <c r="O5371" i="1"/>
  <c r="N5371" i="1"/>
  <c r="Q5371" i="1" s="1"/>
  <c r="M5371" i="1"/>
  <c r="O5370" i="1"/>
  <c r="N5370" i="1"/>
  <c r="M5370" i="1"/>
  <c r="O5369" i="1"/>
  <c r="M5369" i="1"/>
  <c r="N5369" i="1" s="1"/>
  <c r="Q5368" i="1"/>
  <c r="O5368" i="1"/>
  <c r="P5368" i="1" s="1"/>
  <c r="M5368" i="1"/>
  <c r="N5368" i="1" s="1"/>
  <c r="O5367" i="1"/>
  <c r="M5367" i="1"/>
  <c r="N5367" i="1" s="1"/>
  <c r="Q5366" i="1"/>
  <c r="P5366" i="1"/>
  <c r="O5366" i="1"/>
  <c r="M5366" i="1"/>
  <c r="N5366" i="1" s="1"/>
  <c r="Q5365" i="1"/>
  <c r="O5365" i="1"/>
  <c r="M5365" i="1"/>
  <c r="N5365" i="1" s="1"/>
  <c r="P5365" i="1" s="1"/>
  <c r="Q5364" i="1"/>
  <c r="P5364" i="1"/>
  <c r="O5364" i="1"/>
  <c r="N5364" i="1"/>
  <c r="M5364" i="1"/>
  <c r="Q5363" i="1"/>
  <c r="O5363" i="1"/>
  <c r="P5363" i="1" s="1"/>
  <c r="N5363" i="1"/>
  <c r="M5363" i="1"/>
  <c r="O5362" i="1"/>
  <c r="M5362" i="1"/>
  <c r="N5362" i="1" s="1"/>
  <c r="Q5361" i="1"/>
  <c r="O5361" i="1"/>
  <c r="M5361" i="1"/>
  <c r="N5361" i="1" s="1"/>
  <c r="P5361" i="1" s="1"/>
  <c r="Q5360" i="1"/>
  <c r="O5360" i="1"/>
  <c r="N5360" i="1"/>
  <c r="P5360" i="1" s="1"/>
  <c r="M5360" i="1"/>
  <c r="O5359" i="1"/>
  <c r="N5359" i="1"/>
  <c r="M5359" i="1"/>
  <c r="O5358" i="1"/>
  <c r="M5358" i="1"/>
  <c r="N5358" i="1" s="1"/>
  <c r="O5357" i="1"/>
  <c r="N5357" i="1"/>
  <c r="M5357" i="1"/>
  <c r="O5356" i="1"/>
  <c r="M5356" i="1"/>
  <c r="N5356" i="1" s="1"/>
  <c r="O5355" i="1"/>
  <c r="M5355" i="1"/>
  <c r="N5355" i="1" s="1"/>
  <c r="O5354" i="1"/>
  <c r="M5354" i="1"/>
  <c r="N5354" i="1" s="1"/>
  <c r="Q5354" i="1" s="1"/>
  <c r="Q5353" i="1"/>
  <c r="O5353" i="1"/>
  <c r="M5353" i="1"/>
  <c r="N5353" i="1" s="1"/>
  <c r="P5353" i="1" s="1"/>
  <c r="O5352" i="1"/>
  <c r="N5352" i="1"/>
  <c r="M5352" i="1"/>
  <c r="O5351" i="1"/>
  <c r="N5351" i="1"/>
  <c r="M5351" i="1"/>
  <c r="Q5350" i="1"/>
  <c r="P5350" i="1"/>
  <c r="O5350" i="1"/>
  <c r="M5350" i="1"/>
  <c r="N5350" i="1" s="1"/>
  <c r="O5349" i="1"/>
  <c r="M5349" i="1"/>
  <c r="N5349" i="1" s="1"/>
  <c r="O5348" i="1"/>
  <c r="N5348" i="1"/>
  <c r="M5348" i="1"/>
  <c r="Q5347" i="1"/>
  <c r="O5347" i="1"/>
  <c r="P5347" i="1" s="1"/>
  <c r="N5347" i="1"/>
  <c r="M5347" i="1"/>
  <c r="O5346" i="1"/>
  <c r="M5346" i="1"/>
  <c r="N5346" i="1" s="1"/>
  <c r="O5345" i="1"/>
  <c r="N5345" i="1"/>
  <c r="M5345" i="1"/>
  <c r="O5344" i="1"/>
  <c r="N5344" i="1"/>
  <c r="M5344" i="1"/>
  <c r="O5343" i="1"/>
  <c r="M5343" i="1"/>
  <c r="N5343" i="1" s="1"/>
  <c r="O5342" i="1"/>
  <c r="M5342" i="1"/>
  <c r="N5342" i="1" s="1"/>
  <c r="P5342" i="1" s="1"/>
  <c r="O5341" i="1"/>
  <c r="N5341" i="1"/>
  <c r="M5341" i="1"/>
  <c r="O5340" i="1"/>
  <c r="M5340" i="1"/>
  <c r="N5340" i="1" s="1"/>
  <c r="Q5339" i="1"/>
  <c r="O5339" i="1"/>
  <c r="N5339" i="1"/>
  <c r="P5339" i="1" s="1"/>
  <c r="M5339" i="1"/>
  <c r="O5338" i="1"/>
  <c r="N5338" i="1"/>
  <c r="M5338" i="1"/>
  <c r="O5337" i="1"/>
  <c r="M5337" i="1"/>
  <c r="N5337" i="1" s="1"/>
  <c r="O5336" i="1"/>
  <c r="N5336" i="1"/>
  <c r="P5336" i="1" s="1"/>
  <c r="M5336" i="1"/>
  <c r="Q5335" i="1"/>
  <c r="P5335" i="1"/>
  <c r="O5335" i="1"/>
  <c r="M5335" i="1"/>
  <c r="N5335" i="1" s="1"/>
  <c r="Q5334" i="1"/>
  <c r="P5334" i="1"/>
  <c r="O5334" i="1"/>
  <c r="M5334" i="1"/>
  <c r="N5334" i="1" s="1"/>
  <c r="Q5333" i="1"/>
  <c r="O5333" i="1"/>
  <c r="N5333" i="1"/>
  <c r="P5333" i="1" s="1"/>
  <c r="M5333" i="1"/>
  <c r="Q5332" i="1"/>
  <c r="P5332" i="1"/>
  <c r="O5332" i="1"/>
  <c r="N5332" i="1"/>
  <c r="M5332" i="1"/>
  <c r="Q5331" i="1"/>
  <c r="O5331" i="1"/>
  <c r="P5331" i="1" s="1"/>
  <c r="N5331" i="1"/>
  <c r="M5331" i="1"/>
  <c r="O5330" i="1"/>
  <c r="M5330" i="1"/>
  <c r="N5330" i="1" s="1"/>
  <c r="O5329" i="1"/>
  <c r="N5329" i="1"/>
  <c r="M5329" i="1"/>
  <c r="Q5328" i="1"/>
  <c r="O5328" i="1"/>
  <c r="N5328" i="1"/>
  <c r="P5328" i="1" s="1"/>
  <c r="M5328" i="1"/>
  <c r="O5327" i="1"/>
  <c r="N5327" i="1"/>
  <c r="M5327" i="1"/>
  <c r="O5326" i="1"/>
  <c r="P5326" i="1" s="1"/>
  <c r="N5326" i="1"/>
  <c r="Q5326" i="1" s="1"/>
  <c r="M5326" i="1"/>
  <c r="O5325" i="1"/>
  <c r="N5325" i="1"/>
  <c r="M5325" i="1"/>
  <c r="O5324" i="1"/>
  <c r="M5324" i="1"/>
  <c r="N5324" i="1" s="1"/>
  <c r="O5323" i="1"/>
  <c r="M5323" i="1"/>
  <c r="N5323" i="1" s="1"/>
  <c r="O5322" i="1"/>
  <c r="M5322" i="1"/>
  <c r="N5322" i="1" s="1"/>
  <c r="Q5321" i="1"/>
  <c r="O5321" i="1"/>
  <c r="M5321" i="1"/>
  <c r="N5321" i="1" s="1"/>
  <c r="P5321" i="1" s="1"/>
  <c r="O5320" i="1"/>
  <c r="N5320" i="1"/>
  <c r="M5320" i="1"/>
  <c r="O5319" i="1"/>
  <c r="M5319" i="1"/>
  <c r="N5319" i="1" s="1"/>
  <c r="O5318" i="1"/>
  <c r="M5318" i="1"/>
  <c r="N5318" i="1" s="1"/>
  <c r="P5318" i="1" s="1"/>
  <c r="Q5317" i="1"/>
  <c r="O5317" i="1"/>
  <c r="M5317" i="1"/>
  <c r="N5317" i="1" s="1"/>
  <c r="P5317" i="1" s="1"/>
  <c r="P5316" i="1"/>
  <c r="O5316" i="1"/>
  <c r="N5316" i="1"/>
  <c r="Q5316" i="1" s="1"/>
  <c r="M5316" i="1"/>
  <c r="Q5315" i="1"/>
  <c r="O5315" i="1"/>
  <c r="P5315" i="1" s="1"/>
  <c r="N5315" i="1"/>
  <c r="M5315" i="1"/>
  <c r="O5314" i="1"/>
  <c r="P5314" i="1" s="1"/>
  <c r="M5314" i="1"/>
  <c r="N5314" i="1" s="1"/>
  <c r="Q5314" i="1" s="1"/>
  <c r="O5313" i="1"/>
  <c r="N5313" i="1"/>
  <c r="Q5313" i="1" s="1"/>
  <c r="M5313" i="1"/>
  <c r="O5312" i="1"/>
  <c r="N5312" i="1"/>
  <c r="Q5312" i="1" s="1"/>
  <c r="M5312" i="1"/>
  <c r="O5311" i="1"/>
  <c r="M5311" i="1"/>
  <c r="N5311" i="1" s="1"/>
  <c r="Q5310" i="1"/>
  <c r="O5310" i="1"/>
  <c r="M5310" i="1"/>
  <c r="N5310" i="1" s="1"/>
  <c r="P5310" i="1" s="1"/>
  <c r="O5309" i="1"/>
  <c r="M5309" i="1"/>
  <c r="N5309" i="1" s="1"/>
  <c r="O5308" i="1"/>
  <c r="M5308" i="1"/>
  <c r="N5308" i="1" s="1"/>
  <c r="Q5307" i="1"/>
  <c r="P5307" i="1"/>
  <c r="O5307" i="1"/>
  <c r="N5307" i="1"/>
  <c r="M5307" i="1"/>
  <c r="O5306" i="1"/>
  <c r="N5306" i="1"/>
  <c r="M5306" i="1"/>
  <c r="O5305" i="1"/>
  <c r="M5305" i="1"/>
  <c r="N5305" i="1" s="1"/>
  <c r="O5304" i="1"/>
  <c r="N5304" i="1"/>
  <c r="M5304" i="1"/>
  <c r="Q5303" i="1"/>
  <c r="P5303" i="1"/>
  <c r="O5303" i="1"/>
  <c r="M5303" i="1"/>
  <c r="N5303" i="1" s="1"/>
  <c r="Q5302" i="1"/>
  <c r="P5302" i="1"/>
  <c r="O5302" i="1"/>
  <c r="M5302" i="1"/>
  <c r="N5302" i="1" s="1"/>
  <c r="Q5301" i="1"/>
  <c r="O5301" i="1"/>
  <c r="M5301" i="1"/>
  <c r="N5301" i="1" s="1"/>
  <c r="P5301" i="1" s="1"/>
  <c r="O5300" i="1"/>
  <c r="N5300" i="1"/>
  <c r="M5300" i="1"/>
  <c r="Q5299" i="1"/>
  <c r="O5299" i="1"/>
  <c r="P5299" i="1" s="1"/>
  <c r="N5299" i="1"/>
  <c r="M5299" i="1"/>
  <c r="O5298" i="1"/>
  <c r="N5298" i="1"/>
  <c r="M5298" i="1"/>
  <c r="Q5297" i="1"/>
  <c r="O5297" i="1"/>
  <c r="M5297" i="1"/>
  <c r="N5297" i="1" s="1"/>
  <c r="P5297" i="1" s="1"/>
  <c r="Q5296" i="1"/>
  <c r="O5296" i="1"/>
  <c r="N5296" i="1"/>
  <c r="P5296" i="1" s="1"/>
  <c r="M5296" i="1"/>
  <c r="O5295" i="1"/>
  <c r="N5295" i="1"/>
  <c r="M5295" i="1"/>
  <c r="O5294" i="1"/>
  <c r="M5294" i="1"/>
  <c r="N5294" i="1" s="1"/>
  <c r="P5293" i="1"/>
  <c r="O5293" i="1"/>
  <c r="N5293" i="1"/>
  <c r="Q5293" i="1" s="1"/>
  <c r="M5293" i="1"/>
  <c r="O5292" i="1"/>
  <c r="M5292" i="1"/>
  <c r="N5292" i="1" s="1"/>
  <c r="Q5291" i="1"/>
  <c r="P5291" i="1"/>
  <c r="O5291" i="1"/>
  <c r="M5291" i="1"/>
  <c r="N5291" i="1" s="1"/>
  <c r="O5290" i="1"/>
  <c r="N5290" i="1"/>
  <c r="M5290" i="1"/>
  <c r="Q5289" i="1"/>
  <c r="O5289" i="1"/>
  <c r="M5289" i="1"/>
  <c r="N5289" i="1" s="1"/>
  <c r="P5289" i="1" s="1"/>
  <c r="O5288" i="1"/>
  <c r="N5288" i="1"/>
  <c r="M5288" i="1"/>
  <c r="O5287" i="1"/>
  <c r="M5287" i="1"/>
  <c r="N5287" i="1" s="1"/>
  <c r="O5286" i="1"/>
  <c r="M5286" i="1"/>
  <c r="N5286" i="1" s="1"/>
  <c r="O5285" i="1"/>
  <c r="M5285" i="1"/>
  <c r="N5285" i="1" s="1"/>
  <c r="O5284" i="1"/>
  <c r="N5284" i="1"/>
  <c r="M5284" i="1"/>
  <c r="Q5283" i="1"/>
  <c r="P5283" i="1"/>
  <c r="O5283" i="1"/>
  <c r="N5283" i="1"/>
  <c r="M5283" i="1"/>
  <c r="O5282" i="1"/>
  <c r="M5282" i="1"/>
  <c r="N5282" i="1" s="1"/>
  <c r="O5281" i="1"/>
  <c r="P5281" i="1" s="1"/>
  <c r="N5281" i="1"/>
  <c r="Q5281" i="1" s="1"/>
  <c r="M5281" i="1"/>
  <c r="P5280" i="1"/>
  <c r="O5280" i="1"/>
  <c r="N5280" i="1"/>
  <c r="Q5280" i="1" s="1"/>
  <c r="M5280" i="1"/>
  <c r="O5279" i="1"/>
  <c r="M5279" i="1"/>
  <c r="N5279" i="1" s="1"/>
  <c r="Q5278" i="1"/>
  <c r="O5278" i="1"/>
  <c r="M5278" i="1"/>
  <c r="N5278" i="1" s="1"/>
  <c r="P5278" i="1" s="1"/>
  <c r="O5277" i="1"/>
  <c r="M5277" i="1"/>
  <c r="N5277" i="1" s="1"/>
  <c r="O5276" i="1"/>
  <c r="M5276" i="1"/>
  <c r="N5276" i="1" s="1"/>
  <c r="Q5275" i="1"/>
  <c r="P5275" i="1"/>
  <c r="O5275" i="1"/>
  <c r="N5275" i="1"/>
  <c r="M5275" i="1"/>
  <c r="O5274" i="1"/>
  <c r="N5274" i="1"/>
  <c r="M5274" i="1"/>
  <c r="O5273" i="1"/>
  <c r="M5273" i="1"/>
  <c r="N5273" i="1" s="1"/>
  <c r="O5272" i="1"/>
  <c r="M5272" i="1"/>
  <c r="N5272" i="1" s="1"/>
  <c r="Q5272" i="1" s="1"/>
  <c r="Q5271" i="1"/>
  <c r="P5271" i="1"/>
  <c r="O5271" i="1"/>
  <c r="M5271" i="1"/>
  <c r="N5271" i="1" s="1"/>
  <c r="Q5270" i="1"/>
  <c r="P5270" i="1"/>
  <c r="O5270" i="1"/>
  <c r="M5270" i="1"/>
  <c r="N5270" i="1" s="1"/>
  <c r="O5269" i="1"/>
  <c r="N5269" i="1"/>
  <c r="M5269" i="1"/>
  <c r="Q5268" i="1"/>
  <c r="O5268" i="1"/>
  <c r="N5268" i="1"/>
  <c r="P5268" i="1" s="1"/>
  <c r="M5268" i="1"/>
  <c r="Q5267" i="1"/>
  <c r="O5267" i="1"/>
  <c r="P5267" i="1" s="1"/>
  <c r="N5267" i="1"/>
  <c r="M5267" i="1"/>
  <c r="O5266" i="1"/>
  <c r="N5266" i="1"/>
  <c r="M5266" i="1"/>
  <c r="O5265" i="1"/>
  <c r="M5265" i="1"/>
  <c r="N5265" i="1" s="1"/>
  <c r="Q5265" i="1" s="1"/>
  <c r="Q5264" i="1"/>
  <c r="O5264" i="1"/>
  <c r="N5264" i="1"/>
  <c r="P5264" i="1" s="1"/>
  <c r="M5264" i="1"/>
  <c r="O5263" i="1"/>
  <c r="N5263" i="1"/>
  <c r="M5263" i="1"/>
  <c r="O5262" i="1"/>
  <c r="N5262" i="1"/>
  <c r="M5262" i="1"/>
  <c r="O5261" i="1"/>
  <c r="P5261" i="1" s="1"/>
  <c r="N5261" i="1"/>
  <c r="Q5261" i="1" s="1"/>
  <c r="M5261" i="1"/>
  <c r="O5260" i="1"/>
  <c r="M5260" i="1"/>
  <c r="N5260" i="1" s="1"/>
  <c r="Q5259" i="1"/>
  <c r="P5259" i="1"/>
  <c r="O5259" i="1"/>
  <c r="M5259" i="1"/>
  <c r="N5259" i="1" s="1"/>
  <c r="Q5258" i="1"/>
  <c r="P5258" i="1"/>
  <c r="O5258" i="1"/>
  <c r="N5258" i="1"/>
  <c r="M5258" i="1"/>
  <c r="Q5257" i="1"/>
  <c r="O5257" i="1"/>
  <c r="M5257" i="1"/>
  <c r="N5257" i="1" s="1"/>
  <c r="P5257" i="1" s="1"/>
  <c r="O5256" i="1"/>
  <c r="N5256" i="1"/>
  <c r="M5256" i="1"/>
  <c r="O5255" i="1"/>
  <c r="N5255" i="1"/>
  <c r="M5255" i="1"/>
  <c r="O5254" i="1"/>
  <c r="M5254" i="1"/>
  <c r="N5254" i="1" s="1"/>
  <c r="Q5253" i="1"/>
  <c r="O5253" i="1"/>
  <c r="M5253" i="1"/>
  <c r="N5253" i="1" s="1"/>
  <c r="P5253" i="1" s="1"/>
  <c r="O5252" i="1"/>
  <c r="N5252" i="1"/>
  <c r="M5252" i="1"/>
  <c r="Q5251" i="1"/>
  <c r="O5251" i="1"/>
  <c r="P5251" i="1" s="1"/>
  <c r="N5251" i="1"/>
  <c r="M5251" i="1"/>
  <c r="O5250" i="1"/>
  <c r="M5250" i="1"/>
  <c r="N5250" i="1" s="1"/>
  <c r="P5249" i="1"/>
  <c r="O5249" i="1"/>
  <c r="N5249" i="1"/>
  <c r="Q5249" i="1" s="1"/>
  <c r="M5249" i="1"/>
  <c r="O5248" i="1"/>
  <c r="N5248" i="1"/>
  <c r="Q5248" i="1" s="1"/>
  <c r="M5248" i="1"/>
  <c r="O5247" i="1"/>
  <c r="N5247" i="1"/>
  <c r="M5247" i="1"/>
  <c r="O5246" i="1"/>
  <c r="M5246" i="1"/>
  <c r="N5246" i="1" s="1"/>
  <c r="Q5245" i="1"/>
  <c r="O5245" i="1"/>
  <c r="N5245" i="1"/>
  <c r="P5245" i="1" s="1"/>
  <c r="M5245" i="1"/>
  <c r="O5244" i="1"/>
  <c r="M5244" i="1"/>
  <c r="N5244" i="1" s="1"/>
  <c r="Q5243" i="1"/>
  <c r="P5243" i="1"/>
  <c r="O5243" i="1"/>
  <c r="N5243" i="1"/>
  <c r="M5243" i="1"/>
  <c r="O5242" i="1"/>
  <c r="N5242" i="1"/>
  <c r="M5242" i="1"/>
  <c r="O5241" i="1"/>
  <c r="M5241" i="1"/>
  <c r="N5241" i="1" s="1"/>
  <c r="Q5240" i="1"/>
  <c r="O5240" i="1"/>
  <c r="M5240" i="1"/>
  <c r="N5240" i="1" s="1"/>
  <c r="P5240" i="1" s="1"/>
  <c r="Q5239" i="1"/>
  <c r="P5239" i="1"/>
  <c r="O5239" i="1"/>
  <c r="M5239" i="1"/>
  <c r="N5239" i="1" s="1"/>
  <c r="Q5238" i="1"/>
  <c r="P5238" i="1"/>
  <c r="O5238" i="1"/>
  <c r="M5238" i="1"/>
  <c r="N5238" i="1" s="1"/>
  <c r="O5237" i="1"/>
  <c r="N5237" i="1"/>
  <c r="M5237" i="1"/>
  <c r="O5236" i="1"/>
  <c r="N5236" i="1"/>
  <c r="M5236" i="1"/>
  <c r="Q5235" i="1"/>
  <c r="O5235" i="1"/>
  <c r="P5235" i="1" s="1"/>
  <c r="N5235" i="1"/>
  <c r="M5235" i="1"/>
  <c r="O5234" i="1"/>
  <c r="N5234" i="1"/>
  <c r="M5234" i="1"/>
  <c r="P5233" i="1"/>
  <c r="O5233" i="1"/>
  <c r="N5233" i="1"/>
  <c r="Q5233" i="1" s="1"/>
  <c r="M5233" i="1"/>
  <c r="Q5232" i="1"/>
  <c r="O5232" i="1"/>
  <c r="N5232" i="1"/>
  <c r="P5232" i="1" s="1"/>
  <c r="M5232" i="1"/>
  <c r="O5231" i="1"/>
  <c r="N5231" i="1"/>
  <c r="M5231" i="1"/>
  <c r="O5230" i="1"/>
  <c r="M5230" i="1"/>
  <c r="N5230" i="1" s="1"/>
  <c r="O5229" i="1"/>
  <c r="N5229" i="1"/>
  <c r="M5229" i="1"/>
  <c r="O5228" i="1"/>
  <c r="M5228" i="1"/>
  <c r="N5228" i="1" s="1"/>
  <c r="Q5227" i="1"/>
  <c r="O5227" i="1"/>
  <c r="N5227" i="1"/>
  <c r="M5227" i="1"/>
  <c r="O5226" i="1"/>
  <c r="N5226" i="1"/>
  <c r="M5226" i="1"/>
  <c r="Q5225" i="1"/>
  <c r="O5225" i="1"/>
  <c r="M5225" i="1"/>
  <c r="N5225" i="1" s="1"/>
  <c r="P5225" i="1" s="1"/>
  <c r="Q5224" i="1"/>
  <c r="P5224" i="1"/>
  <c r="O5224" i="1"/>
  <c r="M5224" i="1"/>
  <c r="N5224" i="1" s="1"/>
  <c r="Q5223" i="1"/>
  <c r="P5223" i="1"/>
  <c r="O5223" i="1"/>
  <c r="M5223" i="1"/>
  <c r="N5223" i="1" s="1"/>
  <c r="Q5222" i="1"/>
  <c r="P5222" i="1"/>
  <c r="O5222" i="1"/>
  <c r="M5222" i="1"/>
  <c r="N5222" i="1" s="1"/>
  <c r="O5221" i="1"/>
  <c r="M5221" i="1"/>
  <c r="N5221" i="1" s="1"/>
  <c r="P5220" i="1"/>
  <c r="O5220" i="1"/>
  <c r="N5220" i="1"/>
  <c r="Q5220" i="1" s="1"/>
  <c r="M5220" i="1"/>
  <c r="Q5219" i="1"/>
  <c r="O5219" i="1"/>
  <c r="P5219" i="1" s="1"/>
  <c r="N5219" i="1"/>
  <c r="M5219" i="1"/>
  <c r="O5218" i="1"/>
  <c r="M5218" i="1"/>
  <c r="N5218" i="1" s="1"/>
  <c r="O5217" i="1"/>
  <c r="M5217" i="1"/>
  <c r="N5217" i="1" s="1"/>
  <c r="Q5216" i="1"/>
  <c r="P5216" i="1"/>
  <c r="O5216" i="1"/>
  <c r="M5216" i="1"/>
  <c r="N5216" i="1" s="1"/>
  <c r="P5215" i="1"/>
  <c r="O5215" i="1"/>
  <c r="M5215" i="1"/>
  <c r="N5215" i="1" s="1"/>
  <c r="Q5215" i="1" s="1"/>
  <c r="O5214" i="1"/>
  <c r="N5214" i="1"/>
  <c r="M5214" i="1"/>
  <c r="Q5213" i="1"/>
  <c r="O5213" i="1"/>
  <c r="M5213" i="1"/>
  <c r="N5213" i="1" s="1"/>
  <c r="P5213" i="1" s="1"/>
  <c r="O5212" i="1"/>
  <c r="N5212" i="1"/>
  <c r="M5212" i="1"/>
  <c r="O5211" i="1"/>
  <c r="N5211" i="1"/>
  <c r="M5211" i="1"/>
  <c r="O5210" i="1"/>
  <c r="N5210" i="1"/>
  <c r="M5210" i="1"/>
  <c r="Q5209" i="1"/>
  <c r="P5209" i="1"/>
  <c r="O5209" i="1"/>
  <c r="N5209" i="1"/>
  <c r="M5209" i="1"/>
  <c r="O5208" i="1"/>
  <c r="M5208" i="1"/>
  <c r="N5208" i="1" s="1"/>
  <c r="Q5207" i="1"/>
  <c r="O5207" i="1"/>
  <c r="M5207" i="1"/>
  <c r="N5207" i="1" s="1"/>
  <c r="P5207" i="1" s="1"/>
  <c r="Q5206" i="1"/>
  <c r="P5206" i="1"/>
  <c r="O5206" i="1"/>
  <c r="M5206" i="1"/>
  <c r="N5206" i="1" s="1"/>
  <c r="Q5205" i="1"/>
  <c r="O5205" i="1"/>
  <c r="P5205" i="1" s="1"/>
  <c r="M5205" i="1"/>
  <c r="N5205" i="1" s="1"/>
  <c r="O5204" i="1"/>
  <c r="N5204" i="1"/>
  <c r="M5204" i="1"/>
  <c r="Q5203" i="1"/>
  <c r="P5203" i="1"/>
  <c r="O5203" i="1"/>
  <c r="N5203" i="1"/>
  <c r="M5203" i="1"/>
  <c r="O5202" i="1"/>
  <c r="N5202" i="1"/>
  <c r="M5202" i="1"/>
  <c r="O5201" i="1"/>
  <c r="N5201" i="1"/>
  <c r="M5201" i="1"/>
  <c r="O5200" i="1"/>
  <c r="N5200" i="1"/>
  <c r="M5200" i="1"/>
  <c r="O5199" i="1"/>
  <c r="M5199" i="1"/>
  <c r="N5199" i="1" s="1"/>
  <c r="Q5198" i="1"/>
  <c r="O5198" i="1"/>
  <c r="M5198" i="1"/>
  <c r="N5198" i="1" s="1"/>
  <c r="P5198" i="1" s="1"/>
  <c r="O5197" i="1"/>
  <c r="M5197" i="1"/>
  <c r="N5197" i="1" s="1"/>
  <c r="O5196" i="1"/>
  <c r="M5196" i="1"/>
  <c r="N5196" i="1" s="1"/>
  <c r="Q5195" i="1"/>
  <c r="O5195" i="1"/>
  <c r="M5195" i="1"/>
  <c r="N5195" i="1" s="1"/>
  <c r="P5195" i="1" s="1"/>
  <c r="O5194" i="1"/>
  <c r="N5194" i="1"/>
  <c r="M5194" i="1"/>
  <c r="O5193" i="1"/>
  <c r="N5193" i="1"/>
  <c r="M5193" i="1"/>
  <c r="O5192" i="1"/>
  <c r="N5192" i="1"/>
  <c r="M5192" i="1"/>
  <c r="O5191" i="1"/>
  <c r="M5191" i="1"/>
  <c r="N5191" i="1" s="1"/>
  <c r="O5190" i="1"/>
  <c r="M5190" i="1"/>
  <c r="N5190" i="1" s="1"/>
  <c r="O5189" i="1"/>
  <c r="N5189" i="1"/>
  <c r="M5189" i="1"/>
  <c r="O5188" i="1"/>
  <c r="M5188" i="1"/>
  <c r="N5188" i="1" s="1"/>
  <c r="Q5187" i="1"/>
  <c r="O5187" i="1"/>
  <c r="N5187" i="1"/>
  <c r="P5187" i="1" s="1"/>
  <c r="M5187" i="1"/>
  <c r="Q5186" i="1"/>
  <c r="O5186" i="1"/>
  <c r="P5186" i="1" s="1"/>
  <c r="N5186" i="1"/>
  <c r="M5186" i="1"/>
  <c r="Q5185" i="1"/>
  <c r="O5185" i="1"/>
  <c r="M5185" i="1"/>
  <c r="N5185" i="1" s="1"/>
  <c r="P5185" i="1" s="1"/>
  <c r="Q5184" i="1"/>
  <c r="O5184" i="1"/>
  <c r="P5184" i="1" s="1"/>
  <c r="M5184" i="1"/>
  <c r="N5184" i="1" s="1"/>
  <c r="O5183" i="1"/>
  <c r="M5183" i="1"/>
  <c r="N5183" i="1" s="1"/>
  <c r="O5182" i="1"/>
  <c r="N5182" i="1"/>
  <c r="M5182" i="1"/>
  <c r="O5181" i="1"/>
  <c r="M5181" i="1"/>
  <c r="N5181" i="1" s="1"/>
  <c r="O5180" i="1"/>
  <c r="M5180" i="1"/>
  <c r="N5180" i="1" s="1"/>
  <c r="O5179" i="1"/>
  <c r="M5179" i="1"/>
  <c r="N5179" i="1" s="1"/>
  <c r="O5178" i="1"/>
  <c r="M5178" i="1"/>
  <c r="N5178" i="1" s="1"/>
  <c r="O5177" i="1"/>
  <c r="M5177" i="1"/>
  <c r="N5177" i="1" s="1"/>
  <c r="Q5177" i="1" s="1"/>
  <c r="Q5176" i="1"/>
  <c r="O5176" i="1"/>
  <c r="P5176" i="1" s="1"/>
  <c r="M5176" i="1"/>
  <c r="N5176" i="1" s="1"/>
  <c r="Q5175" i="1"/>
  <c r="P5175" i="1"/>
  <c r="O5175" i="1"/>
  <c r="M5175" i="1"/>
  <c r="N5175" i="1" s="1"/>
  <c r="Q5174" i="1"/>
  <c r="O5174" i="1"/>
  <c r="P5174" i="1" s="1"/>
  <c r="M5174" i="1"/>
  <c r="N5174" i="1" s="1"/>
  <c r="O5173" i="1"/>
  <c r="M5173" i="1"/>
  <c r="N5173" i="1" s="1"/>
  <c r="Q5172" i="1"/>
  <c r="O5172" i="1"/>
  <c r="N5172" i="1"/>
  <c r="P5172" i="1" s="1"/>
  <c r="M5172" i="1"/>
  <c r="O5171" i="1"/>
  <c r="N5171" i="1"/>
  <c r="M5171" i="1"/>
  <c r="O5170" i="1"/>
  <c r="M5170" i="1"/>
  <c r="N5170" i="1" s="1"/>
  <c r="P5169" i="1"/>
  <c r="O5169" i="1"/>
  <c r="M5169" i="1"/>
  <c r="N5169" i="1" s="1"/>
  <c r="Q5169" i="1" s="1"/>
  <c r="O5168" i="1"/>
  <c r="M5168" i="1"/>
  <c r="N5168" i="1" s="1"/>
  <c r="O5167" i="1"/>
  <c r="N5167" i="1"/>
  <c r="M5167" i="1"/>
  <c r="Q5166" i="1"/>
  <c r="O5166" i="1"/>
  <c r="N5166" i="1"/>
  <c r="P5166" i="1" s="1"/>
  <c r="M5166" i="1"/>
  <c r="Q5165" i="1"/>
  <c r="O5165" i="1"/>
  <c r="M5165" i="1"/>
  <c r="N5165" i="1" s="1"/>
  <c r="P5165" i="1" s="1"/>
  <c r="Q5164" i="1"/>
  <c r="O5164" i="1"/>
  <c r="M5164" i="1"/>
  <c r="N5164" i="1" s="1"/>
  <c r="P5164" i="1" s="1"/>
  <c r="O5163" i="1"/>
  <c r="M5163" i="1"/>
  <c r="N5163" i="1" s="1"/>
  <c r="O5162" i="1"/>
  <c r="M5162" i="1"/>
  <c r="N5162" i="1" s="1"/>
  <c r="Q5161" i="1"/>
  <c r="P5161" i="1"/>
  <c r="O5161" i="1"/>
  <c r="M5161" i="1"/>
  <c r="N5161" i="1" s="1"/>
  <c r="O5160" i="1"/>
  <c r="N5160" i="1"/>
  <c r="M5160" i="1"/>
  <c r="O5159" i="1"/>
  <c r="M5159" i="1"/>
  <c r="N5159" i="1" s="1"/>
  <c r="Q5159" i="1" s="1"/>
  <c r="O5158" i="1"/>
  <c r="N5158" i="1"/>
  <c r="M5158" i="1"/>
  <c r="Q5157" i="1"/>
  <c r="P5157" i="1"/>
  <c r="O5157" i="1"/>
  <c r="M5157" i="1"/>
  <c r="N5157" i="1" s="1"/>
  <c r="Q5156" i="1"/>
  <c r="P5156" i="1"/>
  <c r="O5156" i="1"/>
  <c r="N5156" i="1"/>
  <c r="M5156" i="1"/>
  <c r="O5155" i="1"/>
  <c r="M5155" i="1"/>
  <c r="N5155" i="1" s="1"/>
  <c r="O5154" i="1"/>
  <c r="M5154" i="1"/>
  <c r="N5154" i="1" s="1"/>
  <c r="Q5153" i="1"/>
  <c r="O5153" i="1"/>
  <c r="M5153" i="1"/>
  <c r="N5153" i="1" s="1"/>
  <c r="P5153" i="1" s="1"/>
  <c r="O5152" i="1"/>
  <c r="N5152" i="1"/>
  <c r="M5152" i="1"/>
  <c r="O5151" i="1"/>
  <c r="M5151" i="1"/>
  <c r="N5151" i="1" s="1"/>
  <c r="O5150" i="1"/>
  <c r="M5150" i="1"/>
  <c r="N5150" i="1" s="1"/>
  <c r="P5150" i="1" s="1"/>
  <c r="O5149" i="1"/>
  <c r="M5149" i="1"/>
  <c r="N5149" i="1" s="1"/>
  <c r="O5148" i="1"/>
  <c r="M5148" i="1"/>
  <c r="N5148" i="1" s="1"/>
  <c r="O5147" i="1"/>
  <c r="M5147" i="1"/>
  <c r="N5147" i="1" s="1"/>
  <c r="Q5146" i="1"/>
  <c r="P5146" i="1"/>
  <c r="O5146" i="1"/>
  <c r="M5146" i="1"/>
  <c r="N5146" i="1" s="1"/>
  <c r="P5145" i="1"/>
  <c r="O5145" i="1"/>
  <c r="M5145" i="1"/>
  <c r="N5145" i="1" s="1"/>
  <c r="Q5145" i="1" s="1"/>
  <c r="O5144" i="1"/>
  <c r="N5144" i="1"/>
  <c r="Q5144" i="1" s="1"/>
  <c r="M5144" i="1"/>
  <c r="Q5143" i="1"/>
  <c r="O5143" i="1"/>
  <c r="M5143" i="1"/>
  <c r="N5143" i="1" s="1"/>
  <c r="P5143" i="1" s="1"/>
  <c r="O5142" i="1"/>
  <c r="P5142" i="1" s="1"/>
  <c r="N5142" i="1"/>
  <c r="Q5142" i="1" s="1"/>
  <c r="M5142" i="1"/>
  <c r="Q5141" i="1"/>
  <c r="P5141" i="1"/>
  <c r="O5141" i="1"/>
  <c r="N5141" i="1"/>
  <c r="M5141" i="1"/>
  <c r="O5140" i="1"/>
  <c r="N5140" i="1"/>
  <c r="Q5140" i="1" s="1"/>
  <c r="M5140" i="1"/>
  <c r="O5139" i="1"/>
  <c r="N5139" i="1"/>
  <c r="M5139" i="1"/>
  <c r="O5138" i="1"/>
  <c r="M5138" i="1"/>
  <c r="N5138" i="1" s="1"/>
  <c r="O5137" i="1"/>
  <c r="M5137" i="1"/>
  <c r="N5137" i="1" s="1"/>
  <c r="O5136" i="1"/>
  <c r="N5136" i="1"/>
  <c r="M5136" i="1"/>
  <c r="Q5135" i="1"/>
  <c r="O5135" i="1"/>
  <c r="N5135" i="1"/>
  <c r="M5135" i="1"/>
  <c r="O5134" i="1"/>
  <c r="M5134" i="1"/>
  <c r="N5134" i="1" s="1"/>
  <c r="Q5133" i="1"/>
  <c r="O5133" i="1"/>
  <c r="M5133" i="1"/>
  <c r="N5133" i="1" s="1"/>
  <c r="P5133" i="1" s="1"/>
  <c r="O5132" i="1"/>
  <c r="N5132" i="1"/>
  <c r="Q5132" i="1" s="1"/>
  <c r="M5132" i="1"/>
  <c r="Q5131" i="1"/>
  <c r="P5131" i="1"/>
  <c r="O5131" i="1"/>
  <c r="N5131" i="1"/>
  <c r="M5131" i="1"/>
  <c r="P5130" i="1"/>
  <c r="O5130" i="1"/>
  <c r="M5130" i="1"/>
  <c r="N5130" i="1" s="1"/>
  <c r="Q5130" i="1" s="1"/>
  <c r="Q5129" i="1"/>
  <c r="O5129" i="1"/>
  <c r="M5129" i="1"/>
  <c r="N5129" i="1" s="1"/>
  <c r="P5129" i="1" s="1"/>
  <c r="O5128" i="1"/>
  <c r="M5128" i="1"/>
  <c r="N5128" i="1" s="1"/>
  <c r="Q5128" i="1" s="1"/>
  <c r="Q5127" i="1"/>
  <c r="P5127" i="1"/>
  <c r="O5127" i="1"/>
  <c r="M5127" i="1"/>
  <c r="N5127" i="1" s="1"/>
  <c r="O5126" i="1"/>
  <c r="P5126" i="1" s="1"/>
  <c r="N5126" i="1"/>
  <c r="Q5126" i="1" s="1"/>
  <c r="M5126" i="1"/>
  <c r="O5125" i="1"/>
  <c r="M5125" i="1"/>
  <c r="N5125" i="1" s="1"/>
  <c r="Q5124" i="1"/>
  <c r="O5124" i="1"/>
  <c r="N5124" i="1"/>
  <c r="M5124" i="1"/>
  <c r="O5123" i="1"/>
  <c r="M5123" i="1"/>
  <c r="N5123" i="1" s="1"/>
  <c r="P5122" i="1"/>
  <c r="O5122" i="1"/>
  <c r="M5122" i="1"/>
  <c r="N5122" i="1" s="1"/>
  <c r="Q5122" i="1" s="1"/>
  <c r="O5121" i="1"/>
  <c r="N5121" i="1"/>
  <c r="M5121" i="1"/>
  <c r="O5120" i="1"/>
  <c r="M5120" i="1"/>
  <c r="N5120" i="1" s="1"/>
  <c r="O5119" i="1"/>
  <c r="M5119" i="1"/>
  <c r="N5119" i="1" s="1"/>
  <c r="O5118" i="1"/>
  <c r="P5118" i="1" s="1"/>
  <c r="M5118" i="1"/>
  <c r="N5118" i="1" s="1"/>
  <c r="Q5118" i="1" s="1"/>
  <c r="O5117" i="1"/>
  <c r="M5117" i="1"/>
  <c r="N5117" i="1" s="1"/>
  <c r="P5116" i="1"/>
  <c r="O5116" i="1"/>
  <c r="M5116" i="1"/>
  <c r="N5116" i="1" s="1"/>
  <c r="Q5116" i="1" s="1"/>
  <c r="O5115" i="1"/>
  <c r="N5115" i="1"/>
  <c r="M5115" i="1"/>
  <c r="P5114" i="1"/>
  <c r="O5114" i="1"/>
  <c r="M5114" i="1"/>
  <c r="N5114" i="1" s="1"/>
  <c r="Q5114" i="1" s="1"/>
  <c r="Q5113" i="1"/>
  <c r="P5113" i="1"/>
  <c r="O5113" i="1"/>
  <c r="M5113" i="1"/>
  <c r="N5113" i="1" s="1"/>
  <c r="Q5112" i="1"/>
  <c r="P5112" i="1"/>
  <c r="O5112" i="1"/>
  <c r="N5112" i="1"/>
  <c r="M5112" i="1"/>
  <c r="Q5111" i="1"/>
  <c r="P5111" i="1"/>
  <c r="O5111" i="1"/>
  <c r="M5111" i="1"/>
  <c r="N5111" i="1" s="1"/>
  <c r="P5110" i="1"/>
  <c r="O5110" i="1"/>
  <c r="N5110" i="1"/>
  <c r="Q5110" i="1" s="1"/>
  <c r="M5110" i="1"/>
  <c r="Q5109" i="1"/>
  <c r="O5109" i="1"/>
  <c r="N5109" i="1"/>
  <c r="M5109" i="1"/>
  <c r="O5108" i="1"/>
  <c r="N5108" i="1"/>
  <c r="M5108" i="1"/>
  <c r="O5107" i="1"/>
  <c r="N5107" i="1"/>
  <c r="M5107" i="1"/>
  <c r="O5106" i="1"/>
  <c r="M5106" i="1"/>
  <c r="N5106" i="1" s="1"/>
  <c r="O5105" i="1"/>
  <c r="N5105" i="1"/>
  <c r="M5105" i="1"/>
  <c r="O5104" i="1"/>
  <c r="M5104" i="1"/>
  <c r="N5104" i="1" s="1"/>
  <c r="O5103" i="1"/>
  <c r="M5103" i="1"/>
  <c r="N5103" i="1" s="1"/>
  <c r="P5102" i="1"/>
  <c r="O5102" i="1"/>
  <c r="N5102" i="1"/>
  <c r="Q5102" i="1" s="1"/>
  <c r="M5102" i="1"/>
  <c r="O5101" i="1"/>
  <c r="M5101" i="1"/>
  <c r="N5101" i="1" s="1"/>
  <c r="O5100" i="1"/>
  <c r="N5100" i="1"/>
  <c r="M5100" i="1"/>
  <c r="O5099" i="1"/>
  <c r="N5099" i="1"/>
  <c r="P5099" i="1" s="1"/>
  <c r="M5099" i="1"/>
  <c r="Q5098" i="1"/>
  <c r="P5098" i="1"/>
  <c r="O5098" i="1"/>
  <c r="M5098" i="1"/>
  <c r="N5098" i="1" s="1"/>
  <c r="Q5097" i="1"/>
  <c r="O5097" i="1"/>
  <c r="P5097" i="1" s="1"/>
  <c r="M5097" i="1"/>
  <c r="N5097" i="1" s="1"/>
  <c r="O5096" i="1"/>
  <c r="M5096" i="1"/>
  <c r="N5096" i="1" s="1"/>
  <c r="Q5095" i="1"/>
  <c r="P5095" i="1"/>
  <c r="O5095" i="1"/>
  <c r="M5095" i="1"/>
  <c r="N5095" i="1" s="1"/>
  <c r="O5094" i="1"/>
  <c r="N5094" i="1"/>
  <c r="M5094" i="1"/>
  <c r="Q5093" i="1"/>
  <c r="O5093" i="1"/>
  <c r="M5093" i="1"/>
  <c r="N5093" i="1" s="1"/>
  <c r="P5093" i="1" s="1"/>
  <c r="O5092" i="1"/>
  <c r="N5092" i="1"/>
  <c r="M5092" i="1"/>
  <c r="O5091" i="1"/>
  <c r="N5091" i="1"/>
  <c r="M5091" i="1"/>
  <c r="O5090" i="1"/>
  <c r="N5090" i="1"/>
  <c r="Q5090" i="1" s="1"/>
  <c r="M5090" i="1"/>
  <c r="Q5089" i="1"/>
  <c r="O5089" i="1"/>
  <c r="N5089" i="1"/>
  <c r="P5089" i="1" s="1"/>
  <c r="M5089" i="1"/>
  <c r="O5088" i="1"/>
  <c r="N5088" i="1"/>
  <c r="M5088" i="1"/>
  <c r="O5087" i="1"/>
  <c r="M5087" i="1"/>
  <c r="N5087" i="1" s="1"/>
  <c r="P5087" i="1" s="1"/>
  <c r="O5086" i="1"/>
  <c r="N5086" i="1"/>
  <c r="M5086" i="1"/>
  <c r="O5085" i="1"/>
  <c r="M5085" i="1"/>
  <c r="N5085" i="1" s="1"/>
  <c r="Q5084" i="1"/>
  <c r="P5084" i="1"/>
  <c r="O5084" i="1"/>
  <c r="N5084" i="1"/>
  <c r="M5084" i="1"/>
  <c r="Q5083" i="1"/>
  <c r="O5083" i="1"/>
  <c r="P5083" i="1" s="1"/>
  <c r="N5083" i="1"/>
  <c r="M5083" i="1"/>
  <c r="Q5082" i="1"/>
  <c r="P5082" i="1"/>
  <c r="O5082" i="1"/>
  <c r="M5082" i="1"/>
  <c r="N5082" i="1" s="1"/>
  <c r="O5081" i="1"/>
  <c r="M5081" i="1"/>
  <c r="N5081" i="1" s="1"/>
  <c r="Q5081" i="1" s="1"/>
  <c r="Q5080" i="1"/>
  <c r="P5080" i="1"/>
  <c r="O5080" i="1"/>
  <c r="M5080" i="1"/>
  <c r="N5080" i="1" s="1"/>
  <c r="Q5079" i="1"/>
  <c r="O5079" i="1"/>
  <c r="P5079" i="1" s="1"/>
  <c r="M5079" i="1"/>
  <c r="N5079" i="1" s="1"/>
  <c r="P5078" i="1"/>
  <c r="O5078" i="1"/>
  <c r="N5078" i="1"/>
  <c r="Q5078" i="1" s="1"/>
  <c r="M5078" i="1"/>
  <c r="Q5077" i="1"/>
  <c r="O5077" i="1"/>
  <c r="N5077" i="1"/>
  <c r="M5077" i="1"/>
  <c r="Q5076" i="1"/>
  <c r="O5076" i="1"/>
  <c r="N5076" i="1"/>
  <c r="M5076" i="1"/>
  <c r="O5075" i="1"/>
  <c r="M5075" i="1"/>
  <c r="N5075" i="1" s="1"/>
  <c r="O5074" i="1"/>
  <c r="M5074" i="1"/>
  <c r="N5074" i="1" s="1"/>
  <c r="Q5074" i="1" s="1"/>
  <c r="O5073" i="1"/>
  <c r="M5073" i="1"/>
  <c r="N5073" i="1" s="1"/>
  <c r="O5072" i="1"/>
  <c r="M5072" i="1"/>
  <c r="N5072" i="1" s="1"/>
  <c r="Q5071" i="1"/>
  <c r="O5071" i="1"/>
  <c r="M5071" i="1"/>
  <c r="N5071" i="1" s="1"/>
  <c r="O5070" i="1"/>
  <c r="M5070" i="1"/>
  <c r="N5070" i="1" s="1"/>
  <c r="O5069" i="1"/>
  <c r="M5069" i="1"/>
  <c r="N5069" i="1" s="1"/>
  <c r="O5068" i="1"/>
  <c r="M5068" i="1"/>
  <c r="N5068" i="1" s="1"/>
  <c r="Q5068" i="1" s="1"/>
  <c r="Q5067" i="1"/>
  <c r="O5067" i="1"/>
  <c r="P5067" i="1" s="1"/>
  <c r="N5067" i="1"/>
  <c r="M5067" i="1"/>
  <c r="Q5066" i="1"/>
  <c r="P5066" i="1"/>
  <c r="O5066" i="1"/>
  <c r="M5066" i="1"/>
  <c r="N5066" i="1" s="1"/>
  <c r="P5065" i="1"/>
  <c r="O5065" i="1"/>
  <c r="N5065" i="1"/>
  <c r="Q5065" i="1" s="1"/>
  <c r="M5065" i="1"/>
  <c r="O5064" i="1"/>
  <c r="M5064" i="1"/>
  <c r="N5064" i="1" s="1"/>
  <c r="O5063" i="1"/>
  <c r="M5063" i="1"/>
  <c r="N5063" i="1" s="1"/>
  <c r="P5062" i="1"/>
  <c r="O5062" i="1"/>
  <c r="N5062" i="1"/>
  <c r="Q5062" i="1" s="1"/>
  <c r="M5062" i="1"/>
  <c r="O5061" i="1"/>
  <c r="N5061" i="1"/>
  <c r="M5061" i="1"/>
  <c r="Q5060" i="1"/>
  <c r="O5060" i="1"/>
  <c r="P5060" i="1" s="1"/>
  <c r="N5060" i="1"/>
  <c r="M5060" i="1"/>
  <c r="O5059" i="1"/>
  <c r="M5059" i="1"/>
  <c r="N5059" i="1" s="1"/>
  <c r="O5058" i="1"/>
  <c r="P5058" i="1" s="1"/>
  <c r="M5058" i="1"/>
  <c r="N5058" i="1" s="1"/>
  <c r="Q5058" i="1" s="1"/>
  <c r="Q5057" i="1"/>
  <c r="P5057" i="1"/>
  <c r="O5057" i="1"/>
  <c r="M5057" i="1"/>
  <c r="N5057" i="1" s="1"/>
  <c r="O5056" i="1"/>
  <c r="N5056" i="1"/>
  <c r="M5056" i="1"/>
  <c r="O5055" i="1"/>
  <c r="M5055" i="1"/>
  <c r="N5055" i="1" s="1"/>
  <c r="O5054" i="1"/>
  <c r="N5054" i="1"/>
  <c r="P5054" i="1" s="1"/>
  <c r="M5054" i="1"/>
  <c r="Q5053" i="1"/>
  <c r="O5053" i="1"/>
  <c r="M5053" i="1"/>
  <c r="N5053" i="1" s="1"/>
  <c r="P5053" i="1" s="1"/>
  <c r="Q5052" i="1"/>
  <c r="O5052" i="1"/>
  <c r="N5052" i="1"/>
  <c r="P5052" i="1" s="1"/>
  <c r="M5052" i="1"/>
  <c r="O5051" i="1"/>
  <c r="M5051" i="1"/>
  <c r="N5051" i="1" s="1"/>
  <c r="O5050" i="1"/>
  <c r="M5050" i="1"/>
  <c r="N5050" i="1" s="1"/>
  <c r="Q5049" i="1"/>
  <c r="O5049" i="1"/>
  <c r="P5049" i="1" s="1"/>
  <c r="N5049" i="1"/>
  <c r="M5049" i="1"/>
  <c r="Q5048" i="1"/>
  <c r="O5048" i="1"/>
  <c r="N5048" i="1"/>
  <c r="P5048" i="1" s="1"/>
  <c r="M5048" i="1"/>
  <c r="O5047" i="1"/>
  <c r="M5047" i="1"/>
  <c r="N5047" i="1" s="1"/>
  <c r="Q5047" i="1" s="1"/>
  <c r="O5046" i="1"/>
  <c r="P5046" i="1" s="1"/>
  <c r="N5046" i="1"/>
  <c r="Q5046" i="1" s="1"/>
  <c r="M5046" i="1"/>
  <c r="O5045" i="1"/>
  <c r="N5045" i="1"/>
  <c r="M5045" i="1"/>
  <c r="P5044" i="1"/>
  <c r="O5044" i="1"/>
  <c r="N5044" i="1"/>
  <c r="Q5044" i="1" s="1"/>
  <c r="M5044" i="1"/>
  <c r="O5043" i="1"/>
  <c r="M5043" i="1"/>
  <c r="N5043" i="1" s="1"/>
  <c r="Q5042" i="1"/>
  <c r="O5042" i="1"/>
  <c r="P5042" i="1" s="1"/>
  <c r="N5042" i="1"/>
  <c r="M5042" i="1"/>
  <c r="O5041" i="1"/>
  <c r="N5041" i="1"/>
  <c r="Q5041" i="1" s="1"/>
  <c r="M5041" i="1"/>
  <c r="O5040" i="1"/>
  <c r="N5040" i="1"/>
  <c r="M5040" i="1"/>
  <c r="O5039" i="1"/>
  <c r="N5039" i="1"/>
  <c r="M5039" i="1"/>
  <c r="O5038" i="1"/>
  <c r="M5038" i="1"/>
  <c r="N5038" i="1" s="1"/>
  <c r="Q5038" i="1" s="1"/>
  <c r="O5037" i="1"/>
  <c r="M5037" i="1"/>
  <c r="N5037" i="1" s="1"/>
  <c r="P5036" i="1"/>
  <c r="O5036" i="1"/>
  <c r="N5036" i="1"/>
  <c r="Q5036" i="1" s="1"/>
  <c r="M5036" i="1"/>
  <c r="Q5035" i="1"/>
  <c r="O5035" i="1"/>
  <c r="N5035" i="1"/>
  <c r="P5035" i="1" s="1"/>
  <c r="M5035" i="1"/>
  <c r="O5034" i="1"/>
  <c r="M5034" i="1"/>
  <c r="N5034" i="1" s="1"/>
  <c r="O5033" i="1"/>
  <c r="N5033" i="1"/>
  <c r="M5033" i="1"/>
  <c r="Q5032" i="1"/>
  <c r="O5032" i="1"/>
  <c r="P5032" i="1" s="1"/>
  <c r="N5032" i="1"/>
  <c r="M5032" i="1"/>
  <c r="Q5031" i="1"/>
  <c r="P5031" i="1"/>
  <c r="O5031" i="1"/>
  <c r="M5031" i="1"/>
  <c r="N5031" i="1" s="1"/>
  <c r="O5030" i="1"/>
  <c r="N5030" i="1"/>
  <c r="P5030" i="1" s="1"/>
  <c r="M5030" i="1"/>
  <c r="O5029" i="1"/>
  <c r="M5029" i="1"/>
  <c r="N5029" i="1" s="1"/>
  <c r="Q5028" i="1"/>
  <c r="P5028" i="1"/>
  <c r="O5028" i="1"/>
  <c r="N5028" i="1"/>
  <c r="M5028" i="1"/>
  <c r="O5027" i="1"/>
  <c r="N5027" i="1"/>
  <c r="M5027" i="1"/>
  <c r="O5026" i="1"/>
  <c r="N5026" i="1"/>
  <c r="Q5026" i="1" s="1"/>
  <c r="M5026" i="1"/>
  <c r="O5025" i="1"/>
  <c r="M5025" i="1"/>
  <c r="N5025" i="1" s="1"/>
  <c r="O5024" i="1"/>
  <c r="N5024" i="1"/>
  <c r="M5024" i="1"/>
  <c r="O5023" i="1"/>
  <c r="N5023" i="1"/>
  <c r="M5023" i="1"/>
  <c r="O5022" i="1"/>
  <c r="M5022" i="1"/>
  <c r="N5022" i="1" s="1"/>
  <c r="Q5021" i="1"/>
  <c r="O5021" i="1"/>
  <c r="N5021" i="1"/>
  <c r="P5021" i="1" s="1"/>
  <c r="M5021" i="1"/>
  <c r="O5020" i="1"/>
  <c r="N5020" i="1"/>
  <c r="M5020" i="1"/>
  <c r="O5019" i="1"/>
  <c r="N5019" i="1"/>
  <c r="M5019" i="1"/>
  <c r="Q5018" i="1"/>
  <c r="O5018" i="1"/>
  <c r="M5018" i="1"/>
  <c r="N5018" i="1" s="1"/>
  <c r="P5018" i="1" s="1"/>
  <c r="Q5017" i="1"/>
  <c r="P5017" i="1"/>
  <c r="O5017" i="1"/>
  <c r="M5017" i="1"/>
  <c r="N5017" i="1" s="1"/>
  <c r="Q5016" i="1"/>
  <c r="P5016" i="1"/>
  <c r="O5016" i="1"/>
  <c r="N5016" i="1"/>
  <c r="M5016" i="1"/>
  <c r="O5015" i="1"/>
  <c r="M5015" i="1"/>
  <c r="N5015" i="1" s="1"/>
  <c r="P5014" i="1"/>
  <c r="O5014" i="1"/>
  <c r="N5014" i="1"/>
  <c r="Q5014" i="1" s="1"/>
  <c r="M5014" i="1"/>
  <c r="O5013" i="1"/>
  <c r="M5013" i="1"/>
  <c r="N5013" i="1" s="1"/>
  <c r="Q5012" i="1"/>
  <c r="P5012" i="1"/>
  <c r="O5012" i="1"/>
  <c r="N5012" i="1"/>
  <c r="M5012" i="1"/>
  <c r="O5011" i="1"/>
  <c r="M5011" i="1"/>
  <c r="N5011" i="1" s="1"/>
  <c r="O5010" i="1"/>
  <c r="M5010" i="1"/>
  <c r="N5010" i="1" s="1"/>
  <c r="O5009" i="1"/>
  <c r="N5009" i="1"/>
  <c r="M5009" i="1"/>
  <c r="O5008" i="1"/>
  <c r="M5008" i="1"/>
  <c r="N5008" i="1" s="1"/>
  <c r="P5007" i="1"/>
  <c r="O5007" i="1"/>
  <c r="N5007" i="1"/>
  <c r="Q5007" i="1" s="1"/>
  <c r="M5007" i="1"/>
  <c r="P5006" i="1"/>
  <c r="O5006" i="1"/>
  <c r="N5006" i="1"/>
  <c r="Q5006" i="1" s="1"/>
  <c r="M5006" i="1"/>
  <c r="O5005" i="1"/>
  <c r="N5005" i="1"/>
  <c r="P5005" i="1" s="1"/>
  <c r="M5005" i="1"/>
  <c r="P5004" i="1"/>
  <c r="O5004" i="1"/>
  <c r="N5004" i="1"/>
  <c r="Q5004" i="1" s="1"/>
  <c r="M5004" i="1"/>
  <c r="O5003" i="1"/>
  <c r="N5003" i="1"/>
  <c r="M5003" i="1"/>
  <c r="O5002" i="1"/>
  <c r="M5002" i="1"/>
  <c r="N5002" i="1" s="1"/>
  <c r="Q5002" i="1" s="1"/>
  <c r="Q5001" i="1"/>
  <c r="O5001" i="1"/>
  <c r="M5001" i="1"/>
  <c r="N5001" i="1" s="1"/>
  <c r="P5001" i="1" s="1"/>
  <c r="Q5000" i="1"/>
  <c r="P5000" i="1"/>
  <c r="O5000" i="1"/>
  <c r="N5000" i="1"/>
  <c r="M5000" i="1"/>
  <c r="O4999" i="1"/>
  <c r="M4999" i="1"/>
  <c r="N4999" i="1" s="1"/>
  <c r="O4998" i="1"/>
  <c r="M4998" i="1"/>
  <c r="N4998" i="1" s="1"/>
  <c r="P4997" i="1"/>
  <c r="O4997" i="1"/>
  <c r="M4997" i="1"/>
  <c r="N4997" i="1" s="1"/>
  <c r="Q4997" i="1" s="1"/>
  <c r="O4996" i="1"/>
  <c r="N4996" i="1"/>
  <c r="M4996" i="1"/>
  <c r="O4995" i="1"/>
  <c r="N4995" i="1"/>
  <c r="M4995" i="1"/>
  <c r="P4994" i="1"/>
  <c r="O4994" i="1"/>
  <c r="N4994" i="1"/>
  <c r="Q4994" i="1" s="1"/>
  <c r="M4994" i="1"/>
  <c r="Q4993" i="1"/>
  <c r="P4993" i="1"/>
  <c r="O4993" i="1"/>
  <c r="M4993" i="1"/>
  <c r="N4993" i="1" s="1"/>
  <c r="O4992" i="1"/>
  <c r="M4992" i="1"/>
  <c r="N4992" i="1" s="1"/>
  <c r="O4991" i="1"/>
  <c r="P4991" i="1" s="1"/>
  <c r="M4991" i="1"/>
  <c r="N4991" i="1" s="1"/>
  <c r="Q4991" i="1" s="1"/>
  <c r="O4990" i="1"/>
  <c r="M4990" i="1"/>
  <c r="N4990" i="1" s="1"/>
  <c r="O4989" i="1"/>
  <c r="N4989" i="1"/>
  <c r="M4989" i="1"/>
  <c r="O4988" i="1"/>
  <c r="N4988" i="1"/>
  <c r="M4988" i="1"/>
  <c r="O4987" i="1"/>
  <c r="N4987" i="1"/>
  <c r="P4987" i="1" s="1"/>
  <c r="M4987" i="1"/>
  <c r="Q4986" i="1"/>
  <c r="P4986" i="1"/>
  <c r="O4986" i="1"/>
  <c r="M4986" i="1"/>
  <c r="N4986" i="1" s="1"/>
  <c r="O4985" i="1"/>
  <c r="M4985" i="1"/>
  <c r="N4985" i="1" s="1"/>
  <c r="Q4985" i="1" s="1"/>
  <c r="Q4984" i="1"/>
  <c r="P4984" i="1"/>
  <c r="O4984" i="1"/>
  <c r="M4984" i="1"/>
  <c r="N4984" i="1" s="1"/>
  <c r="Q4983" i="1"/>
  <c r="P4983" i="1"/>
  <c r="O4983" i="1"/>
  <c r="M4983" i="1"/>
  <c r="N4983" i="1" s="1"/>
  <c r="O4982" i="1"/>
  <c r="N4982" i="1"/>
  <c r="M4982" i="1"/>
  <c r="O4981" i="1"/>
  <c r="N4981" i="1"/>
  <c r="P4981" i="1" s="1"/>
  <c r="M4981" i="1"/>
  <c r="Q4980" i="1"/>
  <c r="P4980" i="1"/>
  <c r="O4980" i="1"/>
  <c r="N4980" i="1"/>
  <c r="M4980" i="1"/>
  <c r="P4979" i="1"/>
  <c r="O4979" i="1"/>
  <c r="M4979" i="1"/>
  <c r="N4979" i="1" s="1"/>
  <c r="Q4979" i="1" s="1"/>
  <c r="Q4978" i="1"/>
  <c r="O4978" i="1"/>
  <c r="P4978" i="1" s="1"/>
  <c r="N4978" i="1"/>
  <c r="M4978" i="1"/>
  <c r="O4977" i="1"/>
  <c r="M4977" i="1"/>
  <c r="N4977" i="1" s="1"/>
  <c r="O4976" i="1"/>
  <c r="M4976" i="1"/>
  <c r="N4976" i="1" s="1"/>
  <c r="O4975" i="1"/>
  <c r="N4975" i="1"/>
  <c r="M4975" i="1"/>
  <c r="O4974" i="1"/>
  <c r="N4974" i="1"/>
  <c r="M4974" i="1"/>
  <c r="O4973" i="1"/>
  <c r="N4973" i="1"/>
  <c r="M4973" i="1"/>
  <c r="Q4972" i="1"/>
  <c r="O4972" i="1"/>
  <c r="M4972" i="1"/>
  <c r="N4972" i="1" s="1"/>
  <c r="P4972" i="1" s="1"/>
  <c r="O4971" i="1"/>
  <c r="N4971" i="1"/>
  <c r="P4971" i="1" s="1"/>
  <c r="M4971" i="1"/>
  <c r="O4970" i="1"/>
  <c r="M4970" i="1"/>
  <c r="N4970" i="1" s="1"/>
  <c r="P4970" i="1" s="1"/>
  <c r="P4969" i="1"/>
  <c r="O4969" i="1"/>
  <c r="N4969" i="1"/>
  <c r="Q4969" i="1" s="1"/>
  <c r="M4969" i="1"/>
  <c r="P4968" i="1"/>
  <c r="O4968" i="1"/>
  <c r="N4968" i="1"/>
  <c r="Q4968" i="1" s="1"/>
  <c r="M4968" i="1"/>
  <c r="O4967" i="1"/>
  <c r="M4967" i="1"/>
  <c r="N4967" i="1" s="1"/>
  <c r="Q4967" i="1" s="1"/>
  <c r="Q4966" i="1"/>
  <c r="O4966" i="1"/>
  <c r="M4966" i="1"/>
  <c r="N4966" i="1" s="1"/>
  <c r="P4966" i="1" s="1"/>
  <c r="O4965" i="1"/>
  <c r="M4965" i="1"/>
  <c r="N4965" i="1" s="1"/>
  <c r="Q4964" i="1"/>
  <c r="P4964" i="1"/>
  <c r="O4964" i="1"/>
  <c r="N4964" i="1"/>
  <c r="M4964" i="1"/>
  <c r="O4963" i="1"/>
  <c r="N4963" i="1"/>
  <c r="M4963" i="1"/>
  <c r="Q4962" i="1"/>
  <c r="P4962" i="1"/>
  <c r="O4962" i="1"/>
  <c r="N4962" i="1"/>
  <c r="M4962" i="1"/>
  <c r="O4961" i="1"/>
  <c r="N4961" i="1"/>
  <c r="M4961" i="1"/>
  <c r="O4960" i="1"/>
  <c r="M4960" i="1"/>
  <c r="N4960" i="1" s="1"/>
  <c r="O4959" i="1"/>
  <c r="N4959" i="1"/>
  <c r="M4959" i="1"/>
  <c r="Q4958" i="1"/>
  <c r="O4958" i="1"/>
  <c r="N4958" i="1"/>
  <c r="P4958" i="1" s="1"/>
  <c r="M4958" i="1"/>
  <c r="O4957" i="1"/>
  <c r="M4957" i="1"/>
  <c r="N4957" i="1" s="1"/>
  <c r="O4956" i="1"/>
  <c r="N4956" i="1"/>
  <c r="Q4956" i="1" s="1"/>
  <c r="M4956" i="1"/>
  <c r="Q4955" i="1"/>
  <c r="P4955" i="1"/>
  <c r="O4955" i="1"/>
  <c r="N4955" i="1"/>
  <c r="M4955" i="1"/>
  <c r="Q4954" i="1"/>
  <c r="O4954" i="1"/>
  <c r="M4954" i="1"/>
  <c r="N4954" i="1" s="1"/>
  <c r="P4954" i="1" s="1"/>
  <c r="O4953" i="1"/>
  <c r="N4953" i="1"/>
  <c r="Q4953" i="1" s="1"/>
  <c r="M4953" i="1"/>
  <c r="O4952" i="1"/>
  <c r="N4952" i="1"/>
  <c r="Q4952" i="1" s="1"/>
  <c r="M4952" i="1"/>
  <c r="O4951" i="1"/>
  <c r="M4951" i="1"/>
  <c r="N4951" i="1" s="1"/>
  <c r="O4950" i="1"/>
  <c r="N4950" i="1"/>
  <c r="M4950" i="1"/>
  <c r="O4949" i="1"/>
  <c r="N4949" i="1"/>
  <c r="M4949" i="1"/>
  <c r="Q4948" i="1"/>
  <c r="P4948" i="1"/>
  <c r="O4948" i="1"/>
  <c r="N4948" i="1"/>
  <c r="M4948" i="1"/>
  <c r="O4947" i="1"/>
  <c r="M4947" i="1"/>
  <c r="N4947" i="1" s="1"/>
  <c r="O4946" i="1"/>
  <c r="M4946" i="1"/>
  <c r="N4946" i="1" s="1"/>
  <c r="Q4945" i="1"/>
  <c r="O4945" i="1"/>
  <c r="P4945" i="1" s="1"/>
  <c r="N4945" i="1"/>
  <c r="M4945" i="1"/>
  <c r="O4944" i="1"/>
  <c r="N4944" i="1"/>
  <c r="M4944" i="1"/>
  <c r="O4943" i="1"/>
  <c r="N4943" i="1"/>
  <c r="P4943" i="1" s="1"/>
  <c r="M4943" i="1"/>
  <c r="O4942" i="1"/>
  <c r="M4942" i="1"/>
  <c r="N4942" i="1" s="1"/>
  <c r="O4941" i="1"/>
  <c r="N4941" i="1"/>
  <c r="M4941" i="1"/>
  <c r="Q4940" i="1"/>
  <c r="O4940" i="1"/>
  <c r="P4940" i="1" s="1"/>
  <c r="M4940" i="1"/>
  <c r="N4940" i="1" s="1"/>
  <c r="Q4939" i="1"/>
  <c r="P4939" i="1"/>
  <c r="O4939" i="1"/>
  <c r="M4939" i="1"/>
  <c r="N4939" i="1" s="1"/>
  <c r="Q4938" i="1"/>
  <c r="P4938" i="1"/>
  <c r="O4938" i="1"/>
  <c r="M4938" i="1"/>
  <c r="N4938" i="1" s="1"/>
  <c r="O4937" i="1"/>
  <c r="M4937" i="1"/>
  <c r="N4937" i="1" s="1"/>
  <c r="O4936" i="1"/>
  <c r="N4936" i="1"/>
  <c r="M4936" i="1"/>
  <c r="O4935" i="1"/>
  <c r="M4935" i="1"/>
  <c r="N4935" i="1" s="1"/>
  <c r="P4935" i="1" s="1"/>
  <c r="Q4934" i="1"/>
  <c r="O4934" i="1"/>
  <c r="M4934" i="1"/>
  <c r="N4934" i="1" s="1"/>
  <c r="P4934" i="1" s="1"/>
  <c r="Q4933" i="1"/>
  <c r="P4933" i="1"/>
  <c r="O4933" i="1"/>
  <c r="N4933" i="1"/>
  <c r="M4933" i="1"/>
  <c r="Q4932" i="1"/>
  <c r="O4932" i="1"/>
  <c r="P4932" i="1" s="1"/>
  <c r="N4932" i="1"/>
  <c r="M4932" i="1"/>
  <c r="O4931" i="1"/>
  <c r="M4931" i="1"/>
  <c r="N4931" i="1" s="1"/>
  <c r="O4930" i="1"/>
  <c r="M4930" i="1"/>
  <c r="N4930" i="1" s="1"/>
  <c r="P4929" i="1"/>
  <c r="O4929" i="1"/>
  <c r="M4929" i="1"/>
  <c r="N4929" i="1" s="1"/>
  <c r="Q4929" i="1" s="1"/>
  <c r="O4928" i="1"/>
  <c r="N4928" i="1"/>
  <c r="M4928" i="1"/>
  <c r="O4927" i="1"/>
  <c r="M4927" i="1"/>
  <c r="N4927" i="1" s="1"/>
  <c r="P4926" i="1"/>
  <c r="O4926" i="1"/>
  <c r="M4926" i="1"/>
  <c r="N4926" i="1" s="1"/>
  <c r="Q4926" i="1" s="1"/>
  <c r="Q4925" i="1"/>
  <c r="O4925" i="1"/>
  <c r="N4925" i="1"/>
  <c r="P4925" i="1" s="1"/>
  <c r="M4925" i="1"/>
  <c r="O4924" i="1"/>
  <c r="M4924" i="1"/>
  <c r="N4924" i="1" s="1"/>
  <c r="P4923" i="1"/>
  <c r="O4923" i="1"/>
  <c r="M4923" i="1"/>
  <c r="N4923" i="1" s="1"/>
  <c r="Q4923" i="1" s="1"/>
  <c r="O4922" i="1"/>
  <c r="M4922" i="1"/>
  <c r="N4922" i="1" s="1"/>
  <c r="Q4922" i="1" s="1"/>
  <c r="O4921" i="1"/>
  <c r="N4921" i="1"/>
  <c r="Q4921" i="1" s="1"/>
  <c r="M4921" i="1"/>
  <c r="O4920" i="1"/>
  <c r="N4920" i="1"/>
  <c r="M4920" i="1"/>
  <c r="O4919" i="1"/>
  <c r="P4919" i="1" s="1"/>
  <c r="M4919" i="1"/>
  <c r="N4919" i="1" s="1"/>
  <c r="Q4919" i="1" s="1"/>
  <c r="O4918" i="1"/>
  <c r="N4918" i="1"/>
  <c r="P4918" i="1" s="1"/>
  <c r="M4918" i="1"/>
  <c r="Q4917" i="1"/>
  <c r="O4917" i="1"/>
  <c r="N4917" i="1"/>
  <c r="P4917" i="1" s="1"/>
  <c r="M4917" i="1"/>
  <c r="P4916" i="1"/>
  <c r="O4916" i="1"/>
  <c r="N4916" i="1"/>
  <c r="Q4916" i="1" s="1"/>
  <c r="M4916" i="1"/>
  <c r="P4915" i="1"/>
  <c r="O4915" i="1"/>
  <c r="N4915" i="1"/>
  <c r="Q4915" i="1" s="1"/>
  <c r="M4915" i="1"/>
  <c r="O4914" i="1"/>
  <c r="N4914" i="1"/>
  <c r="Q4914" i="1" s="1"/>
  <c r="M4914" i="1"/>
  <c r="Q4913" i="1"/>
  <c r="P4913" i="1"/>
  <c r="O4913" i="1"/>
  <c r="N4913" i="1"/>
  <c r="M4913" i="1"/>
  <c r="O4912" i="1"/>
  <c r="M4912" i="1"/>
  <c r="N4912" i="1" s="1"/>
  <c r="Q4911" i="1"/>
  <c r="P4911" i="1"/>
  <c r="O4911" i="1"/>
  <c r="N4911" i="1"/>
  <c r="M4911" i="1"/>
  <c r="O4910" i="1"/>
  <c r="M4910" i="1"/>
  <c r="N4910" i="1" s="1"/>
  <c r="Q4909" i="1"/>
  <c r="O4909" i="1"/>
  <c r="M4909" i="1"/>
  <c r="N4909" i="1" s="1"/>
  <c r="P4909" i="1" s="1"/>
  <c r="O4908" i="1"/>
  <c r="N4908" i="1"/>
  <c r="M4908" i="1"/>
  <c r="O4907" i="1"/>
  <c r="N4907" i="1"/>
  <c r="P4907" i="1" s="1"/>
  <c r="M4907" i="1"/>
  <c r="Q4906" i="1"/>
  <c r="P4906" i="1"/>
  <c r="O4906" i="1"/>
  <c r="M4906" i="1"/>
  <c r="N4906" i="1" s="1"/>
  <c r="O4905" i="1"/>
  <c r="M4905" i="1"/>
  <c r="N4905" i="1" s="1"/>
  <c r="O4904" i="1"/>
  <c r="M4904" i="1"/>
  <c r="N4904" i="1" s="1"/>
  <c r="Q4903" i="1"/>
  <c r="O4903" i="1"/>
  <c r="M4903" i="1"/>
  <c r="N4903" i="1" s="1"/>
  <c r="Q4902" i="1"/>
  <c r="P4902" i="1"/>
  <c r="O4902" i="1"/>
  <c r="N4902" i="1"/>
  <c r="M4902" i="1"/>
  <c r="Q4901" i="1"/>
  <c r="O4901" i="1"/>
  <c r="M4901" i="1"/>
  <c r="N4901" i="1" s="1"/>
  <c r="Q4900" i="1"/>
  <c r="P4900" i="1"/>
  <c r="O4900" i="1"/>
  <c r="N4900" i="1"/>
  <c r="M4900" i="1"/>
  <c r="P4899" i="1"/>
  <c r="O4899" i="1"/>
  <c r="N4899" i="1"/>
  <c r="Q4899" i="1" s="1"/>
  <c r="M4899" i="1"/>
  <c r="Q4898" i="1"/>
  <c r="P4898" i="1"/>
  <c r="O4898" i="1"/>
  <c r="N4898" i="1"/>
  <c r="M4898" i="1"/>
  <c r="O4897" i="1"/>
  <c r="M4897" i="1"/>
  <c r="N4897" i="1" s="1"/>
  <c r="O4896" i="1"/>
  <c r="N4896" i="1"/>
  <c r="M4896" i="1"/>
  <c r="P4895" i="1"/>
  <c r="O4895" i="1"/>
  <c r="N4895" i="1"/>
  <c r="Q4895" i="1" s="1"/>
  <c r="M4895" i="1"/>
  <c r="Q4894" i="1"/>
  <c r="O4894" i="1"/>
  <c r="P4894" i="1" s="1"/>
  <c r="M4894" i="1"/>
  <c r="N4894" i="1" s="1"/>
  <c r="O4893" i="1"/>
  <c r="N4893" i="1"/>
  <c r="P4893" i="1" s="1"/>
  <c r="M4893" i="1"/>
  <c r="O4892" i="1"/>
  <c r="N4892" i="1"/>
  <c r="M4892" i="1"/>
  <c r="Q4891" i="1"/>
  <c r="O4891" i="1"/>
  <c r="N4891" i="1"/>
  <c r="P4891" i="1" s="1"/>
  <c r="M4891" i="1"/>
  <c r="P4890" i="1"/>
  <c r="O4890" i="1"/>
  <c r="M4890" i="1"/>
  <c r="N4890" i="1" s="1"/>
  <c r="Q4890" i="1" s="1"/>
  <c r="O4889" i="1"/>
  <c r="M4889" i="1"/>
  <c r="N4889" i="1" s="1"/>
  <c r="O4888" i="1"/>
  <c r="N4888" i="1"/>
  <c r="M4888" i="1"/>
  <c r="O4887" i="1"/>
  <c r="M4887" i="1"/>
  <c r="N4887" i="1" s="1"/>
  <c r="Q4887" i="1" s="1"/>
  <c r="P4886" i="1"/>
  <c r="O4886" i="1"/>
  <c r="M4886" i="1"/>
  <c r="N4886" i="1" s="1"/>
  <c r="Q4886" i="1" s="1"/>
  <c r="O4885" i="1"/>
  <c r="M4885" i="1"/>
  <c r="N4885" i="1" s="1"/>
  <c r="Q4885" i="1" s="1"/>
  <c r="P4884" i="1"/>
  <c r="O4884" i="1"/>
  <c r="N4884" i="1"/>
  <c r="Q4884" i="1" s="1"/>
  <c r="M4884" i="1"/>
  <c r="O4883" i="1"/>
  <c r="N4883" i="1"/>
  <c r="Q4883" i="1" s="1"/>
  <c r="M4883" i="1"/>
  <c r="P4882" i="1"/>
  <c r="O4882" i="1"/>
  <c r="N4882" i="1"/>
  <c r="Q4882" i="1" s="1"/>
  <c r="M4882" i="1"/>
  <c r="O4881" i="1"/>
  <c r="N4881" i="1"/>
  <c r="Q4881" i="1" s="1"/>
  <c r="M4881" i="1"/>
  <c r="O4880" i="1"/>
  <c r="M4880" i="1"/>
  <c r="N4880" i="1" s="1"/>
  <c r="O4879" i="1"/>
  <c r="M4879" i="1"/>
  <c r="N4879" i="1" s="1"/>
  <c r="Q4879" i="1" s="1"/>
  <c r="Q4878" i="1"/>
  <c r="O4878" i="1"/>
  <c r="P4878" i="1" s="1"/>
  <c r="M4878" i="1"/>
  <c r="N4878" i="1" s="1"/>
  <c r="Q4877" i="1"/>
  <c r="O4877" i="1"/>
  <c r="M4877" i="1"/>
  <c r="N4877" i="1" s="1"/>
  <c r="P4877" i="1" s="1"/>
  <c r="O4876" i="1"/>
  <c r="M4876" i="1"/>
  <c r="N4876" i="1" s="1"/>
  <c r="O4875" i="1"/>
  <c r="N4875" i="1"/>
  <c r="M4875" i="1"/>
  <c r="P4874" i="1"/>
  <c r="O4874" i="1"/>
  <c r="M4874" i="1"/>
  <c r="N4874" i="1" s="1"/>
  <c r="Q4874" i="1" s="1"/>
  <c r="P4873" i="1"/>
  <c r="O4873" i="1"/>
  <c r="N4873" i="1"/>
  <c r="Q4873" i="1" s="1"/>
  <c r="M4873" i="1"/>
  <c r="O4872" i="1"/>
  <c r="M4872" i="1"/>
  <c r="N4872" i="1" s="1"/>
  <c r="O4871" i="1"/>
  <c r="M4871" i="1"/>
  <c r="N4871" i="1" s="1"/>
  <c r="O4870" i="1"/>
  <c r="N4870" i="1"/>
  <c r="M4870" i="1"/>
  <c r="Q4869" i="1"/>
  <c r="O4869" i="1"/>
  <c r="N4869" i="1"/>
  <c r="P4869" i="1" s="1"/>
  <c r="M4869" i="1"/>
  <c r="Q4868" i="1"/>
  <c r="P4868" i="1"/>
  <c r="O4868" i="1"/>
  <c r="N4868" i="1"/>
  <c r="M4868" i="1"/>
  <c r="O4867" i="1"/>
  <c r="N4867" i="1"/>
  <c r="M4867" i="1"/>
  <c r="O4866" i="1"/>
  <c r="N4866" i="1"/>
  <c r="M4866" i="1"/>
  <c r="O4865" i="1"/>
  <c r="M4865" i="1"/>
  <c r="N4865" i="1" s="1"/>
  <c r="O4864" i="1"/>
  <c r="M4864" i="1"/>
  <c r="N4864" i="1" s="1"/>
  <c r="Q4863" i="1"/>
  <c r="O4863" i="1"/>
  <c r="P4863" i="1" s="1"/>
  <c r="N4863" i="1"/>
  <c r="M4863" i="1"/>
  <c r="O4862" i="1"/>
  <c r="P4862" i="1" s="1"/>
  <c r="N4862" i="1"/>
  <c r="Q4862" i="1" s="1"/>
  <c r="M4862" i="1"/>
  <c r="O4861" i="1"/>
  <c r="N4861" i="1"/>
  <c r="M4861" i="1"/>
  <c r="O4860" i="1"/>
  <c r="M4860" i="1"/>
  <c r="N4860" i="1" s="1"/>
  <c r="O4859" i="1"/>
  <c r="M4859" i="1"/>
  <c r="N4859" i="1" s="1"/>
  <c r="O4858" i="1"/>
  <c r="M4858" i="1"/>
  <c r="N4858" i="1" s="1"/>
  <c r="O4857" i="1"/>
  <c r="M4857" i="1"/>
  <c r="N4857" i="1" s="1"/>
  <c r="O4856" i="1"/>
  <c r="M4856" i="1"/>
  <c r="N4856" i="1" s="1"/>
  <c r="Q4856" i="1" s="1"/>
  <c r="O4855" i="1"/>
  <c r="M4855" i="1"/>
  <c r="N4855" i="1" s="1"/>
  <c r="Q4855" i="1" s="1"/>
  <c r="O4854" i="1"/>
  <c r="N4854" i="1"/>
  <c r="M4854" i="1"/>
  <c r="O4853" i="1"/>
  <c r="M4853" i="1"/>
  <c r="N4853" i="1" s="1"/>
  <c r="O4852" i="1"/>
  <c r="N4852" i="1"/>
  <c r="Q4852" i="1" s="1"/>
  <c r="M4852" i="1"/>
  <c r="O4851" i="1"/>
  <c r="M4851" i="1"/>
  <c r="N4851" i="1" s="1"/>
  <c r="O4850" i="1"/>
  <c r="M4850" i="1"/>
  <c r="N4850" i="1" s="1"/>
  <c r="Q4850" i="1" s="1"/>
  <c r="O4849" i="1"/>
  <c r="M4849" i="1"/>
  <c r="N4849" i="1" s="1"/>
  <c r="O4848" i="1"/>
  <c r="N4848" i="1"/>
  <c r="M4848" i="1"/>
  <c r="O4847" i="1"/>
  <c r="M4847" i="1"/>
  <c r="N4847" i="1" s="1"/>
  <c r="O4846" i="1"/>
  <c r="M4846" i="1"/>
  <c r="N4846" i="1" s="1"/>
  <c r="Q4846" i="1" s="1"/>
  <c r="O4845" i="1"/>
  <c r="M4845" i="1"/>
  <c r="N4845" i="1" s="1"/>
  <c r="O4844" i="1"/>
  <c r="M4844" i="1"/>
  <c r="N4844" i="1" s="1"/>
  <c r="O4843" i="1"/>
  <c r="M4843" i="1"/>
  <c r="N4843" i="1" s="1"/>
  <c r="P4843" i="1" s="1"/>
  <c r="O4842" i="1"/>
  <c r="M4842" i="1"/>
  <c r="N4842" i="1" s="1"/>
  <c r="Q4842" i="1" s="1"/>
  <c r="O4841" i="1"/>
  <c r="M4841" i="1"/>
  <c r="N4841" i="1" s="1"/>
  <c r="P4841" i="1" s="1"/>
  <c r="Q4840" i="1"/>
  <c r="O4840" i="1"/>
  <c r="M4840" i="1"/>
  <c r="N4840" i="1" s="1"/>
  <c r="O4839" i="1"/>
  <c r="M4839" i="1"/>
  <c r="N4839" i="1" s="1"/>
  <c r="O4838" i="1"/>
  <c r="M4838" i="1"/>
  <c r="N4838" i="1" s="1"/>
  <c r="Q4838" i="1" s="1"/>
  <c r="O4837" i="1"/>
  <c r="N4837" i="1"/>
  <c r="Q4837" i="1" s="1"/>
  <c r="M4837" i="1"/>
  <c r="O4836" i="1"/>
  <c r="M4836" i="1"/>
  <c r="N4836" i="1" s="1"/>
  <c r="Q4836" i="1" s="1"/>
  <c r="O4835" i="1"/>
  <c r="M4835" i="1"/>
  <c r="N4835" i="1" s="1"/>
  <c r="O4834" i="1"/>
  <c r="M4834" i="1"/>
  <c r="N4834" i="1" s="1"/>
  <c r="O4833" i="1"/>
  <c r="M4833" i="1"/>
  <c r="N4833" i="1" s="1"/>
  <c r="O4832" i="1"/>
  <c r="M4832" i="1"/>
  <c r="N4832" i="1" s="1"/>
  <c r="O4831" i="1"/>
  <c r="M4831" i="1"/>
  <c r="N4831" i="1" s="1"/>
  <c r="O4830" i="1"/>
  <c r="N4830" i="1"/>
  <c r="M4830" i="1"/>
  <c r="O4829" i="1"/>
  <c r="N4829" i="1"/>
  <c r="M4829" i="1"/>
  <c r="O4828" i="1"/>
  <c r="M4828" i="1"/>
  <c r="N4828" i="1" s="1"/>
  <c r="P4828" i="1" s="1"/>
  <c r="O4827" i="1"/>
  <c r="M4827" i="1"/>
  <c r="N4827" i="1" s="1"/>
  <c r="Q4826" i="1"/>
  <c r="O4826" i="1"/>
  <c r="M4826" i="1"/>
  <c r="N4826" i="1" s="1"/>
  <c r="O4825" i="1"/>
  <c r="M4825" i="1"/>
  <c r="N4825" i="1" s="1"/>
  <c r="O4824" i="1"/>
  <c r="M4824" i="1"/>
  <c r="N4824" i="1" s="1"/>
  <c r="Q4824" i="1" s="1"/>
  <c r="O4823" i="1"/>
  <c r="M4823" i="1"/>
  <c r="N4823" i="1" s="1"/>
  <c r="O4822" i="1"/>
  <c r="M4822" i="1"/>
  <c r="N4822" i="1" s="1"/>
  <c r="O4821" i="1"/>
  <c r="M4821" i="1"/>
  <c r="N4821" i="1" s="1"/>
  <c r="O4820" i="1"/>
  <c r="N4820" i="1"/>
  <c r="M4820" i="1"/>
  <c r="O4819" i="1"/>
  <c r="M4819" i="1"/>
  <c r="N4819" i="1" s="1"/>
  <c r="Q4819" i="1" s="1"/>
  <c r="O4818" i="1"/>
  <c r="M4818" i="1"/>
  <c r="N4818" i="1" s="1"/>
  <c r="P4817" i="1"/>
  <c r="O4817" i="1"/>
  <c r="M4817" i="1"/>
  <c r="N4817" i="1" s="1"/>
  <c r="Q4817" i="1" s="1"/>
  <c r="O4816" i="1"/>
  <c r="M4816" i="1"/>
  <c r="N4816" i="1" s="1"/>
  <c r="O4815" i="1"/>
  <c r="P4815" i="1" s="1"/>
  <c r="M4815" i="1"/>
  <c r="N4815" i="1" s="1"/>
  <c r="Q4815" i="1" s="1"/>
  <c r="O4814" i="1"/>
  <c r="M4814" i="1"/>
  <c r="N4814" i="1" s="1"/>
  <c r="O4813" i="1"/>
  <c r="N4813" i="1"/>
  <c r="M4813" i="1"/>
  <c r="O4812" i="1"/>
  <c r="N4812" i="1"/>
  <c r="M4812" i="1"/>
  <c r="O4811" i="1"/>
  <c r="M4811" i="1"/>
  <c r="N4811" i="1" s="1"/>
  <c r="Q4811" i="1" s="1"/>
  <c r="O4810" i="1"/>
  <c r="M4810" i="1"/>
  <c r="N4810" i="1" s="1"/>
  <c r="O4809" i="1"/>
  <c r="N4809" i="1"/>
  <c r="Q4809" i="1" s="1"/>
  <c r="M4809" i="1"/>
  <c r="O4808" i="1"/>
  <c r="M4808" i="1"/>
  <c r="N4808" i="1" s="1"/>
  <c r="Q4807" i="1"/>
  <c r="O4807" i="1"/>
  <c r="M4807" i="1"/>
  <c r="N4807" i="1" s="1"/>
  <c r="P4807" i="1" s="1"/>
  <c r="O4806" i="1"/>
  <c r="M4806" i="1"/>
  <c r="N4806" i="1" s="1"/>
  <c r="O4805" i="1"/>
  <c r="M4805" i="1"/>
  <c r="N4805" i="1" s="1"/>
  <c r="P4805" i="1" s="1"/>
  <c r="O4804" i="1"/>
  <c r="N4804" i="1"/>
  <c r="Q4804" i="1" s="1"/>
  <c r="M4804" i="1"/>
  <c r="O4803" i="1"/>
  <c r="M4803" i="1"/>
  <c r="N4803" i="1" s="1"/>
  <c r="O4802" i="1"/>
  <c r="P4802" i="1" s="1"/>
  <c r="M4802" i="1"/>
  <c r="N4802" i="1" s="1"/>
  <c r="Q4802" i="1" s="1"/>
  <c r="O4801" i="1"/>
  <c r="N4801" i="1"/>
  <c r="M4801" i="1"/>
  <c r="O4800" i="1"/>
  <c r="M4800" i="1"/>
  <c r="N4800" i="1" s="1"/>
  <c r="O4799" i="1"/>
  <c r="M4799" i="1"/>
  <c r="N4799" i="1" s="1"/>
  <c r="O4798" i="1"/>
  <c r="N4798" i="1"/>
  <c r="M4798" i="1"/>
  <c r="O4797" i="1"/>
  <c r="N4797" i="1"/>
  <c r="M4797" i="1"/>
  <c r="Q4796" i="1"/>
  <c r="O4796" i="1"/>
  <c r="P4796" i="1" s="1"/>
  <c r="N4796" i="1"/>
  <c r="M4796" i="1"/>
  <c r="Q4795" i="1"/>
  <c r="P4795" i="1"/>
  <c r="O4795" i="1"/>
  <c r="M4795" i="1"/>
  <c r="N4795" i="1" s="1"/>
  <c r="O4794" i="1"/>
  <c r="M4794" i="1"/>
  <c r="N4794" i="1" s="1"/>
  <c r="O4793" i="1"/>
  <c r="M4793" i="1"/>
  <c r="N4793" i="1" s="1"/>
  <c r="O4792" i="1"/>
  <c r="M4792" i="1"/>
  <c r="N4792" i="1" s="1"/>
  <c r="P4791" i="1"/>
  <c r="O4791" i="1"/>
  <c r="M4791" i="1"/>
  <c r="N4791" i="1" s="1"/>
  <c r="Q4791" i="1" s="1"/>
  <c r="Q4790" i="1"/>
  <c r="O4790" i="1"/>
  <c r="N4790" i="1"/>
  <c r="P4790" i="1" s="1"/>
  <c r="M4790" i="1"/>
  <c r="O4789" i="1"/>
  <c r="N4789" i="1"/>
  <c r="M4789" i="1"/>
  <c r="O4788" i="1"/>
  <c r="N4788" i="1"/>
  <c r="M4788" i="1"/>
  <c r="O4787" i="1"/>
  <c r="M4787" i="1"/>
  <c r="N4787" i="1" s="1"/>
  <c r="Q4786" i="1"/>
  <c r="P4786" i="1"/>
  <c r="O4786" i="1"/>
  <c r="N4786" i="1"/>
  <c r="M4786" i="1"/>
  <c r="O4785" i="1"/>
  <c r="N4785" i="1"/>
  <c r="M4785" i="1"/>
  <c r="O4784" i="1"/>
  <c r="N4784" i="1"/>
  <c r="M4784" i="1"/>
  <c r="O4783" i="1"/>
  <c r="M4783" i="1"/>
  <c r="N4783" i="1" s="1"/>
  <c r="Q4782" i="1"/>
  <c r="P4782" i="1"/>
  <c r="O4782" i="1"/>
  <c r="M4782" i="1"/>
  <c r="N4782" i="1" s="1"/>
  <c r="O4781" i="1"/>
  <c r="M4781" i="1"/>
  <c r="N4781" i="1" s="1"/>
  <c r="O4780" i="1"/>
  <c r="N4780" i="1"/>
  <c r="M4780" i="1"/>
  <c r="O4779" i="1"/>
  <c r="M4779" i="1"/>
  <c r="N4779" i="1" s="1"/>
  <c r="Q4778" i="1"/>
  <c r="O4778" i="1"/>
  <c r="M4778" i="1"/>
  <c r="N4778" i="1" s="1"/>
  <c r="P4778" i="1" s="1"/>
  <c r="O4777" i="1"/>
  <c r="M4777" i="1"/>
  <c r="N4777" i="1" s="1"/>
  <c r="O4776" i="1"/>
  <c r="N4776" i="1"/>
  <c r="M4776" i="1"/>
  <c r="O4775" i="1"/>
  <c r="P4775" i="1" s="1"/>
  <c r="M4775" i="1"/>
  <c r="N4775" i="1" s="1"/>
  <c r="Q4775" i="1" s="1"/>
  <c r="O4774" i="1"/>
  <c r="M4774" i="1"/>
  <c r="N4774" i="1" s="1"/>
  <c r="Q4773" i="1"/>
  <c r="O4773" i="1"/>
  <c r="N4773" i="1"/>
  <c r="P4773" i="1" s="1"/>
  <c r="M4773" i="1"/>
  <c r="O4772" i="1"/>
  <c r="N4772" i="1"/>
  <c r="Q4772" i="1" s="1"/>
  <c r="M4772" i="1"/>
  <c r="P4771" i="1"/>
  <c r="O4771" i="1"/>
  <c r="N4771" i="1"/>
  <c r="Q4771" i="1" s="1"/>
  <c r="M4771" i="1"/>
  <c r="O4770" i="1"/>
  <c r="P4770" i="1" s="1"/>
  <c r="N4770" i="1"/>
  <c r="Q4770" i="1" s="1"/>
  <c r="M4770" i="1"/>
  <c r="O4769" i="1"/>
  <c r="M4769" i="1"/>
  <c r="N4769" i="1" s="1"/>
  <c r="O4768" i="1"/>
  <c r="M4768" i="1"/>
  <c r="N4768" i="1" s="1"/>
  <c r="O4767" i="1"/>
  <c r="N4767" i="1"/>
  <c r="P4767" i="1" s="1"/>
  <c r="M4767" i="1"/>
  <c r="P4766" i="1"/>
  <c r="O4766" i="1"/>
  <c r="N4766" i="1"/>
  <c r="Q4766" i="1" s="1"/>
  <c r="M4766" i="1"/>
  <c r="O4765" i="1"/>
  <c r="M4765" i="1"/>
  <c r="N4765" i="1" s="1"/>
  <c r="Q4764" i="1"/>
  <c r="O4764" i="1"/>
  <c r="P4764" i="1" s="1"/>
  <c r="N4764" i="1"/>
  <c r="M4764" i="1"/>
  <c r="O4763" i="1"/>
  <c r="N4763" i="1"/>
  <c r="M4763" i="1"/>
  <c r="Q4762" i="1"/>
  <c r="O4762" i="1"/>
  <c r="M4762" i="1"/>
  <c r="N4762" i="1" s="1"/>
  <c r="P4762" i="1" s="1"/>
  <c r="O4761" i="1"/>
  <c r="N4761" i="1"/>
  <c r="M4761" i="1"/>
  <c r="O4760" i="1"/>
  <c r="M4760" i="1"/>
  <c r="N4760" i="1" s="1"/>
  <c r="P4759" i="1"/>
  <c r="O4759" i="1"/>
  <c r="M4759" i="1"/>
  <c r="N4759" i="1" s="1"/>
  <c r="Q4759" i="1" s="1"/>
  <c r="O4758" i="1"/>
  <c r="N4758" i="1"/>
  <c r="Q4758" i="1" s="1"/>
  <c r="M4758" i="1"/>
  <c r="O4757" i="1"/>
  <c r="M4757" i="1"/>
  <c r="N4757" i="1" s="1"/>
  <c r="Q4757" i="1" s="1"/>
  <c r="Q4756" i="1"/>
  <c r="O4756" i="1"/>
  <c r="N4756" i="1"/>
  <c r="P4756" i="1" s="1"/>
  <c r="M4756" i="1"/>
  <c r="O4755" i="1"/>
  <c r="M4755" i="1"/>
  <c r="N4755" i="1" s="1"/>
  <c r="O4754" i="1"/>
  <c r="N4754" i="1"/>
  <c r="M4754" i="1"/>
  <c r="O4753" i="1"/>
  <c r="M4753" i="1"/>
  <c r="N4753" i="1" s="1"/>
  <c r="Q4753" i="1" s="1"/>
  <c r="O4752" i="1"/>
  <c r="N4752" i="1"/>
  <c r="M4752" i="1"/>
  <c r="O4751" i="1"/>
  <c r="M4751" i="1"/>
  <c r="N4751" i="1" s="1"/>
  <c r="O4750" i="1"/>
  <c r="M4750" i="1"/>
  <c r="N4750" i="1" s="1"/>
  <c r="Q4749" i="1"/>
  <c r="O4749" i="1"/>
  <c r="M4749" i="1"/>
  <c r="N4749" i="1" s="1"/>
  <c r="P4749" i="1" s="1"/>
  <c r="Q4748" i="1"/>
  <c r="P4748" i="1"/>
  <c r="O4748" i="1"/>
  <c r="M4748" i="1"/>
  <c r="N4748" i="1" s="1"/>
  <c r="O4747" i="1"/>
  <c r="M4747" i="1"/>
  <c r="N4747" i="1" s="1"/>
  <c r="O4746" i="1"/>
  <c r="M4746" i="1"/>
  <c r="N4746" i="1" s="1"/>
  <c r="Q4746" i="1" s="1"/>
  <c r="O4745" i="1"/>
  <c r="M4745" i="1"/>
  <c r="N4745" i="1" s="1"/>
  <c r="Q4744" i="1"/>
  <c r="O4744" i="1"/>
  <c r="M4744" i="1"/>
  <c r="N4744" i="1" s="1"/>
  <c r="O4743" i="1"/>
  <c r="M4743" i="1"/>
  <c r="N4743" i="1" s="1"/>
  <c r="Q4743" i="1" s="1"/>
  <c r="Q4742" i="1"/>
  <c r="O4742" i="1"/>
  <c r="N4742" i="1"/>
  <c r="M4742" i="1"/>
  <c r="Q4741" i="1"/>
  <c r="O4741" i="1"/>
  <c r="P4741" i="1" s="1"/>
  <c r="M4741" i="1"/>
  <c r="N4741" i="1" s="1"/>
  <c r="O4740" i="1"/>
  <c r="P4740" i="1" s="1"/>
  <c r="N4740" i="1"/>
  <c r="Q4740" i="1" s="1"/>
  <c r="M4740" i="1"/>
  <c r="O4739" i="1"/>
  <c r="M4739" i="1"/>
  <c r="N4739" i="1" s="1"/>
  <c r="Q4738" i="1"/>
  <c r="O4738" i="1"/>
  <c r="N4738" i="1"/>
  <c r="P4738" i="1" s="1"/>
  <c r="M4738" i="1"/>
  <c r="P4737" i="1"/>
  <c r="O4737" i="1"/>
  <c r="M4737" i="1"/>
  <c r="N4737" i="1" s="1"/>
  <c r="Q4737" i="1" s="1"/>
  <c r="O4736" i="1"/>
  <c r="M4736" i="1"/>
  <c r="N4736" i="1" s="1"/>
  <c r="P4735" i="1"/>
  <c r="O4735" i="1"/>
  <c r="M4735" i="1"/>
  <c r="N4735" i="1" s="1"/>
  <c r="Q4735" i="1" s="1"/>
  <c r="O4734" i="1"/>
  <c r="N4734" i="1"/>
  <c r="M4734" i="1"/>
  <c r="Q4733" i="1"/>
  <c r="O4733" i="1"/>
  <c r="N4733" i="1"/>
  <c r="P4733" i="1" s="1"/>
  <c r="M4733" i="1"/>
  <c r="O4732" i="1"/>
  <c r="M4732" i="1"/>
  <c r="N4732" i="1" s="1"/>
  <c r="Q4732" i="1" s="1"/>
  <c r="P4731" i="1"/>
  <c r="O4731" i="1"/>
  <c r="M4731" i="1"/>
  <c r="N4731" i="1" s="1"/>
  <c r="Q4731" i="1" s="1"/>
  <c r="O4730" i="1"/>
  <c r="N4730" i="1"/>
  <c r="Q4730" i="1" s="1"/>
  <c r="M4730" i="1"/>
  <c r="O4729" i="1"/>
  <c r="N4729" i="1"/>
  <c r="M4729" i="1"/>
  <c r="O4728" i="1"/>
  <c r="M4728" i="1"/>
  <c r="N4728" i="1" s="1"/>
  <c r="Q4727" i="1"/>
  <c r="O4727" i="1"/>
  <c r="N4727" i="1"/>
  <c r="P4727" i="1" s="1"/>
  <c r="M4727" i="1"/>
  <c r="Q4726" i="1"/>
  <c r="O4726" i="1"/>
  <c r="M4726" i="1"/>
  <c r="N4726" i="1" s="1"/>
  <c r="P4726" i="1" s="1"/>
  <c r="Q4725" i="1"/>
  <c r="O4725" i="1"/>
  <c r="N4725" i="1"/>
  <c r="P4725" i="1" s="1"/>
  <c r="M4725" i="1"/>
  <c r="O4724" i="1"/>
  <c r="N4724" i="1"/>
  <c r="M4724" i="1"/>
  <c r="P4723" i="1"/>
  <c r="O4723" i="1"/>
  <c r="M4723" i="1"/>
  <c r="N4723" i="1" s="1"/>
  <c r="Q4723" i="1" s="1"/>
  <c r="Q4722" i="1"/>
  <c r="P4722" i="1"/>
  <c r="O4722" i="1"/>
  <c r="N4722" i="1"/>
  <c r="M4722" i="1"/>
  <c r="O4721" i="1"/>
  <c r="M4721" i="1"/>
  <c r="N4721" i="1" s="1"/>
  <c r="Q4721" i="1" s="1"/>
  <c r="P4720" i="1"/>
  <c r="O4720" i="1"/>
  <c r="N4720" i="1"/>
  <c r="Q4720" i="1" s="1"/>
  <c r="M4720" i="1"/>
  <c r="O4719" i="1"/>
  <c r="M4719" i="1"/>
  <c r="N4719" i="1" s="1"/>
  <c r="O4718" i="1"/>
  <c r="M4718" i="1"/>
  <c r="N4718" i="1" s="1"/>
  <c r="Q4717" i="1"/>
  <c r="O4717" i="1"/>
  <c r="M4717" i="1"/>
  <c r="N4717" i="1" s="1"/>
  <c r="P4717" i="1" s="1"/>
  <c r="O4716" i="1"/>
  <c r="M4716" i="1"/>
  <c r="N4716" i="1" s="1"/>
  <c r="O4715" i="1"/>
  <c r="N4715" i="1"/>
  <c r="M4715" i="1"/>
  <c r="O4714" i="1"/>
  <c r="M4714" i="1"/>
  <c r="N4714" i="1" s="1"/>
  <c r="O4713" i="1"/>
  <c r="M4713" i="1"/>
  <c r="N4713" i="1" s="1"/>
  <c r="O4712" i="1"/>
  <c r="M4712" i="1"/>
  <c r="N4712" i="1" s="1"/>
  <c r="Q4711" i="1"/>
  <c r="O4711" i="1"/>
  <c r="P4711" i="1" s="1"/>
  <c r="N4711" i="1"/>
  <c r="M4711" i="1"/>
  <c r="O4710" i="1"/>
  <c r="N4710" i="1"/>
  <c r="M4710" i="1"/>
  <c r="Q4709" i="1"/>
  <c r="O4709" i="1"/>
  <c r="N4709" i="1"/>
  <c r="P4709" i="1" s="1"/>
  <c r="M4709" i="1"/>
  <c r="O4708" i="1"/>
  <c r="N4708" i="1"/>
  <c r="Q4708" i="1" s="1"/>
  <c r="M4708" i="1"/>
  <c r="Q4707" i="1"/>
  <c r="P4707" i="1"/>
  <c r="O4707" i="1"/>
  <c r="M4707" i="1"/>
  <c r="N4707" i="1" s="1"/>
  <c r="O4706" i="1"/>
  <c r="N4706" i="1"/>
  <c r="M4706" i="1"/>
  <c r="O4705" i="1"/>
  <c r="M4705" i="1"/>
  <c r="N4705" i="1" s="1"/>
  <c r="Q4704" i="1"/>
  <c r="P4704" i="1"/>
  <c r="O4704" i="1"/>
  <c r="N4704" i="1"/>
  <c r="M4704" i="1"/>
  <c r="O4703" i="1"/>
  <c r="M4703" i="1"/>
  <c r="N4703" i="1" s="1"/>
  <c r="Q4702" i="1"/>
  <c r="P4702" i="1"/>
  <c r="O4702" i="1"/>
  <c r="M4702" i="1"/>
  <c r="N4702" i="1" s="1"/>
  <c r="O4701" i="1"/>
  <c r="P4701" i="1" s="1"/>
  <c r="N4701" i="1"/>
  <c r="Q4701" i="1" s="1"/>
  <c r="M4701" i="1"/>
  <c r="O4700" i="1"/>
  <c r="N4700" i="1"/>
  <c r="Q4700" i="1" s="1"/>
  <c r="M4700" i="1"/>
  <c r="O4699" i="1"/>
  <c r="M4699" i="1"/>
  <c r="N4699" i="1" s="1"/>
  <c r="O4698" i="1"/>
  <c r="M4698" i="1"/>
  <c r="N4698" i="1" s="1"/>
  <c r="Q4697" i="1"/>
  <c r="O4697" i="1"/>
  <c r="N4697" i="1"/>
  <c r="M4697" i="1"/>
  <c r="O4696" i="1"/>
  <c r="N4696" i="1"/>
  <c r="M4696" i="1"/>
  <c r="O4695" i="1"/>
  <c r="N4695" i="1"/>
  <c r="Q4695" i="1" s="1"/>
  <c r="M4695" i="1"/>
  <c r="O4694" i="1"/>
  <c r="N4694" i="1"/>
  <c r="M4694" i="1"/>
  <c r="O4693" i="1"/>
  <c r="M4693" i="1"/>
  <c r="N4693" i="1" s="1"/>
  <c r="Q4692" i="1"/>
  <c r="P4692" i="1"/>
  <c r="O4692" i="1"/>
  <c r="N4692" i="1"/>
  <c r="M4692" i="1"/>
  <c r="Q4691" i="1"/>
  <c r="O4691" i="1"/>
  <c r="P4691" i="1" s="1"/>
  <c r="M4691" i="1"/>
  <c r="N4691" i="1" s="1"/>
  <c r="Q4690" i="1"/>
  <c r="P4690" i="1"/>
  <c r="O4690" i="1"/>
  <c r="N4690" i="1"/>
  <c r="M4690" i="1"/>
  <c r="O4689" i="1"/>
  <c r="N4689" i="1"/>
  <c r="M4689" i="1"/>
  <c r="Q4688" i="1"/>
  <c r="P4688" i="1"/>
  <c r="O4688" i="1"/>
  <c r="N4688" i="1"/>
  <c r="M4688" i="1"/>
  <c r="Q4687" i="1"/>
  <c r="O4687" i="1"/>
  <c r="P4687" i="1" s="1"/>
  <c r="M4687" i="1"/>
  <c r="N4687" i="1" s="1"/>
  <c r="O4686" i="1"/>
  <c r="M4686" i="1"/>
  <c r="N4686" i="1" s="1"/>
  <c r="O4685" i="1"/>
  <c r="M4685" i="1"/>
  <c r="N4685" i="1" s="1"/>
  <c r="P4684" i="1"/>
  <c r="O4684" i="1"/>
  <c r="N4684" i="1"/>
  <c r="Q4684" i="1" s="1"/>
  <c r="M4684" i="1"/>
  <c r="P4683" i="1"/>
  <c r="O4683" i="1"/>
  <c r="N4683" i="1"/>
  <c r="Q4683" i="1" s="1"/>
  <c r="M4683" i="1"/>
  <c r="O4682" i="1"/>
  <c r="M4682" i="1"/>
  <c r="N4682" i="1" s="1"/>
  <c r="O4681" i="1"/>
  <c r="M4681" i="1"/>
  <c r="N4681" i="1" s="1"/>
  <c r="P4680" i="1"/>
  <c r="O4680" i="1"/>
  <c r="N4680" i="1"/>
  <c r="Q4680" i="1" s="1"/>
  <c r="M4680" i="1"/>
  <c r="O4679" i="1"/>
  <c r="M4679" i="1"/>
  <c r="N4679" i="1" s="1"/>
  <c r="O4678" i="1"/>
  <c r="M4678" i="1"/>
  <c r="N4678" i="1" s="1"/>
  <c r="O4677" i="1"/>
  <c r="M4677" i="1"/>
  <c r="N4677" i="1" s="1"/>
  <c r="Q4677" i="1" s="1"/>
  <c r="O4676" i="1"/>
  <c r="M4676" i="1"/>
  <c r="N4676" i="1" s="1"/>
  <c r="O4675" i="1"/>
  <c r="M4675" i="1"/>
  <c r="N4675" i="1" s="1"/>
  <c r="Q4675" i="1" s="1"/>
  <c r="O4674" i="1"/>
  <c r="N4674" i="1"/>
  <c r="M4674" i="1"/>
  <c r="O4673" i="1"/>
  <c r="M4673" i="1"/>
  <c r="N4673" i="1" s="1"/>
  <c r="O4672" i="1"/>
  <c r="M4672" i="1"/>
  <c r="N4672" i="1" s="1"/>
  <c r="P4672" i="1" s="1"/>
  <c r="O4671" i="1"/>
  <c r="M4671" i="1"/>
  <c r="N4671" i="1" s="1"/>
  <c r="Q4671" i="1" s="1"/>
  <c r="O4670" i="1"/>
  <c r="M4670" i="1"/>
  <c r="N4670" i="1" s="1"/>
  <c r="O4669" i="1"/>
  <c r="M4669" i="1"/>
  <c r="N4669" i="1" s="1"/>
  <c r="O4668" i="1"/>
  <c r="M4668" i="1"/>
  <c r="N4668" i="1" s="1"/>
  <c r="O4667" i="1"/>
  <c r="M4667" i="1"/>
  <c r="N4667" i="1" s="1"/>
  <c r="Q4667" i="1" s="1"/>
  <c r="O4666" i="1"/>
  <c r="M4666" i="1"/>
  <c r="N4666" i="1" s="1"/>
  <c r="O4665" i="1"/>
  <c r="M4665" i="1"/>
  <c r="N4665" i="1" s="1"/>
  <c r="P4665" i="1" s="1"/>
  <c r="O4664" i="1"/>
  <c r="M4664" i="1"/>
  <c r="N4664" i="1" s="1"/>
  <c r="Q4664" i="1" s="1"/>
  <c r="O4663" i="1"/>
  <c r="M4663" i="1"/>
  <c r="N4663" i="1" s="1"/>
  <c r="Q4663" i="1" s="1"/>
  <c r="O4662" i="1"/>
  <c r="N4662" i="1"/>
  <c r="M4662" i="1"/>
  <c r="O4661" i="1"/>
  <c r="M4661" i="1"/>
  <c r="N4661" i="1" s="1"/>
  <c r="O4660" i="1"/>
  <c r="M4660" i="1"/>
  <c r="N4660" i="1" s="1"/>
  <c r="O4659" i="1"/>
  <c r="M4659" i="1"/>
  <c r="N4659" i="1" s="1"/>
  <c r="Q4659" i="1" s="1"/>
  <c r="O4658" i="1"/>
  <c r="M4658" i="1"/>
  <c r="N4658" i="1" s="1"/>
  <c r="Q4657" i="1"/>
  <c r="O4657" i="1"/>
  <c r="M4657" i="1"/>
  <c r="N4657" i="1" s="1"/>
  <c r="O4656" i="1"/>
  <c r="M4656" i="1"/>
  <c r="N4656" i="1" s="1"/>
  <c r="O4655" i="1"/>
  <c r="M4655" i="1"/>
  <c r="N4655" i="1" s="1"/>
  <c r="Q4655" i="1" s="1"/>
  <c r="O4654" i="1"/>
  <c r="N4654" i="1"/>
  <c r="Q4654" i="1" s="1"/>
  <c r="M4654" i="1"/>
  <c r="O4653" i="1"/>
  <c r="M4653" i="1"/>
  <c r="N4653" i="1" s="1"/>
  <c r="O4652" i="1"/>
  <c r="N4652" i="1"/>
  <c r="Q4652" i="1" s="1"/>
  <c r="M4652" i="1"/>
  <c r="O4651" i="1"/>
  <c r="M4651" i="1"/>
  <c r="N4651" i="1" s="1"/>
  <c r="O4650" i="1"/>
  <c r="M4650" i="1"/>
  <c r="N4650" i="1" s="1"/>
  <c r="Q4650" i="1" s="1"/>
  <c r="O4649" i="1"/>
  <c r="M4649" i="1"/>
  <c r="N4649" i="1" s="1"/>
  <c r="O4648" i="1"/>
  <c r="M4648" i="1"/>
  <c r="N4648" i="1" s="1"/>
  <c r="P4648" i="1" s="1"/>
  <c r="O4647" i="1"/>
  <c r="M4647" i="1"/>
  <c r="N4647" i="1" s="1"/>
  <c r="O4646" i="1"/>
  <c r="M4646" i="1"/>
  <c r="N4646" i="1" s="1"/>
  <c r="Q4646" i="1" s="1"/>
  <c r="P4645" i="1"/>
  <c r="O4645" i="1"/>
  <c r="M4645" i="1"/>
  <c r="N4645" i="1" s="1"/>
  <c r="Q4645" i="1" s="1"/>
  <c r="O4644" i="1"/>
  <c r="N4644" i="1"/>
  <c r="Q4644" i="1" s="1"/>
  <c r="M4644" i="1"/>
  <c r="O4643" i="1"/>
  <c r="M4643" i="1"/>
  <c r="N4643" i="1" s="1"/>
  <c r="Q4642" i="1"/>
  <c r="O4642" i="1"/>
  <c r="M4642" i="1"/>
  <c r="N4642" i="1" s="1"/>
  <c r="Q4641" i="1"/>
  <c r="P4641" i="1"/>
  <c r="O4641" i="1"/>
  <c r="M4641" i="1"/>
  <c r="N4641" i="1" s="1"/>
  <c r="Q4640" i="1"/>
  <c r="O4640" i="1"/>
  <c r="P4640" i="1" s="1"/>
  <c r="N4640" i="1"/>
  <c r="M4640" i="1"/>
  <c r="O4639" i="1"/>
  <c r="M4639" i="1"/>
  <c r="N4639" i="1" s="1"/>
  <c r="Q4639" i="1" s="1"/>
  <c r="O4638" i="1"/>
  <c r="M4638" i="1"/>
  <c r="N4638" i="1" s="1"/>
  <c r="O4637" i="1"/>
  <c r="N4637" i="1"/>
  <c r="Q4637" i="1" s="1"/>
  <c r="M4637" i="1"/>
  <c r="O4636" i="1"/>
  <c r="N4636" i="1"/>
  <c r="Q4636" i="1" s="1"/>
  <c r="M4636" i="1"/>
  <c r="O4635" i="1"/>
  <c r="M4635" i="1"/>
  <c r="N4635" i="1" s="1"/>
  <c r="O4634" i="1"/>
  <c r="N4634" i="1"/>
  <c r="M4634" i="1"/>
  <c r="O4633" i="1"/>
  <c r="N4633" i="1"/>
  <c r="M4633" i="1"/>
  <c r="Q4632" i="1"/>
  <c r="P4632" i="1"/>
  <c r="O4632" i="1"/>
  <c r="N4632" i="1"/>
  <c r="M4632" i="1"/>
  <c r="O4631" i="1"/>
  <c r="M4631" i="1"/>
  <c r="N4631" i="1" s="1"/>
  <c r="O4630" i="1"/>
  <c r="M4630" i="1"/>
  <c r="N4630" i="1" s="1"/>
  <c r="P4629" i="1"/>
  <c r="O4629" i="1"/>
  <c r="N4629" i="1"/>
  <c r="Q4629" i="1" s="1"/>
  <c r="M4629" i="1"/>
  <c r="O4628" i="1"/>
  <c r="N4628" i="1"/>
  <c r="Q4628" i="1" s="1"/>
  <c r="M4628" i="1"/>
  <c r="O4627" i="1"/>
  <c r="M4627" i="1"/>
  <c r="N4627" i="1" s="1"/>
  <c r="Q4627" i="1" s="1"/>
  <c r="O4626" i="1"/>
  <c r="M4626" i="1"/>
  <c r="N4626" i="1" s="1"/>
  <c r="Q4625" i="1"/>
  <c r="P4625" i="1"/>
  <c r="O4625" i="1"/>
  <c r="M4625" i="1"/>
  <c r="N4625" i="1" s="1"/>
  <c r="O4624" i="1"/>
  <c r="N4624" i="1"/>
  <c r="Q4624" i="1" s="1"/>
  <c r="M4624" i="1"/>
  <c r="O4623" i="1"/>
  <c r="M4623" i="1"/>
  <c r="N4623" i="1" s="1"/>
  <c r="P4623" i="1" s="1"/>
  <c r="O4622" i="1"/>
  <c r="M4622" i="1"/>
  <c r="N4622" i="1" s="1"/>
  <c r="O4621" i="1"/>
  <c r="N4621" i="1"/>
  <c r="Q4621" i="1" s="1"/>
  <c r="M4621" i="1"/>
  <c r="O4620" i="1"/>
  <c r="M4620" i="1"/>
  <c r="N4620" i="1" s="1"/>
  <c r="P4619" i="1"/>
  <c r="O4619" i="1"/>
  <c r="M4619" i="1"/>
  <c r="N4619" i="1" s="1"/>
  <c r="Q4619" i="1" s="1"/>
  <c r="O4618" i="1"/>
  <c r="N4618" i="1"/>
  <c r="Q4618" i="1" s="1"/>
  <c r="M4618" i="1"/>
  <c r="O4617" i="1"/>
  <c r="M4617" i="1"/>
  <c r="N4617" i="1" s="1"/>
  <c r="O4616" i="1"/>
  <c r="N4616" i="1"/>
  <c r="Q4616" i="1" s="1"/>
  <c r="M4616" i="1"/>
  <c r="O4615" i="1"/>
  <c r="N4615" i="1"/>
  <c r="M4615" i="1"/>
  <c r="Q4614" i="1"/>
  <c r="P4614" i="1"/>
  <c r="O4614" i="1"/>
  <c r="N4614" i="1"/>
  <c r="M4614" i="1"/>
  <c r="O4613" i="1"/>
  <c r="N4613" i="1"/>
  <c r="M4613" i="1"/>
  <c r="P4612" i="1"/>
  <c r="O4612" i="1"/>
  <c r="M4612" i="1"/>
  <c r="N4612" i="1" s="1"/>
  <c r="Q4612" i="1" s="1"/>
  <c r="O4611" i="1"/>
  <c r="M4611" i="1"/>
  <c r="N4611" i="1" s="1"/>
  <c r="O4610" i="1"/>
  <c r="M4610" i="1"/>
  <c r="N4610" i="1" s="1"/>
  <c r="P4610" i="1" s="1"/>
  <c r="O4609" i="1"/>
  <c r="N4609" i="1"/>
  <c r="M4609" i="1"/>
  <c r="O4608" i="1"/>
  <c r="N4608" i="1"/>
  <c r="M4608" i="1"/>
  <c r="P4607" i="1"/>
  <c r="O4607" i="1"/>
  <c r="N4607" i="1"/>
  <c r="Q4607" i="1" s="1"/>
  <c r="M4607" i="1"/>
  <c r="O4606" i="1"/>
  <c r="M4606" i="1"/>
  <c r="N4606" i="1" s="1"/>
  <c r="O4605" i="1"/>
  <c r="N4605" i="1"/>
  <c r="M4605" i="1"/>
  <c r="O4604" i="1"/>
  <c r="P4604" i="1" s="1"/>
  <c r="N4604" i="1"/>
  <c r="Q4604" i="1" s="1"/>
  <c r="M4604" i="1"/>
  <c r="O4603" i="1"/>
  <c r="N4603" i="1"/>
  <c r="M4603" i="1"/>
  <c r="Q4602" i="1"/>
  <c r="O4602" i="1"/>
  <c r="N4602" i="1"/>
  <c r="P4602" i="1" s="1"/>
  <c r="M4602" i="1"/>
  <c r="O4601" i="1"/>
  <c r="M4601" i="1"/>
  <c r="N4601" i="1" s="1"/>
  <c r="O4600" i="1"/>
  <c r="M4600" i="1"/>
  <c r="N4600" i="1" s="1"/>
  <c r="Q4599" i="1"/>
  <c r="O4599" i="1"/>
  <c r="M4599" i="1"/>
  <c r="N4599" i="1" s="1"/>
  <c r="P4598" i="1"/>
  <c r="O4598" i="1"/>
  <c r="N4598" i="1"/>
  <c r="Q4598" i="1" s="1"/>
  <c r="M4598" i="1"/>
  <c r="O4597" i="1"/>
  <c r="N4597" i="1"/>
  <c r="Q4597" i="1" s="1"/>
  <c r="M4597" i="1"/>
  <c r="O4596" i="1"/>
  <c r="N4596" i="1"/>
  <c r="M4596" i="1"/>
  <c r="O4595" i="1"/>
  <c r="P4595" i="1" s="1"/>
  <c r="M4595" i="1"/>
  <c r="N4595" i="1" s="1"/>
  <c r="Q4595" i="1" s="1"/>
  <c r="Q4594" i="1"/>
  <c r="P4594" i="1"/>
  <c r="O4594" i="1"/>
  <c r="N4594" i="1"/>
  <c r="M4594" i="1"/>
  <c r="O4593" i="1"/>
  <c r="M4593" i="1"/>
  <c r="N4593" i="1" s="1"/>
  <c r="P4592" i="1"/>
  <c r="O4592" i="1"/>
  <c r="N4592" i="1"/>
  <c r="Q4592" i="1" s="1"/>
  <c r="M4592" i="1"/>
  <c r="O4591" i="1"/>
  <c r="N4591" i="1"/>
  <c r="M4591" i="1"/>
  <c r="O4590" i="1"/>
  <c r="N4590" i="1"/>
  <c r="M4590" i="1"/>
  <c r="O4589" i="1"/>
  <c r="N4589" i="1"/>
  <c r="Q4589" i="1" s="1"/>
  <c r="M4589" i="1"/>
  <c r="O4588" i="1"/>
  <c r="N4588" i="1"/>
  <c r="M4588" i="1"/>
  <c r="Q4587" i="1"/>
  <c r="P4587" i="1"/>
  <c r="O4587" i="1"/>
  <c r="N4587" i="1"/>
  <c r="M4587" i="1"/>
  <c r="Q4586" i="1"/>
  <c r="O4586" i="1"/>
  <c r="N4586" i="1"/>
  <c r="P4586" i="1" s="1"/>
  <c r="M4586" i="1"/>
  <c r="O4585" i="1"/>
  <c r="N4585" i="1"/>
  <c r="M4585" i="1"/>
  <c r="Q4584" i="1"/>
  <c r="O4584" i="1"/>
  <c r="P4584" i="1" s="1"/>
  <c r="N4584" i="1"/>
  <c r="M4584" i="1"/>
  <c r="O4583" i="1"/>
  <c r="N4583" i="1"/>
  <c r="M4583" i="1"/>
  <c r="Q4582" i="1"/>
  <c r="O4582" i="1"/>
  <c r="N4582" i="1"/>
  <c r="P4582" i="1" s="1"/>
  <c r="M4582" i="1"/>
  <c r="O4581" i="1"/>
  <c r="N4581" i="1"/>
  <c r="M4581" i="1"/>
  <c r="Q4580" i="1"/>
  <c r="P4580" i="1"/>
  <c r="O4580" i="1"/>
  <c r="M4580" i="1"/>
  <c r="N4580" i="1" s="1"/>
  <c r="Q4579" i="1"/>
  <c r="P4579" i="1"/>
  <c r="O4579" i="1"/>
  <c r="M4579" i="1"/>
  <c r="N4579" i="1" s="1"/>
  <c r="O4578" i="1"/>
  <c r="M4578" i="1"/>
  <c r="N4578" i="1" s="1"/>
  <c r="O4577" i="1"/>
  <c r="N4577" i="1"/>
  <c r="M4577" i="1"/>
  <c r="O4576" i="1"/>
  <c r="N4576" i="1"/>
  <c r="Q4576" i="1" s="1"/>
  <c r="M4576" i="1"/>
  <c r="O4575" i="1"/>
  <c r="N4575" i="1"/>
  <c r="M4575" i="1"/>
  <c r="O4574" i="1"/>
  <c r="M4574" i="1"/>
  <c r="N4574" i="1" s="1"/>
  <c r="O4573" i="1"/>
  <c r="M4573" i="1"/>
  <c r="N4573" i="1" s="1"/>
  <c r="O4572" i="1"/>
  <c r="N4572" i="1"/>
  <c r="M4572" i="1"/>
  <c r="O4571" i="1"/>
  <c r="M4571" i="1"/>
  <c r="N4571" i="1" s="1"/>
  <c r="O4570" i="1"/>
  <c r="N4570" i="1"/>
  <c r="M4570" i="1"/>
  <c r="O4569" i="1"/>
  <c r="N4569" i="1"/>
  <c r="M4569" i="1"/>
  <c r="O4568" i="1"/>
  <c r="N4568" i="1"/>
  <c r="M4568" i="1"/>
  <c r="O4567" i="1"/>
  <c r="M4567" i="1"/>
  <c r="N4567" i="1" s="1"/>
  <c r="Q4567" i="1" s="1"/>
  <c r="O4566" i="1"/>
  <c r="M4566" i="1"/>
  <c r="N4566" i="1" s="1"/>
  <c r="Q4566" i="1" s="1"/>
  <c r="O4565" i="1"/>
  <c r="M4565" i="1"/>
  <c r="N4565" i="1" s="1"/>
  <c r="O4564" i="1"/>
  <c r="M4564" i="1"/>
  <c r="N4564" i="1" s="1"/>
  <c r="Q4563" i="1"/>
  <c r="O4563" i="1"/>
  <c r="M4563" i="1"/>
  <c r="N4563" i="1" s="1"/>
  <c r="P4563" i="1" s="1"/>
  <c r="O4562" i="1"/>
  <c r="N4562" i="1"/>
  <c r="Q4562" i="1" s="1"/>
  <c r="M4562" i="1"/>
  <c r="O4561" i="1"/>
  <c r="N4561" i="1"/>
  <c r="M4561" i="1"/>
  <c r="O4560" i="1"/>
  <c r="N4560" i="1"/>
  <c r="M4560" i="1"/>
  <c r="O4559" i="1"/>
  <c r="M4559" i="1"/>
  <c r="N4559" i="1" s="1"/>
  <c r="P4559" i="1" s="1"/>
  <c r="O4558" i="1"/>
  <c r="M4558" i="1"/>
  <c r="N4558" i="1" s="1"/>
  <c r="O4557" i="1"/>
  <c r="M4557" i="1"/>
  <c r="N4557" i="1" s="1"/>
  <c r="O4556" i="1"/>
  <c r="N4556" i="1"/>
  <c r="M4556" i="1"/>
  <c r="O4555" i="1"/>
  <c r="N4555" i="1"/>
  <c r="M4555" i="1"/>
  <c r="O4554" i="1"/>
  <c r="N4554" i="1"/>
  <c r="M4554" i="1"/>
  <c r="O4553" i="1"/>
  <c r="N4553" i="1"/>
  <c r="M4553" i="1"/>
  <c r="Q4552" i="1"/>
  <c r="P4552" i="1"/>
  <c r="O4552" i="1"/>
  <c r="N4552" i="1"/>
  <c r="M4552" i="1"/>
  <c r="O4551" i="1"/>
  <c r="N4551" i="1"/>
  <c r="P4551" i="1" s="1"/>
  <c r="M4551" i="1"/>
  <c r="O4550" i="1"/>
  <c r="M4550" i="1"/>
  <c r="N4550" i="1" s="1"/>
  <c r="O4549" i="1"/>
  <c r="M4549" i="1"/>
  <c r="N4549" i="1" s="1"/>
  <c r="Q4549" i="1" s="1"/>
  <c r="O4548" i="1"/>
  <c r="N4548" i="1"/>
  <c r="M4548" i="1"/>
  <c r="O4547" i="1"/>
  <c r="M4547" i="1"/>
  <c r="N4547" i="1" s="1"/>
  <c r="Q4547" i="1" s="1"/>
  <c r="O4546" i="1"/>
  <c r="N4546" i="1"/>
  <c r="M4546" i="1"/>
  <c r="O4545" i="1"/>
  <c r="N4545" i="1"/>
  <c r="M4545" i="1"/>
  <c r="O4544" i="1"/>
  <c r="N4544" i="1"/>
  <c r="Q4544" i="1" s="1"/>
  <c r="M4544" i="1"/>
  <c r="O4543" i="1"/>
  <c r="M4543" i="1"/>
  <c r="N4543" i="1" s="1"/>
  <c r="O4542" i="1"/>
  <c r="M4542" i="1"/>
  <c r="N4542" i="1" s="1"/>
  <c r="O4541" i="1"/>
  <c r="M4541" i="1"/>
  <c r="N4541" i="1" s="1"/>
  <c r="Q4541" i="1" s="1"/>
  <c r="O4540" i="1"/>
  <c r="M4540" i="1"/>
  <c r="N4540" i="1" s="1"/>
  <c r="O4539" i="1"/>
  <c r="M4539" i="1"/>
  <c r="N4539" i="1" s="1"/>
  <c r="Q4539" i="1" s="1"/>
  <c r="O4538" i="1"/>
  <c r="M4538" i="1"/>
  <c r="N4538" i="1" s="1"/>
  <c r="Q4537" i="1"/>
  <c r="O4537" i="1"/>
  <c r="M4537" i="1"/>
  <c r="N4537" i="1" s="1"/>
  <c r="P4537" i="1" s="1"/>
  <c r="O4536" i="1"/>
  <c r="N4536" i="1"/>
  <c r="M4536" i="1"/>
  <c r="P4535" i="1"/>
  <c r="O4535" i="1"/>
  <c r="M4535" i="1"/>
  <c r="N4535" i="1" s="1"/>
  <c r="Q4535" i="1" s="1"/>
  <c r="O4534" i="1"/>
  <c r="N4534" i="1"/>
  <c r="Q4534" i="1" s="1"/>
  <c r="M4534" i="1"/>
  <c r="O4533" i="1"/>
  <c r="M4533" i="1"/>
  <c r="N4533" i="1" s="1"/>
  <c r="Q4532" i="1"/>
  <c r="O4532" i="1"/>
  <c r="M4532" i="1"/>
  <c r="N4532" i="1" s="1"/>
  <c r="Q4531" i="1"/>
  <c r="O4531" i="1"/>
  <c r="M4531" i="1"/>
  <c r="N4531" i="1" s="1"/>
  <c r="P4531" i="1" s="1"/>
  <c r="O4530" i="1"/>
  <c r="M4530" i="1"/>
  <c r="N4530" i="1" s="1"/>
  <c r="Q4530" i="1" s="1"/>
  <c r="O4529" i="1"/>
  <c r="M4529" i="1"/>
  <c r="N4529" i="1" s="1"/>
  <c r="O4528" i="1"/>
  <c r="N4528" i="1"/>
  <c r="M4528" i="1"/>
  <c r="Q4527" i="1"/>
  <c r="O4527" i="1"/>
  <c r="M4527" i="1"/>
  <c r="N4527" i="1" s="1"/>
  <c r="P4527" i="1" s="1"/>
  <c r="O4526" i="1"/>
  <c r="N4526" i="1"/>
  <c r="M4526" i="1"/>
  <c r="O4525" i="1"/>
  <c r="M4525" i="1"/>
  <c r="N4525" i="1" s="1"/>
  <c r="P4524" i="1"/>
  <c r="O4524" i="1"/>
  <c r="M4524" i="1"/>
  <c r="N4524" i="1" s="1"/>
  <c r="Q4524" i="1" s="1"/>
  <c r="Q4523" i="1"/>
  <c r="O4523" i="1"/>
  <c r="N4523" i="1"/>
  <c r="P4523" i="1" s="1"/>
  <c r="M4523" i="1"/>
  <c r="O4522" i="1"/>
  <c r="M4522" i="1"/>
  <c r="N4522" i="1" s="1"/>
  <c r="O4521" i="1"/>
  <c r="N4521" i="1"/>
  <c r="M4521" i="1"/>
  <c r="O4520" i="1"/>
  <c r="N4520" i="1"/>
  <c r="M4520" i="1"/>
  <c r="Q4519" i="1"/>
  <c r="O4519" i="1"/>
  <c r="P4519" i="1" s="1"/>
  <c r="M4519" i="1"/>
  <c r="N4519" i="1" s="1"/>
  <c r="O4518" i="1"/>
  <c r="M4518" i="1"/>
  <c r="N4518" i="1" s="1"/>
  <c r="O4517" i="1"/>
  <c r="M4517" i="1"/>
  <c r="N4517" i="1" s="1"/>
  <c r="Q4516" i="1"/>
  <c r="P4516" i="1"/>
  <c r="O4516" i="1"/>
  <c r="N4516" i="1"/>
  <c r="M4516" i="1"/>
  <c r="Q4515" i="1"/>
  <c r="O4515" i="1"/>
  <c r="M4515" i="1"/>
  <c r="N4515" i="1" s="1"/>
  <c r="O4514" i="1"/>
  <c r="M4514" i="1"/>
  <c r="N4514" i="1" s="1"/>
  <c r="O4513" i="1"/>
  <c r="M4513" i="1"/>
  <c r="N4513" i="1" s="1"/>
  <c r="Q4512" i="1"/>
  <c r="O4512" i="1"/>
  <c r="N4512" i="1"/>
  <c r="P4512" i="1" s="1"/>
  <c r="M4512" i="1"/>
  <c r="O4511" i="1"/>
  <c r="M4511" i="1"/>
  <c r="N4511" i="1" s="1"/>
  <c r="O4510" i="1"/>
  <c r="M4510" i="1"/>
  <c r="N4510" i="1" s="1"/>
  <c r="O4509" i="1"/>
  <c r="N4509" i="1"/>
  <c r="M4509" i="1"/>
  <c r="O4508" i="1"/>
  <c r="M4508" i="1"/>
  <c r="N4508" i="1" s="1"/>
  <c r="Q4508" i="1" s="1"/>
  <c r="O4507" i="1"/>
  <c r="P4507" i="1" s="1"/>
  <c r="M4507" i="1"/>
  <c r="N4507" i="1" s="1"/>
  <c r="Q4507" i="1" s="1"/>
  <c r="O4506" i="1"/>
  <c r="N4506" i="1"/>
  <c r="M4506" i="1"/>
  <c r="O4505" i="1"/>
  <c r="N4505" i="1"/>
  <c r="M4505" i="1"/>
  <c r="O4504" i="1"/>
  <c r="M4504" i="1"/>
  <c r="N4504" i="1" s="1"/>
  <c r="Q4503" i="1"/>
  <c r="O4503" i="1"/>
  <c r="N4503" i="1"/>
  <c r="P4503" i="1" s="1"/>
  <c r="M4503" i="1"/>
  <c r="O4502" i="1"/>
  <c r="M4502" i="1"/>
  <c r="N4502" i="1" s="1"/>
  <c r="P4502" i="1" s="1"/>
  <c r="Q4501" i="1"/>
  <c r="O4501" i="1"/>
  <c r="M4501" i="1"/>
  <c r="N4501" i="1" s="1"/>
  <c r="P4501" i="1" s="1"/>
  <c r="P4500" i="1"/>
  <c r="O4500" i="1"/>
  <c r="M4500" i="1"/>
  <c r="N4500" i="1" s="1"/>
  <c r="Q4500" i="1" s="1"/>
  <c r="Q4499" i="1"/>
  <c r="O4499" i="1"/>
  <c r="M4499" i="1"/>
  <c r="N4499" i="1" s="1"/>
  <c r="P4499" i="1" s="1"/>
  <c r="O4498" i="1"/>
  <c r="N4498" i="1"/>
  <c r="M4498" i="1"/>
  <c r="O4497" i="1"/>
  <c r="M4497" i="1"/>
  <c r="N4497" i="1" s="1"/>
  <c r="O4496" i="1"/>
  <c r="N4496" i="1"/>
  <c r="M4496" i="1"/>
  <c r="O4495" i="1"/>
  <c r="M4495" i="1"/>
  <c r="N4495" i="1" s="1"/>
  <c r="O4494" i="1"/>
  <c r="M4494" i="1"/>
  <c r="N4494" i="1" s="1"/>
  <c r="O4493" i="1"/>
  <c r="N4493" i="1"/>
  <c r="M4493" i="1"/>
  <c r="O4492" i="1"/>
  <c r="M4492" i="1"/>
  <c r="N4492" i="1" s="1"/>
  <c r="Q4491" i="1"/>
  <c r="O4491" i="1"/>
  <c r="P4491" i="1" s="1"/>
  <c r="N4491" i="1"/>
  <c r="M4491" i="1"/>
  <c r="O4490" i="1"/>
  <c r="N4490" i="1"/>
  <c r="P4490" i="1" s="1"/>
  <c r="M4490" i="1"/>
  <c r="O4489" i="1"/>
  <c r="M4489" i="1"/>
  <c r="N4489" i="1" s="1"/>
  <c r="P4489" i="1" s="1"/>
  <c r="O4488" i="1"/>
  <c r="M4488" i="1"/>
  <c r="N4488" i="1" s="1"/>
  <c r="Q4487" i="1"/>
  <c r="O4487" i="1"/>
  <c r="N4487" i="1"/>
  <c r="P4487" i="1" s="1"/>
  <c r="M4487" i="1"/>
  <c r="O4486" i="1"/>
  <c r="N4486" i="1"/>
  <c r="Q4486" i="1" s="1"/>
  <c r="M4486" i="1"/>
  <c r="O4485" i="1"/>
  <c r="M4485" i="1"/>
  <c r="N4485" i="1" s="1"/>
  <c r="O4484" i="1"/>
  <c r="M4484" i="1"/>
  <c r="N4484" i="1" s="1"/>
  <c r="Q4483" i="1"/>
  <c r="P4483" i="1"/>
  <c r="O4483" i="1"/>
  <c r="M4483" i="1"/>
  <c r="N4483" i="1" s="1"/>
  <c r="O4482" i="1"/>
  <c r="M4482" i="1"/>
  <c r="N4482" i="1" s="1"/>
  <c r="P4482" i="1" s="1"/>
  <c r="O4481" i="1"/>
  <c r="M4481" i="1"/>
  <c r="N4481" i="1" s="1"/>
  <c r="Q4480" i="1"/>
  <c r="O4480" i="1"/>
  <c r="N4480" i="1"/>
  <c r="M4480" i="1"/>
  <c r="Q4479" i="1"/>
  <c r="O4479" i="1"/>
  <c r="N4479" i="1"/>
  <c r="P4479" i="1" s="1"/>
  <c r="M4479" i="1"/>
  <c r="O4478" i="1"/>
  <c r="N4478" i="1"/>
  <c r="M4478" i="1"/>
  <c r="O4477" i="1"/>
  <c r="M4477" i="1"/>
  <c r="N4477" i="1" s="1"/>
  <c r="Q4477" i="1" s="1"/>
  <c r="O4476" i="1"/>
  <c r="P4476" i="1" s="1"/>
  <c r="N4476" i="1"/>
  <c r="Q4476" i="1" s="1"/>
  <c r="M4476" i="1"/>
  <c r="O4475" i="1"/>
  <c r="N4475" i="1"/>
  <c r="P4475" i="1" s="1"/>
  <c r="M4475" i="1"/>
  <c r="O4474" i="1"/>
  <c r="N4474" i="1"/>
  <c r="M4474" i="1"/>
  <c r="Q4473" i="1"/>
  <c r="O4473" i="1"/>
  <c r="M4473" i="1"/>
  <c r="N4473" i="1" s="1"/>
  <c r="Q4472" i="1"/>
  <c r="O4472" i="1"/>
  <c r="M4472" i="1"/>
  <c r="N4472" i="1" s="1"/>
  <c r="O4471" i="1"/>
  <c r="N4471" i="1"/>
  <c r="P4471" i="1" s="1"/>
  <c r="M4471" i="1"/>
  <c r="O4470" i="1"/>
  <c r="M4470" i="1"/>
  <c r="N4470" i="1" s="1"/>
  <c r="O4469" i="1"/>
  <c r="N4469" i="1"/>
  <c r="M4469" i="1"/>
  <c r="O4468" i="1"/>
  <c r="M4468" i="1"/>
  <c r="N4468" i="1" s="1"/>
  <c r="Q4468" i="1" s="1"/>
  <c r="O4467" i="1"/>
  <c r="M4467" i="1"/>
  <c r="N4467" i="1" s="1"/>
  <c r="O4466" i="1"/>
  <c r="N4466" i="1"/>
  <c r="Q4466" i="1" s="1"/>
  <c r="M4466" i="1"/>
  <c r="O4465" i="1"/>
  <c r="M4465" i="1"/>
  <c r="N4465" i="1" s="1"/>
  <c r="P4465" i="1" s="1"/>
  <c r="O4464" i="1"/>
  <c r="P4464" i="1" s="1"/>
  <c r="N4464" i="1"/>
  <c r="Q4464" i="1" s="1"/>
  <c r="M4464" i="1"/>
  <c r="O4463" i="1"/>
  <c r="N4463" i="1"/>
  <c r="M4463" i="1"/>
  <c r="P4462" i="1"/>
  <c r="O4462" i="1"/>
  <c r="N4462" i="1"/>
  <c r="Q4462" i="1" s="1"/>
  <c r="M4462" i="1"/>
  <c r="P4461" i="1"/>
  <c r="O4461" i="1"/>
  <c r="N4461" i="1"/>
  <c r="Q4461" i="1" s="1"/>
  <c r="M4461" i="1"/>
  <c r="O4460" i="1"/>
  <c r="M4460" i="1"/>
  <c r="N4460" i="1" s="1"/>
  <c r="O4459" i="1"/>
  <c r="N4459" i="1"/>
  <c r="Q4459" i="1" s="1"/>
  <c r="M4459" i="1"/>
  <c r="O4458" i="1"/>
  <c r="N4458" i="1"/>
  <c r="M4458" i="1"/>
  <c r="O4457" i="1"/>
  <c r="M4457" i="1"/>
  <c r="N4457" i="1" s="1"/>
  <c r="O4456" i="1"/>
  <c r="N4456" i="1"/>
  <c r="Q4456" i="1" s="1"/>
  <c r="M4456" i="1"/>
  <c r="O4455" i="1"/>
  <c r="N4455" i="1"/>
  <c r="M4455" i="1"/>
  <c r="O4454" i="1"/>
  <c r="M4454" i="1"/>
  <c r="N4454" i="1" s="1"/>
  <c r="O4453" i="1"/>
  <c r="M4453" i="1"/>
  <c r="N4453" i="1" s="1"/>
  <c r="O4452" i="1"/>
  <c r="M4452" i="1"/>
  <c r="N4452" i="1" s="1"/>
  <c r="O4451" i="1"/>
  <c r="M4451" i="1"/>
  <c r="N4451" i="1" s="1"/>
  <c r="O4450" i="1"/>
  <c r="N4450" i="1"/>
  <c r="M4450" i="1"/>
  <c r="Q4449" i="1"/>
  <c r="P4449" i="1"/>
  <c r="O4449" i="1"/>
  <c r="N4449" i="1"/>
  <c r="M4449" i="1"/>
  <c r="Q4448" i="1"/>
  <c r="O4448" i="1"/>
  <c r="P4448" i="1" s="1"/>
  <c r="N4448" i="1"/>
  <c r="M4448" i="1"/>
  <c r="Q4447" i="1"/>
  <c r="O4447" i="1"/>
  <c r="N4447" i="1"/>
  <c r="M4447" i="1"/>
  <c r="Q4446" i="1"/>
  <c r="P4446" i="1"/>
  <c r="O4446" i="1"/>
  <c r="M4446" i="1"/>
  <c r="N4446" i="1" s="1"/>
  <c r="O4445" i="1"/>
  <c r="M4445" i="1"/>
  <c r="N4445" i="1" s="1"/>
  <c r="Q4445" i="1" s="1"/>
  <c r="O4444" i="1"/>
  <c r="M4444" i="1"/>
  <c r="N4444" i="1" s="1"/>
  <c r="O4443" i="1"/>
  <c r="M4443" i="1"/>
  <c r="N4443" i="1" s="1"/>
  <c r="P4442" i="1"/>
  <c r="O4442" i="1"/>
  <c r="N4442" i="1"/>
  <c r="Q4442" i="1" s="1"/>
  <c r="M4442" i="1"/>
  <c r="Q4441" i="1"/>
  <c r="O4441" i="1"/>
  <c r="N4441" i="1"/>
  <c r="M4441" i="1"/>
  <c r="O4440" i="1"/>
  <c r="M4440" i="1"/>
  <c r="N4440" i="1" s="1"/>
  <c r="P4439" i="1"/>
  <c r="O4439" i="1"/>
  <c r="N4439" i="1"/>
  <c r="Q4439" i="1" s="1"/>
  <c r="M4439" i="1"/>
  <c r="Q4438" i="1"/>
  <c r="P4438" i="1"/>
  <c r="O4438" i="1"/>
  <c r="N4438" i="1"/>
  <c r="M4438" i="1"/>
  <c r="Q4437" i="1"/>
  <c r="O4437" i="1"/>
  <c r="N4437" i="1"/>
  <c r="P4437" i="1" s="1"/>
  <c r="M4437" i="1"/>
  <c r="O4436" i="1"/>
  <c r="M4436" i="1"/>
  <c r="N4436" i="1" s="1"/>
  <c r="O4435" i="1"/>
  <c r="M4435" i="1"/>
  <c r="N4435" i="1" s="1"/>
  <c r="O4434" i="1"/>
  <c r="M4434" i="1"/>
  <c r="N4434" i="1" s="1"/>
  <c r="O4433" i="1"/>
  <c r="M4433" i="1"/>
  <c r="N4433" i="1" s="1"/>
  <c r="O4432" i="1"/>
  <c r="N4432" i="1"/>
  <c r="Q4432" i="1" s="1"/>
  <c r="M4432" i="1"/>
  <c r="O4431" i="1"/>
  <c r="M4431" i="1"/>
  <c r="N4431" i="1" s="1"/>
  <c r="Q4431" i="1" s="1"/>
  <c r="O4430" i="1"/>
  <c r="M4430" i="1"/>
  <c r="N4430" i="1" s="1"/>
  <c r="O4429" i="1"/>
  <c r="M4429" i="1"/>
  <c r="N4429" i="1" s="1"/>
  <c r="O4428" i="1"/>
  <c r="M4428" i="1"/>
  <c r="N4428" i="1" s="1"/>
  <c r="Q4428" i="1" s="1"/>
  <c r="O4427" i="1"/>
  <c r="M4427" i="1"/>
  <c r="N4427" i="1" s="1"/>
  <c r="Q4426" i="1"/>
  <c r="O4426" i="1"/>
  <c r="M4426" i="1"/>
  <c r="N4426" i="1" s="1"/>
  <c r="P4426" i="1" s="1"/>
  <c r="O4425" i="1"/>
  <c r="N4425" i="1"/>
  <c r="M4425" i="1"/>
  <c r="P4424" i="1"/>
  <c r="O4424" i="1"/>
  <c r="M4424" i="1"/>
  <c r="N4424" i="1" s="1"/>
  <c r="Q4424" i="1" s="1"/>
  <c r="O4423" i="1"/>
  <c r="M4423" i="1"/>
  <c r="N4423" i="1" s="1"/>
  <c r="O4422" i="1"/>
  <c r="N4422" i="1"/>
  <c r="M4422" i="1"/>
  <c r="P4421" i="1"/>
  <c r="O4421" i="1"/>
  <c r="M4421" i="1"/>
  <c r="N4421" i="1" s="1"/>
  <c r="Q4421" i="1" s="1"/>
  <c r="O4420" i="1"/>
  <c r="M4420" i="1"/>
  <c r="N4420" i="1" s="1"/>
  <c r="Q4419" i="1"/>
  <c r="O4419" i="1"/>
  <c r="M4419" i="1"/>
  <c r="N4419" i="1" s="1"/>
  <c r="O4418" i="1"/>
  <c r="M4418" i="1"/>
  <c r="N4418" i="1" s="1"/>
  <c r="Q4418" i="1" s="1"/>
  <c r="Q4417" i="1"/>
  <c r="O4417" i="1"/>
  <c r="N4417" i="1"/>
  <c r="P4417" i="1" s="1"/>
  <c r="M4417" i="1"/>
  <c r="Q4416" i="1"/>
  <c r="P4416" i="1"/>
  <c r="O4416" i="1"/>
  <c r="N4416" i="1"/>
  <c r="M4416" i="1"/>
  <c r="O4415" i="1"/>
  <c r="N4415" i="1"/>
  <c r="M4415" i="1"/>
  <c r="O4414" i="1"/>
  <c r="N4414" i="1"/>
  <c r="Q4414" i="1" s="1"/>
  <c r="M4414" i="1"/>
  <c r="Q4413" i="1"/>
  <c r="P4413" i="1"/>
  <c r="O4413" i="1"/>
  <c r="N4413" i="1"/>
  <c r="M4413" i="1"/>
  <c r="O4412" i="1"/>
  <c r="M4412" i="1"/>
  <c r="N4412" i="1" s="1"/>
  <c r="O4411" i="1"/>
  <c r="M4411" i="1"/>
  <c r="N4411" i="1" s="1"/>
  <c r="O4410" i="1"/>
  <c r="N4410" i="1"/>
  <c r="M4410" i="1"/>
  <c r="Q4409" i="1"/>
  <c r="O4409" i="1"/>
  <c r="N4409" i="1"/>
  <c r="P4409" i="1" s="1"/>
  <c r="M4409" i="1"/>
  <c r="O4408" i="1"/>
  <c r="M4408" i="1"/>
  <c r="N4408" i="1" s="1"/>
  <c r="Q4407" i="1"/>
  <c r="O4407" i="1"/>
  <c r="N4407" i="1"/>
  <c r="P4407" i="1" s="1"/>
  <c r="M4407" i="1"/>
  <c r="O4406" i="1"/>
  <c r="M4406" i="1"/>
  <c r="N4406" i="1" s="1"/>
  <c r="P4406" i="1" s="1"/>
  <c r="O4405" i="1"/>
  <c r="P4405" i="1" s="1"/>
  <c r="M4405" i="1"/>
  <c r="N4405" i="1" s="1"/>
  <c r="Q4405" i="1" s="1"/>
  <c r="O4404" i="1"/>
  <c r="M4404" i="1"/>
  <c r="N4404" i="1" s="1"/>
  <c r="Q4403" i="1"/>
  <c r="O4403" i="1"/>
  <c r="M4403" i="1"/>
  <c r="N4403" i="1" s="1"/>
  <c r="P4403" i="1" s="1"/>
  <c r="P4402" i="1"/>
  <c r="O4402" i="1"/>
  <c r="N4402" i="1"/>
  <c r="Q4402" i="1" s="1"/>
  <c r="M4402" i="1"/>
  <c r="Q4401" i="1"/>
  <c r="O4401" i="1"/>
  <c r="N4401" i="1"/>
  <c r="P4401" i="1" s="1"/>
  <c r="M4401" i="1"/>
  <c r="P4400" i="1"/>
  <c r="O4400" i="1"/>
  <c r="N4400" i="1"/>
  <c r="Q4400" i="1" s="1"/>
  <c r="M4400" i="1"/>
  <c r="O4399" i="1"/>
  <c r="M4399" i="1"/>
  <c r="N4399" i="1" s="1"/>
  <c r="O4398" i="1"/>
  <c r="N4398" i="1"/>
  <c r="Q4398" i="1" s="1"/>
  <c r="M4398" i="1"/>
  <c r="P4397" i="1"/>
  <c r="O4397" i="1"/>
  <c r="N4397" i="1"/>
  <c r="Q4397" i="1" s="1"/>
  <c r="M4397" i="1"/>
  <c r="P4396" i="1"/>
  <c r="O4396" i="1"/>
  <c r="M4396" i="1"/>
  <c r="N4396" i="1" s="1"/>
  <c r="Q4396" i="1" s="1"/>
  <c r="O4395" i="1"/>
  <c r="N4395" i="1"/>
  <c r="M4395" i="1"/>
  <c r="O4394" i="1"/>
  <c r="M4394" i="1"/>
  <c r="N4394" i="1" s="1"/>
  <c r="Q4394" i="1" s="1"/>
  <c r="Q4393" i="1"/>
  <c r="O4393" i="1"/>
  <c r="N4393" i="1"/>
  <c r="P4393" i="1" s="1"/>
  <c r="M4393" i="1"/>
  <c r="O4392" i="1"/>
  <c r="M4392" i="1"/>
  <c r="N4392" i="1" s="1"/>
  <c r="Q4391" i="1"/>
  <c r="O4391" i="1"/>
  <c r="N4391" i="1"/>
  <c r="P4391" i="1" s="1"/>
  <c r="M4391" i="1"/>
  <c r="Q4390" i="1"/>
  <c r="O4390" i="1"/>
  <c r="N4390" i="1"/>
  <c r="P4390" i="1" s="1"/>
  <c r="M4390" i="1"/>
  <c r="Q4389" i="1"/>
  <c r="O4389" i="1"/>
  <c r="M4389" i="1"/>
  <c r="N4389" i="1" s="1"/>
  <c r="O4388" i="1"/>
  <c r="M4388" i="1"/>
  <c r="N4388" i="1" s="1"/>
  <c r="O4387" i="1"/>
  <c r="M4387" i="1"/>
  <c r="N4387" i="1" s="1"/>
  <c r="Q4387" i="1" s="1"/>
  <c r="O4386" i="1"/>
  <c r="M4386" i="1"/>
  <c r="N4386" i="1" s="1"/>
  <c r="Q4386" i="1" s="1"/>
  <c r="O4385" i="1"/>
  <c r="M4385" i="1"/>
  <c r="N4385" i="1" s="1"/>
  <c r="O4384" i="1"/>
  <c r="N4384" i="1"/>
  <c r="Q4384" i="1" s="1"/>
  <c r="M4384" i="1"/>
  <c r="Q4383" i="1"/>
  <c r="O4383" i="1"/>
  <c r="P4383" i="1" s="1"/>
  <c r="N4383" i="1"/>
  <c r="M4383" i="1"/>
  <c r="O4382" i="1"/>
  <c r="M4382" i="1"/>
  <c r="N4382" i="1" s="1"/>
  <c r="P4381" i="1"/>
  <c r="O4381" i="1"/>
  <c r="M4381" i="1"/>
  <c r="N4381" i="1" s="1"/>
  <c r="Q4381" i="1" s="1"/>
  <c r="O4380" i="1"/>
  <c r="N4380" i="1"/>
  <c r="M4380" i="1"/>
  <c r="Q4379" i="1"/>
  <c r="O4379" i="1"/>
  <c r="M4379" i="1"/>
  <c r="N4379" i="1" s="1"/>
  <c r="P4379" i="1" s="1"/>
  <c r="Q4378" i="1"/>
  <c r="O4378" i="1"/>
  <c r="M4378" i="1"/>
  <c r="N4378" i="1" s="1"/>
  <c r="P4378" i="1" s="1"/>
  <c r="Q4377" i="1"/>
  <c r="O4377" i="1"/>
  <c r="N4377" i="1"/>
  <c r="M4377" i="1"/>
  <c r="O4376" i="1"/>
  <c r="M4376" i="1"/>
  <c r="N4376" i="1" s="1"/>
  <c r="O4375" i="1"/>
  <c r="M4375" i="1"/>
  <c r="N4375" i="1" s="1"/>
  <c r="O4374" i="1"/>
  <c r="M4374" i="1"/>
  <c r="N4374" i="1" s="1"/>
  <c r="Q4373" i="1"/>
  <c r="O4373" i="1"/>
  <c r="P4373" i="1" s="1"/>
  <c r="N4373" i="1"/>
  <c r="M4373" i="1"/>
  <c r="Q4372" i="1"/>
  <c r="O4372" i="1"/>
  <c r="N4372" i="1"/>
  <c r="P4372" i="1" s="1"/>
  <c r="M4372" i="1"/>
  <c r="O4371" i="1"/>
  <c r="M4371" i="1"/>
  <c r="N4371" i="1" s="1"/>
  <c r="O4370" i="1"/>
  <c r="M4370" i="1"/>
  <c r="N4370" i="1" s="1"/>
  <c r="Q4369" i="1"/>
  <c r="O4369" i="1"/>
  <c r="M4369" i="1"/>
  <c r="N4369" i="1" s="1"/>
  <c r="Q4368" i="1"/>
  <c r="P4368" i="1"/>
  <c r="O4368" i="1"/>
  <c r="N4368" i="1"/>
  <c r="M4368" i="1"/>
  <c r="O4367" i="1"/>
  <c r="M4367" i="1"/>
  <c r="N4367" i="1" s="1"/>
  <c r="O4366" i="1"/>
  <c r="N4366" i="1"/>
  <c r="Q4366" i="1" s="1"/>
  <c r="M4366" i="1"/>
  <c r="Q4365" i="1"/>
  <c r="O4365" i="1"/>
  <c r="N4365" i="1"/>
  <c r="P4365" i="1" s="1"/>
  <c r="M4365" i="1"/>
  <c r="O4364" i="1"/>
  <c r="M4364" i="1"/>
  <c r="N4364" i="1" s="1"/>
  <c r="P4363" i="1"/>
  <c r="O4363" i="1"/>
  <c r="N4363" i="1"/>
  <c r="Q4363" i="1" s="1"/>
  <c r="M4363" i="1"/>
  <c r="O4362" i="1"/>
  <c r="M4362" i="1"/>
  <c r="N4362" i="1" s="1"/>
  <c r="Q4361" i="1"/>
  <c r="O4361" i="1"/>
  <c r="M4361" i="1"/>
  <c r="N4361" i="1" s="1"/>
  <c r="O4360" i="1"/>
  <c r="M4360" i="1"/>
  <c r="N4360" i="1" s="1"/>
  <c r="O4359" i="1"/>
  <c r="M4359" i="1"/>
  <c r="N4359" i="1" s="1"/>
  <c r="P4358" i="1"/>
  <c r="O4358" i="1"/>
  <c r="M4358" i="1"/>
  <c r="N4358" i="1" s="1"/>
  <c r="Q4358" i="1" s="1"/>
  <c r="Q4357" i="1"/>
  <c r="O4357" i="1"/>
  <c r="N4357" i="1"/>
  <c r="P4357" i="1" s="1"/>
  <c r="M4357" i="1"/>
  <c r="O4356" i="1"/>
  <c r="N4356" i="1"/>
  <c r="M4356" i="1"/>
  <c r="O4355" i="1"/>
  <c r="M4355" i="1"/>
  <c r="N4355" i="1" s="1"/>
  <c r="Q4354" i="1"/>
  <c r="P4354" i="1"/>
  <c r="O4354" i="1"/>
  <c r="M4354" i="1"/>
  <c r="N4354" i="1" s="1"/>
  <c r="Q4353" i="1"/>
  <c r="O4353" i="1"/>
  <c r="N4353" i="1"/>
  <c r="M4353" i="1"/>
  <c r="O4352" i="1"/>
  <c r="N4352" i="1"/>
  <c r="M4352" i="1"/>
  <c r="O4351" i="1"/>
  <c r="M4351" i="1"/>
  <c r="N4351" i="1" s="1"/>
  <c r="O4350" i="1"/>
  <c r="M4350" i="1"/>
  <c r="N4350" i="1" s="1"/>
  <c r="P4349" i="1"/>
  <c r="O4349" i="1"/>
  <c r="N4349" i="1"/>
  <c r="Q4349" i="1" s="1"/>
  <c r="M4349" i="1"/>
  <c r="O4348" i="1"/>
  <c r="M4348" i="1"/>
  <c r="N4348" i="1" s="1"/>
  <c r="O4347" i="1"/>
  <c r="M4347" i="1"/>
  <c r="N4347" i="1" s="1"/>
  <c r="Q4346" i="1"/>
  <c r="O4346" i="1"/>
  <c r="N4346" i="1"/>
  <c r="P4346" i="1" s="1"/>
  <c r="M4346" i="1"/>
  <c r="Q4345" i="1"/>
  <c r="O4345" i="1"/>
  <c r="N4345" i="1"/>
  <c r="M4345" i="1"/>
  <c r="O4344" i="1"/>
  <c r="N4344" i="1"/>
  <c r="M4344" i="1"/>
  <c r="O4343" i="1"/>
  <c r="N4343" i="1"/>
  <c r="Q4343" i="1" s="1"/>
  <c r="M4343" i="1"/>
  <c r="O4342" i="1"/>
  <c r="N4342" i="1"/>
  <c r="M4342" i="1"/>
  <c r="O4341" i="1"/>
  <c r="M4341" i="1"/>
  <c r="N4341" i="1" s="1"/>
  <c r="Q4341" i="1" s="1"/>
  <c r="O4340" i="1"/>
  <c r="M4340" i="1"/>
  <c r="N4340" i="1" s="1"/>
  <c r="Q4340" i="1" s="1"/>
  <c r="O4339" i="1"/>
  <c r="M4339" i="1"/>
  <c r="N4339" i="1" s="1"/>
  <c r="Q4338" i="1"/>
  <c r="O4338" i="1"/>
  <c r="N4338" i="1"/>
  <c r="P4338" i="1" s="1"/>
  <c r="M4338" i="1"/>
  <c r="O4337" i="1"/>
  <c r="M4337" i="1"/>
  <c r="N4337" i="1" s="1"/>
  <c r="O4336" i="1"/>
  <c r="N4336" i="1"/>
  <c r="Q4336" i="1" s="1"/>
  <c r="M4336" i="1"/>
  <c r="O4335" i="1"/>
  <c r="M4335" i="1"/>
  <c r="N4335" i="1" s="1"/>
  <c r="O4334" i="1"/>
  <c r="N4334" i="1"/>
  <c r="M4334" i="1"/>
  <c r="O4333" i="1"/>
  <c r="M4333" i="1"/>
  <c r="N4333" i="1" s="1"/>
  <c r="P4333" i="1" s="1"/>
  <c r="O4332" i="1"/>
  <c r="M4332" i="1"/>
  <c r="N4332" i="1" s="1"/>
  <c r="P4331" i="1"/>
  <c r="O4331" i="1"/>
  <c r="N4331" i="1"/>
  <c r="Q4331" i="1" s="1"/>
  <c r="M4331" i="1"/>
  <c r="O4330" i="1"/>
  <c r="N4330" i="1"/>
  <c r="P4330" i="1" s="1"/>
  <c r="M4330" i="1"/>
  <c r="O4329" i="1"/>
  <c r="M4329" i="1"/>
  <c r="N4329" i="1" s="1"/>
  <c r="O4328" i="1"/>
  <c r="M4328" i="1"/>
  <c r="N4328" i="1" s="1"/>
  <c r="O4327" i="1"/>
  <c r="M4327" i="1"/>
  <c r="N4327" i="1" s="1"/>
  <c r="O4326" i="1"/>
  <c r="N4326" i="1"/>
  <c r="M4326" i="1"/>
  <c r="O4325" i="1"/>
  <c r="N4325" i="1"/>
  <c r="Q4325" i="1" s="1"/>
  <c r="M4325" i="1"/>
  <c r="O4324" i="1"/>
  <c r="M4324" i="1"/>
  <c r="N4324" i="1" s="1"/>
  <c r="Q4323" i="1"/>
  <c r="P4323" i="1"/>
  <c r="O4323" i="1"/>
  <c r="M4323" i="1"/>
  <c r="N4323" i="1" s="1"/>
  <c r="O4322" i="1"/>
  <c r="M4322" i="1"/>
  <c r="N4322" i="1" s="1"/>
  <c r="O4321" i="1"/>
  <c r="N4321" i="1"/>
  <c r="Q4321" i="1" s="1"/>
  <c r="M4321" i="1"/>
  <c r="P4320" i="1"/>
  <c r="O4320" i="1"/>
  <c r="N4320" i="1"/>
  <c r="Q4320" i="1" s="1"/>
  <c r="M4320" i="1"/>
  <c r="O4319" i="1"/>
  <c r="N4319" i="1"/>
  <c r="M4319" i="1"/>
  <c r="P4318" i="1"/>
  <c r="O4318" i="1"/>
  <c r="N4318" i="1"/>
  <c r="Q4318" i="1" s="1"/>
  <c r="M4318" i="1"/>
  <c r="O4317" i="1"/>
  <c r="M4317" i="1"/>
  <c r="N4317" i="1" s="1"/>
  <c r="O4316" i="1"/>
  <c r="N4316" i="1"/>
  <c r="M4316" i="1"/>
  <c r="O4315" i="1"/>
  <c r="N4315" i="1"/>
  <c r="M4315" i="1"/>
  <c r="O4314" i="1"/>
  <c r="M4314" i="1"/>
  <c r="N4314" i="1" s="1"/>
  <c r="O4313" i="1"/>
  <c r="N4313" i="1"/>
  <c r="M4313" i="1"/>
  <c r="Q4312" i="1"/>
  <c r="O4312" i="1"/>
  <c r="N4312" i="1"/>
  <c r="M4312" i="1"/>
  <c r="O4311" i="1"/>
  <c r="M4311" i="1"/>
  <c r="N4311" i="1" s="1"/>
  <c r="Q4311" i="1" s="1"/>
  <c r="Q4310" i="1"/>
  <c r="O4310" i="1"/>
  <c r="N4310" i="1"/>
  <c r="P4310" i="1" s="1"/>
  <c r="M4310" i="1"/>
  <c r="O4309" i="1"/>
  <c r="M4309" i="1"/>
  <c r="N4309" i="1" s="1"/>
  <c r="Q4308" i="1"/>
  <c r="O4308" i="1"/>
  <c r="N4308" i="1"/>
  <c r="P4308" i="1" s="1"/>
  <c r="M4308" i="1"/>
  <c r="O4307" i="1"/>
  <c r="P4307" i="1" s="1"/>
  <c r="N4307" i="1"/>
  <c r="Q4307" i="1" s="1"/>
  <c r="M4307" i="1"/>
  <c r="O4306" i="1"/>
  <c r="M4306" i="1"/>
  <c r="N4306" i="1" s="1"/>
  <c r="P4305" i="1"/>
  <c r="O4305" i="1"/>
  <c r="N4305" i="1"/>
  <c r="Q4305" i="1" s="1"/>
  <c r="M4305" i="1"/>
  <c r="P4304" i="1"/>
  <c r="O4304" i="1"/>
  <c r="N4304" i="1"/>
  <c r="Q4304" i="1" s="1"/>
  <c r="M4304" i="1"/>
  <c r="Q4303" i="1"/>
  <c r="P4303" i="1"/>
  <c r="O4303" i="1"/>
  <c r="N4303" i="1"/>
  <c r="M4303" i="1"/>
  <c r="O4302" i="1"/>
  <c r="N4302" i="1"/>
  <c r="M4302" i="1"/>
  <c r="O4301" i="1"/>
  <c r="M4301" i="1"/>
  <c r="N4301" i="1" s="1"/>
  <c r="O4300" i="1"/>
  <c r="M4300" i="1"/>
  <c r="N4300" i="1" s="1"/>
  <c r="P4299" i="1"/>
  <c r="O4299" i="1"/>
  <c r="N4299" i="1"/>
  <c r="Q4299" i="1" s="1"/>
  <c r="M4299" i="1"/>
  <c r="P4298" i="1"/>
  <c r="O4298" i="1"/>
  <c r="M4298" i="1"/>
  <c r="N4298" i="1" s="1"/>
  <c r="Q4298" i="1" s="1"/>
  <c r="O4297" i="1"/>
  <c r="N4297" i="1"/>
  <c r="P4297" i="1" s="1"/>
  <c r="M4297" i="1"/>
  <c r="Q4296" i="1"/>
  <c r="O4296" i="1"/>
  <c r="N4296" i="1"/>
  <c r="P4296" i="1" s="1"/>
  <c r="M4296" i="1"/>
  <c r="Q4295" i="1"/>
  <c r="P4295" i="1"/>
  <c r="O4295" i="1"/>
  <c r="N4295" i="1"/>
  <c r="M4295" i="1"/>
  <c r="O4294" i="1"/>
  <c r="M4294" i="1"/>
  <c r="N4294" i="1" s="1"/>
  <c r="O4293" i="1"/>
  <c r="M4293" i="1"/>
  <c r="N4293" i="1" s="1"/>
  <c r="Q4292" i="1"/>
  <c r="O4292" i="1"/>
  <c r="N4292" i="1"/>
  <c r="M4292" i="1"/>
  <c r="Q4291" i="1"/>
  <c r="P4291" i="1"/>
  <c r="O4291" i="1"/>
  <c r="M4291" i="1"/>
  <c r="N4291" i="1" s="1"/>
  <c r="O4290" i="1"/>
  <c r="M4290" i="1"/>
  <c r="N4290" i="1" s="1"/>
  <c r="O4289" i="1"/>
  <c r="M4289" i="1"/>
  <c r="N4289" i="1" s="1"/>
  <c r="O4288" i="1"/>
  <c r="N4288" i="1"/>
  <c r="M4288" i="1"/>
  <c r="O4287" i="1"/>
  <c r="N4287" i="1"/>
  <c r="Q4287" i="1" s="1"/>
  <c r="M4287" i="1"/>
  <c r="O4286" i="1"/>
  <c r="M4286" i="1"/>
  <c r="N4286" i="1" s="1"/>
  <c r="O4285" i="1"/>
  <c r="M4285" i="1"/>
  <c r="N4285" i="1" s="1"/>
  <c r="O4284" i="1"/>
  <c r="M4284" i="1"/>
  <c r="N4284" i="1" s="1"/>
  <c r="O4283" i="1"/>
  <c r="M4283" i="1"/>
  <c r="N4283" i="1" s="1"/>
  <c r="O4282" i="1"/>
  <c r="M4282" i="1"/>
  <c r="N4282" i="1" s="1"/>
  <c r="Q4281" i="1"/>
  <c r="O4281" i="1"/>
  <c r="N4281" i="1"/>
  <c r="M4281" i="1"/>
  <c r="O4280" i="1"/>
  <c r="M4280" i="1"/>
  <c r="N4280" i="1" s="1"/>
  <c r="O4279" i="1"/>
  <c r="N4279" i="1"/>
  <c r="Q4279" i="1" s="1"/>
  <c r="M4279" i="1"/>
  <c r="O4278" i="1"/>
  <c r="M4278" i="1"/>
  <c r="N4278" i="1" s="1"/>
  <c r="O4277" i="1"/>
  <c r="M4277" i="1"/>
  <c r="N4277" i="1" s="1"/>
  <c r="O4276" i="1"/>
  <c r="M4276" i="1"/>
  <c r="N4276" i="1" s="1"/>
  <c r="Q4275" i="1"/>
  <c r="P4275" i="1"/>
  <c r="O4275" i="1"/>
  <c r="N4275" i="1"/>
  <c r="M4275" i="1"/>
  <c r="Q4274" i="1"/>
  <c r="O4274" i="1"/>
  <c r="M4274" i="1"/>
  <c r="N4274" i="1" s="1"/>
  <c r="P4274" i="1" s="1"/>
  <c r="O4273" i="1"/>
  <c r="M4273" i="1"/>
  <c r="N4273" i="1" s="1"/>
  <c r="O4272" i="1"/>
  <c r="M4272" i="1"/>
  <c r="N4272" i="1" s="1"/>
  <c r="O4271" i="1"/>
  <c r="N4271" i="1"/>
  <c r="M4271" i="1"/>
  <c r="O4270" i="1"/>
  <c r="N4270" i="1"/>
  <c r="P4270" i="1" s="1"/>
  <c r="M4270" i="1"/>
  <c r="Q4269" i="1"/>
  <c r="O4269" i="1"/>
  <c r="M4269" i="1"/>
  <c r="N4269" i="1" s="1"/>
  <c r="P4269" i="1" s="1"/>
  <c r="O4268" i="1"/>
  <c r="M4268" i="1"/>
  <c r="N4268" i="1" s="1"/>
  <c r="O4267" i="1"/>
  <c r="P4267" i="1" s="1"/>
  <c r="N4267" i="1"/>
  <c r="Q4267" i="1" s="1"/>
  <c r="M4267" i="1"/>
  <c r="O4266" i="1"/>
  <c r="M4266" i="1"/>
  <c r="N4266" i="1" s="1"/>
  <c r="O4265" i="1"/>
  <c r="N4265" i="1"/>
  <c r="M4265" i="1"/>
  <c r="O4264" i="1"/>
  <c r="M4264" i="1"/>
  <c r="N4264" i="1" s="1"/>
  <c r="Q4263" i="1"/>
  <c r="O4263" i="1"/>
  <c r="N4263" i="1"/>
  <c r="P4263" i="1" s="1"/>
  <c r="M4263" i="1"/>
  <c r="O4262" i="1"/>
  <c r="M4262" i="1"/>
  <c r="N4262" i="1" s="1"/>
  <c r="P4261" i="1"/>
  <c r="O4261" i="1"/>
  <c r="M4261" i="1"/>
  <c r="N4261" i="1" s="1"/>
  <c r="Q4261" i="1" s="1"/>
  <c r="O4260" i="1"/>
  <c r="M4260" i="1"/>
  <c r="N4260" i="1" s="1"/>
  <c r="P4260" i="1" s="1"/>
  <c r="O4259" i="1"/>
  <c r="N4259" i="1"/>
  <c r="P4259" i="1" s="1"/>
  <c r="M4259" i="1"/>
  <c r="O4258" i="1"/>
  <c r="M4258" i="1"/>
  <c r="N4258" i="1" s="1"/>
  <c r="O4257" i="1"/>
  <c r="N4257" i="1"/>
  <c r="M4257" i="1"/>
  <c r="O4256" i="1"/>
  <c r="N4256" i="1"/>
  <c r="M4256" i="1"/>
  <c r="O4255" i="1"/>
  <c r="N4255" i="1"/>
  <c r="Q4255" i="1" s="1"/>
  <c r="M4255" i="1"/>
  <c r="O4254" i="1"/>
  <c r="N4254" i="1"/>
  <c r="M4254" i="1"/>
  <c r="Q4253" i="1"/>
  <c r="O4253" i="1"/>
  <c r="M4253" i="1"/>
  <c r="N4253" i="1" s="1"/>
  <c r="P4253" i="1" s="1"/>
  <c r="P4252" i="1"/>
  <c r="O4252" i="1"/>
  <c r="M4252" i="1"/>
  <c r="N4252" i="1" s="1"/>
  <c r="Q4252" i="1" s="1"/>
  <c r="O4251" i="1"/>
  <c r="M4251" i="1"/>
  <c r="N4251" i="1" s="1"/>
  <c r="O4250" i="1"/>
  <c r="M4250" i="1"/>
  <c r="N4250" i="1" s="1"/>
  <c r="O4249" i="1"/>
  <c r="P4249" i="1" s="1"/>
  <c r="N4249" i="1"/>
  <c r="Q4249" i="1" s="1"/>
  <c r="M4249" i="1"/>
  <c r="Q4248" i="1"/>
  <c r="O4248" i="1"/>
  <c r="N4248" i="1"/>
  <c r="M4248" i="1"/>
  <c r="O4247" i="1"/>
  <c r="M4247" i="1"/>
  <c r="N4247" i="1" s="1"/>
  <c r="P4246" i="1"/>
  <c r="O4246" i="1"/>
  <c r="M4246" i="1"/>
  <c r="N4246" i="1" s="1"/>
  <c r="Q4246" i="1" s="1"/>
  <c r="O4245" i="1"/>
  <c r="N4245" i="1"/>
  <c r="M4245" i="1"/>
  <c r="Q4244" i="1"/>
  <c r="O4244" i="1"/>
  <c r="P4244" i="1" s="1"/>
  <c r="N4244" i="1"/>
  <c r="M4244" i="1"/>
  <c r="O4243" i="1"/>
  <c r="N4243" i="1"/>
  <c r="M4243" i="1"/>
  <c r="O4242" i="1"/>
  <c r="M4242" i="1"/>
  <c r="N4242" i="1" s="1"/>
  <c r="O4241" i="1"/>
  <c r="M4241" i="1"/>
  <c r="N4241" i="1" s="1"/>
  <c r="P4240" i="1"/>
  <c r="O4240" i="1"/>
  <c r="M4240" i="1"/>
  <c r="N4240" i="1" s="1"/>
  <c r="Q4240" i="1" s="1"/>
  <c r="Q4239" i="1"/>
  <c r="P4239" i="1"/>
  <c r="O4239" i="1"/>
  <c r="N4239" i="1"/>
  <c r="M4239" i="1"/>
  <c r="P4238" i="1"/>
  <c r="O4238" i="1"/>
  <c r="N4238" i="1"/>
  <c r="Q4238" i="1" s="1"/>
  <c r="M4238" i="1"/>
  <c r="O4237" i="1"/>
  <c r="N4237" i="1"/>
  <c r="Q4237" i="1" s="1"/>
  <c r="M4237" i="1"/>
  <c r="Q4236" i="1"/>
  <c r="P4236" i="1"/>
  <c r="O4236" i="1"/>
  <c r="M4236" i="1"/>
  <c r="N4236" i="1" s="1"/>
  <c r="O4235" i="1"/>
  <c r="M4235" i="1"/>
  <c r="N4235" i="1" s="1"/>
  <c r="Q4234" i="1"/>
  <c r="P4234" i="1"/>
  <c r="O4234" i="1"/>
  <c r="N4234" i="1"/>
  <c r="M4234" i="1"/>
  <c r="O4233" i="1"/>
  <c r="N4233" i="1"/>
  <c r="Q4233" i="1" s="1"/>
  <c r="M4233" i="1"/>
  <c r="O4232" i="1"/>
  <c r="M4232" i="1"/>
  <c r="N4232" i="1" s="1"/>
  <c r="P4232" i="1" s="1"/>
  <c r="O4231" i="1"/>
  <c r="N4231" i="1"/>
  <c r="M4231" i="1"/>
  <c r="Q4230" i="1"/>
  <c r="P4230" i="1"/>
  <c r="O4230" i="1"/>
  <c r="M4230" i="1"/>
  <c r="N4230" i="1" s="1"/>
  <c r="P4229" i="1"/>
  <c r="O4229" i="1"/>
  <c r="N4229" i="1"/>
  <c r="Q4229" i="1" s="1"/>
  <c r="M4229" i="1"/>
  <c r="O4228" i="1"/>
  <c r="M4228" i="1"/>
  <c r="N4228" i="1" s="1"/>
  <c r="O4227" i="1"/>
  <c r="M4227" i="1"/>
  <c r="N4227" i="1" s="1"/>
  <c r="O4226" i="1"/>
  <c r="M4226" i="1"/>
  <c r="N4226" i="1" s="1"/>
  <c r="Q4225" i="1"/>
  <c r="P4225" i="1"/>
  <c r="O4225" i="1"/>
  <c r="M4225" i="1"/>
  <c r="N4225" i="1" s="1"/>
  <c r="O4224" i="1"/>
  <c r="M4224" i="1"/>
  <c r="N4224" i="1" s="1"/>
  <c r="O4223" i="1"/>
  <c r="N4223" i="1"/>
  <c r="M4223" i="1"/>
  <c r="O4222" i="1"/>
  <c r="M4222" i="1"/>
  <c r="N4222" i="1" s="1"/>
  <c r="Q4221" i="1"/>
  <c r="O4221" i="1"/>
  <c r="N4221" i="1"/>
  <c r="M4221" i="1"/>
  <c r="O4220" i="1"/>
  <c r="M4220" i="1"/>
  <c r="N4220" i="1" s="1"/>
  <c r="P4219" i="1"/>
  <c r="O4219" i="1"/>
  <c r="N4219" i="1"/>
  <c r="Q4219" i="1" s="1"/>
  <c r="M4219" i="1"/>
  <c r="O4218" i="1"/>
  <c r="N4218" i="1"/>
  <c r="M4218" i="1"/>
  <c r="Q4217" i="1"/>
  <c r="P4217" i="1"/>
  <c r="O4217" i="1"/>
  <c r="N4217" i="1"/>
  <c r="M4217" i="1"/>
  <c r="O4216" i="1"/>
  <c r="M4216" i="1"/>
  <c r="N4216" i="1" s="1"/>
  <c r="Q4215" i="1"/>
  <c r="O4215" i="1"/>
  <c r="M4215" i="1"/>
  <c r="N4215" i="1" s="1"/>
  <c r="O4214" i="1"/>
  <c r="N4214" i="1"/>
  <c r="M4214" i="1"/>
  <c r="P4213" i="1"/>
  <c r="O4213" i="1"/>
  <c r="M4213" i="1"/>
  <c r="N4213" i="1" s="1"/>
  <c r="Q4213" i="1" s="1"/>
  <c r="O4212" i="1"/>
  <c r="N4212" i="1"/>
  <c r="M4212" i="1"/>
  <c r="O4211" i="1"/>
  <c r="M4211" i="1"/>
  <c r="N4211" i="1" s="1"/>
  <c r="Q4210" i="1"/>
  <c r="O4210" i="1"/>
  <c r="M4210" i="1"/>
  <c r="N4210" i="1" s="1"/>
  <c r="P4210" i="1" s="1"/>
  <c r="Q4209" i="1"/>
  <c r="P4209" i="1"/>
  <c r="O4209" i="1"/>
  <c r="N4209" i="1"/>
  <c r="M4209" i="1"/>
  <c r="O4208" i="1"/>
  <c r="M4208" i="1"/>
  <c r="N4208" i="1" s="1"/>
  <c r="O4207" i="1"/>
  <c r="N4207" i="1"/>
  <c r="M4207" i="1"/>
  <c r="O4206" i="1"/>
  <c r="M4206" i="1"/>
  <c r="N4206" i="1" s="1"/>
  <c r="Q4205" i="1"/>
  <c r="O4205" i="1"/>
  <c r="N4205" i="1"/>
  <c r="P4205" i="1" s="1"/>
  <c r="M4205" i="1"/>
  <c r="O4204" i="1"/>
  <c r="M4204" i="1"/>
  <c r="N4204" i="1" s="1"/>
  <c r="O4203" i="1"/>
  <c r="M4203" i="1"/>
  <c r="N4203" i="1" s="1"/>
  <c r="Q4203" i="1" s="1"/>
  <c r="O4202" i="1"/>
  <c r="N4202" i="1"/>
  <c r="P4202" i="1" s="1"/>
  <c r="M4202" i="1"/>
  <c r="Q4201" i="1"/>
  <c r="P4201" i="1"/>
  <c r="O4201" i="1"/>
  <c r="N4201" i="1"/>
  <c r="M4201" i="1"/>
  <c r="O4200" i="1"/>
  <c r="M4200" i="1"/>
  <c r="N4200" i="1" s="1"/>
  <c r="O4199" i="1"/>
  <c r="N4199" i="1"/>
  <c r="M4199" i="1"/>
  <c r="Q4198" i="1"/>
  <c r="P4198" i="1"/>
  <c r="O4198" i="1"/>
  <c r="N4198" i="1"/>
  <c r="M4198" i="1"/>
  <c r="O4197" i="1"/>
  <c r="M4197" i="1"/>
  <c r="N4197" i="1" s="1"/>
  <c r="P4196" i="1"/>
  <c r="O4196" i="1"/>
  <c r="N4196" i="1"/>
  <c r="Q4196" i="1" s="1"/>
  <c r="M4196" i="1"/>
  <c r="O4195" i="1"/>
  <c r="N4195" i="1"/>
  <c r="M4195" i="1"/>
  <c r="Q4194" i="1"/>
  <c r="O4194" i="1"/>
  <c r="M4194" i="1"/>
  <c r="N4194" i="1" s="1"/>
  <c r="P4194" i="1" s="1"/>
  <c r="O4193" i="1"/>
  <c r="M4193" i="1"/>
  <c r="N4193" i="1" s="1"/>
  <c r="P4192" i="1"/>
  <c r="O4192" i="1"/>
  <c r="N4192" i="1"/>
  <c r="Q4192" i="1" s="1"/>
  <c r="M4192" i="1"/>
  <c r="Q4191" i="1"/>
  <c r="O4191" i="1"/>
  <c r="N4191" i="1"/>
  <c r="P4191" i="1" s="1"/>
  <c r="M4191" i="1"/>
  <c r="O4190" i="1"/>
  <c r="M4190" i="1"/>
  <c r="N4190" i="1" s="1"/>
  <c r="O4189" i="1"/>
  <c r="N4189" i="1"/>
  <c r="M4189" i="1"/>
  <c r="P4188" i="1"/>
  <c r="O4188" i="1"/>
  <c r="M4188" i="1"/>
  <c r="N4188" i="1" s="1"/>
  <c r="Q4188" i="1" s="1"/>
  <c r="P4187" i="1"/>
  <c r="O4187" i="1"/>
  <c r="M4187" i="1"/>
  <c r="N4187" i="1" s="1"/>
  <c r="Q4187" i="1" s="1"/>
  <c r="O4186" i="1"/>
  <c r="M4186" i="1"/>
  <c r="N4186" i="1" s="1"/>
  <c r="O4185" i="1"/>
  <c r="N4185" i="1"/>
  <c r="M4185" i="1"/>
  <c r="O4184" i="1"/>
  <c r="N4184" i="1"/>
  <c r="M4184" i="1"/>
  <c r="O4183" i="1"/>
  <c r="N4183" i="1"/>
  <c r="M4183" i="1"/>
  <c r="O4182" i="1"/>
  <c r="M4182" i="1"/>
  <c r="N4182" i="1" s="1"/>
  <c r="O4181" i="1"/>
  <c r="N4181" i="1"/>
  <c r="M4181" i="1"/>
  <c r="O4180" i="1"/>
  <c r="N4180" i="1"/>
  <c r="P4180" i="1" s="1"/>
  <c r="M4180" i="1"/>
  <c r="Q4179" i="1"/>
  <c r="P4179" i="1"/>
  <c r="O4179" i="1"/>
  <c r="N4179" i="1"/>
  <c r="M4179" i="1"/>
  <c r="Q4178" i="1"/>
  <c r="O4178" i="1"/>
  <c r="M4178" i="1"/>
  <c r="N4178" i="1" s="1"/>
  <c r="P4178" i="1" s="1"/>
  <c r="O4177" i="1"/>
  <c r="P4177" i="1" s="1"/>
  <c r="N4177" i="1"/>
  <c r="Q4177" i="1" s="1"/>
  <c r="M4177" i="1"/>
  <c r="O4176" i="1"/>
  <c r="M4176" i="1"/>
  <c r="N4176" i="1" s="1"/>
  <c r="Q4175" i="1"/>
  <c r="P4175" i="1"/>
  <c r="O4175" i="1"/>
  <c r="N4175" i="1"/>
  <c r="M4175" i="1"/>
  <c r="O4174" i="1"/>
  <c r="N4174" i="1"/>
  <c r="M4174" i="1"/>
  <c r="O4173" i="1"/>
  <c r="M4173" i="1"/>
  <c r="N4173" i="1" s="1"/>
  <c r="O4172" i="1"/>
  <c r="M4172" i="1"/>
  <c r="N4172" i="1" s="1"/>
  <c r="Q4172" i="1" s="1"/>
  <c r="O4171" i="1"/>
  <c r="P4171" i="1" s="1"/>
  <c r="N4171" i="1"/>
  <c r="Q4171" i="1" s="1"/>
  <c r="M4171" i="1"/>
  <c r="O4170" i="1"/>
  <c r="M4170" i="1"/>
  <c r="N4170" i="1" s="1"/>
  <c r="Q4169" i="1"/>
  <c r="O4169" i="1"/>
  <c r="N4169" i="1"/>
  <c r="M4169" i="1"/>
  <c r="O4168" i="1"/>
  <c r="M4168" i="1"/>
  <c r="N4168" i="1" s="1"/>
  <c r="P4168" i="1" s="1"/>
  <c r="Q4167" i="1"/>
  <c r="O4167" i="1"/>
  <c r="M4167" i="1"/>
  <c r="N4167" i="1" s="1"/>
  <c r="P4167" i="1" s="1"/>
  <c r="O4166" i="1"/>
  <c r="M4166" i="1"/>
  <c r="N4166" i="1" s="1"/>
  <c r="O4165" i="1"/>
  <c r="N4165" i="1"/>
  <c r="M4165" i="1"/>
  <c r="O4164" i="1"/>
  <c r="N4164" i="1"/>
  <c r="M4164" i="1"/>
  <c r="Q4163" i="1"/>
  <c r="P4163" i="1"/>
  <c r="O4163" i="1"/>
  <c r="M4163" i="1"/>
  <c r="N4163" i="1" s="1"/>
  <c r="O4162" i="1"/>
  <c r="M4162" i="1"/>
  <c r="N4162" i="1" s="1"/>
  <c r="O4161" i="1"/>
  <c r="M4161" i="1"/>
  <c r="N4161" i="1" s="1"/>
  <c r="Q4160" i="1"/>
  <c r="P4160" i="1"/>
  <c r="O4160" i="1"/>
  <c r="N4160" i="1"/>
  <c r="M4160" i="1"/>
  <c r="O4159" i="1"/>
  <c r="N4159" i="1"/>
  <c r="Q4159" i="1" s="1"/>
  <c r="M4159" i="1"/>
  <c r="O4158" i="1"/>
  <c r="M4158" i="1"/>
  <c r="N4158" i="1" s="1"/>
  <c r="O4157" i="1"/>
  <c r="M4157" i="1"/>
  <c r="N4157" i="1" s="1"/>
  <c r="O4156" i="1"/>
  <c r="M4156" i="1"/>
  <c r="N4156" i="1" s="1"/>
  <c r="O4155" i="1"/>
  <c r="N4155" i="1"/>
  <c r="M4155" i="1"/>
  <c r="O4154" i="1"/>
  <c r="M4154" i="1"/>
  <c r="N4154" i="1" s="1"/>
  <c r="Q4153" i="1"/>
  <c r="O4153" i="1"/>
  <c r="N4153" i="1"/>
  <c r="M4153" i="1"/>
  <c r="O4152" i="1"/>
  <c r="M4152" i="1"/>
  <c r="N4152" i="1" s="1"/>
  <c r="Q4151" i="1"/>
  <c r="O4151" i="1"/>
  <c r="P4151" i="1" s="1"/>
  <c r="N4151" i="1"/>
  <c r="M4151" i="1"/>
  <c r="O4150" i="1"/>
  <c r="N4150" i="1"/>
  <c r="M4150" i="1"/>
  <c r="O4149" i="1"/>
  <c r="M4149" i="1"/>
  <c r="N4149" i="1" s="1"/>
  <c r="Q4149" i="1" s="1"/>
  <c r="P4148" i="1"/>
  <c r="O4148" i="1"/>
  <c r="N4148" i="1"/>
  <c r="Q4148" i="1" s="1"/>
  <c r="M4148" i="1"/>
  <c r="Q4147" i="1"/>
  <c r="O4147" i="1"/>
  <c r="M4147" i="1"/>
  <c r="N4147" i="1" s="1"/>
  <c r="P4147" i="1" s="1"/>
  <c r="O4146" i="1"/>
  <c r="M4146" i="1"/>
  <c r="N4146" i="1" s="1"/>
  <c r="O4145" i="1"/>
  <c r="M4145" i="1"/>
  <c r="N4145" i="1" s="1"/>
  <c r="O4144" i="1"/>
  <c r="M4144" i="1"/>
  <c r="N4144" i="1" s="1"/>
  <c r="Q4143" i="1"/>
  <c r="P4143" i="1"/>
  <c r="O4143" i="1"/>
  <c r="N4143" i="1"/>
  <c r="M4143" i="1"/>
  <c r="Q4142" i="1"/>
  <c r="O4142" i="1"/>
  <c r="N4142" i="1"/>
  <c r="P4142" i="1" s="1"/>
  <c r="M4142" i="1"/>
  <c r="O4141" i="1"/>
  <c r="M4141" i="1"/>
  <c r="N4141" i="1" s="1"/>
  <c r="Q4140" i="1"/>
  <c r="O4140" i="1"/>
  <c r="M4140" i="1"/>
  <c r="N4140" i="1" s="1"/>
  <c r="P4139" i="1"/>
  <c r="O4139" i="1"/>
  <c r="N4139" i="1"/>
  <c r="Q4139" i="1" s="1"/>
  <c r="M4139" i="1"/>
  <c r="O4138" i="1"/>
  <c r="N4138" i="1"/>
  <c r="M4138" i="1"/>
  <c r="Q4137" i="1"/>
  <c r="P4137" i="1"/>
  <c r="O4137" i="1"/>
  <c r="N4137" i="1"/>
  <c r="M4137" i="1"/>
  <c r="Q4136" i="1"/>
  <c r="O4136" i="1"/>
  <c r="N4136" i="1"/>
  <c r="P4136" i="1" s="1"/>
  <c r="M4136" i="1"/>
  <c r="O4135" i="1"/>
  <c r="N4135" i="1"/>
  <c r="P4135" i="1" s="1"/>
  <c r="M4135" i="1"/>
  <c r="P4134" i="1"/>
  <c r="O4134" i="1"/>
  <c r="N4134" i="1"/>
  <c r="Q4134" i="1" s="1"/>
  <c r="M4134" i="1"/>
  <c r="O4133" i="1"/>
  <c r="M4133" i="1"/>
  <c r="N4133" i="1" s="1"/>
  <c r="Q4132" i="1"/>
  <c r="O4132" i="1"/>
  <c r="P4132" i="1" s="1"/>
  <c r="M4132" i="1"/>
  <c r="N4132" i="1" s="1"/>
  <c r="O4131" i="1"/>
  <c r="M4131" i="1"/>
  <c r="N4131" i="1" s="1"/>
  <c r="Q4130" i="1"/>
  <c r="O4130" i="1"/>
  <c r="M4130" i="1"/>
  <c r="N4130" i="1" s="1"/>
  <c r="P4130" i="1" s="1"/>
  <c r="Q4129" i="1"/>
  <c r="O4129" i="1"/>
  <c r="M4129" i="1"/>
  <c r="N4129" i="1" s="1"/>
  <c r="P4129" i="1" s="1"/>
  <c r="O4128" i="1"/>
  <c r="N4128" i="1"/>
  <c r="M4128" i="1"/>
  <c r="P4127" i="1"/>
  <c r="O4127" i="1"/>
  <c r="N4127" i="1"/>
  <c r="Q4127" i="1" s="1"/>
  <c r="M4127" i="1"/>
  <c r="Q4126" i="1"/>
  <c r="P4126" i="1"/>
  <c r="O4126" i="1"/>
  <c r="N4126" i="1"/>
  <c r="M4126" i="1"/>
  <c r="P4125" i="1"/>
  <c r="O4125" i="1"/>
  <c r="M4125" i="1"/>
  <c r="N4125" i="1" s="1"/>
  <c r="Q4125" i="1" s="1"/>
  <c r="P4124" i="1"/>
  <c r="O4124" i="1"/>
  <c r="M4124" i="1"/>
  <c r="N4124" i="1" s="1"/>
  <c r="Q4124" i="1" s="1"/>
  <c r="O4123" i="1"/>
  <c r="M4123" i="1"/>
  <c r="N4123" i="1" s="1"/>
  <c r="O4122" i="1"/>
  <c r="M4122" i="1"/>
  <c r="N4122" i="1" s="1"/>
  <c r="O4121" i="1"/>
  <c r="P4121" i="1" s="1"/>
  <c r="N4121" i="1"/>
  <c r="Q4121" i="1" s="1"/>
  <c r="M4121" i="1"/>
  <c r="Q4120" i="1"/>
  <c r="O4120" i="1"/>
  <c r="N4120" i="1"/>
  <c r="M4120" i="1"/>
  <c r="O4119" i="1"/>
  <c r="N4119" i="1"/>
  <c r="M4119" i="1"/>
  <c r="O4118" i="1"/>
  <c r="M4118" i="1"/>
  <c r="N4118" i="1" s="1"/>
  <c r="O4117" i="1"/>
  <c r="M4117" i="1"/>
  <c r="N4117" i="1" s="1"/>
  <c r="Q4116" i="1"/>
  <c r="O4116" i="1"/>
  <c r="M4116" i="1"/>
  <c r="N4116" i="1" s="1"/>
  <c r="P4116" i="1" s="1"/>
  <c r="O4115" i="1"/>
  <c r="N4115" i="1"/>
  <c r="M4115" i="1"/>
  <c r="O4114" i="1"/>
  <c r="M4114" i="1"/>
  <c r="N4114" i="1" s="1"/>
  <c r="O4113" i="1"/>
  <c r="M4113" i="1"/>
  <c r="N4113" i="1" s="1"/>
  <c r="Q4112" i="1"/>
  <c r="O4112" i="1"/>
  <c r="N4112" i="1"/>
  <c r="P4112" i="1" s="1"/>
  <c r="M4112" i="1"/>
  <c r="Q4111" i="1"/>
  <c r="P4111" i="1"/>
  <c r="O4111" i="1"/>
  <c r="N4111" i="1"/>
  <c r="M4111" i="1"/>
  <c r="O4110" i="1"/>
  <c r="M4110" i="1"/>
  <c r="N4110" i="1" s="1"/>
  <c r="Q4109" i="1"/>
  <c r="O4109" i="1"/>
  <c r="P4109" i="1" s="1"/>
  <c r="N4109" i="1"/>
  <c r="M4109" i="1"/>
  <c r="Q4108" i="1"/>
  <c r="O4108" i="1"/>
  <c r="P4108" i="1" s="1"/>
  <c r="M4108" i="1"/>
  <c r="N4108" i="1" s="1"/>
  <c r="O4107" i="1"/>
  <c r="M4107" i="1"/>
  <c r="N4107" i="1" s="1"/>
  <c r="O4106" i="1"/>
  <c r="N4106" i="1"/>
  <c r="M4106" i="1"/>
  <c r="Q4105" i="1"/>
  <c r="O4105" i="1"/>
  <c r="P4105" i="1" s="1"/>
  <c r="N4105" i="1"/>
  <c r="M4105" i="1"/>
  <c r="Q4104" i="1"/>
  <c r="O4104" i="1"/>
  <c r="M4104" i="1"/>
  <c r="N4104" i="1" s="1"/>
  <c r="P4104" i="1" s="1"/>
  <c r="O4103" i="1"/>
  <c r="P4103" i="1" s="1"/>
  <c r="M4103" i="1"/>
  <c r="N4103" i="1" s="1"/>
  <c r="Q4103" i="1" s="1"/>
  <c r="O4102" i="1"/>
  <c r="N4102" i="1"/>
  <c r="M4102" i="1"/>
  <c r="P4101" i="1"/>
  <c r="O4101" i="1"/>
  <c r="N4101" i="1"/>
  <c r="Q4101" i="1" s="1"/>
  <c r="M4101" i="1"/>
  <c r="O4100" i="1"/>
  <c r="M4100" i="1"/>
  <c r="N4100" i="1" s="1"/>
  <c r="O4099" i="1"/>
  <c r="M4099" i="1"/>
  <c r="N4099" i="1" s="1"/>
  <c r="Q4098" i="1"/>
  <c r="O4098" i="1"/>
  <c r="M4098" i="1"/>
  <c r="N4098" i="1" s="1"/>
  <c r="Q4097" i="1"/>
  <c r="P4097" i="1"/>
  <c r="O4097" i="1"/>
  <c r="M4097" i="1"/>
  <c r="N4097" i="1" s="1"/>
  <c r="O4096" i="1"/>
  <c r="M4096" i="1"/>
  <c r="N4096" i="1" s="1"/>
  <c r="O4095" i="1"/>
  <c r="N4095" i="1"/>
  <c r="M4095" i="1"/>
  <c r="O4094" i="1"/>
  <c r="M4094" i="1"/>
  <c r="N4094" i="1" s="1"/>
  <c r="Q4093" i="1"/>
  <c r="O4093" i="1"/>
  <c r="M4093" i="1"/>
  <c r="N4093" i="1" s="1"/>
  <c r="P4093" i="1" s="1"/>
  <c r="O4092" i="1"/>
  <c r="M4092" i="1"/>
  <c r="N4092" i="1" s="1"/>
  <c r="P4091" i="1"/>
  <c r="O4091" i="1"/>
  <c r="N4091" i="1"/>
  <c r="Q4091" i="1" s="1"/>
  <c r="M4091" i="1"/>
  <c r="O4090" i="1"/>
  <c r="N4090" i="1"/>
  <c r="M4090" i="1"/>
  <c r="Q4089" i="1"/>
  <c r="O4089" i="1"/>
  <c r="N4089" i="1"/>
  <c r="P4089" i="1" s="1"/>
  <c r="M4089" i="1"/>
  <c r="O4088" i="1"/>
  <c r="N4088" i="1"/>
  <c r="M4088" i="1"/>
  <c r="O4087" i="1"/>
  <c r="M4087" i="1"/>
  <c r="N4087" i="1" s="1"/>
  <c r="Q4086" i="1"/>
  <c r="O4086" i="1"/>
  <c r="N4086" i="1"/>
  <c r="P4086" i="1" s="1"/>
  <c r="M4086" i="1"/>
  <c r="O4085" i="1"/>
  <c r="N4085" i="1"/>
  <c r="M4085" i="1"/>
  <c r="O4084" i="1"/>
  <c r="N4084" i="1"/>
  <c r="M4084" i="1"/>
  <c r="O4083" i="1"/>
  <c r="M4083" i="1"/>
  <c r="N4083" i="1" s="1"/>
  <c r="O4082" i="1"/>
  <c r="M4082" i="1"/>
  <c r="N4082" i="1" s="1"/>
  <c r="O4081" i="1"/>
  <c r="M4081" i="1"/>
  <c r="N4081" i="1" s="1"/>
  <c r="P4081" i="1" s="1"/>
  <c r="O4080" i="1"/>
  <c r="M4080" i="1"/>
  <c r="N4080" i="1" s="1"/>
  <c r="O4079" i="1"/>
  <c r="M4079" i="1"/>
  <c r="N4079" i="1" s="1"/>
  <c r="P4079" i="1" s="1"/>
  <c r="O4078" i="1"/>
  <c r="M4078" i="1"/>
  <c r="N4078" i="1" s="1"/>
  <c r="O4077" i="1"/>
  <c r="M4077" i="1"/>
  <c r="N4077" i="1" s="1"/>
  <c r="Q4077" i="1" s="1"/>
  <c r="O4076" i="1"/>
  <c r="M4076" i="1"/>
  <c r="N4076" i="1" s="1"/>
  <c r="Q4076" i="1" s="1"/>
  <c r="O4075" i="1"/>
  <c r="M4075" i="1"/>
  <c r="N4075" i="1" s="1"/>
  <c r="O4074" i="1"/>
  <c r="M4074" i="1"/>
  <c r="N4074" i="1" s="1"/>
  <c r="Q4074" i="1" s="1"/>
  <c r="O4073" i="1"/>
  <c r="M4073" i="1"/>
  <c r="N4073" i="1" s="1"/>
  <c r="O4072" i="1"/>
  <c r="M4072" i="1"/>
  <c r="N4072" i="1" s="1"/>
  <c r="O4071" i="1"/>
  <c r="M4071" i="1"/>
  <c r="N4071" i="1" s="1"/>
  <c r="Q4071" i="1" s="1"/>
  <c r="O4070" i="1"/>
  <c r="M4070" i="1"/>
  <c r="N4070" i="1" s="1"/>
  <c r="O4069" i="1"/>
  <c r="M4069" i="1"/>
  <c r="N4069" i="1" s="1"/>
  <c r="O4068" i="1"/>
  <c r="M4068" i="1"/>
  <c r="N4068" i="1" s="1"/>
  <c r="O4067" i="1"/>
  <c r="M4067" i="1"/>
  <c r="N4067" i="1" s="1"/>
  <c r="Q4067" i="1" s="1"/>
  <c r="O4066" i="1"/>
  <c r="M4066" i="1"/>
  <c r="N4066" i="1" s="1"/>
  <c r="Q4066" i="1" s="1"/>
  <c r="O4065" i="1"/>
  <c r="M4065" i="1"/>
  <c r="N4065" i="1" s="1"/>
  <c r="Q4065" i="1" s="1"/>
  <c r="O4064" i="1"/>
  <c r="M4064" i="1"/>
  <c r="N4064" i="1" s="1"/>
  <c r="Q4064" i="1" s="1"/>
  <c r="O4063" i="1"/>
  <c r="M4063" i="1"/>
  <c r="N4063" i="1" s="1"/>
  <c r="O4062" i="1"/>
  <c r="M4062" i="1"/>
  <c r="N4062" i="1" s="1"/>
  <c r="O4061" i="1"/>
  <c r="M4061" i="1"/>
  <c r="N4061" i="1" s="1"/>
  <c r="Q4061" i="1" s="1"/>
  <c r="O4060" i="1"/>
  <c r="M4060" i="1"/>
  <c r="N4060" i="1" s="1"/>
  <c r="O4059" i="1"/>
  <c r="M4059" i="1"/>
  <c r="N4059" i="1" s="1"/>
  <c r="Q4059" i="1" s="1"/>
  <c r="O4058" i="1"/>
  <c r="M4058" i="1"/>
  <c r="N4058" i="1" s="1"/>
  <c r="O4057" i="1"/>
  <c r="M4057" i="1"/>
  <c r="N4057" i="1" s="1"/>
  <c r="O4056" i="1"/>
  <c r="M4056" i="1"/>
  <c r="N4056" i="1" s="1"/>
  <c r="O4055" i="1"/>
  <c r="M4055" i="1"/>
  <c r="N4055" i="1" s="1"/>
  <c r="O4054" i="1"/>
  <c r="M4054" i="1"/>
  <c r="N4054" i="1" s="1"/>
  <c r="Q4054" i="1" s="1"/>
  <c r="O4053" i="1"/>
  <c r="M4053" i="1"/>
  <c r="N4053" i="1" s="1"/>
  <c r="Q4053" i="1" s="1"/>
  <c r="O4052" i="1"/>
  <c r="M4052" i="1"/>
  <c r="N4052" i="1" s="1"/>
  <c r="O4051" i="1"/>
  <c r="M4051" i="1"/>
  <c r="N4051" i="1" s="1"/>
  <c r="Q4051" i="1" s="1"/>
  <c r="O4050" i="1"/>
  <c r="N4050" i="1"/>
  <c r="M4050" i="1"/>
  <c r="O4049" i="1"/>
  <c r="M4049" i="1"/>
  <c r="N4049" i="1" s="1"/>
  <c r="P4049" i="1" s="1"/>
  <c r="O4048" i="1"/>
  <c r="M4048" i="1"/>
  <c r="N4048" i="1" s="1"/>
  <c r="P4048" i="1" s="1"/>
  <c r="O4047" i="1"/>
  <c r="M4047" i="1"/>
  <c r="N4047" i="1" s="1"/>
  <c r="O4046" i="1"/>
  <c r="M4046" i="1"/>
  <c r="N4046" i="1" s="1"/>
  <c r="O4045" i="1"/>
  <c r="M4045" i="1"/>
  <c r="N4045" i="1" s="1"/>
  <c r="O4044" i="1"/>
  <c r="M4044" i="1"/>
  <c r="N4044" i="1" s="1"/>
  <c r="O4043" i="1"/>
  <c r="M4043" i="1"/>
  <c r="N4043" i="1" s="1"/>
  <c r="O4042" i="1"/>
  <c r="M4042" i="1"/>
  <c r="N4042" i="1" s="1"/>
  <c r="O4041" i="1"/>
  <c r="M4041" i="1"/>
  <c r="N4041" i="1" s="1"/>
  <c r="O4040" i="1"/>
  <c r="M4040" i="1"/>
  <c r="N4040" i="1" s="1"/>
  <c r="O4039" i="1"/>
  <c r="M4039" i="1"/>
  <c r="N4039" i="1" s="1"/>
  <c r="O4038" i="1"/>
  <c r="M4038" i="1"/>
  <c r="N4038" i="1" s="1"/>
  <c r="O4037" i="1"/>
  <c r="M4037" i="1"/>
  <c r="N4037" i="1" s="1"/>
  <c r="Q4037" i="1" s="1"/>
  <c r="O4036" i="1"/>
  <c r="M4036" i="1"/>
  <c r="N4036" i="1" s="1"/>
  <c r="O4035" i="1"/>
  <c r="M4035" i="1"/>
  <c r="N4035" i="1" s="1"/>
  <c r="O4034" i="1"/>
  <c r="M4034" i="1"/>
  <c r="N4034" i="1" s="1"/>
  <c r="O4033" i="1"/>
  <c r="M4033" i="1"/>
  <c r="N4033" i="1" s="1"/>
  <c r="O4032" i="1"/>
  <c r="M4032" i="1"/>
  <c r="N4032" i="1" s="1"/>
  <c r="O4031" i="1"/>
  <c r="M4031" i="1"/>
  <c r="N4031" i="1" s="1"/>
  <c r="O4030" i="1"/>
  <c r="M4030" i="1"/>
  <c r="N4030" i="1" s="1"/>
  <c r="Q4030" i="1" s="1"/>
  <c r="O4029" i="1"/>
  <c r="M4029" i="1"/>
  <c r="N4029" i="1" s="1"/>
  <c r="O4028" i="1"/>
  <c r="M4028" i="1"/>
  <c r="N4028" i="1" s="1"/>
  <c r="O4027" i="1"/>
  <c r="M4027" i="1"/>
  <c r="N4027" i="1" s="1"/>
  <c r="O4026" i="1"/>
  <c r="M4026" i="1"/>
  <c r="N4026" i="1" s="1"/>
  <c r="O4025" i="1"/>
  <c r="M4025" i="1"/>
  <c r="N4025" i="1" s="1"/>
  <c r="Q4025" i="1" s="1"/>
  <c r="O4024" i="1"/>
  <c r="M4024" i="1"/>
  <c r="N4024" i="1" s="1"/>
  <c r="O4023" i="1"/>
  <c r="M4023" i="1"/>
  <c r="N4023" i="1" s="1"/>
  <c r="Q4022" i="1"/>
  <c r="O4022" i="1"/>
  <c r="N4022" i="1"/>
  <c r="P4022" i="1" s="1"/>
  <c r="M4022" i="1"/>
  <c r="O4021" i="1"/>
  <c r="M4021" i="1"/>
  <c r="N4021" i="1" s="1"/>
  <c r="O4020" i="1"/>
  <c r="M4020" i="1"/>
  <c r="N4020" i="1" s="1"/>
  <c r="Q4019" i="1"/>
  <c r="P4019" i="1"/>
  <c r="O4019" i="1"/>
  <c r="M4019" i="1"/>
  <c r="N4019" i="1" s="1"/>
  <c r="O4018" i="1"/>
  <c r="M4018" i="1"/>
  <c r="N4018" i="1" s="1"/>
  <c r="Q4017" i="1"/>
  <c r="O4017" i="1"/>
  <c r="N4017" i="1"/>
  <c r="P4017" i="1" s="1"/>
  <c r="M4017" i="1"/>
  <c r="Q4016" i="1"/>
  <c r="P4016" i="1"/>
  <c r="O4016" i="1"/>
  <c r="N4016" i="1"/>
  <c r="M4016" i="1"/>
  <c r="Q4015" i="1"/>
  <c r="P4015" i="1"/>
  <c r="O4015" i="1"/>
  <c r="M4015" i="1"/>
  <c r="N4015" i="1" s="1"/>
  <c r="O4014" i="1"/>
  <c r="M4014" i="1"/>
  <c r="N4014" i="1" s="1"/>
  <c r="O4013" i="1"/>
  <c r="N4013" i="1"/>
  <c r="M4013" i="1"/>
  <c r="Q4012" i="1"/>
  <c r="O4012" i="1"/>
  <c r="M4012" i="1"/>
  <c r="N4012" i="1" s="1"/>
  <c r="P4012" i="1" s="1"/>
  <c r="O4011" i="1"/>
  <c r="M4011" i="1"/>
  <c r="N4011" i="1" s="1"/>
  <c r="Q4011" i="1" s="1"/>
  <c r="O4010" i="1"/>
  <c r="M4010" i="1"/>
  <c r="N4010" i="1" s="1"/>
  <c r="Q4009" i="1"/>
  <c r="P4009" i="1"/>
  <c r="O4009" i="1"/>
  <c r="N4009" i="1"/>
  <c r="M4009" i="1"/>
  <c r="Q4008" i="1"/>
  <c r="P4008" i="1"/>
  <c r="O4008" i="1"/>
  <c r="N4008" i="1"/>
  <c r="M4008" i="1"/>
  <c r="O4007" i="1"/>
  <c r="M4007" i="1"/>
  <c r="N4007" i="1" s="1"/>
  <c r="Q4007" i="1" s="1"/>
  <c r="O4006" i="1"/>
  <c r="N4006" i="1"/>
  <c r="M4006" i="1"/>
  <c r="Q4005" i="1"/>
  <c r="P4005" i="1"/>
  <c r="O4005" i="1"/>
  <c r="N4005" i="1"/>
  <c r="M4005" i="1"/>
  <c r="O4004" i="1"/>
  <c r="M4004" i="1"/>
  <c r="N4004" i="1" s="1"/>
  <c r="Q4003" i="1"/>
  <c r="O4003" i="1"/>
  <c r="M4003" i="1"/>
  <c r="N4003" i="1" s="1"/>
  <c r="P4003" i="1" s="1"/>
  <c r="O4002" i="1"/>
  <c r="N4002" i="1"/>
  <c r="M4002" i="1"/>
  <c r="Q4001" i="1"/>
  <c r="O4001" i="1"/>
  <c r="N4001" i="1"/>
  <c r="P4001" i="1" s="1"/>
  <c r="M4001" i="1"/>
  <c r="O4000" i="1"/>
  <c r="M4000" i="1"/>
  <c r="N4000" i="1" s="1"/>
  <c r="O3999" i="1"/>
  <c r="M3999" i="1"/>
  <c r="N3999" i="1" s="1"/>
  <c r="Q3998" i="1"/>
  <c r="O3998" i="1"/>
  <c r="M3998" i="1"/>
  <c r="N3998" i="1" s="1"/>
  <c r="P3998" i="1" s="1"/>
  <c r="O3997" i="1"/>
  <c r="P3997" i="1" s="1"/>
  <c r="N3997" i="1"/>
  <c r="Q3997" i="1" s="1"/>
  <c r="M3997" i="1"/>
  <c r="O3996" i="1"/>
  <c r="M3996" i="1"/>
  <c r="N3996" i="1" s="1"/>
  <c r="Q3995" i="1"/>
  <c r="O3995" i="1"/>
  <c r="M3995" i="1"/>
  <c r="N3995" i="1" s="1"/>
  <c r="P3995" i="1" s="1"/>
  <c r="Q3994" i="1"/>
  <c r="O3994" i="1"/>
  <c r="M3994" i="1"/>
  <c r="N3994" i="1" s="1"/>
  <c r="P3994" i="1" s="1"/>
  <c r="O3993" i="1"/>
  <c r="N3993" i="1"/>
  <c r="M3993" i="1"/>
  <c r="P3992" i="1"/>
  <c r="O3992" i="1"/>
  <c r="N3992" i="1"/>
  <c r="Q3992" i="1" s="1"/>
  <c r="M3992" i="1"/>
  <c r="P3991" i="1"/>
  <c r="O3991" i="1"/>
  <c r="M3991" i="1"/>
  <c r="N3991" i="1" s="1"/>
  <c r="Q3991" i="1" s="1"/>
  <c r="Q3990" i="1"/>
  <c r="O3990" i="1"/>
  <c r="P3990" i="1" s="1"/>
  <c r="N3990" i="1"/>
  <c r="M3990" i="1"/>
  <c r="O3989" i="1"/>
  <c r="M3989" i="1"/>
  <c r="N3989" i="1" s="1"/>
  <c r="O3988" i="1"/>
  <c r="M3988" i="1"/>
  <c r="N3988" i="1" s="1"/>
  <c r="Q3987" i="1"/>
  <c r="P3987" i="1"/>
  <c r="O3987" i="1"/>
  <c r="M3987" i="1"/>
  <c r="N3987" i="1" s="1"/>
  <c r="O3986" i="1"/>
  <c r="M3986" i="1"/>
  <c r="N3986" i="1" s="1"/>
  <c r="O3985" i="1"/>
  <c r="N3985" i="1"/>
  <c r="M3985" i="1"/>
  <c r="O3984" i="1"/>
  <c r="M3984" i="1"/>
  <c r="N3984" i="1" s="1"/>
  <c r="O3983" i="1"/>
  <c r="N3983" i="1"/>
  <c r="Q3983" i="1" s="1"/>
  <c r="M3983" i="1"/>
  <c r="P3982" i="1"/>
  <c r="O3982" i="1"/>
  <c r="M3982" i="1"/>
  <c r="N3982" i="1" s="1"/>
  <c r="Q3982" i="1" s="1"/>
  <c r="O3981" i="1"/>
  <c r="P3981" i="1" s="1"/>
  <c r="N3981" i="1"/>
  <c r="Q3981" i="1" s="1"/>
  <c r="M3981" i="1"/>
  <c r="O3980" i="1"/>
  <c r="M3980" i="1"/>
  <c r="N3980" i="1" s="1"/>
  <c r="Q3979" i="1"/>
  <c r="P3979" i="1"/>
  <c r="O3979" i="1"/>
  <c r="M3979" i="1"/>
  <c r="N3979" i="1" s="1"/>
  <c r="O3978" i="1"/>
  <c r="M3978" i="1"/>
  <c r="N3978" i="1" s="1"/>
  <c r="Q3977" i="1"/>
  <c r="O3977" i="1"/>
  <c r="P3977" i="1" s="1"/>
  <c r="N3977" i="1"/>
  <c r="M3977" i="1"/>
  <c r="O3976" i="1"/>
  <c r="N3976" i="1"/>
  <c r="M3976" i="1"/>
  <c r="O3975" i="1"/>
  <c r="M3975" i="1"/>
  <c r="N3975" i="1" s="1"/>
  <c r="O3974" i="1"/>
  <c r="M3974" i="1"/>
  <c r="N3974" i="1" s="1"/>
  <c r="Q3973" i="1"/>
  <c r="O3973" i="1"/>
  <c r="P3973" i="1" s="1"/>
  <c r="N3973" i="1"/>
  <c r="M3973" i="1"/>
  <c r="O3972" i="1"/>
  <c r="M3972" i="1"/>
  <c r="N3972" i="1" s="1"/>
  <c r="O3971" i="1"/>
  <c r="M3971" i="1"/>
  <c r="N3971" i="1" s="1"/>
  <c r="O3970" i="1"/>
  <c r="M3970" i="1"/>
  <c r="N3970" i="1" s="1"/>
  <c r="O3969" i="1"/>
  <c r="N3969" i="1"/>
  <c r="M3969" i="1"/>
  <c r="P3968" i="1"/>
  <c r="O3968" i="1"/>
  <c r="M3968" i="1"/>
  <c r="N3968" i="1" s="1"/>
  <c r="Q3968" i="1" s="1"/>
  <c r="O3967" i="1"/>
  <c r="N3967" i="1"/>
  <c r="M3967" i="1"/>
  <c r="O3966" i="1"/>
  <c r="M3966" i="1"/>
  <c r="N3966" i="1" s="1"/>
  <c r="O3965" i="1"/>
  <c r="M3965" i="1"/>
  <c r="N3965" i="1" s="1"/>
  <c r="O3964" i="1"/>
  <c r="N3964" i="1"/>
  <c r="M3964" i="1"/>
  <c r="O3963" i="1"/>
  <c r="M3963" i="1"/>
  <c r="N3963" i="1" s="1"/>
  <c r="O3962" i="1"/>
  <c r="M3962" i="1"/>
  <c r="N3962" i="1" s="1"/>
  <c r="O3961" i="1"/>
  <c r="N3961" i="1"/>
  <c r="M3961" i="1"/>
  <c r="O3960" i="1"/>
  <c r="N3960" i="1"/>
  <c r="Q3960" i="1" s="1"/>
  <c r="M3960" i="1"/>
  <c r="Q3959" i="1"/>
  <c r="O3959" i="1"/>
  <c r="P3959" i="1" s="1"/>
  <c r="N3959" i="1"/>
  <c r="M3959" i="1"/>
  <c r="O3958" i="1"/>
  <c r="M3958" i="1"/>
  <c r="N3958" i="1" s="1"/>
  <c r="P3957" i="1"/>
  <c r="O3957" i="1"/>
  <c r="N3957" i="1"/>
  <c r="Q3957" i="1" s="1"/>
  <c r="M3957" i="1"/>
  <c r="O3956" i="1"/>
  <c r="N3956" i="1"/>
  <c r="Q3956" i="1" s="1"/>
  <c r="M3956" i="1"/>
  <c r="O3955" i="1"/>
  <c r="M3955" i="1"/>
  <c r="N3955" i="1" s="1"/>
  <c r="O3954" i="1"/>
  <c r="M3954" i="1"/>
  <c r="N3954" i="1" s="1"/>
  <c r="O3953" i="1"/>
  <c r="N3953" i="1"/>
  <c r="M3953" i="1"/>
  <c r="O3952" i="1"/>
  <c r="M3952" i="1"/>
  <c r="N3952" i="1" s="1"/>
  <c r="O3951" i="1"/>
  <c r="M3951" i="1"/>
  <c r="N3951" i="1" s="1"/>
  <c r="O3950" i="1"/>
  <c r="N3950" i="1"/>
  <c r="M3950" i="1"/>
  <c r="Q3949" i="1"/>
  <c r="O3949" i="1"/>
  <c r="P3949" i="1" s="1"/>
  <c r="N3949" i="1"/>
  <c r="M3949" i="1"/>
  <c r="O3948" i="1"/>
  <c r="N3948" i="1"/>
  <c r="M3948" i="1"/>
  <c r="Q3947" i="1"/>
  <c r="P3947" i="1"/>
  <c r="O3947" i="1"/>
  <c r="M3947" i="1"/>
  <c r="N3947" i="1" s="1"/>
  <c r="O3946" i="1"/>
  <c r="M3946" i="1"/>
  <c r="N3946" i="1" s="1"/>
  <c r="O3945" i="1"/>
  <c r="M3945" i="1"/>
  <c r="N3945" i="1" s="1"/>
  <c r="Q3944" i="1"/>
  <c r="O3944" i="1"/>
  <c r="N3944" i="1"/>
  <c r="P3944" i="1" s="1"/>
  <c r="M3944" i="1"/>
  <c r="Q3943" i="1"/>
  <c r="P3943" i="1"/>
  <c r="O3943" i="1"/>
  <c r="M3943" i="1"/>
  <c r="N3943" i="1" s="1"/>
  <c r="Q3942" i="1"/>
  <c r="O3942" i="1"/>
  <c r="N3942" i="1"/>
  <c r="P3942" i="1" s="1"/>
  <c r="M3942" i="1"/>
  <c r="O3941" i="1"/>
  <c r="M3941" i="1"/>
  <c r="N3941" i="1" s="1"/>
  <c r="P3940" i="1"/>
  <c r="O3940" i="1"/>
  <c r="M3940" i="1"/>
  <c r="N3940" i="1" s="1"/>
  <c r="Q3940" i="1" s="1"/>
  <c r="Q3939" i="1"/>
  <c r="O3939" i="1"/>
  <c r="P3939" i="1" s="1"/>
  <c r="N3939" i="1"/>
  <c r="M3939" i="1"/>
  <c r="Q3938" i="1"/>
  <c r="O3938" i="1"/>
  <c r="N3938" i="1"/>
  <c r="P3938" i="1" s="1"/>
  <c r="M3938" i="1"/>
  <c r="O3937" i="1"/>
  <c r="M3937" i="1"/>
  <c r="N3937" i="1" s="1"/>
  <c r="O3936" i="1"/>
  <c r="N3936" i="1"/>
  <c r="P3936" i="1" s="1"/>
  <c r="M3936" i="1"/>
  <c r="O3935" i="1"/>
  <c r="M3935" i="1"/>
  <c r="N3935" i="1" s="1"/>
  <c r="O3934" i="1"/>
  <c r="M3934" i="1"/>
  <c r="N3934" i="1" s="1"/>
  <c r="O3933" i="1"/>
  <c r="M3933" i="1"/>
  <c r="N3933" i="1" s="1"/>
  <c r="O3932" i="1"/>
  <c r="N3932" i="1"/>
  <c r="M3932" i="1"/>
  <c r="O3931" i="1"/>
  <c r="M3931" i="1"/>
  <c r="N3931" i="1" s="1"/>
  <c r="Q3930" i="1"/>
  <c r="P3930" i="1"/>
  <c r="O3930" i="1"/>
  <c r="N3930" i="1"/>
  <c r="M3930" i="1"/>
  <c r="Q3929" i="1"/>
  <c r="P3929" i="1"/>
  <c r="O3929" i="1"/>
  <c r="N3929" i="1"/>
  <c r="M3929" i="1"/>
  <c r="Q3928" i="1"/>
  <c r="O3928" i="1"/>
  <c r="N3928" i="1"/>
  <c r="P3928" i="1" s="1"/>
  <c r="M3928" i="1"/>
  <c r="O3927" i="1"/>
  <c r="N3927" i="1"/>
  <c r="M3927" i="1"/>
  <c r="Q3926" i="1"/>
  <c r="P3926" i="1"/>
  <c r="O3926" i="1"/>
  <c r="N3926" i="1"/>
  <c r="M3926" i="1"/>
  <c r="O3925" i="1"/>
  <c r="M3925" i="1"/>
  <c r="N3925" i="1" s="1"/>
  <c r="O3924" i="1"/>
  <c r="M3924" i="1"/>
  <c r="N3924" i="1" s="1"/>
  <c r="Q3924" i="1" s="1"/>
  <c r="O3923" i="1"/>
  <c r="M3923" i="1"/>
  <c r="N3923" i="1" s="1"/>
  <c r="Q3923" i="1" s="1"/>
  <c r="O3922" i="1"/>
  <c r="N3922" i="1"/>
  <c r="M3922" i="1"/>
  <c r="O3921" i="1"/>
  <c r="M3921" i="1"/>
  <c r="N3921" i="1" s="1"/>
  <c r="O3920" i="1"/>
  <c r="N3920" i="1"/>
  <c r="M3920" i="1"/>
  <c r="Q3919" i="1"/>
  <c r="O3919" i="1"/>
  <c r="P3919" i="1" s="1"/>
  <c r="N3919" i="1"/>
  <c r="M3919" i="1"/>
  <c r="O3918" i="1"/>
  <c r="M3918" i="1"/>
  <c r="N3918" i="1" s="1"/>
  <c r="P3917" i="1"/>
  <c r="O3917" i="1"/>
  <c r="M3917" i="1"/>
  <c r="N3917" i="1" s="1"/>
  <c r="Q3917" i="1" s="1"/>
  <c r="P3916" i="1"/>
  <c r="O3916" i="1"/>
  <c r="N3916" i="1"/>
  <c r="Q3916" i="1" s="1"/>
  <c r="M3916" i="1"/>
  <c r="P3915" i="1"/>
  <c r="O3915" i="1"/>
  <c r="M3915" i="1"/>
  <c r="N3915" i="1" s="1"/>
  <c r="Q3915" i="1" s="1"/>
  <c r="O3914" i="1"/>
  <c r="M3914" i="1"/>
  <c r="N3914" i="1" s="1"/>
  <c r="O3913" i="1"/>
  <c r="M3913" i="1"/>
  <c r="N3913" i="1" s="1"/>
  <c r="P3913" i="1" s="1"/>
  <c r="O3912" i="1"/>
  <c r="N3912" i="1"/>
  <c r="M3912" i="1"/>
  <c r="O3911" i="1"/>
  <c r="M3911" i="1"/>
  <c r="N3911" i="1" s="1"/>
  <c r="Q3911" i="1" s="1"/>
  <c r="O3910" i="1"/>
  <c r="N3910" i="1"/>
  <c r="M3910" i="1"/>
  <c r="P3909" i="1"/>
  <c r="O3909" i="1"/>
  <c r="M3909" i="1"/>
  <c r="N3909" i="1" s="1"/>
  <c r="Q3909" i="1" s="1"/>
  <c r="O3908" i="1"/>
  <c r="M3908" i="1"/>
  <c r="N3908" i="1" s="1"/>
  <c r="O3907" i="1"/>
  <c r="N3907" i="1"/>
  <c r="Q3907" i="1" s="1"/>
  <c r="M3907" i="1"/>
  <c r="O3906" i="1"/>
  <c r="P3906" i="1" s="1"/>
  <c r="N3906" i="1"/>
  <c r="Q3906" i="1" s="1"/>
  <c r="M3906" i="1"/>
  <c r="P3905" i="1"/>
  <c r="O3905" i="1"/>
  <c r="M3905" i="1"/>
  <c r="N3905" i="1" s="1"/>
  <c r="Q3905" i="1" s="1"/>
  <c r="O3904" i="1"/>
  <c r="N3904" i="1"/>
  <c r="M3904" i="1"/>
  <c r="Q3903" i="1"/>
  <c r="P3903" i="1"/>
  <c r="O3903" i="1"/>
  <c r="M3903" i="1"/>
  <c r="N3903" i="1" s="1"/>
  <c r="O3902" i="1"/>
  <c r="M3902" i="1"/>
  <c r="N3902" i="1" s="1"/>
  <c r="O3901" i="1"/>
  <c r="M3901" i="1"/>
  <c r="N3901" i="1" s="1"/>
  <c r="O3900" i="1"/>
  <c r="M3900" i="1"/>
  <c r="N3900" i="1" s="1"/>
  <c r="Q3899" i="1"/>
  <c r="O3899" i="1"/>
  <c r="N3899" i="1"/>
  <c r="P3899" i="1" s="1"/>
  <c r="M3899" i="1"/>
  <c r="O3898" i="1"/>
  <c r="M3898" i="1"/>
  <c r="N3898" i="1" s="1"/>
  <c r="Q3898" i="1" s="1"/>
  <c r="Q3897" i="1"/>
  <c r="P3897" i="1"/>
  <c r="O3897" i="1"/>
  <c r="N3897" i="1"/>
  <c r="M3897" i="1"/>
  <c r="O3896" i="1"/>
  <c r="M3896" i="1"/>
  <c r="N3896" i="1" s="1"/>
  <c r="O3895" i="1"/>
  <c r="M3895" i="1"/>
  <c r="N3895" i="1" s="1"/>
  <c r="O3894" i="1"/>
  <c r="N3894" i="1"/>
  <c r="M3894" i="1"/>
  <c r="Q3893" i="1"/>
  <c r="P3893" i="1"/>
  <c r="O3893" i="1"/>
  <c r="N3893" i="1"/>
  <c r="M3893" i="1"/>
  <c r="Q3892" i="1"/>
  <c r="O3892" i="1"/>
  <c r="N3892" i="1"/>
  <c r="P3892" i="1" s="1"/>
  <c r="M3892" i="1"/>
  <c r="O3891" i="1"/>
  <c r="P3891" i="1" s="1"/>
  <c r="M3891" i="1"/>
  <c r="N3891" i="1" s="1"/>
  <c r="Q3891" i="1" s="1"/>
  <c r="O3890" i="1"/>
  <c r="N3890" i="1"/>
  <c r="M3890" i="1"/>
  <c r="O3889" i="1"/>
  <c r="M3889" i="1"/>
  <c r="N3889" i="1" s="1"/>
  <c r="Q3889" i="1" s="1"/>
  <c r="Q3888" i="1"/>
  <c r="P3888" i="1"/>
  <c r="O3888" i="1"/>
  <c r="M3888" i="1"/>
  <c r="N3888" i="1" s="1"/>
  <c r="O3887" i="1"/>
  <c r="M3887" i="1"/>
  <c r="N3887" i="1" s="1"/>
  <c r="O3886" i="1"/>
  <c r="M3886" i="1"/>
  <c r="N3886" i="1" s="1"/>
  <c r="O3885" i="1"/>
  <c r="N3885" i="1"/>
  <c r="M3885" i="1"/>
  <c r="Q3884" i="1"/>
  <c r="P3884" i="1"/>
  <c r="O3884" i="1"/>
  <c r="M3884" i="1"/>
  <c r="N3884" i="1" s="1"/>
  <c r="O3883" i="1"/>
  <c r="N3883" i="1"/>
  <c r="M3883" i="1"/>
  <c r="O3882" i="1"/>
  <c r="M3882" i="1"/>
  <c r="N3882" i="1" s="1"/>
  <c r="O3881" i="1"/>
  <c r="M3881" i="1"/>
  <c r="N3881" i="1" s="1"/>
  <c r="P3880" i="1"/>
  <c r="O3880" i="1"/>
  <c r="M3880" i="1"/>
  <c r="N3880" i="1" s="1"/>
  <c r="Q3880" i="1" s="1"/>
  <c r="O3879" i="1"/>
  <c r="M3879" i="1"/>
  <c r="N3879" i="1" s="1"/>
  <c r="O3878" i="1"/>
  <c r="N3878" i="1"/>
  <c r="M3878" i="1"/>
  <c r="Q3877" i="1"/>
  <c r="O3877" i="1"/>
  <c r="P3877" i="1" s="1"/>
  <c r="N3877" i="1"/>
  <c r="M3877" i="1"/>
  <c r="Q3876" i="1"/>
  <c r="O3876" i="1"/>
  <c r="M3876" i="1"/>
  <c r="N3876" i="1" s="1"/>
  <c r="P3876" i="1" s="1"/>
  <c r="O3875" i="1"/>
  <c r="N3875" i="1"/>
  <c r="M3875" i="1"/>
  <c r="O3874" i="1"/>
  <c r="N3874" i="1"/>
  <c r="M3874" i="1"/>
  <c r="O3873" i="1"/>
  <c r="M3873" i="1"/>
  <c r="N3873" i="1" s="1"/>
  <c r="Q3873" i="1" s="1"/>
  <c r="Q3872" i="1"/>
  <c r="O3872" i="1"/>
  <c r="M3872" i="1"/>
  <c r="N3872" i="1" s="1"/>
  <c r="P3872" i="1" s="1"/>
  <c r="O3871" i="1"/>
  <c r="N3871" i="1"/>
  <c r="Q3871" i="1" s="1"/>
  <c r="M3871" i="1"/>
  <c r="O3870" i="1"/>
  <c r="M3870" i="1"/>
  <c r="N3870" i="1" s="1"/>
  <c r="O3869" i="1"/>
  <c r="M3869" i="1"/>
  <c r="N3869" i="1" s="1"/>
  <c r="Q3869" i="1" s="1"/>
  <c r="O3868" i="1"/>
  <c r="N3868" i="1"/>
  <c r="M3868" i="1"/>
  <c r="O3867" i="1"/>
  <c r="N3867" i="1"/>
  <c r="M3867" i="1"/>
  <c r="P3866" i="1"/>
  <c r="O3866" i="1"/>
  <c r="N3866" i="1"/>
  <c r="Q3866" i="1" s="1"/>
  <c r="M3866" i="1"/>
  <c r="O3865" i="1"/>
  <c r="M3865" i="1"/>
  <c r="N3865" i="1" s="1"/>
  <c r="Q3864" i="1"/>
  <c r="P3864" i="1"/>
  <c r="O3864" i="1"/>
  <c r="M3864" i="1"/>
  <c r="N3864" i="1" s="1"/>
  <c r="O3863" i="1"/>
  <c r="N3863" i="1"/>
  <c r="M3863" i="1"/>
  <c r="Q3862" i="1"/>
  <c r="O3862" i="1"/>
  <c r="P3862" i="1" s="1"/>
  <c r="N3862" i="1"/>
  <c r="M3862" i="1"/>
  <c r="Q3861" i="1"/>
  <c r="P3861" i="1"/>
  <c r="O3861" i="1"/>
  <c r="N3861" i="1"/>
  <c r="M3861" i="1"/>
  <c r="Q3860" i="1"/>
  <c r="O3860" i="1"/>
  <c r="N3860" i="1"/>
  <c r="P3860" i="1" s="1"/>
  <c r="M3860" i="1"/>
  <c r="O3859" i="1"/>
  <c r="M3859" i="1"/>
  <c r="N3859" i="1" s="1"/>
  <c r="Q3858" i="1"/>
  <c r="O3858" i="1"/>
  <c r="N3858" i="1"/>
  <c r="M3858" i="1"/>
  <c r="O3857" i="1"/>
  <c r="M3857" i="1"/>
  <c r="N3857" i="1" s="1"/>
  <c r="Q3856" i="1"/>
  <c r="P3856" i="1"/>
  <c r="O3856" i="1"/>
  <c r="N3856" i="1"/>
  <c r="M3856" i="1"/>
  <c r="O3855" i="1"/>
  <c r="N3855" i="1"/>
  <c r="M3855" i="1"/>
  <c r="O3854" i="1"/>
  <c r="M3854" i="1"/>
  <c r="N3854" i="1" s="1"/>
  <c r="O3853" i="1"/>
  <c r="N3853" i="1"/>
  <c r="M3853" i="1"/>
  <c r="Q3852" i="1"/>
  <c r="O3852" i="1"/>
  <c r="N3852" i="1"/>
  <c r="P3852" i="1" s="1"/>
  <c r="M3852" i="1"/>
  <c r="O3851" i="1"/>
  <c r="N3851" i="1"/>
  <c r="P3851" i="1" s="1"/>
  <c r="M3851" i="1"/>
  <c r="P3850" i="1"/>
  <c r="O3850" i="1"/>
  <c r="M3850" i="1"/>
  <c r="N3850" i="1" s="1"/>
  <c r="Q3850" i="1" s="1"/>
  <c r="O3849" i="1"/>
  <c r="M3849" i="1"/>
  <c r="N3849" i="1" s="1"/>
  <c r="Q3848" i="1"/>
  <c r="P3848" i="1"/>
  <c r="O3848" i="1"/>
  <c r="M3848" i="1"/>
  <c r="N3848" i="1" s="1"/>
  <c r="O3847" i="1"/>
  <c r="M3847" i="1"/>
  <c r="N3847" i="1" s="1"/>
  <c r="Q3847" i="1" s="1"/>
  <c r="O3846" i="1"/>
  <c r="M3846" i="1"/>
  <c r="N3846" i="1" s="1"/>
  <c r="Q3845" i="1"/>
  <c r="P3845" i="1"/>
  <c r="O3845" i="1"/>
  <c r="N3845" i="1"/>
  <c r="M3845" i="1"/>
  <c r="Q3844" i="1"/>
  <c r="O3844" i="1"/>
  <c r="N3844" i="1"/>
  <c r="M3844" i="1"/>
  <c r="O3843" i="1"/>
  <c r="M3843" i="1"/>
  <c r="N3843" i="1" s="1"/>
  <c r="Q3843" i="1" s="1"/>
  <c r="Q3842" i="1"/>
  <c r="O3842" i="1"/>
  <c r="N3842" i="1"/>
  <c r="M3842" i="1"/>
  <c r="P3841" i="1"/>
  <c r="O3841" i="1"/>
  <c r="N3841" i="1"/>
  <c r="Q3841" i="1" s="1"/>
  <c r="M3841" i="1"/>
  <c r="Q3840" i="1"/>
  <c r="P3840" i="1"/>
  <c r="O3840" i="1"/>
  <c r="N3840" i="1"/>
  <c r="M3840" i="1"/>
  <c r="O3839" i="1"/>
  <c r="M3839" i="1"/>
  <c r="N3839" i="1" s="1"/>
  <c r="O3838" i="1"/>
  <c r="M3838" i="1"/>
  <c r="N3838" i="1" s="1"/>
  <c r="O3837" i="1"/>
  <c r="M3837" i="1"/>
  <c r="N3837" i="1" s="1"/>
  <c r="P3837" i="1" s="1"/>
  <c r="Q3836" i="1"/>
  <c r="O3836" i="1"/>
  <c r="N3836" i="1"/>
  <c r="M3836" i="1"/>
  <c r="O3835" i="1"/>
  <c r="N3835" i="1"/>
  <c r="M3835" i="1"/>
  <c r="O3834" i="1"/>
  <c r="N3834" i="1"/>
  <c r="M3834" i="1"/>
  <c r="Q3833" i="1"/>
  <c r="P3833" i="1"/>
  <c r="O3833" i="1"/>
  <c r="M3833" i="1"/>
  <c r="N3833" i="1" s="1"/>
  <c r="O3832" i="1"/>
  <c r="M3832" i="1"/>
  <c r="N3832" i="1" s="1"/>
  <c r="P3831" i="1"/>
  <c r="O3831" i="1"/>
  <c r="M3831" i="1"/>
  <c r="N3831" i="1" s="1"/>
  <c r="Q3831" i="1" s="1"/>
  <c r="O3830" i="1"/>
  <c r="M3830" i="1"/>
  <c r="N3830" i="1" s="1"/>
  <c r="Q3829" i="1"/>
  <c r="O3829" i="1"/>
  <c r="P3829" i="1" s="1"/>
  <c r="N3829" i="1"/>
  <c r="M3829" i="1"/>
  <c r="O3828" i="1"/>
  <c r="N3828" i="1"/>
  <c r="M3828" i="1"/>
  <c r="Q3827" i="1"/>
  <c r="P3827" i="1"/>
  <c r="O3827" i="1"/>
  <c r="N3827" i="1"/>
  <c r="M3827" i="1"/>
  <c r="Q3826" i="1"/>
  <c r="P3826" i="1"/>
  <c r="O3826" i="1"/>
  <c r="N3826" i="1"/>
  <c r="M3826" i="1"/>
  <c r="O3825" i="1"/>
  <c r="M3825" i="1"/>
  <c r="N3825" i="1" s="1"/>
  <c r="O3824" i="1"/>
  <c r="P3824" i="1" s="1"/>
  <c r="N3824" i="1"/>
  <c r="Q3824" i="1" s="1"/>
  <c r="M3824" i="1"/>
  <c r="O3823" i="1"/>
  <c r="N3823" i="1"/>
  <c r="M3823" i="1"/>
  <c r="O3822" i="1"/>
  <c r="M3822" i="1"/>
  <c r="N3822" i="1" s="1"/>
  <c r="O3821" i="1"/>
  <c r="N3821" i="1"/>
  <c r="M3821" i="1"/>
  <c r="O3820" i="1"/>
  <c r="N3820" i="1"/>
  <c r="Q3820" i="1" s="1"/>
  <c r="M3820" i="1"/>
  <c r="O3819" i="1"/>
  <c r="N3819" i="1"/>
  <c r="P3819" i="1" s="1"/>
  <c r="M3819" i="1"/>
  <c r="P3818" i="1"/>
  <c r="O3818" i="1"/>
  <c r="M3818" i="1"/>
  <c r="N3818" i="1" s="1"/>
  <c r="Q3818" i="1" s="1"/>
  <c r="O3817" i="1"/>
  <c r="N3817" i="1"/>
  <c r="M3817" i="1"/>
  <c r="Q3816" i="1"/>
  <c r="P3816" i="1"/>
  <c r="O3816" i="1"/>
  <c r="M3816" i="1"/>
  <c r="N3816" i="1" s="1"/>
  <c r="O3815" i="1"/>
  <c r="M3815" i="1"/>
  <c r="N3815" i="1" s="1"/>
  <c r="Q3815" i="1" s="1"/>
  <c r="Q3814" i="1"/>
  <c r="O3814" i="1"/>
  <c r="N3814" i="1"/>
  <c r="P3814" i="1" s="1"/>
  <c r="M3814" i="1"/>
  <c r="Q3813" i="1"/>
  <c r="P3813" i="1"/>
  <c r="O3813" i="1"/>
  <c r="N3813" i="1"/>
  <c r="M3813" i="1"/>
  <c r="O3812" i="1"/>
  <c r="N3812" i="1"/>
  <c r="M3812" i="1"/>
  <c r="O3811" i="1"/>
  <c r="M3811" i="1"/>
  <c r="N3811" i="1" s="1"/>
  <c r="Q3811" i="1" s="1"/>
  <c r="O3810" i="1"/>
  <c r="N3810" i="1"/>
  <c r="M3810" i="1"/>
  <c r="O3809" i="1"/>
  <c r="M3809" i="1"/>
  <c r="N3809" i="1" s="1"/>
  <c r="Q3808" i="1"/>
  <c r="P3808" i="1"/>
  <c r="O3808" i="1"/>
  <c r="N3808" i="1"/>
  <c r="M3808" i="1"/>
  <c r="O3807" i="1"/>
  <c r="M3807" i="1"/>
  <c r="N3807" i="1" s="1"/>
  <c r="O3806" i="1"/>
  <c r="M3806" i="1"/>
  <c r="N3806" i="1" s="1"/>
  <c r="O3805" i="1"/>
  <c r="M3805" i="1"/>
  <c r="N3805" i="1" s="1"/>
  <c r="O3804" i="1"/>
  <c r="N3804" i="1"/>
  <c r="M3804" i="1"/>
  <c r="O3803" i="1"/>
  <c r="N3803" i="1"/>
  <c r="M3803" i="1"/>
  <c r="O3802" i="1"/>
  <c r="N3802" i="1"/>
  <c r="Q3802" i="1" s="1"/>
  <c r="M3802" i="1"/>
  <c r="Q3801" i="1"/>
  <c r="P3801" i="1"/>
  <c r="O3801" i="1"/>
  <c r="M3801" i="1"/>
  <c r="N3801" i="1" s="1"/>
  <c r="O3800" i="1"/>
  <c r="M3800" i="1"/>
  <c r="N3800" i="1" s="1"/>
  <c r="O3799" i="1"/>
  <c r="M3799" i="1"/>
  <c r="N3799" i="1" s="1"/>
  <c r="O3798" i="1"/>
  <c r="M3798" i="1"/>
  <c r="N3798" i="1" s="1"/>
  <c r="Q3798" i="1" s="1"/>
  <c r="Q3797" i="1"/>
  <c r="O3797" i="1"/>
  <c r="P3797" i="1" s="1"/>
  <c r="N3797" i="1"/>
  <c r="M3797" i="1"/>
  <c r="O3796" i="1"/>
  <c r="M3796" i="1"/>
  <c r="N3796" i="1" s="1"/>
  <c r="Q3795" i="1"/>
  <c r="P3795" i="1"/>
  <c r="O3795" i="1"/>
  <c r="N3795" i="1"/>
  <c r="M3795" i="1"/>
  <c r="Q3794" i="1"/>
  <c r="P3794" i="1"/>
  <c r="O3794" i="1"/>
  <c r="N3794" i="1"/>
  <c r="M3794" i="1"/>
  <c r="O3793" i="1"/>
  <c r="M3793" i="1"/>
  <c r="N3793" i="1" s="1"/>
  <c r="Q3792" i="1"/>
  <c r="O3792" i="1"/>
  <c r="N3792" i="1"/>
  <c r="P3792" i="1" s="1"/>
  <c r="M3792" i="1"/>
  <c r="O3791" i="1"/>
  <c r="M3791" i="1"/>
  <c r="N3791" i="1" s="1"/>
  <c r="O3790" i="1"/>
  <c r="M3790" i="1"/>
  <c r="N3790" i="1" s="1"/>
  <c r="O3789" i="1"/>
  <c r="M3789" i="1"/>
  <c r="N3789" i="1" s="1"/>
  <c r="Q3788" i="1"/>
  <c r="P3788" i="1"/>
  <c r="O3788" i="1"/>
  <c r="N3788" i="1"/>
  <c r="M3788" i="1"/>
  <c r="O3787" i="1"/>
  <c r="N3787" i="1"/>
  <c r="P3787" i="1" s="1"/>
  <c r="M3787" i="1"/>
  <c r="O3786" i="1"/>
  <c r="M3786" i="1"/>
  <c r="N3786" i="1" s="1"/>
  <c r="O3785" i="1"/>
  <c r="M3785" i="1"/>
  <c r="N3785" i="1" s="1"/>
  <c r="Q3784" i="1"/>
  <c r="P3784" i="1"/>
  <c r="O3784" i="1"/>
  <c r="M3784" i="1"/>
  <c r="N3784" i="1" s="1"/>
  <c r="O3783" i="1"/>
  <c r="M3783" i="1"/>
  <c r="N3783" i="1" s="1"/>
  <c r="Q3783" i="1" s="1"/>
  <c r="O3782" i="1"/>
  <c r="M3782" i="1"/>
  <c r="N3782" i="1" s="1"/>
  <c r="P3782" i="1" s="1"/>
  <c r="Q3781" i="1"/>
  <c r="P3781" i="1"/>
  <c r="O3781" i="1"/>
  <c r="N3781" i="1"/>
  <c r="M3781" i="1"/>
  <c r="O3780" i="1"/>
  <c r="N3780" i="1"/>
  <c r="M3780" i="1"/>
  <c r="O3779" i="1"/>
  <c r="M3779" i="1"/>
  <c r="N3779" i="1" s="1"/>
  <c r="Q3779" i="1" s="1"/>
  <c r="P3778" i="1"/>
  <c r="O3778" i="1"/>
  <c r="N3778" i="1"/>
  <c r="Q3778" i="1" s="1"/>
  <c r="M3778" i="1"/>
  <c r="O3777" i="1"/>
  <c r="N3777" i="1"/>
  <c r="M3777" i="1"/>
  <c r="Q3776" i="1"/>
  <c r="P3776" i="1"/>
  <c r="O3776" i="1"/>
  <c r="N3776" i="1"/>
  <c r="M3776" i="1"/>
  <c r="O3775" i="1"/>
  <c r="M3775" i="1"/>
  <c r="N3775" i="1" s="1"/>
  <c r="O3774" i="1"/>
  <c r="M3774" i="1"/>
  <c r="N3774" i="1" s="1"/>
  <c r="O3773" i="1"/>
  <c r="N3773" i="1"/>
  <c r="P3773" i="1" s="1"/>
  <c r="M3773" i="1"/>
  <c r="Q3772" i="1"/>
  <c r="O3772" i="1"/>
  <c r="N3772" i="1"/>
  <c r="M3772" i="1"/>
  <c r="O3771" i="1"/>
  <c r="N3771" i="1"/>
  <c r="M3771" i="1"/>
  <c r="O3770" i="1"/>
  <c r="M3770" i="1"/>
  <c r="N3770" i="1" s="1"/>
  <c r="Q3769" i="1"/>
  <c r="O3769" i="1"/>
  <c r="M3769" i="1"/>
  <c r="N3769" i="1" s="1"/>
  <c r="P3769" i="1" s="1"/>
  <c r="O3768" i="1"/>
  <c r="M3768" i="1"/>
  <c r="N3768" i="1" s="1"/>
  <c r="P3768" i="1" s="1"/>
  <c r="O3767" i="1"/>
  <c r="M3767" i="1"/>
  <c r="N3767" i="1" s="1"/>
  <c r="O3766" i="1"/>
  <c r="M3766" i="1"/>
  <c r="N3766" i="1" s="1"/>
  <c r="O3765" i="1"/>
  <c r="M3765" i="1"/>
  <c r="N3765" i="1" s="1"/>
  <c r="O3764" i="1"/>
  <c r="M3764" i="1"/>
  <c r="N3764" i="1" s="1"/>
  <c r="Q3763" i="1"/>
  <c r="P3763" i="1"/>
  <c r="O3763" i="1"/>
  <c r="M3763" i="1"/>
  <c r="N3763" i="1" s="1"/>
  <c r="O3762" i="1"/>
  <c r="N3762" i="1"/>
  <c r="M3762" i="1"/>
  <c r="O3761" i="1"/>
  <c r="M3761" i="1"/>
  <c r="N3761" i="1" s="1"/>
  <c r="Q3761" i="1" s="1"/>
  <c r="O3760" i="1"/>
  <c r="N3760" i="1"/>
  <c r="P3760" i="1" s="1"/>
  <c r="M3760" i="1"/>
  <c r="O3759" i="1"/>
  <c r="M3759" i="1"/>
  <c r="N3759" i="1" s="1"/>
  <c r="O3758" i="1"/>
  <c r="M3758" i="1"/>
  <c r="N3758" i="1" s="1"/>
  <c r="Q3757" i="1"/>
  <c r="P3757" i="1"/>
  <c r="O3757" i="1"/>
  <c r="M3757" i="1"/>
  <c r="N3757" i="1" s="1"/>
  <c r="O3756" i="1"/>
  <c r="M3756" i="1"/>
  <c r="N3756" i="1" s="1"/>
  <c r="Q3755" i="1"/>
  <c r="O3755" i="1"/>
  <c r="N3755" i="1"/>
  <c r="P3755" i="1" s="1"/>
  <c r="M3755" i="1"/>
  <c r="Q3754" i="1"/>
  <c r="O3754" i="1"/>
  <c r="N3754" i="1"/>
  <c r="P3754" i="1" s="1"/>
  <c r="M3754" i="1"/>
  <c r="P3753" i="1"/>
  <c r="O3753" i="1"/>
  <c r="N3753" i="1"/>
  <c r="Q3753" i="1" s="1"/>
  <c r="M3753" i="1"/>
  <c r="O3752" i="1"/>
  <c r="M3752" i="1"/>
  <c r="N3752" i="1" s="1"/>
  <c r="P3751" i="1"/>
  <c r="O3751" i="1"/>
  <c r="N3751" i="1"/>
  <c r="Q3751" i="1" s="1"/>
  <c r="M3751" i="1"/>
  <c r="Q3750" i="1"/>
  <c r="P3750" i="1"/>
  <c r="O3750" i="1"/>
  <c r="M3750" i="1"/>
  <c r="N3750" i="1" s="1"/>
  <c r="Q3749" i="1"/>
  <c r="P3749" i="1"/>
  <c r="O3749" i="1"/>
  <c r="M3749" i="1"/>
  <c r="N3749" i="1" s="1"/>
  <c r="O3748" i="1"/>
  <c r="M3748" i="1"/>
  <c r="N3748" i="1" s="1"/>
  <c r="O3747" i="1"/>
  <c r="M3747" i="1"/>
  <c r="N3747" i="1" s="1"/>
  <c r="O3746" i="1"/>
  <c r="N3746" i="1"/>
  <c r="M3746" i="1"/>
  <c r="P3745" i="1"/>
  <c r="O3745" i="1"/>
  <c r="N3745" i="1"/>
  <c r="Q3745" i="1" s="1"/>
  <c r="M3745" i="1"/>
  <c r="Q3744" i="1"/>
  <c r="P3744" i="1"/>
  <c r="O3744" i="1"/>
  <c r="N3744" i="1"/>
  <c r="M3744" i="1"/>
  <c r="O3743" i="1"/>
  <c r="M3743" i="1"/>
  <c r="N3743" i="1" s="1"/>
  <c r="O3742" i="1"/>
  <c r="M3742" i="1"/>
  <c r="N3742" i="1" s="1"/>
  <c r="O3741" i="1"/>
  <c r="N3741" i="1"/>
  <c r="M3741" i="1"/>
  <c r="Q3740" i="1"/>
  <c r="P3740" i="1"/>
  <c r="O3740" i="1"/>
  <c r="M3740" i="1"/>
  <c r="N3740" i="1" s="1"/>
  <c r="Q3739" i="1"/>
  <c r="O3739" i="1"/>
  <c r="N3739" i="1"/>
  <c r="P3739" i="1" s="1"/>
  <c r="M3739" i="1"/>
  <c r="O3738" i="1"/>
  <c r="M3738" i="1"/>
  <c r="N3738" i="1" s="1"/>
  <c r="O3737" i="1"/>
  <c r="M3737" i="1"/>
  <c r="N3737" i="1" s="1"/>
  <c r="P3736" i="1"/>
  <c r="O3736" i="1"/>
  <c r="M3736" i="1"/>
  <c r="N3736" i="1" s="1"/>
  <c r="Q3736" i="1" s="1"/>
  <c r="O3735" i="1"/>
  <c r="N3735" i="1"/>
  <c r="M3735" i="1"/>
  <c r="O3734" i="1"/>
  <c r="N3734" i="1"/>
  <c r="M3734" i="1"/>
  <c r="Q3733" i="1"/>
  <c r="O3733" i="1"/>
  <c r="P3733" i="1" s="1"/>
  <c r="M3733" i="1"/>
  <c r="N3733" i="1" s="1"/>
  <c r="Q3732" i="1"/>
  <c r="O3732" i="1"/>
  <c r="M3732" i="1"/>
  <c r="N3732" i="1" s="1"/>
  <c r="O3731" i="1"/>
  <c r="M3731" i="1"/>
  <c r="N3731" i="1" s="1"/>
  <c r="O3730" i="1"/>
  <c r="P3730" i="1" s="1"/>
  <c r="N3730" i="1"/>
  <c r="Q3730" i="1" s="1"/>
  <c r="M3730" i="1"/>
  <c r="O3729" i="1"/>
  <c r="M3729" i="1"/>
  <c r="N3729" i="1" s="1"/>
  <c r="O3728" i="1"/>
  <c r="N3728" i="1"/>
  <c r="M3728" i="1"/>
  <c r="O3727" i="1"/>
  <c r="N3727" i="1"/>
  <c r="M3727" i="1"/>
  <c r="O3726" i="1"/>
  <c r="M3726" i="1"/>
  <c r="N3726" i="1" s="1"/>
  <c r="Q3725" i="1"/>
  <c r="O3725" i="1"/>
  <c r="N3725" i="1"/>
  <c r="M3725" i="1"/>
  <c r="O3724" i="1"/>
  <c r="M3724" i="1"/>
  <c r="N3724" i="1" s="1"/>
  <c r="Q3724" i="1" s="1"/>
  <c r="Q3723" i="1"/>
  <c r="O3723" i="1"/>
  <c r="N3723" i="1"/>
  <c r="P3723" i="1" s="1"/>
  <c r="M3723" i="1"/>
  <c r="Q3722" i="1"/>
  <c r="O3722" i="1"/>
  <c r="M3722" i="1"/>
  <c r="N3722" i="1" s="1"/>
  <c r="P3722" i="1" s="1"/>
  <c r="Q3721" i="1"/>
  <c r="O3721" i="1"/>
  <c r="M3721" i="1"/>
  <c r="N3721" i="1" s="1"/>
  <c r="P3721" i="1" s="1"/>
  <c r="O3720" i="1"/>
  <c r="M3720" i="1"/>
  <c r="N3720" i="1" s="1"/>
  <c r="P3719" i="1"/>
  <c r="O3719" i="1"/>
  <c r="N3719" i="1"/>
  <c r="Q3719" i="1" s="1"/>
  <c r="M3719" i="1"/>
  <c r="Q3718" i="1"/>
  <c r="O3718" i="1"/>
  <c r="N3718" i="1"/>
  <c r="P3718" i="1" s="1"/>
  <c r="M3718" i="1"/>
  <c r="P3717" i="1"/>
  <c r="O3717" i="1"/>
  <c r="M3717" i="1"/>
  <c r="N3717" i="1" s="1"/>
  <c r="Q3717" i="1" s="1"/>
  <c r="O3716" i="1"/>
  <c r="M3716" i="1"/>
  <c r="N3716" i="1" s="1"/>
  <c r="Q3715" i="1"/>
  <c r="P3715" i="1"/>
  <c r="O3715" i="1"/>
  <c r="N3715" i="1"/>
  <c r="M3715" i="1"/>
  <c r="Q3714" i="1"/>
  <c r="P3714" i="1"/>
  <c r="O3714" i="1"/>
  <c r="N3714" i="1"/>
  <c r="M3714" i="1"/>
  <c r="P3713" i="1"/>
  <c r="O3713" i="1"/>
  <c r="M3713" i="1"/>
  <c r="N3713" i="1" s="1"/>
  <c r="Q3713" i="1" s="1"/>
  <c r="Q3712" i="1"/>
  <c r="O3712" i="1"/>
  <c r="P3712" i="1" s="1"/>
  <c r="N3712" i="1"/>
  <c r="M3712" i="1"/>
  <c r="O3711" i="1"/>
  <c r="N3711" i="1"/>
  <c r="M3711" i="1"/>
  <c r="O3710" i="1"/>
  <c r="M3710" i="1"/>
  <c r="N3710" i="1" s="1"/>
  <c r="O3709" i="1"/>
  <c r="M3709" i="1"/>
  <c r="N3709" i="1" s="1"/>
  <c r="Q3708" i="1"/>
  <c r="O3708" i="1"/>
  <c r="P3708" i="1" s="1"/>
  <c r="N3708" i="1"/>
  <c r="M3708" i="1"/>
  <c r="O3707" i="1"/>
  <c r="N3707" i="1"/>
  <c r="M3707" i="1"/>
  <c r="P3706" i="1"/>
  <c r="O3706" i="1"/>
  <c r="N3706" i="1"/>
  <c r="Q3706" i="1" s="1"/>
  <c r="M3706" i="1"/>
  <c r="P3705" i="1"/>
  <c r="O3705" i="1"/>
  <c r="N3705" i="1"/>
  <c r="Q3705" i="1" s="1"/>
  <c r="M3705" i="1"/>
  <c r="Q3704" i="1"/>
  <c r="P3704" i="1"/>
  <c r="O3704" i="1"/>
  <c r="M3704" i="1"/>
  <c r="N3704" i="1" s="1"/>
  <c r="O3703" i="1"/>
  <c r="M3703" i="1"/>
  <c r="N3703" i="1" s="1"/>
  <c r="Q3702" i="1"/>
  <c r="P3702" i="1"/>
  <c r="O3702" i="1"/>
  <c r="N3702" i="1"/>
  <c r="M3702" i="1"/>
  <c r="P3701" i="1"/>
  <c r="O3701" i="1"/>
  <c r="M3701" i="1"/>
  <c r="N3701" i="1" s="1"/>
  <c r="Q3701" i="1" s="1"/>
  <c r="Q3700" i="1"/>
  <c r="O3700" i="1"/>
  <c r="N3700" i="1"/>
  <c r="P3700" i="1" s="1"/>
  <c r="M3700" i="1"/>
  <c r="O3699" i="1"/>
  <c r="M3699" i="1"/>
  <c r="N3699" i="1" s="1"/>
  <c r="Q3698" i="1"/>
  <c r="P3698" i="1"/>
  <c r="O3698" i="1"/>
  <c r="N3698" i="1"/>
  <c r="M3698" i="1"/>
  <c r="O3697" i="1"/>
  <c r="N3697" i="1"/>
  <c r="M3697" i="1"/>
  <c r="Q3696" i="1"/>
  <c r="P3696" i="1"/>
  <c r="O3696" i="1"/>
  <c r="M3696" i="1"/>
  <c r="N3696" i="1" s="1"/>
  <c r="O3695" i="1"/>
  <c r="M3695" i="1"/>
  <c r="N3695" i="1" s="1"/>
  <c r="O3694" i="1"/>
  <c r="M3694" i="1"/>
  <c r="N3694" i="1" s="1"/>
  <c r="Q3693" i="1"/>
  <c r="O3693" i="1"/>
  <c r="M3693" i="1"/>
  <c r="N3693" i="1" s="1"/>
  <c r="P3693" i="1" s="1"/>
  <c r="Q3692" i="1"/>
  <c r="O3692" i="1"/>
  <c r="N3692" i="1"/>
  <c r="P3692" i="1" s="1"/>
  <c r="M3692" i="1"/>
  <c r="O3691" i="1"/>
  <c r="N3691" i="1"/>
  <c r="P3691" i="1" s="1"/>
  <c r="M3691" i="1"/>
  <c r="O3690" i="1"/>
  <c r="N3690" i="1"/>
  <c r="M3690" i="1"/>
  <c r="P3689" i="1"/>
  <c r="O3689" i="1"/>
  <c r="M3689" i="1"/>
  <c r="N3689" i="1" s="1"/>
  <c r="Q3689" i="1" s="1"/>
  <c r="Q3688" i="1"/>
  <c r="P3688" i="1"/>
  <c r="O3688" i="1"/>
  <c r="M3688" i="1"/>
  <c r="N3688" i="1" s="1"/>
  <c r="O3687" i="1"/>
  <c r="M3687" i="1"/>
  <c r="N3687" i="1" s="1"/>
  <c r="Q3686" i="1"/>
  <c r="O3686" i="1"/>
  <c r="M3686" i="1"/>
  <c r="N3686" i="1" s="1"/>
  <c r="P3686" i="1" s="1"/>
  <c r="O3685" i="1"/>
  <c r="M3685" i="1"/>
  <c r="N3685" i="1" s="1"/>
  <c r="Q3684" i="1"/>
  <c r="O3684" i="1"/>
  <c r="N3684" i="1"/>
  <c r="P3684" i="1" s="1"/>
  <c r="M3684" i="1"/>
  <c r="O3683" i="1"/>
  <c r="M3683" i="1"/>
  <c r="N3683" i="1" s="1"/>
  <c r="O3682" i="1"/>
  <c r="N3682" i="1"/>
  <c r="M3682" i="1"/>
  <c r="O3681" i="1"/>
  <c r="M3681" i="1"/>
  <c r="N3681" i="1" s="1"/>
  <c r="Q3680" i="1"/>
  <c r="O3680" i="1"/>
  <c r="P3680" i="1" s="1"/>
  <c r="N3680" i="1"/>
  <c r="M3680" i="1"/>
  <c r="O3679" i="1"/>
  <c r="M3679" i="1"/>
  <c r="N3679" i="1" s="1"/>
  <c r="O3678" i="1"/>
  <c r="M3678" i="1"/>
  <c r="N3678" i="1" s="1"/>
  <c r="O3677" i="1"/>
  <c r="M3677" i="1"/>
  <c r="N3677" i="1" s="1"/>
  <c r="Q3676" i="1"/>
  <c r="P3676" i="1"/>
  <c r="O3676" i="1"/>
  <c r="M3676" i="1"/>
  <c r="N3676" i="1" s="1"/>
  <c r="Q3675" i="1"/>
  <c r="O3675" i="1"/>
  <c r="N3675" i="1"/>
  <c r="P3675" i="1" s="1"/>
  <c r="M3675" i="1"/>
  <c r="O3674" i="1"/>
  <c r="N3674" i="1"/>
  <c r="M3674" i="1"/>
  <c r="Q3673" i="1"/>
  <c r="O3673" i="1"/>
  <c r="M3673" i="1"/>
  <c r="N3673" i="1" s="1"/>
  <c r="P3673" i="1" s="1"/>
  <c r="Q3672" i="1"/>
  <c r="P3672" i="1"/>
  <c r="O3672" i="1"/>
  <c r="M3672" i="1"/>
  <c r="N3672" i="1" s="1"/>
  <c r="O3671" i="1"/>
  <c r="N3671" i="1"/>
  <c r="M3671" i="1"/>
  <c r="O3670" i="1"/>
  <c r="N3670" i="1"/>
  <c r="M3670" i="1"/>
  <c r="O3669" i="1"/>
  <c r="M3669" i="1"/>
  <c r="N3669" i="1" s="1"/>
  <c r="Q3669" i="1" s="1"/>
  <c r="O3668" i="1"/>
  <c r="N3668" i="1"/>
  <c r="M3668" i="1"/>
  <c r="Q3667" i="1"/>
  <c r="O3667" i="1"/>
  <c r="M3667" i="1"/>
  <c r="N3667" i="1" s="1"/>
  <c r="P3667" i="1" s="1"/>
  <c r="O3666" i="1"/>
  <c r="N3666" i="1"/>
  <c r="M3666" i="1"/>
  <c r="O3665" i="1"/>
  <c r="M3665" i="1"/>
  <c r="N3665" i="1" s="1"/>
  <c r="Q3664" i="1"/>
  <c r="O3664" i="1"/>
  <c r="N3664" i="1"/>
  <c r="P3664" i="1" s="1"/>
  <c r="M3664" i="1"/>
  <c r="O3663" i="1"/>
  <c r="M3663" i="1"/>
  <c r="N3663" i="1" s="1"/>
  <c r="O3662" i="1"/>
  <c r="M3662" i="1"/>
  <c r="N3662" i="1" s="1"/>
  <c r="O3661" i="1"/>
  <c r="M3661" i="1"/>
  <c r="N3661" i="1" s="1"/>
  <c r="O3660" i="1"/>
  <c r="M3660" i="1"/>
  <c r="N3660" i="1" s="1"/>
  <c r="Q3659" i="1"/>
  <c r="O3659" i="1"/>
  <c r="N3659" i="1"/>
  <c r="P3659" i="1" s="1"/>
  <c r="M3659" i="1"/>
  <c r="P3658" i="1"/>
  <c r="O3658" i="1"/>
  <c r="M3658" i="1"/>
  <c r="N3658" i="1" s="1"/>
  <c r="Q3658" i="1" s="1"/>
  <c r="O3657" i="1"/>
  <c r="M3657" i="1"/>
  <c r="N3657" i="1" s="1"/>
  <c r="Q3657" i="1" s="1"/>
  <c r="O3656" i="1"/>
  <c r="M3656" i="1"/>
  <c r="N3656" i="1" s="1"/>
  <c r="O3655" i="1"/>
  <c r="M3655" i="1"/>
  <c r="N3655" i="1" s="1"/>
  <c r="Q3655" i="1" s="1"/>
  <c r="O3654" i="1"/>
  <c r="N3654" i="1"/>
  <c r="Q3654" i="1" s="1"/>
  <c r="M3654" i="1"/>
  <c r="O3653" i="1"/>
  <c r="P3653" i="1" s="1"/>
  <c r="M3653" i="1"/>
  <c r="N3653" i="1" s="1"/>
  <c r="Q3653" i="1" s="1"/>
  <c r="O3652" i="1"/>
  <c r="N3652" i="1"/>
  <c r="M3652" i="1"/>
  <c r="O3651" i="1"/>
  <c r="M3651" i="1"/>
  <c r="N3651" i="1" s="1"/>
  <c r="Q3650" i="1"/>
  <c r="O3650" i="1"/>
  <c r="P3650" i="1" s="1"/>
  <c r="N3650" i="1"/>
  <c r="M3650" i="1"/>
  <c r="P3649" i="1"/>
  <c r="O3649" i="1"/>
  <c r="M3649" i="1"/>
  <c r="N3649" i="1" s="1"/>
  <c r="Q3649" i="1" s="1"/>
  <c r="O3648" i="1"/>
  <c r="M3648" i="1"/>
  <c r="N3648" i="1" s="1"/>
  <c r="O3647" i="1"/>
  <c r="M3647" i="1"/>
  <c r="N3647" i="1" s="1"/>
  <c r="O3646" i="1"/>
  <c r="M3646" i="1"/>
  <c r="N3646" i="1" s="1"/>
  <c r="Q3645" i="1"/>
  <c r="O3645" i="1"/>
  <c r="M3645" i="1"/>
  <c r="N3645" i="1" s="1"/>
  <c r="P3645" i="1" s="1"/>
  <c r="O3644" i="1"/>
  <c r="M3644" i="1"/>
  <c r="N3644" i="1" s="1"/>
  <c r="Q3643" i="1"/>
  <c r="O3643" i="1"/>
  <c r="N3643" i="1"/>
  <c r="P3643" i="1" s="1"/>
  <c r="M3643" i="1"/>
  <c r="O3642" i="1"/>
  <c r="P3642" i="1" s="1"/>
  <c r="M3642" i="1"/>
  <c r="N3642" i="1" s="1"/>
  <c r="Q3642" i="1" s="1"/>
  <c r="O3641" i="1"/>
  <c r="N3641" i="1"/>
  <c r="M3641" i="1"/>
  <c r="O3640" i="1"/>
  <c r="M3640" i="1"/>
  <c r="N3640" i="1" s="1"/>
  <c r="P3639" i="1"/>
  <c r="O3639" i="1"/>
  <c r="M3639" i="1"/>
  <c r="N3639" i="1" s="1"/>
  <c r="Q3639" i="1" s="1"/>
  <c r="O3638" i="1"/>
  <c r="N3638" i="1"/>
  <c r="M3638" i="1"/>
  <c r="Q3637" i="1"/>
  <c r="P3637" i="1"/>
  <c r="O3637" i="1"/>
  <c r="M3637" i="1"/>
  <c r="N3637" i="1" s="1"/>
  <c r="O3636" i="1"/>
  <c r="M3636" i="1"/>
  <c r="N3636" i="1" s="1"/>
  <c r="Q3635" i="1"/>
  <c r="O3635" i="1"/>
  <c r="N3635" i="1"/>
  <c r="M3635" i="1"/>
  <c r="O3634" i="1"/>
  <c r="N3634" i="1"/>
  <c r="M3634" i="1"/>
  <c r="O3633" i="1"/>
  <c r="M3633" i="1"/>
  <c r="N3633" i="1" s="1"/>
  <c r="Q3632" i="1"/>
  <c r="P3632" i="1"/>
  <c r="O3632" i="1"/>
  <c r="M3632" i="1"/>
  <c r="N3632" i="1" s="1"/>
  <c r="O3631" i="1"/>
  <c r="M3631" i="1"/>
  <c r="N3631" i="1" s="1"/>
  <c r="O3630" i="1"/>
  <c r="M3630" i="1"/>
  <c r="N3630" i="1" s="1"/>
  <c r="Q3629" i="1"/>
  <c r="O3629" i="1"/>
  <c r="M3629" i="1"/>
  <c r="N3629" i="1" s="1"/>
  <c r="P3629" i="1" s="1"/>
  <c r="Q3628" i="1"/>
  <c r="P3628" i="1"/>
  <c r="O3628" i="1"/>
  <c r="N3628" i="1"/>
  <c r="M3628" i="1"/>
  <c r="O3627" i="1"/>
  <c r="N3627" i="1"/>
  <c r="M3627" i="1"/>
  <c r="O3626" i="1"/>
  <c r="N3626" i="1"/>
  <c r="M3626" i="1"/>
  <c r="Q3625" i="1"/>
  <c r="P3625" i="1"/>
  <c r="O3625" i="1"/>
  <c r="N3625" i="1"/>
  <c r="M3625" i="1"/>
  <c r="Q3624" i="1"/>
  <c r="P3624" i="1"/>
  <c r="O3624" i="1"/>
  <c r="M3624" i="1"/>
  <c r="N3624" i="1" s="1"/>
  <c r="P3623" i="1"/>
  <c r="O3623" i="1"/>
  <c r="N3623" i="1"/>
  <c r="Q3623" i="1" s="1"/>
  <c r="M3623" i="1"/>
  <c r="O3622" i="1"/>
  <c r="M3622" i="1"/>
  <c r="N3622" i="1" s="1"/>
  <c r="Q3621" i="1"/>
  <c r="P3621" i="1"/>
  <c r="O3621" i="1"/>
  <c r="M3621" i="1"/>
  <c r="N3621" i="1" s="1"/>
  <c r="Q3620" i="1"/>
  <c r="O3620" i="1"/>
  <c r="M3620" i="1"/>
  <c r="N3620" i="1" s="1"/>
  <c r="P3620" i="1" s="1"/>
  <c r="O3619" i="1"/>
  <c r="M3619" i="1"/>
  <c r="N3619" i="1" s="1"/>
  <c r="O3618" i="1"/>
  <c r="N3618" i="1"/>
  <c r="M3618" i="1"/>
  <c r="O3617" i="1"/>
  <c r="N3617" i="1"/>
  <c r="M3617" i="1"/>
  <c r="P3616" i="1"/>
  <c r="O3616" i="1"/>
  <c r="N3616" i="1"/>
  <c r="Q3616" i="1" s="1"/>
  <c r="M3616" i="1"/>
  <c r="O3615" i="1"/>
  <c r="N3615" i="1"/>
  <c r="M3615" i="1"/>
  <c r="O3614" i="1"/>
  <c r="M3614" i="1"/>
  <c r="N3614" i="1" s="1"/>
  <c r="O3613" i="1"/>
  <c r="M3613" i="1"/>
  <c r="N3613" i="1" s="1"/>
  <c r="P3612" i="1"/>
  <c r="O3612" i="1"/>
  <c r="M3612" i="1"/>
  <c r="N3612" i="1" s="1"/>
  <c r="Q3612" i="1" s="1"/>
  <c r="Q3611" i="1"/>
  <c r="O3611" i="1"/>
  <c r="N3611" i="1"/>
  <c r="P3611" i="1" s="1"/>
  <c r="M3611" i="1"/>
  <c r="Q3610" i="1"/>
  <c r="P3610" i="1"/>
  <c r="O3610" i="1"/>
  <c r="N3610" i="1"/>
  <c r="M3610" i="1"/>
  <c r="O3609" i="1"/>
  <c r="N3609" i="1"/>
  <c r="M3609" i="1"/>
  <c r="P3608" i="1"/>
  <c r="O3608" i="1"/>
  <c r="M3608" i="1"/>
  <c r="N3608" i="1" s="1"/>
  <c r="Q3608" i="1" s="1"/>
  <c r="P3607" i="1"/>
  <c r="O3607" i="1"/>
  <c r="N3607" i="1"/>
  <c r="Q3607" i="1" s="1"/>
  <c r="M3607" i="1"/>
  <c r="P3606" i="1"/>
  <c r="O3606" i="1"/>
  <c r="M3606" i="1"/>
  <c r="N3606" i="1" s="1"/>
  <c r="Q3606" i="1" s="1"/>
  <c r="O3605" i="1"/>
  <c r="M3605" i="1"/>
  <c r="N3605" i="1" s="1"/>
  <c r="O3604" i="1"/>
  <c r="N3604" i="1"/>
  <c r="M3604" i="1"/>
  <c r="Q3603" i="1"/>
  <c r="P3603" i="1"/>
  <c r="O3603" i="1"/>
  <c r="M3603" i="1"/>
  <c r="N3603" i="1" s="1"/>
  <c r="O3602" i="1"/>
  <c r="N3602" i="1"/>
  <c r="M3602" i="1"/>
  <c r="O3601" i="1"/>
  <c r="M3601" i="1"/>
  <c r="N3601" i="1" s="1"/>
  <c r="O3600" i="1"/>
  <c r="N3600" i="1"/>
  <c r="P3600" i="1" s="1"/>
  <c r="M3600" i="1"/>
  <c r="P3599" i="1"/>
  <c r="O3599" i="1"/>
  <c r="M3599" i="1"/>
  <c r="N3599" i="1" s="1"/>
  <c r="Q3599" i="1" s="1"/>
  <c r="O3598" i="1"/>
  <c r="M3598" i="1"/>
  <c r="N3598" i="1" s="1"/>
  <c r="Q3597" i="1"/>
  <c r="P3597" i="1"/>
  <c r="O3597" i="1"/>
  <c r="N3597" i="1"/>
  <c r="M3597" i="1"/>
  <c r="Q3596" i="1"/>
  <c r="P3596" i="1"/>
  <c r="O3596" i="1"/>
  <c r="N3596" i="1"/>
  <c r="M3596" i="1"/>
  <c r="Q3595" i="1"/>
  <c r="O3595" i="1"/>
  <c r="N3595" i="1"/>
  <c r="P3595" i="1" s="1"/>
  <c r="M3595" i="1"/>
  <c r="O3594" i="1"/>
  <c r="P3594" i="1" s="1"/>
  <c r="N3594" i="1"/>
  <c r="Q3594" i="1" s="1"/>
  <c r="M3594" i="1"/>
  <c r="O3593" i="1"/>
  <c r="M3593" i="1"/>
  <c r="N3593" i="1" s="1"/>
  <c r="O3592" i="1"/>
  <c r="M3592" i="1"/>
  <c r="N3592" i="1" s="1"/>
  <c r="O3591" i="1"/>
  <c r="M3591" i="1"/>
  <c r="N3591" i="1" s="1"/>
  <c r="P3590" i="1"/>
  <c r="O3590" i="1"/>
  <c r="M3590" i="1"/>
  <c r="N3590" i="1" s="1"/>
  <c r="Q3590" i="1" s="1"/>
  <c r="Q3589" i="1"/>
  <c r="P3589" i="1"/>
  <c r="O3589" i="1"/>
  <c r="M3589" i="1"/>
  <c r="N3589" i="1" s="1"/>
  <c r="O3588" i="1"/>
  <c r="N3588" i="1"/>
  <c r="M3588" i="1"/>
  <c r="O3587" i="1"/>
  <c r="M3587" i="1"/>
  <c r="N3587" i="1" s="1"/>
  <c r="P3586" i="1"/>
  <c r="O3586" i="1"/>
  <c r="N3586" i="1"/>
  <c r="Q3586" i="1" s="1"/>
  <c r="M3586" i="1"/>
  <c r="O3585" i="1"/>
  <c r="M3585" i="1"/>
  <c r="N3585" i="1" s="1"/>
  <c r="Q3585" i="1" s="1"/>
  <c r="Q3584" i="1"/>
  <c r="O3584" i="1"/>
  <c r="N3584" i="1"/>
  <c r="P3584" i="1" s="1"/>
  <c r="M3584" i="1"/>
  <c r="Q3583" i="1"/>
  <c r="P3583" i="1"/>
  <c r="O3583" i="1"/>
  <c r="N3583" i="1"/>
  <c r="M3583" i="1"/>
  <c r="O3582" i="1"/>
  <c r="M3582" i="1"/>
  <c r="N3582" i="1" s="1"/>
  <c r="Q3581" i="1"/>
  <c r="O3581" i="1"/>
  <c r="M3581" i="1"/>
  <c r="N3581" i="1" s="1"/>
  <c r="P3581" i="1" s="1"/>
  <c r="O3580" i="1"/>
  <c r="M3580" i="1"/>
  <c r="N3580" i="1" s="1"/>
  <c r="Q3579" i="1"/>
  <c r="O3579" i="1"/>
  <c r="N3579" i="1"/>
  <c r="P3579" i="1" s="1"/>
  <c r="M3579" i="1"/>
  <c r="O3578" i="1"/>
  <c r="N3578" i="1"/>
  <c r="M3578" i="1"/>
  <c r="O3577" i="1"/>
  <c r="M3577" i="1"/>
  <c r="N3577" i="1" s="1"/>
  <c r="Q3576" i="1"/>
  <c r="P3576" i="1"/>
  <c r="O3576" i="1"/>
  <c r="M3576" i="1"/>
  <c r="N3576" i="1" s="1"/>
  <c r="O3575" i="1"/>
  <c r="M3575" i="1"/>
  <c r="N3575" i="1" s="1"/>
  <c r="O3574" i="1"/>
  <c r="M3574" i="1"/>
  <c r="N3574" i="1" s="1"/>
  <c r="O3573" i="1"/>
  <c r="M3573" i="1"/>
  <c r="N3573" i="1" s="1"/>
  <c r="O3572" i="1"/>
  <c r="M3572" i="1"/>
  <c r="N3572" i="1" s="1"/>
  <c r="Q3571" i="1"/>
  <c r="P3571" i="1"/>
  <c r="O3571" i="1"/>
  <c r="M3571" i="1"/>
  <c r="N3571" i="1" s="1"/>
  <c r="O3570" i="1"/>
  <c r="P3570" i="1" s="1"/>
  <c r="N3570" i="1"/>
  <c r="Q3570" i="1" s="1"/>
  <c r="M3570" i="1"/>
  <c r="O3569" i="1"/>
  <c r="M3569" i="1"/>
  <c r="N3569" i="1" s="1"/>
  <c r="P3568" i="1"/>
  <c r="O3568" i="1"/>
  <c r="M3568" i="1"/>
  <c r="N3568" i="1" s="1"/>
  <c r="Q3568" i="1" s="1"/>
  <c r="Q3567" i="1"/>
  <c r="O3567" i="1"/>
  <c r="M3567" i="1"/>
  <c r="N3567" i="1" s="1"/>
  <c r="P3567" i="1" s="1"/>
  <c r="O3566" i="1"/>
  <c r="M3566" i="1"/>
  <c r="N3566" i="1" s="1"/>
  <c r="O3565" i="1"/>
  <c r="M3565" i="1"/>
  <c r="N3565" i="1" s="1"/>
  <c r="O3564" i="1"/>
  <c r="M3564" i="1"/>
  <c r="N3564" i="1" s="1"/>
  <c r="O3563" i="1"/>
  <c r="N3563" i="1"/>
  <c r="P3563" i="1" s="1"/>
  <c r="M3563" i="1"/>
  <c r="O3562" i="1"/>
  <c r="N3562" i="1"/>
  <c r="M3562" i="1"/>
  <c r="O3561" i="1"/>
  <c r="M3561" i="1"/>
  <c r="N3561" i="1" s="1"/>
  <c r="Q3560" i="1"/>
  <c r="P3560" i="1"/>
  <c r="O3560" i="1"/>
  <c r="M3560" i="1"/>
  <c r="N3560" i="1" s="1"/>
  <c r="O3559" i="1"/>
  <c r="M3559" i="1"/>
  <c r="N3559" i="1" s="1"/>
  <c r="Q3559" i="1" s="1"/>
  <c r="Q3558" i="1"/>
  <c r="P3558" i="1"/>
  <c r="O3558" i="1"/>
  <c r="N3558" i="1"/>
  <c r="M3558" i="1"/>
  <c r="O3557" i="1"/>
  <c r="M3557" i="1"/>
  <c r="N3557" i="1" s="1"/>
  <c r="Q3557" i="1" s="1"/>
  <c r="Q3556" i="1"/>
  <c r="O3556" i="1"/>
  <c r="M3556" i="1"/>
  <c r="N3556" i="1" s="1"/>
  <c r="Q3555" i="1"/>
  <c r="O3555" i="1"/>
  <c r="N3555" i="1"/>
  <c r="P3555" i="1" s="1"/>
  <c r="M3555" i="1"/>
  <c r="Q3554" i="1"/>
  <c r="P3554" i="1"/>
  <c r="O3554" i="1"/>
  <c r="N3554" i="1"/>
  <c r="M3554" i="1"/>
  <c r="P3553" i="1"/>
  <c r="O3553" i="1"/>
  <c r="M3553" i="1"/>
  <c r="N3553" i="1" s="1"/>
  <c r="Q3553" i="1" s="1"/>
  <c r="O3552" i="1"/>
  <c r="M3552" i="1"/>
  <c r="N3552" i="1" s="1"/>
  <c r="O3551" i="1"/>
  <c r="M3551" i="1"/>
  <c r="N3551" i="1" s="1"/>
  <c r="P3551" i="1" s="1"/>
  <c r="O3550" i="1"/>
  <c r="M3550" i="1"/>
  <c r="N3550" i="1" s="1"/>
  <c r="Q3549" i="1"/>
  <c r="O3549" i="1"/>
  <c r="N3549" i="1"/>
  <c r="P3549" i="1" s="1"/>
  <c r="M3549" i="1"/>
  <c r="O3548" i="1"/>
  <c r="M3548" i="1"/>
  <c r="N3548" i="1" s="1"/>
  <c r="Q3547" i="1"/>
  <c r="O3547" i="1"/>
  <c r="N3547" i="1"/>
  <c r="P3547" i="1" s="1"/>
  <c r="M3547" i="1"/>
  <c r="Q3546" i="1"/>
  <c r="P3546" i="1"/>
  <c r="O3546" i="1"/>
  <c r="N3546" i="1"/>
  <c r="M3546" i="1"/>
  <c r="O3545" i="1"/>
  <c r="N3545" i="1"/>
  <c r="M3545" i="1"/>
  <c r="O3544" i="1"/>
  <c r="M3544" i="1"/>
  <c r="N3544" i="1" s="1"/>
  <c r="P3543" i="1"/>
  <c r="O3543" i="1"/>
  <c r="N3543" i="1"/>
  <c r="Q3543" i="1" s="1"/>
  <c r="M3543" i="1"/>
  <c r="Q3542" i="1"/>
  <c r="P3542" i="1"/>
  <c r="O3542" i="1"/>
  <c r="N3542" i="1"/>
  <c r="M3542" i="1"/>
  <c r="Q3541" i="1"/>
  <c r="P3541" i="1"/>
  <c r="O3541" i="1"/>
  <c r="M3541" i="1"/>
  <c r="N3541" i="1" s="1"/>
  <c r="O3540" i="1"/>
  <c r="N3540" i="1"/>
  <c r="M3540" i="1"/>
  <c r="O3539" i="1"/>
  <c r="N3539" i="1"/>
  <c r="M3539" i="1"/>
  <c r="Q3538" i="1"/>
  <c r="P3538" i="1"/>
  <c r="O3538" i="1"/>
  <c r="N3538" i="1"/>
  <c r="M3538" i="1"/>
  <c r="O3537" i="1"/>
  <c r="M3537" i="1"/>
  <c r="N3537" i="1" s="1"/>
  <c r="Q3536" i="1"/>
  <c r="O3536" i="1"/>
  <c r="M3536" i="1"/>
  <c r="N3536" i="1" s="1"/>
  <c r="O3535" i="1"/>
  <c r="N3535" i="1"/>
  <c r="Q3535" i="1" s="1"/>
  <c r="M3535" i="1"/>
  <c r="O3534" i="1"/>
  <c r="M3534" i="1"/>
  <c r="N3534" i="1" s="1"/>
  <c r="O3533" i="1"/>
  <c r="N3533" i="1"/>
  <c r="M3533" i="1"/>
  <c r="O3532" i="1"/>
  <c r="N3532" i="1"/>
  <c r="M3532" i="1"/>
  <c r="O3531" i="1"/>
  <c r="N3531" i="1"/>
  <c r="M3531" i="1"/>
  <c r="O3530" i="1"/>
  <c r="M3530" i="1"/>
  <c r="N3530" i="1" s="1"/>
  <c r="Q3530" i="1" s="1"/>
  <c r="Q3529" i="1"/>
  <c r="O3529" i="1"/>
  <c r="M3529" i="1"/>
  <c r="N3529" i="1" s="1"/>
  <c r="P3529" i="1" s="1"/>
  <c r="Q3528" i="1"/>
  <c r="P3528" i="1"/>
  <c r="O3528" i="1"/>
  <c r="M3528" i="1"/>
  <c r="N3528" i="1" s="1"/>
  <c r="O3527" i="1"/>
  <c r="N3527" i="1"/>
  <c r="M3527" i="1"/>
  <c r="O3526" i="1"/>
  <c r="M3526" i="1"/>
  <c r="N3526" i="1" s="1"/>
  <c r="Q3525" i="1"/>
  <c r="O3525" i="1"/>
  <c r="P3525" i="1" s="1"/>
  <c r="M3525" i="1"/>
  <c r="N3525" i="1" s="1"/>
  <c r="O3524" i="1"/>
  <c r="N3524" i="1"/>
  <c r="M3524" i="1"/>
  <c r="O3523" i="1"/>
  <c r="M3523" i="1"/>
  <c r="N3523" i="1" s="1"/>
  <c r="P3522" i="1"/>
  <c r="O3522" i="1"/>
  <c r="N3522" i="1"/>
  <c r="Q3522" i="1" s="1"/>
  <c r="M3522" i="1"/>
  <c r="O3521" i="1"/>
  <c r="N3521" i="1"/>
  <c r="Q3521" i="1" s="1"/>
  <c r="M3521" i="1"/>
  <c r="Q3520" i="1"/>
  <c r="O3520" i="1"/>
  <c r="M3520" i="1"/>
  <c r="N3520" i="1" s="1"/>
  <c r="P3520" i="1" s="1"/>
  <c r="O3519" i="1"/>
  <c r="N3519" i="1"/>
  <c r="M3519" i="1"/>
  <c r="O3518" i="1"/>
  <c r="M3518" i="1"/>
  <c r="N3518" i="1" s="1"/>
  <c r="O3517" i="1"/>
  <c r="N3517" i="1"/>
  <c r="M3517" i="1"/>
  <c r="Q3516" i="1"/>
  <c r="O3516" i="1"/>
  <c r="N3516" i="1"/>
  <c r="M3516" i="1"/>
  <c r="O3515" i="1"/>
  <c r="N3515" i="1"/>
  <c r="M3515" i="1"/>
  <c r="O3514" i="1"/>
  <c r="N3514" i="1"/>
  <c r="P3514" i="1" s="1"/>
  <c r="M3514" i="1"/>
  <c r="O3513" i="1"/>
  <c r="M3513" i="1"/>
  <c r="N3513" i="1" s="1"/>
  <c r="Q3513" i="1" s="1"/>
  <c r="Q3512" i="1"/>
  <c r="O3512" i="1"/>
  <c r="M3512" i="1"/>
  <c r="N3512" i="1" s="1"/>
  <c r="P3512" i="1" s="1"/>
  <c r="P3511" i="1"/>
  <c r="O3511" i="1"/>
  <c r="N3511" i="1"/>
  <c r="Q3511" i="1" s="1"/>
  <c r="M3511" i="1"/>
  <c r="O3510" i="1"/>
  <c r="M3510" i="1"/>
  <c r="N3510" i="1" s="1"/>
  <c r="O3509" i="1"/>
  <c r="M3509" i="1"/>
  <c r="N3509" i="1" s="1"/>
  <c r="O3508" i="1"/>
  <c r="N3508" i="1"/>
  <c r="M3508" i="1"/>
  <c r="Q3507" i="1"/>
  <c r="P3507" i="1"/>
  <c r="O3507" i="1"/>
  <c r="N3507" i="1"/>
  <c r="M3507" i="1"/>
  <c r="O3506" i="1"/>
  <c r="N3506" i="1"/>
  <c r="M3506" i="1"/>
  <c r="O3505" i="1"/>
  <c r="M3505" i="1"/>
  <c r="N3505" i="1" s="1"/>
  <c r="Q3505" i="1" s="1"/>
  <c r="Q3504" i="1"/>
  <c r="P3504" i="1"/>
  <c r="O3504" i="1"/>
  <c r="N3504" i="1"/>
  <c r="M3504" i="1"/>
  <c r="O3503" i="1"/>
  <c r="M3503" i="1"/>
  <c r="N3503" i="1" s="1"/>
  <c r="O3502" i="1"/>
  <c r="M3502" i="1"/>
  <c r="N3502" i="1" s="1"/>
  <c r="O3501" i="1"/>
  <c r="M3501" i="1"/>
  <c r="N3501" i="1" s="1"/>
  <c r="O3500" i="1"/>
  <c r="M3500" i="1"/>
  <c r="N3500" i="1" s="1"/>
  <c r="O3499" i="1"/>
  <c r="N3499" i="1"/>
  <c r="P3499" i="1" s="1"/>
  <c r="M3499" i="1"/>
  <c r="O3498" i="1"/>
  <c r="N3498" i="1"/>
  <c r="M3498" i="1"/>
  <c r="O3497" i="1"/>
  <c r="M3497" i="1"/>
  <c r="N3497" i="1" s="1"/>
  <c r="Q3496" i="1"/>
  <c r="O3496" i="1"/>
  <c r="M3496" i="1"/>
  <c r="N3496" i="1" s="1"/>
  <c r="P3496" i="1" s="1"/>
  <c r="O3495" i="1"/>
  <c r="N3495" i="1"/>
  <c r="Q3495" i="1" s="1"/>
  <c r="M3495" i="1"/>
  <c r="O3494" i="1"/>
  <c r="M3494" i="1"/>
  <c r="N3494" i="1" s="1"/>
  <c r="O3493" i="1"/>
  <c r="M3493" i="1"/>
  <c r="N3493" i="1" s="1"/>
  <c r="O3492" i="1"/>
  <c r="M3492" i="1"/>
  <c r="N3492" i="1" s="1"/>
  <c r="P3492" i="1" s="1"/>
  <c r="O3491" i="1"/>
  <c r="N3491" i="1"/>
  <c r="M3491" i="1"/>
  <c r="O3490" i="1"/>
  <c r="N3490" i="1"/>
  <c r="M3490" i="1"/>
  <c r="P3489" i="1"/>
  <c r="O3489" i="1"/>
  <c r="M3489" i="1"/>
  <c r="N3489" i="1" s="1"/>
  <c r="Q3489" i="1" s="1"/>
  <c r="O3488" i="1"/>
  <c r="N3488" i="1"/>
  <c r="M3488" i="1"/>
  <c r="O3487" i="1"/>
  <c r="M3487" i="1"/>
  <c r="N3487" i="1" s="1"/>
  <c r="O3486" i="1"/>
  <c r="M3486" i="1"/>
  <c r="N3486" i="1" s="1"/>
  <c r="O3485" i="1"/>
  <c r="N3485" i="1"/>
  <c r="M3485" i="1"/>
  <c r="O3484" i="1"/>
  <c r="P3484" i="1" s="1"/>
  <c r="M3484" i="1"/>
  <c r="N3484" i="1" s="1"/>
  <c r="Q3484" i="1" s="1"/>
  <c r="Q3483" i="1"/>
  <c r="O3483" i="1"/>
  <c r="N3483" i="1"/>
  <c r="P3483" i="1" s="1"/>
  <c r="M3483" i="1"/>
  <c r="Q3482" i="1"/>
  <c r="O3482" i="1"/>
  <c r="M3482" i="1"/>
  <c r="N3482" i="1" s="1"/>
  <c r="P3482" i="1" s="1"/>
  <c r="P3481" i="1"/>
  <c r="O3481" i="1"/>
  <c r="M3481" i="1"/>
  <c r="N3481" i="1" s="1"/>
  <c r="Q3481" i="1" s="1"/>
  <c r="P3480" i="1"/>
  <c r="O3480" i="1"/>
  <c r="M3480" i="1"/>
  <c r="N3480" i="1" s="1"/>
  <c r="Q3480" i="1" s="1"/>
  <c r="O3479" i="1"/>
  <c r="M3479" i="1"/>
  <c r="N3479" i="1" s="1"/>
  <c r="Q3478" i="1"/>
  <c r="P3478" i="1"/>
  <c r="O3478" i="1"/>
  <c r="N3478" i="1"/>
  <c r="M3478" i="1"/>
  <c r="Q3477" i="1"/>
  <c r="O3477" i="1"/>
  <c r="P3477" i="1" s="1"/>
  <c r="M3477" i="1"/>
  <c r="N3477" i="1" s="1"/>
  <c r="O3476" i="1"/>
  <c r="M3476" i="1"/>
  <c r="N3476" i="1" s="1"/>
  <c r="O3475" i="1"/>
  <c r="M3475" i="1"/>
  <c r="N3475" i="1" s="1"/>
  <c r="Q3474" i="1"/>
  <c r="P3474" i="1"/>
  <c r="O3474" i="1"/>
  <c r="N3474" i="1"/>
  <c r="M3474" i="1"/>
  <c r="O3473" i="1"/>
  <c r="M3473" i="1"/>
  <c r="N3473" i="1" s="1"/>
  <c r="O3472" i="1"/>
  <c r="N3472" i="1"/>
  <c r="M3472" i="1"/>
  <c r="O3471" i="1"/>
  <c r="N3471" i="1"/>
  <c r="M3471" i="1"/>
  <c r="O3470" i="1"/>
  <c r="M3470" i="1"/>
  <c r="N3470" i="1" s="1"/>
  <c r="Q3469" i="1"/>
  <c r="O3469" i="1"/>
  <c r="N3469" i="1"/>
  <c r="P3469" i="1" s="1"/>
  <c r="M3469" i="1"/>
  <c r="O3468" i="1"/>
  <c r="M3468" i="1"/>
  <c r="N3468" i="1" s="1"/>
  <c r="O3467" i="1"/>
  <c r="N3467" i="1"/>
  <c r="P3467" i="1" s="1"/>
  <c r="M3467" i="1"/>
  <c r="O3466" i="1"/>
  <c r="M3466" i="1"/>
  <c r="N3466" i="1" s="1"/>
  <c r="Q3465" i="1"/>
  <c r="O3465" i="1"/>
  <c r="M3465" i="1"/>
  <c r="N3465" i="1" s="1"/>
  <c r="P3465" i="1" s="1"/>
  <c r="Q3464" i="1"/>
  <c r="O3464" i="1"/>
  <c r="M3464" i="1"/>
  <c r="N3464" i="1" s="1"/>
  <c r="P3464" i="1" s="1"/>
  <c r="O3463" i="1"/>
  <c r="M3463" i="1"/>
  <c r="N3463" i="1" s="1"/>
  <c r="O3462" i="1"/>
  <c r="N3462" i="1"/>
  <c r="M3462" i="1"/>
  <c r="O3461" i="1"/>
  <c r="M3461" i="1"/>
  <c r="N3461" i="1" s="1"/>
  <c r="O3460" i="1"/>
  <c r="N3460" i="1"/>
  <c r="M3460" i="1"/>
  <c r="Q3459" i="1"/>
  <c r="O3459" i="1"/>
  <c r="N3459" i="1"/>
  <c r="P3459" i="1" s="1"/>
  <c r="M3459" i="1"/>
  <c r="Q3458" i="1"/>
  <c r="P3458" i="1"/>
  <c r="O3458" i="1"/>
  <c r="N3458" i="1"/>
  <c r="M3458" i="1"/>
  <c r="O3457" i="1"/>
  <c r="M3457" i="1"/>
  <c r="N3457" i="1" s="1"/>
  <c r="Q3456" i="1"/>
  <c r="P3456" i="1"/>
  <c r="O3456" i="1"/>
  <c r="M3456" i="1"/>
  <c r="N3456" i="1" s="1"/>
  <c r="O3455" i="1"/>
  <c r="N3455" i="1"/>
  <c r="M3455" i="1"/>
  <c r="O3454" i="1"/>
  <c r="M3454" i="1"/>
  <c r="N3454" i="1" s="1"/>
  <c r="P3453" i="1"/>
  <c r="O3453" i="1"/>
  <c r="M3453" i="1"/>
  <c r="N3453" i="1" s="1"/>
  <c r="Q3453" i="1" s="1"/>
  <c r="Q3452" i="1"/>
  <c r="O3452" i="1"/>
  <c r="M3452" i="1"/>
  <c r="N3452" i="1" s="1"/>
  <c r="O3451" i="1"/>
  <c r="N3451" i="1"/>
  <c r="M3451" i="1"/>
  <c r="O3450" i="1"/>
  <c r="N3450" i="1"/>
  <c r="M3450" i="1"/>
  <c r="O3449" i="1"/>
  <c r="N3449" i="1"/>
  <c r="M3449" i="1"/>
  <c r="Q3448" i="1"/>
  <c r="P3448" i="1"/>
  <c r="O3448" i="1"/>
  <c r="N3448" i="1"/>
  <c r="M3448" i="1"/>
  <c r="O3447" i="1"/>
  <c r="N3447" i="1"/>
  <c r="M3447" i="1"/>
  <c r="Q3446" i="1"/>
  <c r="O3446" i="1"/>
  <c r="N3446" i="1"/>
  <c r="P3446" i="1" s="1"/>
  <c r="M3446" i="1"/>
  <c r="Q3445" i="1"/>
  <c r="P3445" i="1"/>
  <c r="O3445" i="1"/>
  <c r="M3445" i="1"/>
  <c r="N3445" i="1" s="1"/>
  <c r="Q3444" i="1"/>
  <c r="O3444" i="1"/>
  <c r="N3444" i="1"/>
  <c r="P3444" i="1" s="1"/>
  <c r="M3444" i="1"/>
  <c r="O3443" i="1"/>
  <c r="N3443" i="1"/>
  <c r="M3443" i="1"/>
  <c r="P3442" i="1"/>
  <c r="O3442" i="1"/>
  <c r="N3442" i="1"/>
  <c r="Q3442" i="1" s="1"/>
  <c r="M3442" i="1"/>
  <c r="Q3441" i="1"/>
  <c r="P3441" i="1"/>
  <c r="O3441" i="1"/>
  <c r="M3441" i="1"/>
  <c r="N3441" i="1" s="1"/>
  <c r="O3440" i="1"/>
  <c r="N3440" i="1"/>
  <c r="M3440" i="1"/>
  <c r="O3439" i="1"/>
  <c r="N3439" i="1"/>
  <c r="M3439" i="1"/>
  <c r="P3438" i="1"/>
  <c r="O3438" i="1"/>
  <c r="M3438" i="1"/>
  <c r="N3438" i="1" s="1"/>
  <c r="Q3438" i="1" s="1"/>
  <c r="Q3437" i="1"/>
  <c r="P3437" i="1"/>
  <c r="O3437" i="1"/>
  <c r="N3437" i="1"/>
  <c r="M3437" i="1"/>
  <c r="Q3436" i="1"/>
  <c r="P3436" i="1"/>
  <c r="O3436" i="1"/>
  <c r="N3436" i="1"/>
  <c r="M3436" i="1"/>
  <c r="Q3435" i="1"/>
  <c r="O3435" i="1"/>
  <c r="N3435" i="1"/>
  <c r="M3435" i="1"/>
  <c r="O3434" i="1"/>
  <c r="P3434" i="1" s="1"/>
  <c r="N3434" i="1"/>
  <c r="Q3434" i="1" s="1"/>
  <c r="M3434" i="1"/>
  <c r="O3433" i="1"/>
  <c r="M3433" i="1"/>
  <c r="N3433" i="1" s="1"/>
  <c r="Q3432" i="1"/>
  <c r="P3432" i="1"/>
  <c r="O3432" i="1"/>
  <c r="N3432" i="1"/>
  <c r="M3432" i="1"/>
  <c r="O3431" i="1"/>
  <c r="N3431" i="1"/>
  <c r="M3431" i="1"/>
  <c r="Q3430" i="1"/>
  <c r="P3430" i="1"/>
  <c r="O3430" i="1"/>
  <c r="M3430" i="1"/>
  <c r="N3430" i="1" s="1"/>
  <c r="O3429" i="1"/>
  <c r="M3429" i="1"/>
  <c r="N3429" i="1" s="1"/>
  <c r="Q3429" i="1" s="1"/>
  <c r="Q3428" i="1"/>
  <c r="O3428" i="1"/>
  <c r="N3428" i="1"/>
  <c r="P3428" i="1" s="1"/>
  <c r="M3428" i="1"/>
  <c r="O3427" i="1"/>
  <c r="N3427" i="1"/>
  <c r="M3427" i="1"/>
  <c r="Q3426" i="1"/>
  <c r="O3426" i="1"/>
  <c r="N3426" i="1"/>
  <c r="P3426" i="1" s="1"/>
  <c r="M3426" i="1"/>
  <c r="Q3425" i="1"/>
  <c r="O3425" i="1"/>
  <c r="M3425" i="1"/>
  <c r="N3425" i="1" s="1"/>
  <c r="P3425" i="1" s="1"/>
  <c r="Q3424" i="1"/>
  <c r="P3424" i="1"/>
  <c r="O3424" i="1"/>
  <c r="N3424" i="1"/>
  <c r="M3424" i="1"/>
  <c r="Q3423" i="1"/>
  <c r="O3423" i="1"/>
  <c r="M3423" i="1"/>
  <c r="N3423" i="1" s="1"/>
  <c r="P3423" i="1" s="1"/>
  <c r="O3422" i="1"/>
  <c r="M3422" i="1"/>
  <c r="N3422" i="1" s="1"/>
  <c r="O3421" i="1"/>
  <c r="M3421" i="1"/>
  <c r="N3421" i="1" s="1"/>
  <c r="P3421" i="1" s="1"/>
  <c r="Q3420" i="1"/>
  <c r="P3420" i="1"/>
  <c r="O3420" i="1"/>
  <c r="N3420" i="1"/>
  <c r="M3420" i="1"/>
  <c r="Q3419" i="1"/>
  <c r="O3419" i="1"/>
  <c r="N3419" i="1"/>
  <c r="P3419" i="1" s="1"/>
  <c r="M3419" i="1"/>
  <c r="O3418" i="1"/>
  <c r="M3418" i="1"/>
  <c r="N3418" i="1" s="1"/>
  <c r="O3417" i="1"/>
  <c r="N3417" i="1"/>
  <c r="Q3417" i="1" s="1"/>
  <c r="M3417" i="1"/>
  <c r="O3416" i="1"/>
  <c r="N3416" i="1"/>
  <c r="M3416" i="1"/>
  <c r="O3415" i="1"/>
  <c r="M3415" i="1"/>
  <c r="N3415" i="1" s="1"/>
  <c r="Q3414" i="1"/>
  <c r="P3414" i="1"/>
  <c r="O3414" i="1"/>
  <c r="M3414" i="1"/>
  <c r="N3414" i="1" s="1"/>
  <c r="Q3413" i="1"/>
  <c r="P3413" i="1"/>
  <c r="O3413" i="1"/>
  <c r="M3413" i="1"/>
  <c r="N3413" i="1" s="1"/>
  <c r="O3412" i="1"/>
  <c r="N3412" i="1"/>
  <c r="P3412" i="1" s="1"/>
  <c r="M3412" i="1"/>
  <c r="O3411" i="1"/>
  <c r="M3411" i="1"/>
  <c r="N3411" i="1" s="1"/>
  <c r="O3410" i="1"/>
  <c r="N3410" i="1"/>
  <c r="P3410" i="1" s="1"/>
  <c r="M3410" i="1"/>
  <c r="Q3409" i="1"/>
  <c r="P3409" i="1"/>
  <c r="O3409" i="1"/>
  <c r="M3409" i="1"/>
  <c r="N3409" i="1" s="1"/>
  <c r="O3408" i="1"/>
  <c r="M3408" i="1"/>
  <c r="N3408" i="1" s="1"/>
  <c r="P3408" i="1" s="1"/>
  <c r="O3407" i="1"/>
  <c r="M3407" i="1"/>
  <c r="N3407" i="1" s="1"/>
  <c r="Q3407" i="1" s="1"/>
  <c r="O3406" i="1"/>
  <c r="M3406" i="1"/>
  <c r="N3406" i="1" s="1"/>
  <c r="Q3406" i="1" s="1"/>
  <c r="Q3405" i="1"/>
  <c r="P3405" i="1"/>
  <c r="O3405" i="1"/>
  <c r="N3405" i="1"/>
  <c r="M3405" i="1"/>
  <c r="O3404" i="1"/>
  <c r="N3404" i="1"/>
  <c r="M3404" i="1"/>
  <c r="Q3403" i="1"/>
  <c r="O3403" i="1"/>
  <c r="N3403" i="1"/>
  <c r="M3403" i="1"/>
  <c r="P3402" i="1"/>
  <c r="O3402" i="1"/>
  <c r="N3402" i="1"/>
  <c r="Q3402" i="1" s="1"/>
  <c r="M3402" i="1"/>
  <c r="Q3401" i="1"/>
  <c r="P3401" i="1"/>
  <c r="O3401" i="1"/>
  <c r="N3401" i="1"/>
  <c r="M3401" i="1"/>
  <c r="O3400" i="1"/>
  <c r="M3400" i="1"/>
  <c r="N3400" i="1" s="1"/>
  <c r="O3399" i="1"/>
  <c r="N3399" i="1"/>
  <c r="M3399" i="1"/>
  <c r="O3398" i="1"/>
  <c r="N3398" i="1"/>
  <c r="Q3398" i="1" s="1"/>
  <c r="M3398" i="1"/>
  <c r="O3397" i="1"/>
  <c r="M3397" i="1"/>
  <c r="N3397" i="1" s="1"/>
  <c r="Q3396" i="1"/>
  <c r="O3396" i="1"/>
  <c r="N3396" i="1"/>
  <c r="P3396" i="1" s="1"/>
  <c r="M3396" i="1"/>
  <c r="O3395" i="1"/>
  <c r="N3395" i="1"/>
  <c r="M3395" i="1"/>
  <c r="Q3394" i="1"/>
  <c r="P3394" i="1"/>
  <c r="O3394" i="1"/>
  <c r="N3394" i="1"/>
  <c r="M3394" i="1"/>
  <c r="P3393" i="1"/>
  <c r="O3393" i="1"/>
  <c r="M3393" i="1"/>
  <c r="N3393" i="1" s="1"/>
  <c r="Q3393" i="1" s="1"/>
  <c r="O3392" i="1"/>
  <c r="N3392" i="1"/>
  <c r="M3392" i="1"/>
  <c r="O3391" i="1"/>
  <c r="M3391" i="1"/>
  <c r="N3391" i="1" s="1"/>
  <c r="O3390" i="1"/>
  <c r="M3390" i="1"/>
  <c r="N3390" i="1" s="1"/>
  <c r="Q3390" i="1" s="1"/>
  <c r="Q3389" i="1"/>
  <c r="O3389" i="1"/>
  <c r="P3389" i="1" s="1"/>
  <c r="N3389" i="1"/>
  <c r="M3389" i="1"/>
  <c r="O3388" i="1"/>
  <c r="N3388" i="1"/>
  <c r="M3388" i="1"/>
  <c r="Q3387" i="1"/>
  <c r="O3387" i="1"/>
  <c r="N3387" i="1"/>
  <c r="M3387" i="1"/>
  <c r="O3386" i="1"/>
  <c r="M3386" i="1"/>
  <c r="N3386" i="1" s="1"/>
  <c r="P3385" i="1"/>
  <c r="O3385" i="1"/>
  <c r="M3385" i="1"/>
  <c r="N3385" i="1" s="1"/>
  <c r="Q3385" i="1" s="1"/>
  <c r="O3384" i="1"/>
  <c r="M3384" i="1"/>
  <c r="N3384" i="1" s="1"/>
  <c r="Q3384" i="1" s="1"/>
  <c r="O3383" i="1"/>
  <c r="M3383" i="1"/>
  <c r="N3383" i="1" s="1"/>
  <c r="O3382" i="1"/>
  <c r="M3382" i="1"/>
  <c r="N3382" i="1" s="1"/>
  <c r="Q3381" i="1"/>
  <c r="P3381" i="1"/>
  <c r="O3381" i="1"/>
  <c r="M3381" i="1"/>
  <c r="N3381" i="1" s="1"/>
  <c r="O3380" i="1"/>
  <c r="N3380" i="1"/>
  <c r="M3380" i="1"/>
  <c r="O3379" i="1"/>
  <c r="M3379" i="1"/>
  <c r="N3379" i="1" s="1"/>
  <c r="O3378" i="1"/>
  <c r="N3378" i="1"/>
  <c r="M3378" i="1"/>
  <c r="Q3377" i="1"/>
  <c r="P3377" i="1"/>
  <c r="O3377" i="1"/>
  <c r="M3377" i="1"/>
  <c r="N3377" i="1" s="1"/>
  <c r="O3376" i="1"/>
  <c r="M3376" i="1"/>
  <c r="N3376" i="1" s="1"/>
  <c r="O3375" i="1"/>
  <c r="N3375" i="1"/>
  <c r="M3375" i="1"/>
  <c r="O3374" i="1"/>
  <c r="M3374" i="1"/>
  <c r="N3374" i="1" s="1"/>
  <c r="Q3374" i="1" s="1"/>
  <c r="Q3373" i="1"/>
  <c r="O3373" i="1"/>
  <c r="P3373" i="1" s="1"/>
  <c r="N3373" i="1"/>
  <c r="M3373" i="1"/>
  <c r="O3372" i="1"/>
  <c r="M3372" i="1"/>
  <c r="N3372" i="1" s="1"/>
  <c r="Q3371" i="1"/>
  <c r="O3371" i="1"/>
  <c r="N3371" i="1"/>
  <c r="P3371" i="1" s="1"/>
  <c r="M3371" i="1"/>
  <c r="O3370" i="1"/>
  <c r="M3370" i="1"/>
  <c r="N3370" i="1" s="1"/>
  <c r="Q3369" i="1"/>
  <c r="P3369" i="1"/>
  <c r="O3369" i="1"/>
  <c r="N3369" i="1"/>
  <c r="M3369" i="1"/>
  <c r="O3368" i="1"/>
  <c r="M3368" i="1"/>
  <c r="N3368" i="1" s="1"/>
  <c r="O3367" i="1"/>
  <c r="M3367" i="1"/>
  <c r="N3367" i="1" s="1"/>
  <c r="Q3366" i="1"/>
  <c r="O3366" i="1"/>
  <c r="M3366" i="1"/>
  <c r="N3366" i="1" s="1"/>
  <c r="P3366" i="1" s="1"/>
  <c r="Q3365" i="1"/>
  <c r="P3365" i="1"/>
  <c r="O3365" i="1"/>
  <c r="M3365" i="1"/>
  <c r="N3365" i="1" s="1"/>
  <c r="O3364" i="1"/>
  <c r="N3364" i="1"/>
  <c r="M3364" i="1"/>
  <c r="O3363" i="1"/>
  <c r="M3363" i="1"/>
  <c r="N3363" i="1" s="1"/>
  <c r="O3362" i="1"/>
  <c r="P3362" i="1" s="1"/>
  <c r="N3362" i="1"/>
  <c r="Q3362" i="1" s="1"/>
  <c r="M3362" i="1"/>
  <c r="O3361" i="1"/>
  <c r="M3361" i="1"/>
  <c r="N3361" i="1" s="1"/>
  <c r="O3360" i="1"/>
  <c r="M3360" i="1"/>
  <c r="N3360" i="1" s="1"/>
  <c r="Q3359" i="1"/>
  <c r="O3359" i="1"/>
  <c r="M3359" i="1"/>
  <c r="N3359" i="1" s="1"/>
  <c r="P3359" i="1" s="1"/>
  <c r="O3358" i="1"/>
  <c r="P3358" i="1" s="1"/>
  <c r="M3358" i="1"/>
  <c r="N3358" i="1" s="1"/>
  <c r="Q3358" i="1" s="1"/>
  <c r="O3357" i="1"/>
  <c r="M3357" i="1"/>
  <c r="N3357" i="1" s="1"/>
  <c r="O3356" i="1"/>
  <c r="M3356" i="1"/>
  <c r="N3356" i="1" s="1"/>
  <c r="Q3355" i="1"/>
  <c r="O3355" i="1"/>
  <c r="N3355" i="1"/>
  <c r="P3355" i="1" s="1"/>
  <c r="M3355" i="1"/>
  <c r="P3354" i="1"/>
  <c r="O3354" i="1"/>
  <c r="N3354" i="1"/>
  <c r="Q3354" i="1" s="1"/>
  <c r="M3354" i="1"/>
  <c r="Q3353" i="1"/>
  <c r="P3353" i="1"/>
  <c r="O3353" i="1"/>
  <c r="N3353" i="1"/>
  <c r="M3353" i="1"/>
  <c r="O3352" i="1"/>
  <c r="N3352" i="1"/>
  <c r="M3352" i="1"/>
  <c r="O3351" i="1"/>
  <c r="M3351" i="1"/>
  <c r="N3351" i="1" s="1"/>
  <c r="O3350" i="1"/>
  <c r="N3350" i="1"/>
  <c r="M3350" i="1"/>
  <c r="Q3349" i="1"/>
  <c r="P3349" i="1"/>
  <c r="O3349" i="1"/>
  <c r="M3349" i="1"/>
  <c r="N3349" i="1" s="1"/>
  <c r="O3348" i="1"/>
  <c r="M3348" i="1"/>
  <c r="N3348" i="1" s="1"/>
  <c r="O3347" i="1"/>
  <c r="M3347" i="1"/>
  <c r="N3347" i="1" s="1"/>
  <c r="P3347" i="1" s="1"/>
  <c r="P3346" i="1"/>
  <c r="O3346" i="1"/>
  <c r="N3346" i="1"/>
  <c r="Q3346" i="1" s="1"/>
  <c r="M3346" i="1"/>
  <c r="Q3345" i="1"/>
  <c r="P3345" i="1"/>
  <c r="O3345" i="1"/>
  <c r="M3345" i="1"/>
  <c r="N3345" i="1" s="1"/>
  <c r="O3344" i="1"/>
  <c r="M3344" i="1"/>
  <c r="N3344" i="1" s="1"/>
  <c r="O3343" i="1"/>
  <c r="M3343" i="1"/>
  <c r="N3343" i="1" s="1"/>
  <c r="O3342" i="1"/>
  <c r="M3342" i="1"/>
  <c r="N3342" i="1" s="1"/>
  <c r="Q3342" i="1" s="1"/>
  <c r="Q3341" i="1"/>
  <c r="O3341" i="1"/>
  <c r="P3341" i="1" s="1"/>
  <c r="N3341" i="1"/>
  <c r="M3341" i="1"/>
  <c r="O3340" i="1"/>
  <c r="M3340" i="1"/>
  <c r="N3340" i="1" s="1"/>
  <c r="O3339" i="1"/>
  <c r="N3339" i="1"/>
  <c r="M3339" i="1"/>
  <c r="O3338" i="1"/>
  <c r="N3338" i="1"/>
  <c r="Q3338" i="1" s="1"/>
  <c r="M3338" i="1"/>
  <c r="O3337" i="1"/>
  <c r="N3337" i="1"/>
  <c r="M3337" i="1"/>
  <c r="O3336" i="1"/>
  <c r="M3336" i="1"/>
  <c r="N3336" i="1" s="1"/>
  <c r="P3336" i="1" s="1"/>
  <c r="O3335" i="1"/>
  <c r="N3335" i="1"/>
  <c r="M3335" i="1"/>
  <c r="O3334" i="1"/>
  <c r="M3334" i="1"/>
  <c r="N3334" i="1" s="1"/>
  <c r="Q3333" i="1"/>
  <c r="P3333" i="1"/>
  <c r="O3333" i="1"/>
  <c r="M3333" i="1"/>
  <c r="N3333" i="1" s="1"/>
  <c r="O3332" i="1"/>
  <c r="M3332" i="1"/>
  <c r="N3332" i="1" s="1"/>
  <c r="O3331" i="1"/>
  <c r="N3331" i="1"/>
  <c r="M3331" i="1"/>
  <c r="O3330" i="1"/>
  <c r="N3330" i="1"/>
  <c r="M3330" i="1"/>
  <c r="Q3329" i="1"/>
  <c r="P3329" i="1"/>
  <c r="O3329" i="1"/>
  <c r="M3329" i="1"/>
  <c r="N3329" i="1" s="1"/>
  <c r="P3328" i="1"/>
  <c r="O3328" i="1"/>
  <c r="N3328" i="1"/>
  <c r="Q3328" i="1" s="1"/>
  <c r="M3328" i="1"/>
  <c r="O3327" i="1"/>
  <c r="M3327" i="1"/>
  <c r="N3327" i="1" s="1"/>
  <c r="O3326" i="1"/>
  <c r="M3326" i="1"/>
  <c r="N3326" i="1" s="1"/>
  <c r="O3325" i="1"/>
  <c r="M3325" i="1"/>
  <c r="N3325" i="1" s="1"/>
  <c r="Q3324" i="1"/>
  <c r="P3324" i="1"/>
  <c r="O3324" i="1"/>
  <c r="N3324" i="1"/>
  <c r="M3324" i="1"/>
  <c r="Q3323" i="1"/>
  <c r="O3323" i="1"/>
  <c r="N3323" i="1"/>
  <c r="M3323" i="1"/>
  <c r="O3322" i="1"/>
  <c r="N3322" i="1"/>
  <c r="M3322" i="1"/>
  <c r="O3321" i="1"/>
  <c r="M3321" i="1"/>
  <c r="N3321" i="1" s="1"/>
  <c r="Q3320" i="1"/>
  <c r="P3320" i="1"/>
  <c r="O3320" i="1"/>
  <c r="N3320" i="1"/>
  <c r="M3320" i="1"/>
  <c r="O3319" i="1"/>
  <c r="N3319" i="1"/>
  <c r="M3319" i="1"/>
  <c r="Q3318" i="1"/>
  <c r="P3318" i="1"/>
  <c r="O3318" i="1"/>
  <c r="N3318" i="1"/>
  <c r="M3318" i="1"/>
  <c r="O3317" i="1"/>
  <c r="M3317" i="1"/>
  <c r="N3317" i="1" s="1"/>
  <c r="Q3317" i="1" s="1"/>
  <c r="Q3316" i="1"/>
  <c r="O3316" i="1"/>
  <c r="N3316" i="1"/>
  <c r="P3316" i="1" s="1"/>
  <c r="M3316" i="1"/>
  <c r="P3315" i="1"/>
  <c r="O3315" i="1"/>
  <c r="M3315" i="1"/>
  <c r="N3315" i="1" s="1"/>
  <c r="Q3315" i="1" s="1"/>
  <c r="O3314" i="1"/>
  <c r="N3314" i="1"/>
  <c r="M3314" i="1"/>
  <c r="P3313" i="1"/>
  <c r="O3313" i="1"/>
  <c r="M3313" i="1"/>
  <c r="N3313" i="1" s="1"/>
  <c r="Q3313" i="1" s="1"/>
  <c r="O3312" i="1"/>
  <c r="M3312" i="1"/>
  <c r="N3312" i="1" s="1"/>
  <c r="Q3311" i="1"/>
  <c r="P3311" i="1"/>
  <c r="O3311" i="1"/>
  <c r="N3311" i="1"/>
  <c r="M3311" i="1"/>
  <c r="O3310" i="1"/>
  <c r="M3310" i="1"/>
  <c r="N3310" i="1" s="1"/>
  <c r="Q3310" i="1" s="1"/>
  <c r="Q3309" i="1"/>
  <c r="P3309" i="1"/>
  <c r="O3309" i="1"/>
  <c r="N3309" i="1"/>
  <c r="M3309" i="1"/>
  <c r="O3308" i="1"/>
  <c r="N3308" i="1"/>
  <c r="M3308" i="1"/>
  <c r="O3307" i="1"/>
  <c r="N3307" i="1"/>
  <c r="M3307" i="1"/>
  <c r="P3306" i="1"/>
  <c r="O3306" i="1"/>
  <c r="M3306" i="1"/>
  <c r="N3306" i="1" s="1"/>
  <c r="Q3306" i="1" s="1"/>
  <c r="P3305" i="1"/>
  <c r="O3305" i="1"/>
  <c r="M3305" i="1"/>
  <c r="N3305" i="1" s="1"/>
  <c r="Q3305" i="1" s="1"/>
  <c r="P3304" i="1"/>
  <c r="O3304" i="1"/>
  <c r="M3304" i="1"/>
  <c r="N3304" i="1" s="1"/>
  <c r="Q3304" i="1" s="1"/>
  <c r="O3303" i="1"/>
  <c r="N3303" i="1"/>
  <c r="M3303" i="1"/>
  <c r="Q3302" i="1"/>
  <c r="P3302" i="1"/>
  <c r="O3302" i="1"/>
  <c r="N3302" i="1"/>
  <c r="M3302" i="1"/>
  <c r="Q3301" i="1"/>
  <c r="P3301" i="1"/>
  <c r="O3301" i="1"/>
  <c r="M3301" i="1"/>
  <c r="N3301" i="1" s="1"/>
  <c r="O3300" i="1"/>
  <c r="M3300" i="1"/>
  <c r="N3300" i="1" s="1"/>
  <c r="O3299" i="1"/>
  <c r="M3299" i="1"/>
  <c r="N3299" i="1" s="1"/>
  <c r="Q3298" i="1"/>
  <c r="O3298" i="1"/>
  <c r="N3298" i="1"/>
  <c r="P3298" i="1" s="1"/>
  <c r="M3298" i="1"/>
  <c r="Q3297" i="1"/>
  <c r="P3297" i="1"/>
  <c r="O3297" i="1"/>
  <c r="M3297" i="1"/>
  <c r="N3297" i="1" s="1"/>
  <c r="O3296" i="1"/>
  <c r="N3296" i="1"/>
  <c r="M3296" i="1"/>
  <c r="O3295" i="1"/>
  <c r="M3295" i="1"/>
  <c r="N3295" i="1" s="1"/>
  <c r="Q3295" i="1" s="1"/>
  <c r="P3294" i="1"/>
  <c r="O3294" i="1"/>
  <c r="M3294" i="1"/>
  <c r="N3294" i="1" s="1"/>
  <c r="Q3294" i="1" s="1"/>
  <c r="Q3293" i="1"/>
  <c r="P3293" i="1"/>
  <c r="O3293" i="1"/>
  <c r="M3293" i="1"/>
  <c r="N3293" i="1" s="1"/>
  <c r="O3292" i="1"/>
  <c r="M3292" i="1"/>
  <c r="N3292" i="1" s="1"/>
  <c r="O3291" i="1"/>
  <c r="N3291" i="1"/>
  <c r="M3291" i="1"/>
  <c r="P3290" i="1"/>
  <c r="O3290" i="1"/>
  <c r="M3290" i="1"/>
  <c r="N3290" i="1" s="1"/>
  <c r="Q3290" i="1" s="1"/>
  <c r="Q3289" i="1"/>
  <c r="O3289" i="1"/>
  <c r="M3289" i="1"/>
  <c r="N3289" i="1" s="1"/>
  <c r="P3289" i="1" s="1"/>
  <c r="O3288" i="1"/>
  <c r="N3288" i="1"/>
  <c r="M3288" i="1"/>
  <c r="O3287" i="1"/>
  <c r="M3287" i="1"/>
  <c r="N3287" i="1" s="1"/>
  <c r="O3286" i="1"/>
  <c r="N3286" i="1"/>
  <c r="M3286" i="1"/>
  <c r="O3285" i="1"/>
  <c r="M3285" i="1"/>
  <c r="N3285" i="1" s="1"/>
  <c r="Q3284" i="1"/>
  <c r="O3284" i="1"/>
  <c r="N3284" i="1"/>
  <c r="P3284" i="1" s="1"/>
  <c r="M3284" i="1"/>
  <c r="O3283" i="1"/>
  <c r="M3283" i="1"/>
  <c r="N3283" i="1" s="1"/>
  <c r="Q3282" i="1"/>
  <c r="P3282" i="1"/>
  <c r="O3282" i="1"/>
  <c r="N3282" i="1"/>
  <c r="M3282" i="1"/>
  <c r="Q3281" i="1"/>
  <c r="P3281" i="1"/>
  <c r="O3281" i="1"/>
  <c r="M3281" i="1"/>
  <c r="N3281" i="1" s="1"/>
  <c r="O3280" i="1"/>
  <c r="N3280" i="1"/>
  <c r="M3280" i="1"/>
  <c r="O3279" i="1"/>
  <c r="N3279" i="1"/>
  <c r="M3279" i="1"/>
  <c r="O3278" i="1"/>
  <c r="M3278" i="1"/>
  <c r="N3278" i="1" s="1"/>
  <c r="O3277" i="1"/>
  <c r="M3277" i="1"/>
  <c r="N3277" i="1" s="1"/>
  <c r="Q3277" i="1" s="1"/>
  <c r="O3276" i="1"/>
  <c r="M3276" i="1"/>
  <c r="N3276" i="1" s="1"/>
  <c r="Q3275" i="1"/>
  <c r="O3275" i="1"/>
  <c r="N3275" i="1"/>
  <c r="M3275" i="1"/>
  <c r="O3274" i="1"/>
  <c r="M3274" i="1"/>
  <c r="N3274" i="1" s="1"/>
  <c r="Q3273" i="1"/>
  <c r="P3273" i="1"/>
  <c r="O3273" i="1"/>
  <c r="N3273" i="1"/>
  <c r="M3273" i="1"/>
  <c r="Q3272" i="1"/>
  <c r="O3272" i="1"/>
  <c r="M3272" i="1"/>
  <c r="N3272" i="1" s="1"/>
  <c r="P3272" i="1" s="1"/>
  <c r="O3271" i="1"/>
  <c r="N3271" i="1"/>
  <c r="M3271" i="1"/>
  <c r="P3270" i="1"/>
  <c r="O3270" i="1"/>
  <c r="N3270" i="1"/>
  <c r="Q3270" i="1" s="1"/>
  <c r="M3270" i="1"/>
  <c r="O3269" i="1"/>
  <c r="M3269" i="1"/>
  <c r="N3269" i="1" s="1"/>
  <c r="O3268" i="1"/>
  <c r="N3268" i="1"/>
  <c r="M3268" i="1"/>
  <c r="O3267" i="1"/>
  <c r="N3267" i="1"/>
  <c r="M3267" i="1"/>
  <c r="O3266" i="1"/>
  <c r="N3266" i="1"/>
  <c r="M3266" i="1"/>
  <c r="O3265" i="1"/>
  <c r="M3265" i="1"/>
  <c r="N3265" i="1" s="1"/>
  <c r="Q3264" i="1"/>
  <c r="P3264" i="1"/>
  <c r="O3264" i="1"/>
  <c r="N3264" i="1"/>
  <c r="M3264" i="1"/>
  <c r="Q3263" i="1"/>
  <c r="P3263" i="1"/>
  <c r="O3263" i="1"/>
  <c r="N3263" i="1"/>
  <c r="M3263" i="1"/>
  <c r="P3262" i="1"/>
  <c r="O3262" i="1"/>
  <c r="M3262" i="1"/>
  <c r="N3262" i="1" s="1"/>
  <c r="Q3262" i="1" s="1"/>
  <c r="O3261" i="1"/>
  <c r="N3261" i="1"/>
  <c r="M3261" i="1"/>
  <c r="O3260" i="1"/>
  <c r="N3260" i="1"/>
  <c r="M3260" i="1"/>
  <c r="O3259" i="1"/>
  <c r="N3259" i="1"/>
  <c r="M3259" i="1"/>
  <c r="P3258" i="1"/>
  <c r="O3258" i="1"/>
  <c r="N3258" i="1"/>
  <c r="Q3258" i="1" s="1"/>
  <c r="M3258" i="1"/>
  <c r="O3257" i="1"/>
  <c r="M3257" i="1"/>
  <c r="N3257" i="1" s="1"/>
  <c r="O3256" i="1"/>
  <c r="M3256" i="1"/>
  <c r="N3256" i="1" s="1"/>
  <c r="O3255" i="1"/>
  <c r="M3255" i="1"/>
  <c r="N3255" i="1" s="1"/>
  <c r="Q3254" i="1"/>
  <c r="O3254" i="1"/>
  <c r="P3254" i="1" s="1"/>
  <c r="N3254" i="1"/>
  <c r="M3254" i="1"/>
  <c r="Q3253" i="1"/>
  <c r="O3253" i="1"/>
  <c r="M3253" i="1"/>
  <c r="N3253" i="1" s="1"/>
  <c r="P3253" i="1" s="1"/>
  <c r="O3252" i="1"/>
  <c r="N3252" i="1"/>
  <c r="M3252" i="1"/>
  <c r="O3251" i="1"/>
  <c r="M3251" i="1"/>
  <c r="N3251" i="1" s="1"/>
  <c r="Q3250" i="1"/>
  <c r="P3250" i="1"/>
  <c r="O3250" i="1"/>
  <c r="N3250" i="1"/>
  <c r="M3250" i="1"/>
  <c r="O3249" i="1"/>
  <c r="M3249" i="1"/>
  <c r="N3249" i="1" s="1"/>
  <c r="Q3249" i="1" s="1"/>
  <c r="O3248" i="1"/>
  <c r="N3248" i="1"/>
  <c r="Q3248" i="1" s="1"/>
  <c r="M3248" i="1"/>
  <c r="Q3247" i="1"/>
  <c r="O3247" i="1"/>
  <c r="P3247" i="1" s="1"/>
  <c r="N3247" i="1"/>
  <c r="M3247" i="1"/>
  <c r="O3246" i="1"/>
  <c r="M3246" i="1"/>
  <c r="N3246" i="1" s="1"/>
  <c r="O3245" i="1"/>
  <c r="N3245" i="1"/>
  <c r="P3245" i="1" s="1"/>
  <c r="M3245" i="1"/>
  <c r="Q3244" i="1"/>
  <c r="O3244" i="1"/>
  <c r="N3244" i="1"/>
  <c r="P3244" i="1" s="1"/>
  <c r="M3244" i="1"/>
  <c r="Q3243" i="1"/>
  <c r="O3243" i="1"/>
  <c r="N3243" i="1"/>
  <c r="P3243" i="1" s="1"/>
  <c r="M3243" i="1"/>
  <c r="P3242" i="1"/>
  <c r="O3242" i="1"/>
  <c r="M3242" i="1"/>
  <c r="N3242" i="1" s="1"/>
  <c r="Q3242" i="1" s="1"/>
  <c r="O3241" i="1"/>
  <c r="M3241" i="1"/>
  <c r="N3241" i="1" s="1"/>
  <c r="Q3240" i="1"/>
  <c r="P3240" i="1"/>
  <c r="O3240" i="1"/>
  <c r="M3240" i="1"/>
  <c r="N3240" i="1" s="1"/>
  <c r="O3239" i="1"/>
  <c r="M3239" i="1"/>
  <c r="N3239" i="1" s="1"/>
  <c r="Q3238" i="1"/>
  <c r="O3238" i="1"/>
  <c r="N3238" i="1"/>
  <c r="M3238" i="1"/>
  <c r="Q3237" i="1"/>
  <c r="O3237" i="1"/>
  <c r="M3237" i="1"/>
  <c r="N3237" i="1" s="1"/>
  <c r="P3237" i="1" s="1"/>
  <c r="O3236" i="1"/>
  <c r="N3236" i="1"/>
  <c r="M3236" i="1"/>
  <c r="O3235" i="1"/>
  <c r="N3235" i="1"/>
  <c r="M3235" i="1"/>
  <c r="O3234" i="1"/>
  <c r="N3234" i="1"/>
  <c r="M3234" i="1"/>
  <c r="Q3233" i="1"/>
  <c r="O3233" i="1"/>
  <c r="M3233" i="1"/>
  <c r="N3233" i="1" s="1"/>
  <c r="P3233" i="1" s="1"/>
  <c r="O3232" i="1"/>
  <c r="M3232" i="1"/>
  <c r="N3232" i="1" s="1"/>
  <c r="Q3232" i="1" s="1"/>
  <c r="O3231" i="1"/>
  <c r="P3231" i="1" s="1"/>
  <c r="M3231" i="1"/>
  <c r="N3231" i="1" s="1"/>
  <c r="Q3231" i="1" s="1"/>
  <c r="O3230" i="1"/>
  <c r="M3230" i="1"/>
  <c r="N3230" i="1" s="1"/>
  <c r="O3229" i="1"/>
  <c r="N3229" i="1"/>
  <c r="M3229" i="1"/>
  <c r="Q3228" i="1"/>
  <c r="P3228" i="1"/>
  <c r="O3228" i="1"/>
  <c r="N3228" i="1"/>
  <c r="M3228" i="1"/>
  <c r="O3227" i="1"/>
  <c r="M3227" i="1"/>
  <c r="N3227" i="1" s="1"/>
  <c r="O3226" i="1"/>
  <c r="N3226" i="1"/>
  <c r="M3226" i="1"/>
  <c r="O3225" i="1"/>
  <c r="M3225" i="1"/>
  <c r="N3225" i="1" s="1"/>
  <c r="O3224" i="1"/>
  <c r="M3224" i="1"/>
  <c r="N3224" i="1" s="1"/>
  <c r="O3223" i="1"/>
  <c r="M3223" i="1"/>
  <c r="N3223" i="1" s="1"/>
  <c r="P3223" i="1" s="1"/>
  <c r="O3222" i="1"/>
  <c r="M3222" i="1"/>
  <c r="N3222" i="1" s="1"/>
  <c r="Q3222" i="1" s="1"/>
  <c r="Q3221" i="1"/>
  <c r="O3221" i="1"/>
  <c r="P3221" i="1" s="1"/>
  <c r="N3221" i="1"/>
  <c r="M3221" i="1"/>
  <c r="Q3220" i="1"/>
  <c r="P3220" i="1"/>
  <c r="O3220" i="1"/>
  <c r="N3220" i="1"/>
  <c r="M3220" i="1"/>
  <c r="O3219" i="1"/>
  <c r="N3219" i="1"/>
  <c r="M3219" i="1"/>
  <c r="O3218" i="1"/>
  <c r="N3218" i="1"/>
  <c r="Q3218" i="1" s="1"/>
  <c r="M3218" i="1"/>
  <c r="O3217" i="1"/>
  <c r="M3217" i="1"/>
  <c r="N3217" i="1" s="1"/>
  <c r="P3216" i="1"/>
  <c r="O3216" i="1"/>
  <c r="N3216" i="1"/>
  <c r="Q3216" i="1" s="1"/>
  <c r="M3216" i="1"/>
  <c r="O3215" i="1"/>
  <c r="N3215" i="1"/>
  <c r="M3215" i="1"/>
  <c r="Q3214" i="1"/>
  <c r="P3214" i="1"/>
  <c r="O3214" i="1"/>
  <c r="N3214" i="1"/>
  <c r="M3214" i="1"/>
  <c r="O3213" i="1"/>
  <c r="M3213" i="1"/>
  <c r="N3213" i="1" s="1"/>
  <c r="O3212" i="1"/>
  <c r="M3212" i="1"/>
  <c r="N3212" i="1" s="1"/>
  <c r="O3211" i="1"/>
  <c r="M3211" i="1"/>
  <c r="N3211" i="1" s="1"/>
  <c r="Q3211" i="1" s="1"/>
  <c r="O3210" i="1"/>
  <c r="M3210" i="1"/>
  <c r="N3210" i="1" s="1"/>
  <c r="O3209" i="1"/>
  <c r="P3209" i="1" s="1"/>
  <c r="M3209" i="1"/>
  <c r="N3209" i="1" s="1"/>
  <c r="Q3209" i="1" s="1"/>
  <c r="Q3208" i="1"/>
  <c r="P3208" i="1"/>
  <c r="O3208" i="1"/>
  <c r="N3208" i="1"/>
  <c r="M3208" i="1"/>
  <c r="O3207" i="1"/>
  <c r="M3207" i="1"/>
  <c r="N3207" i="1" s="1"/>
  <c r="O3206" i="1"/>
  <c r="M3206" i="1"/>
  <c r="N3206" i="1" s="1"/>
  <c r="O3205" i="1"/>
  <c r="M3205" i="1"/>
  <c r="N3205" i="1" s="1"/>
  <c r="P3205" i="1" s="1"/>
  <c r="Q3204" i="1"/>
  <c r="P3204" i="1"/>
  <c r="O3204" i="1"/>
  <c r="N3204" i="1"/>
  <c r="M3204" i="1"/>
  <c r="Q3203" i="1"/>
  <c r="P3203" i="1"/>
  <c r="O3203" i="1"/>
  <c r="N3203" i="1"/>
  <c r="M3203" i="1"/>
  <c r="Q3202" i="1"/>
  <c r="O3202" i="1"/>
  <c r="N3202" i="1"/>
  <c r="P3202" i="1" s="1"/>
  <c r="M3202" i="1"/>
  <c r="O3201" i="1"/>
  <c r="M3201" i="1"/>
  <c r="N3201" i="1" s="1"/>
  <c r="Q3201" i="1" s="1"/>
  <c r="P3200" i="1"/>
  <c r="O3200" i="1"/>
  <c r="N3200" i="1"/>
  <c r="Q3200" i="1" s="1"/>
  <c r="M3200" i="1"/>
  <c r="O3199" i="1"/>
  <c r="M3199" i="1"/>
  <c r="N3199" i="1" s="1"/>
  <c r="O3198" i="1"/>
  <c r="N3198" i="1"/>
  <c r="M3198" i="1"/>
  <c r="O3197" i="1"/>
  <c r="M3197" i="1"/>
  <c r="N3197" i="1" s="1"/>
  <c r="Q3196" i="1"/>
  <c r="P3196" i="1"/>
  <c r="O3196" i="1"/>
  <c r="M3196" i="1"/>
  <c r="N3196" i="1" s="1"/>
  <c r="O3195" i="1"/>
  <c r="M3195" i="1"/>
  <c r="N3195" i="1" s="1"/>
  <c r="Q3195" i="1" s="1"/>
  <c r="O3194" i="1"/>
  <c r="M3194" i="1"/>
  <c r="N3194" i="1" s="1"/>
  <c r="O3193" i="1"/>
  <c r="M3193" i="1"/>
  <c r="N3193" i="1" s="1"/>
  <c r="O3192" i="1"/>
  <c r="M3192" i="1"/>
  <c r="N3192" i="1" s="1"/>
  <c r="O3191" i="1"/>
  <c r="M3191" i="1"/>
  <c r="N3191" i="1" s="1"/>
  <c r="P3191" i="1" s="1"/>
  <c r="O3190" i="1"/>
  <c r="M3190" i="1"/>
  <c r="N3190" i="1" s="1"/>
  <c r="Q3189" i="1"/>
  <c r="O3189" i="1"/>
  <c r="P3189" i="1" s="1"/>
  <c r="N3189" i="1"/>
  <c r="M3189" i="1"/>
  <c r="Q3188" i="1"/>
  <c r="P3188" i="1"/>
  <c r="O3188" i="1"/>
  <c r="N3188" i="1"/>
  <c r="M3188" i="1"/>
  <c r="O3187" i="1"/>
  <c r="N3187" i="1"/>
  <c r="M3187" i="1"/>
  <c r="Q3186" i="1"/>
  <c r="P3186" i="1"/>
  <c r="O3186" i="1"/>
  <c r="N3186" i="1"/>
  <c r="M3186" i="1"/>
  <c r="O3185" i="1"/>
  <c r="M3185" i="1"/>
  <c r="N3185" i="1" s="1"/>
  <c r="O3184" i="1"/>
  <c r="M3184" i="1"/>
  <c r="N3184" i="1" s="1"/>
  <c r="Q3183" i="1"/>
  <c r="O3183" i="1"/>
  <c r="N3183" i="1"/>
  <c r="P3183" i="1" s="1"/>
  <c r="M3183" i="1"/>
  <c r="Q3182" i="1"/>
  <c r="P3182" i="1"/>
  <c r="O3182" i="1"/>
  <c r="N3182" i="1"/>
  <c r="M3182" i="1"/>
  <c r="O3181" i="1"/>
  <c r="M3181" i="1"/>
  <c r="N3181" i="1" s="1"/>
  <c r="P3180" i="1"/>
  <c r="O3180" i="1"/>
  <c r="N3180" i="1"/>
  <c r="Q3180" i="1" s="1"/>
  <c r="M3180" i="1"/>
  <c r="O3179" i="1"/>
  <c r="M3179" i="1"/>
  <c r="N3179" i="1" s="1"/>
  <c r="O3178" i="1"/>
  <c r="M3178" i="1"/>
  <c r="N3178" i="1" s="1"/>
  <c r="O3177" i="1"/>
  <c r="M3177" i="1"/>
  <c r="N3177" i="1" s="1"/>
  <c r="O3176" i="1"/>
  <c r="M3176" i="1"/>
  <c r="N3176" i="1" s="1"/>
  <c r="Q3175" i="1"/>
  <c r="O3175" i="1"/>
  <c r="M3175" i="1"/>
  <c r="N3175" i="1" s="1"/>
  <c r="P3175" i="1" s="1"/>
  <c r="O3174" i="1"/>
  <c r="M3174" i="1"/>
  <c r="N3174" i="1" s="1"/>
  <c r="O3173" i="1"/>
  <c r="M3173" i="1"/>
  <c r="N3173" i="1" s="1"/>
  <c r="Q3172" i="1"/>
  <c r="P3172" i="1"/>
  <c r="O3172" i="1"/>
  <c r="N3172" i="1"/>
  <c r="M3172" i="1"/>
  <c r="Q3171" i="1"/>
  <c r="P3171" i="1"/>
  <c r="O3171" i="1"/>
  <c r="N3171" i="1"/>
  <c r="M3171" i="1"/>
  <c r="Q3170" i="1"/>
  <c r="O3170" i="1"/>
  <c r="N3170" i="1"/>
  <c r="P3170" i="1" s="1"/>
  <c r="M3170" i="1"/>
  <c r="Q3169" i="1"/>
  <c r="O3169" i="1"/>
  <c r="P3169" i="1" s="1"/>
  <c r="M3169" i="1"/>
  <c r="N3169" i="1" s="1"/>
  <c r="P3168" i="1"/>
  <c r="O3168" i="1"/>
  <c r="N3168" i="1"/>
  <c r="Q3168" i="1" s="1"/>
  <c r="M3168" i="1"/>
  <c r="O3167" i="1"/>
  <c r="N3167" i="1"/>
  <c r="M3167" i="1"/>
  <c r="O3166" i="1"/>
  <c r="N3166" i="1"/>
  <c r="M3166" i="1"/>
  <c r="O3165" i="1"/>
  <c r="N3165" i="1"/>
  <c r="M3165" i="1"/>
  <c r="Q3164" i="1"/>
  <c r="P3164" i="1"/>
  <c r="O3164" i="1"/>
  <c r="M3164" i="1"/>
  <c r="N3164" i="1" s="1"/>
  <c r="O3163" i="1"/>
  <c r="M3163" i="1"/>
  <c r="N3163" i="1" s="1"/>
  <c r="Q3163" i="1" s="1"/>
  <c r="O3162" i="1"/>
  <c r="M3162" i="1"/>
  <c r="N3162" i="1" s="1"/>
  <c r="O3161" i="1"/>
  <c r="M3161" i="1"/>
  <c r="N3161" i="1" s="1"/>
  <c r="O3160" i="1"/>
  <c r="M3160" i="1"/>
  <c r="N3160" i="1" s="1"/>
  <c r="O3159" i="1"/>
  <c r="M3159" i="1"/>
  <c r="N3159" i="1" s="1"/>
  <c r="Q3158" i="1"/>
  <c r="P3158" i="1"/>
  <c r="O3158" i="1"/>
  <c r="N3158" i="1"/>
  <c r="M3158" i="1"/>
  <c r="Q3157" i="1"/>
  <c r="O3157" i="1"/>
  <c r="P3157" i="1" s="1"/>
  <c r="N3157" i="1"/>
  <c r="M3157" i="1"/>
  <c r="Q3156" i="1"/>
  <c r="P3156" i="1"/>
  <c r="O3156" i="1"/>
  <c r="N3156" i="1"/>
  <c r="M3156" i="1"/>
  <c r="Q3155" i="1"/>
  <c r="O3155" i="1"/>
  <c r="P3155" i="1" s="1"/>
  <c r="N3155" i="1"/>
  <c r="M3155" i="1"/>
  <c r="P3154" i="1"/>
  <c r="O3154" i="1"/>
  <c r="N3154" i="1"/>
  <c r="Q3154" i="1" s="1"/>
  <c r="M3154" i="1"/>
  <c r="O3153" i="1"/>
  <c r="M3153" i="1"/>
  <c r="N3153" i="1" s="1"/>
  <c r="O3152" i="1"/>
  <c r="N3152" i="1"/>
  <c r="M3152" i="1"/>
  <c r="O3151" i="1"/>
  <c r="N3151" i="1"/>
  <c r="M3151" i="1"/>
  <c r="Q3150" i="1"/>
  <c r="P3150" i="1"/>
  <c r="O3150" i="1"/>
  <c r="N3150" i="1"/>
  <c r="M3150" i="1"/>
  <c r="O3149" i="1"/>
  <c r="N3149" i="1"/>
  <c r="M3149" i="1"/>
  <c r="O3148" i="1"/>
  <c r="N3148" i="1"/>
  <c r="M3148" i="1"/>
  <c r="Q3147" i="1"/>
  <c r="O3147" i="1"/>
  <c r="P3147" i="1" s="1"/>
  <c r="N3147" i="1"/>
  <c r="M3147" i="1"/>
  <c r="O3146" i="1"/>
  <c r="M3146" i="1"/>
  <c r="N3146" i="1" s="1"/>
  <c r="O3145" i="1"/>
  <c r="M3145" i="1"/>
  <c r="N3145" i="1" s="1"/>
  <c r="Q3145" i="1" s="1"/>
  <c r="O3144" i="1"/>
  <c r="M3144" i="1"/>
  <c r="N3144" i="1" s="1"/>
  <c r="O3143" i="1"/>
  <c r="M3143" i="1"/>
  <c r="N3143" i="1" s="1"/>
  <c r="P3143" i="1" s="1"/>
  <c r="O3142" i="1"/>
  <c r="M3142" i="1"/>
  <c r="N3142" i="1" s="1"/>
  <c r="O3141" i="1"/>
  <c r="M3141" i="1"/>
  <c r="N3141" i="1" s="1"/>
  <c r="Q3140" i="1"/>
  <c r="P3140" i="1"/>
  <c r="O3140" i="1"/>
  <c r="N3140" i="1"/>
  <c r="M3140" i="1"/>
  <c r="Q3139" i="1"/>
  <c r="P3139" i="1"/>
  <c r="O3139" i="1"/>
  <c r="N3139" i="1"/>
  <c r="M3139" i="1"/>
  <c r="O3138" i="1"/>
  <c r="N3138" i="1"/>
  <c r="M3138" i="1"/>
  <c r="P3137" i="1"/>
  <c r="O3137" i="1"/>
  <c r="M3137" i="1"/>
  <c r="N3137" i="1" s="1"/>
  <c r="Q3137" i="1" s="1"/>
  <c r="O3136" i="1"/>
  <c r="N3136" i="1"/>
  <c r="Q3136" i="1" s="1"/>
  <c r="M3136" i="1"/>
  <c r="O3135" i="1"/>
  <c r="M3135" i="1"/>
  <c r="N3135" i="1" s="1"/>
  <c r="P3134" i="1"/>
  <c r="O3134" i="1"/>
  <c r="N3134" i="1"/>
  <c r="Q3134" i="1" s="1"/>
  <c r="M3134" i="1"/>
  <c r="O3133" i="1"/>
  <c r="M3133" i="1"/>
  <c r="N3133" i="1" s="1"/>
  <c r="O3132" i="1"/>
  <c r="M3132" i="1"/>
  <c r="N3132" i="1" s="1"/>
  <c r="Q3132" i="1" s="1"/>
  <c r="P3131" i="1"/>
  <c r="O3131" i="1"/>
  <c r="M3131" i="1"/>
  <c r="N3131" i="1" s="1"/>
  <c r="Q3131" i="1" s="1"/>
  <c r="O3130" i="1"/>
  <c r="M3130" i="1"/>
  <c r="N3130" i="1" s="1"/>
  <c r="O3129" i="1"/>
  <c r="M3129" i="1"/>
  <c r="N3129" i="1" s="1"/>
  <c r="O3128" i="1"/>
  <c r="M3128" i="1"/>
  <c r="N3128" i="1" s="1"/>
  <c r="O3127" i="1"/>
  <c r="M3127" i="1"/>
  <c r="N3127" i="1" s="1"/>
  <c r="P3127" i="1" s="1"/>
  <c r="O3126" i="1"/>
  <c r="N3126" i="1"/>
  <c r="Q3126" i="1" s="1"/>
  <c r="M3126" i="1"/>
  <c r="Q3125" i="1"/>
  <c r="P3125" i="1"/>
  <c r="O3125" i="1"/>
  <c r="N3125" i="1"/>
  <c r="M3125" i="1"/>
  <c r="Q3124" i="1"/>
  <c r="P3124" i="1"/>
  <c r="O3124" i="1"/>
  <c r="N3124" i="1"/>
  <c r="M3124" i="1"/>
  <c r="O3123" i="1"/>
  <c r="M3123" i="1"/>
  <c r="N3123" i="1" s="1"/>
  <c r="Q3122" i="1"/>
  <c r="P3122" i="1"/>
  <c r="O3122" i="1"/>
  <c r="N3122" i="1"/>
  <c r="M3122" i="1"/>
  <c r="O3121" i="1"/>
  <c r="M3121" i="1"/>
  <c r="N3121" i="1" s="1"/>
  <c r="P3120" i="1"/>
  <c r="O3120" i="1"/>
  <c r="M3120" i="1"/>
  <c r="N3120" i="1" s="1"/>
  <c r="Q3120" i="1" s="1"/>
  <c r="O3119" i="1"/>
  <c r="M3119" i="1"/>
  <c r="N3119" i="1" s="1"/>
  <c r="Q3118" i="1"/>
  <c r="P3118" i="1"/>
  <c r="O3118" i="1"/>
  <c r="N3118" i="1"/>
  <c r="M3118" i="1"/>
  <c r="O3117" i="1"/>
  <c r="N3117" i="1"/>
  <c r="M3117" i="1"/>
  <c r="O3116" i="1"/>
  <c r="N3116" i="1"/>
  <c r="Q3116" i="1" s="1"/>
  <c r="M3116" i="1"/>
  <c r="P3115" i="1"/>
  <c r="O3115" i="1"/>
  <c r="N3115" i="1"/>
  <c r="Q3115" i="1" s="1"/>
  <c r="M3115" i="1"/>
  <c r="O3114" i="1"/>
  <c r="M3114" i="1"/>
  <c r="N3114" i="1" s="1"/>
  <c r="O3113" i="1"/>
  <c r="M3113" i="1"/>
  <c r="N3113" i="1" s="1"/>
  <c r="Q3113" i="1" s="1"/>
  <c r="Q3112" i="1"/>
  <c r="O3112" i="1"/>
  <c r="P3112" i="1" s="1"/>
  <c r="N3112" i="1"/>
  <c r="M3112" i="1"/>
  <c r="Q3111" i="1"/>
  <c r="O3111" i="1"/>
  <c r="M3111" i="1"/>
  <c r="N3111" i="1" s="1"/>
  <c r="P3111" i="1" s="1"/>
  <c r="O3110" i="1"/>
  <c r="M3110" i="1"/>
  <c r="N3110" i="1" s="1"/>
  <c r="Q3109" i="1"/>
  <c r="O3109" i="1"/>
  <c r="N3109" i="1"/>
  <c r="M3109" i="1"/>
  <c r="Q3108" i="1"/>
  <c r="P3108" i="1"/>
  <c r="O3108" i="1"/>
  <c r="N3108" i="1"/>
  <c r="M3108" i="1"/>
  <c r="Q3107" i="1"/>
  <c r="P3107" i="1"/>
  <c r="O3107" i="1"/>
  <c r="N3107" i="1"/>
  <c r="M3107" i="1"/>
  <c r="Q3106" i="1"/>
  <c r="O3106" i="1"/>
  <c r="N3106" i="1"/>
  <c r="P3106" i="1" s="1"/>
  <c r="M3106" i="1"/>
  <c r="O3105" i="1"/>
  <c r="M3105" i="1"/>
  <c r="N3105" i="1" s="1"/>
  <c r="O3104" i="1"/>
  <c r="N3104" i="1"/>
  <c r="M3104" i="1"/>
  <c r="O3103" i="1"/>
  <c r="N3103" i="1"/>
  <c r="M3103" i="1"/>
  <c r="O3102" i="1"/>
  <c r="N3102" i="1"/>
  <c r="Q3102" i="1" s="1"/>
  <c r="M3102" i="1"/>
  <c r="O3101" i="1"/>
  <c r="M3101" i="1"/>
  <c r="N3101" i="1" s="1"/>
  <c r="O3100" i="1"/>
  <c r="M3100" i="1"/>
  <c r="N3100" i="1" s="1"/>
  <c r="O3099" i="1"/>
  <c r="M3099" i="1"/>
  <c r="N3099" i="1" s="1"/>
  <c r="O3098" i="1"/>
  <c r="M3098" i="1"/>
  <c r="N3098" i="1" s="1"/>
  <c r="Q3097" i="1"/>
  <c r="O3097" i="1"/>
  <c r="P3097" i="1" s="1"/>
  <c r="N3097" i="1"/>
  <c r="M3097" i="1"/>
  <c r="O3096" i="1"/>
  <c r="M3096" i="1"/>
  <c r="N3096" i="1" s="1"/>
  <c r="O3095" i="1"/>
  <c r="M3095" i="1"/>
  <c r="N3095" i="1" s="1"/>
  <c r="P3095" i="1" s="1"/>
  <c r="Q3094" i="1"/>
  <c r="P3094" i="1"/>
  <c r="O3094" i="1"/>
  <c r="N3094" i="1"/>
  <c r="M3094" i="1"/>
  <c r="Q3093" i="1"/>
  <c r="O3093" i="1"/>
  <c r="P3093" i="1" s="1"/>
  <c r="N3093" i="1"/>
  <c r="M3093" i="1"/>
  <c r="Q3092" i="1"/>
  <c r="P3092" i="1"/>
  <c r="O3092" i="1"/>
  <c r="N3092" i="1"/>
  <c r="M3092" i="1"/>
  <c r="O3091" i="1"/>
  <c r="N3091" i="1"/>
  <c r="M3091" i="1"/>
  <c r="P3090" i="1"/>
  <c r="O3090" i="1"/>
  <c r="N3090" i="1"/>
  <c r="Q3090" i="1" s="1"/>
  <c r="M3090" i="1"/>
  <c r="O3089" i="1"/>
  <c r="M3089" i="1"/>
  <c r="N3089" i="1" s="1"/>
  <c r="O3088" i="1"/>
  <c r="N3088" i="1"/>
  <c r="Q3088" i="1" s="1"/>
  <c r="M3088" i="1"/>
  <c r="O3087" i="1"/>
  <c r="N3087" i="1"/>
  <c r="Q3087" i="1" s="1"/>
  <c r="M3087" i="1"/>
  <c r="Q3086" i="1"/>
  <c r="P3086" i="1"/>
  <c r="O3086" i="1"/>
  <c r="N3086" i="1"/>
  <c r="M3086" i="1"/>
  <c r="O3085" i="1"/>
  <c r="M3085" i="1"/>
  <c r="N3085" i="1" s="1"/>
  <c r="O3084" i="1"/>
  <c r="M3084" i="1"/>
  <c r="N3084" i="1" s="1"/>
  <c r="Q3083" i="1"/>
  <c r="O3083" i="1"/>
  <c r="M3083" i="1"/>
  <c r="N3083" i="1" s="1"/>
  <c r="P3083" i="1" s="1"/>
  <c r="O3082" i="1"/>
  <c r="M3082" i="1"/>
  <c r="N3082" i="1" s="1"/>
  <c r="P3081" i="1"/>
  <c r="O3081" i="1"/>
  <c r="M3081" i="1"/>
  <c r="N3081" i="1" s="1"/>
  <c r="Q3081" i="1" s="1"/>
  <c r="O3080" i="1"/>
  <c r="M3080" i="1"/>
  <c r="N3080" i="1" s="1"/>
  <c r="Q3080" i="1" s="1"/>
  <c r="O3079" i="1"/>
  <c r="M3079" i="1"/>
  <c r="N3079" i="1" s="1"/>
  <c r="O3078" i="1"/>
  <c r="M3078" i="1"/>
  <c r="N3078" i="1" s="1"/>
  <c r="Q3077" i="1"/>
  <c r="O3077" i="1"/>
  <c r="N3077" i="1"/>
  <c r="M3077" i="1"/>
  <c r="Q3076" i="1"/>
  <c r="P3076" i="1"/>
  <c r="O3076" i="1"/>
  <c r="N3076" i="1"/>
  <c r="M3076" i="1"/>
  <c r="Q3075" i="1"/>
  <c r="P3075" i="1"/>
  <c r="O3075" i="1"/>
  <c r="N3075" i="1"/>
  <c r="M3075" i="1"/>
  <c r="O3074" i="1"/>
  <c r="N3074" i="1"/>
  <c r="Q3074" i="1" s="1"/>
  <c r="M3074" i="1"/>
  <c r="Q3073" i="1"/>
  <c r="P3073" i="1"/>
  <c r="O3073" i="1"/>
  <c r="M3073" i="1"/>
  <c r="N3073" i="1" s="1"/>
  <c r="P3072" i="1"/>
  <c r="O3072" i="1"/>
  <c r="N3072" i="1"/>
  <c r="Q3072" i="1" s="1"/>
  <c r="M3072" i="1"/>
  <c r="O3071" i="1"/>
  <c r="M3071" i="1"/>
  <c r="N3071" i="1" s="1"/>
  <c r="O3070" i="1"/>
  <c r="N3070" i="1"/>
  <c r="Q3070" i="1" s="1"/>
  <c r="M3070" i="1"/>
  <c r="O3069" i="1"/>
  <c r="M3069" i="1"/>
  <c r="N3069" i="1" s="1"/>
  <c r="O3068" i="1"/>
  <c r="M3068" i="1"/>
  <c r="N3068" i="1" s="1"/>
  <c r="Q3068" i="1" s="1"/>
  <c r="P3067" i="1"/>
  <c r="O3067" i="1"/>
  <c r="M3067" i="1"/>
  <c r="N3067" i="1" s="1"/>
  <c r="Q3067" i="1" s="1"/>
  <c r="O3066" i="1"/>
  <c r="M3066" i="1"/>
  <c r="N3066" i="1" s="1"/>
  <c r="Q3065" i="1"/>
  <c r="P3065" i="1"/>
  <c r="O3065" i="1"/>
  <c r="N3065" i="1"/>
  <c r="M3065" i="1"/>
  <c r="O3064" i="1"/>
  <c r="M3064" i="1"/>
  <c r="N3064" i="1" s="1"/>
  <c r="O3063" i="1"/>
  <c r="M3063" i="1"/>
  <c r="N3063" i="1" s="1"/>
  <c r="P3063" i="1" s="1"/>
  <c r="O3062" i="1"/>
  <c r="M3062" i="1"/>
  <c r="N3062" i="1" s="1"/>
  <c r="Q3061" i="1"/>
  <c r="O3061" i="1"/>
  <c r="P3061" i="1" s="1"/>
  <c r="N3061" i="1"/>
  <c r="M3061" i="1"/>
  <c r="Q3060" i="1"/>
  <c r="P3060" i="1"/>
  <c r="O3060" i="1"/>
  <c r="N3060" i="1"/>
  <c r="M3060" i="1"/>
  <c r="O3059" i="1"/>
  <c r="N3059" i="1"/>
  <c r="M3059" i="1"/>
  <c r="Q3058" i="1"/>
  <c r="P3058" i="1"/>
  <c r="O3058" i="1"/>
  <c r="N3058" i="1"/>
  <c r="M3058" i="1"/>
  <c r="O3057" i="1"/>
  <c r="M3057" i="1"/>
  <c r="N3057" i="1" s="1"/>
  <c r="P3056" i="1"/>
  <c r="O3056" i="1"/>
  <c r="M3056" i="1"/>
  <c r="N3056" i="1" s="1"/>
  <c r="Q3056" i="1" s="1"/>
  <c r="O3055" i="1"/>
  <c r="M3055" i="1"/>
  <c r="N3055" i="1" s="1"/>
  <c r="Q3054" i="1"/>
  <c r="P3054" i="1"/>
  <c r="O3054" i="1"/>
  <c r="N3054" i="1"/>
  <c r="M3054" i="1"/>
  <c r="O3053" i="1"/>
  <c r="N3053" i="1"/>
  <c r="M3053" i="1"/>
  <c r="O3052" i="1"/>
  <c r="N3052" i="1"/>
  <c r="M3052" i="1"/>
  <c r="O3051" i="1"/>
  <c r="M3051" i="1"/>
  <c r="N3051" i="1" s="1"/>
  <c r="O3050" i="1"/>
  <c r="M3050" i="1"/>
  <c r="N3050" i="1" s="1"/>
  <c r="O3049" i="1"/>
  <c r="M3049" i="1"/>
  <c r="N3049" i="1" s="1"/>
  <c r="P3048" i="1"/>
  <c r="O3048" i="1"/>
  <c r="M3048" i="1"/>
  <c r="N3048" i="1" s="1"/>
  <c r="Q3048" i="1" s="1"/>
  <c r="O3047" i="1"/>
  <c r="M3047" i="1"/>
  <c r="N3047" i="1" s="1"/>
  <c r="O3046" i="1"/>
  <c r="M3046" i="1"/>
  <c r="N3046" i="1" s="1"/>
  <c r="O3045" i="1"/>
  <c r="M3045" i="1"/>
  <c r="N3045" i="1" s="1"/>
  <c r="Q3044" i="1"/>
  <c r="P3044" i="1"/>
  <c r="O3044" i="1"/>
  <c r="N3044" i="1"/>
  <c r="M3044" i="1"/>
  <c r="Q3043" i="1"/>
  <c r="P3043" i="1"/>
  <c r="O3043" i="1"/>
  <c r="N3043" i="1"/>
  <c r="M3043" i="1"/>
  <c r="O3042" i="1"/>
  <c r="M3042" i="1"/>
  <c r="N3042" i="1" s="1"/>
  <c r="Q3041" i="1"/>
  <c r="O3041" i="1"/>
  <c r="M3041" i="1"/>
  <c r="N3041" i="1" s="1"/>
  <c r="P3040" i="1"/>
  <c r="O3040" i="1"/>
  <c r="N3040" i="1"/>
  <c r="Q3040" i="1" s="1"/>
  <c r="M3040" i="1"/>
  <c r="O3039" i="1"/>
  <c r="M3039" i="1"/>
  <c r="N3039" i="1" s="1"/>
  <c r="O3038" i="1"/>
  <c r="N3038" i="1"/>
  <c r="Q3038" i="1" s="1"/>
  <c r="M3038" i="1"/>
  <c r="O3037" i="1"/>
  <c r="N3037" i="1"/>
  <c r="M3037" i="1"/>
  <c r="Q3036" i="1"/>
  <c r="P3036" i="1"/>
  <c r="O3036" i="1"/>
  <c r="M3036" i="1"/>
  <c r="N3036" i="1" s="1"/>
  <c r="O3035" i="1"/>
  <c r="M3035" i="1"/>
  <c r="N3035" i="1" s="1"/>
  <c r="Q3035" i="1" s="1"/>
  <c r="O3034" i="1"/>
  <c r="M3034" i="1"/>
  <c r="N3034" i="1" s="1"/>
  <c r="O3033" i="1"/>
  <c r="M3033" i="1"/>
  <c r="N3033" i="1" s="1"/>
  <c r="O3032" i="1"/>
  <c r="M3032" i="1"/>
  <c r="N3032" i="1" s="1"/>
  <c r="Q3031" i="1"/>
  <c r="O3031" i="1"/>
  <c r="M3031" i="1"/>
  <c r="N3031" i="1" s="1"/>
  <c r="P3031" i="1" s="1"/>
  <c r="P3030" i="1"/>
  <c r="O3030" i="1"/>
  <c r="N3030" i="1"/>
  <c r="Q3030" i="1" s="1"/>
  <c r="M3030" i="1"/>
  <c r="Q3029" i="1"/>
  <c r="P3029" i="1"/>
  <c r="O3029" i="1"/>
  <c r="N3029" i="1"/>
  <c r="M3029" i="1"/>
  <c r="Q3028" i="1"/>
  <c r="P3028" i="1"/>
  <c r="O3028" i="1"/>
  <c r="N3028" i="1"/>
  <c r="M3028" i="1"/>
  <c r="O3027" i="1"/>
  <c r="M3027" i="1"/>
  <c r="N3027" i="1" s="1"/>
  <c r="Q3026" i="1"/>
  <c r="P3026" i="1"/>
  <c r="O3026" i="1"/>
  <c r="N3026" i="1"/>
  <c r="M3026" i="1"/>
  <c r="O3025" i="1"/>
  <c r="M3025" i="1"/>
  <c r="N3025" i="1" s="1"/>
  <c r="O3024" i="1"/>
  <c r="M3024" i="1"/>
  <c r="N3024" i="1" s="1"/>
  <c r="O3023" i="1"/>
  <c r="M3023" i="1"/>
  <c r="N3023" i="1" s="1"/>
  <c r="Q3022" i="1"/>
  <c r="P3022" i="1"/>
  <c r="O3022" i="1"/>
  <c r="N3022" i="1"/>
  <c r="M3022" i="1"/>
  <c r="O3021" i="1"/>
  <c r="N3021" i="1"/>
  <c r="M3021" i="1"/>
  <c r="P3020" i="1"/>
  <c r="O3020" i="1"/>
  <c r="N3020" i="1"/>
  <c r="Q3020" i="1" s="1"/>
  <c r="M3020" i="1"/>
  <c r="O3019" i="1"/>
  <c r="N3019" i="1"/>
  <c r="M3019" i="1"/>
  <c r="O3018" i="1"/>
  <c r="M3018" i="1"/>
  <c r="N3018" i="1" s="1"/>
  <c r="P3017" i="1"/>
  <c r="O3017" i="1"/>
  <c r="M3017" i="1"/>
  <c r="N3017" i="1" s="1"/>
  <c r="Q3017" i="1" s="1"/>
  <c r="P3016" i="1"/>
  <c r="O3016" i="1"/>
  <c r="N3016" i="1"/>
  <c r="Q3016" i="1" s="1"/>
  <c r="M3016" i="1"/>
  <c r="O3015" i="1"/>
  <c r="M3015" i="1"/>
  <c r="N3015" i="1" s="1"/>
  <c r="O3014" i="1"/>
  <c r="M3014" i="1"/>
  <c r="N3014" i="1" s="1"/>
  <c r="O3013" i="1"/>
  <c r="M3013" i="1"/>
  <c r="N3013" i="1" s="1"/>
  <c r="Q3012" i="1"/>
  <c r="P3012" i="1"/>
  <c r="O3012" i="1"/>
  <c r="N3012" i="1"/>
  <c r="M3012" i="1"/>
  <c r="Q3011" i="1"/>
  <c r="P3011" i="1"/>
  <c r="O3011" i="1"/>
  <c r="N3011" i="1"/>
  <c r="M3011" i="1"/>
  <c r="O3010" i="1"/>
  <c r="N3010" i="1"/>
  <c r="M3010" i="1"/>
  <c r="O3009" i="1"/>
  <c r="M3009" i="1"/>
  <c r="N3009" i="1" s="1"/>
  <c r="O3008" i="1"/>
  <c r="P3008" i="1" s="1"/>
  <c r="N3008" i="1"/>
  <c r="Q3008" i="1" s="1"/>
  <c r="M3008" i="1"/>
  <c r="O3007" i="1"/>
  <c r="M3007" i="1"/>
  <c r="N3007" i="1" s="1"/>
  <c r="O3006" i="1"/>
  <c r="N3006" i="1"/>
  <c r="M3006" i="1"/>
  <c r="O3005" i="1"/>
  <c r="M3005" i="1"/>
  <c r="N3005" i="1" s="1"/>
  <c r="O3004" i="1"/>
  <c r="M3004" i="1"/>
  <c r="N3004" i="1" s="1"/>
  <c r="P3004" i="1" s="1"/>
  <c r="P3003" i="1"/>
  <c r="O3003" i="1"/>
  <c r="M3003" i="1"/>
  <c r="N3003" i="1" s="1"/>
  <c r="Q3003" i="1" s="1"/>
  <c r="O3002" i="1"/>
  <c r="N3002" i="1"/>
  <c r="M3002" i="1"/>
  <c r="O3001" i="1"/>
  <c r="M3001" i="1"/>
  <c r="N3001" i="1" s="1"/>
  <c r="O3000" i="1"/>
  <c r="M3000" i="1"/>
  <c r="N3000" i="1" s="1"/>
  <c r="O2999" i="1"/>
  <c r="M2999" i="1"/>
  <c r="N2999" i="1" s="1"/>
  <c r="P2998" i="1"/>
  <c r="O2998" i="1"/>
  <c r="M2998" i="1"/>
  <c r="N2998" i="1" s="1"/>
  <c r="Q2998" i="1" s="1"/>
  <c r="Q2997" i="1"/>
  <c r="P2997" i="1"/>
  <c r="O2997" i="1"/>
  <c r="N2997" i="1"/>
  <c r="M2997" i="1"/>
  <c r="Q2996" i="1"/>
  <c r="P2996" i="1"/>
  <c r="O2996" i="1"/>
  <c r="N2996" i="1"/>
  <c r="M2996" i="1"/>
  <c r="Q2995" i="1"/>
  <c r="P2995" i="1"/>
  <c r="O2995" i="1"/>
  <c r="N2995" i="1"/>
  <c r="M2995" i="1"/>
  <c r="Q2994" i="1"/>
  <c r="O2994" i="1"/>
  <c r="N2994" i="1"/>
  <c r="M2994" i="1"/>
  <c r="O2993" i="1"/>
  <c r="M2993" i="1"/>
  <c r="N2993" i="1" s="1"/>
  <c r="O2992" i="1"/>
  <c r="M2992" i="1"/>
  <c r="N2992" i="1" s="1"/>
  <c r="Q2991" i="1"/>
  <c r="O2991" i="1"/>
  <c r="P2991" i="1" s="1"/>
  <c r="N2991" i="1"/>
  <c r="M2991" i="1"/>
  <c r="Q2990" i="1"/>
  <c r="P2990" i="1"/>
  <c r="O2990" i="1"/>
  <c r="N2990" i="1"/>
  <c r="M2990" i="1"/>
  <c r="O2989" i="1"/>
  <c r="M2989" i="1"/>
  <c r="N2989" i="1" s="1"/>
  <c r="O2988" i="1"/>
  <c r="N2988" i="1"/>
  <c r="Q2988" i="1" s="1"/>
  <c r="M2988" i="1"/>
  <c r="O2987" i="1"/>
  <c r="M2987" i="1"/>
  <c r="N2987" i="1" s="1"/>
  <c r="O2986" i="1"/>
  <c r="M2986" i="1"/>
  <c r="N2986" i="1" s="1"/>
  <c r="P2985" i="1"/>
  <c r="O2985" i="1"/>
  <c r="M2985" i="1"/>
  <c r="N2985" i="1" s="1"/>
  <c r="Q2985" i="1" s="1"/>
  <c r="O2984" i="1"/>
  <c r="N2984" i="1"/>
  <c r="M2984" i="1"/>
  <c r="O2983" i="1"/>
  <c r="M2983" i="1"/>
  <c r="N2983" i="1" s="1"/>
  <c r="O2982" i="1"/>
  <c r="M2982" i="1"/>
  <c r="N2982" i="1" s="1"/>
  <c r="O2981" i="1"/>
  <c r="M2981" i="1"/>
  <c r="N2981" i="1" s="1"/>
  <c r="Q2980" i="1"/>
  <c r="P2980" i="1"/>
  <c r="O2980" i="1"/>
  <c r="N2980" i="1"/>
  <c r="M2980" i="1"/>
  <c r="Q2979" i="1"/>
  <c r="P2979" i="1"/>
  <c r="O2979" i="1"/>
  <c r="N2979" i="1"/>
  <c r="M2979" i="1"/>
  <c r="O2978" i="1"/>
  <c r="M2978" i="1"/>
  <c r="N2978" i="1" s="1"/>
  <c r="O2977" i="1"/>
  <c r="M2977" i="1"/>
  <c r="N2977" i="1" s="1"/>
  <c r="O2976" i="1"/>
  <c r="N2976" i="1"/>
  <c r="Q2976" i="1" s="1"/>
  <c r="M2976" i="1"/>
  <c r="O2975" i="1"/>
  <c r="N2975" i="1"/>
  <c r="M2975" i="1"/>
  <c r="O2974" i="1"/>
  <c r="N2974" i="1"/>
  <c r="M2974" i="1"/>
  <c r="O2973" i="1"/>
  <c r="M2973" i="1"/>
  <c r="N2973" i="1" s="1"/>
  <c r="Q2972" i="1"/>
  <c r="P2972" i="1"/>
  <c r="O2972" i="1"/>
  <c r="M2972" i="1"/>
  <c r="N2972" i="1" s="1"/>
  <c r="O2971" i="1"/>
  <c r="M2971" i="1"/>
  <c r="N2971" i="1" s="1"/>
  <c r="Q2971" i="1" s="1"/>
  <c r="O2970" i="1"/>
  <c r="N2970" i="1"/>
  <c r="M2970" i="1"/>
  <c r="O2969" i="1"/>
  <c r="M2969" i="1"/>
  <c r="N2969" i="1" s="1"/>
  <c r="O2968" i="1"/>
  <c r="M2968" i="1"/>
  <c r="N2968" i="1" s="1"/>
  <c r="O2967" i="1"/>
  <c r="M2967" i="1"/>
  <c r="N2967" i="1" s="1"/>
  <c r="P2967" i="1" s="1"/>
  <c r="O2966" i="1"/>
  <c r="M2966" i="1"/>
  <c r="N2966" i="1" s="1"/>
  <c r="Q2965" i="1"/>
  <c r="O2965" i="1"/>
  <c r="P2965" i="1" s="1"/>
  <c r="N2965" i="1"/>
  <c r="M2965" i="1"/>
  <c r="Q2964" i="1"/>
  <c r="P2964" i="1"/>
  <c r="O2964" i="1"/>
  <c r="N2964" i="1"/>
  <c r="M2964" i="1"/>
  <c r="Q2963" i="1"/>
  <c r="O2963" i="1"/>
  <c r="M2963" i="1"/>
  <c r="N2963" i="1" s="1"/>
  <c r="P2963" i="1" s="1"/>
  <c r="O2962" i="1"/>
  <c r="N2962" i="1"/>
  <c r="M2962" i="1"/>
  <c r="O2961" i="1"/>
  <c r="M2961" i="1"/>
  <c r="N2961" i="1" s="1"/>
  <c r="O2960" i="1"/>
  <c r="N2960" i="1"/>
  <c r="Q2960" i="1" s="1"/>
  <c r="M2960" i="1"/>
  <c r="Q2959" i="1"/>
  <c r="P2959" i="1"/>
  <c r="O2959" i="1"/>
  <c r="N2959" i="1"/>
  <c r="M2959" i="1"/>
  <c r="Q2958" i="1"/>
  <c r="P2958" i="1"/>
  <c r="O2958" i="1"/>
  <c r="N2958" i="1"/>
  <c r="M2958" i="1"/>
  <c r="O2957" i="1"/>
  <c r="N2957" i="1"/>
  <c r="M2957" i="1"/>
  <c r="O2956" i="1"/>
  <c r="M2956" i="1"/>
  <c r="N2956" i="1" s="1"/>
  <c r="Q2955" i="1"/>
  <c r="P2955" i="1"/>
  <c r="O2955" i="1"/>
  <c r="M2955" i="1"/>
  <c r="N2955" i="1" s="1"/>
  <c r="O2954" i="1"/>
  <c r="M2954" i="1"/>
  <c r="N2954" i="1" s="1"/>
  <c r="O2953" i="1"/>
  <c r="M2953" i="1"/>
  <c r="N2953" i="1" s="1"/>
  <c r="O2952" i="1"/>
  <c r="M2952" i="1"/>
  <c r="N2952" i="1" s="1"/>
  <c r="O2951" i="1"/>
  <c r="M2951" i="1"/>
  <c r="N2951" i="1" s="1"/>
  <c r="O2950" i="1"/>
  <c r="M2950" i="1"/>
  <c r="N2950" i="1" s="1"/>
  <c r="P2950" i="1" s="1"/>
  <c r="O2949" i="1"/>
  <c r="M2949" i="1"/>
  <c r="N2949" i="1" s="1"/>
  <c r="Q2948" i="1"/>
  <c r="P2948" i="1"/>
  <c r="O2948" i="1"/>
  <c r="N2948" i="1"/>
  <c r="M2948" i="1"/>
  <c r="Q2947" i="1"/>
  <c r="P2947" i="1"/>
  <c r="O2947" i="1"/>
  <c r="N2947" i="1"/>
  <c r="M2947" i="1"/>
  <c r="Q2946" i="1"/>
  <c r="O2946" i="1"/>
  <c r="N2946" i="1"/>
  <c r="P2946" i="1" s="1"/>
  <c r="M2946" i="1"/>
  <c r="O2945" i="1"/>
  <c r="M2945" i="1"/>
  <c r="N2945" i="1" s="1"/>
  <c r="Q2945" i="1" s="1"/>
  <c r="O2944" i="1"/>
  <c r="M2944" i="1"/>
  <c r="N2944" i="1" s="1"/>
  <c r="O2943" i="1"/>
  <c r="M2943" i="1"/>
  <c r="N2943" i="1" s="1"/>
  <c r="Q2942" i="1"/>
  <c r="O2942" i="1"/>
  <c r="N2942" i="1"/>
  <c r="P2942" i="1" s="1"/>
  <c r="M2942" i="1"/>
  <c r="O2941" i="1"/>
  <c r="M2941" i="1"/>
  <c r="N2941" i="1" s="1"/>
  <c r="Q2940" i="1"/>
  <c r="O2940" i="1"/>
  <c r="M2940" i="1"/>
  <c r="N2940" i="1" s="1"/>
  <c r="P2940" i="1" s="1"/>
  <c r="O2939" i="1"/>
  <c r="N2939" i="1"/>
  <c r="M2939" i="1"/>
  <c r="O2938" i="1"/>
  <c r="N2938" i="1"/>
  <c r="M2938" i="1"/>
  <c r="O2937" i="1"/>
  <c r="N2937" i="1"/>
  <c r="P2937" i="1" s="1"/>
  <c r="M2937" i="1"/>
  <c r="O2936" i="1"/>
  <c r="M2936" i="1"/>
  <c r="N2936" i="1" s="1"/>
  <c r="P2936" i="1" s="1"/>
  <c r="Q2935" i="1"/>
  <c r="O2935" i="1"/>
  <c r="M2935" i="1"/>
  <c r="N2935" i="1" s="1"/>
  <c r="P2935" i="1" s="1"/>
  <c r="Q2934" i="1"/>
  <c r="O2934" i="1"/>
  <c r="P2934" i="1" s="1"/>
  <c r="N2934" i="1"/>
  <c r="M2934" i="1"/>
  <c r="Q2933" i="1"/>
  <c r="O2933" i="1"/>
  <c r="N2933" i="1"/>
  <c r="M2933" i="1"/>
  <c r="Q2932" i="1"/>
  <c r="P2932" i="1"/>
  <c r="O2932" i="1"/>
  <c r="N2932" i="1"/>
  <c r="M2932" i="1"/>
  <c r="Q2931" i="1"/>
  <c r="O2931" i="1"/>
  <c r="N2931" i="1"/>
  <c r="P2931" i="1" s="1"/>
  <c r="M2931" i="1"/>
  <c r="P2930" i="1"/>
  <c r="O2930" i="1"/>
  <c r="N2930" i="1"/>
  <c r="Q2930" i="1" s="1"/>
  <c r="M2930" i="1"/>
  <c r="O2929" i="1"/>
  <c r="M2929" i="1"/>
  <c r="N2929" i="1" s="1"/>
  <c r="O2928" i="1"/>
  <c r="N2928" i="1"/>
  <c r="M2928" i="1"/>
  <c r="Q2927" i="1"/>
  <c r="P2927" i="1"/>
  <c r="O2927" i="1"/>
  <c r="N2927" i="1"/>
  <c r="M2927" i="1"/>
  <c r="Q2926" i="1"/>
  <c r="P2926" i="1"/>
  <c r="O2926" i="1"/>
  <c r="N2926" i="1"/>
  <c r="M2926" i="1"/>
  <c r="O2925" i="1"/>
  <c r="N2925" i="1"/>
  <c r="M2925" i="1"/>
  <c r="O2924" i="1"/>
  <c r="M2924" i="1"/>
  <c r="N2924" i="1" s="1"/>
  <c r="Q2923" i="1"/>
  <c r="P2923" i="1"/>
  <c r="O2923" i="1"/>
  <c r="M2923" i="1"/>
  <c r="N2923" i="1" s="1"/>
  <c r="O2922" i="1"/>
  <c r="M2922" i="1"/>
  <c r="N2922" i="1" s="1"/>
  <c r="P2921" i="1"/>
  <c r="O2921" i="1"/>
  <c r="M2921" i="1"/>
  <c r="N2921" i="1" s="1"/>
  <c r="Q2921" i="1" s="1"/>
  <c r="O2920" i="1"/>
  <c r="M2920" i="1"/>
  <c r="N2920" i="1" s="1"/>
  <c r="Q2919" i="1"/>
  <c r="O2919" i="1"/>
  <c r="M2919" i="1"/>
  <c r="N2919" i="1" s="1"/>
  <c r="P2919" i="1" s="1"/>
  <c r="O2918" i="1"/>
  <c r="M2918" i="1"/>
  <c r="N2918" i="1" s="1"/>
  <c r="P2918" i="1" s="1"/>
  <c r="Q2917" i="1"/>
  <c r="P2917" i="1"/>
  <c r="O2917" i="1"/>
  <c r="N2917" i="1"/>
  <c r="M2917" i="1"/>
  <c r="Q2916" i="1"/>
  <c r="P2916" i="1"/>
  <c r="O2916" i="1"/>
  <c r="N2916" i="1"/>
  <c r="M2916" i="1"/>
  <c r="Q2915" i="1"/>
  <c r="P2915" i="1"/>
  <c r="O2915" i="1"/>
  <c r="N2915" i="1"/>
  <c r="M2915" i="1"/>
  <c r="P2914" i="1"/>
  <c r="O2914" i="1"/>
  <c r="N2914" i="1"/>
  <c r="Q2914" i="1" s="1"/>
  <c r="M2914" i="1"/>
  <c r="Q2913" i="1"/>
  <c r="O2913" i="1"/>
  <c r="M2913" i="1"/>
  <c r="N2913" i="1" s="1"/>
  <c r="P2913" i="1" s="1"/>
  <c r="O2912" i="1"/>
  <c r="M2912" i="1"/>
  <c r="N2912" i="1" s="1"/>
  <c r="O2911" i="1"/>
  <c r="M2911" i="1"/>
  <c r="N2911" i="1" s="1"/>
  <c r="O2910" i="1"/>
  <c r="N2910" i="1"/>
  <c r="Q2910" i="1" s="1"/>
  <c r="M2910" i="1"/>
  <c r="O2909" i="1"/>
  <c r="N2909" i="1"/>
  <c r="M2909" i="1"/>
  <c r="P2908" i="1"/>
  <c r="O2908" i="1"/>
  <c r="M2908" i="1"/>
  <c r="N2908" i="1" s="1"/>
  <c r="Q2908" i="1" s="1"/>
  <c r="O2907" i="1"/>
  <c r="M2907" i="1"/>
  <c r="N2907" i="1" s="1"/>
  <c r="O2906" i="1"/>
  <c r="M2906" i="1"/>
  <c r="N2906" i="1" s="1"/>
  <c r="O2905" i="1"/>
  <c r="M2905" i="1"/>
  <c r="N2905" i="1" s="1"/>
  <c r="O2904" i="1"/>
  <c r="M2904" i="1"/>
  <c r="N2904" i="1" s="1"/>
  <c r="P2904" i="1" s="1"/>
  <c r="Q2903" i="1"/>
  <c r="O2903" i="1"/>
  <c r="M2903" i="1"/>
  <c r="N2903" i="1" s="1"/>
  <c r="P2903" i="1" s="1"/>
  <c r="O2902" i="1"/>
  <c r="M2902" i="1"/>
  <c r="N2902" i="1" s="1"/>
  <c r="Q2901" i="1"/>
  <c r="O2901" i="1"/>
  <c r="N2901" i="1"/>
  <c r="M2901" i="1"/>
  <c r="Q2900" i="1"/>
  <c r="P2900" i="1"/>
  <c r="O2900" i="1"/>
  <c r="N2900" i="1"/>
  <c r="M2900" i="1"/>
  <c r="O2899" i="1"/>
  <c r="M2899" i="1"/>
  <c r="N2899" i="1" s="1"/>
  <c r="O2898" i="1"/>
  <c r="M2898" i="1"/>
  <c r="N2898" i="1" s="1"/>
  <c r="O2897" i="1"/>
  <c r="M2897" i="1"/>
  <c r="N2897" i="1" s="1"/>
  <c r="P2896" i="1"/>
  <c r="O2896" i="1"/>
  <c r="N2896" i="1"/>
  <c r="Q2896" i="1" s="1"/>
  <c r="M2896" i="1"/>
  <c r="O2895" i="1"/>
  <c r="M2895" i="1"/>
  <c r="N2895" i="1" s="1"/>
  <c r="Q2894" i="1"/>
  <c r="O2894" i="1"/>
  <c r="P2894" i="1" s="1"/>
  <c r="N2894" i="1"/>
  <c r="M2894" i="1"/>
  <c r="O2893" i="1"/>
  <c r="M2893" i="1"/>
  <c r="N2893" i="1" s="1"/>
  <c r="Q2892" i="1"/>
  <c r="P2892" i="1"/>
  <c r="O2892" i="1"/>
  <c r="N2892" i="1"/>
  <c r="M2892" i="1"/>
  <c r="O2891" i="1"/>
  <c r="N2891" i="1"/>
  <c r="P2891" i="1" s="1"/>
  <c r="M2891" i="1"/>
  <c r="O2890" i="1"/>
  <c r="M2890" i="1"/>
  <c r="N2890" i="1" s="1"/>
  <c r="O2889" i="1"/>
  <c r="N2889" i="1"/>
  <c r="M2889" i="1"/>
  <c r="Q2888" i="1"/>
  <c r="O2888" i="1"/>
  <c r="P2888" i="1" s="1"/>
  <c r="N2888" i="1"/>
  <c r="M2888" i="1"/>
  <c r="Q2887" i="1"/>
  <c r="O2887" i="1"/>
  <c r="M2887" i="1"/>
  <c r="N2887" i="1" s="1"/>
  <c r="P2887" i="1" s="1"/>
  <c r="Q2886" i="1"/>
  <c r="O2886" i="1"/>
  <c r="M2886" i="1"/>
  <c r="N2886" i="1" s="1"/>
  <c r="P2886" i="1" s="1"/>
  <c r="Q2885" i="1"/>
  <c r="O2885" i="1"/>
  <c r="N2885" i="1"/>
  <c r="M2885" i="1"/>
  <c r="Q2884" i="1"/>
  <c r="P2884" i="1"/>
  <c r="O2884" i="1"/>
  <c r="N2884" i="1"/>
  <c r="M2884" i="1"/>
  <c r="Q2883" i="1"/>
  <c r="P2883" i="1"/>
  <c r="O2883" i="1"/>
  <c r="N2883" i="1"/>
  <c r="M2883" i="1"/>
  <c r="P2882" i="1"/>
  <c r="O2882" i="1"/>
  <c r="N2882" i="1"/>
  <c r="Q2882" i="1" s="1"/>
  <c r="M2882" i="1"/>
  <c r="Q2881" i="1"/>
  <c r="P2881" i="1"/>
  <c r="O2881" i="1"/>
  <c r="M2881" i="1"/>
  <c r="N2881" i="1" s="1"/>
  <c r="O2880" i="1"/>
  <c r="N2880" i="1"/>
  <c r="M2880" i="1"/>
  <c r="O2879" i="1"/>
  <c r="M2879" i="1"/>
  <c r="N2879" i="1" s="1"/>
  <c r="O2878" i="1"/>
  <c r="N2878" i="1"/>
  <c r="Q2878" i="1" s="1"/>
  <c r="M2878" i="1"/>
  <c r="O2877" i="1"/>
  <c r="M2877" i="1"/>
  <c r="N2877" i="1" s="1"/>
  <c r="Q2876" i="1"/>
  <c r="O2876" i="1"/>
  <c r="M2876" i="1"/>
  <c r="N2876" i="1" s="1"/>
  <c r="P2876" i="1" s="1"/>
  <c r="O2875" i="1"/>
  <c r="N2875" i="1"/>
  <c r="M2875" i="1"/>
  <c r="O2874" i="1"/>
  <c r="N2874" i="1"/>
  <c r="M2874" i="1"/>
  <c r="O2873" i="1"/>
  <c r="M2873" i="1"/>
  <c r="N2873" i="1" s="1"/>
  <c r="Q2872" i="1"/>
  <c r="O2872" i="1"/>
  <c r="M2872" i="1"/>
  <c r="N2872" i="1" s="1"/>
  <c r="P2872" i="1" s="1"/>
  <c r="Q2871" i="1"/>
  <c r="O2871" i="1"/>
  <c r="M2871" i="1"/>
  <c r="N2871" i="1" s="1"/>
  <c r="P2871" i="1" s="1"/>
  <c r="Q2870" i="1"/>
  <c r="O2870" i="1"/>
  <c r="N2870" i="1"/>
  <c r="P2870" i="1" s="1"/>
  <c r="M2870" i="1"/>
  <c r="P2869" i="1"/>
  <c r="O2869" i="1"/>
  <c r="N2869" i="1"/>
  <c r="Q2869" i="1" s="1"/>
  <c r="M2869" i="1"/>
  <c r="Q2868" i="1"/>
  <c r="P2868" i="1"/>
  <c r="O2868" i="1"/>
  <c r="N2868" i="1"/>
  <c r="M2868" i="1"/>
  <c r="Q2867" i="1"/>
  <c r="P2867" i="1"/>
  <c r="O2867" i="1"/>
  <c r="M2867" i="1"/>
  <c r="N2867" i="1" s="1"/>
  <c r="O2866" i="1"/>
  <c r="M2866" i="1"/>
  <c r="N2866" i="1" s="1"/>
  <c r="O2865" i="1"/>
  <c r="M2865" i="1"/>
  <c r="N2865" i="1" s="1"/>
  <c r="O2864" i="1"/>
  <c r="N2864" i="1"/>
  <c r="M2864" i="1"/>
  <c r="Q2863" i="1"/>
  <c r="P2863" i="1"/>
  <c r="O2863" i="1"/>
  <c r="N2863" i="1"/>
  <c r="M2863" i="1"/>
  <c r="Q2862" i="1"/>
  <c r="O2862" i="1"/>
  <c r="P2862" i="1" s="1"/>
  <c r="N2862" i="1"/>
  <c r="M2862" i="1"/>
  <c r="O2861" i="1"/>
  <c r="N2861" i="1"/>
  <c r="M2861" i="1"/>
  <c r="P2860" i="1"/>
  <c r="O2860" i="1"/>
  <c r="M2860" i="1"/>
  <c r="N2860" i="1" s="1"/>
  <c r="Q2860" i="1" s="1"/>
  <c r="Q2859" i="1"/>
  <c r="P2859" i="1"/>
  <c r="O2859" i="1"/>
  <c r="M2859" i="1"/>
  <c r="N2859" i="1" s="1"/>
  <c r="O2858" i="1"/>
  <c r="M2858" i="1"/>
  <c r="N2858" i="1" s="1"/>
  <c r="P2857" i="1"/>
  <c r="O2857" i="1"/>
  <c r="N2857" i="1"/>
  <c r="Q2857" i="1" s="1"/>
  <c r="M2857" i="1"/>
  <c r="O2856" i="1"/>
  <c r="M2856" i="1"/>
  <c r="N2856" i="1" s="1"/>
  <c r="O2855" i="1"/>
  <c r="M2855" i="1"/>
  <c r="N2855" i="1" s="1"/>
  <c r="O2854" i="1"/>
  <c r="M2854" i="1"/>
  <c r="N2854" i="1" s="1"/>
  <c r="P2854" i="1" s="1"/>
  <c r="O2853" i="1"/>
  <c r="N2853" i="1"/>
  <c r="Q2853" i="1" s="1"/>
  <c r="M2853" i="1"/>
  <c r="Q2852" i="1"/>
  <c r="P2852" i="1"/>
  <c r="O2852" i="1"/>
  <c r="N2852" i="1"/>
  <c r="M2852" i="1"/>
  <c r="Q2851" i="1"/>
  <c r="P2851" i="1"/>
  <c r="O2851" i="1"/>
  <c r="N2851" i="1"/>
  <c r="M2851" i="1"/>
  <c r="O2850" i="1"/>
  <c r="N2850" i="1"/>
  <c r="M2850" i="1"/>
  <c r="O2849" i="1"/>
  <c r="M2849" i="1"/>
  <c r="N2849" i="1" s="1"/>
  <c r="Q2849" i="1" s="1"/>
  <c r="P2848" i="1"/>
  <c r="O2848" i="1"/>
  <c r="N2848" i="1"/>
  <c r="Q2848" i="1" s="1"/>
  <c r="M2848" i="1"/>
  <c r="O2847" i="1"/>
  <c r="M2847" i="1"/>
  <c r="N2847" i="1" s="1"/>
  <c r="Q2846" i="1"/>
  <c r="O2846" i="1"/>
  <c r="N2846" i="1"/>
  <c r="P2846" i="1" s="1"/>
  <c r="M2846" i="1"/>
  <c r="O2845" i="1"/>
  <c r="M2845" i="1"/>
  <c r="N2845" i="1" s="1"/>
  <c r="O2844" i="1"/>
  <c r="M2844" i="1"/>
  <c r="N2844" i="1" s="1"/>
  <c r="O2843" i="1"/>
  <c r="N2843" i="1"/>
  <c r="Q2843" i="1" s="1"/>
  <c r="M2843" i="1"/>
  <c r="O2842" i="1"/>
  <c r="N2842" i="1"/>
  <c r="M2842" i="1"/>
  <c r="P2841" i="1"/>
  <c r="O2841" i="1"/>
  <c r="M2841" i="1"/>
  <c r="N2841" i="1" s="1"/>
  <c r="Q2841" i="1" s="1"/>
  <c r="O2840" i="1"/>
  <c r="M2840" i="1"/>
  <c r="N2840" i="1" s="1"/>
  <c r="Q2839" i="1"/>
  <c r="O2839" i="1"/>
  <c r="M2839" i="1"/>
  <c r="N2839" i="1" s="1"/>
  <c r="P2839" i="1" s="1"/>
  <c r="O2838" i="1"/>
  <c r="N2838" i="1"/>
  <c r="Q2838" i="1" s="1"/>
  <c r="M2838" i="1"/>
  <c r="Q2837" i="1"/>
  <c r="P2837" i="1"/>
  <c r="O2837" i="1"/>
  <c r="N2837" i="1"/>
  <c r="M2837" i="1"/>
  <c r="Q2836" i="1"/>
  <c r="P2836" i="1"/>
  <c r="O2836" i="1"/>
  <c r="N2836" i="1"/>
  <c r="M2836" i="1"/>
  <c r="O2835" i="1"/>
  <c r="M2835" i="1"/>
  <c r="N2835" i="1" s="1"/>
  <c r="Q2834" i="1"/>
  <c r="P2834" i="1"/>
  <c r="O2834" i="1"/>
  <c r="N2834" i="1"/>
  <c r="M2834" i="1"/>
  <c r="O2833" i="1"/>
  <c r="M2833" i="1"/>
  <c r="N2833" i="1" s="1"/>
  <c r="O2832" i="1"/>
  <c r="N2832" i="1"/>
  <c r="M2832" i="1"/>
  <c r="O2831" i="1"/>
  <c r="M2831" i="1"/>
  <c r="N2831" i="1" s="1"/>
  <c r="Q2830" i="1"/>
  <c r="P2830" i="1"/>
  <c r="O2830" i="1"/>
  <c r="N2830" i="1"/>
  <c r="M2830" i="1"/>
  <c r="O2829" i="1"/>
  <c r="M2829" i="1"/>
  <c r="N2829" i="1" s="1"/>
  <c r="O2828" i="1"/>
  <c r="M2828" i="1"/>
  <c r="N2828" i="1" s="1"/>
  <c r="O2827" i="1"/>
  <c r="M2827" i="1"/>
  <c r="N2827" i="1" s="1"/>
  <c r="O2826" i="1"/>
  <c r="M2826" i="1"/>
  <c r="N2826" i="1" s="1"/>
  <c r="O2825" i="1"/>
  <c r="M2825" i="1"/>
  <c r="N2825" i="1" s="1"/>
  <c r="O2824" i="1"/>
  <c r="M2824" i="1"/>
  <c r="N2824" i="1" s="1"/>
  <c r="O2823" i="1"/>
  <c r="M2823" i="1"/>
  <c r="N2823" i="1" s="1"/>
  <c r="Q2822" i="1"/>
  <c r="O2822" i="1"/>
  <c r="M2822" i="1"/>
  <c r="N2822" i="1" s="1"/>
  <c r="P2822" i="1" s="1"/>
  <c r="O2821" i="1"/>
  <c r="M2821" i="1"/>
  <c r="N2821" i="1" s="1"/>
  <c r="Q2820" i="1"/>
  <c r="P2820" i="1"/>
  <c r="O2820" i="1"/>
  <c r="N2820" i="1"/>
  <c r="M2820" i="1"/>
  <c r="Q2819" i="1"/>
  <c r="P2819" i="1"/>
  <c r="O2819" i="1"/>
  <c r="N2819" i="1"/>
  <c r="M2819" i="1"/>
  <c r="Q2818" i="1"/>
  <c r="O2818" i="1"/>
  <c r="N2818" i="1"/>
  <c r="P2818" i="1" s="1"/>
  <c r="M2818" i="1"/>
  <c r="Q2817" i="1"/>
  <c r="P2817" i="1"/>
  <c r="O2817" i="1"/>
  <c r="M2817" i="1"/>
  <c r="N2817" i="1" s="1"/>
  <c r="O2816" i="1"/>
  <c r="M2816" i="1"/>
  <c r="N2816" i="1" s="1"/>
  <c r="O2815" i="1"/>
  <c r="M2815" i="1"/>
  <c r="N2815" i="1" s="1"/>
  <c r="O2814" i="1"/>
  <c r="N2814" i="1"/>
  <c r="P2814" i="1" s="1"/>
  <c r="M2814" i="1"/>
  <c r="O2813" i="1"/>
  <c r="N2813" i="1"/>
  <c r="M2813" i="1"/>
  <c r="Q2812" i="1"/>
  <c r="O2812" i="1"/>
  <c r="M2812" i="1"/>
  <c r="N2812" i="1" s="1"/>
  <c r="P2812" i="1" s="1"/>
  <c r="O2811" i="1"/>
  <c r="M2811" i="1"/>
  <c r="N2811" i="1" s="1"/>
  <c r="O2810" i="1"/>
  <c r="N2810" i="1"/>
  <c r="M2810" i="1"/>
  <c r="O2809" i="1"/>
  <c r="M2809" i="1"/>
  <c r="N2809" i="1" s="1"/>
  <c r="P2809" i="1" s="1"/>
  <c r="Q2808" i="1"/>
  <c r="O2808" i="1"/>
  <c r="M2808" i="1"/>
  <c r="N2808" i="1" s="1"/>
  <c r="P2808" i="1" s="1"/>
  <c r="Q2807" i="1"/>
  <c r="O2807" i="1"/>
  <c r="M2807" i="1"/>
  <c r="N2807" i="1" s="1"/>
  <c r="P2807" i="1" s="1"/>
  <c r="Q2806" i="1"/>
  <c r="O2806" i="1"/>
  <c r="P2806" i="1" s="1"/>
  <c r="N2806" i="1"/>
  <c r="M2806" i="1"/>
  <c r="O2805" i="1"/>
  <c r="N2805" i="1"/>
  <c r="M2805" i="1"/>
  <c r="Q2804" i="1"/>
  <c r="P2804" i="1"/>
  <c r="O2804" i="1"/>
  <c r="N2804" i="1"/>
  <c r="M2804" i="1"/>
  <c r="O2803" i="1"/>
  <c r="N2803" i="1"/>
  <c r="Q2803" i="1" s="1"/>
  <c r="M2803" i="1"/>
  <c r="O2802" i="1"/>
  <c r="M2802" i="1"/>
  <c r="N2802" i="1" s="1"/>
  <c r="Q2802" i="1" s="1"/>
  <c r="O2801" i="1"/>
  <c r="M2801" i="1"/>
  <c r="N2801" i="1" s="1"/>
  <c r="P2800" i="1"/>
  <c r="O2800" i="1"/>
  <c r="N2800" i="1"/>
  <c r="Q2800" i="1" s="1"/>
  <c r="M2800" i="1"/>
  <c r="O2799" i="1"/>
  <c r="N2799" i="1"/>
  <c r="M2799" i="1"/>
  <c r="Q2798" i="1"/>
  <c r="P2798" i="1"/>
  <c r="O2798" i="1"/>
  <c r="N2798" i="1"/>
  <c r="M2798" i="1"/>
  <c r="O2797" i="1"/>
  <c r="N2797" i="1"/>
  <c r="M2797" i="1"/>
  <c r="Q2796" i="1"/>
  <c r="O2796" i="1"/>
  <c r="N2796" i="1"/>
  <c r="P2796" i="1" s="1"/>
  <c r="M2796" i="1"/>
  <c r="P2795" i="1"/>
  <c r="O2795" i="1"/>
  <c r="M2795" i="1"/>
  <c r="N2795" i="1" s="1"/>
  <c r="Q2795" i="1" s="1"/>
  <c r="O2794" i="1"/>
  <c r="M2794" i="1"/>
  <c r="N2794" i="1" s="1"/>
  <c r="O2793" i="1"/>
  <c r="M2793" i="1"/>
  <c r="N2793" i="1" s="1"/>
  <c r="Q2793" i="1" s="1"/>
  <c r="O2792" i="1"/>
  <c r="M2792" i="1"/>
  <c r="N2792" i="1" s="1"/>
  <c r="Q2792" i="1" s="1"/>
  <c r="Q2791" i="1"/>
  <c r="O2791" i="1"/>
  <c r="M2791" i="1"/>
  <c r="N2791" i="1" s="1"/>
  <c r="P2791" i="1" s="1"/>
  <c r="O2790" i="1"/>
  <c r="M2790" i="1"/>
  <c r="N2790" i="1" s="1"/>
  <c r="P2790" i="1" s="1"/>
  <c r="O2789" i="1"/>
  <c r="M2789" i="1"/>
  <c r="N2789" i="1" s="1"/>
  <c r="Q2788" i="1"/>
  <c r="P2788" i="1"/>
  <c r="O2788" i="1"/>
  <c r="N2788" i="1"/>
  <c r="M2788" i="1"/>
  <c r="Q2787" i="1"/>
  <c r="P2787" i="1"/>
  <c r="O2787" i="1"/>
  <c r="N2787" i="1"/>
  <c r="M2787" i="1"/>
  <c r="P2786" i="1"/>
  <c r="O2786" i="1"/>
  <c r="N2786" i="1"/>
  <c r="Q2786" i="1" s="1"/>
  <c r="M2786" i="1"/>
  <c r="Q2785" i="1"/>
  <c r="O2785" i="1"/>
  <c r="P2785" i="1" s="1"/>
  <c r="M2785" i="1"/>
  <c r="N2785" i="1" s="1"/>
  <c r="O2784" i="1"/>
  <c r="M2784" i="1"/>
  <c r="N2784" i="1" s="1"/>
  <c r="Q2784" i="1" s="1"/>
  <c r="O2783" i="1"/>
  <c r="M2783" i="1"/>
  <c r="N2783" i="1" s="1"/>
  <c r="O2782" i="1"/>
  <c r="N2782" i="1"/>
  <c r="M2782" i="1"/>
  <c r="O2781" i="1"/>
  <c r="N2781" i="1"/>
  <c r="M2781" i="1"/>
  <c r="O2780" i="1"/>
  <c r="M2780" i="1"/>
  <c r="N2780" i="1" s="1"/>
  <c r="Q2780" i="1" s="1"/>
  <c r="O2779" i="1"/>
  <c r="M2779" i="1"/>
  <c r="N2779" i="1" s="1"/>
  <c r="Q2779" i="1" s="1"/>
  <c r="O2778" i="1"/>
  <c r="M2778" i="1"/>
  <c r="N2778" i="1" s="1"/>
  <c r="O2777" i="1"/>
  <c r="M2777" i="1"/>
  <c r="N2777" i="1" s="1"/>
  <c r="Q2777" i="1" s="1"/>
  <c r="O2776" i="1"/>
  <c r="M2776" i="1"/>
  <c r="N2776" i="1" s="1"/>
  <c r="P2776" i="1" s="1"/>
  <c r="Q2775" i="1"/>
  <c r="O2775" i="1"/>
  <c r="M2775" i="1"/>
  <c r="N2775" i="1" s="1"/>
  <c r="P2775" i="1" s="1"/>
  <c r="O2774" i="1"/>
  <c r="M2774" i="1"/>
  <c r="N2774" i="1" s="1"/>
  <c r="O2773" i="1"/>
  <c r="N2773" i="1"/>
  <c r="M2773" i="1"/>
  <c r="Q2772" i="1"/>
  <c r="P2772" i="1"/>
  <c r="O2772" i="1"/>
  <c r="N2772" i="1"/>
  <c r="M2772" i="1"/>
  <c r="O2771" i="1"/>
  <c r="M2771" i="1"/>
  <c r="N2771" i="1" s="1"/>
  <c r="O2770" i="1"/>
  <c r="M2770" i="1"/>
  <c r="N2770" i="1" s="1"/>
  <c r="O2769" i="1"/>
  <c r="M2769" i="1"/>
  <c r="N2769" i="1" s="1"/>
  <c r="P2768" i="1"/>
  <c r="O2768" i="1"/>
  <c r="N2768" i="1"/>
  <c r="Q2768" i="1" s="1"/>
  <c r="M2768" i="1"/>
  <c r="O2767" i="1"/>
  <c r="M2767" i="1"/>
  <c r="N2767" i="1" s="1"/>
  <c r="Q2766" i="1"/>
  <c r="P2766" i="1"/>
  <c r="O2766" i="1"/>
  <c r="N2766" i="1"/>
  <c r="M2766" i="1"/>
  <c r="O2765" i="1"/>
  <c r="M2765" i="1"/>
  <c r="N2765" i="1" s="1"/>
  <c r="Q2764" i="1"/>
  <c r="P2764" i="1"/>
  <c r="O2764" i="1"/>
  <c r="N2764" i="1"/>
  <c r="M2764" i="1"/>
  <c r="O2763" i="1"/>
  <c r="M2763" i="1"/>
  <c r="N2763" i="1" s="1"/>
  <c r="O2762" i="1"/>
  <c r="M2762" i="1"/>
  <c r="N2762" i="1" s="1"/>
  <c r="O2761" i="1"/>
  <c r="M2761" i="1"/>
  <c r="N2761" i="1" s="1"/>
  <c r="Q2760" i="1"/>
  <c r="O2760" i="1"/>
  <c r="P2760" i="1" s="1"/>
  <c r="N2760" i="1"/>
  <c r="M2760" i="1"/>
  <c r="Q2759" i="1"/>
  <c r="O2759" i="1"/>
  <c r="M2759" i="1"/>
  <c r="N2759" i="1" s="1"/>
  <c r="P2759" i="1" s="1"/>
  <c r="O2758" i="1"/>
  <c r="M2758" i="1"/>
  <c r="N2758" i="1" s="1"/>
  <c r="P2758" i="1" s="1"/>
  <c r="O2757" i="1"/>
  <c r="M2757" i="1"/>
  <c r="N2757" i="1" s="1"/>
  <c r="Q2756" i="1"/>
  <c r="P2756" i="1"/>
  <c r="O2756" i="1"/>
  <c r="N2756" i="1"/>
  <c r="M2756" i="1"/>
  <c r="Q2755" i="1"/>
  <c r="P2755" i="1"/>
  <c r="O2755" i="1"/>
  <c r="N2755" i="1"/>
  <c r="M2755" i="1"/>
  <c r="Q2754" i="1"/>
  <c r="O2754" i="1"/>
  <c r="N2754" i="1"/>
  <c r="P2754" i="1" s="1"/>
  <c r="M2754" i="1"/>
  <c r="O2753" i="1"/>
  <c r="M2753" i="1"/>
  <c r="N2753" i="1" s="1"/>
  <c r="O2752" i="1"/>
  <c r="N2752" i="1"/>
  <c r="M2752" i="1"/>
  <c r="O2751" i="1"/>
  <c r="N2751" i="1"/>
  <c r="M2751" i="1"/>
  <c r="Q2750" i="1"/>
  <c r="P2750" i="1"/>
  <c r="O2750" i="1"/>
  <c r="N2750" i="1"/>
  <c r="M2750" i="1"/>
  <c r="O2749" i="1"/>
  <c r="M2749" i="1"/>
  <c r="N2749" i="1" s="1"/>
  <c r="O2748" i="1"/>
  <c r="M2748" i="1"/>
  <c r="N2748" i="1" s="1"/>
  <c r="O2747" i="1"/>
  <c r="M2747" i="1"/>
  <c r="N2747" i="1" s="1"/>
  <c r="O2746" i="1"/>
  <c r="M2746" i="1"/>
  <c r="N2746" i="1" s="1"/>
  <c r="Q2745" i="1"/>
  <c r="O2745" i="1"/>
  <c r="N2745" i="1"/>
  <c r="P2745" i="1" s="1"/>
  <c r="M2745" i="1"/>
  <c r="Q2744" i="1"/>
  <c r="O2744" i="1"/>
  <c r="M2744" i="1"/>
  <c r="N2744" i="1" s="1"/>
  <c r="P2744" i="1" s="1"/>
  <c r="O2743" i="1"/>
  <c r="M2743" i="1"/>
  <c r="N2743" i="1" s="1"/>
  <c r="O2742" i="1"/>
  <c r="N2742" i="1"/>
  <c r="P2742" i="1" s="1"/>
  <c r="M2742" i="1"/>
  <c r="Q2741" i="1"/>
  <c r="O2741" i="1"/>
  <c r="N2741" i="1"/>
  <c r="P2741" i="1" s="1"/>
  <c r="M2741" i="1"/>
  <c r="Q2740" i="1"/>
  <c r="P2740" i="1"/>
  <c r="O2740" i="1"/>
  <c r="N2740" i="1"/>
  <c r="M2740" i="1"/>
  <c r="O2739" i="1"/>
  <c r="P2739" i="1" s="1"/>
  <c r="M2739" i="1"/>
  <c r="N2739" i="1" s="1"/>
  <c r="Q2739" i="1" s="1"/>
  <c r="Q2738" i="1"/>
  <c r="P2738" i="1"/>
  <c r="O2738" i="1"/>
  <c r="M2738" i="1"/>
  <c r="N2738" i="1" s="1"/>
  <c r="O2737" i="1"/>
  <c r="M2737" i="1"/>
  <c r="N2737" i="1" s="1"/>
  <c r="O2736" i="1"/>
  <c r="N2736" i="1"/>
  <c r="M2736" i="1"/>
  <c r="O2735" i="1"/>
  <c r="M2735" i="1"/>
  <c r="N2735" i="1" s="1"/>
  <c r="Q2734" i="1"/>
  <c r="P2734" i="1"/>
  <c r="O2734" i="1"/>
  <c r="N2734" i="1"/>
  <c r="M2734" i="1"/>
  <c r="O2733" i="1"/>
  <c r="N2733" i="1"/>
  <c r="M2733" i="1"/>
  <c r="O2732" i="1"/>
  <c r="M2732" i="1"/>
  <c r="N2732" i="1" s="1"/>
  <c r="O2731" i="1"/>
  <c r="N2731" i="1"/>
  <c r="M2731" i="1"/>
  <c r="O2730" i="1"/>
  <c r="M2730" i="1"/>
  <c r="N2730" i="1" s="1"/>
  <c r="O2729" i="1"/>
  <c r="N2729" i="1"/>
  <c r="Q2729" i="1" s="1"/>
  <c r="M2729" i="1"/>
  <c r="O2728" i="1"/>
  <c r="M2728" i="1"/>
  <c r="N2728" i="1" s="1"/>
  <c r="Q2727" i="1"/>
  <c r="O2727" i="1"/>
  <c r="M2727" i="1"/>
  <c r="N2727" i="1" s="1"/>
  <c r="P2727" i="1" s="1"/>
  <c r="O2726" i="1"/>
  <c r="M2726" i="1"/>
  <c r="N2726" i="1" s="1"/>
  <c r="P2726" i="1" s="1"/>
  <c r="Q2725" i="1"/>
  <c r="P2725" i="1"/>
  <c r="O2725" i="1"/>
  <c r="N2725" i="1"/>
  <c r="M2725" i="1"/>
  <c r="Q2724" i="1"/>
  <c r="P2724" i="1"/>
  <c r="O2724" i="1"/>
  <c r="N2724" i="1"/>
  <c r="M2724" i="1"/>
  <c r="Q2723" i="1"/>
  <c r="P2723" i="1"/>
  <c r="O2723" i="1"/>
  <c r="N2723" i="1"/>
  <c r="M2723" i="1"/>
  <c r="Q2722" i="1"/>
  <c r="P2722" i="1"/>
  <c r="O2722" i="1"/>
  <c r="N2722" i="1"/>
  <c r="M2722" i="1"/>
  <c r="O2721" i="1"/>
  <c r="M2721" i="1"/>
  <c r="N2721" i="1" s="1"/>
  <c r="Q2721" i="1" s="1"/>
  <c r="O2720" i="1"/>
  <c r="M2720" i="1"/>
  <c r="N2720" i="1" s="1"/>
  <c r="O2719" i="1"/>
  <c r="N2719" i="1"/>
  <c r="M2719" i="1"/>
  <c r="Q2718" i="1"/>
  <c r="O2718" i="1"/>
  <c r="N2718" i="1"/>
  <c r="P2718" i="1" s="1"/>
  <c r="M2718" i="1"/>
  <c r="O2717" i="1"/>
  <c r="M2717" i="1"/>
  <c r="N2717" i="1" s="1"/>
  <c r="P2716" i="1"/>
  <c r="O2716" i="1"/>
  <c r="M2716" i="1"/>
  <c r="N2716" i="1" s="1"/>
  <c r="Q2716" i="1" s="1"/>
  <c r="P2715" i="1"/>
  <c r="O2715" i="1"/>
  <c r="M2715" i="1"/>
  <c r="N2715" i="1" s="1"/>
  <c r="Q2715" i="1" s="1"/>
  <c r="O2714" i="1"/>
  <c r="N2714" i="1"/>
  <c r="M2714" i="1"/>
  <c r="O2713" i="1"/>
  <c r="M2713" i="1"/>
  <c r="N2713" i="1" s="1"/>
  <c r="Q2713" i="1" s="1"/>
  <c r="O2712" i="1"/>
  <c r="M2712" i="1"/>
  <c r="N2712" i="1" s="1"/>
  <c r="Q2711" i="1"/>
  <c r="O2711" i="1"/>
  <c r="M2711" i="1"/>
  <c r="N2711" i="1" s="1"/>
  <c r="P2711" i="1" s="1"/>
  <c r="O2710" i="1"/>
  <c r="M2710" i="1"/>
  <c r="N2710" i="1" s="1"/>
  <c r="Q2709" i="1"/>
  <c r="P2709" i="1"/>
  <c r="O2709" i="1"/>
  <c r="N2709" i="1"/>
  <c r="M2709" i="1"/>
  <c r="Q2708" i="1"/>
  <c r="P2708" i="1"/>
  <c r="O2708" i="1"/>
  <c r="N2708" i="1"/>
  <c r="M2708" i="1"/>
  <c r="O2707" i="1"/>
  <c r="N2707" i="1"/>
  <c r="M2707" i="1"/>
  <c r="Q2706" i="1"/>
  <c r="O2706" i="1"/>
  <c r="P2706" i="1" s="1"/>
  <c r="N2706" i="1"/>
  <c r="M2706" i="1"/>
  <c r="O2705" i="1"/>
  <c r="M2705" i="1"/>
  <c r="N2705" i="1" s="1"/>
  <c r="O2704" i="1"/>
  <c r="N2704" i="1"/>
  <c r="Q2704" i="1" s="1"/>
  <c r="M2704" i="1"/>
  <c r="P2703" i="1"/>
  <c r="O2703" i="1"/>
  <c r="M2703" i="1"/>
  <c r="N2703" i="1" s="1"/>
  <c r="Q2703" i="1" s="1"/>
  <c r="Q2702" i="1"/>
  <c r="P2702" i="1"/>
  <c r="O2702" i="1"/>
  <c r="N2702" i="1"/>
  <c r="M2702" i="1"/>
  <c r="O2701" i="1"/>
  <c r="M2701" i="1"/>
  <c r="N2701" i="1" s="1"/>
  <c r="O2700" i="1"/>
  <c r="M2700" i="1"/>
  <c r="N2700" i="1" s="1"/>
  <c r="O2699" i="1"/>
  <c r="N2699" i="1"/>
  <c r="M2699" i="1"/>
  <c r="O2698" i="1"/>
  <c r="M2698" i="1"/>
  <c r="N2698" i="1" s="1"/>
  <c r="O2697" i="1"/>
  <c r="M2697" i="1"/>
  <c r="N2697" i="1" s="1"/>
  <c r="Q2696" i="1"/>
  <c r="O2696" i="1"/>
  <c r="M2696" i="1"/>
  <c r="N2696" i="1" s="1"/>
  <c r="P2696" i="1" s="1"/>
  <c r="O2695" i="1"/>
  <c r="M2695" i="1"/>
  <c r="N2695" i="1" s="1"/>
  <c r="O2694" i="1"/>
  <c r="M2694" i="1"/>
  <c r="N2694" i="1" s="1"/>
  <c r="O2693" i="1"/>
  <c r="M2693" i="1"/>
  <c r="N2693" i="1" s="1"/>
  <c r="P2692" i="1"/>
  <c r="O2692" i="1"/>
  <c r="M2692" i="1"/>
  <c r="N2692" i="1" s="1"/>
  <c r="Q2692" i="1" s="1"/>
  <c r="Q2691" i="1"/>
  <c r="O2691" i="1"/>
  <c r="M2691" i="1"/>
  <c r="N2691" i="1" s="1"/>
  <c r="P2691" i="1" s="1"/>
  <c r="O2690" i="1"/>
  <c r="N2690" i="1"/>
  <c r="M2690" i="1"/>
  <c r="P2689" i="1"/>
  <c r="O2689" i="1"/>
  <c r="M2689" i="1"/>
  <c r="N2689" i="1" s="1"/>
  <c r="Q2689" i="1" s="1"/>
  <c r="O2688" i="1"/>
  <c r="M2688" i="1"/>
  <c r="N2688" i="1" s="1"/>
  <c r="Q2687" i="1"/>
  <c r="O2687" i="1"/>
  <c r="M2687" i="1"/>
  <c r="N2687" i="1" s="1"/>
  <c r="P2687" i="1" s="1"/>
  <c r="P2686" i="1"/>
  <c r="O2686" i="1"/>
  <c r="N2686" i="1"/>
  <c r="Q2686" i="1" s="1"/>
  <c r="M2686" i="1"/>
  <c r="O2685" i="1"/>
  <c r="N2685" i="1"/>
  <c r="M2685" i="1"/>
  <c r="Q2684" i="1"/>
  <c r="O2684" i="1"/>
  <c r="N2684" i="1"/>
  <c r="P2684" i="1" s="1"/>
  <c r="M2684" i="1"/>
  <c r="O2683" i="1"/>
  <c r="N2683" i="1"/>
  <c r="M2683" i="1"/>
  <c r="O2682" i="1"/>
  <c r="N2682" i="1"/>
  <c r="M2682" i="1"/>
  <c r="O2681" i="1"/>
  <c r="N2681" i="1"/>
  <c r="P2681" i="1" s="1"/>
  <c r="M2681" i="1"/>
  <c r="Q2680" i="1"/>
  <c r="P2680" i="1"/>
  <c r="O2680" i="1"/>
  <c r="N2680" i="1"/>
  <c r="M2680" i="1"/>
  <c r="O2679" i="1"/>
  <c r="M2679" i="1"/>
  <c r="N2679" i="1" s="1"/>
  <c r="Q2678" i="1"/>
  <c r="O2678" i="1"/>
  <c r="N2678" i="1"/>
  <c r="P2678" i="1" s="1"/>
  <c r="M2678" i="1"/>
  <c r="P2677" i="1"/>
  <c r="O2677" i="1"/>
  <c r="M2677" i="1"/>
  <c r="N2677" i="1" s="1"/>
  <c r="Q2677" i="1" s="1"/>
  <c r="O2676" i="1"/>
  <c r="M2676" i="1"/>
  <c r="N2676" i="1" s="1"/>
  <c r="O2675" i="1"/>
  <c r="M2675" i="1"/>
  <c r="N2675" i="1" s="1"/>
  <c r="P2675" i="1" s="1"/>
  <c r="Q2674" i="1"/>
  <c r="O2674" i="1"/>
  <c r="P2674" i="1" s="1"/>
  <c r="N2674" i="1"/>
  <c r="M2674" i="1"/>
  <c r="Q2673" i="1"/>
  <c r="P2673" i="1"/>
  <c r="O2673" i="1"/>
  <c r="M2673" i="1"/>
  <c r="N2673" i="1" s="1"/>
  <c r="O2672" i="1"/>
  <c r="M2672" i="1"/>
  <c r="N2672" i="1" s="1"/>
  <c r="Q2671" i="1"/>
  <c r="O2671" i="1"/>
  <c r="N2671" i="1"/>
  <c r="P2671" i="1" s="1"/>
  <c r="M2671" i="1"/>
  <c r="Q2670" i="1"/>
  <c r="P2670" i="1"/>
  <c r="O2670" i="1"/>
  <c r="N2670" i="1"/>
  <c r="M2670" i="1"/>
  <c r="O2669" i="1"/>
  <c r="N2669" i="1"/>
  <c r="M2669" i="1"/>
  <c r="Q2668" i="1"/>
  <c r="O2668" i="1"/>
  <c r="N2668" i="1"/>
  <c r="M2668" i="1"/>
  <c r="O2667" i="1"/>
  <c r="M2667" i="1"/>
  <c r="N2667" i="1" s="1"/>
  <c r="O2666" i="1"/>
  <c r="M2666" i="1"/>
  <c r="N2666" i="1" s="1"/>
  <c r="O2665" i="1"/>
  <c r="M2665" i="1"/>
  <c r="N2665" i="1" s="1"/>
  <c r="O2664" i="1"/>
  <c r="M2664" i="1"/>
  <c r="N2664" i="1" s="1"/>
  <c r="Q2663" i="1"/>
  <c r="O2663" i="1"/>
  <c r="M2663" i="1"/>
  <c r="N2663" i="1" s="1"/>
  <c r="P2663" i="1" s="1"/>
  <c r="Q2662" i="1"/>
  <c r="P2662" i="1"/>
  <c r="O2662" i="1"/>
  <c r="M2662" i="1"/>
  <c r="N2662" i="1" s="1"/>
  <c r="O2661" i="1"/>
  <c r="M2661" i="1"/>
  <c r="N2661" i="1" s="1"/>
  <c r="O2660" i="1"/>
  <c r="M2660" i="1"/>
  <c r="N2660" i="1" s="1"/>
  <c r="O2659" i="1"/>
  <c r="N2659" i="1"/>
  <c r="M2659" i="1"/>
  <c r="O2658" i="1"/>
  <c r="N2658" i="1"/>
  <c r="M2658" i="1"/>
  <c r="O2657" i="1"/>
  <c r="M2657" i="1"/>
  <c r="N2657" i="1" s="1"/>
  <c r="O2656" i="1"/>
  <c r="M2656" i="1"/>
  <c r="N2656" i="1" s="1"/>
  <c r="P2655" i="1"/>
  <c r="O2655" i="1"/>
  <c r="M2655" i="1"/>
  <c r="N2655" i="1" s="1"/>
  <c r="Q2655" i="1" s="1"/>
  <c r="P2654" i="1"/>
  <c r="O2654" i="1"/>
  <c r="N2654" i="1"/>
  <c r="Q2654" i="1" s="1"/>
  <c r="M2654" i="1"/>
  <c r="O2653" i="1"/>
  <c r="M2653" i="1"/>
  <c r="N2653" i="1" s="1"/>
  <c r="O2652" i="1"/>
  <c r="N2652" i="1"/>
  <c r="M2652" i="1"/>
  <c r="Q2651" i="1"/>
  <c r="O2651" i="1"/>
  <c r="M2651" i="1"/>
  <c r="N2651" i="1" s="1"/>
  <c r="P2651" i="1" s="1"/>
  <c r="O2650" i="1"/>
  <c r="M2650" i="1"/>
  <c r="N2650" i="1" s="1"/>
  <c r="O2649" i="1"/>
  <c r="M2649" i="1"/>
  <c r="N2649" i="1" s="1"/>
  <c r="O2648" i="1"/>
  <c r="N2648" i="1"/>
  <c r="M2648" i="1"/>
  <c r="O2647" i="1"/>
  <c r="M2647" i="1"/>
  <c r="N2647" i="1" s="1"/>
  <c r="Q2646" i="1"/>
  <c r="P2646" i="1"/>
  <c r="O2646" i="1"/>
  <c r="N2646" i="1"/>
  <c r="M2646" i="1"/>
  <c r="P2645" i="1"/>
  <c r="O2645" i="1"/>
  <c r="N2645" i="1"/>
  <c r="Q2645" i="1" s="1"/>
  <c r="M2645" i="1"/>
  <c r="Q2644" i="1"/>
  <c r="P2644" i="1"/>
  <c r="O2644" i="1"/>
  <c r="M2644" i="1"/>
  <c r="N2644" i="1" s="1"/>
  <c r="O2643" i="1"/>
  <c r="M2643" i="1"/>
  <c r="N2643" i="1" s="1"/>
  <c r="Q2642" i="1"/>
  <c r="P2642" i="1"/>
  <c r="O2642" i="1"/>
  <c r="M2642" i="1"/>
  <c r="N2642" i="1" s="1"/>
  <c r="O2641" i="1"/>
  <c r="P2641" i="1" s="1"/>
  <c r="M2641" i="1"/>
  <c r="N2641" i="1" s="1"/>
  <c r="Q2641" i="1" s="1"/>
  <c r="O2640" i="1"/>
  <c r="M2640" i="1"/>
  <c r="N2640" i="1" s="1"/>
  <c r="O2639" i="1"/>
  <c r="M2639" i="1"/>
  <c r="N2639" i="1" s="1"/>
  <c r="Q2638" i="1"/>
  <c r="P2638" i="1"/>
  <c r="O2638" i="1"/>
  <c r="N2638" i="1"/>
  <c r="M2638" i="1"/>
  <c r="O2637" i="1"/>
  <c r="N2637" i="1"/>
  <c r="M2637" i="1"/>
  <c r="O2636" i="1"/>
  <c r="M2636" i="1"/>
  <c r="N2636" i="1" s="1"/>
  <c r="O2635" i="1"/>
  <c r="M2635" i="1"/>
  <c r="N2635" i="1" s="1"/>
  <c r="O2634" i="1"/>
  <c r="N2634" i="1"/>
  <c r="M2634" i="1"/>
  <c r="Q2633" i="1"/>
  <c r="P2633" i="1"/>
  <c r="O2633" i="1"/>
  <c r="N2633" i="1"/>
  <c r="M2633" i="1"/>
  <c r="O2632" i="1"/>
  <c r="M2632" i="1"/>
  <c r="N2632" i="1" s="1"/>
  <c r="Q2631" i="1"/>
  <c r="O2631" i="1"/>
  <c r="M2631" i="1"/>
  <c r="N2631" i="1" s="1"/>
  <c r="P2631" i="1" s="1"/>
  <c r="Q2630" i="1"/>
  <c r="P2630" i="1"/>
  <c r="O2630" i="1"/>
  <c r="M2630" i="1"/>
  <c r="N2630" i="1" s="1"/>
  <c r="O2629" i="1"/>
  <c r="N2629" i="1"/>
  <c r="M2629" i="1"/>
  <c r="Q2628" i="1"/>
  <c r="O2628" i="1"/>
  <c r="M2628" i="1"/>
  <c r="N2628" i="1" s="1"/>
  <c r="P2628" i="1" s="1"/>
  <c r="O2627" i="1"/>
  <c r="M2627" i="1"/>
  <c r="N2627" i="1" s="1"/>
  <c r="Q2626" i="1"/>
  <c r="P2626" i="1"/>
  <c r="O2626" i="1"/>
  <c r="N2626" i="1"/>
  <c r="M2626" i="1"/>
  <c r="Q2625" i="1"/>
  <c r="P2625" i="1"/>
  <c r="O2625" i="1"/>
  <c r="M2625" i="1"/>
  <c r="N2625" i="1" s="1"/>
  <c r="O2624" i="1"/>
  <c r="M2624" i="1"/>
  <c r="N2624" i="1" s="1"/>
  <c r="Q2623" i="1"/>
  <c r="O2623" i="1"/>
  <c r="N2623" i="1"/>
  <c r="P2623" i="1" s="1"/>
  <c r="M2623" i="1"/>
  <c r="O2622" i="1"/>
  <c r="N2622" i="1"/>
  <c r="M2622" i="1"/>
  <c r="O2621" i="1"/>
  <c r="M2621" i="1"/>
  <c r="N2621" i="1" s="1"/>
  <c r="O2620" i="1"/>
  <c r="M2620" i="1"/>
  <c r="N2620" i="1" s="1"/>
  <c r="O2619" i="1"/>
  <c r="M2619" i="1"/>
  <c r="N2619" i="1" s="1"/>
  <c r="O2618" i="1"/>
  <c r="M2618" i="1"/>
  <c r="N2618" i="1" s="1"/>
  <c r="O2617" i="1"/>
  <c r="M2617" i="1"/>
  <c r="N2617" i="1" s="1"/>
  <c r="Q2616" i="1"/>
  <c r="O2616" i="1"/>
  <c r="N2616" i="1"/>
  <c r="P2616" i="1" s="1"/>
  <c r="M2616" i="1"/>
  <c r="Q2615" i="1"/>
  <c r="O2615" i="1"/>
  <c r="M2615" i="1"/>
  <c r="N2615" i="1" s="1"/>
  <c r="P2615" i="1" s="1"/>
  <c r="O2614" i="1"/>
  <c r="N2614" i="1"/>
  <c r="M2614" i="1"/>
  <c r="Q2613" i="1"/>
  <c r="P2613" i="1"/>
  <c r="O2613" i="1"/>
  <c r="N2613" i="1"/>
  <c r="M2613" i="1"/>
  <c r="Q2612" i="1"/>
  <c r="O2612" i="1"/>
  <c r="M2612" i="1"/>
  <c r="N2612" i="1" s="1"/>
  <c r="P2612" i="1" s="1"/>
  <c r="O2611" i="1"/>
  <c r="M2611" i="1"/>
  <c r="N2611" i="1" s="1"/>
  <c r="O2610" i="1"/>
  <c r="M2610" i="1"/>
  <c r="N2610" i="1" s="1"/>
  <c r="O2609" i="1"/>
  <c r="M2609" i="1"/>
  <c r="N2609" i="1" s="1"/>
  <c r="O2608" i="1"/>
  <c r="P2608" i="1" s="1"/>
  <c r="M2608" i="1"/>
  <c r="N2608" i="1" s="1"/>
  <c r="Q2608" i="1" s="1"/>
  <c r="O2607" i="1"/>
  <c r="M2607" i="1"/>
  <c r="N2607" i="1" s="1"/>
  <c r="Q2607" i="1" s="1"/>
  <c r="O2606" i="1"/>
  <c r="N2606" i="1"/>
  <c r="Q2606" i="1" s="1"/>
  <c r="M2606" i="1"/>
  <c r="O2605" i="1"/>
  <c r="N2605" i="1"/>
  <c r="M2605" i="1"/>
  <c r="Q2604" i="1"/>
  <c r="O2604" i="1"/>
  <c r="M2604" i="1"/>
  <c r="N2604" i="1" s="1"/>
  <c r="P2604" i="1" s="1"/>
  <c r="Q2603" i="1"/>
  <c r="P2603" i="1"/>
  <c r="O2603" i="1"/>
  <c r="N2603" i="1"/>
  <c r="M2603" i="1"/>
  <c r="O2602" i="1"/>
  <c r="M2602" i="1"/>
  <c r="N2602" i="1" s="1"/>
  <c r="Q2601" i="1"/>
  <c r="P2601" i="1"/>
  <c r="O2601" i="1"/>
  <c r="N2601" i="1"/>
  <c r="M2601" i="1"/>
  <c r="O2600" i="1"/>
  <c r="M2600" i="1"/>
  <c r="N2600" i="1" s="1"/>
  <c r="Q2600" i="1" s="1"/>
  <c r="Q2599" i="1"/>
  <c r="O2599" i="1"/>
  <c r="N2599" i="1"/>
  <c r="P2599" i="1" s="1"/>
  <c r="M2599" i="1"/>
  <c r="P2598" i="1"/>
  <c r="O2598" i="1"/>
  <c r="M2598" i="1"/>
  <c r="N2598" i="1" s="1"/>
  <c r="Q2598" i="1" s="1"/>
  <c r="P2597" i="1"/>
  <c r="O2597" i="1"/>
  <c r="N2597" i="1"/>
  <c r="Q2597" i="1" s="1"/>
  <c r="M2597" i="1"/>
  <c r="Q2596" i="1"/>
  <c r="P2596" i="1"/>
  <c r="O2596" i="1"/>
  <c r="N2596" i="1"/>
  <c r="M2596" i="1"/>
  <c r="P2595" i="1"/>
  <c r="O2595" i="1"/>
  <c r="N2595" i="1"/>
  <c r="Q2595" i="1" s="1"/>
  <c r="M2595" i="1"/>
  <c r="O2594" i="1"/>
  <c r="M2594" i="1"/>
  <c r="N2594" i="1" s="1"/>
  <c r="O2593" i="1"/>
  <c r="M2593" i="1"/>
  <c r="N2593" i="1" s="1"/>
  <c r="P2593" i="1" s="1"/>
  <c r="Q2592" i="1"/>
  <c r="P2592" i="1"/>
  <c r="O2592" i="1"/>
  <c r="M2592" i="1"/>
  <c r="N2592" i="1" s="1"/>
  <c r="O2591" i="1"/>
  <c r="N2591" i="1"/>
  <c r="M2591" i="1"/>
  <c r="O2590" i="1"/>
  <c r="M2590" i="1"/>
  <c r="N2590" i="1" s="1"/>
  <c r="O2589" i="1"/>
  <c r="M2589" i="1"/>
  <c r="N2589" i="1" s="1"/>
  <c r="O2588" i="1"/>
  <c r="M2588" i="1"/>
  <c r="N2588" i="1" s="1"/>
  <c r="O2587" i="1"/>
  <c r="N2587" i="1"/>
  <c r="Q2587" i="1" s="1"/>
  <c r="M2587" i="1"/>
  <c r="O2586" i="1"/>
  <c r="M2586" i="1"/>
  <c r="N2586" i="1" s="1"/>
  <c r="Q2585" i="1"/>
  <c r="P2585" i="1"/>
  <c r="O2585" i="1"/>
  <c r="N2585" i="1"/>
  <c r="M2585" i="1"/>
  <c r="O2584" i="1"/>
  <c r="N2584" i="1"/>
  <c r="M2584" i="1"/>
  <c r="Q2583" i="1"/>
  <c r="O2583" i="1"/>
  <c r="N2583" i="1"/>
  <c r="P2583" i="1" s="1"/>
  <c r="M2583" i="1"/>
  <c r="P2582" i="1"/>
  <c r="O2582" i="1"/>
  <c r="M2582" i="1"/>
  <c r="N2582" i="1" s="1"/>
  <c r="Q2582" i="1" s="1"/>
  <c r="O2581" i="1"/>
  <c r="N2581" i="1"/>
  <c r="M2581" i="1"/>
  <c r="O2580" i="1"/>
  <c r="M2580" i="1"/>
  <c r="N2580" i="1" s="1"/>
  <c r="Q2579" i="1"/>
  <c r="O2579" i="1"/>
  <c r="N2579" i="1"/>
  <c r="P2579" i="1" s="1"/>
  <c r="M2579" i="1"/>
  <c r="O2578" i="1"/>
  <c r="N2578" i="1"/>
  <c r="M2578" i="1"/>
  <c r="P2577" i="1"/>
  <c r="O2577" i="1"/>
  <c r="N2577" i="1"/>
  <c r="Q2577" i="1" s="1"/>
  <c r="M2577" i="1"/>
  <c r="O2576" i="1"/>
  <c r="N2576" i="1"/>
  <c r="Q2576" i="1" s="1"/>
  <c r="M2576" i="1"/>
  <c r="O2575" i="1"/>
  <c r="N2575" i="1"/>
  <c r="M2575" i="1"/>
  <c r="O2574" i="1"/>
  <c r="M2574" i="1"/>
  <c r="N2574" i="1" s="1"/>
  <c r="Q2574" i="1" s="1"/>
  <c r="O2573" i="1"/>
  <c r="M2573" i="1"/>
  <c r="N2573" i="1" s="1"/>
  <c r="Q2572" i="1"/>
  <c r="O2572" i="1"/>
  <c r="M2572" i="1"/>
  <c r="N2572" i="1" s="1"/>
  <c r="P2572" i="1" s="1"/>
  <c r="Q2571" i="1"/>
  <c r="O2571" i="1"/>
  <c r="N2571" i="1"/>
  <c r="P2571" i="1" s="1"/>
  <c r="M2571" i="1"/>
  <c r="O2570" i="1"/>
  <c r="M2570" i="1"/>
  <c r="N2570" i="1" s="1"/>
  <c r="Q2569" i="1"/>
  <c r="P2569" i="1"/>
  <c r="O2569" i="1"/>
  <c r="N2569" i="1"/>
  <c r="M2569" i="1"/>
  <c r="O2568" i="1"/>
  <c r="M2568" i="1"/>
  <c r="N2568" i="1" s="1"/>
  <c r="Q2568" i="1" s="1"/>
  <c r="O2567" i="1"/>
  <c r="N2567" i="1"/>
  <c r="P2567" i="1" s="1"/>
  <c r="M2567" i="1"/>
  <c r="P2566" i="1"/>
  <c r="O2566" i="1"/>
  <c r="M2566" i="1"/>
  <c r="N2566" i="1" s="1"/>
  <c r="Q2566" i="1" s="1"/>
  <c r="O2565" i="1"/>
  <c r="N2565" i="1"/>
  <c r="Q2565" i="1" s="1"/>
  <c r="M2565" i="1"/>
  <c r="O2564" i="1"/>
  <c r="N2564" i="1"/>
  <c r="Q2564" i="1" s="1"/>
  <c r="M2564" i="1"/>
  <c r="O2563" i="1"/>
  <c r="N2563" i="1"/>
  <c r="Q2563" i="1" s="1"/>
  <c r="M2563" i="1"/>
  <c r="O2562" i="1"/>
  <c r="M2562" i="1"/>
  <c r="N2562" i="1" s="1"/>
  <c r="O2561" i="1"/>
  <c r="M2561" i="1"/>
  <c r="N2561" i="1" s="1"/>
  <c r="Q2560" i="1"/>
  <c r="P2560" i="1"/>
  <c r="O2560" i="1"/>
  <c r="M2560" i="1"/>
  <c r="N2560" i="1" s="1"/>
  <c r="O2559" i="1"/>
  <c r="N2559" i="1"/>
  <c r="M2559" i="1"/>
  <c r="O2558" i="1"/>
  <c r="M2558" i="1"/>
  <c r="N2558" i="1" s="1"/>
  <c r="O2557" i="1"/>
  <c r="P2557" i="1" s="1"/>
  <c r="N2557" i="1"/>
  <c r="Q2557" i="1" s="1"/>
  <c r="M2557" i="1"/>
  <c r="O2556" i="1"/>
  <c r="M2556" i="1"/>
  <c r="N2556" i="1" s="1"/>
  <c r="O2555" i="1"/>
  <c r="N2555" i="1"/>
  <c r="Q2555" i="1" s="1"/>
  <c r="M2555" i="1"/>
  <c r="O2554" i="1"/>
  <c r="M2554" i="1"/>
  <c r="N2554" i="1" s="1"/>
  <c r="Q2553" i="1"/>
  <c r="P2553" i="1"/>
  <c r="O2553" i="1"/>
  <c r="N2553" i="1"/>
  <c r="M2553" i="1"/>
  <c r="Q2552" i="1"/>
  <c r="O2552" i="1"/>
  <c r="N2552" i="1"/>
  <c r="M2552" i="1"/>
  <c r="O2551" i="1"/>
  <c r="N2551" i="1"/>
  <c r="M2551" i="1"/>
  <c r="O2550" i="1"/>
  <c r="M2550" i="1"/>
  <c r="N2550" i="1" s="1"/>
  <c r="Q2550" i="1" s="1"/>
  <c r="O2549" i="1"/>
  <c r="N2549" i="1"/>
  <c r="M2549" i="1"/>
  <c r="O2548" i="1"/>
  <c r="M2548" i="1"/>
  <c r="N2548" i="1" s="1"/>
  <c r="O2547" i="1"/>
  <c r="N2547" i="1"/>
  <c r="Q2547" i="1" s="1"/>
  <c r="M2547" i="1"/>
  <c r="O2546" i="1"/>
  <c r="N2546" i="1"/>
  <c r="M2546" i="1"/>
  <c r="O2545" i="1"/>
  <c r="M2545" i="1"/>
  <c r="N2545" i="1" s="1"/>
  <c r="Q2544" i="1"/>
  <c r="O2544" i="1"/>
  <c r="N2544" i="1"/>
  <c r="P2544" i="1" s="1"/>
  <c r="M2544" i="1"/>
  <c r="O2543" i="1"/>
  <c r="N2543" i="1"/>
  <c r="M2543" i="1"/>
  <c r="Q2542" i="1"/>
  <c r="P2542" i="1"/>
  <c r="O2542" i="1"/>
  <c r="M2542" i="1"/>
  <c r="N2542" i="1" s="1"/>
  <c r="O2541" i="1"/>
  <c r="M2541" i="1"/>
  <c r="N2541" i="1" s="1"/>
  <c r="Q2540" i="1"/>
  <c r="O2540" i="1"/>
  <c r="M2540" i="1"/>
  <c r="N2540" i="1" s="1"/>
  <c r="P2540" i="1" s="1"/>
  <c r="O2539" i="1"/>
  <c r="N2539" i="1"/>
  <c r="M2539" i="1"/>
  <c r="O2538" i="1"/>
  <c r="M2538" i="1"/>
  <c r="N2538" i="1" s="1"/>
  <c r="Q2537" i="1"/>
  <c r="P2537" i="1"/>
  <c r="O2537" i="1"/>
  <c r="N2537" i="1"/>
  <c r="M2537" i="1"/>
  <c r="O2536" i="1"/>
  <c r="M2536" i="1"/>
  <c r="N2536" i="1" s="1"/>
  <c r="O2535" i="1"/>
  <c r="N2535" i="1"/>
  <c r="M2535" i="1"/>
  <c r="Q2534" i="1"/>
  <c r="O2534" i="1"/>
  <c r="P2534" i="1" s="1"/>
  <c r="M2534" i="1"/>
  <c r="N2534" i="1" s="1"/>
  <c r="O2533" i="1"/>
  <c r="M2533" i="1"/>
  <c r="N2533" i="1" s="1"/>
  <c r="Q2532" i="1"/>
  <c r="O2532" i="1"/>
  <c r="N2532" i="1"/>
  <c r="P2532" i="1" s="1"/>
  <c r="M2532" i="1"/>
  <c r="O2531" i="1"/>
  <c r="N2531" i="1"/>
  <c r="Q2531" i="1" s="1"/>
  <c r="M2531" i="1"/>
  <c r="O2530" i="1"/>
  <c r="N2530" i="1"/>
  <c r="M2530" i="1"/>
  <c r="O2529" i="1"/>
  <c r="N2529" i="1"/>
  <c r="M2529" i="1"/>
  <c r="Q2528" i="1"/>
  <c r="O2528" i="1"/>
  <c r="M2528" i="1"/>
  <c r="N2528" i="1" s="1"/>
  <c r="P2528" i="1" s="1"/>
  <c r="O2527" i="1"/>
  <c r="N2527" i="1"/>
  <c r="M2527" i="1"/>
  <c r="O2526" i="1"/>
  <c r="N2526" i="1"/>
  <c r="M2526" i="1"/>
  <c r="O2525" i="1"/>
  <c r="N2525" i="1"/>
  <c r="M2525" i="1"/>
  <c r="O2524" i="1"/>
  <c r="M2524" i="1"/>
  <c r="N2524" i="1" s="1"/>
  <c r="O2523" i="1"/>
  <c r="N2523" i="1"/>
  <c r="M2523" i="1"/>
  <c r="O2522" i="1"/>
  <c r="M2522" i="1"/>
  <c r="N2522" i="1" s="1"/>
  <c r="P2522" i="1" s="1"/>
  <c r="O2521" i="1"/>
  <c r="N2521" i="1"/>
  <c r="Q2521" i="1" s="1"/>
  <c r="M2521" i="1"/>
  <c r="O2520" i="1"/>
  <c r="M2520" i="1"/>
  <c r="N2520" i="1" s="1"/>
  <c r="O2519" i="1"/>
  <c r="M2519" i="1"/>
  <c r="N2519" i="1" s="1"/>
  <c r="O2518" i="1"/>
  <c r="M2518" i="1"/>
  <c r="N2518" i="1" s="1"/>
  <c r="P2518" i="1" s="1"/>
  <c r="O2517" i="1"/>
  <c r="N2517" i="1"/>
  <c r="M2517" i="1"/>
  <c r="O2516" i="1"/>
  <c r="M2516" i="1"/>
  <c r="N2516" i="1" s="1"/>
  <c r="O2515" i="1"/>
  <c r="N2515" i="1"/>
  <c r="M2515" i="1"/>
  <c r="O2514" i="1"/>
  <c r="M2514" i="1"/>
  <c r="N2514" i="1" s="1"/>
  <c r="O2513" i="1"/>
  <c r="M2513" i="1"/>
  <c r="N2513" i="1" s="1"/>
  <c r="O2512" i="1"/>
  <c r="M2512" i="1"/>
  <c r="N2512" i="1" s="1"/>
  <c r="O2511" i="1"/>
  <c r="M2511" i="1"/>
  <c r="N2511" i="1" s="1"/>
  <c r="Q2510" i="1"/>
  <c r="P2510" i="1"/>
  <c r="O2510" i="1"/>
  <c r="M2510" i="1"/>
  <c r="N2510" i="1" s="1"/>
  <c r="O2509" i="1"/>
  <c r="P2509" i="1" s="1"/>
  <c r="N2509" i="1"/>
  <c r="Q2509" i="1" s="1"/>
  <c r="M2509" i="1"/>
  <c r="Q2508" i="1"/>
  <c r="O2508" i="1"/>
  <c r="M2508" i="1"/>
  <c r="N2508" i="1" s="1"/>
  <c r="P2508" i="1" s="1"/>
  <c r="Q2507" i="1"/>
  <c r="O2507" i="1"/>
  <c r="M2507" i="1"/>
  <c r="N2507" i="1" s="1"/>
  <c r="P2507" i="1" s="1"/>
  <c r="O2506" i="1"/>
  <c r="M2506" i="1"/>
  <c r="N2506" i="1" s="1"/>
  <c r="Q2505" i="1"/>
  <c r="P2505" i="1"/>
  <c r="O2505" i="1"/>
  <c r="N2505" i="1"/>
  <c r="M2505" i="1"/>
  <c r="O2504" i="1"/>
  <c r="M2504" i="1"/>
  <c r="N2504" i="1" s="1"/>
  <c r="O2503" i="1"/>
  <c r="N2503" i="1"/>
  <c r="M2503" i="1"/>
  <c r="Q2502" i="1"/>
  <c r="P2502" i="1"/>
  <c r="O2502" i="1"/>
  <c r="M2502" i="1"/>
  <c r="N2502" i="1" s="1"/>
  <c r="P2501" i="1"/>
  <c r="O2501" i="1"/>
  <c r="N2501" i="1"/>
  <c r="Q2501" i="1" s="1"/>
  <c r="M2501" i="1"/>
  <c r="O2500" i="1"/>
  <c r="N2500" i="1"/>
  <c r="M2500" i="1"/>
  <c r="P2499" i="1"/>
  <c r="O2499" i="1"/>
  <c r="N2499" i="1"/>
  <c r="Q2499" i="1" s="1"/>
  <c r="M2499" i="1"/>
  <c r="O2498" i="1"/>
  <c r="N2498" i="1"/>
  <c r="M2498" i="1"/>
  <c r="O2497" i="1"/>
  <c r="M2497" i="1"/>
  <c r="N2497" i="1" s="1"/>
  <c r="O2496" i="1"/>
  <c r="M2496" i="1"/>
  <c r="N2496" i="1" s="1"/>
  <c r="Q2496" i="1" s="1"/>
  <c r="O2495" i="1"/>
  <c r="M2495" i="1"/>
  <c r="N2495" i="1" s="1"/>
  <c r="Q2494" i="1"/>
  <c r="O2494" i="1"/>
  <c r="N2494" i="1"/>
  <c r="P2494" i="1" s="1"/>
  <c r="M2494" i="1"/>
  <c r="Q2493" i="1"/>
  <c r="O2493" i="1"/>
  <c r="N2493" i="1"/>
  <c r="P2493" i="1" s="1"/>
  <c r="M2493" i="1"/>
  <c r="O2492" i="1"/>
  <c r="M2492" i="1"/>
  <c r="N2492" i="1" s="1"/>
  <c r="O2491" i="1"/>
  <c r="M2491" i="1"/>
  <c r="N2491" i="1" s="1"/>
  <c r="O2490" i="1"/>
  <c r="N2490" i="1"/>
  <c r="M2490" i="1"/>
  <c r="Q2489" i="1"/>
  <c r="P2489" i="1"/>
  <c r="O2489" i="1"/>
  <c r="N2489" i="1"/>
  <c r="M2489" i="1"/>
  <c r="O2488" i="1"/>
  <c r="M2488" i="1"/>
  <c r="N2488" i="1" s="1"/>
  <c r="Q2487" i="1"/>
  <c r="P2487" i="1"/>
  <c r="O2487" i="1"/>
  <c r="N2487" i="1"/>
  <c r="M2487" i="1"/>
  <c r="Q2486" i="1"/>
  <c r="P2486" i="1"/>
  <c r="O2486" i="1"/>
  <c r="M2486" i="1"/>
  <c r="N2486" i="1" s="1"/>
  <c r="O2485" i="1"/>
  <c r="N2485" i="1"/>
  <c r="M2485" i="1"/>
  <c r="O2484" i="1"/>
  <c r="M2484" i="1"/>
  <c r="N2484" i="1" s="1"/>
  <c r="Q2483" i="1"/>
  <c r="P2483" i="1"/>
  <c r="O2483" i="1"/>
  <c r="N2483" i="1"/>
  <c r="M2483" i="1"/>
  <c r="O2482" i="1"/>
  <c r="N2482" i="1"/>
  <c r="M2482" i="1"/>
  <c r="O2481" i="1"/>
  <c r="M2481" i="1"/>
  <c r="N2481" i="1" s="1"/>
  <c r="O2480" i="1"/>
  <c r="N2480" i="1"/>
  <c r="M2480" i="1"/>
  <c r="O2479" i="1"/>
  <c r="M2479" i="1"/>
  <c r="N2479" i="1" s="1"/>
  <c r="Q2478" i="1"/>
  <c r="P2478" i="1"/>
  <c r="O2478" i="1"/>
  <c r="M2478" i="1"/>
  <c r="N2478" i="1" s="1"/>
  <c r="O2477" i="1"/>
  <c r="M2477" i="1"/>
  <c r="N2477" i="1" s="1"/>
  <c r="O2476" i="1"/>
  <c r="M2476" i="1"/>
  <c r="N2476" i="1" s="1"/>
  <c r="Q2475" i="1"/>
  <c r="O2475" i="1"/>
  <c r="M2475" i="1"/>
  <c r="N2475" i="1" s="1"/>
  <c r="P2475" i="1" s="1"/>
  <c r="O2474" i="1"/>
  <c r="M2474" i="1"/>
  <c r="N2474" i="1" s="1"/>
  <c r="Q2473" i="1"/>
  <c r="P2473" i="1"/>
  <c r="O2473" i="1"/>
  <c r="N2473" i="1"/>
  <c r="M2473" i="1"/>
  <c r="O2472" i="1"/>
  <c r="M2472" i="1"/>
  <c r="N2472" i="1" s="1"/>
  <c r="Q2472" i="1" s="1"/>
  <c r="Q2471" i="1"/>
  <c r="O2471" i="1"/>
  <c r="N2471" i="1"/>
  <c r="P2471" i="1" s="1"/>
  <c r="M2471" i="1"/>
  <c r="Q2470" i="1"/>
  <c r="P2470" i="1"/>
  <c r="O2470" i="1"/>
  <c r="M2470" i="1"/>
  <c r="N2470" i="1" s="1"/>
  <c r="O2469" i="1"/>
  <c r="M2469" i="1"/>
  <c r="N2469" i="1" s="1"/>
  <c r="O2468" i="1"/>
  <c r="N2468" i="1"/>
  <c r="M2468" i="1"/>
  <c r="O2467" i="1"/>
  <c r="N2467" i="1"/>
  <c r="M2467" i="1"/>
  <c r="O2466" i="1"/>
  <c r="N2466" i="1"/>
  <c r="M2466" i="1"/>
  <c r="O2465" i="1"/>
  <c r="M2465" i="1"/>
  <c r="N2465" i="1" s="1"/>
  <c r="P2464" i="1"/>
  <c r="O2464" i="1"/>
  <c r="M2464" i="1"/>
  <c r="N2464" i="1" s="1"/>
  <c r="Q2464" i="1" s="1"/>
  <c r="O2463" i="1"/>
  <c r="M2463" i="1"/>
  <c r="N2463" i="1" s="1"/>
  <c r="Q2462" i="1"/>
  <c r="O2462" i="1"/>
  <c r="P2462" i="1" s="1"/>
  <c r="N2462" i="1"/>
  <c r="M2462" i="1"/>
  <c r="O2461" i="1"/>
  <c r="N2461" i="1"/>
  <c r="M2461" i="1"/>
  <c r="O2460" i="1"/>
  <c r="M2460" i="1"/>
  <c r="N2460" i="1" s="1"/>
  <c r="P2459" i="1"/>
  <c r="O2459" i="1"/>
  <c r="N2459" i="1"/>
  <c r="Q2459" i="1" s="1"/>
  <c r="M2459" i="1"/>
  <c r="Q2458" i="1"/>
  <c r="P2458" i="1"/>
  <c r="O2458" i="1"/>
  <c r="N2458" i="1"/>
  <c r="M2458" i="1"/>
  <c r="Q2457" i="1"/>
  <c r="P2457" i="1"/>
  <c r="O2457" i="1"/>
  <c r="N2457" i="1"/>
  <c r="M2457" i="1"/>
  <c r="Q2456" i="1"/>
  <c r="O2456" i="1"/>
  <c r="N2456" i="1"/>
  <c r="M2456" i="1"/>
  <c r="O2455" i="1"/>
  <c r="N2455" i="1"/>
  <c r="M2455" i="1"/>
  <c r="Q2454" i="1"/>
  <c r="O2454" i="1"/>
  <c r="M2454" i="1"/>
  <c r="N2454" i="1" s="1"/>
  <c r="P2454" i="1" s="1"/>
  <c r="O2453" i="1"/>
  <c r="N2453" i="1"/>
  <c r="M2453" i="1"/>
  <c r="O2452" i="1"/>
  <c r="N2452" i="1"/>
  <c r="M2452" i="1"/>
  <c r="O2451" i="1"/>
  <c r="N2451" i="1"/>
  <c r="M2451" i="1"/>
  <c r="O2450" i="1"/>
  <c r="N2450" i="1"/>
  <c r="M2450" i="1"/>
  <c r="O2449" i="1"/>
  <c r="M2449" i="1"/>
  <c r="N2449" i="1" s="1"/>
  <c r="O2448" i="1"/>
  <c r="M2448" i="1"/>
  <c r="N2448" i="1" s="1"/>
  <c r="O2447" i="1"/>
  <c r="N2447" i="1"/>
  <c r="M2447" i="1"/>
  <c r="Q2446" i="1"/>
  <c r="O2446" i="1"/>
  <c r="M2446" i="1"/>
  <c r="N2446" i="1" s="1"/>
  <c r="P2446" i="1" s="1"/>
  <c r="O2445" i="1"/>
  <c r="M2445" i="1"/>
  <c r="N2445" i="1" s="1"/>
  <c r="Q2444" i="1"/>
  <c r="O2444" i="1"/>
  <c r="M2444" i="1"/>
  <c r="N2444" i="1" s="1"/>
  <c r="P2444" i="1" s="1"/>
  <c r="O2443" i="1"/>
  <c r="N2443" i="1"/>
  <c r="M2443" i="1"/>
  <c r="O2442" i="1"/>
  <c r="M2442" i="1"/>
  <c r="N2442" i="1" s="1"/>
  <c r="Q2441" i="1"/>
  <c r="P2441" i="1"/>
  <c r="O2441" i="1"/>
  <c r="N2441" i="1"/>
  <c r="M2441" i="1"/>
  <c r="Q2440" i="1"/>
  <c r="P2440" i="1"/>
  <c r="O2440" i="1"/>
  <c r="N2440" i="1"/>
  <c r="M2440" i="1"/>
  <c r="O2439" i="1"/>
  <c r="N2439" i="1"/>
  <c r="M2439" i="1"/>
  <c r="Q2438" i="1"/>
  <c r="O2438" i="1"/>
  <c r="M2438" i="1"/>
  <c r="N2438" i="1" s="1"/>
  <c r="P2438" i="1" s="1"/>
  <c r="O2437" i="1"/>
  <c r="M2437" i="1"/>
  <c r="N2437" i="1" s="1"/>
  <c r="Q2436" i="1"/>
  <c r="O2436" i="1"/>
  <c r="N2436" i="1"/>
  <c r="P2436" i="1" s="1"/>
  <c r="M2436" i="1"/>
  <c r="P2435" i="1"/>
  <c r="O2435" i="1"/>
  <c r="N2435" i="1"/>
  <c r="Q2435" i="1" s="1"/>
  <c r="M2435" i="1"/>
  <c r="O2434" i="1"/>
  <c r="N2434" i="1"/>
  <c r="M2434" i="1"/>
  <c r="O2433" i="1"/>
  <c r="M2433" i="1"/>
  <c r="N2433" i="1" s="1"/>
  <c r="O2432" i="1"/>
  <c r="M2432" i="1"/>
  <c r="N2432" i="1" s="1"/>
  <c r="P2432" i="1" s="1"/>
  <c r="O2431" i="1"/>
  <c r="N2431" i="1"/>
  <c r="M2431" i="1"/>
  <c r="O2430" i="1"/>
  <c r="M2430" i="1"/>
  <c r="N2430" i="1" s="1"/>
  <c r="Q2429" i="1"/>
  <c r="O2429" i="1"/>
  <c r="M2429" i="1"/>
  <c r="N2429" i="1" s="1"/>
  <c r="O2428" i="1"/>
  <c r="M2428" i="1"/>
  <c r="N2428" i="1" s="1"/>
  <c r="O2427" i="1"/>
  <c r="M2427" i="1"/>
  <c r="N2427" i="1" s="1"/>
  <c r="Q2427" i="1" s="1"/>
  <c r="O2426" i="1"/>
  <c r="M2426" i="1"/>
  <c r="N2426" i="1" s="1"/>
  <c r="Q2425" i="1"/>
  <c r="P2425" i="1"/>
  <c r="O2425" i="1"/>
  <c r="N2425" i="1"/>
  <c r="M2425" i="1"/>
  <c r="Q2424" i="1"/>
  <c r="O2424" i="1"/>
  <c r="N2424" i="1"/>
  <c r="P2424" i="1" s="1"/>
  <c r="M2424" i="1"/>
  <c r="Q2423" i="1"/>
  <c r="P2423" i="1"/>
  <c r="O2423" i="1"/>
  <c r="M2423" i="1"/>
  <c r="N2423" i="1" s="1"/>
  <c r="O2422" i="1"/>
  <c r="M2422" i="1"/>
  <c r="N2422" i="1" s="1"/>
  <c r="Q2422" i="1" s="1"/>
  <c r="O2421" i="1"/>
  <c r="N2421" i="1"/>
  <c r="M2421" i="1"/>
  <c r="Q2420" i="1"/>
  <c r="O2420" i="1"/>
  <c r="N2420" i="1"/>
  <c r="M2420" i="1"/>
  <c r="Q2419" i="1"/>
  <c r="O2419" i="1"/>
  <c r="N2419" i="1"/>
  <c r="P2419" i="1" s="1"/>
  <c r="M2419" i="1"/>
  <c r="O2418" i="1"/>
  <c r="N2418" i="1"/>
  <c r="M2418" i="1"/>
  <c r="O2417" i="1"/>
  <c r="N2417" i="1"/>
  <c r="M2417" i="1"/>
  <c r="O2416" i="1"/>
  <c r="N2416" i="1"/>
  <c r="P2416" i="1" s="1"/>
  <c r="M2416" i="1"/>
  <c r="O2415" i="1"/>
  <c r="M2415" i="1"/>
  <c r="N2415" i="1" s="1"/>
  <c r="O2414" i="1"/>
  <c r="M2414" i="1"/>
  <c r="N2414" i="1" s="1"/>
  <c r="Q2414" i="1" s="1"/>
  <c r="O2413" i="1"/>
  <c r="M2413" i="1"/>
  <c r="N2413" i="1" s="1"/>
  <c r="Q2412" i="1"/>
  <c r="O2412" i="1"/>
  <c r="M2412" i="1"/>
  <c r="N2412" i="1" s="1"/>
  <c r="P2412" i="1" s="1"/>
  <c r="Q2411" i="1"/>
  <c r="P2411" i="1"/>
  <c r="O2411" i="1"/>
  <c r="M2411" i="1"/>
  <c r="N2411" i="1" s="1"/>
  <c r="O2410" i="1"/>
  <c r="M2410" i="1"/>
  <c r="N2410" i="1" s="1"/>
  <c r="Q2409" i="1"/>
  <c r="P2409" i="1"/>
  <c r="O2409" i="1"/>
  <c r="N2409" i="1"/>
  <c r="M2409" i="1"/>
  <c r="O2408" i="1"/>
  <c r="N2408" i="1"/>
  <c r="Q2408" i="1" s="1"/>
  <c r="M2408" i="1"/>
  <c r="Q2407" i="1"/>
  <c r="O2407" i="1"/>
  <c r="N2407" i="1"/>
  <c r="P2407" i="1" s="1"/>
  <c r="M2407" i="1"/>
  <c r="O2406" i="1"/>
  <c r="M2406" i="1"/>
  <c r="N2406" i="1" s="1"/>
  <c r="Q2406" i="1" s="1"/>
  <c r="O2405" i="1"/>
  <c r="M2405" i="1"/>
  <c r="N2405" i="1" s="1"/>
  <c r="O2404" i="1"/>
  <c r="N2404" i="1"/>
  <c r="Q2404" i="1" s="1"/>
  <c r="M2404" i="1"/>
  <c r="O2403" i="1"/>
  <c r="N2403" i="1"/>
  <c r="Q2403" i="1" s="1"/>
  <c r="M2403" i="1"/>
  <c r="O2402" i="1"/>
  <c r="N2402" i="1"/>
  <c r="M2402" i="1"/>
  <c r="O2401" i="1"/>
  <c r="N2401" i="1"/>
  <c r="M2401" i="1"/>
  <c r="O2400" i="1"/>
  <c r="M2400" i="1"/>
  <c r="N2400" i="1" s="1"/>
  <c r="O2399" i="1"/>
  <c r="M2399" i="1"/>
  <c r="N2399" i="1" s="1"/>
  <c r="O2398" i="1"/>
  <c r="M2398" i="1"/>
  <c r="N2398" i="1" s="1"/>
  <c r="Q2397" i="1"/>
  <c r="P2397" i="1"/>
  <c r="O2397" i="1"/>
  <c r="N2397" i="1"/>
  <c r="M2397" i="1"/>
  <c r="O2396" i="1"/>
  <c r="M2396" i="1"/>
  <c r="N2396" i="1" s="1"/>
  <c r="P2395" i="1"/>
  <c r="O2395" i="1"/>
  <c r="M2395" i="1"/>
  <c r="N2395" i="1" s="1"/>
  <c r="Q2395" i="1" s="1"/>
  <c r="O2394" i="1"/>
  <c r="M2394" i="1"/>
  <c r="N2394" i="1" s="1"/>
  <c r="Q2393" i="1"/>
  <c r="P2393" i="1"/>
  <c r="O2393" i="1"/>
  <c r="N2393" i="1"/>
  <c r="M2393" i="1"/>
  <c r="Q2392" i="1"/>
  <c r="O2392" i="1"/>
  <c r="N2392" i="1"/>
  <c r="P2392" i="1" s="1"/>
  <c r="M2392" i="1"/>
  <c r="O2391" i="1"/>
  <c r="M2391" i="1"/>
  <c r="N2391" i="1" s="1"/>
  <c r="P2390" i="1"/>
  <c r="O2390" i="1"/>
  <c r="M2390" i="1"/>
  <c r="N2390" i="1" s="1"/>
  <c r="Q2390" i="1" s="1"/>
  <c r="O2389" i="1"/>
  <c r="N2389" i="1"/>
  <c r="M2389" i="1"/>
  <c r="Q2388" i="1"/>
  <c r="O2388" i="1"/>
  <c r="P2388" i="1" s="1"/>
  <c r="N2388" i="1"/>
  <c r="M2388" i="1"/>
  <c r="O2387" i="1"/>
  <c r="N2387" i="1"/>
  <c r="M2387" i="1"/>
  <c r="O2386" i="1"/>
  <c r="N2386" i="1"/>
  <c r="M2386" i="1"/>
  <c r="O2385" i="1"/>
  <c r="M2385" i="1"/>
  <c r="N2385" i="1" s="1"/>
  <c r="Q2384" i="1"/>
  <c r="O2384" i="1"/>
  <c r="M2384" i="1"/>
  <c r="N2384" i="1" s="1"/>
  <c r="P2384" i="1" s="1"/>
  <c r="O2383" i="1"/>
  <c r="M2383" i="1"/>
  <c r="N2383" i="1" s="1"/>
  <c r="O2382" i="1"/>
  <c r="M2382" i="1"/>
  <c r="N2382" i="1" s="1"/>
  <c r="Q2382" i="1" s="1"/>
  <c r="O2381" i="1"/>
  <c r="N2381" i="1"/>
  <c r="M2381" i="1"/>
  <c r="Q2380" i="1"/>
  <c r="O2380" i="1"/>
  <c r="M2380" i="1"/>
  <c r="N2380" i="1" s="1"/>
  <c r="P2380" i="1" s="1"/>
  <c r="O2379" i="1"/>
  <c r="M2379" i="1"/>
  <c r="N2379" i="1" s="1"/>
  <c r="O2378" i="1"/>
  <c r="M2378" i="1"/>
  <c r="N2378" i="1" s="1"/>
  <c r="Q2377" i="1"/>
  <c r="P2377" i="1"/>
  <c r="O2377" i="1"/>
  <c r="N2377" i="1"/>
  <c r="M2377" i="1"/>
  <c r="Q2376" i="1"/>
  <c r="O2376" i="1"/>
  <c r="P2376" i="1" s="1"/>
  <c r="N2376" i="1"/>
  <c r="M2376" i="1"/>
  <c r="Q2375" i="1"/>
  <c r="O2375" i="1"/>
  <c r="N2375" i="1"/>
  <c r="P2375" i="1" s="1"/>
  <c r="M2375" i="1"/>
  <c r="O2374" i="1"/>
  <c r="M2374" i="1"/>
  <c r="N2374" i="1" s="1"/>
  <c r="Q2374" i="1" s="1"/>
  <c r="P2373" i="1"/>
  <c r="O2373" i="1"/>
  <c r="N2373" i="1"/>
  <c r="Q2373" i="1" s="1"/>
  <c r="M2373" i="1"/>
  <c r="Q2372" i="1"/>
  <c r="P2372" i="1"/>
  <c r="O2372" i="1"/>
  <c r="N2372" i="1"/>
  <c r="M2372" i="1"/>
  <c r="O2371" i="1"/>
  <c r="N2371" i="1"/>
  <c r="M2371" i="1"/>
  <c r="O2370" i="1"/>
  <c r="M2370" i="1"/>
  <c r="N2370" i="1" s="1"/>
  <c r="Q2369" i="1"/>
  <c r="P2369" i="1"/>
  <c r="O2369" i="1"/>
  <c r="N2369" i="1"/>
  <c r="M2369" i="1"/>
  <c r="Q2368" i="1"/>
  <c r="O2368" i="1"/>
  <c r="M2368" i="1"/>
  <c r="N2368" i="1" s="1"/>
  <c r="P2368" i="1" s="1"/>
  <c r="O2367" i="1"/>
  <c r="M2367" i="1"/>
  <c r="N2367" i="1" s="1"/>
  <c r="P2366" i="1"/>
  <c r="O2366" i="1"/>
  <c r="N2366" i="1"/>
  <c r="Q2366" i="1" s="1"/>
  <c r="M2366" i="1"/>
  <c r="P2365" i="1"/>
  <c r="O2365" i="1"/>
  <c r="N2365" i="1"/>
  <c r="Q2365" i="1" s="1"/>
  <c r="M2365" i="1"/>
  <c r="O2364" i="1"/>
  <c r="M2364" i="1"/>
  <c r="N2364" i="1" s="1"/>
  <c r="O2363" i="1"/>
  <c r="M2363" i="1"/>
  <c r="N2363" i="1" s="1"/>
  <c r="P2362" i="1"/>
  <c r="O2362" i="1"/>
  <c r="M2362" i="1"/>
  <c r="N2362" i="1" s="1"/>
  <c r="Q2362" i="1" s="1"/>
  <c r="Q2361" i="1"/>
  <c r="P2361" i="1"/>
  <c r="O2361" i="1"/>
  <c r="N2361" i="1"/>
  <c r="M2361" i="1"/>
  <c r="O2360" i="1"/>
  <c r="N2360" i="1"/>
  <c r="P2360" i="1" s="1"/>
  <c r="M2360" i="1"/>
  <c r="O2359" i="1"/>
  <c r="M2359" i="1"/>
  <c r="N2359" i="1" s="1"/>
  <c r="O2358" i="1"/>
  <c r="M2358" i="1"/>
  <c r="N2358" i="1" s="1"/>
  <c r="P2358" i="1" s="1"/>
  <c r="O2357" i="1"/>
  <c r="N2357" i="1"/>
  <c r="M2357" i="1"/>
  <c r="O2356" i="1"/>
  <c r="M2356" i="1"/>
  <c r="N2356" i="1" s="1"/>
  <c r="Q2355" i="1"/>
  <c r="O2355" i="1"/>
  <c r="N2355" i="1"/>
  <c r="M2355" i="1"/>
  <c r="O2354" i="1"/>
  <c r="N2354" i="1"/>
  <c r="M2354" i="1"/>
  <c r="P2353" i="1"/>
  <c r="O2353" i="1"/>
  <c r="N2353" i="1"/>
  <c r="Q2353" i="1" s="1"/>
  <c r="M2353" i="1"/>
  <c r="O2352" i="1"/>
  <c r="M2352" i="1"/>
  <c r="N2352" i="1" s="1"/>
  <c r="O2351" i="1"/>
  <c r="N2351" i="1"/>
  <c r="M2351" i="1"/>
  <c r="Q2350" i="1"/>
  <c r="P2350" i="1"/>
  <c r="O2350" i="1"/>
  <c r="M2350" i="1"/>
  <c r="N2350" i="1" s="1"/>
  <c r="O2349" i="1"/>
  <c r="N2349" i="1"/>
  <c r="M2349" i="1"/>
  <c r="O2348" i="1"/>
  <c r="M2348" i="1"/>
  <c r="N2348" i="1" s="1"/>
  <c r="P2348" i="1" s="1"/>
  <c r="P2347" i="1"/>
  <c r="O2347" i="1"/>
  <c r="N2347" i="1"/>
  <c r="Q2347" i="1" s="1"/>
  <c r="M2347" i="1"/>
  <c r="O2346" i="1"/>
  <c r="M2346" i="1"/>
  <c r="N2346" i="1" s="1"/>
  <c r="Q2345" i="1"/>
  <c r="P2345" i="1"/>
  <c r="O2345" i="1"/>
  <c r="N2345" i="1"/>
  <c r="M2345" i="1"/>
  <c r="O2344" i="1"/>
  <c r="M2344" i="1"/>
  <c r="N2344" i="1" s="1"/>
  <c r="O2343" i="1"/>
  <c r="N2343" i="1"/>
  <c r="M2343" i="1"/>
  <c r="Q2342" i="1"/>
  <c r="P2342" i="1"/>
  <c r="O2342" i="1"/>
  <c r="M2342" i="1"/>
  <c r="N2342" i="1" s="1"/>
  <c r="P2341" i="1"/>
  <c r="O2341" i="1"/>
  <c r="N2341" i="1"/>
  <c r="Q2341" i="1" s="1"/>
  <c r="M2341" i="1"/>
  <c r="P2340" i="1"/>
  <c r="O2340" i="1"/>
  <c r="N2340" i="1"/>
  <c r="Q2340" i="1" s="1"/>
  <c r="M2340" i="1"/>
  <c r="O2339" i="1"/>
  <c r="N2339" i="1"/>
  <c r="M2339" i="1"/>
  <c r="O2338" i="1"/>
  <c r="N2338" i="1"/>
  <c r="M2338" i="1"/>
  <c r="Q2337" i="1"/>
  <c r="O2337" i="1"/>
  <c r="P2337" i="1" s="1"/>
  <c r="N2337" i="1"/>
  <c r="M2337" i="1"/>
  <c r="O2336" i="1"/>
  <c r="M2336" i="1"/>
  <c r="N2336" i="1" s="1"/>
  <c r="O2335" i="1"/>
  <c r="M2335" i="1"/>
  <c r="N2335" i="1" s="1"/>
  <c r="O2334" i="1"/>
  <c r="M2334" i="1"/>
  <c r="N2334" i="1" s="1"/>
  <c r="O2333" i="1"/>
  <c r="M2333" i="1"/>
  <c r="N2333" i="1" s="1"/>
  <c r="P2333" i="1" s="1"/>
  <c r="O2332" i="1"/>
  <c r="M2332" i="1"/>
  <c r="N2332" i="1" s="1"/>
  <c r="O2331" i="1"/>
  <c r="M2331" i="1"/>
  <c r="N2331" i="1" s="1"/>
  <c r="O2330" i="1"/>
  <c r="M2330" i="1"/>
  <c r="N2330" i="1" s="1"/>
  <c r="Q2329" i="1"/>
  <c r="P2329" i="1"/>
  <c r="O2329" i="1"/>
  <c r="N2329" i="1"/>
  <c r="M2329" i="1"/>
  <c r="O2328" i="1"/>
  <c r="N2328" i="1"/>
  <c r="M2328" i="1"/>
  <c r="O2327" i="1"/>
  <c r="N2327" i="1"/>
  <c r="M2327" i="1"/>
  <c r="O2326" i="1"/>
  <c r="M2326" i="1"/>
  <c r="N2326" i="1" s="1"/>
  <c r="O2325" i="1"/>
  <c r="N2325" i="1"/>
  <c r="M2325" i="1"/>
  <c r="O2324" i="1"/>
  <c r="M2324" i="1"/>
  <c r="N2324" i="1" s="1"/>
  <c r="Q2323" i="1"/>
  <c r="O2323" i="1"/>
  <c r="N2323" i="1"/>
  <c r="P2323" i="1" s="1"/>
  <c r="M2323" i="1"/>
  <c r="O2322" i="1"/>
  <c r="N2322" i="1"/>
  <c r="M2322" i="1"/>
  <c r="O2321" i="1"/>
  <c r="N2321" i="1"/>
  <c r="Q2321" i="1" s="1"/>
  <c r="M2321" i="1"/>
  <c r="P2320" i="1"/>
  <c r="O2320" i="1"/>
  <c r="N2320" i="1"/>
  <c r="Q2320" i="1" s="1"/>
  <c r="M2320" i="1"/>
  <c r="O2319" i="1"/>
  <c r="N2319" i="1"/>
  <c r="M2319" i="1"/>
  <c r="O2318" i="1"/>
  <c r="M2318" i="1"/>
  <c r="N2318" i="1" s="1"/>
  <c r="O2317" i="1"/>
  <c r="N2317" i="1"/>
  <c r="Q2317" i="1" s="1"/>
  <c r="M2317" i="1"/>
  <c r="O2316" i="1"/>
  <c r="M2316" i="1"/>
  <c r="N2316" i="1" s="1"/>
  <c r="P2316" i="1" s="1"/>
  <c r="O2315" i="1"/>
  <c r="N2315" i="1"/>
  <c r="M2315" i="1"/>
  <c r="O2314" i="1"/>
  <c r="M2314" i="1"/>
  <c r="N2314" i="1" s="1"/>
  <c r="Q2313" i="1"/>
  <c r="P2313" i="1"/>
  <c r="O2313" i="1"/>
  <c r="N2313" i="1"/>
  <c r="M2313" i="1"/>
  <c r="O2312" i="1"/>
  <c r="M2312" i="1"/>
  <c r="N2312" i="1" s="1"/>
  <c r="Q2311" i="1"/>
  <c r="O2311" i="1"/>
  <c r="N2311" i="1"/>
  <c r="P2311" i="1" s="1"/>
  <c r="M2311" i="1"/>
  <c r="P2310" i="1"/>
  <c r="O2310" i="1"/>
  <c r="M2310" i="1"/>
  <c r="N2310" i="1" s="1"/>
  <c r="Q2310" i="1" s="1"/>
  <c r="O2309" i="1"/>
  <c r="N2309" i="1"/>
  <c r="Q2309" i="1" s="1"/>
  <c r="M2309" i="1"/>
  <c r="O2308" i="1"/>
  <c r="N2308" i="1"/>
  <c r="M2308" i="1"/>
  <c r="P2307" i="1"/>
  <c r="O2307" i="1"/>
  <c r="N2307" i="1"/>
  <c r="Q2307" i="1" s="1"/>
  <c r="M2307" i="1"/>
  <c r="O2306" i="1"/>
  <c r="M2306" i="1"/>
  <c r="N2306" i="1" s="1"/>
  <c r="O2305" i="1"/>
  <c r="M2305" i="1"/>
  <c r="N2305" i="1" s="1"/>
  <c r="O2304" i="1"/>
  <c r="M2304" i="1"/>
  <c r="N2304" i="1" s="1"/>
  <c r="P2304" i="1" s="1"/>
  <c r="O2303" i="1"/>
  <c r="M2303" i="1"/>
  <c r="N2303" i="1" s="1"/>
  <c r="O2302" i="1"/>
  <c r="N2302" i="1"/>
  <c r="M2302" i="1"/>
  <c r="O2301" i="1"/>
  <c r="M2301" i="1"/>
  <c r="N2301" i="1" s="1"/>
  <c r="O2300" i="1"/>
  <c r="M2300" i="1"/>
  <c r="N2300" i="1" s="1"/>
  <c r="P2299" i="1"/>
  <c r="O2299" i="1"/>
  <c r="N2299" i="1"/>
  <c r="Q2299" i="1" s="1"/>
  <c r="M2299" i="1"/>
  <c r="Q2298" i="1"/>
  <c r="P2298" i="1"/>
  <c r="O2298" i="1"/>
  <c r="N2298" i="1"/>
  <c r="M2298" i="1"/>
  <c r="Q2297" i="1"/>
  <c r="P2297" i="1"/>
  <c r="O2297" i="1"/>
  <c r="N2297" i="1"/>
  <c r="M2297" i="1"/>
  <c r="O2296" i="1"/>
  <c r="M2296" i="1"/>
  <c r="N2296" i="1" s="1"/>
  <c r="O2295" i="1"/>
  <c r="M2295" i="1"/>
  <c r="N2295" i="1" s="1"/>
  <c r="Q2294" i="1"/>
  <c r="O2294" i="1"/>
  <c r="M2294" i="1"/>
  <c r="N2294" i="1" s="1"/>
  <c r="P2294" i="1" s="1"/>
  <c r="O2293" i="1"/>
  <c r="N2293" i="1"/>
  <c r="M2293" i="1"/>
  <c r="O2292" i="1"/>
  <c r="N2292" i="1"/>
  <c r="M2292" i="1"/>
  <c r="Q2291" i="1"/>
  <c r="O2291" i="1"/>
  <c r="N2291" i="1"/>
  <c r="P2291" i="1" s="1"/>
  <c r="M2291" i="1"/>
  <c r="O2290" i="1"/>
  <c r="N2290" i="1"/>
  <c r="M2290" i="1"/>
  <c r="O2289" i="1"/>
  <c r="N2289" i="1"/>
  <c r="M2289" i="1"/>
  <c r="O2288" i="1"/>
  <c r="M2288" i="1"/>
  <c r="N2288" i="1" s="1"/>
  <c r="O2287" i="1"/>
  <c r="M2287" i="1"/>
  <c r="N2287" i="1" s="1"/>
  <c r="Q2286" i="1"/>
  <c r="O2286" i="1"/>
  <c r="M2286" i="1"/>
  <c r="N2286" i="1" s="1"/>
  <c r="P2286" i="1" s="1"/>
  <c r="O2285" i="1"/>
  <c r="N2285" i="1"/>
  <c r="M2285" i="1"/>
  <c r="O2284" i="1"/>
  <c r="M2284" i="1"/>
  <c r="N2284" i="1" s="1"/>
  <c r="P2284" i="1" s="1"/>
  <c r="O2283" i="1"/>
  <c r="N2283" i="1"/>
  <c r="Q2283" i="1" s="1"/>
  <c r="M2283" i="1"/>
  <c r="O2282" i="1"/>
  <c r="M2282" i="1"/>
  <c r="N2282" i="1" s="1"/>
  <c r="Q2281" i="1"/>
  <c r="P2281" i="1"/>
  <c r="O2281" i="1"/>
  <c r="N2281" i="1"/>
  <c r="M2281" i="1"/>
  <c r="O2280" i="1"/>
  <c r="M2280" i="1"/>
  <c r="N2280" i="1" s="1"/>
  <c r="O2279" i="1"/>
  <c r="N2279" i="1"/>
  <c r="M2279" i="1"/>
  <c r="Q2278" i="1"/>
  <c r="O2278" i="1"/>
  <c r="M2278" i="1"/>
  <c r="N2278" i="1" s="1"/>
  <c r="P2278" i="1" s="1"/>
  <c r="O2277" i="1"/>
  <c r="N2277" i="1"/>
  <c r="M2277" i="1"/>
  <c r="Q2276" i="1"/>
  <c r="O2276" i="1"/>
  <c r="N2276" i="1"/>
  <c r="M2276" i="1"/>
  <c r="P2275" i="1"/>
  <c r="O2275" i="1"/>
  <c r="N2275" i="1"/>
  <c r="Q2275" i="1" s="1"/>
  <c r="M2275" i="1"/>
  <c r="O2274" i="1"/>
  <c r="M2274" i="1"/>
  <c r="N2274" i="1" s="1"/>
  <c r="O2273" i="1"/>
  <c r="M2273" i="1"/>
  <c r="N2273" i="1" s="1"/>
  <c r="O2272" i="1"/>
  <c r="M2272" i="1"/>
  <c r="N2272" i="1" s="1"/>
  <c r="O2271" i="1"/>
  <c r="M2271" i="1"/>
  <c r="N2271" i="1" s="1"/>
  <c r="Q2270" i="1"/>
  <c r="O2270" i="1"/>
  <c r="N2270" i="1"/>
  <c r="P2270" i="1" s="1"/>
  <c r="M2270" i="1"/>
  <c r="O2269" i="1"/>
  <c r="N2269" i="1"/>
  <c r="Q2269" i="1" s="1"/>
  <c r="M2269" i="1"/>
  <c r="O2268" i="1"/>
  <c r="M2268" i="1"/>
  <c r="N2268" i="1" s="1"/>
  <c r="O2267" i="1"/>
  <c r="N2267" i="1"/>
  <c r="M2267" i="1"/>
  <c r="Q2266" i="1"/>
  <c r="O2266" i="1"/>
  <c r="N2266" i="1"/>
  <c r="P2266" i="1" s="1"/>
  <c r="M2266" i="1"/>
  <c r="Q2265" i="1"/>
  <c r="P2265" i="1"/>
  <c r="O2265" i="1"/>
  <c r="N2265" i="1"/>
  <c r="M2265" i="1"/>
  <c r="O2264" i="1"/>
  <c r="M2264" i="1"/>
  <c r="N2264" i="1" s="1"/>
  <c r="Q2263" i="1"/>
  <c r="P2263" i="1"/>
  <c r="O2263" i="1"/>
  <c r="N2263" i="1"/>
  <c r="M2263" i="1"/>
  <c r="O2262" i="1"/>
  <c r="M2262" i="1"/>
  <c r="N2262" i="1" s="1"/>
  <c r="O2261" i="1"/>
  <c r="N2261" i="1"/>
  <c r="M2261" i="1"/>
  <c r="Q2260" i="1"/>
  <c r="P2260" i="1"/>
  <c r="O2260" i="1"/>
  <c r="N2260" i="1"/>
  <c r="M2260" i="1"/>
  <c r="Q2259" i="1"/>
  <c r="P2259" i="1"/>
  <c r="O2259" i="1"/>
  <c r="N2259" i="1"/>
  <c r="M2259" i="1"/>
  <c r="O2258" i="1"/>
  <c r="N2258" i="1"/>
  <c r="M2258" i="1"/>
  <c r="O2257" i="1"/>
  <c r="N2257" i="1"/>
  <c r="M2257" i="1"/>
  <c r="Q2256" i="1"/>
  <c r="P2256" i="1"/>
  <c r="O2256" i="1"/>
  <c r="N2256" i="1"/>
  <c r="M2256" i="1"/>
  <c r="O2255" i="1"/>
  <c r="N2255" i="1"/>
  <c r="M2255" i="1"/>
  <c r="O2254" i="1"/>
  <c r="M2254" i="1"/>
  <c r="N2254" i="1" s="1"/>
  <c r="O2253" i="1"/>
  <c r="M2253" i="1"/>
  <c r="N2253" i="1" s="1"/>
  <c r="O2252" i="1"/>
  <c r="M2252" i="1"/>
  <c r="N2252" i="1" s="1"/>
  <c r="Q2251" i="1"/>
  <c r="P2251" i="1"/>
  <c r="O2251" i="1"/>
  <c r="N2251" i="1"/>
  <c r="M2251" i="1"/>
  <c r="O2250" i="1"/>
  <c r="M2250" i="1"/>
  <c r="N2250" i="1" s="1"/>
  <c r="Q2249" i="1"/>
  <c r="P2249" i="1"/>
  <c r="O2249" i="1"/>
  <c r="N2249" i="1"/>
  <c r="M2249" i="1"/>
  <c r="O2248" i="1"/>
  <c r="N2248" i="1"/>
  <c r="P2248" i="1" s="1"/>
  <c r="M2248" i="1"/>
  <c r="Q2247" i="1"/>
  <c r="O2247" i="1"/>
  <c r="N2247" i="1"/>
  <c r="P2247" i="1" s="1"/>
  <c r="M2247" i="1"/>
  <c r="O2246" i="1"/>
  <c r="M2246" i="1"/>
  <c r="N2246" i="1" s="1"/>
  <c r="O2245" i="1"/>
  <c r="M2245" i="1"/>
  <c r="N2245" i="1" s="1"/>
  <c r="Q2244" i="1"/>
  <c r="O2244" i="1"/>
  <c r="P2244" i="1" s="1"/>
  <c r="N2244" i="1"/>
  <c r="M2244" i="1"/>
  <c r="P2243" i="1"/>
  <c r="O2243" i="1"/>
  <c r="N2243" i="1"/>
  <c r="Q2243" i="1" s="1"/>
  <c r="M2243" i="1"/>
  <c r="O2242" i="1"/>
  <c r="M2242" i="1"/>
  <c r="N2242" i="1" s="1"/>
  <c r="O2241" i="1"/>
  <c r="N2241" i="1"/>
  <c r="M2241" i="1"/>
  <c r="Q2240" i="1"/>
  <c r="P2240" i="1"/>
  <c r="O2240" i="1"/>
  <c r="M2240" i="1"/>
  <c r="N2240" i="1" s="1"/>
  <c r="O2239" i="1"/>
  <c r="N2239" i="1"/>
  <c r="M2239" i="1"/>
  <c r="O2238" i="1"/>
  <c r="N2238" i="1"/>
  <c r="M2238" i="1"/>
  <c r="O2237" i="1"/>
  <c r="M2237" i="1"/>
  <c r="N2237" i="1" s="1"/>
  <c r="O2236" i="1"/>
  <c r="M2236" i="1"/>
  <c r="N2236" i="1" s="1"/>
  <c r="O2235" i="1"/>
  <c r="P2235" i="1" s="1"/>
  <c r="N2235" i="1"/>
  <c r="Q2235" i="1" s="1"/>
  <c r="M2235" i="1"/>
  <c r="O2234" i="1"/>
  <c r="N2234" i="1"/>
  <c r="M2234" i="1"/>
  <c r="Q2233" i="1"/>
  <c r="P2233" i="1"/>
  <c r="O2233" i="1"/>
  <c r="N2233" i="1"/>
  <c r="M2233" i="1"/>
  <c r="O2232" i="1"/>
  <c r="M2232" i="1"/>
  <c r="N2232" i="1" s="1"/>
  <c r="O2231" i="1"/>
  <c r="M2231" i="1"/>
  <c r="N2231" i="1" s="1"/>
  <c r="O2230" i="1"/>
  <c r="M2230" i="1"/>
  <c r="N2230" i="1" s="1"/>
  <c r="O2229" i="1"/>
  <c r="N2229" i="1"/>
  <c r="M2229" i="1"/>
  <c r="O2228" i="1"/>
  <c r="N2228" i="1"/>
  <c r="Q2228" i="1" s="1"/>
  <c r="M2228" i="1"/>
  <c r="P2227" i="1"/>
  <c r="O2227" i="1"/>
  <c r="N2227" i="1"/>
  <c r="Q2227" i="1" s="1"/>
  <c r="M2227" i="1"/>
  <c r="O2226" i="1"/>
  <c r="N2226" i="1"/>
  <c r="M2226" i="1"/>
  <c r="O2225" i="1"/>
  <c r="M2225" i="1"/>
  <c r="N2225" i="1" s="1"/>
  <c r="Q2224" i="1"/>
  <c r="P2224" i="1"/>
  <c r="O2224" i="1"/>
  <c r="N2224" i="1"/>
  <c r="M2224" i="1"/>
  <c r="O2223" i="1"/>
  <c r="M2223" i="1"/>
  <c r="N2223" i="1" s="1"/>
  <c r="O2222" i="1"/>
  <c r="M2222" i="1"/>
  <c r="N2222" i="1" s="1"/>
  <c r="P2222" i="1" s="1"/>
  <c r="O2221" i="1"/>
  <c r="M2221" i="1"/>
  <c r="N2221" i="1" s="1"/>
  <c r="Q2220" i="1"/>
  <c r="O2220" i="1"/>
  <c r="M2220" i="1"/>
  <c r="N2220" i="1" s="1"/>
  <c r="P2220" i="1" s="1"/>
  <c r="O2219" i="1"/>
  <c r="M2219" i="1"/>
  <c r="N2219" i="1" s="1"/>
  <c r="O2218" i="1"/>
  <c r="M2218" i="1"/>
  <c r="N2218" i="1" s="1"/>
  <c r="Q2217" i="1"/>
  <c r="P2217" i="1"/>
  <c r="O2217" i="1"/>
  <c r="N2217" i="1"/>
  <c r="M2217" i="1"/>
  <c r="O2216" i="1"/>
  <c r="N2216" i="1"/>
  <c r="M2216" i="1"/>
  <c r="Q2215" i="1"/>
  <c r="O2215" i="1"/>
  <c r="N2215" i="1"/>
  <c r="P2215" i="1" s="1"/>
  <c r="M2215" i="1"/>
  <c r="O2214" i="1"/>
  <c r="M2214" i="1"/>
  <c r="N2214" i="1" s="1"/>
  <c r="O2213" i="1"/>
  <c r="N2213" i="1"/>
  <c r="M2213" i="1"/>
  <c r="Q2212" i="1"/>
  <c r="O2212" i="1"/>
  <c r="P2212" i="1" s="1"/>
  <c r="N2212" i="1"/>
  <c r="M2212" i="1"/>
  <c r="P2211" i="1"/>
  <c r="O2211" i="1"/>
  <c r="N2211" i="1"/>
  <c r="Q2211" i="1" s="1"/>
  <c r="M2211" i="1"/>
  <c r="O2210" i="1"/>
  <c r="M2210" i="1"/>
  <c r="N2210" i="1" s="1"/>
  <c r="O2209" i="1"/>
  <c r="P2209" i="1" s="1"/>
  <c r="N2209" i="1"/>
  <c r="Q2209" i="1" s="1"/>
  <c r="M2209" i="1"/>
  <c r="Q2208" i="1"/>
  <c r="P2208" i="1"/>
  <c r="O2208" i="1"/>
  <c r="M2208" i="1"/>
  <c r="N2208" i="1" s="1"/>
  <c r="O2207" i="1"/>
  <c r="M2207" i="1"/>
  <c r="N2207" i="1" s="1"/>
  <c r="O2206" i="1"/>
  <c r="M2206" i="1"/>
  <c r="N2206" i="1" s="1"/>
  <c r="O2205" i="1"/>
  <c r="M2205" i="1"/>
  <c r="N2205" i="1" s="1"/>
  <c r="O2204" i="1"/>
  <c r="M2204" i="1"/>
  <c r="N2204" i="1" s="1"/>
  <c r="O2203" i="1"/>
  <c r="M2203" i="1"/>
  <c r="N2203" i="1" s="1"/>
  <c r="O2202" i="1"/>
  <c r="M2202" i="1"/>
  <c r="N2202" i="1" s="1"/>
  <c r="Q2201" i="1"/>
  <c r="P2201" i="1"/>
  <c r="O2201" i="1"/>
  <c r="N2201" i="1"/>
  <c r="M2201" i="1"/>
  <c r="Q2200" i="1"/>
  <c r="O2200" i="1"/>
  <c r="M2200" i="1"/>
  <c r="N2200" i="1" s="1"/>
  <c r="P2200" i="1" s="1"/>
  <c r="O2199" i="1"/>
  <c r="M2199" i="1"/>
  <c r="N2199" i="1" s="1"/>
  <c r="Q2198" i="1"/>
  <c r="P2198" i="1"/>
  <c r="O2198" i="1"/>
  <c r="M2198" i="1"/>
  <c r="N2198" i="1" s="1"/>
  <c r="O2197" i="1"/>
  <c r="N2197" i="1"/>
  <c r="M2197" i="1"/>
  <c r="Q2196" i="1"/>
  <c r="O2196" i="1"/>
  <c r="N2196" i="1"/>
  <c r="P2196" i="1" s="1"/>
  <c r="M2196" i="1"/>
  <c r="P2195" i="1"/>
  <c r="O2195" i="1"/>
  <c r="N2195" i="1"/>
  <c r="Q2195" i="1" s="1"/>
  <c r="M2195" i="1"/>
  <c r="O2194" i="1"/>
  <c r="N2194" i="1"/>
  <c r="M2194" i="1"/>
  <c r="P2193" i="1"/>
  <c r="O2193" i="1"/>
  <c r="M2193" i="1"/>
  <c r="N2193" i="1" s="1"/>
  <c r="Q2193" i="1" s="1"/>
  <c r="O2192" i="1"/>
  <c r="M2192" i="1"/>
  <c r="N2192" i="1" s="1"/>
  <c r="O2191" i="1"/>
  <c r="M2191" i="1"/>
  <c r="N2191" i="1" s="1"/>
  <c r="O2190" i="1"/>
  <c r="M2190" i="1"/>
  <c r="N2190" i="1" s="1"/>
  <c r="O2189" i="1"/>
  <c r="N2189" i="1"/>
  <c r="Q2189" i="1" s="1"/>
  <c r="M2189" i="1"/>
  <c r="O2188" i="1"/>
  <c r="M2188" i="1"/>
  <c r="N2188" i="1" s="1"/>
  <c r="P2188" i="1" s="1"/>
  <c r="O2187" i="1"/>
  <c r="M2187" i="1"/>
  <c r="N2187" i="1" s="1"/>
  <c r="O2186" i="1"/>
  <c r="M2186" i="1"/>
  <c r="N2186" i="1" s="1"/>
  <c r="Q2185" i="1"/>
  <c r="P2185" i="1"/>
  <c r="O2185" i="1"/>
  <c r="N2185" i="1"/>
  <c r="M2185" i="1"/>
  <c r="Q2184" i="1"/>
  <c r="O2184" i="1"/>
  <c r="N2184" i="1"/>
  <c r="P2184" i="1" s="1"/>
  <c r="M2184" i="1"/>
  <c r="O2183" i="1"/>
  <c r="N2183" i="1"/>
  <c r="P2183" i="1" s="1"/>
  <c r="M2183" i="1"/>
  <c r="O2182" i="1"/>
  <c r="M2182" i="1"/>
  <c r="N2182" i="1" s="1"/>
  <c r="Q2182" i="1" s="1"/>
  <c r="O2181" i="1"/>
  <c r="M2181" i="1"/>
  <c r="N2181" i="1" s="1"/>
  <c r="Q2181" i="1" s="1"/>
  <c r="Q2180" i="1"/>
  <c r="O2180" i="1"/>
  <c r="P2180" i="1" s="1"/>
  <c r="N2180" i="1"/>
  <c r="M2180" i="1"/>
  <c r="P2179" i="1"/>
  <c r="O2179" i="1"/>
  <c r="N2179" i="1"/>
  <c r="Q2179" i="1" s="1"/>
  <c r="M2179" i="1"/>
  <c r="O2178" i="1"/>
  <c r="N2178" i="1"/>
  <c r="M2178" i="1"/>
  <c r="Q2177" i="1"/>
  <c r="O2177" i="1"/>
  <c r="P2177" i="1" s="1"/>
  <c r="N2177" i="1"/>
  <c r="M2177" i="1"/>
  <c r="P2176" i="1"/>
  <c r="O2176" i="1"/>
  <c r="M2176" i="1"/>
  <c r="N2176" i="1" s="1"/>
  <c r="Q2176" i="1" s="1"/>
  <c r="O2175" i="1"/>
  <c r="M2175" i="1"/>
  <c r="N2175" i="1" s="1"/>
  <c r="Q2174" i="1"/>
  <c r="O2174" i="1"/>
  <c r="P2174" i="1" s="1"/>
  <c r="M2174" i="1"/>
  <c r="N2174" i="1" s="1"/>
  <c r="Q2173" i="1"/>
  <c r="O2173" i="1"/>
  <c r="P2173" i="1" s="1"/>
  <c r="N2173" i="1"/>
  <c r="M2173" i="1"/>
  <c r="O2172" i="1"/>
  <c r="M2172" i="1"/>
  <c r="N2172" i="1" s="1"/>
  <c r="O2171" i="1"/>
  <c r="M2171" i="1"/>
  <c r="N2171" i="1" s="1"/>
  <c r="O2170" i="1"/>
  <c r="M2170" i="1"/>
  <c r="N2170" i="1" s="1"/>
  <c r="Q2169" i="1"/>
  <c r="P2169" i="1"/>
  <c r="O2169" i="1"/>
  <c r="N2169" i="1"/>
  <c r="M2169" i="1"/>
  <c r="O2168" i="1"/>
  <c r="M2168" i="1"/>
  <c r="N2168" i="1" s="1"/>
  <c r="O2167" i="1"/>
  <c r="N2167" i="1"/>
  <c r="M2167" i="1"/>
  <c r="O2166" i="1"/>
  <c r="M2166" i="1"/>
  <c r="N2166" i="1" s="1"/>
  <c r="O2165" i="1"/>
  <c r="N2165" i="1"/>
  <c r="M2165" i="1"/>
  <c r="O2164" i="1"/>
  <c r="N2164" i="1"/>
  <c r="M2164" i="1"/>
  <c r="Q2163" i="1"/>
  <c r="O2163" i="1"/>
  <c r="N2163" i="1"/>
  <c r="M2163" i="1"/>
  <c r="O2162" i="1"/>
  <c r="N2162" i="1"/>
  <c r="M2162" i="1"/>
  <c r="O2161" i="1"/>
  <c r="M2161" i="1"/>
  <c r="N2161" i="1" s="1"/>
  <c r="O2160" i="1"/>
  <c r="M2160" i="1"/>
  <c r="N2160" i="1" s="1"/>
  <c r="O2159" i="1"/>
  <c r="M2159" i="1"/>
  <c r="N2159" i="1" s="1"/>
  <c r="O2158" i="1"/>
  <c r="M2158" i="1"/>
  <c r="N2158" i="1" s="1"/>
  <c r="P2157" i="1"/>
  <c r="O2157" i="1"/>
  <c r="M2157" i="1"/>
  <c r="N2157" i="1" s="1"/>
  <c r="Q2157" i="1" s="1"/>
  <c r="O2156" i="1"/>
  <c r="M2156" i="1"/>
  <c r="N2156" i="1" s="1"/>
  <c r="O2155" i="1"/>
  <c r="M2155" i="1"/>
  <c r="N2155" i="1" s="1"/>
  <c r="Q2155" i="1" s="1"/>
  <c r="O2154" i="1"/>
  <c r="M2154" i="1"/>
  <c r="N2154" i="1" s="1"/>
  <c r="Q2153" i="1"/>
  <c r="P2153" i="1"/>
  <c r="O2153" i="1"/>
  <c r="N2153" i="1"/>
  <c r="M2153" i="1"/>
  <c r="O2152" i="1"/>
  <c r="N2152" i="1"/>
  <c r="M2152" i="1"/>
  <c r="O2151" i="1"/>
  <c r="N2151" i="1"/>
  <c r="M2151" i="1"/>
  <c r="O2150" i="1"/>
  <c r="M2150" i="1"/>
  <c r="N2150" i="1" s="1"/>
  <c r="Q2150" i="1" s="1"/>
  <c r="P2149" i="1"/>
  <c r="O2149" i="1"/>
  <c r="M2149" i="1"/>
  <c r="N2149" i="1" s="1"/>
  <c r="Q2149" i="1" s="1"/>
  <c r="O2148" i="1"/>
  <c r="N2148" i="1"/>
  <c r="Q2148" i="1" s="1"/>
  <c r="M2148" i="1"/>
  <c r="O2147" i="1"/>
  <c r="N2147" i="1"/>
  <c r="M2147" i="1"/>
  <c r="O2146" i="1"/>
  <c r="N2146" i="1"/>
  <c r="M2146" i="1"/>
  <c r="Q2145" i="1"/>
  <c r="O2145" i="1"/>
  <c r="N2145" i="1"/>
  <c r="P2145" i="1" s="1"/>
  <c r="M2145" i="1"/>
  <c r="O2144" i="1"/>
  <c r="M2144" i="1"/>
  <c r="N2144" i="1" s="1"/>
  <c r="Q2144" i="1" s="1"/>
  <c r="O2143" i="1"/>
  <c r="M2143" i="1"/>
  <c r="N2143" i="1" s="1"/>
  <c r="O2142" i="1"/>
  <c r="P2142" i="1" s="1"/>
  <c r="N2142" i="1"/>
  <c r="Q2142" i="1" s="1"/>
  <c r="M2142" i="1"/>
  <c r="O2141" i="1"/>
  <c r="M2141" i="1"/>
  <c r="N2141" i="1" s="1"/>
  <c r="O2140" i="1"/>
  <c r="M2140" i="1"/>
  <c r="N2140" i="1" s="1"/>
  <c r="O2139" i="1"/>
  <c r="M2139" i="1"/>
  <c r="N2139" i="1" s="1"/>
  <c r="P2138" i="1"/>
  <c r="O2138" i="1"/>
  <c r="M2138" i="1"/>
  <c r="N2138" i="1" s="1"/>
  <c r="Q2138" i="1" s="1"/>
  <c r="Q2137" i="1"/>
  <c r="P2137" i="1"/>
  <c r="O2137" i="1"/>
  <c r="N2137" i="1"/>
  <c r="M2137" i="1"/>
  <c r="O2136" i="1"/>
  <c r="N2136" i="1"/>
  <c r="M2136" i="1"/>
  <c r="O2135" i="1"/>
  <c r="N2135" i="1"/>
  <c r="M2135" i="1"/>
  <c r="Q2134" i="1"/>
  <c r="P2134" i="1"/>
  <c r="O2134" i="1"/>
  <c r="M2134" i="1"/>
  <c r="N2134" i="1" s="1"/>
  <c r="O2133" i="1"/>
  <c r="N2133" i="1"/>
  <c r="M2133" i="1"/>
  <c r="O2132" i="1"/>
  <c r="M2132" i="1"/>
  <c r="N2132" i="1" s="1"/>
  <c r="P2131" i="1"/>
  <c r="O2131" i="1"/>
  <c r="N2131" i="1"/>
  <c r="Q2131" i="1" s="1"/>
  <c r="M2131" i="1"/>
  <c r="O2130" i="1"/>
  <c r="N2130" i="1"/>
  <c r="M2130" i="1"/>
  <c r="O2129" i="1"/>
  <c r="M2129" i="1"/>
  <c r="N2129" i="1" s="1"/>
  <c r="O2128" i="1"/>
  <c r="M2128" i="1"/>
  <c r="N2128" i="1" s="1"/>
  <c r="O2127" i="1"/>
  <c r="N2127" i="1"/>
  <c r="M2127" i="1"/>
  <c r="Q2126" i="1"/>
  <c r="P2126" i="1"/>
  <c r="O2126" i="1"/>
  <c r="M2126" i="1"/>
  <c r="N2126" i="1" s="1"/>
  <c r="O2125" i="1"/>
  <c r="M2125" i="1"/>
  <c r="N2125" i="1" s="1"/>
  <c r="O2124" i="1"/>
  <c r="M2124" i="1"/>
  <c r="N2124" i="1" s="1"/>
  <c r="Q2123" i="1"/>
  <c r="O2123" i="1"/>
  <c r="M2123" i="1"/>
  <c r="N2123" i="1" s="1"/>
  <c r="P2123" i="1" s="1"/>
  <c r="O2122" i="1"/>
  <c r="M2122" i="1"/>
  <c r="N2122" i="1" s="1"/>
  <c r="Q2121" i="1"/>
  <c r="P2121" i="1"/>
  <c r="O2121" i="1"/>
  <c r="N2121" i="1"/>
  <c r="M2121" i="1"/>
  <c r="O2120" i="1"/>
  <c r="M2120" i="1"/>
  <c r="N2120" i="1" s="1"/>
  <c r="Q2119" i="1"/>
  <c r="O2119" i="1"/>
  <c r="N2119" i="1"/>
  <c r="P2119" i="1" s="1"/>
  <c r="M2119" i="1"/>
  <c r="Q2118" i="1"/>
  <c r="P2118" i="1"/>
  <c r="O2118" i="1"/>
  <c r="M2118" i="1"/>
  <c r="N2118" i="1" s="1"/>
  <c r="O2117" i="1"/>
  <c r="M2117" i="1"/>
  <c r="N2117" i="1" s="1"/>
  <c r="P2116" i="1"/>
  <c r="O2116" i="1"/>
  <c r="N2116" i="1"/>
  <c r="Q2116" i="1" s="1"/>
  <c r="M2116" i="1"/>
  <c r="O2115" i="1"/>
  <c r="N2115" i="1"/>
  <c r="Q2115" i="1" s="1"/>
  <c r="M2115" i="1"/>
  <c r="O2114" i="1"/>
  <c r="N2114" i="1"/>
  <c r="M2114" i="1"/>
  <c r="O2113" i="1"/>
  <c r="N2113" i="1"/>
  <c r="M2113" i="1"/>
  <c r="Q2112" i="1"/>
  <c r="P2112" i="1"/>
  <c r="O2112" i="1"/>
  <c r="M2112" i="1"/>
  <c r="N2112" i="1" s="1"/>
  <c r="O2111" i="1"/>
  <c r="N2111" i="1"/>
  <c r="M2111" i="1"/>
  <c r="Q2110" i="1"/>
  <c r="P2110" i="1"/>
  <c r="O2110" i="1"/>
  <c r="M2110" i="1"/>
  <c r="N2110" i="1" s="1"/>
  <c r="O2109" i="1"/>
  <c r="M2109" i="1"/>
  <c r="N2109" i="1" s="1"/>
  <c r="O2108" i="1"/>
  <c r="M2108" i="1"/>
  <c r="N2108" i="1" s="1"/>
  <c r="O2107" i="1"/>
  <c r="N2107" i="1"/>
  <c r="M2107" i="1"/>
  <c r="Q2106" i="1"/>
  <c r="O2106" i="1"/>
  <c r="M2106" i="1"/>
  <c r="N2106" i="1" s="1"/>
  <c r="P2106" i="1" s="1"/>
  <c r="Q2105" i="1"/>
  <c r="P2105" i="1"/>
  <c r="O2105" i="1"/>
  <c r="N2105" i="1"/>
  <c r="M2105" i="1"/>
  <c r="O2104" i="1"/>
  <c r="N2104" i="1"/>
  <c r="M2104" i="1"/>
  <c r="Q2103" i="1"/>
  <c r="P2103" i="1"/>
  <c r="O2103" i="1"/>
  <c r="N2103" i="1"/>
  <c r="M2103" i="1"/>
  <c r="P2102" i="1"/>
  <c r="O2102" i="1"/>
  <c r="M2102" i="1"/>
  <c r="N2102" i="1" s="1"/>
  <c r="Q2102" i="1" s="1"/>
  <c r="O2101" i="1"/>
  <c r="N2101" i="1"/>
  <c r="M2101" i="1"/>
  <c r="O2100" i="1"/>
  <c r="N2100" i="1"/>
  <c r="M2100" i="1"/>
  <c r="Q2099" i="1"/>
  <c r="P2099" i="1"/>
  <c r="O2099" i="1"/>
  <c r="N2099" i="1"/>
  <c r="M2099" i="1"/>
  <c r="O2098" i="1"/>
  <c r="N2098" i="1"/>
  <c r="M2098" i="1"/>
  <c r="P2097" i="1"/>
  <c r="O2097" i="1"/>
  <c r="N2097" i="1"/>
  <c r="Q2097" i="1" s="1"/>
  <c r="M2097" i="1"/>
  <c r="O2096" i="1"/>
  <c r="M2096" i="1"/>
  <c r="N2096" i="1" s="1"/>
  <c r="O2095" i="1"/>
  <c r="N2095" i="1"/>
  <c r="M2095" i="1"/>
  <c r="P2094" i="1"/>
  <c r="O2094" i="1"/>
  <c r="M2094" i="1"/>
  <c r="N2094" i="1" s="1"/>
  <c r="Q2094" i="1" s="1"/>
  <c r="P2093" i="1"/>
  <c r="O2093" i="1"/>
  <c r="M2093" i="1"/>
  <c r="N2093" i="1" s="1"/>
  <c r="Q2093" i="1" s="1"/>
  <c r="O2092" i="1"/>
  <c r="M2092" i="1"/>
  <c r="N2092" i="1" s="1"/>
  <c r="Q2091" i="1"/>
  <c r="O2091" i="1"/>
  <c r="N2091" i="1"/>
  <c r="P2091" i="1" s="1"/>
  <c r="M2091" i="1"/>
  <c r="O2090" i="1"/>
  <c r="M2090" i="1"/>
  <c r="N2090" i="1" s="1"/>
  <c r="Q2089" i="1"/>
  <c r="P2089" i="1"/>
  <c r="O2089" i="1"/>
  <c r="N2089" i="1"/>
  <c r="M2089" i="1"/>
  <c r="O2088" i="1"/>
  <c r="N2088" i="1"/>
  <c r="M2088" i="1"/>
  <c r="O2087" i="1"/>
  <c r="N2087" i="1"/>
  <c r="M2087" i="1"/>
  <c r="P2086" i="1"/>
  <c r="O2086" i="1"/>
  <c r="M2086" i="1"/>
  <c r="N2086" i="1" s="1"/>
  <c r="Q2086" i="1" s="1"/>
  <c r="P2085" i="1"/>
  <c r="O2085" i="1"/>
  <c r="N2085" i="1"/>
  <c r="Q2085" i="1" s="1"/>
  <c r="M2085" i="1"/>
  <c r="O2084" i="1"/>
  <c r="N2084" i="1"/>
  <c r="M2084" i="1"/>
  <c r="P2083" i="1"/>
  <c r="O2083" i="1"/>
  <c r="N2083" i="1"/>
  <c r="Q2083" i="1" s="1"/>
  <c r="M2083" i="1"/>
  <c r="O2082" i="1"/>
  <c r="M2082" i="1"/>
  <c r="N2082" i="1" s="1"/>
  <c r="O2081" i="1"/>
  <c r="M2081" i="1"/>
  <c r="N2081" i="1" s="1"/>
  <c r="O2080" i="1"/>
  <c r="M2080" i="1"/>
  <c r="N2080" i="1" s="1"/>
  <c r="Q2080" i="1" s="1"/>
  <c r="O2079" i="1"/>
  <c r="N2079" i="1"/>
  <c r="M2079" i="1"/>
  <c r="O2078" i="1"/>
  <c r="M2078" i="1"/>
  <c r="N2078" i="1" s="1"/>
  <c r="O2077" i="1"/>
  <c r="M2077" i="1"/>
  <c r="N2077" i="1" s="1"/>
  <c r="O2076" i="1"/>
  <c r="M2076" i="1"/>
  <c r="N2076" i="1" s="1"/>
  <c r="O2075" i="1"/>
  <c r="N2075" i="1"/>
  <c r="Q2075" i="1" s="1"/>
  <c r="M2075" i="1"/>
  <c r="P2074" i="1"/>
  <c r="O2074" i="1"/>
  <c r="M2074" i="1"/>
  <c r="N2074" i="1" s="1"/>
  <c r="Q2074" i="1" s="1"/>
  <c r="Q2073" i="1"/>
  <c r="P2073" i="1"/>
  <c r="O2073" i="1"/>
  <c r="M2073" i="1"/>
  <c r="N2073" i="1" s="1"/>
  <c r="O2072" i="1"/>
  <c r="M2072" i="1"/>
  <c r="N2072" i="1" s="1"/>
  <c r="Q2071" i="1"/>
  <c r="O2071" i="1"/>
  <c r="M2071" i="1"/>
  <c r="N2071" i="1" s="1"/>
  <c r="P2071" i="1" s="1"/>
  <c r="O2070" i="1"/>
  <c r="M2070" i="1"/>
  <c r="N2070" i="1" s="1"/>
  <c r="Q2070" i="1" s="1"/>
  <c r="O2069" i="1"/>
  <c r="M2069" i="1"/>
  <c r="N2069" i="1" s="1"/>
  <c r="P2068" i="1"/>
  <c r="O2068" i="1"/>
  <c r="N2068" i="1"/>
  <c r="Q2068" i="1" s="1"/>
  <c r="M2068" i="1"/>
  <c r="Q2067" i="1"/>
  <c r="P2067" i="1"/>
  <c r="O2067" i="1"/>
  <c r="N2067" i="1"/>
  <c r="M2067" i="1"/>
  <c r="O2066" i="1"/>
  <c r="M2066" i="1"/>
  <c r="N2066" i="1" s="1"/>
  <c r="O2065" i="1"/>
  <c r="M2065" i="1"/>
  <c r="N2065" i="1" s="1"/>
  <c r="O2064" i="1"/>
  <c r="M2064" i="1"/>
  <c r="N2064" i="1" s="1"/>
  <c r="O2063" i="1"/>
  <c r="M2063" i="1"/>
  <c r="N2063" i="1" s="1"/>
  <c r="Q2062" i="1"/>
  <c r="O2062" i="1"/>
  <c r="P2062" i="1" s="1"/>
  <c r="N2062" i="1"/>
  <c r="M2062" i="1"/>
  <c r="O2061" i="1"/>
  <c r="M2061" i="1"/>
  <c r="N2061" i="1" s="1"/>
  <c r="O2060" i="1"/>
  <c r="M2060" i="1"/>
  <c r="N2060" i="1" s="1"/>
  <c r="P2060" i="1" s="1"/>
  <c r="Q2059" i="1"/>
  <c r="O2059" i="1"/>
  <c r="P2059" i="1" s="1"/>
  <c r="N2059" i="1"/>
  <c r="M2059" i="1"/>
  <c r="O2058" i="1"/>
  <c r="N2058" i="1"/>
  <c r="P2058" i="1" s="1"/>
  <c r="M2058" i="1"/>
  <c r="O2057" i="1"/>
  <c r="M2057" i="1"/>
  <c r="N2057" i="1" s="1"/>
  <c r="P2057" i="1" s="1"/>
  <c r="O2056" i="1"/>
  <c r="M2056" i="1"/>
  <c r="N2056" i="1" s="1"/>
  <c r="Q2055" i="1"/>
  <c r="P2055" i="1"/>
  <c r="O2055" i="1"/>
  <c r="N2055" i="1"/>
  <c r="M2055" i="1"/>
  <c r="O2054" i="1"/>
  <c r="M2054" i="1"/>
  <c r="N2054" i="1" s="1"/>
  <c r="O2053" i="1"/>
  <c r="M2053" i="1"/>
  <c r="N2053" i="1" s="1"/>
  <c r="O2052" i="1"/>
  <c r="N2052" i="1"/>
  <c r="M2052" i="1"/>
  <c r="Q2051" i="1"/>
  <c r="O2051" i="1"/>
  <c r="N2051" i="1"/>
  <c r="P2051" i="1" s="1"/>
  <c r="M2051" i="1"/>
  <c r="O2050" i="1"/>
  <c r="M2050" i="1"/>
  <c r="N2050" i="1" s="1"/>
  <c r="O2049" i="1"/>
  <c r="N2049" i="1"/>
  <c r="M2049" i="1"/>
  <c r="O2048" i="1"/>
  <c r="N2048" i="1"/>
  <c r="M2048" i="1"/>
  <c r="O2047" i="1"/>
  <c r="N2047" i="1"/>
  <c r="M2047" i="1"/>
  <c r="O2046" i="1"/>
  <c r="M2046" i="1"/>
  <c r="N2046" i="1" s="1"/>
  <c r="O2045" i="1"/>
  <c r="M2045" i="1"/>
  <c r="N2045" i="1" s="1"/>
  <c r="Q2044" i="1"/>
  <c r="O2044" i="1"/>
  <c r="M2044" i="1"/>
  <c r="N2044" i="1" s="1"/>
  <c r="P2044" i="1" s="1"/>
  <c r="O2043" i="1"/>
  <c r="N2043" i="1"/>
  <c r="M2043" i="1"/>
  <c r="O2042" i="1"/>
  <c r="M2042" i="1"/>
  <c r="N2042" i="1" s="1"/>
  <c r="Q2041" i="1"/>
  <c r="O2041" i="1"/>
  <c r="M2041" i="1"/>
  <c r="N2041" i="1" s="1"/>
  <c r="P2041" i="1" s="1"/>
  <c r="Q2040" i="1"/>
  <c r="O2040" i="1"/>
  <c r="N2040" i="1"/>
  <c r="P2040" i="1" s="1"/>
  <c r="M2040" i="1"/>
  <c r="O2039" i="1"/>
  <c r="M2039" i="1"/>
  <c r="N2039" i="1" s="1"/>
  <c r="O2038" i="1"/>
  <c r="M2038" i="1"/>
  <c r="N2038" i="1" s="1"/>
  <c r="Q2038" i="1" s="1"/>
  <c r="O2037" i="1"/>
  <c r="N2037" i="1"/>
  <c r="Q2037" i="1" s="1"/>
  <c r="M2037" i="1"/>
  <c r="P2036" i="1"/>
  <c r="O2036" i="1"/>
  <c r="N2036" i="1"/>
  <c r="Q2036" i="1" s="1"/>
  <c r="M2036" i="1"/>
  <c r="O2035" i="1"/>
  <c r="N2035" i="1"/>
  <c r="P2035" i="1" s="1"/>
  <c r="M2035" i="1"/>
  <c r="O2034" i="1"/>
  <c r="N2034" i="1"/>
  <c r="M2034" i="1"/>
  <c r="Q2033" i="1"/>
  <c r="P2033" i="1"/>
  <c r="O2033" i="1"/>
  <c r="M2033" i="1"/>
  <c r="N2033" i="1" s="1"/>
  <c r="O2032" i="1"/>
  <c r="P2032" i="1" s="1"/>
  <c r="N2032" i="1"/>
  <c r="Q2032" i="1" s="1"/>
  <c r="M2032" i="1"/>
  <c r="O2031" i="1"/>
  <c r="M2031" i="1"/>
  <c r="N2031" i="1" s="1"/>
  <c r="O2030" i="1"/>
  <c r="M2030" i="1"/>
  <c r="N2030" i="1" s="1"/>
  <c r="O2029" i="1"/>
  <c r="M2029" i="1"/>
  <c r="N2029" i="1" s="1"/>
  <c r="O2028" i="1"/>
  <c r="M2028" i="1"/>
  <c r="N2028" i="1" s="1"/>
  <c r="O2027" i="1"/>
  <c r="N2027" i="1"/>
  <c r="P2027" i="1" s="1"/>
  <c r="M2027" i="1"/>
  <c r="Q2026" i="1"/>
  <c r="P2026" i="1"/>
  <c r="O2026" i="1"/>
  <c r="N2026" i="1"/>
  <c r="M2026" i="1"/>
  <c r="O2025" i="1"/>
  <c r="M2025" i="1"/>
  <c r="N2025" i="1" s="1"/>
  <c r="O2024" i="1"/>
  <c r="N2024" i="1"/>
  <c r="Q2024" i="1" s="1"/>
  <c r="M2024" i="1"/>
  <c r="O2023" i="1"/>
  <c r="M2023" i="1"/>
  <c r="N2023" i="1" s="1"/>
  <c r="O2022" i="1"/>
  <c r="M2022" i="1"/>
  <c r="N2022" i="1" s="1"/>
  <c r="Q2022" i="1" s="1"/>
  <c r="O2021" i="1"/>
  <c r="M2021" i="1"/>
  <c r="N2021" i="1" s="1"/>
  <c r="Q2020" i="1"/>
  <c r="P2020" i="1"/>
  <c r="O2020" i="1"/>
  <c r="N2020" i="1"/>
  <c r="M2020" i="1"/>
  <c r="Q2019" i="1"/>
  <c r="P2019" i="1"/>
  <c r="O2019" i="1"/>
  <c r="N2019" i="1"/>
  <c r="M2019" i="1"/>
  <c r="O2018" i="1"/>
  <c r="M2018" i="1"/>
  <c r="N2018" i="1" s="1"/>
  <c r="O2017" i="1"/>
  <c r="M2017" i="1"/>
  <c r="N2017" i="1" s="1"/>
  <c r="Q2016" i="1"/>
  <c r="O2016" i="1"/>
  <c r="P2016" i="1" s="1"/>
  <c r="N2016" i="1"/>
  <c r="M2016" i="1"/>
  <c r="O2015" i="1"/>
  <c r="N2015" i="1"/>
  <c r="M2015" i="1"/>
  <c r="Q2014" i="1"/>
  <c r="O2014" i="1"/>
  <c r="N2014" i="1"/>
  <c r="P2014" i="1" s="1"/>
  <c r="M2014" i="1"/>
  <c r="O2013" i="1"/>
  <c r="N2013" i="1"/>
  <c r="M2013" i="1"/>
  <c r="Q2012" i="1"/>
  <c r="O2012" i="1"/>
  <c r="M2012" i="1"/>
  <c r="N2012" i="1" s="1"/>
  <c r="P2012" i="1" s="1"/>
  <c r="O2011" i="1"/>
  <c r="N2011" i="1"/>
  <c r="P2011" i="1" s="1"/>
  <c r="M2011" i="1"/>
  <c r="O2010" i="1"/>
  <c r="M2010" i="1"/>
  <c r="N2010" i="1" s="1"/>
  <c r="O2009" i="1"/>
  <c r="M2009" i="1"/>
  <c r="N2009" i="1" s="1"/>
  <c r="Q2009" i="1" s="1"/>
  <c r="Q2008" i="1"/>
  <c r="P2008" i="1"/>
  <c r="O2008" i="1"/>
  <c r="N2008" i="1"/>
  <c r="M2008" i="1"/>
  <c r="O2007" i="1"/>
  <c r="N2007" i="1"/>
  <c r="M2007" i="1"/>
  <c r="Q2006" i="1"/>
  <c r="P2006" i="1"/>
  <c r="O2006" i="1"/>
  <c r="M2006" i="1"/>
  <c r="N2006" i="1" s="1"/>
  <c r="O2005" i="1"/>
  <c r="M2005" i="1"/>
  <c r="N2005" i="1" s="1"/>
  <c r="Q2004" i="1"/>
  <c r="O2004" i="1"/>
  <c r="N2004" i="1"/>
  <c r="P2004" i="1" s="1"/>
  <c r="M2004" i="1"/>
  <c r="O2003" i="1"/>
  <c r="N2003" i="1"/>
  <c r="Q2003" i="1" s="1"/>
  <c r="M2003" i="1"/>
  <c r="O2002" i="1"/>
  <c r="M2002" i="1"/>
  <c r="N2002" i="1" s="1"/>
  <c r="Q2001" i="1"/>
  <c r="P2001" i="1"/>
  <c r="O2001" i="1"/>
  <c r="N2001" i="1"/>
  <c r="M2001" i="1"/>
  <c r="O2000" i="1"/>
  <c r="N2000" i="1"/>
  <c r="M2000" i="1"/>
  <c r="O1999" i="1"/>
  <c r="N1999" i="1"/>
  <c r="M1999" i="1"/>
  <c r="Q1998" i="1"/>
  <c r="P1998" i="1"/>
  <c r="O1998" i="1"/>
  <c r="M1998" i="1"/>
  <c r="N1998" i="1" s="1"/>
  <c r="Q1997" i="1"/>
  <c r="P1997" i="1"/>
  <c r="O1997" i="1"/>
  <c r="M1997" i="1"/>
  <c r="N1997" i="1" s="1"/>
  <c r="O1996" i="1"/>
  <c r="M1996" i="1"/>
  <c r="N1996" i="1" s="1"/>
  <c r="Q1995" i="1"/>
  <c r="O1995" i="1"/>
  <c r="N1995" i="1"/>
  <c r="P1995" i="1" s="1"/>
  <c r="M1995" i="1"/>
  <c r="O1994" i="1"/>
  <c r="M1994" i="1"/>
  <c r="N1994" i="1" s="1"/>
  <c r="Q1994" i="1" s="1"/>
  <c r="O1993" i="1"/>
  <c r="M1993" i="1"/>
  <c r="N1993" i="1" s="1"/>
  <c r="Q1993" i="1" s="1"/>
  <c r="Q1992" i="1"/>
  <c r="O1992" i="1"/>
  <c r="M1992" i="1"/>
  <c r="N1992" i="1" s="1"/>
  <c r="P1992" i="1" s="1"/>
  <c r="O1991" i="1"/>
  <c r="M1991" i="1"/>
  <c r="N1991" i="1" s="1"/>
  <c r="Q1990" i="1"/>
  <c r="P1990" i="1"/>
  <c r="O1990" i="1"/>
  <c r="M1990" i="1"/>
  <c r="N1990" i="1" s="1"/>
  <c r="O1989" i="1"/>
  <c r="M1989" i="1"/>
  <c r="N1989" i="1" s="1"/>
  <c r="O1988" i="1"/>
  <c r="M1988" i="1"/>
  <c r="N1988" i="1" s="1"/>
  <c r="Q1987" i="1"/>
  <c r="O1987" i="1"/>
  <c r="N1987" i="1"/>
  <c r="P1987" i="1" s="1"/>
  <c r="M1987" i="1"/>
  <c r="O1986" i="1"/>
  <c r="M1986" i="1"/>
  <c r="N1986" i="1" s="1"/>
  <c r="O1985" i="1"/>
  <c r="M1985" i="1"/>
  <c r="N1985" i="1" s="1"/>
  <c r="O1984" i="1"/>
  <c r="M1984" i="1"/>
  <c r="N1984" i="1" s="1"/>
  <c r="O1983" i="1"/>
  <c r="M1983" i="1"/>
  <c r="N1983" i="1" s="1"/>
  <c r="O1982" i="1"/>
  <c r="M1982" i="1"/>
  <c r="N1982" i="1" s="1"/>
  <c r="Q1981" i="1"/>
  <c r="O1981" i="1"/>
  <c r="M1981" i="1"/>
  <c r="N1981" i="1" s="1"/>
  <c r="P1981" i="1" s="1"/>
  <c r="Q1980" i="1"/>
  <c r="O1980" i="1"/>
  <c r="M1980" i="1"/>
  <c r="N1980" i="1" s="1"/>
  <c r="P1980" i="1" s="1"/>
  <c r="Q1979" i="1"/>
  <c r="O1979" i="1"/>
  <c r="P1979" i="1" s="1"/>
  <c r="N1979" i="1"/>
  <c r="M1979" i="1"/>
  <c r="O1978" i="1"/>
  <c r="N1978" i="1"/>
  <c r="M1978" i="1"/>
  <c r="Q1977" i="1"/>
  <c r="O1977" i="1"/>
  <c r="M1977" i="1"/>
  <c r="N1977" i="1" s="1"/>
  <c r="P1977" i="1" s="1"/>
  <c r="O1976" i="1"/>
  <c r="N1976" i="1"/>
  <c r="M1976" i="1"/>
  <c r="O1975" i="1"/>
  <c r="M1975" i="1"/>
  <c r="N1975" i="1" s="1"/>
  <c r="O1974" i="1"/>
  <c r="P1974" i="1" s="1"/>
  <c r="M1974" i="1"/>
  <c r="N1974" i="1" s="1"/>
  <c r="Q1974" i="1" s="1"/>
  <c r="O1973" i="1"/>
  <c r="M1973" i="1"/>
  <c r="N1973" i="1" s="1"/>
  <c r="Q1972" i="1"/>
  <c r="P1972" i="1"/>
  <c r="O1972" i="1"/>
  <c r="N1972" i="1"/>
  <c r="M1972" i="1"/>
  <c r="O1971" i="1"/>
  <c r="N1971" i="1"/>
  <c r="M1971" i="1"/>
  <c r="O1970" i="1"/>
  <c r="M1970" i="1"/>
  <c r="N1970" i="1" s="1"/>
  <c r="P1969" i="1"/>
  <c r="O1969" i="1"/>
  <c r="M1969" i="1"/>
  <c r="N1969" i="1" s="1"/>
  <c r="Q1969" i="1" s="1"/>
  <c r="Q1968" i="1"/>
  <c r="O1968" i="1"/>
  <c r="N1968" i="1"/>
  <c r="P1968" i="1" s="1"/>
  <c r="M1968" i="1"/>
  <c r="O1967" i="1"/>
  <c r="M1967" i="1"/>
  <c r="N1967" i="1" s="1"/>
  <c r="O1966" i="1"/>
  <c r="M1966" i="1"/>
  <c r="N1966" i="1" s="1"/>
  <c r="Q1965" i="1"/>
  <c r="O1965" i="1"/>
  <c r="N1965" i="1"/>
  <c r="P1965" i="1" s="1"/>
  <c r="M1965" i="1"/>
  <c r="O1964" i="1"/>
  <c r="M1964" i="1"/>
  <c r="N1964" i="1" s="1"/>
  <c r="P1964" i="1" s="1"/>
  <c r="O1963" i="1"/>
  <c r="N1963" i="1"/>
  <c r="P1963" i="1" s="1"/>
  <c r="M1963" i="1"/>
  <c r="O1962" i="1"/>
  <c r="M1962" i="1"/>
  <c r="N1962" i="1" s="1"/>
  <c r="Q1961" i="1"/>
  <c r="P1961" i="1"/>
  <c r="O1961" i="1"/>
  <c r="N1961" i="1"/>
  <c r="M1961" i="1"/>
  <c r="O1960" i="1"/>
  <c r="M1960" i="1"/>
  <c r="N1960" i="1" s="1"/>
  <c r="O1959" i="1"/>
  <c r="M1959" i="1"/>
  <c r="N1959" i="1" s="1"/>
  <c r="Q1958" i="1"/>
  <c r="O1958" i="1"/>
  <c r="P1958" i="1" s="1"/>
  <c r="M1958" i="1"/>
  <c r="N1958" i="1" s="1"/>
  <c r="O1957" i="1"/>
  <c r="M1957" i="1"/>
  <c r="N1957" i="1" s="1"/>
  <c r="O1956" i="1"/>
  <c r="M1956" i="1"/>
  <c r="N1956" i="1" s="1"/>
  <c r="O1955" i="1"/>
  <c r="N1955" i="1"/>
  <c r="M1955" i="1"/>
  <c r="O1954" i="1"/>
  <c r="N1954" i="1"/>
  <c r="M1954" i="1"/>
  <c r="Q1953" i="1"/>
  <c r="O1953" i="1"/>
  <c r="N1953" i="1"/>
  <c r="M1953" i="1"/>
  <c r="O1952" i="1"/>
  <c r="M1952" i="1"/>
  <c r="N1952" i="1" s="1"/>
  <c r="O1951" i="1"/>
  <c r="M1951" i="1"/>
  <c r="N1951" i="1" s="1"/>
  <c r="Q1950" i="1"/>
  <c r="O1950" i="1"/>
  <c r="N1950" i="1"/>
  <c r="P1950" i="1" s="1"/>
  <c r="M1950" i="1"/>
  <c r="Q1949" i="1"/>
  <c r="O1949" i="1"/>
  <c r="P1949" i="1" s="1"/>
  <c r="N1949" i="1"/>
  <c r="M1949" i="1"/>
  <c r="Q1948" i="1"/>
  <c r="O1948" i="1"/>
  <c r="M1948" i="1"/>
  <c r="N1948" i="1" s="1"/>
  <c r="P1948" i="1" s="1"/>
  <c r="O1947" i="1"/>
  <c r="N1947" i="1"/>
  <c r="M1947" i="1"/>
  <c r="O1946" i="1"/>
  <c r="M1946" i="1"/>
  <c r="N1946" i="1" s="1"/>
  <c r="Q1946" i="1" s="1"/>
  <c r="Q1945" i="1"/>
  <c r="P1945" i="1"/>
  <c r="O1945" i="1"/>
  <c r="M1945" i="1"/>
  <c r="N1945" i="1" s="1"/>
  <c r="O1944" i="1"/>
  <c r="N1944" i="1"/>
  <c r="M1944" i="1"/>
  <c r="O1943" i="1"/>
  <c r="N1943" i="1"/>
  <c r="P1943" i="1" s="1"/>
  <c r="M1943" i="1"/>
  <c r="Q1942" i="1"/>
  <c r="P1942" i="1"/>
  <c r="O1942" i="1"/>
  <c r="M1942" i="1"/>
  <c r="N1942" i="1" s="1"/>
  <c r="O1941" i="1"/>
  <c r="M1941" i="1"/>
  <c r="N1941" i="1" s="1"/>
  <c r="O1940" i="1"/>
  <c r="N1940" i="1"/>
  <c r="Q1940" i="1" s="1"/>
  <c r="M1940" i="1"/>
  <c r="O1939" i="1"/>
  <c r="N1939" i="1"/>
  <c r="Q1939" i="1" s="1"/>
  <c r="M1939" i="1"/>
  <c r="O1938" i="1"/>
  <c r="M1938" i="1"/>
  <c r="N1938" i="1" s="1"/>
  <c r="Q1937" i="1"/>
  <c r="O1937" i="1"/>
  <c r="N1937" i="1"/>
  <c r="P1937" i="1" s="1"/>
  <c r="M1937" i="1"/>
  <c r="O1936" i="1"/>
  <c r="M1936" i="1"/>
  <c r="N1936" i="1" s="1"/>
  <c r="O1935" i="1"/>
  <c r="M1935" i="1"/>
  <c r="N1935" i="1" s="1"/>
  <c r="O1934" i="1"/>
  <c r="M1934" i="1"/>
  <c r="N1934" i="1" s="1"/>
  <c r="O1933" i="1"/>
  <c r="M1933" i="1"/>
  <c r="N1933" i="1" s="1"/>
  <c r="O1932" i="1"/>
  <c r="M1932" i="1"/>
  <c r="N1932" i="1" s="1"/>
  <c r="O1931" i="1"/>
  <c r="N1931" i="1"/>
  <c r="M1931" i="1"/>
  <c r="O1930" i="1"/>
  <c r="M1930" i="1"/>
  <c r="N1930" i="1" s="1"/>
  <c r="Q1929" i="1"/>
  <c r="P1929" i="1"/>
  <c r="O1929" i="1"/>
  <c r="M1929" i="1"/>
  <c r="N1929" i="1" s="1"/>
  <c r="O1928" i="1"/>
  <c r="M1928" i="1"/>
  <c r="N1928" i="1" s="1"/>
  <c r="O1927" i="1"/>
  <c r="N1927" i="1"/>
  <c r="M1927" i="1"/>
  <c r="Q1926" i="1"/>
  <c r="O1926" i="1"/>
  <c r="P1926" i="1" s="1"/>
  <c r="M1926" i="1"/>
  <c r="N1926" i="1" s="1"/>
  <c r="P1925" i="1"/>
  <c r="O1925" i="1"/>
  <c r="M1925" i="1"/>
  <c r="N1925" i="1" s="1"/>
  <c r="Q1925" i="1" s="1"/>
  <c r="O1924" i="1"/>
  <c r="M1924" i="1"/>
  <c r="N1924" i="1" s="1"/>
  <c r="Q1923" i="1"/>
  <c r="O1923" i="1"/>
  <c r="N1923" i="1"/>
  <c r="P1923" i="1" s="1"/>
  <c r="M1923" i="1"/>
  <c r="O1922" i="1"/>
  <c r="N1922" i="1"/>
  <c r="M1922" i="1"/>
  <c r="O1921" i="1"/>
  <c r="M1921" i="1"/>
  <c r="N1921" i="1" s="1"/>
  <c r="Q1920" i="1"/>
  <c r="O1920" i="1"/>
  <c r="N1920" i="1"/>
  <c r="P1920" i="1" s="1"/>
  <c r="M1920" i="1"/>
  <c r="O1919" i="1"/>
  <c r="M1919" i="1"/>
  <c r="N1919" i="1" s="1"/>
  <c r="Q1918" i="1"/>
  <c r="P1918" i="1"/>
  <c r="O1918" i="1"/>
  <c r="N1918" i="1"/>
  <c r="M1918" i="1"/>
  <c r="Q1917" i="1"/>
  <c r="O1917" i="1"/>
  <c r="M1917" i="1"/>
  <c r="N1917" i="1" s="1"/>
  <c r="P1917" i="1" s="1"/>
  <c r="O1916" i="1"/>
  <c r="M1916" i="1"/>
  <c r="N1916" i="1" s="1"/>
  <c r="O1915" i="1"/>
  <c r="M1915" i="1"/>
  <c r="N1915" i="1" s="1"/>
  <c r="Q1914" i="1"/>
  <c r="O1914" i="1"/>
  <c r="N1914" i="1"/>
  <c r="P1914" i="1" s="1"/>
  <c r="M1914" i="1"/>
  <c r="O1913" i="1"/>
  <c r="M1913" i="1"/>
  <c r="N1913" i="1" s="1"/>
  <c r="O1912" i="1"/>
  <c r="M1912" i="1"/>
  <c r="N1912" i="1" s="1"/>
  <c r="Q1911" i="1"/>
  <c r="P1911" i="1"/>
  <c r="O1911" i="1"/>
  <c r="N1911" i="1"/>
  <c r="M1911" i="1"/>
  <c r="O1910" i="1"/>
  <c r="M1910" i="1"/>
  <c r="N1910" i="1" s="1"/>
  <c r="O1909" i="1"/>
  <c r="N1909" i="1"/>
  <c r="M1909" i="1"/>
  <c r="O1908" i="1"/>
  <c r="M1908" i="1"/>
  <c r="N1908" i="1" s="1"/>
  <c r="O1907" i="1"/>
  <c r="N1907" i="1"/>
  <c r="M1907" i="1"/>
  <c r="O1906" i="1"/>
  <c r="M1906" i="1"/>
  <c r="N1906" i="1" s="1"/>
  <c r="O1905" i="1"/>
  <c r="M1905" i="1"/>
  <c r="N1905" i="1" s="1"/>
  <c r="Q1904" i="1"/>
  <c r="O1904" i="1"/>
  <c r="N1904" i="1"/>
  <c r="P1904" i="1" s="1"/>
  <c r="M1904" i="1"/>
  <c r="O1903" i="1"/>
  <c r="N1903" i="1"/>
  <c r="M1903" i="1"/>
  <c r="Q1902" i="1"/>
  <c r="P1902" i="1"/>
  <c r="O1902" i="1"/>
  <c r="N1902" i="1"/>
  <c r="M1902" i="1"/>
  <c r="O1901" i="1"/>
  <c r="N1901" i="1"/>
  <c r="P1901" i="1" s="1"/>
  <c r="M1901" i="1"/>
  <c r="Q1900" i="1"/>
  <c r="O1900" i="1"/>
  <c r="M1900" i="1"/>
  <c r="N1900" i="1" s="1"/>
  <c r="P1900" i="1" s="1"/>
  <c r="O1899" i="1"/>
  <c r="N1899" i="1"/>
  <c r="M1899" i="1"/>
  <c r="Q1898" i="1"/>
  <c r="O1898" i="1"/>
  <c r="M1898" i="1"/>
  <c r="N1898" i="1" s="1"/>
  <c r="P1898" i="1" s="1"/>
  <c r="O1897" i="1"/>
  <c r="M1897" i="1"/>
  <c r="N1897" i="1" s="1"/>
  <c r="O1896" i="1"/>
  <c r="N1896" i="1"/>
  <c r="P1896" i="1" s="1"/>
  <c r="M1896" i="1"/>
  <c r="O1895" i="1"/>
  <c r="M1895" i="1"/>
  <c r="N1895" i="1" s="1"/>
  <c r="Q1894" i="1"/>
  <c r="O1894" i="1"/>
  <c r="P1894" i="1" s="1"/>
  <c r="M1894" i="1"/>
  <c r="N1894" i="1" s="1"/>
  <c r="O1893" i="1"/>
  <c r="N1893" i="1"/>
  <c r="M1893" i="1"/>
  <c r="O1892" i="1"/>
  <c r="M1892" i="1"/>
  <c r="N1892" i="1" s="1"/>
  <c r="Q1892" i="1" s="1"/>
  <c r="O1891" i="1"/>
  <c r="N1891" i="1"/>
  <c r="Q1891" i="1" s="1"/>
  <c r="M1891" i="1"/>
  <c r="O1890" i="1"/>
  <c r="N1890" i="1"/>
  <c r="M1890" i="1"/>
  <c r="O1889" i="1"/>
  <c r="M1889" i="1"/>
  <c r="N1889" i="1" s="1"/>
  <c r="Q1889" i="1" s="1"/>
  <c r="O1888" i="1"/>
  <c r="M1888" i="1"/>
  <c r="N1888" i="1" s="1"/>
  <c r="O1887" i="1"/>
  <c r="M1887" i="1"/>
  <c r="N1887" i="1" s="1"/>
  <c r="O1886" i="1"/>
  <c r="N1886" i="1"/>
  <c r="M1886" i="1"/>
  <c r="O1885" i="1"/>
  <c r="M1885" i="1"/>
  <c r="N1885" i="1" s="1"/>
  <c r="O1884" i="1"/>
  <c r="M1884" i="1"/>
  <c r="N1884" i="1" s="1"/>
  <c r="O1883" i="1"/>
  <c r="M1883" i="1"/>
  <c r="N1883" i="1" s="1"/>
  <c r="Q1882" i="1"/>
  <c r="P1882" i="1"/>
  <c r="O1882" i="1"/>
  <c r="N1882" i="1"/>
  <c r="M1882" i="1"/>
  <c r="O1881" i="1"/>
  <c r="M1881" i="1"/>
  <c r="N1881" i="1" s="1"/>
  <c r="Q1880" i="1"/>
  <c r="P1880" i="1"/>
  <c r="O1880" i="1"/>
  <c r="N1880" i="1"/>
  <c r="M1880" i="1"/>
  <c r="O1879" i="1"/>
  <c r="N1879" i="1"/>
  <c r="M1879" i="1"/>
  <c r="O1878" i="1"/>
  <c r="M1878" i="1"/>
  <c r="N1878" i="1" s="1"/>
  <c r="Q1878" i="1" s="1"/>
  <c r="O1877" i="1"/>
  <c r="M1877" i="1"/>
  <c r="N1877" i="1" s="1"/>
  <c r="O1876" i="1"/>
  <c r="P1876" i="1" s="1"/>
  <c r="N1876" i="1"/>
  <c r="Q1876" i="1" s="1"/>
  <c r="M1876" i="1"/>
  <c r="Q1875" i="1"/>
  <c r="O1875" i="1"/>
  <c r="P1875" i="1" s="1"/>
  <c r="N1875" i="1"/>
  <c r="M1875" i="1"/>
  <c r="O1874" i="1"/>
  <c r="N1874" i="1"/>
  <c r="M1874" i="1"/>
  <c r="O1873" i="1"/>
  <c r="N1873" i="1"/>
  <c r="M1873" i="1"/>
  <c r="O1872" i="1"/>
  <c r="N1872" i="1"/>
  <c r="Q1872" i="1" s="1"/>
  <c r="M1872" i="1"/>
  <c r="P1871" i="1"/>
  <c r="O1871" i="1"/>
  <c r="N1871" i="1"/>
  <c r="Q1871" i="1" s="1"/>
  <c r="M1871" i="1"/>
  <c r="O1870" i="1"/>
  <c r="M1870" i="1"/>
  <c r="N1870" i="1" s="1"/>
  <c r="O1869" i="1"/>
  <c r="M1869" i="1"/>
  <c r="N1869" i="1" s="1"/>
  <c r="O1868" i="1"/>
  <c r="M1868" i="1"/>
  <c r="N1868" i="1" s="1"/>
  <c r="P1867" i="1"/>
  <c r="O1867" i="1"/>
  <c r="M1867" i="1"/>
  <c r="N1867" i="1" s="1"/>
  <c r="Q1867" i="1" s="1"/>
  <c r="O1866" i="1"/>
  <c r="M1866" i="1"/>
  <c r="N1866" i="1" s="1"/>
  <c r="O1865" i="1"/>
  <c r="N1865" i="1"/>
  <c r="M1865" i="1"/>
  <c r="O1864" i="1"/>
  <c r="N1864" i="1"/>
  <c r="M1864" i="1"/>
  <c r="O1863" i="1"/>
  <c r="M1863" i="1"/>
  <c r="N1863" i="1" s="1"/>
  <c r="Q1862" i="1"/>
  <c r="P1862" i="1"/>
  <c r="O1862" i="1"/>
  <c r="M1862" i="1"/>
  <c r="N1862" i="1" s="1"/>
  <c r="O1861" i="1"/>
  <c r="M1861" i="1"/>
  <c r="N1861" i="1" s="1"/>
  <c r="P1860" i="1"/>
  <c r="O1860" i="1"/>
  <c r="M1860" i="1"/>
  <c r="N1860" i="1" s="1"/>
  <c r="Q1860" i="1" s="1"/>
  <c r="Q1859" i="1"/>
  <c r="O1859" i="1"/>
  <c r="P1859" i="1" s="1"/>
  <c r="N1859" i="1"/>
  <c r="M1859" i="1"/>
  <c r="O1858" i="1"/>
  <c r="M1858" i="1"/>
  <c r="N1858" i="1" s="1"/>
  <c r="P1858" i="1" s="1"/>
  <c r="O1857" i="1"/>
  <c r="N1857" i="1"/>
  <c r="M1857" i="1"/>
  <c r="P1856" i="1"/>
  <c r="O1856" i="1"/>
  <c r="N1856" i="1"/>
  <c r="Q1856" i="1" s="1"/>
  <c r="M1856" i="1"/>
  <c r="O1855" i="1"/>
  <c r="M1855" i="1"/>
  <c r="N1855" i="1" s="1"/>
  <c r="Q1854" i="1"/>
  <c r="O1854" i="1"/>
  <c r="M1854" i="1"/>
  <c r="N1854" i="1" s="1"/>
  <c r="P1854" i="1" s="1"/>
  <c r="Q1853" i="1"/>
  <c r="O1853" i="1"/>
  <c r="N1853" i="1"/>
  <c r="P1853" i="1" s="1"/>
  <c r="M1853" i="1"/>
  <c r="O1852" i="1"/>
  <c r="M1852" i="1"/>
  <c r="N1852" i="1" s="1"/>
  <c r="O1851" i="1"/>
  <c r="M1851" i="1"/>
  <c r="N1851" i="1" s="1"/>
  <c r="O1850" i="1"/>
  <c r="M1850" i="1"/>
  <c r="N1850" i="1" s="1"/>
  <c r="P1850" i="1" s="1"/>
  <c r="O1849" i="1"/>
  <c r="N1849" i="1"/>
  <c r="M1849" i="1"/>
  <c r="P1848" i="1"/>
  <c r="O1848" i="1"/>
  <c r="N1848" i="1"/>
  <c r="Q1848" i="1" s="1"/>
  <c r="M1848" i="1"/>
  <c r="P1847" i="1"/>
  <c r="O1847" i="1"/>
  <c r="N1847" i="1"/>
  <c r="Q1847" i="1" s="1"/>
  <c r="M1847" i="1"/>
  <c r="Q1846" i="1"/>
  <c r="P1846" i="1"/>
  <c r="O1846" i="1"/>
  <c r="M1846" i="1"/>
  <c r="N1846" i="1" s="1"/>
  <c r="P1845" i="1"/>
  <c r="O1845" i="1"/>
  <c r="M1845" i="1"/>
  <c r="N1845" i="1" s="1"/>
  <c r="Q1845" i="1" s="1"/>
  <c r="Q1844" i="1"/>
  <c r="P1844" i="1"/>
  <c r="O1844" i="1"/>
  <c r="N1844" i="1"/>
  <c r="M1844" i="1"/>
  <c r="Q1843" i="1"/>
  <c r="P1843" i="1"/>
  <c r="O1843" i="1"/>
  <c r="N1843" i="1"/>
  <c r="M1843" i="1"/>
  <c r="O1842" i="1"/>
  <c r="N1842" i="1"/>
  <c r="M1842" i="1"/>
  <c r="O1841" i="1"/>
  <c r="M1841" i="1"/>
  <c r="N1841" i="1" s="1"/>
  <c r="Q1840" i="1"/>
  <c r="P1840" i="1"/>
  <c r="O1840" i="1"/>
  <c r="N1840" i="1"/>
  <c r="M1840" i="1"/>
  <c r="P1839" i="1"/>
  <c r="O1839" i="1"/>
  <c r="N1839" i="1"/>
  <c r="Q1839" i="1" s="1"/>
  <c r="M1839" i="1"/>
  <c r="O1838" i="1"/>
  <c r="M1838" i="1"/>
  <c r="N1838" i="1" s="1"/>
  <c r="O1837" i="1"/>
  <c r="M1837" i="1"/>
  <c r="N1837" i="1" s="1"/>
  <c r="O1836" i="1"/>
  <c r="M1836" i="1"/>
  <c r="N1836" i="1" s="1"/>
  <c r="Q1835" i="1"/>
  <c r="P1835" i="1"/>
  <c r="O1835" i="1"/>
  <c r="M1835" i="1"/>
  <c r="N1835" i="1" s="1"/>
  <c r="O1834" i="1"/>
  <c r="N1834" i="1"/>
  <c r="M1834" i="1"/>
  <c r="O1833" i="1"/>
  <c r="N1833" i="1"/>
  <c r="M1833" i="1"/>
  <c r="O1832" i="1"/>
  <c r="N1832" i="1"/>
  <c r="M1832" i="1"/>
  <c r="P1831" i="1"/>
  <c r="O1831" i="1"/>
  <c r="M1831" i="1"/>
  <c r="N1831" i="1" s="1"/>
  <c r="Q1831" i="1" s="1"/>
  <c r="Q1830" i="1"/>
  <c r="O1830" i="1"/>
  <c r="M1830" i="1"/>
  <c r="N1830" i="1" s="1"/>
  <c r="P1830" i="1" s="1"/>
  <c r="O1829" i="1"/>
  <c r="N1829" i="1"/>
  <c r="M1829" i="1"/>
  <c r="P1828" i="1"/>
  <c r="O1828" i="1"/>
  <c r="M1828" i="1"/>
  <c r="N1828" i="1" s="1"/>
  <c r="Q1828" i="1" s="1"/>
  <c r="Q1827" i="1"/>
  <c r="O1827" i="1"/>
  <c r="P1827" i="1" s="1"/>
  <c r="N1827" i="1"/>
  <c r="M1827" i="1"/>
  <c r="Q1826" i="1"/>
  <c r="O1826" i="1"/>
  <c r="N1826" i="1"/>
  <c r="P1826" i="1" s="1"/>
  <c r="M1826" i="1"/>
  <c r="Q1825" i="1"/>
  <c r="P1825" i="1"/>
  <c r="O1825" i="1"/>
  <c r="N1825" i="1"/>
  <c r="M1825" i="1"/>
  <c r="P1824" i="1"/>
  <c r="O1824" i="1"/>
  <c r="N1824" i="1"/>
  <c r="Q1824" i="1" s="1"/>
  <c r="M1824" i="1"/>
  <c r="O1823" i="1"/>
  <c r="N1823" i="1"/>
  <c r="M1823" i="1"/>
  <c r="O1822" i="1"/>
  <c r="M1822" i="1"/>
  <c r="N1822" i="1" s="1"/>
  <c r="O1821" i="1"/>
  <c r="N1821" i="1"/>
  <c r="P1821" i="1" s="1"/>
  <c r="M1821" i="1"/>
  <c r="O1820" i="1"/>
  <c r="M1820" i="1"/>
  <c r="N1820" i="1" s="1"/>
  <c r="P1819" i="1"/>
  <c r="O1819" i="1"/>
  <c r="M1819" i="1"/>
  <c r="N1819" i="1" s="1"/>
  <c r="Q1819" i="1" s="1"/>
  <c r="O1818" i="1"/>
  <c r="M1818" i="1"/>
  <c r="N1818" i="1" s="1"/>
  <c r="O1817" i="1"/>
  <c r="N1817" i="1"/>
  <c r="M1817" i="1"/>
  <c r="P1816" i="1"/>
  <c r="O1816" i="1"/>
  <c r="N1816" i="1"/>
  <c r="Q1816" i="1" s="1"/>
  <c r="M1816" i="1"/>
  <c r="O1815" i="1"/>
  <c r="N1815" i="1"/>
  <c r="M1815" i="1"/>
  <c r="Q1814" i="1"/>
  <c r="P1814" i="1"/>
  <c r="O1814" i="1"/>
  <c r="M1814" i="1"/>
  <c r="N1814" i="1" s="1"/>
  <c r="O1813" i="1"/>
  <c r="M1813" i="1"/>
  <c r="N1813" i="1" s="1"/>
  <c r="Q1812" i="1"/>
  <c r="P1812" i="1"/>
  <c r="O1812" i="1"/>
  <c r="M1812" i="1"/>
  <c r="N1812" i="1" s="1"/>
  <c r="Q1811" i="1"/>
  <c r="O1811" i="1"/>
  <c r="P1811" i="1" s="1"/>
  <c r="N1811" i="1"/>
  <c r="M1811" i="1"/>
  <c r="O1810" i="1"/>
  <c r="N1810" i="1"/>
  <c r="M1810" i="1"/>
  <c r="O1809" i="1"/>
  <c r="M1809" i="1"/>
  <c r="N1809" i="1" s="1"/>
  <c r="Q1808" i="1"/>
  <c r="P1808" i="1"/>
  <c r="O1808" i="1"/>
  <c r="N1808" i="1"/>
  <c r="M1808" i="1"/>
  <c r="P1807" i="1"/>
  <c r="O1807" i="1"/>
  <c r="N1807" i="1"/>
  <c r="Q1807" i="1" s="1"/>
  <c r="M1807" i="1"/>
  <c r="O1806" i="1"/>
  <c r="M1806" i="1"/>
  <c r="N1806" i="1" s="1"/>
  <c r="O1805" i="1"/>
  <c r="M1805" i="1"/>
  <c r="N1805" i="1" s="1"/>
  <c r="O1804" i="1"/>
  <c r="M1804" i="1"/>
  <c r="N1804" i="1" s="1"/>
  <c r="Q1803" i="1"/>
  <c r="P1803" i="1"/>
  <c r="O1803" i="1"/>
  <c r="M1803" i="1"/>
  <c r="N1803" i="1" s="1"/>
  <c r="O1802" i="1"/>
  <c r="M1802" i="1"/>
  <c r="N1802" i="1" s="1"/>
  <c r="Q1801" i="1"/>
  <c r="O1801" i="1"/>
  <c r="N1801" i="1"/>
  <c r="P1801" i="1" s="1"/>
  <c r="M1801" i="1"/>
  <c r="Q1800" i="1"/>
  <c r="P1800" i="1"/>
  <c r="O1800" i="1"/>
  <c r="N1800" i="1"/>
  <c r="M1800" i="1"/>
  <c r="O1799" i="1"/>
  <c r="M1799" i="1"/>
  <c r="N1799" i="1" s="1"/>
  <c r="Q1799" i="1" s="1"/>
  <c r="O1798" i="1"/>
  <c r="M1798" i="1"/>
  <c r="N1798" i="1" s="1"/>
  <c r="Q1798" i="1" s="1"/>
  <c r="O1797" i="1"/>
  <c r="M1797" i="1"/>
  <c r="N1797" i="1" s="1"/>
  <c r="Q1797" i="1" s="1"/>
  <c r="Q1796" i="1"/>
  <c r="P1796" i="1"/>
  <c r="O1796" i="1"/>
  <c r="M1796" i="1"/>
  <c r="N1796" i="1" s="1"/>
  <c r="Q1795" i="1"/>
  <c r="O1795" i="1"/>
  <c r="P1795" i="1" s="1"/>
  <c r="N1795" i="1"/>
  <c r="M1795" i="1"/>
  <c r="O1794" i="1"/>
  <c r="M1794" i="1"/>
  <c r="N1794" i="1" s="1"/>
  <c r="Q1793" i="1"/>
  <c r="P1793" i="1"/>
  <c r="O1793" i="1"/>
  <c r="N1793" i="1"/>
  <c r="M1793" i="1"/>
  <c r="P1792" i="1"/>
  <c r="O1792" i="1"/>
  <c r="N1792" i="1"/>
  <c r="Q1792" i="1" s="1"/>
  <c r="M1792" i="1"/>
  <c r="P1791" i="1"/>
  <c r="O1791" i="1"/>
  <c r="N1791" i="1"/>
  <c r="Q1791" i="1" s="1"/>
  <c r="M1791" i="1"/>
  <c r="O1790" i="1"/>
  <c r="M1790" i="1"/>
  <c r="N1790" i="1" s="1"/>
  <c r="O1789" i="1"/>
  <c r="N1789" i="1"/>
  <c r="M1789" i="1"/>
  <c r="O1788" i="1"/>
  <c r="M1788" i="1"/>
  <c r="N1788" i="1" s="1"/>
  <c r="O1787" i="1"/>
  <c r="N1787" i="1"/>
  <c r="M1787" i="1"/>
  <c r="O1786" i="1"/>
  <c r="N1786" i="1"/>
  <c r="M1786" i="1"/>
  <c r="O1785" i="1"/>
  <c r="N1785" i="1"/>
  <c r="M1785" i="1"/>
  <c r="P1784" i="1"/>
  <c r="O1784" i="1"/>
  <c r="M1784" i="1"/>
  <c r="N1784" i="1" s="1"/>
  <c r="Q1784" i="1" s="1"/>
  <c r="P1783" i="1"/>
  <c r="O1783" i="1"/>
  <c r="M1783" i="1"/>
  <c r="N1783" i="1" s="1"/>
  <c r="Q1783" i="1" s="1"/>
  <c r="Q1782" i="1"/>
  <c r="P1782" i="1"/>
  <c r="O1782" i="1"/>
  <c r="M1782" i="1"/>
  <c r="N1782" i="1" s="1"/>
  <c r="O1781" i="1"/>
  <c r="M1781" i="1"/>
  <c r="N1781" i="1" s="1"/>
  <c r="O1780" i="1"/>
  <c r="N1780" i="1"/>
  <c r="Q1780" i="1" s="1"/>
  <c r="M1780" i="1"/>
  <c r="Q1779" i="1"/>
  <c r="P1779" i="1"/>
  <c r="O1779" i="1"/>
  <c r="N1779" i="1"/>
  <c r="M1779" i="1"/>
  <c r="O1778" i="1"/>
  <c r="N1778" i="1"/>
  <c r="M1778" i="1"/>
  <c r="O1777" i="1"/>
  <c r="M1777" i="1"/>
  <c r="N1777" i="1" s="1"/>
  <c r="Q1776" i="1"/>
  <c r="O1776" i="1"/>
  <c r="N1776" i="1"/>
  <c r="M1776" i="1"/>
  <c r="P1775" i="1"/>
  <c r="O1775" i="1"/>
  <c r="N1775" i="1"/>
  <c r="Q1775" i="1" s="1"/>
  <c r="M1775" i="1"/>
  <c r="O1774" i="1"/>
  <c r="N1774" i="1"/>
  <c r="M1774" i="1"/>
  <c r="Q1773" i="1"/>
  <c r="P1773" i="1"/>
  <c r="O1773" i="1"/>
  <c r="N1773" i="1"/>
  <c r="M1773" i="1"/>
  <c r="O1772" i="1"/>
  <c r="M1772" i="1"/>
  <c r="N1772" i="1" s="1"/>
  <c r="Q1771" i="1"/>
  <c r="P1771" i="1"/>
  <c r="O1771" i="1"/>
  <c r="M1771" i="1"/>
  <c r="N1771" i="1" s="1"/>
  <c r="O1770" i="1"/>
  <c r="M1770" i="1"/>
  <c r="N1770" i="1" s="1"/>
  <c r="O1769" i="1"/>
  <c r="N1769" i="1"/>
  <c r="P1769" i="1" s="1"/>
  <c r="M1769" i="1"/>
  <c r="Q1768" i="1"/>
  <c r="P1768" i="1"/>
  <c r="O1768" i="1"/>
  <c r="N1768" i="1"/>
  <c r="M1768" i="1"/>
  <c r="P1767" i="1"/>
  <c r="O1767" i="1"/>
  <c r="M1767" i="1"/>
  <c r="N1767" i="1" s="1"/>
  <c r="Q1767" i="1" s="1"/>
  <c r="O1766" i="1"/>
  <c r="M1766" i="1"/>
  <c r="N1766" i="1" s="1"/>
  <c r="O1765" i="1"/>
  <c r="N1765" i="1"/>
  <c r="Q1765" i="1" s="1"/>
  <c r="M1765" i="1"/>
  <c r="P1764" i="1"/>
  <c r="O1764" i="1"/>
  <c r="M1764" i="1"/>
  <c r="N1764" i="1" s="1"/>
  <c r="Q1764" i="1" s="1"/>
  <c r="Q1763" i="1"/>
  <c r="O1763" i="1"/>
  <c r="P1763" i="1" s="1"/>
  <c r="N1763" i="1"/>
  <c r="M1763" i="1"/>
  <c r="O1762" i="1"/>
  <c r="M1762" i="1"/>
  <c r="N1762" i="1" s="1"/>
  <c r="Q1761" i="1"/>
  <c r="O1761" i="1"/>
  <c r="N1761" i="1"/>
  <c r="P1761" i="1" s="1"/>
  <c r="M1761" i="1"/>
  <c r="P1760" i="1"/>
  <c r="O1760" i="1"/>
  <c r="N1760" i="1"/>
  <c r="Q1760" i="1" s="1"/>
  <c r="M1760" i="1"/>
  <c r="O1759" i="1"/>
  <c r="M1759" i="1"/>
  <c r="N1759" i="1" s="1"/>
  <c r="O1758" i="1"/>
  <c r="N1758" i="1"/>
  <c r="M1758" i="1"/>
  <c r="Q1757" i="1"/>
  <c r="O1757" i="1"/>
  <c r="N1757" i="1"/>
  <c r="P1757" i="1" s="1"/>
  <c r="M1757" i="1"/>
  <c r="O1756" i="1"/>
  <c r="M1756" i="1"/>
  <c r="N1756" i="1" s="1"/>
  <c r="O1755" i="1"/>
  <c r="M1755" i="1"/>
  <c r="N1755" i="1" s="1"/>
  <c r="O1754" i="1"/>
  <c r="N1754" i="1"/>
  <c r="M1754" i="1"/>
  <c r="O1753" i="1"/>
  <c r="N1753" i="1"/>
  <c r="M1753" i="1"/>
  <c r="P1752" i="1"/>
  <c r="O1752" i="1"/>
  <c r="N1752" i="1"/>
  <c r="Q1752" i="1" s="1"/>
  <c r="M1752" i="1"/>
  <c r="Q1751" i="1"/>
  <c r="P1751" i="1"/>
  <c r="O1751" i="1"/>
  <c r="N1751" i="1"/>
  <c r="M1751" i="1"/>
  <c r="Q1750" i="1"/>
  <c r="P1750" i="1"/>
  <c r="O1750" i="1"/>
  <c r="M1750" i="1"/>
  <c r="N1750" i="1" s="1"/>
  <c r="O1749" i="1"/>
  <c r="M1749" i="1"/>
  <c r="N1749" i="1" s="1"/>
  <c r="Q1749" i="1" s="1"/>
  <c r="Q1748" i="1"/>
  <c r="O1748" i="1"/>
  <c r="N1748" i="1"/>
  <c r="M1748" i="1"/>
  <c r="Q1747" i="1"/>
  <c r="O1747" i="1"/>
  <c r="P1747" i="1" s="1"/>
  <c r="N1747" i="1"/>
  <c r="M1747" i="1"/>
  <c r="O1746" i="1"/>
  <c r="N1746" i="1"/>
  <c r="M1746" i="1"/>
  <c r="P1745" i="1"/>
  <c r="O1745" i="1"/>
  <c r="M1745" i="1"/>
  <c r="N1745" i="1" s="1"/>
  <c r="Q1745" i="1" s="1"/>
  <c r="P1744" i="1"/>
  <c r="O1744" i="1"/>
  <c r="N1744" i="1"/>
  <c r="Q1744" i="1" s="1"/>
  <c r="M1744" i="1"/>
  <c r="P1743" i="1"/>
  <c r="O1743" i="1"/>
  <c r="N1743" i="1"/>
  <c r="Q1743" i="1" s="1"/>
  <c r="M1743" i="1"/>
  <c r="O1742" i="1"/>
  <c r="M1742" i="1"/>
  <c r="N1742" i="1" s="1"/>
  <c r="Q1741" i="1"/>
  <c r="O1741" i="1"/>
  <c r="P1741" i="1" s="1"/>
  <c r="M1741" i="1"/>
  <c r="N1741" i="1" s="1"/>
  <c r="O1740" i="1"/>
  <c r="M1740" i="1"/>
  <c r="N1740" i="1" s="1"/>
  <c r="Q1739" i="1"/>
  <c r="O1739" i="1"/>
  <c r="M1739" i="1"/>
  <c r="N1739" i="1" s="1"/>
  <c r="P1739" i="1" s="1"/>
  <c r="O1738" i="1"/>
  <c r="M1738" i="1"/>
  <c r="N1738" i="1" s="1"/>
  <c r="O1737" i="1"/>
  <c r="N1737" i="1"/>
  <c r="M1737" i="1"/>
  <c r="O1736" i="1"/>
  <c r="N1736" i="1"/>
  <c r="M1736" i="1"/>
  <c r="P1735" i="1"/>
  <c r="O1735" i="1"/>
  <c r="M1735" i="1"/>
  <c r="N1735" i="1" s="1"/>
  <c r="Q1735" i="1" s="1"/>
  <c r="O1734" i="1"/>
  <c r="M1734" i="1"/>
  <c r="N1734" i="1" s="1"/>
  <c r="O1733" i="1"/>
  <c r="M1733" i="1"/>
  <c r="N1733" i="1" s="1"/>
  <c r="Q1732" i="1"/>
  <c r="O1732" i="1"/>
  <c r="M1732" i="1"/>
  <c r="N1732" i="1" s="1"/>
  <c r="P1732" i="1" s="1"/>
  <c r="Q1731" i="1"/>
  <c r="O1731" i="1"/>
  <c r="P1731" i="1" s="1"/>
  <c r="N1731" i="1"/>
  <c r="M1731" i="1"/>
  <c r="O1730" i="1"/>
  <c r="M1730" i="1"/>
  <c r="N1730" i="1" s="1"/>
  <c r="O1729" i="1"/>
  <c r="N1729" i="1"/>
  <c r="M1729" i="1"/>
  <c r="P1728" i="1"/>
  <c r="O1728" i="1"/>
  <c r="N1728" i="1"/>
  <c r="Q1728" i="1" s="1"/>
  <c r="M1728" i="1"/>
  <c r="P1727" i="1"/>
  <c r="O1727" i="1"/>
  <c r="N1727" i="1"/>
  <c r="Q1727" i="1" s="1"/>
  <c r="M1727" i="1"/>
  <c r="O1726" i="1"/>
  <c r="M1726" i="1"/>
  <c r="N1726" i="1" s="1"/>
  <c r="Q1726" i="1" s="1"/>
  <c r="O1725" i="1"/>
  <c r="N1725" i="1"/>
  <c r="P1725" i="1" s="1"/>
  <c r="M1725" i="1"/>
  <c r="O1724" i="1"/>
  <c r="M1724" i="1"/>
  <c r="N1724" i="1" s="1"/>
  <c r="Q1723" i="1"/>
  <c r="P1723" i="1"/>
  <c r="O1723" i="1"/>
  <c r="N1723" i="1"/>
  <c r="M1723" i="1"/>
  <c r="O1722" i="1"/>
  <c r="M1722" i="1"/>
  <c r="N1722" i="1" s="1"/>
  <c r="O1721" i="1"/>
  <c r="N1721" i="1"/>
  <c r="M1721" i="1"/>
  <c r="O1720" i="1"/>
  <c r="M1720" i="1"/>
  <c r="N1720" i="1" s="1"/>
  <c r="Q1719" i="1"/>
  <c r="O1719" i="1"/>
  <c r="M1719" i="1"/>
  <c r="N1719" i="1" s="1"/>
  <c r="P1719" i="1" s="1"/>
  <c r="Q1718" i="1"/>
  <c r="P1718" i="1"/>
  <c r="O1718" i="1"/>
  <c r="M1718" i="1"/>
  <c r="N1718" i="1" s="1"/>
  <c r="O1717" i="1"/>
  <c r="M1717" i="1"/>
  <c r="N1717" i="1" s="1"/>
  <c r="O1716" i="1"/>
  <c r="N1716" i="1"/>
  <c r="Q1716" i="1" s="1"/>
  <c r="M1716" i="1"/>
  <c r="Q1715" i="1"/>
  <c r="P1715" i="1"/>
  <c r="O1715" i="1"/>
  <c r="N1715" i="1"/>
  <c r="M1715" i="1"/>
  <c r="O1714" i="1"/>
  <c r="N1714" i="1"/>
  <c r="M1714" i="1"/>
  <c r="O1713" i="1"/>
  <c r="N1713" i="1"/>
  <c r="M1713" i="1"/>
  <c r="O1712" i="1"/>
  <c r="N1712" i="1"/>
  <c r="Q1712" i="1" s="1"/>
  <c r="M1712" i="1"/>
  <c r="P1711" i="1"/>
  <c r="O1711" i="1"/>
  <c r="N1711" i="1"/>
  <c r="Q1711" i="1" s="1"/>
  <c r="M1711" i="1"/>
  <c r="O1710" i="1"/>
  <c r="M1710" i="1"/>
  <c r="N1710" i="1" s="1"/>
  <c r="P1710" i="1" s="1"/>
  <c r="O1709" i="1"/>
  <c r="M1709" i="1"/>
  <c r="N1709" i="1" s="1"/>
  <c r="O1708" i="1"/>
  <c r="M1708" i="1"/>
  <c r="N1708" i="1" s="1"/>
  <c r="O1707" i="1"/>
  <c r="M1707" i="1"/>
  <c r="N1707" i="1" s="1"/>
  <c r="Q1707" i="1" s="1"/>
  <c r="O1706" i="1"/>
  <c r="N1706" i="1"/>
  <c r="M1706" i="1"/>
  <c r="Q1705" i="1"/>
  <c r="O1705" i="1"/>
  <c r="N1705" i="1"/>
  <c r="P1705" i="1" s="1"/>
  <c r="M1705" i="1"/>
  <c r="O1704" i="1"/>
  <c r="N1704" i="1"/>
  <c r="Q1704" i="1" s="1"/>
  <c r="M1704" i="1"/>
  <c r="O1703" i="1"/>
  <c r="M1703" i="1"/>
  <c r="N1703" i="1" s="1"/>
  <c r="Q1703" i="1" s="1"/>
  <c r="Q1702" i="1"/>
  <c r="P1702" i="1"/>
  <c r="O1702" i="1"/>
  <c r="M1702" i="1"/>
  <c r="N1702" i="1" s="1"/>
  <c r="O1701" i="1"/>
  <c r="N1701" i="1"/>
  <c r="M1701" i="1"/>
  <c r="O1700" i="1"/>
  <c r="M1700" i="1"/>
  <c r="N1700" i="1" s="1"/>
  <c r="Q1699" i="1"/>
  <c r="O1699" i="1"/>
  <c r="P1699" i="1" s="1"/>
  <c r="N1699" i="1"/>
  <c r="M1699" i="1"/>
  <c r="O1698" i="1"/>
  <c r="N1698" i="1"/>
  <c r="M1698" i="1"/>
  <c r="Q1697" i="1"/>
  <c r="P1697" i="1"/>
  <c r="O1697" i="1"/>
  <c r="N1697" i="1"/>
  <c r="M1697" i="1"/>
  <c r="P1696" i="1"/>
  <c r="O1696" i="1"/>
  <c r="N1696" i="1"/>
  <c r="Q1696" i="1" s="1"/>
  <c r="M1696" i="1"/>
  <c r="O1695" i="1"/>
  <c r="M1695" i="1"/>
  <c r="N1695" i="1" s="1"/>
  <c r="O1694" i="1"/>
  <c r="M1694" i="1"/>
  <c r="N1694" i="1" s="1"/>
  <c r="Q1693" i="1"/>
  <c r="O1693" i="1"/>
  <c r="N1693" i="1"/>
  <c r="P1693" i="1" s="1"/>
  <c r="M1693" i="1"/>
  <c r="O1692" i="1"/>
  <c r="M1692" i="1"/>
  <c r="N1692" i="1" s="1"/>
  <c r="O1691" i="1"/>
  <c r="M1691" i="1"/>
  <c r="N1691" i="1" s="1"/>
  <c r="O1690" i="1"/>
  <c r="M1690" i="1"/>
  <c r="N1690" i="1" s="1"/>
  <c r="O1689" i="1"/>
  <c r="N1689" i="1"/>
  <c r="M1689" i="1"/>
  <c r="O1688" i="1"/>
  <c r="M1688" i="1"/>
  <c r="N1688" i="1" s="1"/>
  <c r="O1687" i="1"/>
  <c r="M1687" i="1"/>
  <c r="N1687" i="1" s="1"/>
  <c r="Q1686" i="1"/>
  <c r="P1686" i="1"/>
  <c r="O1686" i="1"/>
  <c r="M1686" i="1"/>
  <c r="N1686" i="1" s="1"/>
  <c r="P1685" i="1"/>
  <c r="O1685" i="1"/>
  <c r="M1685" i="1"/>
  <c r="N1685" i="1" s="1"/>
  <c r="Q1685" i="1" s="1"/>
  <c r="Q1684" i="1"/>
  <c r="O1684" i="1"/>
  <c r="P1684" i="1" s="1"/>
  <c r="N1684" i="1"/>
  <c r="M1684" i="1"/>
  <c r="Q1683" i="1"/>
  <c r="O1683" i="1"/>
  <c r="P1683" i="1" s="1"/>
  <c r="N1683" i="1"/>
  <c r="M1683" i="1"/>
  <c r="O1682" i="1"/>
  <c r="N1682" i="1"/>
  <c r="M1682" i="1"/>
  <c r="O1681" i="1"/>
  <c r="M1681" i="1"/>
  <c r="N1681" i="1" s="1"/>
  <c r="Q1681" i="1" s="1"/>
  <c r="Q1680" i="1"/>
  <c r="O1680" i="1"/>
  <c r="P1680" i="1" s="1"/>
  <c r="N1680" i="1"/>
  <c r="M1680" i="1"/>
  <c r="P1679" i="1"/>
  <c r="O1679" i="1"/>
  <c r="N1679" i="1"/>
  <c r="Q1679" i="1" s="1"/>
  <c r="M1679" i="1"/>
  <c r="O1678" i="1"/>
  <c r="M1678" i="1"/>
  <c r="N1678" i="1" s="1"/>
  <c r="Q1677" i="1"/>
  <c r="O1677" i="1"/>
  <c r="M1677" i="1"/>
  <c r="N1677" i="1" s="1"/>
  <c r="O1676" i="1"/>
  <c r="M1676" i="1"/>
  <c r="N1676" i="1" s="1"/>
  <c r="O1675" i="1"/>
  <c r="M1675" i="1"/>
  <c r="N1675" i="1" s="1"/>
  <c r="O1674" i="1"/>
  <c r="M1674" i="1"/>
  <c r="N1674" i="1" s="1"/>
  <c r="O1673" i="1"/>
  <c r="N1673" i="1"/>
  <c r="P1673" i="1" s="1"/>
  <c r="M1673" i="1"/>
  <c r="O1672" i="1"/>
  <c r="N1672" i="1"/>
  <c r="M1672" i="1"/>
  <c r="O1671" i="1"/>
  <c r="M1671" i="1"/>
  <c r="N1671" i="1" s="1"/>
  <c r="Q1671" i="1" s="1"/>
  <c r="Q1670" i="1"/>
  <c r="P1670" i="1"/>
  <c r="O1670" i="1"/>
  <c r="M1670" i="1"/>
  <c r="N1670" i="1" s="1"/>
  <c r="O1669" i="1"/>
  <c r="N1669" i="1"/>
  <c r="M1669" i="1"/>
  <c r="O1668" i="1"/>
  <c r="M1668" i="1"/>
  <c r="N1668" i="1" s="1"/>
  <c r="Q1667" i="1"/>
  <c r="O1667" i="1"/>
  <c r="P1667" i="1" s="1"/>
  <c r="N1667" i="1"/>
  <c r="M1667" i="1"/>
  <c r="Q1666" i="1"/>
  <c r="O1666" i="1"/>
  <c r="M1666" i="1"/>
  <c r="N1666" i="1" s="1"/>
  <c r="Q1665" i="1"/>
  <c r="O1665" i="1"/>
  <c r="P1665" i="1" s="1"/>
  <c r="N1665" i="1"/>
  <c r="M1665" i="1"/>
  <c r="P1664" i="1"/>
  <c r="O1664" i="1"/>
  <c r="N1664" i="1"/>
  <c r="Q1664" i="1" s="1"/>
  <c r="M1664" i="1"/>
  <c r="O1663" i="1"/>
  <c r="M1663" i="1"/>
  <c r="N1663" i="1" s="1"/>
  <c r="O1662" i="1"/>
  <c r="N1662" i="1"/>
  <c r="M1662" i="1"/>
  <c r="Q1661" i="1"/>
  <c r="O1661" i="1"/>
  <c r="N1661" i="1"/>
  <c r="P1661" i="1" s="1"/>
  <c r="M1661" i="1"/>
  <c r="O1660" i="1"/>
  <c r="M1660" i="1"/>
  <c r="N1660" i="1" s="1"/>
  <c r="O1659" i="1"/>
  <c r="M1659" i="1"/>
  <c r="N1659" i="1" s="1"/>
  <c r="O1658" i="1"/>
  <c r="M1658" i="1"/>
  <c r="N1658" i="1" s="1"/>
  <c r="O1657" i="1"/>
  <c r="N1657" i="1"/>
  <c r="M1657" i="1"/>
  <c r="P1656" i="1"/>
  <c r="O1656" i="1"/>
  <c r="N1656" i="1"/>
  <c r="Q1656" i="1" s="1"/>
  <c r="M1656" i="1"/>
  <c r="O1655" i="1"/>
  <c r="N1655" i="1"/>
  <c r="M1655" i="1"/>
  <c r="Q1654" i="1"/>
  <c r="P1654" i="1"/>
  <c r="O1654" i="1"/>
  <c r="M1654" i="1"/>
  <c r="N1654" i="1" s="1"/>
  <c r="P1653" i="1"/>
  <c r="O1653" i="1"/>
  <c r="M1653" i="1"/>
  <c r="N1653" i="1" s="1"/>
  <c r="Q1653" i="1" s="1"/>
  <c r="Q1652" i="1"/>
  <c r="O1652" i="1"/>
  <c r="P1652" i="1" s="1"/>
  <c r="M1652" i="1"/>
  <c r="N1652" i="1" s="1"/>
  <c r="Q1651" i="1"/>
  <c r="O1651" i="1"/>
  <c r="P1651" i="1" s="1"/>
  <c r="N1651" i="1"/>
  <c r="M1651" i="1"/>
  <c r="O1650" i="1"/>
  <c r="N1650" i="1"/>
  <c r="M1650" i="1"/>
  <c r="O1649" i="1"/>
  <c r="N1649" i="1"/>
  <c r="M1649" i="1"/>
  <c r="Q1648" i="1"/>
  <c r="P1648" i="1"/>
  <c r="O1648" i="1"/>
  <c r="N1648" i="1"/>
  <c r="M1648" i="1"/>
  <c r="P1647" i="1"/>
  <c r="O1647" i="1"/>
  <c r="N1647" i="1"/>
  <c r="Q1647" i="1" s="1"/>
  <c r="M1647" i="1"/>
  <c r="O1646" i="1"/>
  <c r="M1646" i="1"/>
  <c r="N1646" i="1" s="1"/>
  <c r="O1645" i="1"/>
  <c r="M1645" i="1"/>
  <c r="N1645" i="1" s="1"/>
  <c r="O1644" i="1"/>
  <c r="M1644" i="1"/>
  <c r="N1644" i="1" s="1"/>
  <c r="O1643" i="1"/>
  <c r="M1643" i="1"/>
  <c r="N1643" i="1" s="1"/>
  <c r="O1642" i="1"/>
  <c r="M1642" i="1"/>
  <c r="N1642" i="1" s="1"/>
  <c r="Q1641" i="1"/>
  <c r="O1641" i="1"/>
  <c r="N1641" i="1"/>
  <c r="P1641" i="1" s="1"/>
  <c r="M1641" i="1"/>
  <c r="Q1640" i="1"/>
  <c r="O1640" i="1"/>
  <c r="P1640" i="1" s="1"/>
  <c r="N1640" i="1"/>
  <c r="M1640" i="1"/>
  <c r="O1639" i="1"/>
  <c r="M1639" i="1"/>
  <c r="N1639" i="1" s="1"/>
  <c r="Q1638" i="1"/>
  <c r="O1638" i="1"/>
  <c r="M1638" i="1"/>
  <c r="N1638" i="1" s="1"/>
  <c r="P1638" i="1" s="1"/>
  <c r="O1637" i="1"/>
  <c r="M1637" i="1"/>
  <c r="N1637" i="1" s="1"/>
  <c r="Q1636" i="1"/>
  <c r="P1636" i="1"/>
  <c r="O1636" i="1"/>
  <c r="M1636" i="1"/>
  <c r="N1636" i="1" s="1"/>
  <c r="Q1635" i="1"/>
  <c r="O1635" i="1"/>
  <c r="P1635" i="1" s="1"/>
  <c r="N1635" i="1"/>
  <c r="M1635" i="1"/>
  <c r="O1634" i="1"/>
  <c r="N1634" i="1"/>
  <c r="M1634" i="1"/>
  <c r="O1633" i="1"/>
  <c r="N1633" i="1"/>
  <c r="M1633" i="1"/>
  <c r="P1632" i="1"/>
  <c r="O1632" i="1"/>
  <c r="N1632" i="1"/>
  <c r="Q1632" i="1" s="1"/>
  <c r="M1632" i="1"/>
  <c r="O1631" i="1"/>
  <c r="M1631" i="1"/>
  <c r="N1631" i="1" s="1"/>
  <c r="O1630" i="1"/>
  <c r="N1630" i="1"/>
  <c r="M1630" i="1"/>
  <c r="O1629" i="1"/>
  <c r="N1629" i="1"/>
  <c r="M1629" i="1"/>
  <c r="O1628" i="1"/>
  <c r="M1628" i="1"/>
  <c r="N1628" i="1" s="1"/>
  <c r="O1627" i="1"/>
  <c r="M1627" i="1"/>
  <c r="N1627" i="1" s="1"/>
  <c r="P1626" i="1"/>
  <c r="O1626" i="1"/>
  <c r="N1626" i="1"/>
  <c r="Q1626" i="1" s="1"/>
  <c r="M1626" i="1"/>
  <c r="O1625" i="1"/>
  <c r="N1625" i="1"/>
  <c r="M1625" i="1"/>
  <c r="P1624" i="1"/>
  <c r="O1624" i="1"/>
  <c r="M1624" i="1"/>
  <c r="N1624" i="1" s="1"/>
  <c r="Q1624" i="1" s="1"/>
  <c r="O1623" i="1"/>
  <c r="N1623" i="1"/>
  <c r="M1623" i="1"/>
  <c r="Q1622" i="1"/>
  <c r="P1622" i="1"/>
  <c r="O1622" i="1"/>
  <c r="M1622" i="1"/>
  <c r="N1622" i="1" s="1"/>
  <c r="O1621" i="1"/>
  <c r="M1621" i="1"/>
  <c r="N1621" i="1" s="1"/>
  <c r="Q1620" i="1"/>
  <c r="P1620" i="1"/>
  <c r="O1620" i="1"/>
  <c r="N1620" i="1"/>
  <c r="M1620" i="1"/>
  <c r="Q1619" i="1"/>
  <c r="O1619" i="1"/>
  <c r="P1619" i="1" s="1"/>
  <c r="N1619" i="1"/>
  <c r="M1619" i="1"/>
  <c r="O1618" i="1"/>
  <c r="N1618" i="1"/>
  <c r="M1618" i="1"/>
  <c r="O1617" i="1"/>
  <c r="N1617" i="1"/>
  <c r="M1617" i="1"/>
  <c r="Q1616" i="1"/>
  <c r="O1616" i="1"/>
  <c r="N1616" i="1"/>
  <c r="P1616" i="1" s="1"/>
  <c r="M1616" i="1"/>
  <c r="P1615" i="1"/>
  <c r="O1615" i="1"/>
  <c r="N1615" i="1"/>
  <c r="Q1615" i="1" s="1"/>
  <c r="M1615" i="1"/>
  <c r="Q1614" i="1"/>
  <c r="O1614" i="1"/>
  <c r="N1614" i="1"/>
  <c r="P1614" i="1" s="1"/>
  <c r="M1614" i="1"/>
  <c r="Q1613" i="1"/>
  <c r="O1613" i="1"/>
  <c r="N1613" i="1"/>
  <c r="P1613" i="1" s="1"/>
  <c r="M1613" i="1"/>
  <c r="O1612" i="1"/>
  <c r="M1612" i="1"/>
  <c r="N1612" i="1" s="1"/>
  <c r="Q1611" i="1"/>
  <c r="P1611" i="1"/>
  <c r="O1611" i="1"/>
  <c r="M1611" i="1"/>
  <c r="N1611" i="1" s="1"/>
  <c r="O1610" i="1"/>
  <c r="N1610" i="1"/>
  <c r="M1610" i="1"/>
  <c r="O1609" i="1"/>
  <c r="N1609" i="1"/>
  <c r="M1609" i="1"/>
  <c r="Q1608" i="1"/>
  <c r="P1608" i="1"/>
  <c r="O1608" i="1"/>
  <c r="N1608" i="1"/>
  <c r="M1608" i="1"/>
  <c r="O1607" i="1"/>
  <c r="M1607" i="1"/>
  <c r="N1607" i="1" s="1"/>
  <c r="P1606" i="1"/>
  <c r="O1606" i="1"/>
  <c r="M1606" i="1"/>
  <c r="N1606" i="1" s="1"/>
  <c r="Q1606" i="1" s="1"/>
  <c r="O1605" i="1"/>
  <c r="M1605" i="1"/>
  <c r="N1605" i="1" s="1"/>
  <c r="Q1605" i="1" s="1"/>
  <c r="Q1604" i="1"/>
  <c r="P1604" i="1"/>
  <c r="O1604" i="1"/>
  <c r="M1604" i="1"/>
  <c r="N1604" i="1" s="1"/>
  <c r="Q1603" i="1"/>
  <c r="O1603" i="1"/>
  <c r="P1603" i="1" s="1"/>
  <c r="N1603" i="1"/>
  <c r="M1603" i="1"/>
  <c r="O1602" i="1"/>
  <c r="N1602" i="1"/>
  <c r="M1602" i="1"/>
  <c r="O1601" i="1"/>
  <c r="N1601" i="1"/>
  <c r="M1601" i="1"/>
  <c r="P1600" i="1"/>
  <c r="O1600" i="1"/>
  <c r="N1600" i="1"/>
  <c r="Q1600" i="1" s="1"/>
  <c r="M1600" i="1"/>
  <c r="O1599" i="1"/>
  <c r="N1599" i="1"/>
  <c r="M1599" i="1"/>
  <c r="Q1598" i="1"/>
  <c r="P1598" i="1"/>
  <c r="O1598" i="1"/>
  <c r="N1598" i="1"/>
  <c r="M1598" i="1"/>
  <c r="O1597" i="1"/>
  <c r="N1597" i="1"/>
  <c r="P1597" i="1" s="1"/>
  <c r="M1597" i="1"/>
  <c r="O1596" i="1"/>
  <c r="M1596" i="1"/>
  <c r="N1596" i="1" s="1"/>
  <c r="O1595" i="1"/>
  <c r="N1595" i="1"/>
  <c r="M1595" i="1"/>
  <c r="Q1594" i="1"/>
  <c r="O1594" i="1"/>
  <c r="N1594" i="1"/>
  <c r="P1594" i="1" s="1"/>
  <c r="M1594" i="1"/>
  <c r="O1593" i="1"/>
  <c r="N1593" i="1"/>
  <c r="M1593" i="1"/>
  <c r="P1592" i="1"/>
  <c r="O1592" i="1"/>
  <c r="N1592" i="1"/>
  <c r="Q1592" i="1" s="1"/>
  <c r="M1592" i="1"/>
  <c r="O1591" i="1"/>
  <c r="M1591" i="1"/>
  <c r="N1591" i="1" s="1"/>
  <c r="Q1590" i="1"/>
  <c r="P1590" i="1"/>
  <c r="O1590" i="1"/>
  <c r="M1590" i="1"/>
  <c r="N1590" i="1" s="1"/>
  <c r="P1589" i="1"/>
  <c r="O1589" i="1"/>
  <c r="M1589" i="1"/>
  <c r="N1589" i="1" s="1"/>
  <c r="Q1589" i="1" s="1"/>
  <c r="O1588" i="1"/>
  <c r="M1588" i="1"/>
  <c r="N1588" i="1" s="1"/>
  <c r="Q1587" i="1"/>
  <c r="P1587" i="1"/>
  <c r="O1587" i="1"/>
  <c r="N1587" i="1"/>
  <c r="M1587" i="1"/>
  <c r="O1586" i="1"/>
  <c r="N1586" i="1"/>
  <c r="M1586" i="1"/>
  <c r="P1585" i="1"/>
  <c r="O1585" i="1"/>
  <c r="N1585" i="1"/>
  <c r="Q1585" i="1" s="1"/>
  <c r="M1585" i="1"/>
  <c r="O1584" i="1"/>
  <c r="N1584" i="1"/>
  <c r="Q1584" i="1" s="1"/>
  <c r="M1584" i="1"/>
  <c r="P1583" i="1"/>
  <c r="O1583" i="1"/>
  <c r="N1583" i="1"/>
  <c r="Q1583" i="1" s="1"/>
  <c r="M1583" i="1"/>
  <c r="Q1582" i="1"/>
  <c r="O1582" i="1"/>
  <c r="M1582" i="1"/>
  <c r="N1582" i="1" s="1"/>
  <c r="P1582" i="1" s="1"/>
  <c r="Q1581" i="1"/>
  <c r="O1581" i="1"/>
  <c r="P1581" i="1" s="1"/>
  <c r="M1581" i="1"/>
  <c r="N1581" i="1" s="1"/>
  <c r="O1580" i="1"/>
  <c r="M1580" i="1"/>
  <c r="N1580" i="1" s="1"/>
  <c r="O1579" i="1"/>
  <c r="M1579" i="1"/>
  <c r="N1579" i="1" s="1"/>
  <c r="O1578" i="1"/>
  <c r="M1578" i="1"/>
  <c r="N1578" i="1" s="1"/>
  <c r="O1577" i="1"/>
  <c r="N1577" i="1"/>
  <c r="M1577" i="1"/>
  <c r="Q1576" i="1"/>
  <c r="O1576" i="1"/>
  <c r="N1576" i="1"/>
  <c r="P1576" i="1" s="1"/>
  <c r="M1576" i="1"/>
  <c r="P1575" i="1"/>
  <c r="O1575" i="1"/>
  <c r="M1575" i="1"/>
  <c r="N1575" i="1" s="1"/>
  <c r="Q1575" i="1" s="1"/>
  <c r="O1574" i="1"/>
  <c r="M1574" i="1"/>
  <c r="N1574" i="1" s="1"/>
  <c r="Q1574" i="1" s="1"/>
  <c r="O1573" i="1"/>
  <c r="M1573" i="1"/>
  <c r="N1573" i="1" s="1"/>
  <c r="Q1572" i="1"/>
  <c r="O1572" i="1"/>
  <c r="M1572" i="1"/>
  <c r="N1572" i="1" s="1"/>
  <c r="P1572" i="1" s="1"/>
  <c r="Q1571" i="1"/>
  <c r="O1571" i="1"/>
  <c r="P1571" i="1" s="1"/>
  <c r="N1571" i="1"/>
  <c r="M1571" i="1"/>
  <c r="O1570" i="1"/>
  <c r="M1570" i="1"/>
  <c r="N1570" i="1" s="1"/>
  <c r="P1570" i="1" s="1"/>
  <c r="P1569" i="1"/>
  <c r="O1569" i="1"/>
  <c r="N1569" i="1"/>
  <c r="Q1569" i="1" s="1"/>
  <c r="M1569" i="1"/>
  <c r="P1568" i="1"/>
  <c r="O1568" i="1"/>
  <c r="N1568" i="1"/>
  <c r="Q1568" i="1" s="1"/>
  <c r="M1568" i="1"/>
  <c r="O1567" i="1"/>
  <c r="M1567" i="1"/>
  <c r="N1567" i="1" s="1"/>
  <c r="Q1567" i="1" s="1"/>
  <c r="Q1566" i="1"/>
  <c r="P1566" i="1"/>
  <c r="O1566" i="1"/>
  <c r="M1566" i="1"/>
  <c r="N1566" i="1" s="1"/>
  <c r="O1565" i="1"/>
  <c r="N1565" i="1"/>
  <c r="P1565" i="1" s="1"/>
  <c r="M1565" i="1"/>
  <c r="O1564" i="1"/>
  <c r="M1564" i="1"/>
  <c r="N1564" i="1" s="1"/>
  <c r="O1563" i="1"/>
  <c r="M1563" i="1"/>
  <c r="N1563" i="1" s="1"/>
  <c r="Q1563" i="1" s="1"/>
  <c r="P1562" i="1"/>
  <c r="O1562" i="1"/>
  <c r="M1562" i="1"/>
  <c r="N1562" i="1" s="1"/>
  <c r="Q1562" i="1" s="1"/>
  <c r="O1561" i="1"/>
  <c r="N1561" i="1"/>
  <c r="M1561" i="1"/>
  <c r="O1560" i="1"/>
  <c r="M1560" i="1"/>
  <c r="N1560" i="1" s="1"/>
  <c r="O1559" i="1"/>
  <c r="M1559" i="1"/>
  <c r="N1559" i="1" s="1"/>
  <c r="Q1558" i="1"/>
  <c r="P1558" i="1"/>
  <c r="O1558" i="1"/>
  <c r="M1558" i="1"/>
  <c r="N1558" i="1" s="1"/>
  <c r="O1557" i="1"/>
  <c r="M1557" i="1"/>
  <c r="N1557" i="1" s="1"/>
  <c r="O1556" i="1"/>
  <c r="M1556" i="1"/>
  <c r="N1556" i="1" s="1"/>
  <c r="Q1555" i="1"/>
  <c r="O1555" i="1"/>
  <c r="P1555" i="1" s="1"/>
  <c r="N1555" i="1"/>
  <c r="M1555" i="1"/>
  <c r="O1554" i="1"/>
  <c r="N1554" i="1"/>
  <c r="M1554" i="1"/>
  <c r="P1553" i="1"/>
  <c r="O1553" i="1"/>
  <c r="N1553" i="1"/>
  <c r="Q1553" i="1" s="1"/>
  <c r="M1553" i="1"/>
  <c r="O1552" i="1"/>
  <c r="N1552" i="1"/>
  <c r="M1552" i="1"/>
  <c r="P1551" i="1"/>
  <c r="O1551" i="1"/>
  <c r="N1551" i="1"/>
  <c r="Q1551" i="1" s="1"/>
  <c r="M1551" i="1"/>
  <c r="O1550" i="1"/>
  <c r="M1550" i="1"/>
  <c r="N1550" i="1" s="1"/>
  <c r="Q1549" i="1"/>
  <c r="P1549" i="1"/>
  <c r="O1549" i="1"/>
  <c r="N1549" i="1"/>
  <c r="M1549" i="1"/>
  <c r="O1548" i="1"/>
  <c r="M1548" i="1"/>
  <c r="N1548" i="1" s="1"/>
  <c r="Q1547" i="1"/>
  <c r="O1547" i="1"/>
  <c r="M1547" i="1"/>
  <c r="N1547" i="1" s="1"/>
  <c r="P1547" i="1" s="1"/>
  <c r="O1546" i="1"/>
  <c r="N1546" i="1"/>
  <c r="M1546" i="1"/>
  <c r="O1545" i="1"/>
  <c r="N1545" i="1"/>
  <c r="M1545" i="1"/>
  <c r="O1544" i="1"/>
  <c r="N1544" i="1"/>
  <c r="Q1544" i="1" s="1"/>
  <c r="M1544" i="1"/>
  <c r="P1543" i="1"/>
  <c r="O1543" i="1"/>
  <c r="M1543" i="1"/>
  <c r="N1543" i="1" s="1"/>
  <c r="Q1543" i="1" s="1"/>
  <c r="Q1542" i="1"/>
  <c r="P1542" i="1"/>
  <c r="O1542" i="1"/>
  <c r="M1542" i="1"/>
  <c r="N1542" i="1" s="1"/>
  <c r="P1541" i="1"/>
  <c r="O1541" i="1"/>
  <c r="M1541" i="1"/>
  <c r="N1541" i="1" s="1"/>
  <c r="Q1541" i="1" s="1"/>
  <c r="O1540" i="1"/>
  <c r="M1540" i="1"/>
  <c r="N1540" i="1" s="1"/>
  <c r="Q1540" i="1" s="1"/>
  <c r="Q1539" i="1"/>
  <c r="O1539" i="1"/>
  <c r="P1539" i="1" s="1"/>
  <c r="N1539" i="1"/>
  <c r="M1539" i="1"/>
  <c r="Q1538" i="1"/>
  <c r="O1538" i="1"/>
  <c r="N1538" i="1"/>
  <c r="M1538" i="1"/>
  <c r="O1537" i="1"/>
  <c r="N1537" i="1"/>
  <c r="Q1537" i="1" s="1"/>
  <c r="M1537" i="1"/>
  <c r="P1536" i="1"/>
  <c r="O1536" i="1"/>
  <c r="N1536" i="1"/>
  <c r="Q1536" i="1" s="1"/>
  <c r="M1536" i="1"/>
  <c r="P1535" i="1"/>
  <c r="O1535" i="1"/>
  <c r="N1535" i="1"/>
  <c r="Q1535" i="1" s="1"/>
  <c r="M1535" i="1"/>
  <c r="Q1534" i="1"/>
  <c r="P1534" i="1"/>
  <c r="O1534" i="1"/>
  <c r="M1534" i="1"/>
  <c r="N1534" i="1" s="1"/>
  <c r="Q1533" i="1"/>
  <c r="O1533" i="1"/>
  <c r="N1533" i="1"/>
  <c r="P1533" i="1" s="1"/>
  <c r="M1533" i="1"/>
  <c r="O1532" i="1"/>
  <c r="M1532" i="1"/>
  <c r="N1532" i="1" s="1"/>
  <c r="O1531" i="1"/>
  <c r="N1531" i="1"/>
  <c r="Q1531" i="1" s="1"/>
  <c r="M1531" i="1"/>
  <c r="P1530" i="1"/>
  <c r="O1530" i="1"/>
  <c r="M1530" i="1"/>
  <c r="N1530" i="1" s="1"/>
  <c r="Q1530" i="1" s="1"/>
  <c r="O1529" i="1"/>
  <c r="N1529" i="1"/>
  <c r="M1529" i="1"/>
  <c r="O1528" i="1"/>
  <c r="M1528" i="1"/>
  <c r="N1528" i="1" s="1"/>
  <c r="Q1527" i="1"/>
  <c r="O1527" i="1"/>
  <c r="M1527" i="1"/>
  <c r="N1527" i="1" s="1"/>
  <c r="P1527" i="1" s="1"/>
  <c r="Q1526" i="1"/>
  <c r="P1526" i="1"/>
  <c r="O1526" i="1"/>
  <c r="M1526" i="1"/>
  <c r="N1526" i="1" s="1"/>
  <c r="P1525" i="1"/>
  <c r="O1525" i="1"/>
  <c r="M1525" i="1"/>
  <c r="N1525" i="1" s="1"/>
  <c r="Q1525" i="1" s="1"/>
  <c r="O1524" i="1"/>
  <c r="N1524" i="1"/>
  <c r="M1524" i="1"/>
  <c r="Q1523" i="1"/>
  <c r="O1523" i="1"/>
  <c r="P1523" i="1" s="1"/>
  <c r="N1523" i="1"/>
  <c r="M1523" i="1"/>
  <c r="O1522" i="1"/>
  <c r="N1522" i="1"/>
  <c r="M1522" i="1"/>
  <c r="P1521" i="1"/>
  <c r="O1521" i="1"/>
  <c r="M1521" i="1"/>
  <c r="N1521" i="1" s="1"/>
  <c r="Q1521" i="1" s="1"/>
  <c r="O1520" i="1"/>
  <c r="N1520" i="1"/>
  <c r="M1520" i="1"/>
  <c r="P1519" i="1"/>
  <c r="O1519" i="1"/>
  <c r="N1519" i="1"/>
  <c r="Q1519" i="1" s="1"/>
  <c r="M1519" i="1"/>
  <c r="O1518" i="1"/>
  <c r="N1518" i="1"/>
  <c r="M1518" i="1"/>
  <c r="Q1517" i="1"/>
  <c r="O1517" i="1"/>
  <c r="M1517" i="1"/>
  <c r="N1517" i="1" s="1"/>
  <c r="P1517" i="1" s="1"/>
  <c r="O1516" i="1"/>
  <c r="M1516" i="1"/>
  <c r="N1516" i="1" s="1"/>
  <c r="P1515" i="1"/>
  <c r="O1515" i="1"/>
  <c r="M1515" i="1"/>
  <c r="N1515" i="1" s="1"/>
  <c r="Q1515" i="1" s="1"/>
  <c r="O1514" i="1"/>
  <c r="M1514" i="1"/>
  <c r="N1514" i="1" s="1"/>
  <c r="O1513" i="1"/>
  <c r="N1513" i="1"/>
  <c r="M1513" i="1"/>
  <c r="O1512" i="1"/>
  <c r="N1512" i="1"/>
  <c r="M1512" i="1"/>
  <c r="O1511" i="1"/>
  <c r="M1511" i="1"/>
  <c r="N1511" i="1" s="1"/>
  <c r="Q1510" i="1"/>
  <c r="P1510" i="1"/>
  <c r="O1510" i="1"/>
  <c r="M1510" i="1"/>
  <c r="N1510" i="1" s="1"/>
  <c r="O1509" i="1"/>
  <c r="N1509" i="1"/>
  <c r="Q1509" i="1" s="1"/>
  <c r="M1509" i="1"/>
  <c r="O1508" i="1"/>
  <c r="M1508" i="1"/>
  <c r="N1508" i="1" s="1"/>
  <c r="Q1507" i="1"/>
  <c r="O1507" i="1"/>
  <c r="P1507" i="1" s="1"/>
  <c r="N1507" i="1"/>
  <c r="M1507" i="1"/>
  <c r="O1506" i="1"/>
  <c r="M1506" i="1"/>
  <c r="N1506" i="1" s="1"/>
  <c r="Q1505" i="1"/>
  <c r="P1505" i="1"/>
  <c r="O1505" i="1"/>
  <c r="N1505" i="1"/>
  <c r="M1505" i="1"/>
  <c r="P1504" i="1"/>
  <c r="O1504" i="1"/>
  <c r="N1504" i="1"/>
  <c r="Q1504" i="1" s="1"/>
  <c r="M1504" i="1"/>
  <c r="O1503" i="1"/>
  <c r="M1503" i="1"/>
  <c r="N1503" i="1" s="1"/>
  <c r="O1502" i="1"/>
  <c r="M1502" i="1"/>
  <c r="N1502" i="1" s="1"/>
  <c r="Q1501" i="1"/>
  <c r="O1501" i="1"/>
  <c r="N1501" i="1"/>
  <c r="P1501" i="1" s="1"/>
  <c r="M1501" i="1"/>
  <c r="O1500" i="1"/>
  <c r="M1500" i="1"/>
  <c r="N1500" i="1" s="1"/>
  <c r="O1499" i="1"/>
  <c r="M1499" i="1"/>
  <c r="N1499" i="1" s="1"/>
  <c r="O1498" i="1"/>
  <c r="M1498" i="1"/>
  <c r="N1498" i="1" s="1"/>
  <c r="O1497" i="1"/>
  <c r="N1497" i="1"/>
  <c r="M1497" i="1"/>
  <c r="O1496" i="1"/>
  <c r="M1496" i="1"/>
  <c r="N1496" i="1" s="1"/>
  <c r="O1495" i="1"/>
  <c r="M1495" i="1"/>
  <c r="N1495" i="1" s="1"/>
  <c r="Q1495" i="1" s="1"/>
  <c r="Q1494" i="1"/>
  <c r="P1494" i="1"/>
  <c r="O1494" i="1"/>
  <c r="M1494" i="1"/>
  <c r="N1494" i="1" s="1"/>
  <c r="P1493" i="1"/>
  <c r="O1493" i="1"/>
  <c r="M1493" i="1"/>
  <c r="N1493" i="1" s="1"/>
  <c r="Q1493" i="1" s="1"/>
  <c r="O1492" i="1"/>
  <c r="N1492" i="1"/>
  <c r="M1492" i="1"/>
  <c r="Q1491" i="1"/>
  <c r="O1491" i="1"/>
  <c r="P1491" i="1" s="1"/>
  <c r="N1491" i="1"/>
  <c r="M1491" i="1"/>
  <c r="O1490" i="1"/>
  <c r="N1490" i="1"/>
  <c r="M1490" i="1"/>
  <c r="P1489" i="1"/>
  <c r="O1489" i="1"/>
  <c r="N1489" i="1"/>
  <c r="Q1489" i="1" s="1"/>
  <c r="M1489" i="1"/>
  <c r="Q1488" i="1"/>
  <c r="O1488" i="1"/>
  <c r="P1488" i="1" s="1"/>
  <c r="N1488" i="1"/>
  <c r="M1488" i="1"/>
  <c r="P1487" i="1"/>
  <c r="O1487" i="1"/>
  <c r="N1487" i="1"/>
  <c r="Q1487" i="1" s="1"/>
  <c r="M1487" i="1"/>
  <c r="O1486" i="1"/>
  <c r="N1486" i="1"/>
  <c r="M1486" i="1"/>
  <c r="O1485" i="1"/>
  <c r="M1485" i="1"/>
  <c r="N1485" i="1" s="1"/>
  <c r="O1484" i="1"/>
  <c r="M1484" i="1"/>
  <c r="N1484" i="1" s="1"/>
  <c r="Q1483" i="1"/>
  <c r="P1483" i="1"/>
  <c r="O1483" i="1"/>
  <c r="M1483" i="1"/>
  <c r="N1483" i="1" s="1"/>
  <c r="O1482" i="1"/>
  <c r="N1482" i="1"/>
  <c r="M1482" i="1"/>
  <c r="Q1481" i="1"/>
  <c r="O1481" i="1"/>
  <c r="N1481" i="1"/>
  <c r="P1481" i="1" s="1"/>
  <c r="M1481" i="1"/>
  <c r="O1480" i="1"/>
  <c r="N1480" i="1"/>
  <c r="M1480" i="1"/>
  <c r="O1479" i="1"/>
  <c r="M1479" i="1"/>
  <c r="N1479" i="1" s="1"/>
  <c r="Q1478" i="1"/>
  <c r="O1478" i="1"/>
  <c r="M1478" i="1"/>
  <c r="N1478" i="1" s="1"/>
  <c r="P1478" i="1" s="1"/>
  <c r="O1477" i="1"/>
  <c r="M1477" i="1"/>
  <c r="N1477" i="1" s="1"/>
  <c r="Q1477" i="1" s="1"/>
  <c r="O1476" i="1"/>
  <c r="M1476" i="1"/>
  <c r="N1476" i="1" s="1"/>
  <c r="Q1475" i="1"/>
  <c r="O1475" i="1"/>
  <c r="P1475" i="1" s="1"/>
  <c r="N1475" i="1"/>
  <c r="M1475" i="1"/>
  <c r="O1474" i="1"/>
  <c r="M1474" i="1"/>
  <c r="N1474" i="1" s="1"/>
  <c r="Q1473" i="1"/>
  <c r="P1473" i="1"/>
  <c r="O1473" i="1"/>
  <c r="N1473" i="1"/>
  <c r="M1473" i="1"/>
  <c r="P1472" i="1"/>
  <c r="O1472" i="1"/>
  <c r="N1472" i="1"/>
  <c r="Q1472" i="1" s="1"/>
  <c r="M1472" i="1"/>
  <c r="P1471" i="1"/>
  <c r="O1471" i="1"/>
  <c r="N1471" i="1"/>
  <c r="Q1471" i="1" s="1"/>
  <c r="M1471" i="1"/>
  <c r="O1470" i="1"/>
  <c r="N1470" i="1"/>
  <c r="M1470" i="1"/>
  <c r="O1469" i="1"/>
  <c r="N1469" i="1"/>
  <c r="P1469" i="1" s="1"/>
  <c r="M1469" i="1"/>
  <c r="O1468" i="1"/>
  <c r="M1468" i="1"/>
  <c r="N1468" i="1" s="1"/>
  <c r="O1467" i="1"/>
  <c r="N1467" i="1"/>
  <c r="M1467" i="1"/>
  <c r="O1466" i="1"/>
  <c r="P1466" i="1" s="1"/>
  <c r="N1466" i="1"/>
  <c r="Q1466" i="1" s="1"/>
  <c r="M1466" i="1"/>
  <c r="O1465" i="1"/>
  <c r="N1465" i="1"/>
  <c r="M1465" i="1"/>
  <c r="O1464" i="1"/>
  <c r="N1464" i="1"/>
  <c r="M1464" i="1"/>
  <c r="Q1463" i="1"/>
  <c r="P1463" i="1"/>
  <c r="O1463" i="1"/>
  <c r="N1463" i="1"/>
  <c r="M1463" i="1"/>
  <c r="Q1462" i="1"/>
  <c r="P1462" i="1"/>
  <c r="O1462" i="1"/>
  <c r="M1462" i="1"/>
  <c r="N1462" i="1" s="1"/>
  <c r="O1461" i="1"/>
  <c r="M1461" i="1"/>
  <c r="N1461" i="1" s="1"/>
  <c r="Q1461" i="1" s="1"/>
  <c r="O1460" i="1"/>
  <c r="P1460" i="1" s="1"/>
  <c r="M1460" i="1"/>
  <c r="N1460" i="1" s="1"/>
  <c r="Q1460" i="1" s="1"/>
  <c r="Q1459" i="1"/>
  <c r="O1459" i="1"/>
  <c r="P1459" i="1" s="1"/>
  <c r="N1459" i="1"/>
  <c r="M1459" i="1"/>
  <c r="O1458" i="1"/>
  <c r="N1458" i="1"/>
  <c r="M1458" i="1"/>
  <c r="O1457" i="1"/>
  <c r="M1457" i="1"/>
  <c r="N1457" i="1" s="1"/>
  <c r="O1456" i="1"/>
  <c r="N1456" i="1"/>
  <c r="Q1456" i="1" s="1"/>
  <c r="M1456" i="1"/>
  <c r="P1455" i="1"/>
  <c r="O1455" i="1"/>
  <c r="N1455" i="1"/>
  <c r="Q1455" i="1" s="1"/>
  <c r="M1455" i="1"/>
  <c r="Q1454" i="1"/>
  <c r="O1454" i="1"/>
  <c r="N1454" i="1"/>
  <c r="P1454" i="1" s="1"/>
  <c r="M1454" i="1"/>
  <c r="O1453" i="1"/>
  <c r="M1453" i="1"/>
  <c r="N1453" i="1" s="1"/>
  <c r="O1452" i="1"/>
  <c r="M1452" i="1"/>
  <c r="N1452" i="1" s="1"/>
  <c r="Q1451" i="1"/>
  <c r="P1451" i="1"/>
  <c r="O1451" i="1"/>
  <c r="M1451" i="1"/>
  <c r="N1451" i="1" s="1"/>
  <c r="O1450" i="1"/>
  <c r="M1450" i="1"/>
  <c r="N1450" i="1" s="1"/>
  <c r="Q1449" i="1"/>
  <c r="O1449" i="1"/>
  <c r="N1449" i="1"/>
  <c r="P1449" i="1" s="1"/>
  <c r="M1449" i="1"/>
  <c r="Q1448" i="1"/>
  <c r="P1448" i="1"/>
  <c r="O1448" i="1"/>
  <c r="N1448" i="1"/>
  <c r="M1448" i="1"/>
  <c r="O1447" i="1"/>
  <c r="M1447" i="1"/>
  <c r="N1447" i="1" s="1"/>
  <c r="Q1447" i="1" s="1"/>
  <c r="O1446" i="1"/>
  <c r="M1446" i="1"/>
  <c r="N1446" i="1" s="1"/>
  <c r="P1445" i="1"/>
  <c r="O1445" i="1"/>
  <c r="N1445" i="1"/>
  <c r="Q1445" i="1" s="1"/>
  <c r="M1445" i="1"/>
  <c r="Q1444" i="1"/>
  <c r="P1444" i="1"/>
  <c r="O1444" i="1"/>
  <c r="M1444" i="1"/>
  <c r="N1444" i="1" s="1"/>
  <c r="Q1443" i="1"/>
  <c r="O1443" i="1"/>
  <c r="P1443" i="1" s="1"/>
  <c r="N1443" i="1"/>
  <c r="M1443" i="1"/>
  <c r="O1442" i="1"/>
  <c r="M1442" i="1"/>
  <c r="N1442" i="1" s="1"/>
  <c r="Q1441" i="1"/>
  <c r="O1441" i="1"/>
  <c r="N1441" i="1"/>
  <c r="P1441" i="1" s="1"/>
  <c r="M1441" i="1"/>
  <c r="P1440" i="1"/>
  <c r="O1440" i="1"/>
  <c r="N1440" i="1"/>
  <c r="Q1440" i="1" s="1"/>
  <c r="M1440" i="1"/>
  <c r="P1439" i="1"/>
  <c r="O1439" i="1"/>
  <c r="M1439" i="1"/>
  <c r="N1439" i="1" s="1"/>
  <c r="Q1439" i="1" s="1"/>
  <c r="O1438" i="1"/>
  <c r="N1438" i="1"/>
  <c r="M1438" i="1"/>
  <c r="O1437" i="1"/>
  <c r="N1437" i="1"/>
  <c r="P1437" i="1" s="1"/>
  <c r="M1437" i="1"/>
  <c r="O1436" i="1"/>
  <c r="M1436" i="1"/>
  <c r="N1436" i="1" s="1"/>
  <c r="O1435" i="1"/>
  <c r="M1435" i="1"/>
  <c r="N1435" i="1" s="1"/>
  <c r="P1435" i="1" s="1"/>
  <c r="Q1434" i="1"/>
  <c r="P1434" i="1"/>
  <c r="O1434" i="1"/>
  <c r="N1434" i="1"/>
  <c r="M1434" i="1"/>
  <c r="O1433" i="1"/>
  <c r="N1433" i="1"/>
  <c r="M1433" i="1"/>
  <c r="O1432" i="1"/>
  <c r="M1432" i="1"/>
  <c r="N1432" i="1" s="1"/>
  <c r="Q1432" i="1" s="1"/>
  <c r="Q1431" i="1"/>
  <c r="O1431" i="1"/>
  <c r="N1431" i="1"/>
  <c r="M1431" i="1"/>
  <c r="Q1430" i="1"/>
  <c r="P1430" i="1"/>
  <c r="O1430" i="1"/>
  <c r="M1430" i="1"/>
  <c r="N1430" i="1" s="1"/>
  <c r="O1429" i="1"/>
  <c r="M1429" i="1"/>
  <c r="N1429" i="1" s="1"/>
  <c r="Q1429" i="1" s="1"/>
  <c r="O1428" i="1"/>
  <c r="N1428" i="1"/>
  <c r="M1428" i="1"/>
  <c r="Q1427" i="1"/>
  <c r="P1427" i="1"/>
  <c r="O1427" i="1"/>
  <c r="N1427" i="1"/>
  <c r="M1427" i="1"/>
  <c r="O1426" i="1"/>
  <c r="N1426" i="1"/>
  <c r="M1426" i="1"/>
  <c r="O1425" i="1"/>
  <c r="M1425" i="1"/>
  <c r="N1425" i="1" s="1"/>
  <c r="O1424" i="1"/>
  <c r="N1424" i="1"/>
  <c r="P1424" i="1" s="1"/>
  <c r="M1424" i="1"/>
  <c r="P1423" i="1"/>
  <c r="O1423" i="1"/>
  <c r="N1423" i="1"/>
  <c r="Q1423" i="1" s="1"/>
  <c r="M1423" i="1"/>
  <c r="O1422" i="1"/>
  <c r="M1422" i="1"/>
  <c r="N1422" i="1" s="1"/>
  <c r="O1421" i="1"/>
  <c r="N1421" i="1"/>
  <c r="M1421" i="1"/>
  <c r="O1420" i="1"/>
  <c r="M1420" i="1"/>
  <c r="N1420" i="1" s="1"/>
  <c r="O1419" i="1"/>
  <c r="M1419" i="1"/>
  <c r="N1419" i="1" s="1"/>
  <c r="P1419" i="1" s="1"/>
  <c r="O1418" i="1"/>
  <c r="M1418" i="1"/>
  <c r="N1418" i="1" s="1"/>
  <c r="O1417" i="1"/>
  <c r="N1417" i="1"/>
  <c r="P1417" i="1" s="1"/>
  <c r="M1417" i="1"/>
  <c r="Q1416" i="1"/>
  <c r="P1416" i="1"/>
  <c r="O1416" i="1"/>
  <c r="N1416" i="1"/>
  <c r="M1416" i="1"/>
  <c r="P1415" i="1"/>
  <c r="O1415" i="1"/>
  <c r="M1415" i="1"/>
  <c r="N1415" i="1" s="1"/>
  <c r="Q1415" i="1" s="1"/>
  <c r="O1414" i="1"/>
  <c r="M1414" i="1"/>
  <c r="N1414" i="1" s="1"/>
  <c r="O1413" i="1"/>
  <c r="M1413" i="1"/>
  <c r="N1413" i="1" s="1"/>
  <c r="O1412" i="1"/>
  <c r="M1412" i="1"/>
  <c r="N1412" i="1" s="1"/>
  <c r="Q1411" i="1"/>
  <c r="O1411" i="1"/>
  <c r="P1411" i="1" s="1"/>
  <c r="N1411" i="1"/>
  <c r="M1411" i="1"/>
  <c r="O1410" i="1"/>
  <c r="M1410" i="1"/>
  <c r="N1410" i="1" s="1"/>
  <c r="O1409" i="1"/>
  <c r="N1409" i="1"/>
  <c r="Q1409" i="1" s="1"/>
  <c r="M1409" i="1"/>
  <c r="P1408" i="1"/>
  <c r="O1408" i="1"/>
  <c r="N1408" i="1"/>
  <c r="Q1408" i="1" s="1"/>
  <c r="M1408" i="1"/>
  <c r="O1407" i="1"/>
  <c r="M1407" i="1"/>
  <c r="N1407" i="1" s="1"/>
  <c r="O1406" i="1"/>
  <c r="M1406" i="1"/>
  <c r="N1406" i="1" s="1"/>
  <c r="Q1406" i="1" s="1"/>
  <c r="O1405" i="1"/>
  <c r="N1405" i="1"/>
  <c r="M1405" i="1"/>
  <c r="O1404" i="1"/>
  <c r="M1404" i="1"/>
  <c r="N1404" i="1" s="1"/>
  <c r="Q1403" i="1"/>
  <c r="P1403" i="1"/>
  <c r="O1403" i="1"/>
  <c r="N1403" i="1"/>
  <c r="M1403" i="1"/>
  <c r="O1402" i="1"/>
  <c r="M1402" i="1"/>
  <c r="N1402" i="1" s="1"/>
  <c r="O1401" i="1"/>
  <c r="N1401" i="1"/>
  <c r="M1401" i="1"/>
  <c r="O1400" i="1"/>
  <c r="M1400" i="1"/>
  <c r="N1400" i="1" s="1"/>
  <c r="O1399" i="1"/>
  <c r="N1399" i="1"/>
  <c r="Q1399" i="1" s="1"/>
  <c r="M1399" i="1"/>
  <c r="Q1398" i="1"/>
  <c r="P1398" i="1"/>
  <c r="O1398" i="1"/>
  <c r="M1398" i="1"/>
  <c r="N1398" i="1" s="1"/>
  <c r="O1397" i="1"/>
  <c r="M1397" i="1"/>
  <c r="N1397" i="1" s="1"/>
  <c r="O1396" i="1"/>
  <c r="M1396" i="1"/>
  <c r="N1396" i="1" s="1"/>
  <c r="Q1395" i="1"/>
  <c r="O1395" i="1"/>
  <c r="P1395" i="1" s="1"/>
  <c r="N1395" i="1"/>
  <c r="M1395" i="1"/>
  <c r="O1394" i="1"/>
  <c r="N1394" i="1"/>
  <c r="M1394" i="1"/>
  <c r="O1393" i="1"/>
  <c r="N1393" i="1"/>
  <c r="M1393" i="1"/>
  <c r="O1392" i="1"/>
  <c r="N1392" i="1"/>
  <c r="Q1392" i="1" s="1"/>
  <c r="M1392" i="1"/>
  <c r="P1391" i="1"/>
  <c r="O1391" i="1"/>
  <c r="N1391" i="1"/>
  <c r="Q1391" i="1" s="1"/>
  <c r="M1391" i="1"/>
  <c r="Q1390" i="1"/>
  <c r="O1390" i="1"/>
  <c r="N1390" i="1"/>
  <c r="P1390" i="1" s="1"/>
  <c r="M1390" i="1"/>
  <c r="O1389" i="1"/>
  <c r="M1389" i="1"/>
  <c r="N1389" i="1" s="1"/>
  <c r="O1388" i="1"/>
  <c r="M1388" i="1"/>
  <c r="N1388" i="1" s="1"/>
  <c r="Q1387" i="1"/>
  <c r="P1387" i="1"/>
  <c r="O1387" i="1"/>
  <c r="M1387" i="1"/>
  <c r="N1387" i="1" s="1"/>
  <c r="O1386" i="1"/>
  <c r="N1386" i="1"/>
  <c r="M1386" i="1"/>
  <c r="O1385" i="1"/>
  <c r="N1385" i="1"/>
  <c r="P1385" i="1" s="1"/>
  <c r="M1385" i="1"/>
  <c r="O1384" i="1"/>
  <c r="N1384" i="1"/>
  <c r="M1384" i="1"/>
  <c r="O1383" i="1"/>
  <c r="M1383" i="1"/>
  <c r="N1383" i="1" s="1"/>
  <c r="Q1382" i="1"/>
  <c r="P1382" i="1"/>
  <c r="O1382" i="1"/>
  <c r="M1382" i="1"/>
  <c r="N1382" i="1" s="1"/>
  <c r="O1381" i="1"/>
  <c r="M1381" i="1"/>
  <c r="N1381" i="1" s="1"/>
  <c r="Q1380" i="1"/>
  <c r="O1380" i="1"/>
  <c r="M1380" i="1"/>
  <c r="N1380" i="1" s="1"/>
  <c r="P1380" i="1" s="1"/>
  <c r="Q1379" i="1"/>
  <c r="O1379" i="1"/>
  <c r="P1379" i="1" s="1"/>
  <c r="N1379" i="1"/>
  <c r="M1379" i="1"/>
  <c r="Q1378" i="1"/>
  <c r="O1378" i="1"/>
  <c r="N1378" i="1"/>
  <c r="M1378" i="1"/>
  <c r="O1377" i="1"/>
  <c r="N1377" i="1"/>
  <c r="M1377" i="1"/>
  <c r="P1376" i="1"/>
  <c r="O1376" i="1"/>
  <c r="N1376" i="1"/>
  <c r="Q1376" i="1" s="1"/>
  <c r="M1376" i="1"/>
  <c r="O1375" i="1"/>
  <c r="N1375" i="1"/>
  <c r="M1375" i="1"/>
  <c r="Q1374" i="1"/>
  <c r="P1374" i="1"/>
  <c r="O1374" i="1"/>
  <c r="N1374" i="1"/>
  <c r="M1374" i="1"/>
  <c r="O1373" i="1"/>
  <c r="N1373" i="1"/>
  <c r="P1373" i="1" s="1"/>
  <c r="M1373" i="1"/>
  <c r="O1372" i="1"/>
  <c r="M1372" i="1"/>
  <c r="N1372" i="1" s="1"/>
  <c r="O1371" i="1"/>
  <c r="M1371" i="1"/>
  <c r="N1371" i="1" s="1"/>
  <c r="Q1370" i="1"/>
  <c r="P1370" i="1"/>
  <c r="O1370" i="1"/>
  <c r="N1370" i="1"/>
  <c r="M1370" i="1"/>
  <c r="O1369" i="1"/>
  <c r="N1369" i="1"/>
  <c r="M1369" i="1"/>
  <c r="O1368" i="1"/>
  <c r="N1368" i="1"/>
  <c r="M1368" i="1"/>
  <c r="O1367" i="1"/>
  <c r="M1367" i="1"/>
  <c r="N1367" i="1" s="1"/>
  <c r="Q1366" i="1"/>
  <c r="P1366" i="1"/>
  <c r="O1366" i="1"/>
  <c r="M1366" i="1"/>
  <c r="N1366" i="1" s="1"/>
  <c r="P1365" i="1"/>
  <c r="O1365" i="1"/>
  <c r="M1365" i="1"/>
  <c r="N1365" i="1" s="1"/>
  <c r="Q1365" i="1" s="1"/>
  <c r="P1364" i="1"/>
  <c r="O1364" i="1"/>
  <c r="M1364" i="1"/>
  <c r="N1364" i="1" s="1"/>
  <c r="Q1364" i="1" s="1"/>
  <c r="O1363" i="1"/>
  <c r="M1363" i="1"/>
  <c r="N1363" i="1" s="1"/>
  <c r="Q1362" i="1"/>
  <c r="O1362" i="1"/>
  <c r="M1362" i="1"/>
  <c r="N1362" i="1" s="1"/>
  <c r="P1362" i="1" s="1"/>
  <c r="O1361" i="1"/>
  <c r="M1361" i="1"/>
  <c r="N1361" i="1" s="1"/>
  <c r="O1360" i="1"/>
  <c r="N1360" i="1"/>
  <c r="M1360" i="1"/>
  <c r="P1359" i="1"/>
  <c r="O1359" i="1"/>
  <c r="N1359" i="1"/>
  <c r="Q1359" i="1" s="1"/>
  <c r="M1359" i="1"/>
  <c r="P1358" i="1"/>
  <c r="O1358" i="1"/>
  <c r="M1358" i="1"/>
  <c r="N1358" i="1" s="1"/>
  <c r="Q1358" i="1" s="1"/>
  <c r="O1357" i="1"/>
  <c r="N1357" i="1"/>
  <c r="M1357" i="1"/>
  <c r="O1356" i="1"/>
  <c r="M1356" i="1"/>
  <c r="N1356" i="1" s="1"/>
  <c r="Q1355" i="1"/>
  <c r="O1355" i="1"/>
  <c r="P1355" i="1" s="1"/>
  <c r="N1355" i="1"/>
  <c r="M1355" i="1"/>
  <c r="Q1354" i="1"/>
  <c r="O1354" i="1"/>
  <c r="N1354" i="1"/>
  <c r="P1354" i="1" s="1"/>
  <c r="M1354" i="1"/>
  <c r="O1353" i="1"/>
  <c r="N1353" i="1"/>
  <c r="M1353" i="1"/>
  <c r="O1352" i="1"/>
  <c r="N1352" i="1"/>
  <c r="P1352" i="1" s="1"/>
  <c r="M1352" i="1"/>
  <c r="O1351" i="1"/>
  <c r="N1351" i="1"/>
  <c r="Q1351" i="1" s="1"/>
  <c r="M1351" i="1"/>
  <c r="Q1350" i="1"/>
  <c r="P1350" i="1"/>
  <c r="O1350" i="1"/>
  <c r="M1350" i="1"/>
  <c r="N1350" i="1" s="1"/>
  <c r="O1349" i="1"/>
  <c r="M1349" i="1"/>
  <c r="N1349" i="1" s="1"/>
  <c r="Q1348" i="1"/>
  <c r="O1348" i="1"/>
  <c r="P1348" i="1" s="1"/>
  <c r="N1348" i="1"/>
  <c r="M1348" i="1"/>
  <c r="O1347" i="1"/>
  <c r="M1347" i="1"/>
  <c r="N1347" i="1" s="1"/>
  <c r="P1347" i="1" s="1"/>
  <c r="O1346" i="1"/>
  <c r="N1346" i="1"/>
  <c r="M1346" i="1"/>
  <c r="O1345" i="1"/>
  <c r="N1345" i="1"/>
  <c r="M1345" i="1"/>
  <c r="O1344" i="1"/>
  <c r="N1344" i="1"/>
  <c r="M1344" i="1"/>
  <c r="O1343" i="1"/>
  <c r="M1343" i="1"/>
  <c r="N1343" i="1" s="1"/>
  <c r="Q1342" i="1"/>
  <c r="P1342" i="1"/>
  <c r="O1342" i="1"/>
  <c r="M1342" i="1"/>
  <c r="N1342" i="1" s="1"/>
  <c r="Q1341" i="1"/>
  <c r="P1341" i="1"/>
  <c r="O1341" i="1"/>
  <c r="N1341" i="1"/>
  <c r="M1341" i="1"/>
  <c r="O1340" i="1"/>
  <c r="M1340" i="1"/>
  <c r="N1340" i="1" s="1"/>
  <c r="O1339" i="1"/>
  <c r="M1339" i="1"/>
  <c r="N1339" i="1" s="1"/>
  <c r="Q1339" i="1" s="1"/>
  <c r="O1338" i="1"/>
  <c r="M1338" i="1"/>
  <c r="N1338" i="1" s="1"/>
  <c r="Q1338" i="1" s="1"/>
  <c r="Q1337" i="1"/>
  <c r="O1337" i="1"/>
  <c r="N1337" i="1"/>
  <c r="P1337" i="1" s="1"/>
  <c r="M1337" i="1"/>
  <c r="O1336" i="1"/>
  <c r="N1336" i="1"/>
  <c r="M1336" i="1"/>
  <c r="O1335" i="1"/>
  <c r="M1335" i="1"/>
  <c r="N1335" i="1" s="1"/>
  <c r="Q1335" i="1" s="1"/>
  <c r="Q1334" i="1"/>
  <c r="O1334" i="1"/>
  <c r="M1334" i="1"/>
  <c r="N1334" i="1" s="1"/>
  <c r="P1334" i="1" s="1"/>
  <c r="O1333" i="1"/>
  <c r="N1333" i="1"/>
  <c r="M1333" i="1"/>
  <c r="O1332" i="1"/>
  <c r="M1332" i="1"/>
  <c r="N1332" i="1" s="1"/>
  <c r="O1331" i="1"/>
  <c r="M1331" i="1"/>
  <c r="N1331" i="1" s="1"/>
  <c r="Q1330" i="1"/>
  <c r="O1330" i="1"/>
  <c r="N1330" i="1"/>
  <c r="M1330" i="1"/>
  <c r="O1329" i="1"/>
  <c r="M1329" i="1"/>
  <c r="N1329" i="1" s="1"/>
  <c r="O1328" i="1"/>
  <c r="N1328" i="1"/>
  <c r="M1328" i="1"/>
  <c r="P1327" i="1"/>
  <c r="O1327" i="1"/>
  <c r="N1327" i="1"/>
  <c r="Q1327" i="1" s="1"/>
  <c r="M1327" i="1"/>
  <c r="Q1326" i="1"/>
  <c r="O1326" i="1"/>
  <c r="N1326" i="1"/>
  <c r="P1326" i="1" s="1"/>
  <c r="M1326" i="1"/>
  <c r="O1325" i="1"/>
  <c r="M1325" i="1"/>
  <c r="N1325" i="1" s="1"/>
  <c r="O1324" i="1"/>
  <c r="M1324" i="1"/>
  <c r="N1324" i="1" s="1"/>
  <c r="O1323" i="1"/>
  <c r="M1323" i="1"/>
  <c r="N1323" i="1" s="1"/>
  <c r="O1322" i="1"/>
  <c r="N1322" i="1"/>
  <c r="Q1322" i="1" s="1"/>
  <c r="M1322" i="1"/>
  <c r="O1321" i="1"/>
  <c r="N1321" i="1"/>
  <c r="P1321" i="1" s="1"/>
  <c r="M1321" i="1"/>
  <c r="O1320" i="1"/>
  <c r="M1320" i="1"/>
  <c r="N1320" i="1" s="1"/>
  <c r="O1319" i="1"/>
  <c r="M1319" i="1"/>
  <c r="N1319" i="1" s="1"/>
  <c r="O1318" i="1"/>
  <c r="M1318" i="1"/>
  <c r="N1318" i="1" s="1"/>
  <c r="P1317" i="1"/>
  <c r="O1317" i="1"/>
  <c r="N1317" i="1"/>
  <c r="Q1317" i="1" s="1"/>
  <c r="M1317" i="1"/>
  <c r="O1316" i="1"/>
  <c r="M1316" i="1"/>
  <c r="N1316" i="1" s="1"/>
  <c r="Q1316" i="1" s="1"/>
  <c r="O1315" i="1"/>
  <c r="M1315" i="1"/>
  <c r="N1315" i="1" s="1"/>
  <c r="Q1315" i="1" s="1"/>
  <c r="O1314" i="1"/>
  <c r="M1314" i="1"/>
  <c r="N1314" i="1" s="1"/>
  <c r="Q1313" i="1"/>
  <c r="P1313" i="1"/>
  <c r="O1313" i="1"/>
  <c r="M1313" i="1"/>
  <c r="N1313" i="1" s="1"/>
  <c r="Q1312" i="1"/>
  <c r="O1312" i="1"/>
  <c r="P1312" i="1" s="1"/>
  <c r="N1312" i="1"/>
  <c r="M1312" i="1"/>
  <c r="O1311" i="1"/>
  <c r="M1311" i="1"/>
  <c r="N1311" i="1" s="1"/>
  <c r="Q1311" i="1" s="1"/>
  <c r="O1310" i="1"/>
  <c r="N1310" i="1"/>
  <c r="M1310" i="1"/>
  <c r="Q1309" i="1"/>
  <c r="O1309" i="1"/>
  <c r="M1309" i="1"/>
  <c r="N1309" i="1" s="1"/>
  <c r="P1309" i="1" s="1"/>
  <c r="O1308" i="1"/>
  <c r="M1308" i="1"/>
  <c r="N1308" i="1" s="1"/>
  <c r="O1307" i="1"/>
  <c r="M1307" i="1"/>
  <c r="N1307" i="1" s="1"/>
  <c r="O1306" i="1"/>
  <c r="N1306" i="1"/>
  <c r="Q1306" i="1" s="1"/>
  <c r="M1306" i="1"/>
  <c r="Q1305" i="1"/>
  <c r="O1305" i="1"/>
  <c r="N1305" i="1"/>
  <c r="P1305" i="1" s="1"/>
  <c r="M1305" i="1"/>
  <c r="O1304" i="1"/>
  <c r="N1304" i="1"/>
  <c r="Q1304" i="1" s="1"/>
  <c r="M1304" i="1"/>
  <c r="O1303" i="1"/>
  <c r="M1303" i="1"/>
  <c r="N1303" i="1" s="1"/>
  <c r="Q1303" i="1" s="1"/>
  <c r="Q1302" i="1"/>
  <c r="O1302" i="1"/>
  <c r="M1302" i="1"/>
  <c r="N1302" i="1" s="1"/>
  <c r="P1302" i="1" s="1"/>
  <c r="P1301" i="1"/>
  <c r="O1301" i="1"/>
  <c r="N1301" i="1"/>
  <c r="Q1301" i="1" s="1"/>
  <c r="M1301" i="1"/>
  <c r="Q1300" i="1"/>
  <c r="O1300" i="1"/>
  <c r="N1300" i="1"/>
  <c r="P1300" i="1" s="1"/>
  <c r="M1300" i="1"/>
  <c r="P1299" i="1"/>
  <c r="O1299" i="1"/>
  <c r="M1299" i="1"/>
  <c r="N1299" i="1" s="1"/>
  <c r="Q1299" i="1" s="1"/>
  <c r="O1298" i="1"/>
  <c r="M1298" i="1"/>
  <c r="N1298" i="1" s="1"/>
  <c r="Q1297" i="1"/>
  <c r="O1297" i="1"/>
  <c r="N1297" i="1"/>
  <c r="P1297" i="1" s="1"/>
  <c r="M1297" i="1"/>
  <c r="P1296" i="1"/>
  <c r="O1296" i="1"/>
  <c r="N1296" i="1"/>
  <c r="Q1296" i="1" s="1"/>
  <c r="M1296" i="1"/>
  <c r="O1295" i="1"/>
  <c r="M1295" i="1"/>
  <c r="N1295" i="1" s="1"/>
  <c r="Q1294" i="1"/>
  <c r="P1294" i="1"/>
  <c r="O1294" i="1"/>
  <c r="N1294" i="1"/>
  <c r="M1294" i="1"/>
  <c r="O1293" i="1"/>
  <c r="M1293" i="1"/>
  <c r="N1293" i="1" s="1"/>
  <c r="O1292" i="1"/>
  <c r="M1292" i="1"/>
  <c r="N1292" i="1" s="1"/>
  <c r="O1291" i="1"/>
  <c r="M1291" i="1"/>
  <c r="N1291" i="1" s="1"/>
  <c r="Q1290" i="1"/>
  <c r="O1290" i="1"/>
  <c r="M1290" i="1"/>
  <c r="N1290" i="1" s="1"/>
  <c r="P1290" i="1" s="1"/>
  <c r="O1289" i="1"/>
  <c r="N1289" i="1"/>
  <c r="M1289" i="1"/>
  <c r="P1288" i="1"/>
  <c r="O1288" i="1"/>
  <c r="N1288" i="1"/>
  <c r="Q1288" i="1" s="1"/>
  <c r="M1288" i="1"/>
  <c r="Q1287" i="1"/>
  <c r="P1287" i="1"/>
  <c r="O1287" i="1"/>
  <c r="N1287" i="1"/>
  <c r="M1287" i="1"/>
  <c r="P1286" i="1"/>
  <c r="O1286" i="1"/>
  <c r="M1286" i="1"/>
  <c r="N1286" i="1" s="1"/>
  <c r="Q1286" i="1" s="1"/>
  <c r="P1285" i="1"/>
  <c r="O1285" i="1"/>
  <c r="N1285" i="1"/>
  <c r="Q1285" i="1" s="1"/>
  <c r="M1285" i="1"/>
  <c r="O1284" i="1"/>
  <c r="M1284" i="1"/>
  <c r="N1284" i="1" s="1"/>
  <c r="P1284" i="1" s="1"/>
  <c r="Q1283" i="1"/>
  <c r="P1283" i="1"/>
  <c r="O1283" i="1"/>
  <c r="M1283" i="1"/>
  <c r="N1283" i="1" s="1"/>
  <c r="O1282" i="1"/>
  <c r="M1282" i="1"/>
  <c r="N1282" i="1" s="1"/>
  <c r="P1282" i="1" s="1"/>
  <c r="O1281" i="1"/>
  <c r="M1281" i="1"/>
  <c r="N1281" i="1" s="1"/>
  <c r="Q1280" i="1"/>
  <c r="P1280" i="1"/>
  <c r="O1280" i="1"/>
  <c r="N1280" i="1"/>
  <c r="M1280" i="1"/>
  <c r="O1279" i="1"/>
  <c r="N1279" i="1"/>
  <c r="M1279" i="1"/>
  <c r="O1278" i="1"/>
  <c r="N1278" i="1"/>
  <c r="M1278" i="1"/>
  <c r="O1277" i="1"/>
  <c r="N1277" i="1"/>
  <c r="M1277" i="1"/>
  <c r="O1276" i="1"/>
  <c r="M1276" i="1"/>
  <c r="N1276" i="1" s="1"/>
  <c r="Q1275" i="1"/>
  <c r="O1275" i="1"/>
  <c r="N1275" i="1"/>
  <c r="M1275" i="1"/>
  <c r="Q1274" i="1"/>
  <c r="O1274" i="1"/>
  <c r="M1274" i="1"/>
  <c r="N1274" i="1" s="1"/>
  <c r="P1274" i="1" s="1"/>
  <c r="O1273" i="1"/>
  <c r="N1273" i="1"/>
  <c r="P1273" i="1" s="1"/>
  <c r="M1273" i="1"/>
  <c r="Q1272" i="1"/>
  <c r="P1272" i="1"/>
  <c r="O1272" i="1"/>
  <c r="M1272" i="1"/>
  <c r="N1272" i="1" s="1"/>
  <c r="O1271" i="1"/>
  <c r="N1271" i="1"/>
  <c r="M1271" i="1"/>
  <c r="Q1270" i="1"/>
  <c r="P1270" i="1"/>
  <c r="O1270" i="1"/>
  <c r="M1270" i="1"/>
  <c r="N1270" i="1" s="1"/>
  <c r="P1269" i="1"/>
  <c r="O1269" i="1"/>
  <c r="N1269" i="1"/>
  <c r="Q1269" i="1" s="1"/>
  <c r="M1269" i="1"/>
  <c r="Q1268" i="1"/>
  <c r="O1268" i="1"/>
  <c r="N1268" i="1"/>
  <c r="P1268" i="1" s="1"/>
  <c r="M1268" i="1"/>
  <c r="O1267" i="1"/>
  <c r="M1267" i="1"/>
  <c r="N1267" i="1" s="1"/>
  <c r="Q1267" i="1" s="1"/>
  <c r="Q1266" i="1"/>
  <c r="O1266" i="1"/>
  <c r="N1266" i="1"/>
  <c r="M1266" i="1"/>
  <c r="Q1265" i="1"/>
  <c r="O1265" i="1"/>
  <c r="P1265" i="1" s="1"/>
  <c r="N1265" i="1"/>
  <c r="M1265" i="1"/>
  <c r="Q1264" i="1"/>
  <c r="O1264" i="1"/>
  <c r="N1264" i="1"/>
  <c r="P1264" i="1" s="1"/>
  <c r="M1264" i="1"/>
  <c r="O1263" i="1"/>
  <c r="N1263" i="1"/>
  <c r="M1263" i="1"/>
  <c r="Q1262" i="1"/>
  <c r="P1262" i="1"/>
  <c r="O1262" i="1"/>
  <c r="N1262" i="1"/>
  <c r="M1262" i="1"/>
  <c r="Q1261" i="1"/>
  <c r="O1261" i="1"/>
  <c r="N1261" i="1"/>
  <c r="P1261" i="1" s="1"/>
  <c r="M1261" i="1"/>
  <c r="O1260" i="1"/>
  <c r="M1260" i="1"/>
  <c r="N1260" i="1" s="1"/>
  <c r="O1259" i="1"/>
  <c r="N1259" i="1"/>
  <c r="P1259" i="1" s="1"/>
  <c r="M1259" i="1"/>
  <c r="Q1258" i="1"/>
  <c r="P1258" i="1"/>
  <c r="O1258" i="1"/>
  <c r="N1258" i="1"/>
  <c r="M1258" i="1"/>
  <c r="O1257" i="1"/>
  <c r="N1257" i="1"/>
  <c r="P1257" i="1" s="1"/>
  <c r="M1257" i="1"/>
  <c r="O1256" i="1"/>
  <c r="N1256" i="1"/>
  <c r="M1256" i="1"/>
  <c r="O1255" i="1"/>
  <c r="N1255" i="1"/>
  <c r="Q1255" i="1" s="1"/>
  <c r="M1255" i="1"/>
  <c r="Q1254" i="1"/>
  <c r="O1254" i="1"/>
  <c r="M1254" i="1"/>
  <c r="N1254" i="1" s="1"/>
  <c r="P1254" i="1" s="1"/>
  <c r="O1253" i="1"/>
  <c r="M1253" i="1"/>
  <c r="N1253" i="1" s="1"/>
  <c r="O1252" i="1"/>
  <c r="N1252" i="1"/>
  <c r="M1252" i="1"/>
  <c r="O1251" i="1"/>
  <c r="M1251" i="1"/>
  <c r="N1251" i="1" s="1"/>
  <c r="P1251" i="1" s="1"/>
  <c r="O1250" i="1"/>
  <c r="N1250" i="1"/>
  <c r="M1250" i="1"/>
  <c r="O1249" i="1"/>
  <c r="M1249" i="1"/>
  <c r="N1249" i="1" s="1"/>
  <c r="O1248" i="1"/>
  <c r="N1248" i="1"/>
  <c r="Q1248" i="1" s="1"/>
  <c r="M1248" i="1"/>
  <c r="P1247" i="1"/>
  <c r="O1247" i="1"/>
  <c r="N1247" i="1"/>
  <c r="Q1247" i="1" s="1"/>
  <c r="M1247" i="1"/>
  <c r="O1246" i="1"/>
  <c r="N1246" i="1"/>
  <c r="M1246" i="1"/>
  <c r="O1245" i="1"/>
  <c r="M1245" i="1"/>
  <c r="N1245" i="1" s="1"/>
  <c r="O1244" i="1"/>
  <c r="M1244" i="1"/>
  <c r="N1244" i="1" s="1"/>
  <c r="O1243" i="1"/>
  <c r="M1243" i="1"/>
  <c r="N1243" i="1" s="1"/>
  <c r="Q1243" i="1" s="1"/>
  <c r="O1242" i="1"/>
  <c r="N1242" i="1"/>
  <c r="M1242" i="1"/>
  <c r="Q1241" i="1"/>
  <c r="O1241" i="1"/>
  <c r="N1241" i="1"/>
  <c r="P1241" i="1" s="1"/>
  <c r="M1241" i="1"/>
  <c r="O1240" i="1"/>
  <c r="N1240" i="1"/>
  <c r="M1240" i="1"/>
  <c r="O1239" i="1"/>
  <c r="M1239" i="1"/>
  <c r="N1239" i="1" s="1"/>
  <c r="O1238" i="1"/>
  <c r="M1238" i="1"/>
  <c r="N1238" i="1" s="1"/>
  <c r="Q1238" i="1" s="1"/>
  <c r="P1237" i="1"/>
  <c r="O1237" i="1"/>
  <c r="N1237" i="1"/>
  <c r="Q1237" i="1" s="1"/>
  <c r="M1237" i="1"/>
  <c r="O1236" i="1"/>
  <c r="M1236" i="1"/>
  <c r="N1236" i="1" s="1"/>
  <c r="O1235" i="1"/>
  <c r="M1235" i="1"/>
  <c r="N1235" i="1" s="1"/>
  <c r="O1234" i="1"/>
  <c r="M1234" i="1"/>
  <c r="N1234" i="1" s="1"/>
  <c r="O1233" i="1"/>
  <c r="M1233" i="1"/>
  <c r="N1233" i="1" s="1"/>
  <c r="Q1233" i="1" s="1"/>
  <c r="Q1232" i="1"/>
  <c r="O1232" i="1"/>
  <c r="N1232" i="1"/>
  <c r="M1232" i="1"/>
  <c r="O1231" i="1"/>
  <c r="N1231" i="1"/>
  <c r="M1231" i="1"/>
  <c r="O1230" i="1"/>
  <c r="M1230" i="1"/>
  <c r="N1230" i="1" s="1"/>
  <c r="Q1230" i="1" s="1"/>
  <c r="Q1229" i="1"/>
  <c r="O1229" i="1"/>
  <c r="M1229" i="1"/>
  <c r="N1229" i="1" s="1"/>
  <c r="P1229" i="1" s="1"/>
  <c r="O1228" i="1"/>
  <c r="M1228" i="1"/>
  <c r="N1228" i="1" s="1"/>
  <c r="O1227" i="1"/>
  <c r="M1227" i="1"/>
  <c r="N1227" i="1" s="1"/>
  <c r="O1226" i="1"/>
  <c r="M1226" i="1"/>
  <c r="N1226" i="1" s="1"/>
  <c r="Q1225" i="1"/>
  <c r="O1225" i="1"/>
  <c r="N1225" i="1"/>
  <c r="P1225" i="1" s="1"/>
  <c r="M1225" i="1"/>
  <c r="O1224" i="1"/>
  <c r="N1224" i="1"/>
  <c r="M1224" i="1"/>
  <c r="O1223" i="1"/>
  <c r="N1223" i="1"/>
  <c r="M1223" i="1"/>
  <c r="Q1222" i="1"/>
  <c r="P1222" i="1"/>
  <c r="O1222" i="1"/>
  <c r="M1222" i="1"/>
  <c r="N1222" i="1" s="1"/>
  <c r="O1221" i="1"/>
  <c r="N1221" i="1"/>
  <c r="Q1221" i="1" s="1"/>
  <c r="M1221" i="1"/>
  <c r="O1220" i="1"/>
  <c r="N1220" i="1"/>
  <c r="Q1220" i="1" s="1"/>
  <c r="M1220" i="1"/>
  <c r="O1219" i="1"/>
  <c r="M1219" i="1"/>
  <c r="N1219" i="1" s="1"/>
  <c r="Q1218" i="1"/>
  <c r="O1218" i="1"/>
  <c r="N1218" i="1"/>
  <c r="M1218" i="1"/>
  <c r="Q1217" i="1"/>
  <c r="O1217" i="1"/>
  <c r="N1217" i="1"/>
  <c r="P1217" i="1" s="1"/>
  <c r="M1217" i="1"/>
  <c r="Q1216" i="1"/>
  <c r="P1216" i="1"/>
  <c r="O1216" i="1"/>
  <c r="N1216" i="1"/>
  <c r="M1216" i="1"/>
  <c r="O1215" i="1"/>
  <c r="N1215" i="1"/>
  <c r="M1215" i="1"/>
  <c r="Q1214" i="1"/>
  <c r="O1214" i="1"/>
  <c r="N1214" i="1"/>
  <c r="P1214" i="1" s="1"/>
  <c r="M1214" i="1"/>
  <c r="O1213" i="1"/>
  <c r="M1213" i="1"/>
  <c r="N1213" i="1" s="1"/>
  <c r="O1212" i="1"/>
  <c r="M1212" i="1"/>
  <c r="N1212" i="1" s="1"/>
  <c r="Q1211" i="1"/>
  <c r="P1211" i="1"/>
  <c r="O1211" i="1"/>
  <c r="N1211" i="1"/>
  <c r="M1211" i="1"/>
  <c r="O1210" i="1"/>
  <c r="M1210" i="1"/>
  <c r="N1210" i="1" s="1"/>
  <c r="Q1210" i="1" s="1"/>
  <c r="Q1209" i="1"/>
  <c r="O1209" i="1"/>
  <c r="N1209" i="1"/>
  <c r="P1209" i="1" s="1"/>
  <c r="M1209" i="1"/>
  <c r="O1208" i="1"/>
  <c r="M1208" i="1"/>
  <c r="N1208" i="1" s="1"/>
  <c r="Q1207" i="1"/>
  <c r="O1207" i="1"/>
  <c r="N1207" i="1"/>
  <c r="P1207" i="1" s="1"/>
  <c r="M1207" i="1"/>
  <c r="O1206" i="1"/>
  <c r="M1206" i="1"/>
  <c r="N1206" i="1" s="1"/>
  <c r="Q1206" i="1" s="1"/>
  <c r="P1205" i="1"/>
  <c r="O1205" i="1"/>
  <c r="N1205" i="1"/>
  <c r="Q1205" i="1" s="1"/>
  <c r="M1205" i="1"/>
  <c r="O1204" i="1"/>
  <c r="P1204" i="1" s="1"/>
  <c r="N1204" i="1"/>
  <c r="Q1204" i="1" s="1"/>
  <c r="M1204" i="1"/>
  <c r="P1203" i="1"/>
  <c r="O1203" i="1"/>
  <c r="M1203" i="1"/>
  <c r="N1203" i="1" s="1"/>
  <c r="Q1203" i="1" s="1"/>
  <c r="O1202" i="1"/>
  <c r="M1202" i="1"/>
  <c r="N1202" i="1" s="1"/>
  <c r="P1202" i="1" s="1"/>
  <c r="O1201" i="1"/>
  <c r="M1201" i="1"/>
  <c r="N1201" i="1" s="1"/>
  <c r="Q1200" i="1"/>
  <c r="P1200" i="1"/>
  <c r="O1200" i="1"/>
  <c r="N1200" i="1"/>
  <c r="M1200" i="1"/>
  <c r="O1199" i="1"/>
  <c r="N1199" i="1"/>
  <c r="M1199" i="1"/>
  <c r="O1198" i="1"/>
  <c r="P1198" i="1" s="1"/>
  <c r="N1198" i="1"/>
  <c r="Q1198" i="1" s="1"/>
  <c r="M1198" i="1"/>
  <c r="O1197" i="1"/>
  <c r="N1197" i="1"/>
  <c r="M1197" i="1"/>
  <c r="O1196" i="1"/>
  <c r="M1196" i="1"/>
  <c r="N1196" i="1" s="1"/>
  <c r="O1195" i="1"/>
  <c r="M1195" i="1"/>
  <c r="N1195" i="1" s="1"/>
  <c r="O1194" i="1"/>
  <c r="M1194" i="1"/>
  <c r="N1194" i="1" s="1"/>
  <c r="O1193" i="1"/>
  <c r="N1193" i="1"/>
  <c r="P1193" i="1" s="1"/>
  <c r="M1193" i="1"/>
  <c r="O1192" i="1"/>
  <c r="M1192" i="1"/>
  <c r="N1192" i="1" s="1"/>
  <c r="Q1192" i="1" s="1"/>
  <c r="O1191" i="1"/>
  <c r="M1191" i="1"/>
  <c r="N1191" i="1" s="1"/>
  <c r="Q1191" i="1" s="1"/>
  <c r="Q1190" i="1"/>
  <c r="P1190" i="1"/>
  <c r="O1190" i="1"/>
  <c r="M1190" i="1"/>
  <c r="N1190" i="1" s="1"/>
  <c r="O1189" i="1"/>
  <c r="M1189" i="1"/>
  <c r="N1189" i="1" s="1"/>
  <c r="Q1189" i="1" s="1"/>
  <c r="O1188" i="1"/>
  <c r="M1188" i="1"/>
  <c r="N1188" i="1" s="1"/>
  <c r="O1187" i="1"/>
  <c r="M1187" i="1"/>
  <c r="N1187" i="1" s="1"/>
  <c r="Q1186" i="1"/>
  <c r="O1186" i="1"/>
  <c r="N1186" i="1"/>
  <c r="P1186" i="1" s="1"/>
  <c r="M1186" i="1"/>
  <c r="Q1185" i="1"/>
  <c r="O1185" i="1"/>
  <c r="N1185" i="1"/>
  <c r="M1185" i="1"/>
  <c r="O1184" i="1"/>
  <c r="N1184" i="1"/>
  <c r="Q1184" i="1" s="1"/>
  <c r="M1184" i="1"/>
  <c r="O1183" i="1"/>
  <c r="M1183" i="1"/>
  <c r="N1183" i="1" s="1"/>
  <c r="Q1182" i="1"/>
  <c r="P1182" i="1"/>
  <c r="O1182" i="1"/>
  <c r="M1182" i="1"/>
  <c r="N1182" i="1" s="1"/>
  <c r="O1181" i="1"/>
  <c r="M1181" i="1"/>
  <c r="N1181" i="1" s="1"/>
  <c r="O1180" i="1"/>
  <c r="M1180" i="1"/>
  <c r="N1180" i="1" s="1"/>
  <c r="O1179" i="1"/>
  <c r="M1179" i="1"/>
  <c r="N1179" i="1" s="1"/>
  <c r="O1178" i="1"/>
  <c r="N1178" i="1"/>
  <c r="P1178" i="1" s="1"/>
  <c r="M1178" i="1"/>
  <c r="O1177" i="1"/>
  <c r="N1177" i="1"/>
  <c r="M1177" i="1"/>
  <c r="O1176" i="1"/>
  <c r="M1176" i="1"/>
  <c r="N1176" i="1" s="1"/>
  <c r="Q1175" i="1"/>
  <c r="P1175" i="1"/>
  <c r="O1175" i="1"/>
  <c r="N1175" i="1"/>
  <c r="M1175" i="1"/>
  <c r="Q1174" i="1"/>
  <c r="O1174" i="1"/>
  <c r="M1174" i="1"/>
  <c r="N1174" i="1" s="1"/>
  <c r="P1174" i="1" s="1"/>
  <c r="O1173" i="1"/>
  <c r="N1173" i="1"/>
  <c r="M1173" i="1"/>
  <c r="O1172" i="1"/>
  <c r="N1172" i="1"/>
  <c r="M1172" i="1"/>
  <c r="O1171" i="1"/>
  <c r="M1171" i="1"/>
  <c r="N1171" i="1" s="1"/>
  <c r="O1170" i="1"/>
  <c r="N1170" i="1"/>
  <c r="M1170" i="1"/>
  <c r="Q1169" i="1"/>
  <c r="O1169" i="1"/>
  <c r="P1169" i="1" s="1"/>
  <c r="N1169" i="1"/>
  <c r="M1169" i="1"/>
  <c r="O1168" i="1"/>
  <c r="N1168" i="1"/>
  <c r="M1168" i="1"/>
  <c r="O1167" i="1"/>
  <c r="N1167" i="1"/>
  <c r="Q1167" i="1" s="1"/>
  <c r="M1167" i="1"/>
  <c r="O1166" i="1"/>
  <c r="N1166" i="1"/>
  <c r="Q1166" i="1" s="1"/>
  <c r="M1166" i="1"/>
  <c r="Q1165" i="1"/>
  <c r="P1165" i="1"/>
  <c r="O1165" i="1"/>
  <c r="N1165" i="1"/>
  <c r="M1165" i="1"/>
  <c r="O1164" i="1"/>
  <c r="M1164" i="1"/>
  <c r="N1164" i="1" s="1"/>
  <c r="P1163" i="1"/>
  <c r="O1163" i="1"/>
  <c r="M1163" i="1"/>
  <c r="N1163" i="1" s="1"/>
  <c r="Q1163" i="1" s="1"/>
  <c r="O1162" i="1"/>
  <c r="M1162" i="1"/>
  <c r="N1162" i="1" s="1"/>
  <c r="Q1161" i="1"/>
  <c r="O1161" i="1"/>
  <c r="N1161" i="1"/>
  <c r="P1161" i="1" s="1"/>
  <c r="M1161" i="1"/>
  <c r="O1160" i="1"/>
  <c r="N1160" i="1"/>
  <c r="M1160" i="1"/>
  <c r="O1159" i="1"/>
  <c r="P1159" i="1" s="1"/>
  <c r="N1159" i="1"/>
  <c r="Q1159" i="1" s="1"/>
  <c r="M1159" i="1"/>
  <c r="P1158" i="1"/>
  <c r="O1158" i="1"/>
  <c r="M1158" i="1"/>
  <c r="N1158" i="1" s="1"/>
  <c r="Q1158" i="1" s="1"/>
  <c r="O1157" i="1"/>
  <c r="N1157" i="1"/>
  <c r="M1157" i="1"/>
  <c r="O1156" i="1"/>
  <c r="M1156" i="1"/>
  <c r="N1156" i="1" s="1"/>
  <c r="O1155" i="1"/>
  <c r="M1155" i="1"/>
  <c r="N1155" i="1" s="1"/>
  <c r="Q1155" i="1" s="1"/>
  <c r="O1154" i="1"/>
  <c r="N1154" i="1"/>
  <c r="M1154" i="1"/>
  <c r="O1153" i="1"/>
  <c r="N1153" i="1"/>
  <c r="M1153" i="1"/>
  <c r="O1152" i="1"/>
  <c r="N1152" i="1"/>
  <c r="M1152" i="1"/>
  <c r="Q1151" i="1"/>
  <c r="O1151" i="1"/>
  <c r="N1151" i="1"/>
  <c r="P1151" i="1" s="1"/>
  <c r="M1151" i="1"/>
  <c r="O1150" i="1"/>
  <c r="M1150" i="1"/>
  <c r="N1150" i="1" s="1"/>
  <c r="O1149" i="1"/>
  <c r="N1149" i="1"/>
  <c r="M1149" i="1"/>
  <c r="O1148" i="1"/>
  <c r="N1148" i="1"/>
  <c r="M1148" i="1"/>
  <c r="O1147" i="1"/>
  <c r="N1147" i="1"/>
  <c r="Q1147" i="1" s="1"/>
  <c r="M1147" i="1"/>
  <c r="P1146" i="1"/>
  <c r="O1146" i="1"/>
  <c r="M1146" i="1"/>
  <c r="N1146" i="1" s="1"/>
  <c r="Q1146" i="1" s="1"/>
  <c r="Q1145" i="1"/>
  <c r="O1145" i="1"/>
  <c r="N1145" i="1"/>
  <c r="M1145" i="1"/>
  <c r="O1144" i="1"/>
  <c r="N1144" i="1"/>
  <c r="M1144" i="1"/>
  <c r="O1143" i="1"/>
  <c r="N1143" i="1"/>
  <c r="M1143" i="1"/>
  <c r="P1142" i="1"/>
  <c r="O1142" i="1"/>
  <c r="N1142" i="1"/>
  <c r="Q1142" i="1" s="1"/>
  <c r="M1142" i="1"/>
  <c r="Q1141" i="1"/>
  <c r="P1141" i="1"/>
  <c r="O1141" i="1"/>
  <c r="N1141" i="1"/>
  <c r="M1141" i="1"/>
  <c r="Q1140" i="1"/>
  <c r="P1140" i="1"/>
  <c r="O1140" i="1"/>
  <c r="M1140" i="1"/>
  <c r="N1140" i="1" s="1"/>
  <c r="O1139" i="1"/>
  <c r="M1139" i="1"/>
  <c r="N1139" i="1" s="1"/>
  <c r="Q1138" i="1"/>
  <c r="P1138" i="1"/>
  <c r="O1138" i="1"/>
  <c r="N1138" i="1"/>
  <c r="M1138" i="1"/>
  <c r="Q1137" i="1"/>
  <c r="P1137" i="1"/>
  <c r="O1137" i="1"/>
  <c r="N1137" i="1"/>
  <c r="M1137" i="1"/>
  <c r="P1136" i="1"/>
  <c r="O1136" i="1"/>
  <c r="N1136" i="1"/>
  <c r="Q1136" i="1" s="1"/>
  <c r="M1136" i="1"/>
  <c r="Q1135" i="1"/>
  <c r="P1135" i="1"/>
  <c r="O1135" i="1"/>
  <c r="N1135" i="1"/>
  <c r="M1135" i="1"/>
  <c r="O1134" i="1"/>
  <c r="N1134" i="1"/>
  <c r="M1134" i="1"/>
  <c r="Q1133" i="1"/>
  <c r="O1133" i="1"/>
  <c r="N1133" i="1"/>
  <c r="P1133" i="1" s="1"/>
  <c r="M1133" i="1"/>
  <c r="O1132" i="1"/>
  <c r="P1132" i="1" s="1"/>
  <c r="N1132" i="1"/>
  <c r="Q1132" i="1" s="1"/>
  <c r="M1132" i="1"/>
  <c r="Q1131" i="1"/>
  <c r="P1131" i="1"/>
  <c r="O1131" i="1"/>
  <c r="N1131" i="1"/>
  <c r="M1131" i="1"/>
  <c r="Q1130" i="1"/>
  <c r="P1130" i="1"/>
  <c r="O1130" i="1"/>
  <c r="M1130" i="1"/>
  <c r="N1130" i="1" s="1"/>
  <c r="O1129" i="1"/>
  <c r="M1129" i="1"/>
  <c r="N1129" i="1" s="1"/>
  <c r="Q1128" i="1"/>
  <c r="O1128" i="1"/>
  <c r="P1128" i="1" s="1"/>
  <c r="M1128" i="1"/>
  <c r="N1128" i="1" s="1"/>
  <c r="Q1127" i="1"/>
  <c r="P1127" i="1"/>
  <c r="O1127" i="1"/>
  <c r="N1127" i="1"/>
  <c r="M1127" i="1"/>
  <c r="P1126" i="1"/>
  <c r="O1126" i="1"/>
  <c r="M1126" i="1"/>
  <c r="N1126" i="1" s="1"/>
  <c r="Q1126" i="1" s="1"/>
  <c r="O1125" i="1"/>
  <c r="M1125" i="1"/>
  <c r="N1125" i="1" s="1"/>
  <c r="O1124" i="1"/>
  <c r="N1124" i="1"/>
  <c r="P1124" i="1" s="1"/>
  <c r="M1124" i="1"/>
  <c r="Q1123" i="1"/>
  <c r="O1123" i="1"/>
  <c r="N1123" i="1"/>
  <c r="M1123" i="1"/>
  <c r="O1122" i="1"/>
  <c r="N1122" i="1"/>
  <c r="M1122" i="1"/>
  <c r="O1121" i="1"/>
  <c r="N1121" i="1"/>
  <c r="M1121" i="1"/>
  <c r="O1120" i="1"/>
  <c r="N1120" i="1"/>
  <c r="P1120" i="1" s="1"/>
  <c r="M1120" i="1"/>
  <c r="P1119" i="1"/>
  <c r="O1119" i="1"/>
  <c r="M1119" i="1"/>
  <c r="N1119" i="1" s="1"/>
  <c r="Q1119" i="1" s="1"/>
  <c r="O1118" i="1"/>
  <c r="N1118" i="1"/>
  <c r="M1118" i="1"/>
  <c r="O1117" i="1"/>
  <c r="M1117" i="1"/>
  <c r="N1117" i="1" s="1"/>
  <c r="O1116" i="1"/>
  <c r="N1116" i="1"/>
  <c r="M1116" i="1"/>
  <c r="Q1115" i="1"/>
  <c r="P1115" i="1"/>
  <c r="O1115" i="1"/>
  <c r="N1115" i="1"/>
  <c r="M1115" i="1"/>
  <c r="Q1114" i="1"/>
  <c r="O1114" i="1"/>
  <c r="P1114" i="1" s="1"/>
  <c r="N1114" i="1"/>
  <c r="M1114" i="1"/>
  <c r="O1113" i="1"/>
  <c r="N1113" i="1"/>
  <c r="M1113" i="1"/>
  <c r="O1112" i="1"/>
  <c r="N1112" i="1"/>
  <c r="M1112" i="1"/>
  <c r="O1111" i="1"/>
  <c r="N1111" i="1"/>
  <c r="M1111" i="1"/>
  <c r="P1110" i="1"/>
  <c r="O1110" i="1"/>
  <c r="M1110" i="1"/>
  <c r="N1110" i="1" s="1"/>
  <c r="Q1110" i="1" s="1"/>
  <c r="O1109" i="1"/>
  <c r="N1109" i="1"/>
  <c r="M1109" i="1"/>
  <c r="Q1108" i="1"/>
  <c r="P1108" i="1"/>
  <c r="O1108" i="1"/>
  <c r="N1108" i="1"/>
  <c r="M1108" i="1"/>
  <c r="Q1107" i="1"/>
  <c r="O1107" i="1"/>
  <c r="N1107" i="1"/>
  <c r="P1107" i="1" s="1"/>
  <c r="M1107" i="1"/>
  <c r="O1106" i="1"/>
  <c r="M1106" i="1"/>
  <c r="N1106" i="1" s="1"/>
  <c r="P1105" i="1"/>
  <c r="O1105" i="1"/>
  <c r="N1105" i="1"/>
  <c r="Q1105" i="1" s="1"/>
  <c r="M1105" i="1"/>
  <c r="O1104" i="1"/>
  <c r="N1104" i="1"/>
  <c r="M1104" i="1"/>
  <c r="O1103" i="1"/>
  <c r="N1103" i="1"/>
  <c r="M1103" i="1"/>
  <c r="O1102" i="1"/>
  <c r="N1102" i="1"/>
  <c r="Q1102" i="1" s="1"/>
  <c r="M1102" i="1"/>
  <c r="Q1101" i="1"/>
  <c r="P1101" i="1"/>
  <c r="O1101" i="1"/>
  <c r="M1101" i="1"/>
  <c r="N1101" i="1" s="1"/>
  <c r="O1100" i="1"/>
  <c r="N1100" i="1"/>
  <c r="M1100" i="1"/>
  <c r="O1099" i="1"/>
  <c r="N1099" i="1"/>
  <c r="M1099" i="1"/>
  <c r="Q1098" i="1"/>
  <c r="O1098" i="1"/>
  <c r="P1098" i="1" s="1"/>
  <c r="N1098" i="1"/>
  <c r="M1098" i="1"/>
  <c r="Q1097" i="1"/>
  <c r="O1097" i="1"/>
  <c r="N1097" i="1"/>
  <c r="P1097" i="1" s="1"/>
  <c r="M1097" i="1"/>
  <c r="Q1096" i="1"/>
  <c r="O1096" i="1"/>
  <c r="M1096" i="1"/>
  <c r="N1096" i="1" s="1"/>
  <c r="P1096" i="1" s="1"/>
  <c r="O1095" i="1"/>
  <c r="N1095" i="1"/>
  <c r="M1095" i="1"/>
  <c r="P1094" i="1"/>
  <c r="O1094" i="1"/>
  <c r="M1094" i="1"/>
  <c r="N1094" i="1" s="1"/>
  <c r="Q1094" i="1" s="1"/>
  <c r="O1093" i="1"/>
  <c r="N1093" i="1"/>
  <c r="M1093" i="1"/>
  <c r="O1092" i="1"/>
  <c r="M1092" i="1"/>
  <c r="N1092" i="1" s="1"/>
  <c r="Q1091" i="1"/>
  <c r="O1091" i="1"/>
  <c r="N1091" i="1"/>
  <c r="P1091" i="1" s="1"/>
  <c r="M1091" i="1"/>
  <c r="Q1090" i="1"/>
  <c r="P1090" i="1"/>
  <c r="O1090" i="1"/>
  <c r="N1090" i="1"/>
  <c r="M1090" i="1"/>
  <c r="Q1089" i="1"/>
  <c r="O1089" i="1"/>
  <c r="P1089" i="1" s="1"/>
  <c r="N1089" i="1"/>
  <c r="M1089" i="1"/>
  <c r="O1088" i="1"/>
  <c r="N1088" i="1"/>
  <c r="M1088" i="1"/>
  <c r="O1087" i="1"/>
  <c r="M1087" i="1"/>
  <c r="N1087" i="1" s="1"/>
  <c r="Q1087" i="1" s="1"/>
  <c r="O1086" i="1"/>
  <c r="N1086" i="1"/>
  <c r="M1086" i="1"/>
  <c r="Q1085" i="1"/>
  <c r="P1085" i="1"/>
  <c r="O1085" i="1"/>
  <c r="M1085" i="1"/>
  <c r="N1085" i="1" s="1"/>
  <c r="O1084" i="1"/>
  <c r="M1084" i="1"/>
  <c r="N1084" i="1" s="1"/>
  <c r="O1083" i="1"/>
  <c r="N1083" i="1"/>
  <c r="M1083" i="1"/>
  <c r="Q1082" i="1"/>
  <c r="O1082" i="1"/>
  <c r="P1082" i="1" s="1"/>
  <c r="N1082" i="1"/>
  <c r="M1082" i="1"/>
  <c r="Q1081" i="1"/>
  <c r="O1081" i="1"/>
  <c r="N1081" i="1"/>
  <c r="P1081" i="1" s="1"/>
  <c r="M1081" i="1"/>
  <c r="O1080" i="1"/>
  <c r="N1080" i="1"/>
  <c r="M1080" i="1"/>
  <c r="Q1079" i="1"/>
  <c r="O1079" i="1"/>
  <c r="N1079" i="1"/>
  <c r="P1079" i="1" s="1"/>
  <c r="M1079" i="1"/>
  <c r="P1078" i="1"/>
  <c r="O1078" i="1"/>
  <c r="M1078" i="1"/>
  <c r="N1078" i="1" s="1"/>
  <c r="Q1078" i="1" s="1"/>
  <c r="Q1077" i="1"/>
  <c r="O1077" i="1"/>
  <c r="P1077" i="1" s="1"/>
  <c r="N1077" i="1"/>
  <c r="M1077" i="1"/>
  <c r="O1076" i="1"/>
  <c r="P1076" i="1" s="1"/>
  <c r="N1076" i="1"/>
  <c r="Q1076" i="1" s="1"/>
  <c r="M1076" i="1"/>
  <c r="Q1075" i="1"/>
  <c r="O1075" i="1"/>
  <c r="N1075" i="1"/>
  <c r="P1075" i="1" s="1"/>
  <c r="M1075" i="1"/>
  <c r="O1074" i="1"/>
  <c r="M1074" i="1"/>
  <c r="N1074" i="1" s="1"/>
  <c r="O1073" i="1"/>
  <c r="N1073" i="1"/>
  <c r="M1073" i="1"/>
  <c r="Q1072" i="1"/>
  <c r="O1072" i="1"/>
  <c r="N1072" i="1"/>
  <c r="P1072" i="1" s="1"/>
  <c r="M1072" i="1"/>
  <c r="O1071" i="1"/>
  <c r="N1071" i="1"/>
  <c r="M1071" i="1"/>
  <c r="Q1070" i="1"/>
  <c r="P1070" i="1"/>
  <c r="O1070" i="1"/>
  <c r="N1070" i="1"/>
  <c r="M1070" i="1"/>
  <c r="P1069" i="1"/>
  <c r="O1069" i="1"/>
  <c r="M1069" i="1"/>
  <c r="N1069" i="1" s="1"/>
  <c r="Q1069" i="1" s="1"/>
  <c r="O1068" i="1"/>
  <c r="N1068" i="1"/>
  <c r="M1068" i="1"/>
  <c r="O1067" i="1"/>
  <c r="N1067" i="1"/>
  <c r="M1067" i="1"/>
  <c r="Q1066" i="1"/>
  <c r="P1066" i="1"/>
  <c r="O1066" i="1"/>
  <c r="N1066" i="1"/>
  <c r="M1066" i="1"/>
  <c r="Q1065" i="1"/>
  <c r="O1065" i="1"/>
  <c r="N1065" i="1"/>
  <c r="P1065" i="1" s="1"/>
  <c r="M1065" i="1"/>
  <c r="O1064" i="1"/>
  <c r="N1064" i="1"/>
  <c r="M1064" i="1"/>
  <c r="O1063" i="1"/>
  <c r="N1063" i="1"/>
  <c r="M1063" i="1"/>
  <c r="P1062" i="1"/>
  <c r="O1062" i="1"/>
  <c r="M1062" i="1"/>
  <c r="N1062" i="1" s="1"/>
  <c r="Q1062" i="1" s="1"/>
  <c r="Q1061" i="1"/>
  <c r="P1061" i="1"/>
  <c r="O1061" i="1"/>
  <c r="N1061" i="1"/>
  <c r="M1061" i="1"/>
  <c r="O1060" i="1"/>
  <c r="M1060" i="1"/>
  <c r="N1060" i="1" s="1"/>
  <c r="Q1059" i="1"/>
  <c r="O1059" i="1"/>
  <c r="N1059" i="1"/>
  <c r="M1059" i="1"/>
  <c r="O1058" i="1"/>
  <c r="N1058" i="1"/>
  <c r="M1058" i="1"/>
  <c r="O1057" i="1"/>
  <c r="N1057" i="1"/>
  <c r="M1057" i="1"/>
  <c r="O1056" i="1"/>
  <c r="N1056" i="1"/>
  <c r="P1056" i="1" s="1"/>
  <c r="M1056" i="1"/>
  <c r="O1055" i="1"/>
  <c r="M1055" i="1"/>
  <c r="N1055" i="1" s="1"/>
  <c r="Q1054" i="1"/>
  <c r="P1054" i="1"/>
  <c r="O1054" i="1"/>
  <c r="N1054" i="1"/>
  <c r="M1054" i="1"/>
  <c r="P1053" i="1"/>
  <c r="O1053" i="1"/>
  <c r="M1053" i="1"/>
  <c r="N1053" i="1" s="1"/>
  <c r="Q1053" i="1" s="1"/>
  <c r="O1052" i="1"/>
  <c r="M1052" i="1"/>
  <c r="N1052" i="1" s="1"/>
  <c r="O1051" i="1"/>
  <c r="N1051" i="1"/>
  <c r="M1051" i="1"/>
  <c r="Q1050" i="1"/>
  <c r="O1050" i="1"/>
  <c r="P1050" i="1" s="1"/>
  <c r="N1050" i="1"/>
  <c r="M1050" i="1"/>
  <c r="O1049" i="1"/>
  <c r="M1049" i="1"/>
  <c r="N1049" i="1" s="1"/>
  <c r="O1048" i="1"/>
  <c r="N1048" i="1"/>
  <c r="Q1048" i="1" s="1"/>
  <c r="M1048" i="1"/>
  <c r="Q1047" i="1"/>
  <c r="P1047" i="1"/>
  <c r="O1047" i="1"/>
  <c r="N1047" i="1"/>
  <c r="M1047" i="1"/>
  <c r="O1046" i="1"/>
  <c r="M1046" i="1"/>
  <c r="N1046" i="1" s="1"/>
  <c r="Q1045" i="1"/>
  <c r="O1045" i="1"/>
  <c r="P1045" i="1" s="1"/>
  <c r="N1045" i="1"/>
  <c r="M1045" i="1"/>
  <c r="O1044" i="1"/>
  <c r="M1044" i="1"/>
  <c r="N1044" i="1" s="1"/>
  <c r="Q1043" i="1"/>
  <c r="O1043" i="1"/>
  <c r="N1043" i="1"/>
  <c r="P1043" i="1" s="1"/>
  <c r="M1043" i="1"/>
  <c r="O1042" i="1"/>
  <c r="M1042" i="1"/>
  <c r="N1042" i="1" s="1"/>
  <c r="O1041" i="1"/>
  <c r="M1041" i="1"/>
  <c r="N1041" i="1" s="1"/>
  <c r="P1041" i="1" s="1"/>
  <c r="O1040" i="1"/>
  <c r="N1040" i="1"/>
  <c r="P1040" i="1" s="1"/>
  <c r="M1040" i="1"/>
  <c r="O1039" i="1"/>
  <c r="M1039" i="1"/>
  <c r="N1039" i="1" s="1"/>
  <c r="O1038" i="1"/>
  <c r="N1038" i="1"/>
  <c r="P1038" i="1" s="1"/>
  <c r="M1038" i="1"/>
  <c r="Q1037" i="1"/>
  <c r="O1037" i="1"/>
  <c r="M1037" i="1"/>
  <c r="N1037" i="1" s="1"/>
  <c r="P1037" i="1" s="1"/>
  <c r="O1036" i="1"/>
  <c r="N1036" i="1"/>
  <c r="M1036" i="1"/>
  <c r="O1035" i="1"/>
  <c r="M1035" i="1"/>
  <c r="N1035" i="1" s="1"/>
  <c r="Q1034" i="1"/>
  <c r="O1034" i="1"/>
  <c r="P1034" i="1" s="1"/>
  <c r="N1034" i="1"/>
  <c r="M1034" i="1"/>
  <c r="O1033" i="1"/>
  <c r="N1033" i="1"/>
  <c r="P1033" i="1" s="1"/>
  <c r="M1033" i="1"/>
  <c r="O1032" i="1"/>
  <c r="M1032" i="1"/>
  <c r="N1032" i="1" s="1"/>
  <c r="P1032" i="1" s="1"/>
  <c r="Q1031" i="1"/>
  <c r="P1031" i="1"/>
  <c r="O1031" i="1"/>
  <c r="N1031" i="1"/>
  <c r="M1031" i="1"/>
  <c r="P1030" i="1"/>
  <c r="O1030" i="1"/>
  <c r="M1030" i="1"/>
  <c r="N1030" i="1" s="1"/>
  <c r="Q1030" i="1" s="1"/>
  <c r="O1029" i="1"/>
  <c r="N1029" i="1"/>
  <c r="Q1029" i="1" s="1"/>
  <c r="M1029" i="1"/>
  <c r="O1028" i="1"/>
  <c r="M1028" i="1"/>
  <c r="N1028" i="1" s="1"/>
  <c r="Q1027" i="1"/>
  <c r="O1027" i="1"/>
  <c r="N1027" i="1"/>
  <c r="M1027" i="1"/>
  <c r="Q1026" i="1"/>
  <c r="P1026" i="1"/>
  <c r="O1026" i="1"/>
  <c r="M1026" i="1"/>
  <c r="N1026" i="1" s="1"/>
  <c r="Q1025" i="1"/>
  <c r="O1025" i="1"/>
  <c r="M1025" i="1"/>
  <c r="N1025" i="1" s="1"/>
  <c r="P1025" i="1" s="1"/>
  <c r="O1024" i="1"/>
  <c r="N1024" i="1"/>
  <c r="P1024" i="1" s="1"/>
  <c r="M1024" i="1"/>
  <c r="O1023" i="1"/>
  <c r="M1023" i="1"/>
  <c r="N1023" i="1" s="1"/>
  <c r="Q1023" i="1" s="1"/>
  <c r="Q1022" i="1"/>
  <c r="O1022" i="1"/>
  <c r="P1022" i="1" s="1"/>
  <c r="N1022" i="1"/>
  <c r="M1022" i="1"/>
  <c r="O1021" i="1"/>
  <c r="M1021" i="1"/>
  <c r="N1021" i="1" s="1"/>
  <c r="O1020" i="1"/>
  <c r="N1020" i="1"/>
  <c r="M1020" i="1"/>
  <c r="Q1019" i="1"/>
  <c r="O1019" i="1"/>
  <c r="P1019" i="1" s="1"/>
  <c r="N1019" i="1"/>
  <c r="M1019" i="1"/>
  <c r="Q1018" i="1"/>
  <c r="O1018" i="1"/>
  <c r="P1018" i="1" s="1"/>
  <c r="N1018" i="1"/>
  <c r="M1018" i="1"/>
  <c r="O1017" i="1"/>
  <c r="M1017" i="1"/>
  <c r="N1017" i="1" s="1"/>
  <c r="Q1016" i="1"/>
  <c r="P1016" i="1"/>
  <c r="O1016" i="1"/>
  <c r="M1016" i="1"/>
  <c r="N1016" i="1" s="1"/>
  <c r="Q1015" i="1"/>
  <c r="P1015" i="1"/>
  <c r="O1015" i="1"/>
  <c r="N1015" i="1"/>
  <c r="M1015" i="1"/>
  <c r="O1014" i="1"/>
  <c r="M1014" i="1"/>
  <c r="N1014" i="1" s="1"/>
  <c r="Q1014" i="1" s="1"/>
  <c r="Q1013" i="1"/>
  <c r="O1013" i="1"/>
  <c r="N1013" i="1"/>
  <c r="M1013" i="1"/>
  <c r="Q1012" i="1"/>
  <c r="O1012" i="1"/>
  <c r="M1012" i="1"/>
  <c r="N1012" i="1" s="1"/>
  <c r="P1012" i="1" s="1"/>
  <c r="Q1011" i="1"/>
  <c r="O1011" i="1"/>
  <c r="N1011" i="1"/>
  <c r="P1011" i="1" s="1"/>
  <c r="M1011" i="1"/>
  <c r="O1010" i="1"/>
  <c r="M1010" i="1"/>
  <c r="N1010" i="1" s="1"/>
  <c r="O1009" i="1"/>
  <c r="M1009" i="1"/>
  <c r="N1009" i="1" s="1"/>
  <c r="O1008" i="1"/>
  <c r="N1008" i="1"/>
  <c r="P1008" i="1" s="1"/>
  <c r="M1008" i="1"/>
  <c r="P1007" i="1"/>
  <c r="O1007" i="1"/>
  <c r="N1007" i="1"/>
  <c r="Q1007" i="1" s="1"/>
  <c r="M1007" i="1"/>
  <c r="O1006" i="1"/>
  <c r="M1006" i="1"/>
  <c r="N1006" i="1" s="1"/>
  <c r="Q1006" i="1" s="1"/>
  <c r="Q1005" i="1"/>
  <c r="P1005" i="1"/>
  <c r="O1005" i="1"/>
  <c r="M1005" i="1"/>
  <c r="N1005" i="1" s="1"/>
  <c r="O1004" i="1"/>
  <c r="M1004" i="1"/>
  <c r="N1004" i="1" s="1"/>
  <c r="Q1003" i="1"/>
  <c r="O1003" i="1"/>
  <c r="M1003" i="1"/>
  <c r="N1003" i="1" s="1"/>
  <c r="P1003" i="1" s="1"/>
  <c r="Q1002" i="1"/>
  <c r="P1002" i="1"/>
  <c r="O1002" i="1"/>
  <c r="N1002" i="1"/>
  <c r="M1002" i="1"/>
  <c r="O1001" i="1"/>
  <c r="M1001" i="1"/>
  <c r="N1001" i="1" s="1"/>
  <c r="O1000" i="1"/>
  <c r="M1000" i="1"/>
  <c r="N1000" i="1" s="1"/>
  <c r="Q1000" i="1" s="1"/>
  <c r="P999" i="1"/>
  <c r="O999" i="1"/>
  <c r="N999" i="1"/>
  <c r="Q999" i="1" s="1"/>
  <c r="M999" i="1"/>
  <c r="P998" i="1"/>
  <c r="O998" i="1"/>
  <c r="M998" i="1"/>
  <c r="N998" i="1" s="1"/>
  <c r="Q998" i="1" s="1"/>
  <c r="O997" i="1"/>
  <c r="M997" i="1"/>
  <c r="N997" i="1" s="1"/>
  <c r="O996" i="1"/>
  <c r="M996" i="1"/>
  <c r="N996" i="1" s="1"/>
  <c r="P996" i="1" s="1"/>
  <c r="Q995" i="1"/>
  <c r="O995" i="1"/>
  <c r="N995" i="1"/>
  <c r="M995" i="1"/>
  <c r="Q994" i="1"/>
  <c r="O994" i="1"/>
  <c r="P994" i="1" s="1"/>
  <c r="N994" i="1"/>
  <c r="M994" i="1"/>
  <c r="Q993" i="1"/>
  <c r="P993" i="1"/>
  <c r="O993" i="1"/>
  <c r="M993" i="1"/>
  <c r="N993" i="1" s="1"/>
  <c r="O992" i="1"/>
  <c r="N992" i="1"/>
  <c r="M992" i="1"/>
  <c r="O991" i="1"/>
  <c r="M991" i="1"/>
  <c r="N991" i="1" s="1"/>
  <c r="Q991" i="1" s="1"/>
  <c r="O990" i="1"/>
  <c r="N990" i="1"/>
  <c r="Q990" i="1" s="1"/>
  <c r="M990" i="1"/>
  <c r="Q989" i="1"/>
  <c r="O989" i="1"/>
  <c r="M989" i="1"/>
  <c r="N989" i="1" s="1"/>
  <c r="P989" i="1" s="1"/>
  <c r="O988" i="1"/>
  <c r="N988" i="1"/>
  <c r="M988" i="1"/>
  <c r="Q987" i="1"/>
  <c r="P987" i="1"/>
  <c r="O987" i="1"/>
  <c r="M987" i="1"/>
  <c r="N987" i="1" s="1"/>
  <c r="Q986" i="1"/>
  <c r="O986" i="1"/>
  <c r="P986" i="1" s="1"/>
  <c r="N986" i="1"/>
  <c r="M986" i="1"/>
  <c r="O985" i="1"/>
  <c r="M985" i="1"/>
  <c r="N985" i="1" s="1"/>
  <c r="Q984" i="1"/>
  <c r="P984" i="1"/>
  <c r="O984" i="1"/>
  <c r="N984" i="1"/>
  <c r="M984" i="1"/>
  <c r="Q983" i="1"/>
  <c r="P983" i="1"/>
  <c r="O983" i="1"/>
  <c r="N983" i="1"/>
  <c r="M983" i="1"/>
  <c r="P982" i="1"/>
  <c r="O982" i="1"/>
  <c r="M982" i="1"/>
  <c r="N982" i="1" s="1"/>
  <c r="Q982" i="1" s="1"/>
  <c r="O981" i="1"/>
  <c r="N981" i="1"/>
  <c r="M981" i="1"/>
  <c r="Q980" i="1"/>
  <c r="P980" i="1"/>
  <c r="O980" i="1"/>
  <c r="N980" i="1"/>
  <c r="M980" i="1"/>
  <c r="Q979" i="1"/>
  <c r="O979" i="1"/>
  <c r="N979" i="1"/>
  <c r="M979" i="1"/>
  <c r="O978" i="1"/>
  <c r="M978" i="1"/>
  <c r="N978" i="1" s="1"/>
  <c r="O977" i="1"/>
  <c r="M977" i="1"/>
  <c r="N977" i="1" s="1"/>
  <c r="Q977" i="1" s="1"/>
  <c r="Q976" i="1"/>
  <c r="O976" i="1"/>
  <c r="N976" i="1"/>
  <c r="P976" i="1" s="1"/>
  <c r="M976" i="1"/>
  <c r="P975" i="1"/>
  <c r="O975" i="1"/>
  <c r="N975" i="1"/>
  <c r="Q975" i="1" s="1"/>
  <c r="M975" i="1"/>
  <c r="O974" i="1"/>
  <c r="M974" i="1"/>
  <c r="N974" i="1" s="1"/>
  <c r="Q973" i="1"/>
  <c r="P973" i="1"/>
  <c r="O973" i="1"/>
  <c r="M973" i="1"/>
  <c r="N973" i="1" s="1"/>
  <c r="O972" i="1"/>
  <c r="N972" i="1"/>
  <c r="M972" i="1"/>
  <c r="Q971" i="1"/>
  <c r="O971" i="1"/>
  <c r="P971" i="1" s="1"/>
  <c r="M971" i="1"/>
  <c r="N971" i="1" s="1"/>
  <c r="Q970" i="1"/>
  <c r="O970" i="1"/>
  <c r="P970" i="1" s="1"/>
  <c r="N970" i="1"/>
  <c r="M970" i="1"/>
  <c r="O969" i="1"/>
  <c r="N969" i="1"/>
  <c r="M969" i="1"/>
  <c r="O968" i="1"/>
  <c r="M968" i="1"/>
  <c r="N968" i="1" s="1"/>
  <c r="O967" i="1"/>
  <c r="N967" i="1"/>
  <c r="M967" i="1"/>
  <c r="O966" i="1"/>
  <c r="M966" i="1"/>
  <c r="N966" i="1" s="1"/>
  <c r="O965" i="1"/>
  <c r="N965" i="1"/>
  <c r="M965" i="1"/>
  <c r="O964" i="1"/>
  <c r="M964" i="1"/>
  <c r="N964" i="1" s="1"/>
  <c r="Q963" i="1"/>
  <c r="O963" i="1"/>
  <c r="N963" i="1"/>
  <c r="M963" i="1"/>
  <c r="O962" i="1"/>
  <c r="M962" i="1"/>
  <c r="N962" i="1" s="1"/>
  <c r="P961" i="1"/>
  <c r="O961" i="1"/>
  <c r="M961" i="1"/>
  <c r="N961" i="1" s="1"/>
  <c r="Q961" i="1" s="1"/>
  <c r="O960" i="1"/>
  <c r="N960" i="1"/>
  <c r="P960" i="1" s="1"/>
  <c r="M960" i="1"/>
  <c r="P959" i="1"/>
  <c r="O959" i="1"/>
  <c r="M959" i="1"/>
  <c r="N959" i="1" s="1"/>
  <c r="Q959" i="1" s="1"/>
  <c r="O958" i="1"/>
  <c r="M958" i="1"/>
  <c r="N958" i="1" s="1"/>
  <c r="Q957" i="1"/>
  <c r="P957" i="1"/>
  <c r="O957" i="1"/>
  <c r="M957" i="1"/>
  <c r="N957" i="1" s="1"/>
  <c r="O956" i="1"/>
  <c r="M956" i="1"/>
  <c r="N956" i="1" s="1"/>
  <c r="Q955" i="1"/>
  <c r="P955" i="1"/>
  <c r="O955" i="1"/>
  <c r="M955" i="1"/>
  <c r="N955" i="1" s="1"/>
  <c r="Q954" i="1"/>
  <c r="O954" i="1"/>
  <c r="P954" i="1" s="1"/>
  <c r="N954" i="1"/>
  <c r="M954" i="1"/>
  <c r="O953" i="1"/>
  <c r="M953" i="1"/>
  <c r="N953" i="1" s="1"/>
  <c r="O952" i="1"/>
  <c r="N952" i="1"/>
  <c r="Q952" i="1" s="1"/>
  <c r="M952" i="1"/>
  <c r="Q951" i="1"/>
  <c r="P951" i="1"/>
  <c r="O951" i="1"/>
  <c r="N951" i="1"/>
  <c r="M951" i="1"/>
  <c r="O950" i="1"/>
  <c r="M950" i="1"/>
  <c r="N950" i="1" s="1"/>
  <c r="Q950" i="1" s="1"/>
  <c r="O949" i="1"/>
  <c r="M949" i="1"/>
  <c r="N949" i="1" s="1"/>
  <c r="P949" i="1" s="1"/>
  <c r="P948" i="1"/>
  <c r="O948" i="1"/>
  <c r="N948" i="1"/>
  <c r="Q948" i="1" s="1"/>
  <c r="M948" i="1"/>
  <c r="Q947" i="1"/>
  <c r="O947" i="1"/>
  <c r="N947" i="1"/>
  <c r="M947" i="1"/>
  <c r="O946" i="1"/>
  <c r="M946" i="1"/>
  <c r="N946" i="1" s="1"/>
  <c r="Q946" i="1" s="1"/>
  <c r="O945" i="1"/>
  <c r="M945" i="1"/>
  <c r="N945" i="1" s="1"/>
  <c r="O944" i="1"/>
  <c r="N944" i="1"/>
  <c r="P944" i="1" s="1"/>
  <c r="M944" i="1"/>
  <c r="O943" i="1"/>
  <c r="M943" i="1"/>
  <c r="N943" i="1" s="1"/>
  <c r="Q943" i="1" s="1"/>
  <c r="Q942" i="1"/>
  <c r="O942" i="1"/>
  <c r="M942" i="1"/>
  <c r="N942" i="1" s="1"/>
  <c r="P942" i="1" s="1"/>
  <c r="O941" i="1"/>
  <c r="M941" i="1"/>
  <c r="N941" i="1" s="1"/>
  <c r="Q941" i="1" s="1"/>
  <c r="O940" i="1"/>
  <c r="N940" i="1"/>
  <c r="M940" i="1"/>
  <c r="Q939" i="1"/>
  <c r="P939" i="1"/>
  <c r="O939" i="1"/>
  <c r="N939" i="1"/>
  <c r="M939" i="1"/>
  <c r="Q938" i="1"/>
  <c r="P938" i="1"/>
  <c r="O938" i="1"/>
  <c r="N938" i="1"/>
  <c r="M938" i="1"/>
  <c r="O937" i="1"/>
  <c r="M937" i="1"/>
  <c r="N937" i="1" s="1"/>
  <c r="Q936" i="1"/>
  <c r="O936" i="1"/>
  <c r="P936" i="1" s="1"/>
  <c r="N936" i="1"/>
  <c r="M936" i="1"/>
  <c r="Q935" i="1"/>
  <c r="P935" i="1"/>
  <c r="O935" i="1"/>
  <c r="N935" i="1"/>
  <c r="M935" i="1"/>
  <c r="O934" i="1"/>
  <c r="M934" i="1"/>
  <c r="N934" i="1" s="1"/>
  <c r="Q934" i="1" s="1"/>
  <c r="O933" i="1"/>
  <c r="M933" i="1"/>
  <c r="N933" i="1" s="1"/>
  <c r="Q932" i="1"/>
  <c r="P932" i="1"/>
  <c r="O932" i="1"/>
  <c r="N932" i="1"/>
  <c r="M932" i="1"/>
  <c r="Q931" i="1"/>
  <c r="O931" i="1"/>
  <c r="N931" i="1"/>
  <c r="M931" i="1"/>
  <c r="O930" i="1"/>
  <c r="M930" i="1"/>
  <c r="N930" i="1" s="1"/>
  <c r="P929" i="1"/>
  <c r="O929" i="1"/>
  <c r="N929" i="1"/>
  <c r="Q929" i="1" s="1"/>
  <c r="M929" i="1"/>
  <c r="Q928" i="1"/>
  <c r="O928" i="1"/>
  <c r="N928" i="1"/>
  <c r="P928" i="1" s="1"/>
  <c r="M928" i="1"/>
  <c r="O927" i="1"/>
  <c r="M927" i="1"/>
  <c r="N927" i="1" s="1"/>
  <c r="O926" i="1"/>
  <c r="M926" i="1"/>
  <c r="N926" i="1" s="1"/>
  <c r="Q925" i="1"/>
  <c r="P925" i="1"/>
  <c r="O925" i="1"/>
  <c r="M925" i="1"/>
  <c r="N925" i="1" s="1"/>
  <c r="O924" i="1"/>
  <c r="M924" i="1"/>
  <c r="N924" i="1" s="1"/>
  <c r="O923" i="1"/>
  <c r="N923" i="1"/>
  <c r="M923" i="1"/>
  <c r="Q922" i="1"/>
  <c r="O922" i="1"/>
  <c r="P922" i="1" s="1"/>
  <c r="N922" i="1"/>
  <c r="M922" i="1"/>
  <c r="O921" i="1"/>
  <c r="M921" i="1"/>
  <c r="N921" i="1" s="1"/>
  <c r="O920" i="1"/>
  <c r="N920" i="1"/>
  <c r="M920" i="1"/>
  <c r="O919" i="1"/>
  <c r="N919" i="1"/>
  <c r="Q919" i="1" s="1"/>
  <c r="M919" i="1"/>
  <c r="O918" i="1"/>
  <c r="M918" i="1"/>
  <c r="N918" i="1" s="1"/>
  <c r="Q918" i="1" s="1"/>
  <c r="O917" i="1"/>
  <c r="M917" i="1"/>
  <c r="N917" i="1" s="1"/>
  <c r="P916" i="1"/>
  <c r="O916" i="1"/>
  <c r="N916" i="1"/>
  <c r="Q916" i="1" s="1"/>
  <c r="M916" i="1"/>
  <c r="Q915" i="1"/>
  <c r="O915" i="1"/>
  <c r="N915" i="1"/>
  <c r="P915" i="1" s="1"/>
  <c r="M915" i="1"/>
  <c r="O914" i="1"/>
  <c r="N914" i="1"/>
  <c r="Q914" i="1" s="1"/>
  <c r="M914" i="1"/>
  <c r="O913" i="1"/>
  <c r="M913" i="1"/>
  <c r="N913" i="1" s="1"/>
  <c r="Q912" i="1"/>
  <c r="O912" i="1"/>
  <c r="N912" i="1"/>
  <c r="P912" i="1" s="1"/>
  <c r="M912" i="1"/>
  <c r="O911" i="1"/>
  <c r="N911" i="1"/>
  <c r="M911" i="1"/>
  <c r="Q910" i="1"/>
  <c r="O910" i="1"/>
  <c r="M910" i="1"/>
  <c r="N910" i="1" s="1"/>
  <c r="P910" i="1" s="1"/>
  <c r="O909" i="1"/>
  <c r="M909" i="1"/>
  <c r="N909" i="1" s="1"/>
  <c r="Q909" i="1" s="1"/>
  <c r="O908" i="1"/>
  <c r="N908" i="1"/>
  <c r="M908" i="1"/>
  <c r="O907" i="1"/>
  <c r="N907" i="1"/>
  <c r="M907" i="1"/>
  <c r="Q906" i="1"/>
  <c r="P906" i="1"/>
  <c r="O906" i="1"/>
  <c r="N906" i="1"/>
  <c r="M906" i="1"/>
  <c r="O905" i="1"/>
  <c r="N905" i="1"/>
  <c r="P905" i="1" s="1"/>
  <c r="M905" i="1"/>
  <c r="O904" i="1"/>
  <c r="M904" i="1"/>
  <c r="N904" i="1" s="1"/>
  <c r="P903" i="1"/>
  <c r="O903" i="1"/>
  <c r="N903" i="1"/>
  <c r="Q903" i="1" s="1"/>
  <c r="M903" i="1"/>
  <c r="O902" i="1"/>
  <c r="M902" i="1"/>
  <c r="N902" i="1" s="1"/>
  <c r="O901" i="1"/>
  <c r="N901" i="1"/>
  <c r="Q901" i="1" s="1"/>
  <c r="M901" i="1"/>
  <c r="O900" i="1"/>
  <c r="M900" i="1"/>
  <c r="N900" i="1" s="1"/>
  <c r="Q899" i="1"/>
  <c r="O899" i="1"/>
  <c r="N899" i="1"/>
  <c r="M899" i="1"/>
  <c r="O898" i="1"/>
  <c r="N898" i="1"/>
  <c r="Q898" i="1" s="1"/>
  <c r="M898" i="1"/>
  <c r="O897" i="1"/>
  <c r="N897" i="1"/>
  <c r="Q897" i="1" s="1"/>
  <c r="M897" i="1"/>
  <c r="O896" i="1"/>
  <c r="N896" i="1"/>
  <c r="M896" i="1"/>
  <c r="O895" i="1"/>
  <c r="N895" i="1"/>
  <c r="M895" i="1"/>
  <c r="O894" i="1"/>
  <c r="M894" i="1"/>
  <c r="N894" i="1" s="1"/>
  <c r="Q893" i="1"/>
  <c r="P893" i="1"/>
  <c r="O893" i="1"/>
  <c r="M893" i="1"/>
  <c r="N893" i="1" s="1"/>
  <c r="O892" i="1"/>
  <c r="N892" i="1"/>
  <c r="M892" i="1"/>
  <c r="O891" i="1"/>
  <c r="N891" i="1"/>
  <c r="M891" i="1"/>
  <c r="O890" i="1"/>
  <c r="N890" i="1"/>
  <c r="M890" i="1"/>
  <c r="Q889" i="1"/>
  <c r="O889" i="1"/>
  <c r="N889" i="1"/>
  <c r="P889" i="1" s="1"/>
  <c r="M889" i="1"/>
  <c r="O888" i="1"/>
  <c r="M888" i="1"/>
  <c r="N888" i="1" s="1"/>
  <c r="O887" i="1"/>
  <c r="M887" i="1"/>
  <c r="N887" i="1" s="1"/>
  <c r="P886" i="1"/>
  <c r="O886" i="1"/>
  <c r="M886" i="1"/>
  <c r="N886" i="1" s="1"/>
  <c r="Q886" i="1" s="1"/>
  <c r="Q885" i="1"/>
  <c r="O885" i="1"/>
  <c r="P885" i="1" s="1"/>
  <c r="N885" i="1"/>
  <c r="M885" i="1"/>
  <c r="O884" i="1"/>
  <c r="M884" i="1"/>
  <c r="N884" i="1" s="1"/>
  <c r="Q883" i="1"/>
  <c r="O883" i="1"/>
  <c r="N883" i="1"/>
  <c r="P883" i="1" s="1"/>
  <c r="M883" i="1"/>
  <c r="Q882" i="1"/>
  <c r="P882" i="1"/>
  <c r="O882" i="1"/>
  <c r="M882" i="1"/>
  <c r="N882" i="1" s="1"/>
  <c r="O881" i="1"/>
  <c r="M881" i="1"/>
  <c r="N881" i="1" s="1"/>
  <c r="P881" i="1" s="1"/>
  <c r="O880" i="1"/>
  <c r="N880" i="1"/>
  <c r="M880" i="1"/>
  <c r="O879" i="1"/>
  <c r="M879" i="1"/>
  <c r="N879" i="1" s="1"/>
  <c r="Q878" i="1"/>
  <c r="O878" i="1"/>
  <c r="P878" i="1" s="1"/>
  <c r="M878" i="1"/>
  <c r="N878" i="1" s="1"/>
  <c r="O877" i="1"/>
  <c r="M877" i="1"/>
  <c r="N877" i="1" s="1"/>
  <c r="O876" i="1"/>
  <c r="M876" i="1"/>
  <c r="N876" i="1" s="1"/>
  <c r="O875" i="1"/>
  <c r="N875" i="1"/>
  <c r="Q875" i="1" s="1"/>
  <c r="M875" i="1"/>
  <c r="Q874" i="1"/>
  <c r="P874" i="1"/>
  <c r="O874" i="1"/>
  <c r="N874" i="1"/>
  <c r="M874" i="1"/>
  <c r="Q873" i="1"/>
  <c r="O873" i="1"/>
  <c r="N873" i="1"/>
  <c r="P873" i="1" s="1"/>
  <c r="M873" i="1"/>
  <c r="O872" i="1"/>
  <c r="N872" i="1"/>
  <c r="M872" i="1"/>
  <c r="Q871" i="1"/>
  <c r="O871" i="1"/>
  <c r="P871" i="1" s="1"/>
  <c r="N871" i="1"/>
  <c r="M871" i="1"/>
  <c r="O870" i="1"/>
  <c r="M870" i="1"/>
  <c r="N870" i="1" s="1"/>
  <c r="Q869" i="1"/>
  <c r="O869" i="1"/>
  <c r="P869" i="1" s="1"/>
  <c r="N869" i="1"/>
  <c r="M869" i="1"/>
  <c r="P868" i="1"/>
  <c r="O868" i="1"/>
  <c r="N868" i="1"/>
  <c r="Q868" i="1" s="1"/>
  <c r="M868" i="1"/>
  <c r="Q867" i="1"/>
  <c r="O867" i="1"/>
  <c r="N867" i="1"/>
  <c r="M867" i="1"/>
  <c r="O866" i="1"/>
  <c r="M866" i="1"/>
  <c r="N866" i="1" s="1"/>
  <c r="Q865" i="1"/>
  <c r="O865" i="1"/>
  <c r="M865" i="1"/>
  <c r="N865" i="1" s="1"/>
  <c r="P865" i="1" s="1"/>
  <c r="Q864" i="1"/>
  <c r="P864" i="1"/>
  <c r="O864" i="1"/>
  <c r="N864" i="1"/>
  <c r="M864" i="1"/>
  <c r="O863" i="1"/>
  <c r="M863" i="1"/>
  <c r="N863" i="1" s="1"/>
  <c r="O862" i="1"/>
  <c r="N862" i="1"/>
  <c r="M862" i="1"/>
  <c r="O861" i="1"/>
  <c r="M861" i="1"/>
  <c r="N861" i="1" s="1"/>
  <c r="O860" i="1"/>
  <c r="M860" i="1"/>
  <c r="N860" i="1" s="1"/>
  <c r="O859" i="1"/>
  <c r="P859" i="1" s="1"/>
  <c r="M859" i="1"/>
  <c r="N859" i="1" s="1"/>
  <c r="Q859" i="1" s="1"/>
  <c r="O858" i="1"/>
  <c r="N858" i="1"/>
  <c r="Q858" i="1" s="1"/>
  <c r="M858" i="1"/>
  <c r="O857" i="1"/>
  <c r="N857" i="1"/>
  <c r="M857" i="1"/>
  <c r="O856" i="1"/>
  <c r="M856" i="1"/>
  <c r="N856" i="1" s="1"/>
  <c r="O855" i="1"/>
  <c r="M855" i="1"/>
  <c r="N855" i="1" s="1"/>
  <c r="O854" i="1"/>
  <c r="P854" i="1" s="1"/>
  <c r="M854" i="1"/>
  <c r="N854" i="1" s="1"/>
  <c r="Q854" i="1" s="1"/>
  <c r="Q853" i="1"/>
  <c r="P853" i="1"/>
  <c r="O853" i="1"/>
  <c r="N853" i="1"/>
  <c r="M853" i="1"/>
  <c r="Q852" i="1"/>
  <c r="O852" i="1"/>
  <c r="N852" i="1"/>
  <c r="M852" i="1"/>
  <c r="Q851" i="1"/>
  <c r="O851" i="1"/>
  <c r="N851" i="1"/>
  <c r="P851" i="1" s="1"/>
  <c r="M851" i="1"/>
  <c r="Q850" i="1"/>
  <c r="P850" i="1"/>
  <c r="O850" i="1"/>
  <c r="N850" i="1"/>
  <c r="M850" i="1"/>
  <c r="O849" i="1"/>
  <c r="N849" i="1"/>
  <c r="M849" i="1"/>
  <c r="P848" i="1"/>
  <c r="O848" i="1"/>
  <c r="N848" i="1"/>
  <c r="Q848" i="1" s="1"/>
  <c r="M848" i="1"/>
  <c r="O847" i="1"/>
  <c r="M847" i="1"/>
  <c r="N847" i="1" s="1"/>
  <c r="Q846" i="1"/>
  <c r="O846" i="1"/>
  <c r="M846" i="1"/>
  <c r="N846" i="1" s="1"/>
  <c r="P846" i="1" s="1"/>
  <c r="O845" i="1"/>
  <c r="M845" i="1"/>
  <c r="N845" i="1" s="1"/>
  <c r="Q845" i="1" s="1"/>
  <c r="O844" i="1"/>
  <c r="N844" i="1"/>
  <c r="M844" i="1"/>
  <c r="Q843" i="1"/>
  <c r="O843" i="1"/>
  <c r="N843" i="1"/>
  <c r="P843" i="1" s="1"/>
  <c r="M843" i="1"/>
  <c r="O842" i="1"/>
  <c r="N842" i="1"/>
  <c r="M842" i="1"/>
  <c r="Q841" i="1"/>
  <c r="P841" i="1"/>
  <c r="O841" i="1"/>
  <c r="N841" i="1"/>
  <c r="M841" i="1"/>
  <c r="Q840" i="1"/>
  <c r="P840" i="1"/>
  <c r="O840" i="1"/>
  <c r="N840" i="1"/>
  <c r="M840" i="1"/>
  <c r="O839" i="1"/>
  <c r="M839" i="1"/>
  <c r="N839" i="1" s="1"/>
  <c r="P838" i="1"/>
  <c r="O838" i="1"/>
  <c r="M838" i="1"/>
  <c r="N838" i="1" s="1"/>
  <c r="Q838" i="1" s="1"/>
  <c r="O837" i="1"/>
  <c r="N837" i="1"/>
  <c r="Q837" i="1" s="1"/>
  <c r="M837" i="1"/>
  <c r="O836" i="1"/>
  <c r="M836" i="1"/>
  <c r="N836" i="1" s="1"/>
  <c r="P836" i="1" s="1"/>
  <c r="O835" i="1"/>
  <c r="M835" i="1"/>
  <c r="N835" i="1" s="1"/>
  <c r="O834" i="1"/>
  <c r="M834" i="1"/>
  <c r="N834" i="1" s="1"/>
  <c r="P834" i="1" s="1"/>
  <c r="O833" i="1"/>
  <c r="N833" i="1"/>
  <c r="Q833" i="1" s="1"/>
  <c r="M833" i="1"/>
  <c r="O832" i="1"/>
  <c r="M832" i="1"/>
  <c r="N832" i="1" s="1"/>
  <c r="Q831" i="1"/>
  <c r="P831" i="1"/>
  <c r="O831" i="1"/>
  <c r="N831" i="1"/>
  <c r="M831" i="1"/>
  <c r="O830" i="1"/>
  <c r="M830" i="1"/>
  <c r="N830" i="1" s="1"/>
  <c r="Q829" i="1"/>
  <c r="O829" i="1"/>
  <c r="M829" i="1"/>
  <c r="N829" i="1" s="1"/>
  <c r="P829" i="1" s="1"/>
  <c r="O828" i="1"/>
  <c r="M828" i="1"/>
  <c r="N828" i="1" s="1"/>
  <c r="Q827" i="1"/>
  <c r="P827" i="1"/>
  <c r="O827" i="1"/>
  <c r="M827" i="1"/>
  <c r="N827" i="1" s="1"/>
  <c r="Q826" i="1"/>
  <c r="P826" i="1"/>
  <c r="O826" i="1"/>
  <c r="N826" i="1"/>
  <c r="M826" i="1"/>
  <c r="O825" i="1"/>
  <c r="M825" i="1"/>
  <c r="N825" i="1" s="1"/>
  <c r="O824" i="1"/>
  <c r="N824" i="1"/>
  <c r="M824" i="1"/>
  <c r="O823" i="1"/>
  <c r="N823" i="1"/>
  <c r="M823" i="1"/>
  <c r="O822" i="1"/>
  <c r="M822" i="1"/>
  <c r="N822" i="1" s="1"/>
  <c r="P821" i="1"/>
  <c r="O821" i="1"/>
  <c r="N821" i="1"/>
  <c r="Q821" i="1" s="1"/>
  <c r="M821" i="1"/>
  <c r="O820" i="1"/>
  <c r="M820" i="1"/>
  <c r="N820" i="1" s="1"/>
  <c r="Q820" i="1" s="1"/>
  <c r="Q819" i="1"/>
  <c r="O819" i="1"/>
  <c r="N819" i="1"/>
  <c r="P819" i="1" s="1"/>
  <c r="M819" i="1"/>
  <c r="O818" i="1"/>
  <c r="M818" i="1"/>
  <c r="N818" i="1" s="1"/>
  <c r="Q817" i="1"/>
  <c r="O817" i="1"/>
  <c r="P817" i="1" s="1"/>
  <c r="N817" i="1"/>
  <c r="M817" i="1"/>
  <c r="O816" i="1"/>
  <c r="M816" i="1"/>
  <c r="N816" i="1" s="1"/>
  <c r="O815" i="1"/>
  <c r="M815" i="1"/>
  <c r="N815" i="1" s="1"/>
  <c r="Q815" i="1" s="1"/>
  <c r="O814" i="1"/>
  <c r="M814" i="1"/>
  <c r="N814" i="1" s="1"/>
  <c r="Q813" i="1"/>
  <c r="P813" i="1"/>
  <c r="O813" i="1"/>
  <c r="M813" i="1"/>
  <c r="N813" i="1" s="1"/>
  <c r="O812" i="1"/>
  <c r="M812" i="1"/>
  <c r="N812" i="1" s="1"/>
  <c r="Q811" i="1"/>
  <c r="O811" i="1"/>
  <c r="M811" i="1"/>
  <c r="N811" i="1" s="1"/>
  <c r="P811" i="1" s="1"/>
  <c r="O810" i="1"/>
  <c r="N810" i="1"/>
  <c r="M810" i="1"/>
  <c r="Q809" i="1"/>
  <c r="O809" i="1"/>
  <c r="M809" i="1"/>
  <c r="N809" i="1" s="1"/>
  <c r="P809" i="1" s="1"/>
  <c r="O808" i="1"/>
  <c r="N808" i="1"/>
  <c r="Q808" i="1" s="1"/>
  <c r="M808" i="1"/>
  <c r="O807" i="1"/>
  <c r="N807" i="1"/>
  <c r="Q807" i="1" s="1"/>
  <c r="M807" i="1"/>
  <c r="Q806" i="1"/>
  <c r="P806" i="1"/>
  <c r="O806" i="1"/>
  <c r="N806" i="1"/>
  <c r="M806" i="1"/>
  <c r="O805" i="1"/>
  <c r="M805" i="1"/>
  <c r="N805" i="1" s="1"/>
  <c r="P804" i="1"/>
  <c r="O804" i="1"/>
  <c r="M804" i="1"/>
  <c r="N804" i="1" s="1"/>
  <c r="Q804" i="1" s="1"/>
  <c r="O803" i="1"/>
  <c r="M803" i="1"/>
  <c r="N803" i="1" s="1"/>
  <c r="Q803" i="1" s="1"/>
  <c r="O802" i="1"/>
  <c r="M802" i="1"/>
  <c r="N802" i="1" s="1"/>
  <c r="Q801" i="1"/>
  <c r="P801" i="1"/>
  <c r="O801" i="1"/>
  <c r="N801" i="1"/>
  <c r="M801" i="1"/>
  <c r="Q800" i="1"/>
  <c r="P800" i="1"/>
  <c r="O800" i="1"/>
  <c r="N800" i="1"/>
  <c r="M800" i="1"/>
  <c r="O799" i="1"/>
  <c r="M799" i="1"/>
  <c r="N799" i="1" s="1"/>
  <c r="O798" i="1"/>
  <c r="N798" i="1"/>
  <c r="M798" i="1"/>
  <c r="O797" i="1"/>
  <c r="M797" i="1"/>
  <c r="N797" i="1" s="1"/>
  <c r="Q797" i="1" s="1"/>
  <c r="O796" i="1"/>
  <c r="N796" i="1"/>
  <c r="M796" i="1"/>
  <c r="Q795" i="1"/>
  <c r="O795" i="1"/>
  <c r="P795" i="1" s="1"/>
  <c r="N795" i="1"/>
  <c r="M795" i="1"/>
  <c r="O794" i="1"/>
  <c r="M794" i="1"/>
  <c r="N794" i="1" s="1"/>
  <c r="Q793" i="1"/>
  <c r="O793" i="1"/>
  <c r="M793" i="1"/>
  <c r="N793" i="1" s="1"/>
  <c r="P793" i="1" s="1"/>
  <c r="Q792" i="1"/>
  <c r="O792" i="1"/>
  <c r="P792" i="1" s="1"/>
  <c r="M792" i="1"/>
  <c r="N792" i="1" s="1"/>
  <c r="Q791" i="1"/>
  <c r="O791" i="1"/>
  <c r="M791" i="1"/>
  <c r="N791" i="1" s="1"/>
  <c r="P791" i="1" s="1"/>
  <c r="Q790" i="1"/>
  <c r="P790" i="1"/>
  <c r="O790" i="1"/>
  <c r="N790" i="1"/>
  <c r="M790" i="1"/>
  <c r="O789" i="1"/>
  <c r="N789" i="1"/>
  <c r="P789" i="1" s="1"/>
  <c r="M789" i="1"/>
  <c r="Q788" i="1"/>
  <c r="O788" i="1"/>
  <c r="M788" i="1"/>
  <c r="N788" i="1" s="1"/>
  <c r="P788" i="1" s="1"/>
  <c r="O787" i="1"/>
  <c r="M787" i="1"/>
  <c r="N787" i="1" s="1"/>
  <c r="Q787" i="1" s="1"/>
  <c r="O786" i="1"/>
  <c r="M786" i="1"/>
  <c r="N786" i="1" s="1"/>
  <c r="O785" i="1"/>
  <c r="M785" i="1"/>
  <c r="N785" i="1" s="1"/>
  <c r="O784" i="1"/>
  <c r="N784" i="1"/>
  <c r="M784" i="1"/>
  <c r="O783" i="1"/>
  <c r="M783" i="1"/>
  <c r="N783" i="1" s="1"/>
  <c r="P782" i="1"/>
  <c r="O782" i="1"/>
  <c r="N782" i="1"/>
  <c r="Q782" i="1" s="1"/>
  <c r="M782" i="1"/>
  <c r="Q781" i="1"/>
  <c r="O781" i="1"/>
  <c r="P781" i="1" s="1"/>
  <c r="N781" i="1"/>
  <c r="M781" i="1"/>
  <c r="O780" i="1"/>
  <c r="M780" i="1"/>
  <c r="N780" i="1" s="1"/>
  <c r="O779" i="1"/>
  <c r="M779" i="1"/>
  <c r="N779" i="1" s="1"/>
  <c r="Q778" i="1"/>
  <c r="O778" i="1"/>
  <c r="M778" i="1"/>
  <c r="N778" i="1" s="1"/>
  <c r="P778" i="1" s="1"/>
  <c r="Q777" i="1"/>
  <c r="O777" i="1"/>
  <c r="M777" i="1"/>
  <c r="N777" i="1" s="1"/>
  <c r="P777" i="1" s="1"/>
  <c r="O776" i="1"/>
  <c r="M776" i="1"/>
  <c r="N776" i="1" s="1"/>
  <c r="O775" i="1"/>
  <c r="N775" i="1"/>
  <c r="M775" i="1"/>
  <c r="Q774" i="1"/>
  <c r="P774" i="1"/>
  <c r="O774" i="1"/>
  <c r="N774" i="1"/>
  <c r="M774" i="1"/>
  <c r="O773" i="1"/>
  <c r="N773" i="1"/>
  <c r="M773" i="1"/>
  <c r="O772" i="1"/>
  <c r="M772" i="1"/>
  <c r="N772" i="1" s="1"/>
  <c r="O771" i="1"/>
  <c r="M771" i="1"/>
  <c r="N771" i="1" s="1"/>
  <c r="Q771" i="1" s="1"/>
  <c r="O770" i="1"/>
  <c r="M770" i="1"/>
  <c r="N770" i="1" s="1"/>
  <c r="Q770" i="1" s="1"/>
  <c r="O769" i="1"/>
  <c r="M769" i="1"/>
  <c r="N769" i="1" s="1"/>
  <c r="Q769" i="1" s="1"/>
  <c r="O768" i="1"/>
  <c r="N768" i="1"/>
  <c r="Q768" i="1" s="1"/>
  <c r="M768" i="1"/>
  <c r="O767" i="1"/>
  <c r="N767" i="1"/>
  <c r="M767" i="1"/>
  <c r="O766" i="1"/>
  <c r="M766" i="1"/>
  <c r="N766" i="1" s="1"/>
  <c r="O765" i="1"/>
  <c r="M765" i="1"/>
  <c r="N765" i="1" s="1"/>
  <c r="Q765" i="1" s="1"/>
  <c r="O764" i="1"/>
  <c r="N764" i="1"/>
  <c r="M764" i="1"/>
  <c r="Q763" i="1"/>
  <c r="O763" i="1"/>
  <c r="P763" i="1" s="1"/>
  <c r="N763" i="1"/>
  <c r="M763" i="1"/>
  <c r="P762" i="1"/>
  <c r="O762" i="1"/>
  <c r="N762" i="1"/>
  <c r="Q762" i="1" s="1"/>
  <c r="M762" i="1"/>
  <c r="Q761" i="1"/>
  <c r="O761" i="1"/>
  <c r="M761" i="1"/>
  <c r="N761" i="1" s="1"/>
  <c r="P761" i="1" s="1"/>
  <c r="O760" i="1"/>
  <c r="M760" i="1"/>
  <c r="N760" i="1" s="1"/>
  <c r="O759" i="1"/>
  <c r="M759" i="1"/>
  <c r="N759" i="1" s="1"/>
  <c r="Q758" i="1"/>
  <c r="P758" i="1"/>
  <c r="O758" i="1"/>
  <c r="N758" i="1"/>
  <c r="M758" i="1"/>
  <c r="Q757" i="1"/>
  <c r="P757" i="1"/>
  <c r="O757" i="1"/>
  <c r="M757" i="1"/>
  <c r="N757" i="1" s="1"/>
  <c r="O756" i="1"/>
  <c r="M756" i="1"/>
  <c r="N756" i="1" s="1"/>
  <c r="Q756" i="1" s="1"/>
  <c r="O755" i="1"/>
  <c r="M755" i="1"/>
  <c r="N755" i="1" s="1"/>
  <c r="Q755" i="1" s="1"/>
  <c r="O754" i="1"/>
  <c r="M754" i="1"/>
  <c r="N754" i="1" s="1"/>
  <c r="Q753" i="1"/>
  <c r="O753" i="1"/>
  <c r="M753" i="1"/>
  <c r="N753" i="1" s="1"/>
  <c r="P753" i="1" s="1"/>
  <c r="O752" i="1"/>
  <c r="N752" i="1"/>
  <c r="M752" i="1"/>
  <c r="O751" i="1"/>
  <c r="N751" i="1"/>
  <c r="M751" i="1"/>
  <c r="O750" i="1"/>
  <c r="M750" i="1"/>
  <c r="N750" i="1" s="1"/>
  <c r="Q749" i="1"/>
  <c r="O749" i="1"/>
  <c r="P749" i="1" s="1"/>
  <c r="N749" i="1"/>
  <c r="M749" i="1"/>
  <c r="O748" i="1"/>
  <c r="M748" i="1"/>
  <c r="N748" i="1" s="1"/>
  <c r="Q747" i="1"/>
  <c r="P747" i="1"/>
  <c r="O747" i="1"/>
  <c r="N747" i="1"/>
  <c r="M747" i="1"/>
  <c r="O746" i="1"/>
  <c r="N746" i="1"/>
  <c r="Q746" i="1" s="1"/>
  <c r="M746" i="1"/>
  <c r="Q745" i="1"/>
  <c r="O745" i="1"/>
  <c r="M745" i="1"/>
  <c r="N745" i="1" s="1"/>
  <c r="P745" i="1" s="1"/>
  <c r="O744" i="1"/>
  <c r="M744" i="1"/>
  <c r="N744" i="1" s="1"/>
  <c r="Q743" i="1"/>
  <c r="P743" i="1"/>
  <c r="O743" i="1"/>
  <c r="M743" i="1"/>
  <c r="N743" i="1" s="1"/>
  <c r="Q742" i="1"/>
  <c r="P742" i="1"/>
  <c r="O742" i="1"/>
  <c r="N742" i="1"/>
  <c r="M742" i="1"/>
  <c r="O741" i="1"/>
  <c r="N741" i="1"/>
  <c r="M741" i="1"/>
  <c r="O740" i="1"/>
  <c r="M740" i="1"/>
  <c r="N740" i="1" s="1"/>
  <c r="O739" i="1"/>
  <c r="M739" i="1"/>
  <c r="N739" i="1" s="1"/>
  <c r="P739" i="1" s="1"/>
  <c r="P738" i="1"/>
  <c r="O738" i="1"/>
  <c r="M738" i="1"/>
  <c r="N738" i="1" s="1"/>
  <c r="Q738" i="1" s="1"/>
  <c r="O737" i="1"/>
  <c r="M737" i="1"/>
  <c r="N737" i="1" s="1"/>
  <c r="O736" i="1"/>
  <c r="N736" i="1"/>
  <c r="Q736" i="1" s="1"/>
  <c r="M736" i="1"/>
  <c r="O735" i="1"/>
  <c r="N735" i="1"/>
  <c r="M735" i="1"/>
  <c r="O734" i="1"/>
  <c r="N734" i="1"/>
  <c r="M734" i="1"/>
  <c r="O733" i="1"/>
  <c r="M733" i="1"/>
  <c r="N733" i="1" s="1"/>
  <c r="O732" i="1"/>
  <c r="M732" i="1"/>
  <c r="N732" i="1" s="1"/>
  <c r="Q731" i="1"/>
  <c r="P731" i="1"/>
  <c r="O731" i="1"/>
  <c r="N731" i="1"/>
  <c r="M731" i="1"/>
  <c r="O730" i="1"/>
  <c r="M730" i="1"/>
  <c r="N730" i="1" s="1"/>
  <c r="Q730" i="1" s="1"/>
  <c r="Q729" i="1"/>
  <c r="O729" i="1"/>
  <c r="M729" i="1"/>
  <c r="N729" i="1" s="1"/>
  <c r="P729" i="1" s="1"/>
  <c r="O728" i="1"/>
  <c r="N728" i="1"/>
  <c r="M728" i="1"/>
  <c r="O727" i="1"/>
  <c r="M727" i="1"/>
  <c r="N727" i="1" s="1"/>
  <c r="P727" i="1" s="1"/>
  <c r="Q726" i="1"/>
  <c r="P726" i="1"/>
  <c r="O726" i="1"/>
  <c r="N726" i="1"/>
  <c r="M726" i="1"/>
  <c r="O725" i="1"/>
  <c r="M725" i="1"/>
  <c r="N725" i="1" s="1"/>
  <c r="Q724" i="1"/>
  <c r="O724" i="1"/>
  <c r="M724" i="1"/>
  <c r="N724" i="1" s="1"/>
  <c r="P724" i="1" s="1"/>
  <c r="P723" i="1"/>
  <c r="O723" i="1"/>
  <c r="M723" i="1"/>
  <c r="N723" i="1" s="1"/>
  <c r="Q723" i="1" s="1"/>
  <c r="O722" i="1"/>
  <c r="M722" i="1"/>
  <c r="N722" i="1" s="1"/>
  <c r="O721" i="1"/>
  <c r="M721" i="1"/>
  <c r="N721" i="1" s="1"/>
  <c r="O720" i="1"/>
  <c r="N720" i="1"/>
  <c r="M720" i="1"/>
  <c r="O719" i="1"/>
  <c r="N719" i="1"/>
  <c r="M719" i="1"/>
  <c r="Q718" i="1"/>
  <c r="P718" i="1"/>
  <c r="O718" i="1"/>
  <c r="M718" i="1"/>
  <c r="N718" i="1" s="1"/>
  <c r="Q717" i="1"/>
  <c r="O717" i="1"/>
  <c r="P717" i="1" s="1"/>
  <c r="N717" i="1"/>
  <c r="M717" i="1"/>
  <c r="O716" i="1"/>
  <c r="N716" i="1"/>
  <c r="M716" i="1"/>
  <c r="O715" i="1"/>
  <c r="M715" i="1"/>
  <c r="N715" i="1" s="1"/>
  <c r="O714" i="1"/>
  <c r="N714" i="1"/>
  <c r="Q714" i="1" s="1"/>
  <c r="M714" i="1"/>
  <c r="Q713" i="1"/>
  <c r="O713" i="1"/>
  <c r="M713" i="1"/>
  <c r="N713" i="1" s="1"/>
  <c r="P713" i="1" s="1"/>
  <c r="O712" i="1"/>
  <c r="N712" i="1"/>
  <c r="M712" i="1"/>
  <c r="P711" i="1"/>
  <c r="O711" i="1"/>
  <c r="N711" i="1"/>
  <c r="Q711" i="1" s="1"/>
  <c r="M711" i="1"/>
  <c r="Q710" i="1"/>
  <c r="P710" i="1"/>
  <c r="O710" i="1"/>
  <c r="N710" i="1"/>
  <c r="M710" i="1"/>
  <c r="O709" i="1"/>
  <c r="M709" i="1"/>
  <c r="N709" i="1" s="1"/>
  <c r="P708" i="1"/>
  <c r="O708" i="1"/>
  <c r="N708" i="1"/>
  <c r="Q708" i="1" s="1"/>
  <c r="M708" i="1"/>
  <c r="Q707" i="1"/>
  <c r="P707" i="1"/>
  <c r="O707" i="1"/>
  <c r="M707" i="1"/>
  <c r="N707" i="1" s="1"/>
  <c r="P706" i="1"/>
  <c r="O706" i="1"/>
  <c r="M706" i="1"/>
  <c r="N706" i="1" s="1"/>
  <c r="Q706" i="1" s="1"/>
  <c r="O705" i="1"/>
  <c r="N705" i="1"/>
  <c r="M705" i="1"/>
  <c r="O704" i="1"/>
  <c r="N704" i="1"/>
  <c r="M704" i="1"/>
  <c r="O703" i="1"/>
  <c r="M703" i="1"/>
  <c r="N703" i="1" s="1"/>
  <c r="O702" i="1"/>
  <c r="N702" i="1"/>
  <c r="M702" i="1"/>
  <c r="O701" i="1"/>
  <c r="M701" i="1"/>
  <c r="N701" i="1" s="1"/>
  <c r="O700" i="1"/>
  <c r="M700" i="1"/>
  <c r="N700" i="1" s="1"/>
  <c r="Q699" i="1"/>
  <c r="O699" i="1"/>
  <c r="P699" i="1" s="1"/>
  <c r="N699" i="1"/>
  <c r="M699" i="1"/>
  <c r="O698" i="1"/>
  <c r="M698" i="1"/>
  <c r="N698" i="1" s="1"/>
  <c r="O697" i="1"/>
  <c r="M697" i="1"/>
  <c r="N697" i="1" s="1"/>
  <c r="O696" i="1"/>
  <c r="M696" i="1"/>
  <c r="N696" i="1" s="1"/>
  <c r="Q696" i="1" s="1"/>
  <c r="Q695" i="1"/>
  <c r="O695" i="1"/>
  <c r="M695" i="1"/>
  <c r="N695" i="1" s="1"/>
  <c r="P695" i="1" s="1"/>
  <c r="Q694" i="1"/>
  <c r="P694" i="1"/>
  <c r="O694" i="1"/>
  <c r="N694" i="1"/>
  <c r="M694" i="1"/>
  <c r="O693" i="1"/>
  <c r="M693" i="1"/>
  <c r="N693" i="1" s="1"/>
  <c r="Q692" i="1"/>
  <c r="P692" i="1"/>
  <c r="O692" i="1"/>
  <c r="N692" i="1"/>
  <c r="M692" i="1"/>
  <c r="O691" i="1"/>
  <c r="M691" i="1"/>
  <c r="N691" i="1" s="1"/>
  <c r="Q691" i="1" s="1"/>
  <c r="O690" i="1"/>
  <c r="M690" i="1"/>
  <c r="N690" i="1" s="1"/>
  <c r="O689" i="1"/>
  <c r="P689" i="1" s="1"/>
  <c r="M689" i="1"/>
  <c r="N689" i="1" s="1"/>
  <c r="Q689" i="1" s="1"/>
  <c r="O688" i="1"/>
  <c r="N688" i="1"/>
  <c r="M688" i="1"/>
  <c r="O687" i="1"/>
  <c r="M687" i="1"/>
  <c r="N687" i="1" s="1"/>
  <c r="O686" i="1"/>
  <c r="M686" i="1"/>
  <c r="N686" i="1" s="1"/>
  <c r="Q685" i="1"/>
  <c r="P685" i="1"/>
  <c r="O685" i="1"/>
  <c r="N685" i="1"/>
  <c r="M685" i="1"/>
  <c r="O684" i="1"/>
  <c r="M684" i="1"/>
  <c r="N684" i="1" s="1"/>
  <c r="O683" i="1"/>
  <c r="N683" i="1"/>
  <c r="Q683" i="1" s="1"/>
  <c r="M683" i="1"/>
  <c r="O682" i="1"/>
  <c r="N682" i="1"/>
  <c r="M682" i="1"/>
  <c r="Q681" i="1"/>
  <c r="O681" i="1"/>
  <c r="M681" i="1"/>
  <c r="N681" i="1" s="1"/>
  <c r="P681" i="1" s="1"/>
  <c r="P680" i="1"/>
  <c r="O680" i="1"/>
  <c r="N680" i="1"/>
  <c r="Q680" i="1" s="1"/>
  <c r="M680" i="1"/>
  <c r="O679" i="1"/>
  <c r="M679" i="1"/>
  <c r="N679" i="1" s="1"/>
  <c r="Q678" i="1"/>
  <c r="P678" i="1"/>
  <c r="O678" i="1"/>
  <c r="N678" i="1"/>
  <c r="M678" i="1"/>
  <c r="O677" i="1"/>
  <c r="N677" i="1"/>
  <c r="M677" i="1"/>
  <c r="Q676" i="1"/>
  <c r="P676" i="1"/>
  <c r="O676" i="1"/>
  <c r="M676" i="1"/>
  <c r="N676" i="1" s="1"/>
  <c r="O675" i="1"/>
  <c r="M675" i="1"/>
  <c r="N675" i="1" s="1"/>
  <c r="Q675" i="1" s="1"/>
  <c r="P674" i="1"/>
  <c r="O674" i="1"/>
  <c r="N674" i="1"/>
  <c r="Q674" i="1" s="1"/>
  <c r="M674" i="1"/>
  <c r="O673" i="1"/>
  <c r="M673" i="1"/>
  <c r="N673" i="1" s="1"/>
  <c r="O672" i="1"/>
  <c r="N672" i="1"/>
  <c r="Q672" i="1" s="1"/>
  <c r="M672" i="1"/>
  <c r="O671" i="1"/>
  <c r="M671" i="1"/>
  <c r="N671" i="1" s="1"/>
  <c r="O670" i="1"/>
  <c r="M670" i="1"/>
  <c r="N670" i="1" s="1"/>
  <c r="O669" i="1"/>
  <c r="M669" i="1"/>
  <c r="N669" i="1" s="1"/>
  <c r="O668" i="1"/>
  <c r="M668" i="1"/>
  <c r="N668" i="1" s="1"/>
  <c r="Q667" i="1"/>
  <c r="O667" i="1"/>
  <c r="P667" i="1" s="1"/>
  <c r="N667" i="1"/>
  <c r="M667" i="1"/>
  <c r="O666" i="1"/>
  <c r="P666" i="1" s="1"/>
  <c r="N666" i="1"/>
  <c r="Q666" i="1" s="1"/>
  <c r="M666" i="1"/>
  <c r="O665" i="1"/>
  <c r="M665" i="1"/>
  <c r="N665" i="1" s="1"/>
  <c r="P665" i="1" s="1"/>
  <c r="O664" i="1"/>
  <c r="M664" i="1"/>
  <c r="N664" i="1" s="1"/>
  <c r="P664" i="1" s="1"/>
  <c r="O663" i="1"/>
  <c r="M663" i="1"/>
  <c r="N663" i="1" s="1"/>
  <c r="P663" i="1" s="1"/>
  <c r="Q662" i="1"/>
  <c r="P662" i="1"/>
  <c r="O662" i="1"/>
  <c r="N662" i="1"/>
  <c r="M662" i="1"/>
  <c r="Q661" i="1"/>
  <c r="P661" i="1"/>
  <c r="O661" i="1"/>
  <c r="N661" i="1"/>
  <c r="M661" i="1"/>
  <c r="Q660" i="1"/>
  <c r="P660" i="1"/>
  <c r="O660" i="1"/>
  <c r="N660" i="1"/>
  <c r="M660" i="1"/>
  <c r="O659" i="1"/>
  <c r="P659" i="1" s="1"/>
  <c r="M659" i="1"/>
  <c r="N659" i="1" s="1"/>
  <c r="Q659" i="1" s="1"/>
  <c r="O658" i="1"/>
  <c r="M658" i="1"/>
  <c r="N658" i="1" s="1"/>
  <c r="Q658" i="1" s="1"/>
  <c r="O657" i="1"/>
  <c r="M657" i="1"/>
  <c r="N657" i="1" s="1"/>
  <c r="Q657" i="1" s="1"/>
  <c r="O656" i="1"/>
  <c r="N656" i="1"/>
  <c r="M656" i="1"/>
  <c r="O655" i="1"/>
  <c r="M655" i="1"/>
  <c r="N655" i="1" s="1"/>
  <c r="O654" i="1"/>
  <c r="M654" i="1"/>
  <c r="N654" i="1" s="1"/>
  <c r="Q654" i="1" s="1"/>
  <c r="Q653" i="1"/>
  <c r="P653" i="1"/>
  <c r="O653" i="1"/>
  <c r="N653" i="1"/>
  <c r="M653" i="1"/>
  <c r="O652" i="1"/>
  <c r="M652" i="1"/>
  <c r="N652" i="1" s="1"/>
  <c r="O651" i="1"/>
  <c r="N651" i="1"/>
  <c r="Q651" i="1" s="1"/>
  <c r="M651" i="1"/>
  <c r="O650" i="1"/>
  <c r="N650" i="1"/>
  <c r="Q650" i="1" s="1"/>
  <c r="M650" i="1"/>
  <c r="Q649" i="1"/>
  <c r="O649" i="1"/>
  <c r="M649" i="1"/>
  <c r="N649" i="1" s="1"/>
  <c r="P649" i="1" s="1"/>
  <c r="O648" i="1"/>
  <c r="M648" i="1"/>
  <c r="N648" i="1" s="1"/>
  <c r="O647" i="1"/>
  <c r="N647" i="1"/>
  <c r="M647" i="1"/>
  <c r="Q646" i="1"/>
  <c r="P646" i="1"/>
  <c r="O646" i="1"/>
  <c r="N646" i="1"/>
  <c r="M646" i="1"/>
  <c r="O645" i="1"/>
  <c r="M645" i="1"/>
  <c r="N645" i="1" s="1"/>
  <c r="O644" i="1"/>
  <c r="N644" i="1"/>
  <c r="M644" i="1"/>
  <c r="O643" i="1"/>
  <c r="M643" i="1"/>
  <c r="N643" i="1" s="1"/>
  <c r="P642" i="1"/>
  <c r="O642" i="1"/>
  <c r="N642" i="1"/>
  <c r="Q642" i="1" s="1"/>
  <c r="M642" i="1"/>
  <c r="O641" i="1"/>
  <c r="M641" i="1"/>
  <c r="N641" i="1" s="1"/>
  <c r="P640" i="1"/>
  <c r="O640" i="1"/>
  <c r="N640" i="1"/>
  <c r="Q640" i="1" s="1"/>
  <c r="M640" i="1"/>
  <c r="O639" i="1"/>
  <c r="N639" i="1"/>
  <c r="M639" i="1"/>
  <c r="O638" i="1"/>
  <c r="N638" i="1"/>
  <c r="M638" i="1"/>
  <c r="O637" i="1"/>
  <c r="M637" i="1"/>
  <c r="N637" i="1" s="1"/>
  <c r="O636" i="1"/>
  <c r="M636" i="1"/>
  <c r="N636" i="1" s="1"/>
  <c r="Q635" i="1"/>
  <c r="P635" i="1"/>
  <c r="O635" i="1"/>
  <c r="N635" i="1"/>
  <c r="M635" i="1"/>
  <c r="P634" i="1"/>
  <c r="O634" i="1"/>
  <c r="M634" i="1"/>
  <c r="N634" i="1" s="1"/>
  <c r="Q634" i="1" s="1"/>
  <c r="Q633" i="1"/>
  <c r="O633" i="1"/>
  <c r="M633" i="1"/>
  <c r="N633" i="1" s="1"/>
  <c r="P633" i="1" s="1"/>
  <c r="O632" i="1"/>
  <c r="N632" i="1"/>
  <c r="M632" i="1"/>
  <c r="O631" i="1"/>
  <c r="M631" i="1"/>
  <c r="N631" i="1" s="1"/>
  <c r="P631" i="1" s="1"/>
  <c r="Q630" i="1"/>
  <c r="P630" i="1"/>
  <c r="O630" i="1"/>
  <c r="N630" i="1"/>
  <c r="M630" i="1"/>
  <c r="O629" i="1"/>
  <c r="M629" i="1"/>
  <c r="N629" i="1" s="1"/>
  <c r="Q628" i="1"/>
  <c r="P628" i="1"/>
  <c r="O628" i="1"/>
  <c r="N628" i="1"/>
  <c r="M628" i="1"/>
  <c r="O627" i="1"/>
  <c r="M627" i="1"/>
  <c r="N627" i="1" s="1"/>
  <c r="Q627" i="1" s="1"/>
  <c r="O626" i="1"/>
  <c r="M626" i="1"/>
  <c r="N626" i="1" s="1"/>
  <c r="O625" i="1"/>
  <c r="N625" i="1"/>
  <c r="M625" i="1"/>
  <c r="O624" i="1"/>
  <c r="N624" i="1"/>
  <c r="M624" i="1"/>
  <c r="O623" i="1"/>
  <c r="M623" i="1"/>
  <c r="N623" i="1" s="1"/>
  <c r="Q622" i="1"/>
  <c r="O622" i="1"/>
  <c r="M622" i="1"/>
  <c r="N622" i="1" s="1"/>
  <c r="P622" i="1" s="1"/>
  <c r="Q621" i="1"/>
  <c r="O621" i="1"/>
  <c r="P621" i="1" s="1"/>
  <c r="N621" i="1"/>
  <c r="M621" i="1"/>
  <c r="O620" i="1"/>
  <c r="N620" i="1"/>
  <c r="M620" i="1"/>
  <c r="O619" i="1"/>
  <c r="N619" i="1"/>
  <c r="Q619" i="1" s="1"/>
  <c r="M619" i="1"/>
  <c r="O618" i="1"/>
  <c r="M618" i="1"/>
  <c r="N618" i="1" s="1"/>
  <c r="Q617" i="1"/>
  <c r="O617" i="1"/>
  <c r="M617" i="1"/>
  <c r="N617" i="1" s="1"/>
  <c r="P617" i="1" s="1"/>
  <c r="O616" i="1"/>
  <c r="P616" i="1" s="1"/>
  <c r="M616" i="1"/>
  <c r="N616" i="1" s="1"/>
  <c r="Q616" i="1" s="1"/>
  <c r="Q615" i="1"/>
  <c r="P615" i="1"/>
  <c r="O615" i="1"/>
  <c r="M615" i="1"/>
  <c r="N615" i="1" s="1"/>
  <c r="Q614" i="1"/>
  <c r="P614" i="1"/>
  <c r="O614" i="1"/>
  <c r="N614" i="1"/>
  <c r="M614" i="1"/>
  <c r="O613" i="1"/>
  <c r="M613" i="1"/>
  <c r="N613" i="1" s="1"/>
  <c r="Q612" i="1"/>
  <c r="O612" i="1"/>
  <c r="N612" i="1"/>
  <c r="P612" i="1" s="1"/>
  <c r="M612" i="1"/>
  <c r="Q611" i="1"/>
  <c r="O611" i="1"/>
  <c r="M611" i="1"/>
  <c r="N611" i="1" s="1"/>
  <c r="P611" i="1" s="1"/>
  <c r="P610" i="1"/>
  <c r="O610" i="1"/>
  <c r="N610" i="1"/>
  <c r="Q610" i="1" s="1"/>
  <c r="M610" i="1"/>
  <c r="O609" i="1"/>
  <c r="N609" i="1"/>
  <c r="Q609" i="1" s="1"/>
  <c r="M609" i="1"/>
  <c r="Q608" i="1"/>
  <c r="O608" i="1"/>
  <c r="P608" i="1" s="1"/>
  <c r="N608" i="1"/>
  <c r="M608" i="1"/>
  <c r="O607" i="1"/>
  <c r="M607" i="1"/>
  <c r="N607" i="1" s="1"/>
  <c r="O606" i="1"/>
  <c r="M606" i="1"/>
  <c r="N606" i="1" s="1"/>
  <c r="O605" i="1"/>
  <c r="N605" i="1"/>
  <c r="M605" i="1"/>
  <c r="O604" i="1"/>
  <c r="M604" i="1"/>
  <c r="N604" i="1" s="1"/>
  <c r="Q603" i="1"/>
  <c r="O603" i="1"/>
  <c r="P603" i="1" s="1"/>
  <c r="N603" i="1"/>
  <c r="M603" i="1"/>
  <c r="O602" i="1"/>
  <c r="M602" i="1"/>
  <c r="N602" i="1" s="1"/>
  <c r="O601" i="1"/>
  <c r="M601" i="1"/>
  <c r="N601" i="1" s="1"/>
  <c r="P601" i="1" s="1"/>
  <c r="O600" i="1"/>
  <c r="M600" i="1"/>
  <c r="N600" i="1" s="1"/>
  <c r="O599" i="1"/>
  <c r="M599" i="1"/>
  <c r="N599" i="1" s="1"/>
  <c r="P599" i="1" s="1"/>
  <c r="Q598" i="1"/>
  <c r="P598" i="1"/>
  <c r="O598" i="1"/>
  <c r="N598" i="1"/>
  <c r="M598" i="1"/>
  <c r="Q597" i="1"/>
  <c r="P597" i="1"/>
  <c r="O597" i="1"/>
  <c r="M597" i="1"/>
  <c r="N597" i="1" s="1"/>
  <c r="Q596" i="1"/>
  <c r="P596" i="1"/>
  <c r="O596" i="1"/>
  <c r="N596" i="1"/>
  <c r="M596" i="1"/>
  <c r="O595" i="1"/>
  <c r="M595" i="1"/>
  <c r="N595" i="1" s="1"/>
  <c r="Q595" i="1" s="1"/>
  <c r="O594" i="1"/>
  <c r="M594" i="1"/>
  <c r="N594" i="1" s="1"/>
  <c r="O593" i="1"/>
  <c r="N593" i="1"/>
  <c r="P593" i="1" s="1"/>
  <c r="M593" i="1"/>
  <c r="O592" i="1"/>
  <c r="N592" i="1"/>
  <c r="M592" i="1"/>
  <c r="O591" i="1"/>
  <c r="N591" i="1"/>
  <c r="M591" i="1"/>
  <c r="O590" i="1"/>
  <c r="M590" i="1"/>
  <c r="N590" i="1" s="1"/>
  <c r="Q589" i="1"/>
  <c r="O589" i="1"/>
  <c r="P589" i="1" s="1"/>
  <c r="N589" i="1"/>
  <c r="M589" i="1"/>
  <c r="O588" i="1"/>
  <c r="M588" i="1"/>
  <c r="N588" i="1" s="1"/>
  <c r="O587" i="1"/>
  <c r="M587" i="1"/>
  <c r="N587" i="1" s="1"/>
  <c r="O586" i="1"/>
  <c r="N586" i="1"/>
  <c r="M586" i="1"/>
  <c r="Q585" i="1"/>
  <c r="O585" i="1"/>
  <c r="M585" i="1"/>
  <c r="N585" i="1" s="1"/>
  <c r="P585" i="1" s="1"/>
  <c r="P584" i="1"/>
  <c r="O584" i="1"/>
  <c r="M584" i="1"/>
  <c r="N584" i="1" s="1"/>
  <c r="Q584" i="1" s="1"/>
  <c r="O583" i="1"/>
  <c r="M583" i="1"/>
  <c r="N583" i="1" s="1"/>
  <c r="Q582" i="1"/>
  <c r="P582" i="1"/>
  <c r="O582" i="1"/>
  <c r="N582" i="1"/>
  <c r="M582" i="1"/>
  <c r="O581" i="1"/>
  <c r="N581" i="1"/>
  <c r="M581" i="1"/>
  <c r="O580" i="1"/>
  <c r="N580" i="1"/>
  <c r="Q580" i="1" s="1"/>
  <c r="M580" i="1"/>
  <c r="O579" i="1"/>
  <c r="M579" i="1"/>
  <c r="N579" i="1" s="1"/>
  <c r="P578" i="1"/>
  <c r="O578" i="1"/>
  <c r="N578" i="1"/>
  <c r="Q578" i="1" s="1"/>
  <c r="M578" i="1"/>
  <c r="O577" i="1"/>
  <c r="M577" i="1"/>
  <c r="N577" i="1" s="1"/>
  <c r="Q577" i="1" s="1"/>
  <c r="O576" i="1"/>
  <c r="N576" i="1"/>
  <c r="Q576" i="1" s="1"/>
  <c r="M576" i="1"/>
  <c r="O575" i="1"/>
  <c r="M575" i="1"/>
  <c r="N575" i="1" s="1"/>
  <c r="O574" i="1"/>
  <c r="M574" i="1"/>
  <c r="N574" i="1" s="1"/>
  <c r="Q573" i="1"/>
  <c r="O573" i="1"/>
  <c r="M573" i="1"/>
  <c r="N573" i="1" s="1"/>
  <c r="P573" i="1" s="1"/>
  <c r="O572" i="1"/>
  <c r="N572" i="1"/>
  <c r="M572" i="1"/>
  <c r="Q571" i="1"/>
  <c r="O571" i="1"/>
  <c r="P571" i="1" s="1"/>
  <c r="N571" i="1"/>
  <c r="M571" i="1"/>
  <c r="O570" i="1"/>
  <c r="M570" i="1"/>
  <c r="N570" i="1" s="1"/>
  <c r="Q569" i="1"/>
  <c r="O569" i="1"/>
  <c r="M569" i="1"/>
  <c r="N569" i="1" s="1"/>
  <c r="P569" i="1" s="1"/>
  <c r="O568" i="1"/>
  <c r="M568" i="1"/>
  <c r="N568" i="1" s="1"/>
  <c r="O567" i="1"/>
  <c r="M567" i="1"/>
  <c r="N567" i="1" s="1"/>
  <c r="Q566" i="1"/>
  <c r="P566" i="1"/>
  <c r="O566" i="1"/>
  <c r="N566" i="1"/>
  <c r="M566" i="1"/>
  <c r="O565" i="1"/>
  <c r="M565" i="1"/>
  <c r="N565" i="1" s="1"/>
  <c r="Q565" i="1" s="1"/>
  <c r="Q564" i="1"/>
  <c r="P564" i="1"/>
  <c r="O564" i="1"/>
  <c r="N564" i="1"/>
  <c r="M564" i="1"/>
  <c r="Q563" i="1"/>
  <c r="P563" i="1"/>
  <c r="O563" i="1"/>
  <c r="M563" i="1"/>
  <c r="N563" i="1" s="1"/>
  <c r="O562" i="1"/>
  <c r="M562" i="1"/>
  <c r="N562" i="1" s="1"/>
  <c r="O561" i="1"/>
  <c r="N561" i="1"/>
  <c r="Q561" i="1" s="1"/>
  <c r="M561" i="1"/>
  <c r="O560" i="1"/>
  <c r="N560" i="1"/>
  <c r="M560" i="1"/>
  <c r="O559" i="1"/>
  <c r="N559" i="1"/>
  <c r="M559" i="1"/>
  <c r="O558" i="1"/>
  <c r="N558" i="1"/>
  <c r="Q558" i="1" s="1"/>
  <c r="M558" i="1"/>
  <c r="Q557" i="1"/>
  <c r="O557" i="1"/>
  <c r="P557" i="1" s="1"/>
  <c r="N557" i="1"/>
  <c r="M557" i="1"/>
  <c r="O556" i="1"/>
  <c r="M556" i="1"/>
  <c r="N556" i="1" s="1"/>
  <c r="Q555" i="1"/>
  <c r="P555" i="1"/>
  <c r="O555" i="1"/>
  <c r="M555" i="1"/>
  <c r="N555" i="1" s="1"/>
  <c r="Q554" i="1"/>
  <c r="P554" i="1"/>
  <c r="O554" i="1"/>
  <c r="M554" i="1"/>
  <c r="N554" i="1" s="1"/>
  <c r="Q553" i="1"/>
  <c r="O553" i="1"/>
  <c r="M553" i="1"/>
  <c r="N553" i="1" s="1"/>
  <c r="P553" i="1" s="1"/>
  <c r="O552" i="1"/>
  <c r="M552" i="1"/>
  <c r="N552" i="1" s="1"/>
  <c r="O551" i="1"/>
  <c r="N551" i="1"/>
  <c r="Q551" i="1" s="1"/>
  <c r="M551" i="1"/>
  <c r="Q550" i="1"/>
  <c r="P550" i="1"/>
  <c r="O550" i="1"/>
  <c r="N550" i="1"/>
  <c r="M550" i="1"/>
  <c r="O549" i="1"/>
  <c r="M549" i="1"/>
  <c r="N549" i="1" s="1"/>
  <c r="O548" i="1"/>
  <c r="M548" i="1"/>
  <c r="N548" i="1" s="1"/>
  <c r="O547" i="1"/>
  <c r="P547" i="1" s="1"/>
  <c r="M547" i="1"/>
  <c r="N547" i="1" s="1"/>
  <c r="Q547" i="1" s="1"/>
  <c r="P546" i="1"/>
  <c r="O546" i="1"/>
  <c r="N546" i="1"/>
  <c r="Q546" i="1" s="1"/>
  <c r="M546" i="1"/>
  <c r="O545" i="1"/>
  <c r="M545" i="1"/>
  <c r="N545" i="1" s="1"/>
  <c r="Q544" i="1"/>
  <c r="P544" i="1"/>
  <c r="O544" i="1"/>
  <c r="N544" i="1"/>
  <c r="M544" i="1"/>
  <c r="O543" i="1"/>
  <c r="M543" i="1"/>
  <c r="N543" i="1" s="1"/>
  <c r="O542" i="1"/>
  <c r="M542" i="1"/>
  <c r="N542" i="1" s="1"/>
  <c r="O541" i="1"/>
  <c r="M541" i="1"/>
  <c r="N541" i="1" s="1"/>
  <c r="O540" i="1"/>
  <c r="N540" i="1"/>
  <c r="M540" i="1"/>
  <c r="Q539" i="1"/>
  <c r="O539" i="1"/>
  <c r="P539" i="1" s="1"/>
  <c r="N539" i="1"/>
  <c r="M539" i="1"/>
  <c r="O538" i="1"/>
  <c r="M538" i="1"/>
  <c r="N538" i="1" s="1"/>
  <c r="O537" i="1"/>
  <c r="M537" i="1"/>
  <c r="N537" i="1" s="1"/>
  <c r="P537" i="1" s="1"/>
  <c r="Q536" i="1"/>
  <c r="P536" i="1"/>
  <c r="O536" i="1"/>
  <c r="N536" i="1"/>
  <c r="M536" i="1"/>
  <c r="Q535" i="1"/>
  <c r="O535" i="1"/>
  <c r="M535" i="1"/>
  <c r="N535" i="1" s="1"/>
  <c r="P535" i="1" s="1"/>
  <c r="Q534" i="1"/>
  <c r="P534" i="1"/>
  <c r="O534" i="1"/>
  <c r="N534" i="1"/>
  <c r="M534" i="1"/>
  <c r="O533" i="1"/>
  <c r="M533" i="1"/>
  <c r="N533" i="1" s="1"/>
  <c r="Q532" i="1"/>
  <c r="P532" i="1"/>
  <c r="O532" i="1"/>
  <c r="N532" i="1"/>
  <c r="M532" i="1"/>
  <c r="Q531" i="1"/>
  <c r="P531" i="1"/>
  <c r="O531" i="1"/>
  <c r="M531" i="1"/>
  <c r="N531" i="1" s="1"/>
  <c r="O530" i="1"/>
  <c r="M530" i="1"/>
  <c r="N530" i="1" s="1"/>
  <c r="O529" i="1"/>
  <c r="P529" i="1" s="1"/>
  <c r="N529" i="1"/>
  <c r="Q529" i="1" s="1"/>
  <c r="M529" i="1"/>
  <c r="O528" i="1"/>
  <c r="N528" i="1"/>
  <c r="M528" i="1"/>
  <c r="O527" i="1"/>
  <c r="N527" i="1"/>
  <c r="M527" i="1"/>
  <c r="O526" i="1"/>
  <c r="M526" i="1"/>
  <c r="N526" i="1" s="1"/>
  <c r="Q525" i="1"/>
  <c r="O525" i="1"/>
  <c r="P525" i="1" s="1"/>
  <c r="N525" i="1"/>
  <c r="M525" i="1"/>
  <c r="O524" i="1"/>
  <c r="N524" i="1"/>
  <c r="M524" i="1"/>
  <c r="O523" i="1"/>
  <c r="M523" i="1"/>
  <c r="N523" i="1" s="1"/>
  <c r="Q523" i="1" s="1"/>
  <c r="O522" i="1"/>
  <c r="M522" i="1"/>
  <c r="N522" i="1" s="1"/>
  <c r="Q521" i="1"/>
  <c r="O521" i="1"/>
  <c r="M521" i="1"/>
  <c r="N521" i="1" s="1"/>
  <c r="P521" i="1" s="1"/>
  <c r="O520" i="1"/>
  <c r="N520" i="1"/>
  <c r="M520" i="1"/>
  <c r="O519" i="1"/>
  <c r="M519" i="1"/>
  <c r="N519" i="1" s="1"/>
  <c r="P519" i="1" s="1"/>
  <c r="Q518" i="1"/>
  <c r="P518" i="1"/>
  <c r="O518" i="1"/>
  <c r="N518" i="1"/>
  <c r="M518" i="1"/>
  <c r="O517" i="1"/>
  <c r="N517" i="1"/>
  <c r="M517" i="1"/>
  <c r="O516" i="1"/>
  <c r="N516" i="1"/>
  <c r="Q516" i="1" s="1"/>
  <c r="M516" i="1"/>
  <c r="Q515" i="1"/>
  <c r="O515" i="1"/>
  <c r="P515" i="1" s="1"/>
  <c r="M515" i="1"/>
  <c r="N515" i="1" s="1"/>
  <c r="P514" i="1"/>
  <c r="O514" i="1"/>
  <c r="N514" i="1"/>
  <c r="Q514" i="1" s="1"/>
  <c r="M514" i="1"/>
  <c r="Q513" i="1"/>
  <c r="O513" i="1"/>
  <c r="N513" i="1"/>
  <c r="P513" i="1" s="1"/>
  <c r="M513" i="1"/>
  <c r="Q512" i="1"/>
  <c r="P512" i="1"/>
  <c r="O512" i="1"/>
  <c r="N512" i="1"/>
  <c r="M512" i="1"/>
  <c r="O511" i="1"/>
  <c r="M511" i="1"/>
  <c r="N511" i="1" s="1"/>
  <c r="O510" i="1"/>
  <c r="M510" i="1"/>
  <c r="N510" i="1" s="1"/>
  <c r="O509" i="1"/>
  <c r="M509" i="1"/>
  <c r="N509" i="1" s="1"/>
  <c r="Q509" i="1" s="1"/>
  <c r="O508" i="1"/>
  <c r="N508" i="1"/>
  <c r="M508" i="1"/>
  <c r="Q507" i="1"/>
  <c r="O507" i="1"/>
  <c r="P507" i="1" s="1"/>
  <c r="N507" i="1"/>
  <c r="M507" i="1"/>
  <c r="O506" i="1"/>
  <c r="M506" i="1"/>
  <c r="N506" i="1" s="1"/>
  <c r="Q505" i="1"/>
  <c r="O505" i="1"/>
  <c r="M505" i="1"/>
  <c r="N505" i="1" s="1"/>
  <c r="P505" i="1" s="1"/>
  <c r="Q504" i="1"/>
  <c r="O504" i="1"/>
  <c r="P504" i="1" s="1"/>
  <c r="M504" i="1"/>
  <c r="N504" i="1" s="1"/>
  <c r="Q503" i="1"/>
  <c r="O503" i="1"/>
  <c r="M503" i="1"/>
  <c r="N503" i="1" s="1"/>
  <c r="P503" i="1" s="1"/>
  <c r="Q502" i="1"/>
  <c r="P502" i="1"/>
  <c r="O502" i="1"/>
  <c r="N502" i="1"/>
  <c r="M502" i="1"/>
  <c r="O501" i="1"/>
  <c r="M501" i="1"/>
  <c r="N501" i="1" s="1"/>
  <c r="Q500" i="1"/>
  <c r="P500" i="1"/>
  <c r="O500" i="1"/>
  <c r="N500" i="1"/>
  <c r="M500" i="1"/>
  <c r="O499" i="1"/>
  <c r="M499" i="1"/>
  <c r="N499" i="1" s="1"/>
  <c r="O498" i="1"/>
  <c r="N498" i="1"/>
  <c r="M498" i="1"/>
  <c r="Q497" i="1"/>
  <c r="O497" i="1"/>
  <c r="N497" i="1"/>
  <c r="P497" i="1" s="1"/>
  <c r="M497" i="1"/>
  <c r="O496" i="1"/>
  <c r="N496" i="1"/>
  <c r="M496" i="1"/>
  <c r="O495" i="1"/>
  <c r="M495" i="1"/>
  <c r="N495" i="1" s="1"/>
  <c r="O494" i="1"/>
  <c r="N494" i="1"/>
  <c r="M494" i="1"/>
  <c r="Q493" i="1"/>
  <c r="O493" i="1"/>
  <c r="P493" i="1" s="1"/>
  <c r="N493" i="1"/>
  <c r="M493" i="1"/>
  <c r="O492" i="1"/>
  <c r="M492" i="1"/>
  <c r="N492" i="1" s="1"/>
  <c r="O491" i="1"/>
  <c r="N491" i="1"/>
  <c r="M491" i="1"/>
  <c r="O490" i="1"/>
  <c r="M490" i="1"/>
  <c r="N490" i="1" s="1"/>
  <c r="Q489" i="1"/>
  <c r="O489" i="1"/>
  <c r="M489" i="1"/>
  <c r="N489" i="1" s="1"/>
  <c r="P489" i="1" s="1"/>
  <c r="O488" i="1"/>
  <c r="N488" i="1"/>
  <c r="Q488" i="1" s="1"/>
  <c r="M488" i="1"/>
  <c r="O487" i="1"/>
  <c r="M487" i="1"/>
  <c r="N487" i="1" s="1"/>
  <c r="Q486" i="1"/>
  <c r="P486" i="1"/>
  <c r="O486" i="1"/>
  <c r="N486" i="1"/>
  <c r="M486" i="1"/>
  <c r="O485" i="1"/>
  <c r="M485" i="1"/>
  <c r="N485" i="1" s="1"/>
  <c r="O484" i="1"/>
  <c r="M484" i="1"/>
  <c r="N484" i="1" s="1"/>
  <c r="O483" i="1"/>
  <c r="M483" i="1"/>
  <c r="N483" i="1" s="1"/>
  <c r="Q483" i="1" s="1"/>
  <c r="P482" i="1"/>
  <c r="O482" i="1"/>
  <c r="N482" i="1"/>
  <c r="Q482" i="1" s="1"/>
  <c r="M482" i="1"/>
  <c r="Q481" i="1"/>
  <c r="O481" i="1"/>
  <c r="M481" i="1"/>
  <c r="N481" i="1" s="1"/>
  <c r="P481" i="1" s="1"/>
  <c r="O480" i="1"/>
  <c r="N480" i="1"/>
  <c r="M480" i="1"/>
  <c r="O479" i="1"/>
  <c r="N479" i="1"/>
  <c r="M479" i="1"/>
  <c r="O478" i="1"/>
  <c r="M478" i="1"/>
  <c r="N478" i="1" s="1"/>
  <c r="Q477" i="1"/>
  <c r="O477" i="1"/>
  <c r="M477" i="1"/>
  <c r="N477" i="1" s="1"/>
  <c r="P477" i="1" s="1"/>
  <c r="O476" i="1"/>
  <c r="M476" i="1"/>
  <c r="N476" i="1" s="1"/>
  <c r="Q475" i="1"/>
  <c r="O475" i="1"/>
  <c r="P475" i="1" s="1"/>
  <c r="N475" i="1"/>
  <c r="M475" i="1"/>
  <c r="O474" i="1"/>
  <c r="M474" i="1"/>
  <c r="N474" i="1" s="1"/>
  <c r="O473" i="1"/>
  <c r="M473" i="1"/>
  <c r="N473" i="1" s="1"/>
  <c r="P473" i="1" s="1"/>
  <c r="O472" i="1"/>
  <c r="M472" i="1"/>
  <c r="N472" i="1" s="1"/>
  <c r="Q471" i="1"/>
  <c r="O471" i="1"/>
  <c r="M471" i="1"/>
  <c r="N471" i="1" s="1"/>
  <c r="P471" i="1" s="1"/>
  <c r="Q470" i="1"/>
  <c r="P470" i="1"/>
  <c r="O470" i="1"/>
  <c r="N470" i="1"/>
  <c r="M470" i="1"/>
  <c r="O469" i="1"/>
  <c r="N469" i="1"/>
  <c r="Q469" i="1" s="1"/>
  <c r="M469" i="1"/>
  <c r="Q468" i="1"/>
  <c r="P468" i="1"/>
  <c r="O468" i="1"/>
  <c r="N468" i="1"/>
  <c r="M468" i="1"/>
  <c r="Q467" i="1"/>
  <c r="O467" i="1"/>
  <c r="M467" i="1"/>
  <c r="N467" i="1" s="1"/>
  <c r="O466" i="1"/>
  <c r="M466" i="1"/>
  <c r="N466" i="1" s="1"/>
  <c r="Q466" i="1" s="1"/>
  <c r="O465" i="1"/>
  <c r="M465" i="1"/>
  <c r="N465" i="1" s="1"/>
  <c r="O464" i="1"/>
  <c r="N464" i="1"/>
  <c r="M464" i="1"/>
  <c r="O463" i="1"/>
  <c r="M463" i="1"/>
  <c r="N463" i="1" s="1"/>
  <c r="Q462" i="1"/>
  <c r="P462" i="1"/>
  <c r="O462" i="1"/>
  <c r="M462" i="1"/>
  <c r="N462" i="1" s="1"/>
  <c r="Q461" i="1"/>
  <c r="P461" i="1"/>
  <c r="O461" i="1"/>
  <c r="N461" i="1"/>
  <c r="M461" i="1"/>
  <c r="O460" i="1"/>
  <c r="N460" i="1"/>
  <c r="M460" i="1"/>
  <c r="O459" i="1"/>
  <c r="M459" i="1"/>
  <c r="N459" i="1" s="1"/>
  <c r="Q458" i="1"/>
  <c r="O458" i="1"/>
  <c r="M458" i="1"/>
  <c r="N458" i="1" s="1"/>
  <c r="P458" i="1" s="1"/>
  <c r="Q457" i="1"/>
  <c r="O457" i="1"/>
  <c r="M457" i="1"/>
  <c r="N457" i="1" s="1"/>
  <c r="P457" i="1" s="1"/>
  <c r="O456" i="1"/>
  <c r="N456" i="1"/>
  <c r="Q456" i="1" s="1"/>
  <c r="M456" i="1"/>
  <c r="O455" i="1"/>
  <c r="P455" i="1" s="1"/>
  <c r="N455" i="1"/>
  <c r="Q455" i="1" s="1"/>
  <c r="M455" i="1"/>
  <c r="O454" i="1"/>
  <c r="M454" i="1"/>
  <c r="N454" i="1" s="1"/>
  <c r="Q454" i="1" s="1"/>
  <c r="O453" i="1"/>
  <c r="M453" i="1"/>
  <c r="N453" i="1" s="1"/>
  <c r="Q452" i="1"/>
  <c r="O452" i="1"/>
  <c r="P452" i="1" s="1"/>
  <c r="N452" i="1"/>
  <c r="M452" i="1"/>
  <c r="O451" i="1"/>
  <c r="M451" i="1"/>
  <c r="N451" i="1" s="1"/>
  <c r="O450" i="1"/>
  <c r="P450" i="1" s="1"/>
  <c r="N450" i="1"/>
  <c r="Q450" i="1" s="1"/>
  <c r="M450" i="1"/>
  <c r="O449" i="1"/>
  <c r="M449" i="1"/>
  <c r="N449" i="1" s="1"/>
  <c r="Q448" i="1"/>
  <c r="P448" i="1"/>
  <c r="O448" i="1"/>
  <c r="N448" i="1"/>
  <c r="M448" i="1"/>
  <c r="O447" i="1"/>
  <c r="N447" i="1"/>
  <c r="M447" i="1"/>
  <c r="O446" i="1"/>
  <c r="M446" i="1"/>
  <c r="N446" i="1" s="1"/>
  <c r="P446" i="1" s="1"/>
  <c r="O445" i="1"/>
  <c r="M445" i="1"/>
  <c r="N445" i="1" s="1"/>
  <c r="O444" i="1"/>
  <c r="M444" i="1"/>
  <c r="N444" i="1" s="1"/>
  <c r="P443" i="1"/>
  <c r="O443" i="1"/>
  <c r="N443" i="1"/>
  <c r="Q443" i="1" s="1"/>
  <c r="M443" i="1"/>
  <c r="O442" i="1"/>
  <c r="M442" i="1"/>
  <c r="N442" i="1" s="1"/>
  <c r="O441" i="1"/>
  <c r="M441" i="1"/>
  <c r="N441" i="1" s="1"/>
  <c r="P441" i="1" s="1"/>
  <c r="O440" i="1"/>
  <c r="M440" i="1"/>
  <c r="N440" i="1" s="1"/>
  <c r="Q439" i="1"/>
  <c r="P439" i="1"/>
  <c r="O439" i="1"/>
  <c r="N439" i="1"/>
  <c r="M439" i="1"/>
  <c r="O438" i="1"/>
  <c r="M438" i="1"/>
  <c r="N438" i="1" s="1"/>
  <c r="Q438" i="1" s="1"/>
  <c r="O437" i="1"/>
  <c r="M437" i="1"/>
  <c r="N437" i="1" s="1"/>
  <c r="O436" i="1"/>
  <c r="N436" i="1"/>
  <c r="Q436" i="1" s="1"/>
  <c r="M436" i="1"/>
  <c r="O435" i="1"/>
  <c r="M435" i="1"/>
  <c r="N435" i="1" s="1"/>
  <c r="O434" i="1"/>
  <c r="M434" i="1"/>
  <c r="N434" i="1" s="1"/>
  <c r="O433" i="1"/>
  <c r="M433" i="1"/>
  <c r="N433" i="1" s="1"/>
  <c r="Q432" i="1"/>
  <c r="P432" i="1"/>
  <c r="O432" i="1"/>
  <c r="N432" i="1"/>
  <c r="M432" i="1"/>
  <c r="O431" i="1"/>
  <c r="N431" i="1"/>
  <c r="M431" i="1"/>
  <c r="O430" i="1"/>
  <c r="M430" i="1"/>
  <c r="N430" i="1" s="1"/>
  <c r="O429" i="1"/>
  <c r="M429" i="1"/>
  <c r="N429" i="1" s="1"/>
  <c r="O428" i="1"/>
  <c r="N428" i="1"/>
  <c r="M428" i="1"/>
  <c r="Q427" i="1"/>
  <c r="P427" i="1"/>
  <c r="O427" i="1"/>
  <c r="M427" i="1"/>
  <c r="N427" i="1" s="1"/>
  <c r="O426" i="1"/>
  <c r="M426" i="1"/>
  <c r="N426" i="1" s="1"/>
  <c r="O425" i="1"/>
  <c r="M425" i="1"/>
  <c r="N425" i="1" s="1"/>
  <c r="O424" i="1"/>
  <c r="M424" i="1"/>
  <c r="N424" i="1" s="1"/>
  <c r="Q423" i="1"/>
  <c r="P423" i="1"/>
  <c r="O423" i="1"/>
  <c r="M423" i="1"/>
  <c r="N423" i="1" s="1"/>
  <c r="O422" i="1"/>
  <c r="M422" i="1"/>
  <c r="N422" i="1" s="1"/>
  <c r="Q422" i="1" s="1"/>
  <c r="Q421" i="1"/>
  <c r="P421" i="1"/>
  <c r="O421" i="1"/>
  <c r="N421" i="1"/>
  <c r="M421" i="1"/>
  <c r="O420" i="1"/>
  <c r="N420" i="1"/>
  <c r="Q420" i="1" s="1"/>
  <c r="M420" i="1"/>
  <c r="Q419" i="1"/>
  <c r="O419" i="1"/>
  <c r="P419" i="1" s="1"/>
  <c r="M419" i="1"/>
  <c r="N419" i="1" s="1"/>
  <c r="O418" i="1"/>
  <c r="N418" i="1"/>
  <c r="M418" i="1"/>
  <c r="O417" i="1"/>
  <c r="N417" i="1"/>
  <c r="M417" i="1"/>
  <c r="O416" i="1"/>
  <c r="N416" i="1"/>
  <c r="M416" i="1"/>
  <c r="O415" i="1"/>
  <c r="M415" i="1"/>
  <c r="N415" i="1" s="1"/>
  <c r="Q414" i="1"/>
  <c r="O414" i="1"/>
  <c r="P414" i="1" s="1"/>
  <c r="N414" i="1"/>
  <c r="M414" i="1"/>
  <c r="O413" i="1"/>
  <c r="M413" i="1"/>
  <c r="N413" i="1" s="1"/>
  <c r="Q413" i="1" s="1"/>
  <c r="O412" i="1"/>
  <c r="N412" i="1"/>
  <c r="M412" i="1"/>
  <c r="O411" i="1"/>
  <c r="N411" i="1"/>
  <c r="Q411" i="1" s="1"/>
  <c r="M411" i="1"/>
  <c r="O410" i="1"/>
  <c r="M410" i="1"/>
  <c r="N410" i="1" s="1"/>
  <c r="O409" i="1"/>
  <c r="M409" i="1"/>
  <c r="N409" i="1" s="1"/>
  <c r="P409" i="1" s="1"/>
  <c r="O408" i="1"/>
  <c r="M408" i="1"/>
  <c r="N408" i="1" s="1"/>
  <c r="Q408" i="1" s="1"/>
  <c r="O407" i="1"/>
  <c r="N407" i="1"/>
  <c r="Q407" i="1" s="1"/>
  <c r="M407" i="1"/>
  <c r="O406" i="1"/>
  <c r="M406" i="1"/>
  <c r="N406" i="1" s="1"/>
  <c r="P405" i="1"/>
  <c r="O405" i="1"/>
  <c r="N405" i="1"/>
  <c r="Q405" i="1" s="1"/>
  <c r="M405" i="1"/>
  <c r="O404" i="1"/>
  <c r="N404" i="1"/>
  <c r="Q404" i="1" s="1"/>
  <c r="M404" i="1"/>
  <c r="Q403" i="1"/>
  <c r="P403" i="1"/>
  <c r="O403" i="1"/>
  <c r="M403" i="1"/>
  <c r="N403" i="1" s="1"/>
  <c r="O402" i="1"/>
  <c r="N402" i="1"/>
  <c r="M402" i="1"/>
  <c r="O401" i="1"/>
  <c r="M401" i="1"/>
  <c r="N401" i="1" s="1"/>
  <c r="Q400" i="1"/>
  <c r="P400" i="1"/>
  <c r="O400" i="1"/>
  <c r="N400" i="1"/>
  <c r="M400" i="1"/>
  <c r="O399" i="1"/>
  <c r="M399" i="1"/>
  <c r="N399" i="1" s="1"/>
  <c r="O398" i="1"/>
  <c r="M398" i="1"/>
  <c r="N398" i="1" s="1"/>
  <c r="O397" i="1"/>
  <c r="M397" i="1"/>
  <c r="N397" i="1" s="1"/>
  <c r="O396" i="1"/>
  <c r="N396" i="1"/>
  <c r="M396" i="1"/>
  <c r="O395" i="1"/>
  <c r="N395" i="1"/>
  <c r="M395" i="1"/>
  <c r="O394" i="1"/>
  <c r="N394" i="1"/>
  <c r="M394" i="1"/>
  <c r="O393" i="1"/>
  <c r="M393" i="1"/>
  <c r="N393" i="1" s="1"/>
  <c r="P393" i="1" s="1"/>
  <c r="Q392" i="1"/>
  <c r="P392" i="1"/>
  <c r="O392" i="1"/>
  <c r="N392" i="1"/>
  <c r="M392" i="1"/>
  <c r="O391" i="1"/>
  <c r="M391" i="1"/>
  <c r="N391" i="1" s="1"/>
  <c r="Q390" i="1"/>
  <c r="P390" i="1"/>
  <c r="O390" i="1"/>
  <c r="M390" i="1"/>
  <c r="N390" i="1" s="1"/>
  <c r="P389" i="1"/>
  <c r="O389" i="1"/>
  <c r="N389" i="1"/>
  <c r="Q389" i="1" s="1"/>
  <c r="M389" i="1"/>
  <c r="O388" i="1"/>
  <c r="M388" i="1"/>
  <c r="N388" i="1" s="1"/>
  <c r="O387" i="1"/>
  <c r="M387" i="1"/>
  <c r="N387" i="1" s="1"/>
  <c r="Q387" i="1" s="1"/>
  <c r="O386" i="1"/>
  <c r="P386" i="1" s="1"/>
  <c r="N386" i="1"/>
  <c r="Q386" i="1" s="1"/>
  <c r="M386" i="1"/>
  <c r="Q385" i="1"/>
  <c r="P385" i="1"/>
  <c r="O385" i="1"/>
  <c r="N385" i="1"/>
  <c r="M385" i="1"/>
  <c r="O384" i="1"/>
  <c r="N384" i="1"/>
  <c r="Q384" i="1" s="1"/>
  <c r="M384" i="1"/>
  <c r="O383" i="1"/>
  <c r="M383" i="1"/>
  <c r="N383" i="1" s="1"/>
  <c r="O382" i="1"/>
  <c r="M382" i="1"/>
  <c r="N382" i="1" s="1"/>
  <c r="Q382" i="1" s="1"/>
  <c r="O381" i="1"/>
  <c r="M381" i="1"/>
  <c r="N381" i="1" s="1"/>
  <c r="O380" i="1"/>
  <c r="M380" i="1"/>
  <c r="N380" i="1" s="1"/>
  <c r="O379" i="1"/>
  <c r="M379" i="1"/>
  <c r="N379" i="1" s="1"/>
  <c r="Q378" i="1"/>
  <c r="P378" i="1"/>
  <c r="O378" i="1"/>
  <c r="N378" i="1"/>
  <c r="M378" i="1"/>
  <c r="O377" i="1"/>
  <c r="M377" i="1"/>
  <c r="N377" i="1" s="1"/>
  <c r="Q376" i="1"/>
  <c r="O376" i="1"/>
  <c r="M376" i="1"/>
  <c r="N376" i="1" s="1"/>
  <c r="P376" i="1" s="1"/>
  <c r="O375" i="1"/>
  <c r="M375" i="1"/>
  <c r="N375" i="1" s="1"/>
  <c r="Q374" i="1"/>
  <c r="P374" i="1"/>
  <c r="O374" i="1"/>
  <c r="M374" i="1"/>
  <c r="N374" i="1" s="1"/>
  <c r="O373" i="1"/>
  <c r="M373" i="1"/>
  <c r="N373" i="1" s="1"/>
  <c r="Q373" i="1" s="1"/>
  <c r="O372" i="1"/>
  <c r="M372" i="1"/>
  <c r="N372" i="1" s="1"/>
  <c r="Q371" i="1"/>
  <c r="O371" i="1"/>
  <c r="P371" i="1" s="1"/>
  <c r="M371" i="1"/>
  <c r="N371" i="1" s="1"/>
  <c r="O370" i="1"/>
  <c r="N370" i="1"/>
  <c r="M370" i="1"/>
  <c r="Q369" i="1"/>
  <c r="P369" i="1"/>
  <c r="O369" i="1"/>
  <c r="M369" i="1"/>
  <c r="N369" i="1" s="1"/>
  <c r="O368" i="1"/>
  <c r="N368" i="1"/>
  <c r="Q368" i="1" s="1"/>
  <c r="M368" i="1"/>
  <c r="O367" i="1"/>
  <c r="N367" i="1"/>
  <c r="M367" i="1"/>
  <c r="O366" i="1"/>
  <c r="M366" i="1"/>
  <c r="N366" i="1" s="1"/>
  <c r="Q365" i="1"/>
  <c r="O365" i="1"/>
  <c r="M365" i="1"/>
  <c r="N365" i="1" s="1"/>
  <c r="P365" i="1" s="1"/>
  <c r="O364" i="1"/>
  <c r="M364" i="1"/>
  <c r="N364" i="1" s="1"/>
  <c r="Q363" i="1"/>
  <c r="O363" i="1"/>
  <c r="M363" i="1"/>
  <c r="N363" i="1" s="1"/>
  <c r="P363" i="1" s="1"/>
  <c r="O362" i="1"/>
  <c r="M362" i="1"/>
  <c r="N362" i="1" s="1"/>
  <c r="Q361" i="1"/>
  <c r="O361" i="1"/>
  <c r="M361" i="1"/>
  <c r="N361" i="1" s="1"/>
  <c r="P361" i="1" s="1"/>
  <c r="O360" i="1"/>
  <c r="N360" i="1"/>
  <c r="Q360" i="1" s="1"/>
  <c r="M360" i="1"/>
  <c r="O359" i="1"/>
  <c r="M359" i="1"/>
  <c r="N359" i="1" s="1"/>
  <c r="Q358" i="1"/>
  <c r="O358" i="1"/>
  <c r="M358" i="1"/>
  <c r="N358" i="1" s="1"/>
  <c r="P358" i="1" s="1"/>
  <c r="O357" i="1"/>
  <c r="M357" i="1"/>
  <c r="N357" i="1" s="1"/>
  <c r="O356" i="1"/>
  <c r="M356" i="1"/>
  <c r="N356" i="1" s="1"/>
  <c r="P356" i="1" s="1"/>
  <c r="P355" i="1"/>
  <c r="O355" i="1"/>
  <c r="M355" i="1"/>
  <c r="N355" i="1" s="1"/>
  <c r="Q355" i="1" s="1"/>
  <c r="O354" i="1"/>
  <c r="M354" i="1"/>
  <c r="N354" i="1" s="1"/>
  <c r="Q354" i="1" s="1"/>
  <c r="Q353" i="1"/>
  <c r="P353" i="1"/>
  <c r="O353" i="1"/>
  <c r="N353" i="1"/>
  <c r="M353" i="1"/>
  <c r="O352" i="1"/>
  <c r="N352" i="1"/>
  <c r="M352" i="1"/>
  <c r="O351" i="1"/>
  <c r="M351" i="1"/>
  <c r="N351" i="1" s="1"/>
  <c r="O350" i="1"/>
  <c r="M350" i="1"/>
  <c r="N350" i="1" s="1"/>
  <c r="Q350" i="1" s="1"/>
  <c r="Q349" i="1"/>
  <c r="P349" i="1"/>
  <c r="O349" i="1"/>
  <c r="N349" i="1"/>
  <c r="M349" i="1"/>
  <c r="O348" i="1"/>
  <c r="M348" i="1"/>
  <c r="N348" i="1" s="1"/>
  <c r="O347" i="1"/>
  <c r="M347" i="1"/>
  <c r="N347" i="1" s="1"/>
  <c r="P346" i="1"/>
  <c r="O346" i="1"/>
  <c r="N346" i="1"/>
  <c r="Q346" i="1" s="1"/>
  <c r="M346" i="1"/>
  <c r="Q345" i="1"/>
  <c r="O345" i="1"/>
  <c r="M345" i="1"/>
  <c r="N345" i="1" s="1"/>
  <c r="P345" i="1" s="1"/>
  <c r="O344" i="1"/>
  <c r="M344" i="1"/>
  <c r="N344" i="1" s="1"/>
  <c r="O343" i="1"/>
  <c r="P343" i="1" s="1"/>
  <c r="M343" i="1"/>
  <c r="N343" i="1" s="1"/>
  <c r="Q343" i="1" s="1"/>
  <c r="Q342" i="1"/>
  <c r="P342" i="1"/>
  <c r="O342" i="1"/>
  <c r="M342" i="1"/>
  <c r="N342" i="1" s="1"/>
  <c r="O341" i="1"/>
  <c r="M341" i="1"/>
  <c r="N341" i="1" s="1"/>
  <c r="O340" i="1"/>
  <c r="N340" i="1"/>
  <c r="M340" i="1"/>
  <c r="O339" i="1"/>
  <c r="M339" i="1"/>
  <c r="N339" i="1" s="1"/>
  <c r="Q339" i="1" s="1"/>
  <c r="P338" i="1"/>
  <c r="O338" i="1"/>
  <c r="N338" i="1"/>
  <c r="Q338" i="1" s="1"/>
  <c r="M338" i="1"/>
  <c r="O337" i="1"/>
  <c r="M337" i="1"/>
  <c r="N337" i="1" s="1"/>
  <c r="O336" i="1"/>
  <c r="P336" i="1" s="1"/>
  <c r="N336" i="1"/>
  <c r="Q336" i="1" s="1"/>
  <c r="M336" i="1"/>
  <c r="O335" i="1"/>
  <c r="N335" i="1"/>
  <c r="M335" i="1"/>
  <c r="O334" i="1"/>
  <c r="N334" i="1"/>
  <c r="M334" i="1"/>
  <c r="O333" i="1"/>
  <c r="M333" i="1"/>
  <c r="N333" i="1" s="1"/>
  <c r="O332" i="1"/>
  <c r="N332" i="1"/>
  <c r="M332" i="1"/>
  <c r="Q331" i="1"/>
  <c r="P331" i="1"/>
  <c r="O331" i="1"/>
  <c r="N331" i="1"/>
  <c r="M331" i="1"/>
  <c r="P330" i="1"/>
  <c r="O330" i="1"/>
  <c r="M330" i="1"/>
  <c r="N330" i="1" s="1"/>
  <c r="Q330" i="1" s="1"/>
  <c r="Q329" i="1"/>
  <c r="O329" i="1"/>
  <c r="M329" i="1"/>
  <c r="N329" i="1" s="1"/>
  <c r="P329" i="1" s="1"/>
  <c r="O328" i="1"/>
  <c r="M328" i="1"/>
  <c r="N328" i="1" s="1"/>
  <c r="O327" i="1"/>
  <c r="M327" i="1"/>
  <c r="N327" i="1" s="1"/>
  <c r="P327" i="1" s="1"/>
  <c r="Q326" i="1"/>
  <c r="P326" i="1"/>
  <c r="O326" i="1"/>
  <c r="M326" i="1"/>
  <c r="N326" i="1" s="1"/>
  <c r="O325" i="1"/>
  <c r="M325" i="1"/>
  <c r="N325" i="1" s="1"/>
  <c r="Q324" i="1"/>
  <c r="O324" i="1"/>
  <c r="P324" i="1" s="1"/>
  <c r="N324" i="1"/>
  <c r="M324" i="1"/>
  <c r="O323" i="1"/>
  <c r="M323" i="1"/>
  <c r="N323" i="1" s="1"/>
  <c r="O322" i="1"/>
  <c r="P322" i="1" s="1"/>
  <c r="M322" i="1"/>
  <c r="N322" i="1" s="1"/>
  <c r="Q322" i="1" s="1"/>
  <c r="O321" i="1"/>
  <c r="M321" i="1"/>
  <c r="N321" i="1" s="1"/>
  <c r="Q320" i="1"/>
  <c r="P320" i="1"/>
  <c r="O320" i="1"/>
  <c r="N320" i="1"/>
  <c r="M320" i="1"/>
  <c r="O319" i="1"/>
  <c r="N319" i="1"/>
  <c r="M319" i="1"/>
  <c r="Q318" i="1"/>
  <c r="O318" i="1"/>
  <c r="M318" i="1"/>
  <c r="N318" i="1" s="1"/>
  <c r="P318" i="1" s="1"/>
  <c r="O317" i="1"/>
  <c r="N317" i="1"/>
  <c r="M317" i="1"/>
  <c r="O316" i="1"/>
  <c r="M316" i="1"/>
  <c r="N316" i="1" s="1"/>
  <c r="O315" i="1"/>
  <c r="N315" i="1"/>
  <c r="Q315" i="1" s="1"/>
  <c r="M315" i="1"/>
  <c r="O314" i="1"/>
  <c r="N314" i="1"/>
  <c r="Q314" i="1" s="1"/>
  <c r="M314" i="1"/>
  <c r="Q313" i="1"/>
  <c r="O313" i="1"/>
  <c r="M313" i="1"/>
  <c r="N313" i="1" s="1"/>
  <c r="P313" i="1" s="1"/>
  <c r="O312" i="1"/>
  <c r="M312" i="1"/>
  <c r="N312" i="1" s="1"/>
  <c r="O311" i="1"/>
  <c r="N311" i="1"/>
  <c r="Q311" i="1" s="1"/>
  <c r="M311" i="1"/>
  <c r="O310" i="1"/>
  <c r="M310" i="1"/>
  <c r="N310" i="1" s="1"/>
  <c r="Q310" i="1" s="1"/>
  <c r="O309" i="1"/>
  <c r="M309" i="1"/>
  <c r="N309" i="1" s="1"/>
  <c r="P309" i="1" s="1"/>
  <c r="O308" i="1"/>
  <c r="N308" i="1"/>
  <c r="M308" i="1"/>
  <c r="Q307" i="1"/>
  <c r="P307" i="1"/>
  <c r="O307" i="1"/>
  <c r="M307" i="1"/>
  <c r="N307" i="1" s="1"/>
  <c r="O306" i="1"/>
  <c r="N306" i="1"/>
  <c r="Q306" i="1" s="1"/>
  <c r="M306" i="1"/>
  <c r="O305" i="1"/>
  <c r="M305" i="1"/>
  <c r="N305" i="1" s="1"/>
  <c r="O304" i="1"/>
  <c r="N304" i="1"/>
  <c r="Q304" i="1" s="1"/>
  <c r="M304" i="1"/>
  <c r="O303" i="1"/>
  <c r="M303" i="1"/>
  <c r="N303" i="1" s="1"/>
  <c r="Q302" i="1"/>
  <c r="P302" i="1"/>
  <c r="O302" i="1"/>
  <c r="N302" i="1"/>
  <c r="M302" i="1"/>
  <c r="O301" i="1"/>
  <c r="M301" i="1"/>
  <c r="N301" i="1" s="1"/>
  <c r="O300" i="1"/>
  <c r="N300" i="1"/>
  <c r="M300" i="1"/>
  <c r="O299" i="1"/>
  <c r="N299" i="1"/>
  <c r="M299" i="1"/>
  <c r="O298" i="1"/>
  <c r="M298" i="1"/>
  <c r="N298" i="1" s="1"/>
  <c r="O297" i="1"/>
  <c r="M297" i="1"/>
  <c r="N297" i="1" s="1"/>
  <c r="P297" i="1" s="1"/>
  <c r="Q296" i="1"/>
  <c r="O296" i="1"/>
  <c r="N296" i="1"/>
  <c r="P296" i="1" s="1"/>
  <c r="M296" i="1"/>
  <c r="Q295" i="1"/>
  <c r="O295" i="1"/>
  <c r="P295" i="1" s="1"/>
  <c r="N295" i="1"/>
  <c r="M295" i="1"/>
  <c r="O294" i="1"/>
  <c r="M294" i="1"/>
  <c r="N294" i="1" s="1"/>
  <c r="Q294" i="1" s="1"/>
  <c r="O293" i="1"/>
  <c r="N293" i="1"/>
  <c r="M293" i="1"/>
  <c r="O292" i="1"/>
  <c r="M292" i="1"/>
  <c r="N292" i="1" s="1"/>
  <c r="Q292" i="1" s="1"/>
  <c r="O291" i="1"/>
  <c r="M291" i="1"/>
  <c r="N291" i="1" s="1"/>
  <c r="O290" i="1"/>
  <c r="M290" i="1"/>
  <c r="N290" i="1" s="1"/>
  <c r="O289" i="1"/>
  <c r="M289" i="1"/>
  <c r="N289" i="1" s="1"/>
  <c r="Q288" i="1"/>
  <c r="P288" i="1"/>
  <c r="O288" i="1"/>
  <c r="N288" i="1"/>
  <c r="M288" i="1"/>
  <c r="O287" i="1"/>
  <c r="N287" i="1"/>
  <c r="M287" i="1"/>
  <c r="O286" i="1"/>
  <c r="M286" i="1"/>
  <c r="N286" i="1" s="1"/>
  <c r="O285" i="1"/>
  <c r="N285" i="1"/>
  <c r="Q285" i="1" s="1"/>
  <c r="M285" i="1"/>
  <c r="O284" i="1"/>
  <c r="N284" i="1"/>
  <c r="M284" i="1"/>
  <c r="O283" i="1"/>
  <c r="M283" i="1"/>
  <c r="N283" i="1" s="1"/>
  <c r="Q283" i="1" s="1"/>
  <c r="O282" i="1"/>
  <c r="M282" i="1"/>
  <c r="N282" i="1" s="1"/>
  <c r="O281" i="1"/>
  <c r="M281" i="1"/>
  <c r="N281" i="1" s="1"/>
  <c r="P281" i="1" s="1"/>
  <c r="Q280" i="1"/>
  <c r="O280" i="1"/>
  <c r="M280" i="1"/>
  <c r="N280" i="1" s="1"/>
  <c r="P280" i="1" s="1"/>
  <c r="O279" i="1"/>
  <c r="M279" i="1"/>
  <c r="N279" i="1" s="1"/>
  <c r="O278" i="1"/>
  <c r="M278" i="1"/>
  <c r="N278" i="1" s="1"/>
  <c r="Q278" i="1" s="1"/>
  <c r="Q277" i="1"/>
  <c r="O277" i="1"/>
  <c r="P277" i="1" s="1"/>
  <c r="N277" i="1"/>
  <c r="M277" i="1"/>
  <c r="O276" i="1"/>
  <c r="N276" i="1"/>
  <c r="M276" i="1"/>
  <c r="Q275" i="1"/>
  <c r="O275" i="1"/>
  <c r="M275" i="1"/>
  <c r="N275" i="1" s="1"/>
  <c r="P275" i="1" s="1"/>
  <c r="O274" i="1"/>
  <c r="M274" i="1"/>
  <c r="N274" i="1" s="1"/>
  <c r="O273" i="1"/>
  <c r="M273" i="1"/>
  <c r="N273" i="1" s="1"/>
  <c r="P273" i="1" s="1"/>
  <c r="O272" i="1"/>
  <c r="N272" i="1"/>
  <c r="P272" i="1" s="1"/>
  <c r="M272" i="1"/>
  <c r="O271" i="1"/>
  <c r="M271" i="1"/>
  <c r="N271" i="1" s="1"/>
  <c r="O270" i="1"/>
  <c r="N270" i="1"/>
  <c r="Q270" i="1" s="1"/>
  <c r="M270" i="1"/>
  <c r="O269" i="1"/>
  <c r="N269" i="1"/>
  <c r="M269" i="1"/>
  <c r="O268" i="1"/>
  <c r="M268" i="1"/>
  <c r="N268" i="1" s="1"/>
  <c r="O267" i="1"/>
  <c r="M267" i="1"/>
  <c r="N267" i="1" s="1"/>
  <c r="Q267" i="1" s="1"/>
  <c r="Q266" i="1"/>
  <c r="P266" i="1"/>
  <c r="O266" i="1"/>
  <c r="N266" i="1"/>
  <c r="M266" i="1"/>
  <c r="Q265" i="1"/>
  <c r="O265" i="1"/>
  <c r="M265" i="1"/>
  <c r="N265" i="1" s="1"/>
  <c r="P265" i="1" s="1"/>
  <c r="O264" i="1"/>
  <c r="N264" i="1"/>
  <c r="M264" i="1"/>
  <c r="O263" i="1"/>
  <c r="M263" i="1"/>
  <c r="N263" i="1" s="1"/>
  <c r="P263" i="1" s="1"/>
  <c r="O262" i="1"/>
  <c r="M262" i="1"/>
  <c r="N262" i="1" s="1"/>
  <c r="O261" i="1"/>
  <c r="M261" i="1"/>
  <c r="N261" i="1" s="1"/>
  <c r="Q261" i="1" s="1"/>
  <c r="O260" i="1"/>
  <c r="M260" i="1"/>
  <c r="N260" i="1" s="1"/>
  <c r="Q259" i="1"/>
  <c r="P259" i="1"/>
  <c r="O259" i="1"/>
  <c r="N259" i="1"/>
  <c r="M259" i="1"/>
  <c r="O258" i="1"/>
  <c r="M258" i="1"/>
  <c r="N258" i="1" s="1"/>
  <c r="Q257" i="1"/>
  <c r="O257" i="1"/>
  <c r="N257" i="1"/>
  <c r="P257" i="1" s="1"/>
  <c r="M257" i="1"/>
  <c r="Q256" i="1"/>
  <c r="P256" i="1"/>
  <c r="O256" i="1"/>
  <c r="N256" i="1"/>
  <c r="M256" i="1"/>
  <c r="O255" i="1"/>
  <c r="M255" i="1"/>
  <c r="N255" i="1" s="1"/>
  <c r="O254" i="1"/>
  <c r="N254" i="1"/>
  <c r="M254" i="1"/>
  <c r="Q253" i="1"/>
  <c r="O253" i="1"/>
  <c r="N253" i="1"/>
  <c r="M253" i="1"/>
  <c r="O252" i="1"/>
  <c r="N252" i="1"/>
  <c r="M252" i="1"/>
  <c r="O251" i="1"/>
  <c r="N251" i="1"/>
  <c r="M251" i="1"/>
  <c r="O250" i="1"/>
  <c r="M250" i="1"/>
  <c r="N250" i="1" s="1"/>
  <c r="Q249" i="1"/>
  <c r="O249" i="1"/>
  <c r="M249" i="1"/>
  <c r="N249" i="1" s="1"/>
  <c r="P249" i="1" s="1"/>
  <c r="Q248" i="1"/>
  <c r="P248" i="1"/>
  <c r="O248" i="1"/>
  <c r="N248" i="1"/>
  <c r="M248" i="1"/>
  <c r="O247" i="1"/>
  <c r="M247" i="1"/>
  <c r="N247" i="1" s="1"/>
  <c r="O246" i="1"/>
  <c r="M246" i="1"/>
  <c r="N246" i="1" s="1"/>
  <c r="O245" i="1"/>
  <c r="N245" i="1"/>
  <c r="Q245" i="1" s="1"/>
  <c r="M245" i="1"/>
  <c r="O244" i="1"/>
  <c r="M244" i="1"/>
  <c r="N244" i="1" s="1"/>
  <c r="O243" i="1"/>
  <c r="M243" i="1"/>
  <c r="N243" i="1" s="1"/>
  <c r="Q243" i="1" s="1"/>
  <c r="O242" i="1"/>
  <c r="P242" i="1" s="1"/>
  <c r="N242" i="1"/>
  <c r="Q242" i="1" s="1"/>
  <c r="M242" i="1"/>
  <c r="Q241" i="1"/>
  <c r="P241" i="1"/>
  <c r="O241" i="1"/>
  <c r="N241" i="1"/>
  <c r="M241" i="1"/>
  <c r="O240" i="1"/>
  <c r="N240" i="1"/>
  <c r="Q240" i="1" s="1"/>
  <c r="M240" i="1"/>
  <c r="O239" i="1"/>
  <c r="M239" i="1"/>
  <c r="N239" i="1" s="1"/>
  <c r="Q238" i="1"/>
  <c r="O238" i="1"/>
  <c r="M238" i="1"/>
  <c r="N238" i="1" s="1"/>
  <c r="P238" i="1" s="1"/>
  <c r="O237" i="1"/>
  <c r="N237" i="1"/>
  <c r="M237" i="1"/>
  <c r="O236" i="1"/>
  <c r="M236" i="1"/>
  <c r="N236" i="1" s="1"/>
  <c r="O235" i="1"/>
  <c r="M235" i="1"/>
  <c r="N235" i="1" s="1"/>
  <c r="Q234" i="1"/>
  <c r="O234" i="1"/>
  <c r="P234" i="1" s="1"/>
  <c r="N234" i="1"/>
  <c r="M234" i="1"/>
  <c r="O233" i="1"/>
  <c r="M233" i="1"/>
  <c r="N233" i="1" s="1"/>
  <c r="Q232" i="1"/>
  <c r="O232" i="1"/>
  <c r="M232" i="1"/>
  <c r="N232" i="1" s="1"/>
  <c r="P232" i="1" s="1"/>
  <c r="O231" i="1"/>
  <c r="M231" i="1"/>
  <c r="N231" i="1" s="1"/>
  <c r="Q230" i="1"/>
  <c r="P230" i="1"/>
  <c r="O230" i="1"/>
  <c r="M230" i="1"/>
  <c r="N230" i="1" s="1"/>
  <c r="Q229" i="1"/>
  <c r="O229" i="1"/>
  <c r="M229" i="1"/>
  <c r="N229" i="1" s="1"/>
  <c r="P229" i="1" s="1"/>
  <c r="O228" i="1"/>
  <c r="M228" i="1"/>
  <c r="N228" i="1" s="1"/>
  <c r="Q227" i="1"/>
  <c r="P227" i="1"/>
  <c r="O227" i="1"/>
  <c r="M227" i="1"/>
  <c r="N227" i="1" s="1"/>
  <c r="O226" i="1"/>
  <c r="N226" i="1"/>
  <c r="M226" i="1"/>
  <c r="O225" i="1"/>
  <c r="M225" i="1"/>
  <c r="N225" i="1" s="1"/>
  <c r="Q225" i="1" s="1"/>
  <c r="O224" i="1"/>
  <c r="N224" i="1"/>
  <c r="Q224" i="1" s="1"/>
  <c r="M224" i="1"/>
  <c r="O223" i="1"/>
  <c r="N223" i="1"/>
  <c r="M223" i="1"/>
  <c r="O222" i="1"/>
  <c r="N222" i="1"/>
  <c r="M222" i="1"/>
  <c r="O221" i="1"/>
  <c r="M221" i="1"/>
  <c r="N221" i="1" s="1"/>
  <c r="P221" i="1" s="1"/>
  <c r="O220" i="1"/>
  <c r="M220" i="1"/>
  <c r="N220" i="1" s="1"/>
  <c r="O219" i="1"/>
  <c r="M219" i="1"/>
  <c r="N219" i="1" s="1"/>
  <c r="P219" i="1" s="1"/>
  <c r="O218" i="1"/>
  <c r="N218" i="1"/>
  <c r="P218" i="1" s="1"/>
  <c r="M218" i="1"/>
  <c r="Q217" i="1"/>
  <c r="O217" i="1"/>
  <c r="M217" i="1"/>
  <c r="N217" i="1" s="1"/>
  <c r="P217" i="1" s="1"/>
  <c r="O216" i="1"/>
  <c r="N216" i="1"/>
  <c r="Q216" i="1" s="1"/>
  <c r="M216" i="1"/>
  <c r="O215" i="1"/>
  <c r="M215" i="1"/>
  <c r="N215" i="1" s="1"/>
  <c r="O214" i="1"/>
  <c r="M214" i="1"/>
  <c r="N214" i="1" s="1"/>
  <c r="P214" i="1" s="1"/>
  <c r="Q213" i="1"/>
  <c r="P213" i="1"/>
  <c r="O213" i="1"/>
  <c r="M213" i="1"/>
  <c r="N213" i="1" s="1"/>
  <c r="O212" i="1"/>
  <c r="M212" i="1"/>
  <c r="N212" i="1" s="1"/>
  <c r="P212" i="1" s="1"/>
  <c r="P211" i="1"/>
  <c r="O211" i="1"/>
  <c r="M211" i="1"/>
  <c r="N211" i="1" s="1"/>
  <c r="Q211" i="1" s="1"/>
  <c r="O210" i="1"/>
  <c r="M210" i="1"/>
  <c r="N210" i="1" s="1"/>
  <c r="Q209" i="1"/>
  <c r="P209" i="1"/>
  <c r="O209" i="1"/>
  <c r="N209" i="1"/>
  <c r="M209" i="1"/>
  <c r="O208" i="1"/>
  <c r="N208" i="1"/>
  <c r="M208" i="1"/>
  <c r="O207" i="1"/>
  <c r="N207" i="1"/>
  <c r="M207" i="1"/>
  <c r="O206" i="1"/>
  <c r="M206" i="1"/>
  <c r="N206" i="1" s="1"/>
  <c r="Q205" i="1"/>
  <c r="P205" i="1"/>
  <c r="O205" i="1"/>
  <c r="N205" i="1"/>
  <c r="M205" i="1"/>
  <c r="O204" i="1"/>
  <c r="M204" i="1"/>
  <c r="N204" i="1" s="1"/>
  <c r="O203" i="1"/>
  <c r="P203" i="1" s="1"/>
  <c r="N203" i="1"/>
  <c r="Q203" i="1" s="1"/>
  <c r="M203" i="1"/>
  <c r="O202" i="1"/>
  <c r="M202" i="1"/>
  <c r="N202" i="1" s="1"/>
  <c r="Q201" i="1"/>
  <c r="O201" i="1"/>
  <c r="M201" i="1"/>
  <c r="N201" i="1" s="1"/>
  <c r="P201" i="1" s="1"/>
  <c r="O200" i="1"/>
  <c r="M200" i="1"/>
  <c r="N200" i="1" s="1"/>
  <c r="Q199" i="1"/>
  <c r="P199" i="1"/>
  <c r="O199" i="1"/>
  <c r="M199" i="1"/>
  <c r="N199" i="1" s="1"/>
  <c r="Q198" i="1"/>
  <c r="P198" i="1"/>
  <c r="O198" i="1"/>
  <c r="M198" i="1"/>
  <c r="N198" i="1" s="1"/>
  <c r="O197" i="1"/>
  <c r="M197" i="1"/>
  <c r="N197" i="1" s="1"/>
  <c r="O196" i="1"/>
  <c r="M196" i="1"/>
  <c r="N196" i="1" s="1"/>
  <c r="O195" i="1"/>
  <c r="M195" i="1"/>
  <c r="N195" i="1" s="1"/>
  <c r="P195" i="1" s="1"/>
  <c r="P194" i="1"/>
  <c r="O194" i="1"/>
  <c r="N194" i="1"/>
  <c r="Q194" i="1" s="1"/>
  <c r="M194" i="1"/>
  <c r="O193" i="1"/>
  <c r="M193" i="1"/>
  <c r="N193" i="1" s="1"/>
  <c r="O192" i="1"/>
  <c r="N192" i="1"/>
  <c r="Q192" i="1" s="1"/>
  <c r="M192" i="1"/>
  <c r="O191" i="1"/>
  <c r="M191" i="1"/>
  <c r="N191" i="1" s="1"/>
  <c r="O190" i="1"/>
  <c r="N190" i="1"/>
  <c r="M190" i="1"/>
  <c r="O189" i="1"/>
  <c r="M189" i="1"/>
  <c r="N189" i="1" s="1"/>
  <c r="O188" i="1"/>
  <c r="N188" i="1"/>
  <c r="M188" i="1"/>
  <c r="Q187" i="1"/>
  <c r="P187" i="1"/>
  <c r="O187" i="1"/>
  <c r="N187" i="1"/>
  <c r="M187" i="1"/>
  <c r="P186" i="1"/>
  <c r="O186" i="1"/>
  <c r="M186" i="1"/>
  <c r="N186" i="1" s="1"/>
  <c r="Q186" i="1" s="1"/>
  <c r="Q185" i="1"/>
  <c r="O185" i="1"/>
  <c r="M185" i="1"/>
  <c r="N185" i="1" s="1"/>
  <c r="P185" i="1" s="1"/>
  <c r="O184" i="1"/>
  <c r="N184" i="1"/>
  <c r="M184" i="1"/>
  <c r="Q183" i="1"/>
  <c r="O183" i="1"/>
  <c r="M183" i="1"/>
  <c r="N183" i="1" s="1"/>
  <c r="P183" i="1" s="1"/>
  <c r="Q182" i="1"/>
  <c r="P182" i="1"/>
  <c r="O182" i="1"/>
  <c r="M182" i="1"/>
  <c r="N182" i="1" s="1"/>
  <c r="O181" i="1"/>
  <c r="M181" i="1"/>
  <c r="N181" i="1" s="1"/>
  <c r="Q180" i="1"/>
  <c r="O180" i="1"/>
  <c r="P180" i="1" s="1"/>
  <c r="N180" i="1"/>
  <c r="M180" i="1"/>
  <c r="O179" i="1"/>
  <c r="M179" i="1"/>
  <c r="N179" i="1" s="1"/>
  <c r="P178" i="1"/>
  <c r="O178" i="1"/>
  <c r="M178" i="1"/>
  <c r="N178" i="1" s="1"/>
  <c r="Q178" i="1" s="1"/>
  <c r="O177" i="1"/>
  <c r="M177" i="1"/>
  <c r="N177" i="1" s="1"/>
  <c r="Q176" i="1"/>
  <c r="P176" i="1"/>
  <c r="O176" i="1"/>
  <c r="N176" i="1"/>
  <c r="M176" i="1"/>
  <c r="O175" i="1"/>
  <c r="N175" i="1"/>
  <c r="M175" i="1"/>
  <c r="Q174" i="1"/>
  <c r="O174" i="1"/>
  <c r="M174" i="1"/>
  <c r="N174" i="1" s="1"/>
  <c r="P174" i="1" s="1"/>
  <c r="O173" i="1"/>
  <c r="N173" i="1"/>
  <c r="M173" i="1"/>
  <c r="O172" i="1"/>
  <c r="M172" i="1"/>
  <c r="N172" i="1" s="1"/>
  <c r="O171" i="1"/>
  <c r="N171" i="1"/>
  <c r="M171" i="1"/>
  <c r="O170" i="1"/>
  <c r="N170" i="1"/>
  <c r="Q170" i="1" s="1"/>
  <c r="M170" i="1"/>
  <c r="Q169" i="1"/>
  <c r="O169" i="1"/>
  <c r="M169" i="1"/>
  <c r="N169" i="1" s="1"/>
  <c r="P169" i="1" s="1"/>
  <c r="O168" i="1"/>
  <c r="N168" i="1"/>
  <c r="M168" i="1"/>
  <c r="O167" i="1"/>
  <c r="N167" i="1"/>
  <c r="Q167" i="1" s="1"/>
  <c r="M167" i="1"/>
  <c r="Q166" i="1"/>
  <c r="P166" i="1"/>
  <c r="O166" i="1"/>
  <c r="N166" i="1"/>
  <c r="M166" i="1"/>
  <c r="O165" i="1"/>
  <c r="M165" i="1"/>
  <c r="N165" i="1" s="1"/>
  <c r="Q164" i="1"/>
  <c r="O164" i="1"/>
  <c r="M164" i="1"/>
  <c r="N164" i="1" s="1"/>
  <c r="P164" i="1" s="1"/>
  <c r="Q163" i="1"/>
  <c r="P163" i="1"/>
  <c r="O163" i="1"/>
  <c r="M163" i="1"/>
  <c r="N163" i="1" s="1"/>
  <c r="O162" i="1"/>
  <c r="P162" i="1" s="1"/>
  <c r="N162" i="1"/>
  <c r="Q162" i="1" s="1"/>
  <c r="M162" i="1"/>
  <c r="O161" i="1"/>
  <c r="N161" i="1"/>
  <c r="M161" i="1"/>
  <c r="Q160" i="1"/>
  <c r="P160" i="1"/>
  <c r="O160" i="1"/>
  <c r="N160" i="1"/>
  <c r="M160" i="1"/>
  <c r="O159" i="1"/>
  <c r="N159" i="1"/>
  <c r="M159" i="1"/>
  <c r="O158" i="1"/>
  <c r="M158" i="1"/>
  <c r="N158" i="1" s="1"/>
  <c r="P158" i="1" s="1"/>
  <c r="O157" i="1"/>
  <c r="M157" i="1"/>
  <c r="N157" i="1" s="1"/>
  <c r="O156" i="1"/>
  <c r="N156" i="1"/>
  <c r="M156" i="1"/>
  <c r="Q155" i="1"/>
  <c r="O155" i="1"/>
  <c r="P155" i="1" s="1"/>
  <c r="N155" i="1"/>
  <c r="M155" i="1"/>
  <c r="O154" i="1"/>
  <c r="M154" i="1"/>
  <c r="N154" i="1" s="1"/>
  <c r="O153" i="1"/>
  <c r="M153" i="1"/>
  <c r="N153" i="1" s="1"/>
  <c r="P153" i="1" s="1"/>
  <c r="O152" i="1"/>
  <c r="N152" i="1"/>
  <c r="M152" i="1"/>
  <c r="Q151" i="1"/>
  <c r="P151" i="1"/>
  <c r="O151" i="1"/>
  <c r="N151" i="1"/>
  <c r="M151" i="1"/>
  <c r="Q150" i="1"/>
  <c r="P150" i="1"/>
  <c r="O150" i="1"/>
  <c r="M150" i="1"/>
  <c r="N150" i="1" s="1"/>
  <c r="O149" i="1"/>
  <c r="M149" i="1"/>
  <c r="N149" i="1" s="1"/>
  <c r="O148" i="1"/>
  <c r="N148" i="1"/>
  <c r="M148" i="1"/>
  <c r="O147" i="1"/>
  <c r="M147" i="1"/>
  <c r="N147" i="1" s="1"/>
  <c r="O146" i="1"/>
  <c r="N146" i="1"/>
  <c r="Q146" i="1" s="1"/>
  <c r="M146" i="1"/>
  <c r="O145" i="1"/>
  <c r="M145" i="1"/>
  <c r="N145" i="1" s="1"/>
  <c r="Q144" i="1"/>
  <c r="P144" i="1"/>
  <c r="O144" i="1"/>
  <c r="N144" i="1"/>
  <c r="M144" i="1"/>
  <c r="O143" i="1"/>
  <c r="M143" i="1"/>
  <c r="N143" i="1" s="1"/>
  <c r="O142" i="1"/>
  <c r="M142" i="1"/>
  <c r="N142" i="1" s="1"/>
  <c r="O141" i="1"/>
  <c r="N141" i="1"/>
  <c r="Q141" i="1" s="1"/>
  <c r="M141" i="1"/>
  <c r="O140" i="1"/>
  <c r="N140" i="1"/>
  <c r="M140" i="1"/>
  <c r="O139" i="1"/>
  <c r="M139" i="1"/>
  <c r="N139" i="1" s="1"/>
  <c r="P139" i="1" s="1"/>
  <c r="O138" i="1"/>
  <c r="M138" i="1"/>
  <c r="N138" i="1" s="1"/>
  <c r="Q137" i="1"/>
  <c r="O137" i="1"/>
  <c r="M137" i="1"/>
  <c r="N137" i="1" s="1"/>
  <c r="P137" i="1" s="1"/>
  <c r="O136" i="1"/>
  <c r="M136" i="1"/>
  <c r="N136" i="1" s="1"/>
  <c r="O135" i="1"/>
  <c r="M135" i="1"/>
  <c r="N135" i="1" s="1"/>
  <c r="P135" i="1" s="1"/>
  <c r="O134" i="1"/>
  <c r="N134" i="1"/>
  <c r="M134" i="1"/>
  <c r="Q133" i="1"/>
  <c r="O133" i="1"/>
  <c r="M133" i="1"/>
  <c r="N133" i="1" s="1"/>
  <c r="P133" i="1" s="1"/>
  <c r="O132" i="1"/>
  <c r="N132" i="1"/>
  <c r="Q132" i="1" s="1"/>
  <c r="M132" i="1"/>
  <c r="O131" i="1"/>
  <c r="M131" i="1"/>
  <c r="N131" i="1" s="1"/>
  <c r="Q130" i="1"/>
  <c r="P130" i="1"/>
  <c r="O130" i="1"/>
  <c r="N130" i="1"/>
  <c r="M130" i="1"/>
  <c r="O129" i="1"/>
  <c r="M129" i="1"/>
  <c r="N129" i="1" s="1"/>
  <c r="O128" i="1"/>
  <c r="N128" i="1"/>
  <c r="Q128" i="1" s="1"/>
  <c r="M128" i="1"/>
  <c r="Q127" i="1"/>
  <c r="O127" i="1"/>
  <c r="P127" i="1" s="1"/>
  <c r="N127" i="1"/>
  <c r="M127" i="1"/>
  <c r="O126" i="1"/>
  <c r="N126" i="1"/>
  <c r="Q126" i="1" s="1"/>
  <c r="M126" i="1"/>
  <c r="O125" i="1"/>
  <c r="M125" i="1"/>
  <c r="N125" i="1" s="1"/>
  <c r="Q125" i="1" s="1"/>
  <c r="O124" i="1"/>
  <c r="N124" i="1"/>
  <c r="Q124" i="1" s="1"/>
  <c r="M124" i="1"/>
  <c r="O123" i="1"/>
  <c r="N123" i="1"/>
  <c r="M123" i="1"/>
  <c r="O122" i="1"/>
  <c r="P122" i="1" s="1"/>
  <c r="N122" i="1"/>
  <c r="Q122" i="1" s="1"/>
  <c r="M122" i="1"/>
  <c r="O121" i="1"/>
  <c r="N121" i="1"/>
  <c r="Q121" i="1" s="1"/>
  <c r="M121" i="1"/>
  <c r="O120" i="1"/>
  <c r="M120" i="1"/>
  <c r="N120" i="1" s="1"/>
  <c r="P119" i="1"/>
  <c r="O119" i="1"/>
  <c r="M119" i="1"/>
  <c r="N119" i="1" s="1"/>
  <c r="Q119" i="1" s="1"/>
  <c r="Q118" i="1"/>
  <c r="O118" i="1"/>
  <c r="P118" i="1" s="1"/>
  <c r="M118" i="1"/>
  <c r="N118" i="1" s="1"/>
  <c r="Q117" i="1"/>
  <c r="O117" i="1"/>
  <c r="M117" i="1"/>
  <c r="N117" i="1" s="1"/>
  <c r="P117" i="1" s="1"/>
  <c r="O116" i="1"/>
  <c r="N116" i="1"/>
  <c r="M116" i="1"/>
  <c r="O115" i="1"/>
  <c r="M115" i="1"/>
  <c r="N115" i="1" s="1"/>
  <c r="Q114" i="1"/>
  <c r="P114" i="1"/>
  <c r="O114" i="1"/>
  <c r="N114" i="1"/>
  <c r="M114" i="1"/>
  <c r="O113" i="1"/>
  <c r="N113" i="1"/>
  <c r="M113" i="1"/>
  <c r="Q112" i="1"/>
  <c r="P112" i="1"/>
  <c r="O112" i="1"/>
  <c r="N112" i="1"/>
  <c r="M112" i="1"/>
  <c r="Q111" i="1"/>
  <c r="P111" i="1"/>
  <c r="O111" i="1"/>
  <c r="N111" i="1"/>
  <c r="M111" i="1"/>
  <c r="O110" i="1"/>
  <c r="M110" i="1"/>
  <c r="N110" i="1" s="1"/>
  <c r="Q109" i="1"/>
  <c r="O109" i="1"/>
  <c r="P109" i="1" s="1"/>
  <c r="N109" i="1"/>
  <c r="M109" i="1"/>
  <c r="Q108" i="1"/>
  <c r="P108" i="1"/>
  <c r="O108" i="1"/>
  <c r="N108" i="1"/>
  <c r="M108" i="1"/>
  <c r="O107" i="1"/>
  <c r="M107" i="1"/>
  <c r="N107" i="1" s="1"/>
  <c r="O106" i="1"/>
  <c r="N106" i="1"/>
  <c r="M106" i="1"/>
  <c r="O105" i="1"/>
  <c r="N105" i="1"/>
  <c r="Q105" i="1" s="1"/>
  <c r="M105" i="1"/>
  <c r="O104" i="1"/>
  <c r="N104" i="1"/>
  <c r="M104" i="1"/>
  <c r="O103" i="1"/>
  <c r="M103" i="1"/>
  <c r="N103" i="1" s="1"/>
  <c r="O102" i="1"/>
  <c r="M102" i="1"/>
  <c r="N102" i="1" s="1"/>
  <c r="O101" i="1"/>
  <c r="M101" i="1"/>
  <c r="N101" i="1" s="1"/>
  <c r="O100" i="1"/>
  <c r="M100" i="1"/>
  <c r="N100" i="1" s="1"/>
  <c r="Q100" i="1" s="1"/>
  <c r="O99" i="1"/>
  <c r="M99" i="1"/>
  <c r="N99" i="1" s="1"/>
  <c r="Q98" i="1"/>
  <c r="P98" i="1"/>
  <c r="O98" i="1"/>
  <c r="N98" i="1"/>
  <c r="M98" i="1"/>
  <c r="O97" i="1"/>
  <c r="M97" i="1"/>
  <c r="N97" i="1" s="1"/>
  <c r="Q97" i="1" s="1"/>
  <c r="O96" i="1"/>
  <c r="M96" i="1"/>
  <c r="N96" i="1" s="1"/>
  <c r="Q95" i="1"/>
  <c r="O95" i="1"/>
  <c r="P95" i="1" s="1"/>
  <c r="N95" i="1"/>
  <c r="M95" i="1"/>
  <c r="P94" i="1"/>
  <c r="O94" i="1"/>
  <c r="N94" i="1"/>
  <c r="Q94" i="1" s="1"/>
  <c r="M94" i="1"/>
  <c r="O93" i="1"/>
  <c r="N93" i="1"/>
  <c r="Q93" i="1" s="1"/>
  <c r="M93" i="1"/>
  <c r="O92" i="1"/>
  <c r="N92" i="1"/>
  <c r="M92" i="1"/>
  <c r="O91" i="1"/>
  <c r="M91" i="1"/>
  <c r="N91" i="1" s="1"/>
  <c r="Q90" i="1"/>
  <c r="P90" i="1"/>
  <c r="O90" i="1"/>
  <c r="M90" i="1"/>
  <c r="N90" i="1" s="1"/>
  <c r="O89" i="1"/>
  <c r="M89" i="1"/>
  <c r="N89" i="1" s="1"/>
  <c r="O88" i="1"/>
  <c r="M88" i="1"/>
  <c r="N88" i="1" s="1"/>
  <c r="O87" i="1"/>
  <c r="N87" i="1"/>
  <c r="M87" i="1"/>
  <c r="O86" i="1"/>
  <c r="M86" i="1"/>
  <c r="N86" i="1" s="1"/>
  <c r="P86" i="1" s="1"/>
  <c r="O85" i="1"/>
  <c r="M85" i="1"/>
  <c r="N85" i="1" s="1"/>
  <c r="P85" i="1" s="1"/>
  <c r="Q84" i="1"/>
  <c r="O84" i="1"/>
  <c r="P84" i="1" s="1"/>
  <c r="N84" i="1"/>
  <c r="M84" i="1"/>
  <c r="O83" i="1"/>
  <c r="N83" i="1"/>
  <c r="M83" i="1"/>
  <c r="Q82" i="1"/>
  <c r="P82" i="1"/>
  <c r="O82" i="1"/>
  <c r="N82" i="1"/>
  <c r="M82" i="1"/>
  <c r="O81" i="1"/>
  <c r="M81" i="1"/>
  <c r="N81" i="1" s="1"/>
  <c r="Q81" i="1" s="1"/>
  <c r="O80" i="1"/>
  <c r="M80" i="1"/>
  <c r="N80" i="1" s="1"/>
  <c r="Q79" i="1"/>
  <c r="O79" i="1"/>
  <c r="P79" i="1" s="1"/>
  <c r="N79" i="1"/>
  <c r="M79" i="1"/>
  <c r="O78" i="1"/>
  <c r="M78" i="1"/>
  <c r="N78" i="1" s="1"/>
  <c r="Q77" i="1"/>
  <c r="P77" i="1"/>
  <c r="O77" i="1"/>
  <c r="M77" i="1"/>
  <c r="N77" i="1" s="1"/>
  <c r="Q76" i="1"/>
  <c r="P76" i="1"/>
  <c r="O76" i="1"/>
  <c r="N76" i="1"/>
  <c r="M76" i="1"/>
  <c r="O75" i="1"/>
  <c r="M75" i="1"/>
  <c r="N75" i="1" s="1"/>
  <c r="O74" i="1"/>
  <c r="M74" i="1"/>
  <c r="N74" i="1" s="1"/>
  <c r="O73" i="1"/>
  <c r="P73" i="1" s="1"/>
  <c r="N73" i="1"/>
  <c r="Q73" i="1" s="1"/>
  <c r="M73" i="1"/>
  <c r="O72" i="1"/>
  <c r="M72" i="1"/>
  <c r="N72" i="1" s="1"/>
  <c r="O71" i="1"/>
  <c r="M71" i="1"/>
  <c r="N71" i="1" s="1"/>
  <c r="O70" i="1"/>
  <c r="M70" i="1"/>
  <c r="N70" i="1" s="1"/>
  <c r="O69" i="1"/>
  <c r="M69" i="1"/>
  <c r="N69" i="1" s="1"/>
  <c r="P69" i="1" s="1"/>
  <c r="O68" i="1"/>
  <c r="N68" i="1"/>
  <c r="Q68" i="1" s="1"/>
  <c r="M68" i="1"/>
  <c r="O67" i="1"/>
  <c r="M67" i="1"/>
  <c r="N67" i="1" s="1"/>
  <c r="Q66" i="1"/>
  <c r="P66" i="1"/>
  <c r="O66" i="1"/>
  <c r="N66" i="1"/>
  <c r="M66" i="1"/>
  <c r="Q65" i="1"/>
  <c r="O65" i="1"/>
  <c r="M65" i="1"/>
  <c r="N65" i="1" s="1"/>
  <c r="P65" i="1" s="1"/>
  <c r="O64" i="1"/>
  <c r="M64" i="1"/>
  <c r="N64" i="1" s="1"/>
  <c r="Q63" i="1"/>
  <c r="P63" i="1"/>
  <c r="O63" i="1"/>
  <c r="N63" i="1"/>
  <c r="M63" i="1"/>
  <c r="P62" i="1"/>
  <c r="O62" i="1"/>
  <c r="M62" i="1"/>
  <c r="N62" i="1" s="1"/>
  <c r="Q62" i="1" s="1"/>
  <c r="O61" i="1"/>
  <c r="M61" i="1"/>
  <c r="N61" i="1" s="1"/>
  <c r="Q60" i="1"/>
  <c r="P60" i="1"/>
  <c r="O60" i="1"/>
  <c r="N60" i="1"/>
  <c r="M60" i="1"/>
  <c r="O59" i="1"/>
  <c r="M59" i="1"/>
  <c r="N59" i="1" s="1"/>
  <c r="O58" i="1"/>
  <c r="M58" i="1"/>
  <c r="N58" i="1" s="1"/>
  <c r="P58" i="1" s="1"/>
  <c r="O57" i="1"/>
  <c r="N57" i="1"/>
  <c r="M57" i="1"/>
  <c r="O56" i="1"/>
  <c r="N56" i="1"/>
  <c r="M56" i="1"/>
  <c r="Q55" i="1"/>
  <c r="P55" i="1"/>
  <c r="O55" i="1"/>
  <c r="N55" i="1"/>
  <c r="M55" i="1"/>
  <c r="O54" i="1"/>
  <c r="M54" i="1"/>
  <c r="N54" i="1" s="1"/>
  <c r="O53" i="1"/>
  <c r="M53" i="1"/>
  <c r="N53" i="1" s="1"/>
  <c r="O52" i="1"/>
  <c r="M52" i="1"/>
  <c r="N52" i="1" s="1"/>
  <c r="P51" i="1"/>
  <c r="O51" i="1"/>
  <c r="M51" i="1"/>
  <c r="N51" i="1" s="1"/>
  <c r="Q51" i="1" s="1"/>
  <c r="Q50" i="1"/>
  <c r="P50" i="1"/>
  <c r="O50" i="1"/>
  <c r="N50" i="1"/>
  <c r="M50" i="1"/>
  <c r="Q49" i="1"/>
  <c r="O49" i="1"/>
  <c r="P49" i="1" s="1"/>
  <c r="M49" i="1"/>
  <c r="N49" i="1" s="1"/>
  <c r="O48" i="1"/>
  <c r="M48" i="1"/>
  <c r="N48" i="1" s="1"/>
  <c r="Q48" i="1" s="1"/>
  <c r="Q47" i="1"/>
  <c r="P47" i="1"/>
  <c r="O47" i="1"/>
  <c r="N47" i="1"/>
  <c r="M47" i="1"/>
  <c r="O46" i="1"/>
  <c r="N46" i="1"/>
  <c r="Q46" i="1" s="1"/>
  <c r="M46" i="1"/>
  <c r="O45" i="1"/>
  <c r="P45" i="1" s="1"/>
  <c r="N45" i="1"/>
  <c r="Q45" i="1" s="1"/>
  <c r="M45" i="1"/>
  <c r="O44" i="1"/>
  <c r="N44" i="1"/>
  <c r="Q44" i="1" s="1"/>
  <c r="M44" i="1"/>
  <c r="O43" i="1"/>
  <c r="M43" i="1"/>
  <c r="N43" i="1" s="1"/>
  <c r="Q42" i="1"/>
  <c r="O42" i="1"/>
  <c r="P42" i="1" s="1"/>
  <c r="M42" i="1"/>
  <c r="N42" i="1" s="1"/>
  <c r="Q41" i="1"/>
  <c r="P41" i="1"/>
  <c r="O41" i="1"/>
  <c r="M41" i="1"/>
  <c r="N41" i="1" s="1"/>
  <c r="O40" i="1"/>
  <c r="N40" i="1"/>
  <c r="M40" i="1"/>
  <c r="O39" i="1"/>
  <c r="N39" i="1"/>
  <c r="M39" i="1"/>
  <c r="O38" i="1"/>
  <c r="M38" i="1"/>
  <c r="N38" i="1" s="1"/>
  <c r="Q37" i="1"/>
  <c r="O37" i="1"/>
  <c r="M37" i="1"/>
  <c r="N37" i="1" s="1"/>
  <c r="P37" i="1" s="1"/>
  <c r="O36" i="1"/>
  <c r="M36" i="1"/>
  <c r="N36" i="1" s="1"/>
  <c r="Q35" i="1"/>
  <c r="P35" i="1"/>
  <c r="O35" i="1"/>
  <c r="N35" i="1"/>
  <c r="M35" i="1"/>
  <c r="Q34" i="1"/>
  <c r="P34" i="1"/>
  <c r="O34" i="1"/>
  <c r="N34" i="1"/>
  <c r="M34" i="1"/>
  <c r="O33" i="1"/>
  <c r="M33" i="1"/>
  <c r="N33" i="1" s="1"/>
  <c r="O32" i="1"/>
  <c r="N32" i="1"/>
  <c r="Q32" i="1" s="1"/>
  <c r="M32" i="1"/>
  <c r="Q31" i="1"/>
  <c r="P31" i="1"/>
  <c r="O31" i="1"/>
  <c r="N31" i="1"/>
  <c r="M31" i="1"/>
  <c r="O30" i="1"/>
  <c r="M30" i="1"/>
  <c r="N30" i="1" s="1"/>
  <c r="O29" i="1"/>
  <c r="M29" i="1"/>
  <c r="N29" i="1" s="1"/>
  <c r="Q28" i="1"/>
  <c r="P28" i="1"/>
  <c r="O28" i="1"/>
  <c r="N28" i="1"/>
  <c r="M28" i="1"/>
  <c r="O27" i="1"/>
  <c r="N27" i="1"/>
  <c r="M27" i="1"/>
  <c r="O26" i="1"/>
  <c r="M26" i="1"/>
  <c r="N26" i="1" s="1"/>
  <c r="O25" i="1"/>
  <c r="M25" i="1"/>
  <c r="N25" i="1" s="1"/>
  <c r="O24" i="1"/>
  <c r="M24" i="1"/>
  <c r="N24" i="1" s="1"/>
  <c r="Q23" i="1"/>
  <c r="P23" i="1"/>
  <c r="O23" i="1"/>
  <c r="M23" i="1"/>
  <c r="N23" i="1" s="1"/>
  <c r="O22" i="1"/>
  <c r="M22" i="1"/>
  <c r="N22" i="1" s="1"/>
  <c r="Q21" i="1"/>
  <c r="O21" i="1"/>
  <c r="M21" i="1"/>
  <c r="N21" i="1" s="1"/>
  <c r="P21" i="1" s="1"/>
  <c r="O20" i="1"/>
  <c r="M20" i="1"/>
  <c r="N20" i="1" s="1"/>
  <c r="O19" i="1"/>
  <c r="N19" i="1"/>
  <c r="Q19" i="1" s="1"/>
  <c r="M19" i="1"/>
  <c r="Q18" i="1"/>
  <c r="P18" i="1"/>
  <c r="O18" i="1"/>
  <c r="N18" i="1"/>
  <c r="M18" i="1"/>
  <c r="Q17" i="1"/>
  <c r="O17" i="1"/>
  <c r="N17" i="1"/>
  <c r="M17" i="1"/>
  <c r="O16" i="1"/>
  <c r="M16" i="1"/>
  <c r="N16" i="1" s="1"/>
  <c r="P16" i="1" s="1"/>
  <c r="Q15" i="1"/>
  <c r="O15" i="1"/>
  <c r="P15" i="1" s="1"/>
  <c r="N15" i="1"/>
  <c r="M15" i="1"/>
  <c r="O14" i="1"/>
  <c r="M14" i="1"/>
  <c r="N14" i="1" s="1"/>
  <c r="Q14" i="1" s="1"/>
  <c r="Q13" i="1"/>
  <c r="O13" i="1"/>
  <c r="M13" i="1"/>
  <c r="N13" i="1" s="1"/>
  <c r="P13" i="1" s="1"/>
  <c r="O12" i="1"/>
  <c r="N12" i="1"/>
  <c r="Q12" i="1" s="1"/>
  <c r="M12" i="1"/>
  <c r="O11" i="1"/>
  <c r="M11" i="1"/>
  <c r="N11" i="1" s="1"/>
  <c r="O10" i="1"/>
  <c r="M10" i="1"/>
  <c r="N10" i="1" s="1"/>
  <c r="O9" i="1"/>
  <c r="M9" i="1"/>
  <c r="N9" i="1" s="1"/>
  <c r="P9" i="1" s="1"/>
  <c r="O8" i="1"/>
  <c r="M8" i="1"/>
  <c r="N8" i="1" s="1"/>
  <c r="Q7" i="1"/>
  <c r="P7" i="1"/>
  <c r="O7" i="1"/>
  <c r="N7" i="1"/>
  <c r="M7" i="1"/>
  <c r="O6" i="1"/>
  <c r="P6" i="1" s="1"/>
  <c r="N6" i="1"/>
  <c r="Q6" i="1" s="1"/>
  <c r="M6" i="1"/>
  <c r="O5" i="1"/>
  <c r="M5" i="1"/>
  <c r="N5" i="1" s="1"/>
  <c r="P5" i="1" s="1"/>
  <c r="O4" i="1"/>
  <c r="N4" i="1"/>
  <c r="M4" i="1"/>
  <c r="O3" i="1"/>
  <c r="N3" i="1"/>
  <c r="Q3" i="1" s="1"/>
  <c r="Q2" i="1"/>
  <c r="P2" i="1"/>
  <c r="O2" i="1"/>
  <c r="N2" i="1"/>
  <c r="M2" i="1"/>
  <c r="Q2513" i="1" l="1"/>
  <c r="P2513" i="1"/>
  <c r="P2521" i="1"/>
  <c r="Q2518" i="1"/>
  <c r="P4041" i="1"/>
  <c r="P4061" i="1"/>
  <c r="P4076" i="1"/>
  <c r="P4030" i="1"/>
  <c r="P4051" i="1"/>
  <c r="P4033" i="1"/>
  <c r="Q4033" i="1"/>
  <c r="Q4044" i="1"/>
  <c r="P4044" i="1"/>
  <c r="Q4057" i="1"/>
  <c r="P4057" i="1"/>
  <c r="Q4073" i="1"/>
  <c r="P4073" i="1"/>
  <c r="Q4063" i="1"/>
  <c r="P4063" i="1"/>
  <c r="Q4070" i="1"/>
  <c r="P4070" i="1"/>
  <c r="Q4024" i="1"/>
  <c r="P4024" i="1"/>
  <c r="P4067" i="1"/>
  <c r="P4025" i="1"/>
  <c r="P4037" i="1"/>
  <c r="P4053" i="1"/>
  <c r="Q4048" i="1"/>
  <c r="P4054" i="1"/>
  <c r="P4059" i="1"/>
  <c r="P4064" i="1"/>
  <c r="P4074" i="1"/>
  <c r="P4065" i="1"/>
  <c r="P4066" i="1"/>
  <c r="P4071" i="1"/>
  <c r="Q4676" i="1"/>
  <c r="P4676" i="1"/>
  <c r="P4671" i="1"/>
  <c r="P4667" i="1"/>
  <c r="Q4661" i="1"/>
  <c r="P4661" i="1"/>
  <c r="Q4665" i="1"/>
  <c r="P4664" i="1"/>
  <c r="Q4656" i="1"/>
  <c r="P4656" i="1"/>
  <c r="P4652" i="1"/>
  <c r="P4655" i="1"/>
  <c r="P4654" i="1"/>
  <c r="P4659" i="1"/>
  <c r="P4657" i="1"/>
  <c r="P4646" i="1"/>
  <c r="P4859" i="1"/>
  <c r="Q4859" i="1"/>
  <c r="P4855" i="1"/>
  <c r="Q4847" i="1"/>
  <c r="P4847" i="1"/>
  <c r="P4833" i="1"/>
  <c r="Q4833" i="1"/>
  <c r="Q4806" i="1"/>
  <c r="P4806" i="1"/>
  <c r="Q4834" i="1"/>
  <c r="P4834" i="1"/>
  <c r="Q4841" i="1"/>
  <c r="P4826" i="1"/>
  <c r="P4820" i="1"/>
  <c r="Q4805" i="1"/>
  <c r="P4811" i="1"/>
  <c r="P4837" i="1"/>
  <c r="Q4828" i="1"/>
  <c r="P4838" i="1"/>
  <c r="P4840" i="1"/>
  <c r="P5789" i="1"/>
  <c r="Q5789" i="1"/>
  <c r="Q5797" i="1"/>
  <c r="P5797" i="1"/>
  <c r="Q5805" i="1"/>
  <c r="P5805" i="1"/>
  <c r="P5813" i="1"/>
  <c r="Q5813" i="1"/>
  <c r="P5806" i="1"/>
  <c r="Q5806" i="1"/>
  <c r="P5794" i="1"/>
  <c r="P5800" i="1"/>
  <c r="P5802" i="1"/>
  <c r="Q5791" i="1"/>
  <c r="P5785" i="1"/>
  <c r="P5796" i="1"/>
  <c r="Q5801" i="1"/>
  <c r="P5817" i="1"/>
  <c r="P5819" i="1"/>
  <c r="P5838" i="1"/>
  <c r="Q5838" i="1"/>
  <c r="P5854" i="1"/>
  <c r="Q5854" i="1"/>
  <c r="P5856" i="1"/>
  <c r="Q5856" i="1"/>
  <c r="Q5874" i="1"/>
  <c r="P5874" i="1"/>
  <c r="P5833" i="1"/>
  <c r="P5861" i="1"/>
  <c r="P5866" i="1"/>
  <c r="P5878" i="1"/>
  <c r="P5843" i="1"/>
  <c r="Q5839" i="1"/>
  <c r="P5845" i="1"/>
  <c r="P5862" i="1"/>
  <c r="P5867" i="1"/>
  <c r="P5851" i="1"/>
  <c r="Q5864" i="1"/>
  <c r="P5835" i="1"/>
  <c r="P5865" i="1"/>
  <c r="P5846" i="1"/>
  <c r="P5830" i="1"/>
  <c r="Q5830" i="1"/>
  <c r="P5829" i="1"/>
  <c r="P3" i="1"/>
  <c r="Q424" i="1"/>
  <c r="P424" i="1"/>
  <c r="Q351" i="1"/>
  <c r="P351" i="1"/>
  <c r="Q1323" i="1"/>
  <c r="P1323" i="1"/>
  <c r="P2205" i="1"/>
  <c r="Q2205" i="1"/>
  <c r="Q740" i="1"/>
  <c r="P740" i="1"/>
  <c r="P750" i="1"/>
  <c r="Q750" i="1"/>
  <c r="P138" i="1"/>
  <c r="Q138" i="1"/>
  <c r="Q312" i="1"/>
  <c r="P312" i="1"/>
  <c r="P397" i="1"/>
  <c r="Q397" i="1"/>
  <c r="Q594" i="1"/>
  <c r="P594" i="1"/>
  <c r="Q636" i="1"/>
  <c r="P636" i="1"/>
  <c r="Q669" i="1"/>
  <c r="P669" i="1"/>
  <c r="P933" i="1"/>
  <c r="Q933" i="1"/>
  <c r="P375" i="1"/>
  <c r="Q375" i="1"/>
  <c r="Q381" i="1"/>
  <c r="P381" i="1"/>
  <c r="Q785" i="1"/>
  <c r="P785" i="1"/>
  <c r="Q828" i="1"/>
  <c r="P828" i="1"/>
  <c r="Q1227" i="1"/>
  <c r="P1227" i="1"/>
  <c r="P1498" i="1"/>
  <c r="Q1498" i="1"/>
  <c r="Q258" i="1"/>
  <c r="P258" i="1"/>
  <c r="Q604" i="1"/>
  <c r="P604" i="1"/>
  <c r="Q2221" i="1"/>
  <c r="P2221" i="1"/>
  <c r="Q78" i="1"/>
  <c r="P78" i="1"/>
  <c r="Q191" i="1"/>
  <c r="P191" i="1"/>
  <c r="Q74" i="1"/>
  <c r="P74" i="1"/>
  <c r="P289" i="1"/>
  <c r="Q289" i="1"/>
  <c r="Q812" i="1"/>
  <c r="P812" i="1"/>
  <c r="P1042" i="1"/>
  <c r="Q1042" i="1"/>
  <c r="P1658" i="1"/>
  <c r="Q1658" i="1"/>
  <c r="P2064" i="1"/>
  <c r="Q2064" i="1"/>
  <c r="P2981" i="1"/>
  <c r="Q2981" i="1"/>
  <c r="Q655" i="1"/>
  <c r="P655" i="1"/>
  <c r="Q715" i="1"/>
  <c r="P715" i="1"/>
  <c r="P1017" i="1"/>
  <c r="Q1017" i="1"/>
  <c r="Q444" i="1"/>
  <c r="P444" i="1"/>
  <c r="Q250" i="1"/>
  <c r="P250" i="1"/>
  <c r="Q1208" i="1"/>
  <c r="P1208" i="1"/>
  <c r="Q478" i="1"/>
  <c r="P478" i="1"/>
  <c r="P590" i="1"/>
  <c r="Q590" i="1"/>
  <c r="Q210" i="1"/>
  <c r="P210" i="1"/>
  <c r="P1730" i="1"/>
  <c r="Q1730" i="1"/>
  <c r="Q59" i="1"/>
  <c r="P59" i="1"/>
  <c r="Q366" i="1"/>
  <c r="P366" i="1"/>
  <c r="Q433" i="1"/>
  <c r="P433" i="1"/>
  <c r="P38" i="1"/>
  <c r="Q38" i="1"/>
  <c r="P64" i="1"/>
  <c r="Q64" i="1"/>
  <c r="Q303" i="1"/>
  <c r="P303" i="1"/>
  <c r="P501" i="1"/>
  <c r="Q501" i="1"/>
  <c r="Q506" i="1"/>
  <c r="P506" i="1"/>
  <c r="Q548" i="1"/>
  <c r="P548" i="1"/>
  <c r="Q623" i="1"/>
  <c r="P623" i="1"/>
  <c r="Q1720" i="1"/>
  <c r="P1720" i="1"/>
  <c r="P3622" i="1"/>
  <c r="Q3622" i="1"/>
  <c r="P206" i="1"/>
  <c r="Q206" i="1"/>
  <c r="Q543" i="1"/>
  <c r="P543" i="1"/>
  <c r="Q613" i="1"/>
  <c r="P613" i="1"/>
  <c r="Q673" i="1"/>
  <c r="P673" i="1"/>
  <c r="Q968" i="1"/>
  <c r="P968" i="1"/>
  <c r="Q2225" i="1"/>
  <c r="P2225" i="1"/>
  <c r="Q894" i="1"/>
  <c r="P894" i="1"/>
  <c r="Q2835" i="1"/>
  <c r="P2835" i="1"/>
  <c r="Q102" i="1"/>
  <c r="P102" i="1"/>
  <c r="Q510" i="1"/>
  <c r="P510" i="1"/>
  <c r="Q1125" i="1"/>
  <c r="P1125" i="1"/>
  <c r="P10" i="1"/>
  <c r="Q10" i="1"/>
  <c r="Q347" i="1"/>
  <c r="P347" i="1"/>
  <c r="Q552" i="1"/>
  <c r="P552" i="1"/>
  <c r="Q600" i="1"/>
  <c r="P600" i="1"/>
  <c r="P1001" i="1"/>
  <c r="Q1001" i="1"/>
  <c r="Q2873" i="1"/>
  <c r="P2873" i="1"/>
  <c r="Q693" i="1"/>
  <c r="P693" i="1"/>
  <c r="P157" i="1"/>
  <c r="Q157" i="1"/>
  <c r="Q474" i="1"/>
  <c r="P474" i="1"/>
  <c r="Q575" i="1"/>
  <c r="P575" i="1"/>
  <c r="Q754" i="1"/>
  <c r="P754" i="1"/>
  <c r="Q29" i="1"/>
  <c r="P29" i="1"/>
  <c r="Q136" i="1"/>
  <c r="P136" i="1"/>
  <c r="P401" i="1"/>
  <c r="Q401" i="1"/>
  <c r="Q429" i="1"/>
  <c r="P429" i="1"/>
  <c r="P533" i="1"/>
  <c r="Q533" i="1"/>
  <c r="Q794" i="1"/>
  <c r="P794" i="1"/>
  <c r="Q1055" i="1"/>
  <c r="P1055" i="1"/>
  <c r="P1074" i="1"/>
  <c r="Q1074" i="1"/>
  <c r="P1502" i="1"/>
  <c r="Q1502" i="1"/>
  <c r="Q866" i="1"/>
  <c r="P866" i="1"/>
  <c r="P5904" i="1"/>
  <c r="Q5904" i="1"/>
  <c r="P196" i="1"/>
  <c r="Q196" i="1"/>
  <c r="P459" i="1"/>
  <c r="Q459" i="1"/>
  <c r="Q570" i="1"/>
  <c r="P570" i="1"/>
  <c r="Q684" i="1"/>
  <c r="P684" i="1"/>
  <c r="Q2210" i="1"/>
  <c r="P2210" i="1"/>
  <c r="Q215" i="1"/>
  <c r="P215" i="1"/>
  <c r="Q562" i="1"/>
  <c r="P562" i="1"/>
  <c r="Q24" i="1"/>
  <c r="P24" i="1"/>
  <c r="Q328" i="1"/>
  <c r="P328" i="1"/>
  <c r="P362" i="1"/>
  <c r="Q362" i="1"/>
  <c r="Q832" i="1"/>
  <c r="P832" i="1"/>
  <c r="Q1009" i="1"/>
  <c r="P1009" i="1"/>
  <c r="Q1371" i="1"/>
  <c r="P1371" i="1"/>
  <c r="Q1503" i="1"/>
  <c r="P1503" i="1"/>
  <c r="Q1888" i="1"/>
  <c r="P1888" i="1"/>
  <c r="Q2664" i="1"/>
  <c r="P2664" i="1"/>
  <c r="Q637" i="1"/>
  <c r="P637" i="1"/>
  <c r="P682" i="1"/>
  <c r="Q682" i="1"/>
  <c r="Q879" i="1"/>
  <c r="P879" i="1"/>
  <c r="Q1212" i="1"/>
  <c r="P1212" i="1"/>
  <c r="Q1482" i="1"/>
  <c r="P1482" i="1"/>
  <c r="Q1528" i="1"/>
  <c r="P1528" i="1"/>
  <c r="Q1754" i="1"/>
  <c r="P1754" i="1"/>
  <c r="Q2078" i="1"/>
  <c r="P2078" i="1"/>
  <c r="Q3002" i="1"/>
  <c r="P3002" i="1"/>
  <c r="P1410" i="1"/>
  <c r="Q1410" i="1"/>
  <c r="P1422" i="1"/>
  <c r="Q1422" i="1"/>
  <c r="Q1694" i="1"/>
  <c r="P1694" i="1"/>
  <c r="P1849" i="1"/>
  <c r="Q1849" i="1"/>
  <c r="P1955" i="1"/>
  <c r="Q1955" i="1"/>
  <c r="Q2683" i="1"/>
  <c r="P2683" i="1"/>
  <c r="Q2701" i="1"/>
  <c r="P2701" i="1"/>
  <c r="Q2944" i="1"/>
  <c r="P2944" i="1"/>
  <c r="Q5820" i="1"/>
  <c r="P5820" i="1"/>
  <c r="Q5842" i="1"/>
  <c r="P5842" i="1"/>
  <c r="Q5859" i="1"/>
  <c r="P5859" i="1"/>
  <c r="P115" i="1"/>
  <c r="Q115" i="1"/>
  <c r="P377" i="1"/>
  <c r="Q377" i="1"/>
  <c r="P382" i="1"/>
  <c r="Q519" i="1"/>
  <c r="P704" i="1"/>
  <c r="Q704" i="1"/>
  <c r="P860" i="1"/>
  <c r="Q860" i="1"/>
  <c r="Q1213" i="1"/>
  <c r="P1213" i="1"/>
  <c r="P1246" i="1"/>
  <c r="Q1246" i="1"/>
  <c r="Q1251" i="1"/>
  <c r="P1384" i="1"/>
  <c r="Q1384" i="1"/>
  <c r="Q1467" i="1"/>
  <c r="P1467" i="1"/>
  <c r="Q1841" i="1"/>
  <c r="P1841" i="1"/>
  <c r="P1872" i="1"/>
  <c r="Q86" i="1"/>
  <c r="Q298" i="1"/>
  <c r="P298" i="1"/>
  <c r="P398" i="1"/>
  <c r="Q398" i="1"/>
  <c r="Q445" i="1"/>
  <c r="P445" i="1"/>
  <c r="Q511" i="1"/>
  <c r="P511" i="1"/>
  <c r="P609" i="1"/>
  <c r="P769" i="1"/>
  <c r="Q836" i="1"/>
  <c r="P845" i="1"/>
  <c r="Q870" i="1"/>
  <c r="P870" i="1"/>
  <c r="Q1028" i="1"/>
  <c r="P1028" i="1"/>
  <c r="Q1154" i="1"/>
  <c r="P1154" i="1"/>
  <c r="P1234" i="1"/>
  <c r="Q1234" i="1"/>
  <c r="P1399" i="1"/>
  <c r="P1432" i="1"/>
  <c r="P1746" i="1"/>
  <c r="Q1746" i="1"/>
  <c r="Q1821" i="1"/>
  <c r="Q1934" i="1"/>
  <c r="P1934" i="1"/>
  <c r="P1962" i="1"/>
  <c r="Q1962" i="1"/>
  <c r="P2679" i="1"/>
  <c r="Q2679" i="1"/>
  <c r="P2838" i="1"/>
  <c r="P2843" i="1"/>
  <c r="Q2956" i="1"/>
  <c r="P2956" i="1"/>
  <c r="P5496" i="1"/>
  <c r="Q5496" i="1"/>
  <c r="Q161" i="1"/>
  <c r="P161" i="1"/>
  <c r="P632" i="1"/>
  <c r="Q632" i="1"/>
  <c r="P697" i="1"/>
  <c r="Q697" i="1"/>
  <c r="Q1446" i="1"/>
  <c r="P1446" i="1"/>
  <c r="Q1770" i="1"/>
  <c r="P1770" i="1"/>
  <c r="Q1815" i="1"/>
  <c r="P1815" i="1"/>
  <c r="Q1855" i="1"/>
  <c r="P1855" i="1"/>
  <c r="Q2072" i="1"/>
  <c r="P2072" i="1"/>
  <c r="Q3197" i="1"/>
  <c r="P3197" i="1"/>
  <c r="Q780" i="1"/>
  <c r="P780" i="1"/>
  <c r="P890" i="1"/>
  <c r="Q890" i="1"/>
  <c r="Q1256" i="1"/>
  <c r="P1256" i="1"/>
  <c r="Q1404" i="1"/>
  <c r="P1404" i="1"/>
  <c r="Q1729" i="1"/>
  <c r="P1729" i="1"/>
  <c r="Q2688" i="1"/>
  <c r="P2688" i="1"/>
  <c r="Q3123" i="1"/>
  <c r="P3123" i="1"/>
  <c r="Q5804" i="1"/>
  <c r="P5804" i="1"/>
  <c r="P81" i="1"/>
  <c r="Q92" i="1"/>
  <c r="P92" i="1"/>
  <c r="Q107" i="1"/>
  <c r="P107" i="1"/>
  <c r="P292" i="1"/>
  <c r="P308" i="1"/>
  <c r="Q308" i="1"/>
  <c r="P354" i="1"/>
  <c r="Q618" i="1"/>
  <c r="P618" i="1"/>
  <c r="P643" i="1"/>
  <c r="Q643" i="1"/>
  <c r="Q688" i="1"/>
  <c r="P688" i="1"/>
  <c r="Q698" i="1"/>
  <c r="P698" i="1"/>
  <c r="Q709" i="1"/>
  <c r="P709" i="1"/>
  <c r="P921" i="1"/>
  <c r="Q921" i="1"/>
  <c r="Q1004" i="1"/>
  <c r="P1004" i="1"/>
  <c r="P1191" i="1"/>
  <c r="Q1240" i="1"/>
  <c r="P1240" i="1"/>
  <c r="P1513" i="1"/>
  <c r="Q1513" i="1"/>
  <c r="Q1755" i="1"/>
  <c r="P1755" i="1"/>
  <c r="Q1877" i="1"/>
  <c r="P1877" i="1"/>
  <c r="Q2898" i="1"/>
  <c r="P2898" i="1"/>
  <c r="P5996" i="1"/>
  <c r="Q5996" i="1"/>
  <c r="P46" i="1"/>
  <c r="Q131" i="1"/>
  <c r="P131" i="1"/>
  <c r="P141" i="1"/>
  <c r="P350" i="1"/>
  <c r="P658" i="1"/>
  <c r="P32" i="1"/>
  <c r="P97" i="1"/>
  <c r="Q152" i="1"/>
  <c r="P152" i="1"/>
  <c r="Q218" i="1"/>
  <c r="P245" i="1"/>
  <c r="Q260" i="1"/>
  <c r="P260" i="1"/>
  <c r="Q282" i="1"/>
  <c r="P282" i="1"/>
  <c r="Q372" i="1"/>
  <c r="P372" i="1"/>
  <c r="Q451" i="1"/>
  <c r="P451" i="1"/>
  <c r="Q668" i="1"/>
  <c r="P668" i="1"/>
  <c r="P759" i="1"/>
  <c r="Q759" i="1"/>
  <c r="Q786" i="1"/>
  <c r="P786" i="1"/>
  <c r="Q861" i="1"/>
  <c r="P861" i="1"/>
  <c r="Q1149" i="1"/>
  <c r="P1149" i="1"/>
  <c r="Q1468" i="1"/>
  <c r="P1468" i="1"/>
  <c r="Q1672" i="1"/>
  <c r="P1672" i="1"/>
  <c r="Q1725" i="1"/>
  <c r="P2587" i="1"/>
  <c r="Q2593" i="1"/>
  <c r="P2823" i="1"/>
  <c r="Q2823" i="1"/>
  <c r="Q2844" i="1"/>
  <c r="P2844" i="1"/>
  <c r="Q3296" i="1"/>
  <c r="P3296" i="1"/>
  <c r="Q4144" i="1"/>
  <c r="P4144" i="1"/>
  <c r="Q4631" i="1"/>
  <c r="P4631" i="1"/>
  <c r="Q106" i="1"/>
  <c r="P106" i="1"/>
  <c r="Q156" i="1"/>
  <c r="P156" i="1"/>
  <c r="Q524" i="1"/>
  <c r="P524" i="1"/>
  <c r="Q1967" i="1"/>
  <c r="P1967" i="1"/>
  <c r="Q33" i="1"/>
  <c r="P33" i="1"/>
  <c r="Q246" i="1"/>
  <c r="P246" i="1"/>
  <c r="Q487" i="1"/>
  <c r="P487" i="1"/>
  <c r="Q579" i="1"/>
  <c r="P579" i="1"/>
  <c r="Q605" i="1"/>
  <c r="P605" i="1"/>
  <c r="Q855" i="1"/>
  <c r="P855" i="1"/>
  <c r="Q1428" i="1"/>
  <c r="P1428" i="1"/>
  <c r="P1851" i="1"/>
  <c r="Q1851" i="1"/>
  <c r="Q2614" i="1"/>
  <c r="P2614" i="1"/>
  <c r="Q5954" i="1"/>
  <c r="P5954" i="1"/>
  <c r="Q67" i="1"/>
  <c r="P67" i="1"/>
  <c r="Q679" i="1"/>
  <c r="P679" i="1"/>
  <c r="Q725" i="1"/>
  <c r="P725" i="1"/>
  <c r="Q760" i="1"/>
  <c r="P760" i="1"/>
  <c r="Q962" i="1"/>
  <c r="P962" i="1"/>
  <c r="Q1187" i="1"/>
  <c r="P1187" i="1"/>
  <c r="Q2621" i="1"/>
  <c r="P2621" i="1"/>
  <c r="Q5849" i="1"/>
  <c r="P5849" i="1"/>
  <c r="Q5910" i="1"/>
  <c r="P5910" i="1"/>
  <c r="Q88" i="1"/>
  <c r="P88" i="1"/>
  <c r="Q214" i="1"/>
  <c r="P225" i="1"/>
  <c r="Q574" i="1"/>
  <c r="P574" i="1"/>
  <c r="P1412" i="1"/>
  <c r="Q1412" i="1"/>
  <c r="Q2287" i="1"/>
  <c r="P2287" i="1"/>
  <c r="Q2303" i="1"/>
  <c r="P2303" i="1"/>
  <c r="P5855" i="1"/>
  <c r="Q5855" i="1"/>
  <c r="Q43" i="1"/>
  <c r="P43" i="1"/>
  <c r="Q321" i="1"/>
  <c r="P321" i="1"/>
  <c r="Q357" i="1"/>
  <c r="P357" i="1"/>
  <c r="P1166" i="1"/>
  <c r="Q1418" i="1"/>
  <c r="P1418" i="1"/>
  <c r="Q1637" i="1"/>
  <c r="P1637" i="1"/>
  <c r="Q2194" i="1"/>
  <c r="P2194" i="1"/>
  <c r="Q2659" i="1"/>
  <c r="P2659" i="1"/>
  <c r="Q3569" i="1"/>
  <c r="P3569" i="1"/>
  <c r="Q3728" i="1"/>
  <c r="P3728" i="1"/>
  <c r="Q83" i="1"/>
  <c r="P83" i="1"/>
  <c r="P430" i="1"/>
  <c r="Q430" i="1"/>
  <c r="P650" i="1"/>
  <c r="Q670" i="1"/>
  <c r="P670" i="1"/>
  <c r="P746" i="1"/>
  <c r="P797" i="1"/>
  <c r="Q907" i="1"/>
  <c r="P907" i="1"/>
  <c r="Q923" i="1"/>
  <c r="P923" i="1"/>
  <c r="P978" i="1"/>
  <c r="Q978" i="1"/>
  <c r="Q1035" i="1"/>
  <c r="P1035" i="1"/>
  <c r="Q1162" i="1"/>
  <c r="P1162" i="1"/>
  <c r="Q1183" i="1"/>
  <c r="P1183" i="1"/>
  <c r="Q1271" i="1"/>
  <c r="P1271" i="1"/>
  <c r="Q1276" i="1"/>
  <c r="P1276" i="1"/>
  <c r="P1281" i="1"/>
  <c r="Q1281" i="1"/>
  <c r="Q1361" i="1"/>
  <c r="P1361" i="1"/>
  <c r="Q1643" i="1"/>
  <c r="P1643" i="1"/>
  <c r="P1712" i="1"/>
  <c r="Q2052" i="1"/>
  <c r="P2052" i="1"/>
  <c r="Q2069" i="1"/>
  <c r="P2069" i="1"/>
  <c r="Q2167" i="1"/>
  <c r="P2167" i="1"/>
  <c r="P2288" i="1"/>
  <c r="Q2288" i="1"/>
  <c r="Q2363" i="1"/>
  <c r="P2363" i="1"/>
  <c r="Q2437" i="1"/>
  <c r="P2437" i="1"/>
  <c r="Q2453" i="1"/>
  <c r="P2453" i="1"/>
  <c r="Q2484" i="1"/>
  <c r="P2484" i="1"/>
  <c r="Q2558" i="1"/>
  <c r="P2558" i="1"/>
  <c r="P4" i="1"/>
  <c r="Q4" i="1"/>
  <c r="P14" i="1"/>
  <c r="Q54" i="1"/>
  <c r="P54" i="1"/>
  <c r="Q200" i="1"/>
  <c r="P200" i="1"/>
  <c r="P231" i="1"/>
  <c r="Q231" i="1"/>
  <c r="Q272" i="1"/>
  <c r="Q348" i="1"/>
  <c r="P348" i="1"/>
  <c r="Q415" i="1"/>
  <c r="P415" i="1"/>
  <c r="P425" i="1"/>
  <c r="Q425" i="1"/>
  <c r="Q453" i="1"/>
  <c r="P453" i="1"/>
  <c r="P483" i="1"/>
  <c r="Q494" i="1"/>
  <c r="P494" i="1"/>
  <c r="Q542" i="1"/>
  <c r="P542" i="1"/>
  <c r="Q664" i="1"/>
  <c r="Q701" i="1"/>
  <c r="P701" i="1"/>
  <c r="Q720" i="1"/>
  <c r="P720" i="1"/>
  <c r="P736" i="1"/>
  <c r="Q802" i="1"/>
  <c r="P802" i="1"/>
  <c r="Q818" i="1"/>
  <c r="P818" i="1"/>
  <c r="Q913" i="1"/>
  <c r="P913" i="1"/>
  <c r="P952" i="1"/>
  <c r="P1087" i="1"/>
  <c r="Q1157" i="1"/>
  <c r="P1157" i="1"/>
  <c r="Q1291" i="1"/>
  <c r="P1291" i="1"/>
  <c r="P1346" i="1"/>
  <c r="Q1346" i="1"/>
  <c r="P1976" i="1"/>
  <c r="Q1976" i="1"/>
  <c r="Q1988" i="1"/>
  <c r="P1988" i="1"/>
  <c r="Q2271" i="1"/>
  <c r="P2271" i="1"/>
  <c r="Q2338" i="1"/>
  <c r="P2338" i="1"/>
  <c r="Q2389" i="1"/>
  <c r="P2389" i="1"/>
  <c r="Q2394" i="1"/>
  <c r="P2394" i="1"/>
  <c r="Q2400" i="1"/>
  <c r="P2400" i="1"/>
  <c r="Q2416" i="1"/>
  <c r="Q2421" i="1"/>
  <c r="P2421" i="1"/>
  <c r="Q2479" i="1"/>
  <c r="P2479" i="1"/>
  <c r="Q3285" i="1"/>
  <c r="P3285" i="1"/>
  <c r="Q3471" i="1"/>
  <c r="P3471" i="1"/>
  <c r="Q3500" i="1"/>
  <c r="P3500" i="1"/>
  <c r="P3506" i="1"/>
  <c r="Q3506" i="1"/>
  <c r="P3592" i="1"/>
  <c r="Q3592" i="1"/>
  <c r="P3602" i="1"/>
  <c r="Q3602" i="1"/>
  <c r="Q3617" i="1"/>
  <c r="P3617" i="1"/>
  <c r="Q4608" i="1"/>
  <c r="P4608" i="1"/>
  <c r="Q190" i="1"/>
  <c r="P190" i="1"/>
  <c r="P301" i="1"/>
  <c r="Q301" i="1"/>
  <c r="P311" i="1"/>
  <c r="P317" i="1"/>
  <c r="Q317" i="1"/>
  <c r="P404" i="1"/>
  <c r="Q409" i="1"/>
  <c r="P420" i="1"/>
  <c r="Q463" i="1"/>
  <c r="P463" i="1"/>
  <c r="P551" i="1"/>
  <c r="Q556" i="1"/>
  <c r="P556" i="1"/>
  <c r="P565" i="1"/>
  <c r="Q581" i="1"/>
  <c r="P581" i="1"/>
  <c r="P586" i="1"/>
  <c r="Q586" i="1"/>
  <c r="P953" i="1"/>
  <c r="Q953" i="1"/>
  <c r="Q958" i="1"/>
  <c r="P958" i="1"/>
  <c r="P969" i="1"/>
  <c r="Q969" i="1"/>
  <c r="Q1041" i="1"/>
  <c r="P1092" i="1"/>
  <c r="Q1092" i="1"/>
  <c r="Q1121" i="1"/>
  <c r="P1121" i="1"/>
  <c r="Q1263" i="1"/>
  <c r="P1263" i="1"/>
  <c r="P1267" i="1"/>
  <c r="P1307" i="1"/>
  <c r="Q1307" i="1"/>
  <c r="Q1546" i="1"/>
  <c r="P1546" i="1"/>
  <c r="Q1633" i="1"/>
  <c r="P1633" i="1"/>
  <c r="Q1649" i="1"/>
  <c r="P1649" i="1"/>
  <c r="P1994" i="1"/>
  <c r="Q2053" i="1"/>
  <c r="P2053" i="1"/>
  <c r="Q2237" i="1"/>
  <c r="P2237" i="1"/>
  <c r="Q2358" i="1"/>
  <c r="Q2426" i="1"/>
  <c r="P2426" i="1"/>
  <c r="Q2432" i="1"/>
  <c r="Q2448" i="1"/>
  <c r="P2448" i="1"/>
  <c r="Q2548" i="1"/>
  <c r="P2548" i="1"/>
  <c r="Q3488" i="1"/>
  <c r="P3488" i="1"/>
  <c r="Q3582" i="1"/>
  <c r="P3582" i="1"/>
  <c r="P4603" i="1"/>
  <c r="Q4603" i="1"/>
  <c r="P4719" i="1"/>
  <c r="Q4719" i="1"/>
  <c r="Q997" i="1"/>
  <c r="P997" i="1"/>
  <c r="Q1277" i="1"/>
  <c r="P1277" i="1"/>
  <c r="Q1319" i="1"/>
  <c r="P1319" i="1"/>
  <c r="Q1325" i="1"/>
  <c r="P1325" i="1"/>
  <c r="Q1511" i="1"/>
  <c r="P1511" i="1"/>
  <c r="P1522" i="1"/>
  <c r="Q1522" i="1"/>
  <c r="Q1982" i="1"/>
  <c r="P1982" i="1"/>
  <c r="Q1989" i="1"/>
  <c r="P1989" i="1"/>
  <c r="P2025" i="1"/>
  <c r="Q2025" i="1"/>
  <c r="P2156" i="1"/>
  <c r="Q2156" i="1"/>
  <c r="Q2327" i="1"/>
  <c r="P2327" i="1"/>
  <c r="P2343" i="1"/>
  <c r="Q2343" i="1"/>
  <c r="Q2359" i="1"/>
  <c r="P2359" i="1"/>
  <c r="Q2378" i="1"/>
  <c r="P2378" i="1"/>
  <c r="Q2417" i="1"/>
  <c r="P2417" i="1"/>
  <c r="Q3466" i="1"/>
  <c r="P3466" i="1"/>
  <c r="Q3501" i="1"/>
  <c r="P3501" i="1"/>
  <c r="Q3517" i="1"/>
  <c r="P3517" i="1"/>
  <c r="P3564" i="1"/>
  <c r="Q3564" i="1"/>
  <c r="P4157" i="1"/>
  <c r="Q4157" i="1"/>
  <c r="Q4265" i="1"/>
  <c r="P4265" i="1"/>
  <c r="Q4271" i="1"/>
  <c r="P4271" i="1"/>
  <c r="Q4326" i="1"/>
  <c r="P4326" i="1"/>
  <c r="Q4410" i="1"/>
  <c r="P4410" i="1"/>
  <c r="Q4626" i="1"/>
  <c r="P4626" i="1"/>
  <c r="Q239" i="1"/>
  <c r="P239" i="1"/>
  <c r="Q465" i="1"/>
  <c r="P465" i="1"/>
  <c r="P142" i="1"/>
  <c r="Q142" i="1"/>
  <c r="P293" i="1"/>
  <c r="Q293" i="1"/>
  <c r="P775" i="1"/>
  <c r="Q775" i="1"/>
  <c r="Q981" i="1"/>
  <c r="P981" i="1"/>
  <c r="P1049" i="1"/>
  <c r="Q1049" i="1"/>
  <c r="Q1223" i="1"/>
  <c r="P1223" i="1"/>
  <c r="P1742" i="1"/>
  <c r="Q1742" i="1"/>
  <c r="Q1951" i="1"/>
  <c r="P1951" i="1"/>
  <c r="Q5997" i="1"/>
  <c r="P5997" i="1"/>
  <c r="Q299" i="1"/>
  <c r="P299" i="1"/>
  <c r="Q434" i="1"/>
  <c r="P434" i="1"/>
  <c r="P1721" i="1"/>
  <c r="Q1721" i="1"/>
  <c r="P2609" i="1"/>
  <c r="Q2609" i="1"/>
  <c r="Q219" i="1"/>
  <c r="P654" i="1"/>
  <c r="Q719" i="1"/>
  <c r="P719" i="1"/>
  <c r="P755" i="1"/>
  <c r="P770" i="1"/>
  <c r="P837" i="1"/>
  <c r="Q1073" i="1"/>
  <c r="P1073" i="1"/>
  <c r="P1171" i="1"/>
  <c r="Q1171" i="1"/>
  <c r="Q1642" i="1"/>
  <c r="P1642" i="1"/>
  <c r="P2568" i="1"/>
  <c r="P4812" i="1"/>
  <c r="Q4812" i="1"/>
  <c r="Q149" i="1"/>
  <c r="P149" i="1"/>
  <c r="Q220" i="1"/>
  <c r="P220" i="1"/>
  <c r="P261" i="1"/>
  <c r="P283" i="1"/>
  <c r="Q887" i="1"/>
  <c r="P887" i="1"/>
  <c r="Q1060" i="1"/>
  <c r="P1060" i="1"/>
  <c r="P1106" i="1"/>
  <c r="Q1106" i="1"/>
  <c r="Q1124" i="1"/>
  <c r="Q1188" i="1"/>
  <c r="P1188" i="1"/>
  <c r="Q1407" i="1"/>
  <c r="P1407" i="1"/>
  <c r="Q1722" i="1"/>
  <c r="P1722" i="1"/>
  <c r="P2230" i="1"/>
  <c r="Q2230" i="1"/>
  <c r="Q2405" i="1"/>
  <c r="P2405" i="1"/>
  <c r="P3631" i="1"/>
  <c r="Q3631" i="1"/>
  <c r="Q3677" i="1"/>
  <c r="P3677" i="1"/>
  <c r="P3734" i="1"/>
  <c r="Q3734" i="1"/>
  <c r="Q1120" i="1"/>
  <c r="Q25" i="1"/>
  <c r="P25" i="1"/>
  <c r="Q479" i="1"/>
  <c r="P479" i="1"/>
  <c r="Q721" i="1"/>
  <c r="P721" i="1"/>
  <c r="Q798" i="1"/>
  <c r="P798" i="1"/>
  <c r="Q908" i="1"/>
  <c r="P908" i="1"/>
  <c r="P1088" i="1"/>
  <c r="Q1088" i="1"/>
  <c r="P105" i="1"/>
  <c r="Q263" i="1"/>
  <c r="Q268" i="1"/>
  <c r="P268" i="1"/>
  <c r="Q273" i="1"/>
  <c r="Q279" i="1"/>
  <c r="P279" i="1"/>
  <c r="Q323" i="1"/>
  <c r="P323" i="1"/>
  <c r="Q359" i="1"/>
  <c r="P359" i="1"/>
  <c r="P416" i="1"/>
  <c r="Q416" i="1"/>
  <c r="Q437" i="1"/>
  <c r="P437" i="1"/>
  <c r="Q490" i="1"/>
  <c r="P490" i="1"/>
  <c r="P523" i="1"/>
  <c r="P651" i="1"/>
  <c r="Q732" i="1"/>
  <c r="P732" i="1"/>
  <c r="P898" i="1"/>
  <c r="P943" i="1"/>
  <c r="P1083" i="1"/>
  <c r="Q1083" i="1"/>
  <c r="Q1112" i="1"/>
  <c r="P1112" i="1"/>
  <c r="Q1282" i="1"/>
  <c r="Q1450" i="1"/>
  <c r="P1450" i="1"/>
  <c r="Q1496" i="1"/>
  <c r="P1496" i="1"/>
  <c r="P1506" i="1"/>
  <c r="Q1506" i="1"/>
  <c r="Q1557" i="1"/>
  <c r="P1557" i="1"/>
  <c r="P1609" i="1"/>
  <c r="Q1609" i="1"/>
  <c r="Q1639" i="1"/>
  <c r="P1639" i="1"/>
  <c r="Q1645" i="1"/>
  <c r="P1645" i="1"/>
  <c r="P1892" i="1"/>
  <c r="Q1931" i="1"/>
  <c r="P1931" i="1"/>
  <c r="Q1938" i="1"/>
  <c r="P1938" i="1"/>
  <c r="Q2042" i="1"/>
  <c r="P2042" i="1"/>
  <c r="P2189" i="1"/>
  <c r="P2206" i="1"/>
  <c r="Q2206" i="1"/>
  <c r="Q2253" i="1"/>
  <c r="P2253" i="1"/>
  <c r="Q2306" i="1"/>
  <c r="P2306" i="1"/>
  <c r="Q2385" i="1"/>
  <c r="P2385" i="1"/>
  <c r="Q2401" i="1"/>
  <c r="P2401" i="1"/>
  <c r="Q2495" i="1"/>
  <c r="P2495" i="1"/>
  <c r="Q2877" i="1"/>
  <c r="P2877" i="1"/>
  <c r="Q3049" i="1"/>
  <c r="P3049" i="1"/>
  <c r="P3460" i="1"/>
  <c r="Q3460" i="1"/>
  <c r="Q4206" i="1"/>
  <c r="P4206" i="1"/>
  <c r="Q4550" i="1"/>
  <c r="P4550" i="1"/>
  <c r="Q11" i="1"/>
  <c r="P11" i="1"/>
  <c r="Q96" i="1"/>
  <c r="P96" i="1"/>
  <c r="Q171" i="1"/>
  <c r="P171" i="1"/>
  <c r="P1978" i="1"/>
  <c r="Q1978" i="1"/>
  <c r="P87" i="1"/>
  <c r="Q87" i="1"/>
  <c r="Q972" i="1"/>
  <c r="P972" i="1"/>
  <c r="Q1010" i="1"/>
  <c r="P1010" i="1"/>
  <c r="Q1400" i="1"/>
  <c r="P1400" i="1"/>
  <c r="P1689" i="1"/>
  <c r="Q1689" i="1"/>
  <c r="P1736" i="1"/>
  <c r="Q1736" i="1"/>
  <c r="P1837" i="1"/>
  <c r="Q1837" i="1"/>
  <c r="Q5970" i="1"/>
  <c r="P5970" i="1"/>
  <c r="Q52" i="1"/>
  <c r="P52" i="1"/>
  <c r="P148" i="1"/>
  <c r="Q148" i="1"/>
  <c r="Q440" i="1"/>
  <c r="P440" i="1"/>
  <c r="Q822" i="1"/>
  <c r="P822" i="1"/>
  <c r="Q5898" i="1"/>
  <c r="P5898" i="1"/>
  <c r="P730" i="1"/>
  <c r="P977" i="1"/>
  <c r="P990" i="1"/>
  <c r="Q1176" i="1"/>
  <c r="P1176" i="1"/>
  <c r="Q1663" i="1"/>
  <c r="P1663" i="1"/>
  <c r="P132" i="1"/>
  <c r="P408" i="1"/>
  <c r="Q435" i="1"/>
  <c r="P435" i="1"/>
  <c r="P1194" i="1"/>
  <c r="Q1194" i="1"/>
  <c r="P1396" i="1"/>
  <c r="Q1396" i="1"/>
  <c r="Q1668" i="1"/>
  <c r="P1668" i="1"/>
  <c r="P1716" i="1"/>
  <c r="Q2637" i="1"/>
  <c r="P2637" i="1"/>
  <c r="Q5674" i="1"/>
  <c r="P5674" i="1"/>
  <c r="Q337" i="1"/>
  <c r="P337" i="1"/>
  <c r="Q9" i="1"/>
  <c r="P113" i="1"/>
  <c r="Q113" i="1"/>
  <c r="Q175" i="1"/>
  <c r="P175" i="1"/>
  <c r="P267" i="1"/>
  <c r="Q332" i="1"/>
  <c r="P332" i="1"/>
  <c r="Q129" i="1"/>
  <c r="P129" i="1"/>
  <c r="Q165" i="1"/>
  <c r="P165" i="1"/>
  <c r="Q195" i="1"/>
  <c r="P410" i="1"/>
  <c r="Q410" i="1"/>
  <c r="Q484" i="1"/>
  <c r="P484" i="1"/>
  <c r="Q528" i="1"/>
  <c r="P528" i="1"/>
  <c r="Q641" i="1"/>
  <c r="P641" i="1"/>
  <c r="Q716" i="1"/>
  <c r="P716" i="1"/>
  <c r="Q824" i="1"/>
  <c r="P824" i="1"/>
  <c r="P964" i="1"/>
  <c r="Q964" i="1"/>
  <c r="Q1051" i="1"/>
  <c r="P1051" i="1"/>
  <c r="Q1116" i="1"/>
  <c r="P1116" i="1"/>
  <c r="Q20" i="1"/>
  <c r="P20" i="1"/>
  <c r="Q69" i="1"/>
  <c r="Q333" i="1"/>
  <c r="P333" i="1"/>
  <c r="Q70" i="1"/>
  <c r="P70" i="1"/>
  <c r="Q80" i="1"/>
  <c r="P80" i="1"/>
  <c r="P100" i="1"/>
  <c r="Q110" i="1"/>
  <c r="P110" i="1"/>
  <c r="Q145" i="1"/>
  <c r="P145" i="1"/>
  <c r="Q181" i="1"/>
  <c r="P181" i="1"/>
  <c r="Q274" i="1"/>
  <c r="P274" i="1"/>
  <c r="Q370" i="1"/>
  <c r="P370" i="1"/>
  <c r="Q391" i="1"/>
  <c r="P391" i="1"/>
  <c r="Q464" i="1"/>
  <c r="P464" i="1"/>
  <c r="Q485" i="1"/>
  <c r="P485" i="1"/>
  <c r="P509" i="1"/>
  <c r="P627" i="1"/>
  <c r="Q631" i="1"/>
  <c r="Q652" i="1"/>
  <c r="P652" i="1"/>
  <c r="P696" i="1"/>
  <c r="Q722" i="1"/>
  <c r="P722" i="1"/>
  <c r="Q789" i="1"/>
  <c r="Q799" i="1"/>
  <c r="P799" i="1"/>
  <c r="P808" i="1"/>
  <c r="Q825" i="1"/>
  <c r="P825" i="1"/>
  <c r="Q904" i="1"/>
  <c r="P904" i="1"/>
  <c r="P919" i="1"/>
  <c r="Q930" i="1"/>
  <c r="P930" i="1"/>
  <c r="Q1052" i="1"/>
  <c r="P1052" i="1"/>
  <c r="Q1226" i="1"/>
  <c r="P1226" i="1"/>
  <c r="P1250" i="1"/>
  <c r="Q1250" i="1"/>
  <c r="P1255" i="1"/>
  <c r="Q1259" i="1"/>
  <c r="P1431" i="1"/>
  <c r="Q1435" i="1"/>
  <c r="Q1552" i="1"/>
  <c r="P1552" i="1"/>
  <c r="Q1623" i="1"/>
  <c r="P1623" i="1"/>
  <c r="P1634" i="1"/>
  <c r="Q1634" i="1"/>
  <c r="Q1887" i="1"/>
  <c r="P1887" i="1"/>
  <c r="Q1915" i="1"/>
  <c r="P1915" i="1"/>
  <c r="Q1966" i="1"/>
  <c r="P1966" i="1"/>
  <c r="Q2139" i="1"/>
  <c r="P2139" i="1"/>
  <c r="Q2190" i="1"/>
  <c r="P2190" i="1"/>
  <c r="P2216" i="1"/>
  <c r="Q2216" i="1"/>
  <c r="Q2322" i="1"/>
  <c r="P2322" i="1"/>
  <c r="Q2333" i="1"/>
  <c r="Q2511" i="1"/>
  <c r="P2511" i="1"/>
  <c r="Q2672" i="1"/>
  <c r="P2672" i="1"/>
  <c r="P2828" i="1"/>
  <c r="Q2828" i="1"/>
  <c r="Q3018" i="1"/>
  <c r="P3018" i="1"/>
  <c r="Q3934" i="1"/>
  <c r="P3934" i="1"/>
  <c r="P3974" i="1"/>
  <c r="Q3974" i="1"/>
  <c r="Q4141" i="1"/>
  <c r="P4141" i="1"/>
  <c r="P4254" i="1"/>
  <c r="Q4254" i="1"/>
  <c r="P4272" i="1"/>
  <c r="Q4272" i="1"/>
  <c r="Q4395" i="1"/>
  <c r="P4395" i="1"/>
  <c r="P101" i="1"/>
  <c r="Q101" i="1"/>
  <c r="Q460" i="1"/>
  <c r="P460" i="1"/>
  <c r="Q1984" i="1"/>
  <c r="P1984" i="1"/>
  <c r="Q735" i="1"/>
  <c r="P735" i="1"/>
  <c r="P1170" i="1"/>
  <c r="Q1170" i="1"/>
  <c r="Q1375" i="1"/>
  <c r="P1375" i="1"/>
  <c r="P1662" i="1"/>
  <c r="Q1662" i="1"/>
  <c r="Q1868" i="1"/>
  <c r="P1868" i="1"/>
  <c r="P5948" i="1"/>
  <c r="Q5948" i="1"/>
  <c r="Q235" i="1"/>
  <c r="P235" i="1"/>
  <c r="Q2573" i="1"/>
  <c r="P2573" i="1"/>
  <c r="Q3062" i="1"/>
  <c r="P3062" i="1"/>
  <c r="Q143" i="1"/>
  <c r="P143" i="1"/>
  <c r="Q498" i="1"/>
  <c r="P498" i="1"/>
  <c r="P937" i="1"/>
  <c r="Q937" i="1"/>
  <c r="P1328" i="1"/>
  <c r="Q1328" i="1"/>
  <c r="P1360" i="1"/>
  <c r="Q1360" i="1"/>
  <c r="Q1690" i="1"/>
  <c r="P1690" i="1"/>
  <c r="P1726" i="1"/>
  <c r="P2214" i="1"/>
  <c r="Q2214" i="1"/>
  <c r="Q4801" i="1"/>
  <c r="P4801" i="1"/>
  <c r="Q316" i="1"/>
  <c r="P316" i="1"/>
  <c r="P765" i="1"/>
  <c r="P1129" i="1"/>
  <c r="Q1129" i="1"/>
  <c r="Q1701" i="1"/>
  <c r="P1701" i="1"/>
  <c r="Q2383" i="1"/>
  <c r="P2383" i="1"/>
  <c r="Q3357" i="1"/>
  <c r="P3357" i="1"/>
  <c r="P5108" i="1"/>
  <c r="Q5108" i="1"/>
  <c r="Q123" i="1"/>
  <c r="P123" i="1"/>
  <c r="Q327" i="1"/>
  <c r="Q75" i="1"/>
  <c r="P75" i="1"/>
  <c r="Q91" i="1"/>
  <c r="P91" i="1"/>
  <c r="Q202" i="1"/>
  <c r="P202" i="1"/>
  <c r="Q244" i="1"/>
  <c r="P244" i="1"/>
  <c r="P254" i="1"/>
  <c r="Q254" i="1"/>
  <c r="P264" i="1"/>
  <c r="Q264" i="1"/>
  <c r="Q449" i="1"/>
  <c r="P449" i="1"/>
  <c r="Q538" i="1"/>
  <c r="P538" i="1"/>
  <c r="Q647" i="1"/>
  <c r="P647" i="1"/>
  <c r="Q677" i="1"/>
  <c r="P677" i="1"/>
  <c r="Q687" i="1"/>
  <c r="P687" i="1"/>
  <c r="Q703" i="1"/>
  <c r="P703" i="1"/>
  <c r="Q712" i="1"/>
  <c r="P712" i="1"/>
  <c r="Q779" i="1"/>
  <c r="P779" i="1"/>
  <c r="Q814" i="1"/>
  <c r="P814" i="1"/>
  <c r="P844" i="1"/>
  <c r="Q844" i="1"/>
  <c r="Q849" i="1"/>
  <c r="P849" i="1"/>
  <c r="P1013" i="1"/>
  <c r="Q1260" i="1"/>
  <c r="P1260" i="1"/>
  <c r="Q1278" i="1"/>
  <c r="P1278" i="1"/>
  <c r="P1298" i="1"/>
  <c r="Q1298" i="1"/>
  <c r="Q1512" i="1"/>
  <c r="P1512" i="1"/>
  <c r="P1518" i="1"/>
  <c r="Q1518" i="1"/>
  <c r="Q1595" i="1"/>
  <c r="P1595" i="1"/>
  <c r="Q1790" i="1"/>
  <c r="P1790" i="1"/>
  <c r="Q1805" i="1"/>
  <c r="P1805" i="1"/>
  <c r="Q1893" i="1"/>
  <c r="P1893" i="1"/>
  <c r="Q2005" i="1"/>
  <c r="P2005" i="1"/>
  <c r="P2010" i="1"/>
  <c r="Q2010" i="1"/>
  <c r="P2108" i="1"/>
  <c r="Q2108" i="1"/>
  <c r="Q2113" i="1"/>
  <c r="P2113" i="1"/>
  <c r="Q2533" i="1"/>
  <c r="P2533" i="1"/>
  <c r="Q2746" i="1"/>
  <c r="P2746" i="1"/>
  <c r="Q2902" i="1"/>
  <c r="P2902" i="1"/>
  <c r="Q2924" i="1"/>
  <c r="P2924" i="1"/>
  <c r="Q2943" i="1"/>
  <c r="P2943" i="1"/>
  <c r="Q2970" i="1"/>
  <c r="P2970" i="1"/>
  <c r="Q2987" i="1"/>
  <c r="P2987" i="1"/>
  <c r="Q3039" i="1"/>
  <c r="P3039" i="1"/>
  <c r="Q3235" i="1"/>
  <c r="P3235" i="1"/>
  <c r="Q3256" i="1"/>
  <c r="P3256" i="1"/>
  <c r="Q3276" i="1"/>
  <c r="P3276" i="1"/>
  <c r="P4525" i="1"/>
  <c r="Q4525" i="1"/>
  <c r="Q4588" i="1"/>
  <c r="P4588" i="1"/>
  <c r="Q4712" i="1"/>
  <c r="P4712" i="1"/>
  <c r="P4745" i="1"/>
  <c r="Q4745" i="1"/>
  <c r="Q4780" i="1"/>
  <c r="P4780" i="1"/>
  <c r="Q4818" i="1"/>
  <c r="P4818" i="1"/>
  <c r="Q5304" i="1"/>
  <c r="P5304" i="1"/>
  <c r="P5380" i="1"/>
  <c r="Q5380" i="1"/>
  <c r="Q5657" i="1"/>
  <c r="P5657" i="1"/>
  <c r="P5779" i="1"/>
  <c r="Q5779" i="1"/>
  <c r="Q5971" i="1"/>
  <c r="P5971" i="1"/>
  <c r="Q30" i="1"/>
  <c r="P30" i="1"/>
  <c r="Q56" i="1"/>
  <c r="P56" i="1"/>
  <c r="Q61" i="1"/>
  <c r="P61" i="1"/>
  <c r="Q197" i="1"/>
  <c r="P197" i="1"/>
  <c r="Q236" i="1"/>
  <c r="P236" i="1"/>
  <c r="Q383" i="1"/>
  <c r="P383" i="1"/>
  <c r="Q388" i="1"/>
  <c r="P388" i="1"/>
  <c r="P480" i="1"/>
  <c r="Q480" i="1"/>
  <c r="Q530" i="1"/>
  <c r="P530" i="1"/>
  <c r="Q549" i="1"/>
  <c r="P549" i="1"/>
  <c r="Q638" i="1"/>
  <c r="P638" i="1"/>
  <c r="P737" i="1"/>
  <c r="Q737" i="1"/>
  <c r="Q776" i="1"/>
  <c r="P776" i="1"/>
  <c r="Q974" i="1"/>
  <c r="P974" i="1"/>
  <c r="Q1057" i="1"/>
  <c r="P1057" i="1"/>
  <c r="Q1103" i="1"/>
  <c r="P1103" i="1"/>
  <c r="P1177" i="1"/>
  <c r="Q1177" i="1"/>
  <c r="Q1356" i="1"/>
  <c r="P1356" i="1"/>
  <c r="Q1381" i="1"/>
  <c r="P1381" i="1"/>
  <c r="Q1453" i="1"/>
  <c r="P1453" i="1"/>
  <c r="P1458" i="1"/>
  <c r="Q1458" i="1"/>
  <c r="Q1559" i="1"/>
  <c r="P1559" i="1"/>
  <c r="Q1717" i="1"/>
  <c r="P1717" i="1"/>
  <c r="Q1935" i="1"/>
  <c r="P1935" i="1"/>
  <c r="Q2084" i="1"/>
  <c r="P2084" i="1"/>
  <c r="Q2175" i="1"/>
  <c r="P2175" i="1"/>
  <c r="P2328" i="1"/>
  <c r="Q2328" i="1"/>
  <c r="P2334" i="1"/>
  <c r="Q2334" i="1"/>
  <c r="Q2370" i="1"/>
  <c r="P2370" i="1"/>
  <c r="Q2391" i="1"/>
  <c r="P2391" i="1"/>
  <c r="P2396" i="1"/>
  <c r="Q2396" i="1"/>
  <c r="Q2770" i="1"/>
  <c r="P2770" i="1"/>
  <c r="Q2782" i="1"/>
  <c r="P2782" i="1"/>
  <c r="Q3229" i="1"/>
  <c r="P3229" i="1"/>
  <c r="Q3266" i="1"/>
  <c r="P3266" i="1"/>
  <c r="Q3737" i="1"/>
  <c r="P3737" i="1"/>
  <c r="Q4496" i="1"/>
  <c r="P4496" i="1"/>
  <c r="Q4609" i="1"/>
  <c r="P4609" i="1"/>
  <c r="P4813" i="1"/>
  <c r="Q4813" i="1"/>
  <c r="Q4830" i="1"/>
  <c r="P4830" i="1"/>
  <c r="Q4835" i="1"/>
  <c r="P4835" i="1"/>
  <c r="Q4931" i="1"/>
  <c r="P4931" i="1"/>
  <c r="Q4998" i="1"/>
  <c r="P4998" i="1"/>
  <c r="Q5472" i="1"/>
  <c r="P5472" i="1"/>
  <c r="Q5584" i="1"/>
  <c r="P5584" i="1"/>
  <c r="Q5596" i="1"/>
  <c r="P5596" i="1"/>
  <c r="P5682" i="1"/>
  <c r="Q5682" i="1"/>
  <c r="Q5812" i="1"/>
  <c r="P5812" i="1"/>
  <c r="Q5889" i="1"/>
  <c r="P5889" i="1"/>
  <c r="Q5965" i="1"/>
  <c r="P5965" i="1"/>
  <c r="P5998" i="1"/>
  <c r="Q5998" i="1"/>
  <c r="Q319" i="1"/>
  <c r="P319" i="1"/>
  <c r="Q751" i="1"/>
  <c r="P751" i="1"/>
  <c r="Q1117" i="1"/>
  <c r="P1117" i="1"/>
  <c r="Q1252" i="1"/>
  <c r="P1252" i="1"/>
  <c r="Q1320" i="1"/>
  <c r="P1320" i="1"/>
  <c r="Q1367" i="1"/>
  <c r="P1367" i="1"/>
  <c r="Q1402" i="1"/>
  <c r="P1402" i="1"/>
  <c r="Q1479" i="1"/>
  <c r="P1479" i="1"/>
  <c r="P1499" i="1"/>
  <c r="Q1499" i="1"/>
  <c r="P1586" i="1"/>
  <c r="Q1586" i="1"/>
  <c r="Q1591" i="1"/>
  <c r="P1591" i="1"/>
  <c r="Q1777" i="1"/>
  <c r="P1777" i="1"/>
  <c r="Q1787" i="1"/>
  <c r="P1787" i="1"/>
  <c r="Q1802" i="1"/>
  <c r="P1802" i="1"/>
  <c r="Q1823" i="1"/>
  <c r="P1823" i="1"/>
  <c r="Q1832" i="1"/>
  <c r="P1832" i="1"/>
  <c r="P1838" i="1"/>
  <c r="Q1838" i="1"/>
  <c r="Q1852" i="1"/>
  <c r="P1852" i="1"/>
  <c r="Q1857" i="1"/>
  <c r="P1857" i="1"/>
  <c r="Q1869" i="1"/>
  <c r="P1869" i="1"/>
  <c r="Q1956" i="1"/>
  <c r="P1956" i="1"/>
  <c r="Q1985" i="1"/>
  <c r="P1985" i="1"/>
  <c r="P2124" i="1"/>
  <c r="Q2124" i="1"/>
  <c r="Q2135" i="1"/>
  <c r="P2135" i="1"/>
  <c r="Q2152" i="1"/>
  <c r="P2152" i="1"/>
  <c r="P2158" i="1"/>
  <c r="Q2158" i="1"/>
  <c r="P2296" i="1"/>
  <c r="Q2296" i="1"/>
  <c r="Q2543" i="1"/>
  <c r="P2543" i="1"/>
  <c r="Q3104" i="1"/>
  <c r="P3104" i="1"/>
  <c r="Q3224" i="1"/>
  <c r="P3224" i="1"/>
  <c r="Q3251" i="1"/>
  <c r="P3251" i="1"/>
  <c r="Q3874" i="1"/>
  <c r="P3874" i="1"/>
  <c r="Q3885" i="1"/>
  <c r="P3885" i="1"/>
  <c r="P4072" i="1"/>
  <c r="Q4072" i="1"/>
  <c r="Q172" i="1"/>
  <c r="P172" i="1"/>
  <c r="Q334" i="1"/>
  <c r="P334" i="1"/>
  <c r="Q805" i="1"/>
  <c r="P805" i="1"/>
  <c r="P900" i="1"/>
  <c r="Q900" i="1"/>
  <c r="Q926" i="1"/>
  <c r="P926" i="1"/>
  <c r="Q1071" i="1"/>
  <c r="P1071" i="1"/>
  <c r="Q16" i="1"/>
  <c r="P48" i="1"/>
  <c r="Q71" i="1"/>
  <c r="P71" i="1"/>
  <c r="Q103" i="1"/>
  <c r="P103" i="1"/>
  <c r="P125" i="1"/>
  <c r="P192" i="1"/>
  <c r="Q221" i="1"/>
  <c r="P339" i="1"/>
  <c r="P373" i="1"/>
  <c r="Q426" i="1"/>
  <c r="P426" i="1"/>
  <c r="Q431" i="1"/>
  <c r="P431" i="1"/>
  <c r="Q606" i="1"/>
  <c r="P606" i="1"/>
  <c r="P619" i="1"/>
  <c r="Q624" i="1"/>
  <c r="P624" i="1"/>
  <c r="Q629" i="1"/>
  <c r="P629" i="1"/>
  <c r="Q648" i="1"/>
  <c r="P648" i="1"/>
  <c r="Q665" i="1"/>
  <c r="Q727" i="1"/>
  <c r="P771" i="1"/>
  <c r="Q856" i="1"/>
  <c r="P856" i="1"/>
  <c r="Q862" i="1"/>
  <c r="P862" i="1"/>
  <c r="Q881" i="1"/>
  <c r="Q944" i="1"/>
  <c r="P1006" i="1"/>
  <c r="Q1033" i="1"/>
  <c r="Q1152" i="1"/>
  <c r="P1152" i="1"/>
  <c r="Q1195" i="1"/>
  <c r="P1195" i="1"/>
  <c r="P1303" i="1"/>
  <c r="P1314" i="1"/>
  <c r="Q1314" i="1"/>
  <c r="Q1331" i="1"/>
  <c r="P1331" i="1"/>
  <c r="Q1347" i="1"/>
  <c r="Q1413" i="1"/>
  <c r="P1413" i="1"/>
  <c r="Q1560" i="1"/>
  <c r="P1560" i="1"/>
  <c r="Q1570" i="1"/>
  <c r="P1605" i="1"/>
  <c r="Q1708" i="1"/>
  <c r="P1708" i="1"/>
  <c r="P1946" i="1"/>
  <c r="P2104" i="1"/>
  <c r="Q2104" i="1"/>
  <c r="Q2170" i="1"/>
  <c r="P2170" i="1"/>
  <c r="P2279" i="1"/>
  <c r="Q2279" i="1"/>
  <c r="Q2318" i="1"/>
  <c r="P2318" i="1"/>
  <c r="Q2522" i="1"/>
  <c r="P2564" i="1"/>
  <c r="Q2719" i="1"/>
  <c r="P2719" i="1"/>
  <c r="P2793" i="1"/>
  <c r="Q2831" i="1"/>
  <c r="P2831" i="1"/>
  <c r="Q3053" i="1"/>
  <c r="P3053" i="1"/>
  <c r="P3088" i="1"/>
  <c r="Q3098" i="1"/>
  <c r="P3098" i="1"/>
  <c r="Q3151" i="1"/>
  <c r="P3151" i="1"/>
  <c r="Q3191" i="1"/>
  <c r="P3828" i="1"/>
  <c r="Q3828" i="1"/>
  <c r="Q3859" i="1"/>
  <c r="P3859" i="1"/>
  <c r="P3914" i="1"/>
  <c r="Q3914" i="1"/>
  <c r="P4122" i="1"/>
  <c r="Q4122" i="1"/>
  <c r="Q39" i="1"/>
  <c r="P39" i="1"/>
  <c r="Q120" i="1"/>
  <c r="P120" i="1"/>
  <c r="Q226" i="1"/>
  <c r="P226" i="1"/>
  <c r="Q269" i="1"/>
  <c r="P269" i="1"/>
  <c r="Q290" i="1"/>
  <c r="P290" i="1"/>
  <c r="Q344" i="1"/>
  <c r="P344" i="1"/>
  <c r="P499" i="1"/>
  <c r="Q499" i="1"/>
  <c r="Q690" i="1"/>
  <c r="P690" i="1"/>
  <c r="Q895" i="1"/>
  <c r="P895" i="1"/>
  <c r="Q26" i="1"/>
  <c r="P26" i="1"/>
  <c r="P57" i="1"/>
  <c r="Q57" i="1"/>
  <c r="P134" i="1"/>
  <c r="Q134" i="1"/>
  <c r="Q139" i="1"/>
  <c r="P167" i="1"/>
  <c r="Q193" i="1"/>
  <c r="P193" i="1"/>
  <c r="Q237" i="1"/>
  <c r="P237" i="1"/>
  <c r="P247" i="1"/>
  <c r="Q247" i="1"/>
  <c r="P285" i="1"/>
  <c r="Q291" i="1"/>
  <c r="P291" i="1"/>
  <c r="Q300" i="1"/>
  <c r="P300" i="1"/>
  <c r="P304" i="1"/>
  <c r="Q393" i="1"/>
  <c r="Q412" i="1"/>
  <c r="P412" i="1"/>
  <c r="P436" i="1"/>
  <c r="Q447" i="1"/>
  <c r="P447" i="1"/>
  <c r="P456" i="1"/>
  <c r="P466" i="1"/>
  <c r="Q495" i="1"/>
  <c r="P495" i="1"/>
  <c r="Q508" i="1"/>
  <c r="P508" i="1"/>
  <c r="P516" i="1"/>
  <c r="Q545" i="1"/>
  <c r="P545" i="1"/>
  <c r="P558" i="1"/>
  <c r="P567" i="1"/>
  <c r="Q567" i="1"/>
  <c r="P577" i="1"/>
  <c r="Q587" i="1"/>
  <c r="P587" i="1"/>
  <c r="Q601" i="1"/>
  <c r="Q639" i="1"/>
  <c r="P639" i="1"/>
  <c r="P657" i="1"/>
  <c r="Q705" i="1"/>
  <c r="P705" i="1"/>
  <c r="Q772" i="1"/>
  <c r="P772" i="1"/>
  <c r="Q796" i="1"/>
  <c r="P796" i="1"/>
  <c r="Q810" i="1"/>
  <c r="P810" i="1"/>
  <c r="P815" i="1"/>
  <c r="P820" i="1"/>
  <c r="P833" i="1"/>
  <c r="Q876" i="1"/>
  <c r="P876" i="1"/>
  <c r="Q891" i="1"/>
  <c r="P891" i="1"/>
  <c r="Q911" i="1"/>
  <c r="P911" i="1"/>
  <c r="Q927" i="1"/>
  <c r="P927" i="1"/>
  <c r="Q945" i="1"/>
  <c r="P945" i="1"/>
  <c r="P965" i="1"/>
  <c r="Q965" i="1"/>
  <c r="P1029" i="1"/>
  <c r="Q1038" i="1"/>
  <c r="Q1058" i="1"/>
  <c r="P1058" i="1"/>
  <c r="Q1067" i="1"/>
  <c r="P1067" i="1"/>
  <c r="Q1099" i="1"/>
  <c r="P1099" i="1"/>
  <c r="P1104" i="1"/>
  <c r="Q1104" i="1"/>
  <c r="P1113" i="1"/>
  <c r="Q1113" i="1"/>
  <c r="P1147" i="1"/>
  <c r="Q1173" i="1"/>
  <c r="P1173" i="1"/>
  <c r="P1230" i="1"/>
  <c r="Q1236" i="1"/>
  <c r="P1236" i="1"/>
  <c r="Q1284" i="1"/>
  <c r="Q1352" i="1"/>
  <c r="Q1357" i="1"/>
  <c r="P1357" i="1"/>
  <c r="Q1630" i="1"/>
  <c r="P1630" i="1"/>
  <c r="Q1813" i="1"/>
  <c r="P1813" i="1"/>
  <c r="P1907" i="1"/>
  <c r="Q1907" i="1"/>
  <c r="P1913" i="1"/>
  <c r="Q1913" i="1"/>
  <c r="Q1957" i="1"/>
  <c r="P1957" i="1"/>
  <c r="Q2039" i="1"/>
  <c r="P2039" i="1"/>
  <c r="Q2056" i="1"/>
  <c r="P2056" i="1"/>
  <c r="Q2147" i="1"/>
  <c r="P2147" i="1"/>
  <c r="P2476" i="1"/>
  <c r="Q2476" i="1"/>
  <c r="Q2714" i="1"/>
  <c r="P2714" i="1"/>
  <c r="Q2776" i="1"/>
  <c r="Q3021" i="1"/>
  <c r="P3021" i="1"/>
  <c r="Q3084" i="1"/>
  <c r="P3084" i="1"/>
  <c r="P3187" i="1"/>
  <c r="Q3187" i="1"/>
  <c r="Q3192" i="1"/>
  <c r="P3192" i="1"/>
  <c r="Q3225" i="1"/>
  <c r="P3225" i="1"/>
  <c r="Q3640" i="1"/>
  <c r="P3640" i="1"/>
  <c r="P3652" i="1"/>
  <c r="Q3652" i="1"/>
  <c r="Q3665" i="1"/>
  <c r="P3665" i="1"/>
  <c r="P3802" i="1"/>
  <c r="Q4084" i="1"/>
  <c r="P4084" i="1"/>
  <c r="Q177" i="1"/>
  <c r="P177" i="1"/>
  <c r="Q402" i="1"/>
  <c r="P402" i="1"/>
  <c r="Q520" i="1"/>
  <c r="P520" i="1"/>
  <c r="Q766" i="1"/>
  <c r="P766" i="1"/>
  <c r="Q847" i="1"/>
  <c r="P847" i="1"/>
  <c r="P17" i="1"/>
  <c r="Q72" i="1"/>
  <c r="P72" i="1"/>
  <c r="P89" i="1"/>
  <c r="Q89" i="1"/>
  <c r="Q116" i="1"/>
  <c r="P116" i="1"/>
  <c r="Q154" i="1"/>
  <c r="P154" i="1"/>
  <c r="Q159" i="1"/>
  <c r="P159" i="1"/>
  <c r="P173" i="1"/>
  <c r="Q173" i="1"/>
  <c r="Q207" i="1"/>
  <c r="P207" i="1"/>
  <c r="Q222" i="1"/>
  <c r="P222" i="1"/>
  <c r="Q286" i="1"/>
  <c r="P286" i="1"/>
  <c r="Q325" i="1"/>
  <c r="P325" i="1"/>
  <c r="Q335" i="1"/>
  <c r="P335" i="1"/>
  <c r="Q417" i="1"/>
  <c r="P417" i="1"/>
  <c r="P467" i="1"/>
  <c r="Q476" i="1"/>
  <c r="P476" i="1"/>
  <c r="Q526" i="1"/>
  <c r="P526" i="1"/>
  <c r="Q602" i="1"/>
  <c r="P602" i="1"/>
  <c r="Q607" i="1"/>
  <c r="P607" i="1"/>
  <c r="P644" i="1"/>
  <c r="Q644" i="1"/>
  <c r="Q671" i="1"/>
  <c r="P671" i="1"/>
  <c r="Q700" i="1"/>
  <c r="P700" i="1"/>
  <c r="P728" i="1"/>
  <c r="Q728" i="1"/>
  <c r="Q733" i="1"/>
  <c r="P733" i="1"/>
  <c r="Q767" i="1"/>
  <c r="P767" i="1"/>
  <c r="Q816" i="1"/>
  <c r="P816" i="1"/>
  <c r="Q839" i="1"/>
  <c r="P839" i="1"/>
  <c r="P852" i="1"/>
  <c r="Q863" i="1"/>
  <c r="P863" i="1"/>
  <c r="Q988" i="1"/>
  <c r="P988" i="1"/>
  <c r="Q1039" i="1"/>
  <c r="P1039" i="1"/>
  <c r="Q1044" i="1"/>
  <c r="P1044" i="1"/>
  <c r="Q1063" i="1"/>
  <c r="P1063" i="1"/>
  <c r="Q1139" i="1"/>
  <c r="P1139" i="1"/>
  <c r="P1143" i="1"/>
  <c r="Q1143" i="1"/>
  <c r="Q1168" i="1"/>
  <c r="P1168" i="1"/>
  <c r="Q1196" i="1"/>
  <c r="P1196" i="1"/>
  <c r="P1201" i="1"/>
  <c r="Q1201" i="1"/>
  <c r="Q1332" i="1"/>
  <c r="P1332" i="1"/>
  <c r="Q1414" i="1"/>
  <c r="P1414" i="1"/>
  <c r="P1474" i="1"/>
  <c r="Q1474" i="1"/>
  <c r="P1550" i="1"/>
  <c r="Q1550" i="1"/>
  <c r="P1677" i="1"/>
  <c r="P1682" i="1"/>
  <c r="Q1682" i="1"/>
  <c r="Q1709" i="1"/>
  <c r="P1709" i="1"/>
  <c r="Q1758" i="1"/>
  <c r="P1758" i="1"/>
  <c r="P1778" i="1"/>
  <c r="Q1778" i="1"/>
  <c r="Q1897" i="1"/>
  <c r="P1897" i="1"/>
  <c r="P1947" i="1"/>
  <c r="Q1947" i="1"/>
  <c r="Q1952" i="1"/>
  <c r="P1952" i="1"/>
  <c r="Q2045" i="1"/>
  <c r="P2045" i="1"/>
  <c r="Q2100" i="1"/>
  <c r="P2100" i="1"/>
  <c r="P2136" i="1"/>
  <c r="Q2136" i="1"/>
  <c r="P2264" i="1"/>
  <c r="Q2264" i="1"/>
  <c r="Q2280" i="1"/>
  <c r="P2280" i="1"/>
  <c r="Q2445" i="1"/>
  <c r="P2445" i="1"/>
  <c r="Q2451" i="1"/>
  <c r="P2451" i="1"/>
  <c r="P2460" i="1"/>
  <c r="Q2460" i="1"/>
  <c r="Q2549" i="1"/>
  <c r="P2549" i="1"/>
  <c r="Q2554" i="1"/>
  <c r="P2554" i="1"/>
  <c r="Q2952" i="1"/>
  <c r="P2952" i="1"/>
  <c r="Q3177" i="1"/>
  <c r="P3177" i="1"/>
  <c r="Q3793" i="1"/>
  <c r="P3793" i="1"/>
  <c r="Q4117" i="1"/>
  <c r="P4117" i="1"/>
  <c r="Q104" i="1"/>
  <c r="P104" i="1"/>
  <c r="Q168" i="1"/>
  <c r="P168" i="1"/>
  <c r="Q188" i="1"/>
  <c r="P188" i="1"/>
  <c r="Q276" i="1"/>
  <c r="P276" i="1"/>
  <c r="Q305" i="1"/>
  <c r="P305" i="1"/>
  <c r="P340" i="1"/>
  <c r="Q340" i="1"/>
  <c r="Q364" i="1"/>
  <c r="P364" i="1"/>
  <c r="Q379" i="1"/>
  <c r="P379" i="1"/>
  <c r="Q394" i="1"/>
  <c r="P394" i="1"/>
  <c r="Q442" i="1"/>
  <c r="P442" i="1"/>
  <c r="Q491" i="1"/>
  <c r="P491" i="1"/>
  <c r="Q540" i="1"/>
  <c r="P540" i="1"/>
  <c r="Q559" i="1"/>
  <c r="P559" i="1"/>
  <c r="Q568" i="1"/>
  <c r="P568" i="1"/>
  <c r="Q588" i="1"/>
  <c r="P588" i="1"/>
  <c r="Q620" i="1"/>
  <c r="P620" i="1"/>
  <c r="P625" i="1"/>
  <c r="Q625" i="1"/>
  <c r="Q857" i="1"/>
  <c r="P857" i="1"/>
  <c r="Q872" i="1"/>
  <c r="P872" i="1"/>
  <c r="Q877" i="1"/>
  <c r="P877" i="1"/>
  <c r="Q940" i="1"/>
  <c r="P940" i="1"/>
  <c r="Q1020" i="1"/>
  <c r="P1020" i="1"/>
  <c r="P1095" i="1"/>
  <c r="Q1095" i="1"/>
  <c r="Q1109" i="1"/>
  <c r="P1109" i="1"/>
  <c r="P1153" i="1"/>
  <c r="Q1153" i="1"/>
  <c r="P1179" i="1"/>
  <c r="Q1179" i="1"/>
  <c r="Q1242" i="1"/>
  <c r="P1242" i="1"/>
  <c r="Q1295" i="1"/>
  <c r="P1295" i="1"/>
  <c r="Q1310" i="1"/>
  <c r="P1310" i="1"/>
  <c r="Q1343" i="1"/>
  <c r="P1343" i="1"/>
  <c r="Q1393" i="1"/>
  <c r="P1393" i="1"/>
  <c r="Q1470" i="1"/>
  <c r="P1470" i="1"/>
  <c r="P1545" i="1"/>
  <c r="Q1545" i="1"/>
  <c r="Q1631" i="1"/>
  <c r="P1631" i="1"/>
  <c r="P1698" i="1"/>
  <c r="Q1698" i="1"/>
  <c r="Q1908" i="1"/>
  <c r="P1908" i="1"/>
  <c r="Q1930" i="1"/>
  <c r="P1930" i="1"/>
  <c r="Q2002" i="1"/>
  <c r="P2002" i="1"/>
  <c r="P2028" i="1"/>
  <c r="Q2028" i="1"/>
  <c r="Q2034" i="1"/>
  <c r="P2034" i="1"/>
  <c r="Q2096" i="1"/>
  <c r="P2096" i="1"/>
  <c r="P2120" i="1"/>
  <c r="Q2120" i="1"/>
  <c r="Q2245" i="1"/>
  <c r="P2245" i="1"/>
  <c r="Q2308" i="1"/>
  <c r="P2308" i="1"/>
  <c r="Q2319" i="1"/>
  <c r="P2319" i="1"/>
  <c r="Q2324" i="1"/>
  <c r="P2324" i="1"/>
  <c r="Q2430" i="1"/>
  <c r="P2430" i="1"/>
  <c r="Q2498" i="1"/>
  <c r="P2498" i="1"/>
  <c r="P2529" i="1"/>
  <c r="Q2529" i="1"/>
  <c r="P2699" i="1"/>
  <c r="Q2699" i="1"/>
  <c r="Q2735" i="1"/>
  <c r="P2735" i="1"/>
  <c r="Q2974" i="1"/>
  <c r="P2974" i="1"/>
  <c r="Q3037" i="1"/>
  <c r="P3037" i="1"/>
  <c r="Q3152" i="1"/>
  <c r="P3152" i="1"/>
  <c r="Q3193" i="1"/>
  <c r="P3193" i="1"/>
  <c r="Q3574" i="1"/>
  <c r="P3574" i="1"/>
  <c r="Q4068" i="1"/>
  <c r="P4068" i="1"/>
  <c r="Q8" i="1"/>
  <c r="P8" i="1"/>
  <c r="Q22" i="1"/>
  <c r="P22" i="1"/>
  <c r="Q27" i="1"/>
  <c r="P27" i="1"/>
  <c r="P53" i="1"/>
  <c r="Q53" i="1"/>
  <c r="Q99" i="1"/>
  <c r="P99" i="1"/>
  <c r="Q179" i="1"/>
  <c r="P179" i="1"/>
  <c r="Q271" i="1"/>
  <c r="P271" i="1"/>
  <c r="Q517" i="1"/>
  <c r="P517" i="1"/>
  <c r="Q522" i="1"/>
  <c r="P522" i="1"/>
  <c r="Q583" i="1"/>
  <c r="P583" i="1"/>
  <c r="Q645" i="1"/>
  <c r="P645" i="1"/>
  <c r="Q686" i="1"/>
  <c r="P686" i="1"/>
  <c r="Q748" i="1"/>
  <c r="P748" i="1"/>
  <c r="Q773" i="1"/>
  <c r="P773" i="1"/>
  <c r="Q783" i="1"/>
  <c r="P783" i="1"/>
  <c r="Q830" i="1"/>
  <c r="P830" i="1"/>
  <c r="P835" i="1"/>
  <c r="Q835" i="1"/>
  <c r="Q902" i="1"/>
  <c r="P902" i="1"/>
  <c r="Q917" i="1"/>
  <c r="P917" i="1"/>
  <c r="P1059" i="1"/>
  <c r="Q1100" i="1"/>
  <c r="P1100" i="1"/>
  <c r="Q1148" i="1"/>
  <c r="P1148" i="1"/>
  <c r="Q1231" i="1"/>
  <c r="P1231" i="1"/>
  <c r="Q1383" i="1"/>
  <c r="P1383" i="1"/>
  <c r="P1577" i="1"/>
  <c r="Q1577" i="1"/>
  <c r="Q1734" i="1"/>
  <c r="P1734" i="1"/>
  <c r="Q1740" i="1"/>
  <c r="P1740" i="1"/>
  <c r="P1753" i="1"/>
  <c r="Q1753" i="1"/>
  <c r="Q1759" i="1"/>
  <c r="P1759" i="1"/>
  <c r="Q1809" i="1"/>
  <c r="P1809" i="1"/>
  <c r="P1886" i="1"/>
  <c r="Q1886" i="1"/>
  <c r="Q2018" i="1"/>
  <c r="P2018" i="1"/>
  <c r="Q2023" i="1"/>
  <c r="P2023" i="1"/>
  <c r="Q2063" i="1"/>
  <c r="P2063" i="1"/>
  <c r="Q2302" i="1"/>
  <c r="P2302" i="1"/>
  <c r="P2668" i="1"/>
  <c r="Q36" i="1"/>
  <c r="P36" i="1"/>
  <c r="Q58" i="1"/>
  <c r="P126" i="1"/>
  <c r="Q135" i="1"/>
  <c r="Q184" i="1"/>
  <c r="P184" i="1"/>
  <c r="Q189" i="1"/>
  <c r="P189" i="1"/>
  <c r="Q204" i="1"/>
  <c r="P204" i="1"/>
  <c r="Q228" i="1"/>
  <c r="P228" i="1"/>
  <c r="P233" i="1"/>
  <c r="Q233" i="1"/>
  <c r="P253" i="1"/>
  <c r="Q281" i="1"/>
  <c r="Q287" i="1"/>
  <c r="P287" i="1"/>
  <c r="P315" i="1"/>
  <c r="Q341" i="1"/>
  <c r="P341" i="1"/>
  <c r="Q380" i="1"/>
  <c r="P380" i="1"/>
  <c r="P413" i="1"/>
  <c r="Q418" i="1"/>
  <c r="P418" i="1"/>
  <c r="Q472" i="1"/>
  <c r="P472" i="1"/>
  <c r="Q492" i="1"/>
  <c r="P492" i="1"/>
  <c r="Q527" i="1"/>
  <c r="P527" i="1"/>
  <c r="Q541" i="1"/>
  <c r="P541" i="1"/>
  <c r="Q593" i="1"/>
  <c r="Q626" i="1"/>
  <c r="P626" i="1"/>
  <c r="Q734" i="1"/>
  <c r="P734" i="1"/>
  <c r="Q739" i="1"/>
  <c r="Q744" i="1"/>
  <c r="P744" i="1"/>
  <c r="Q1021" i="1"/>
  <c r="P1021" i="1"/>
  <c r="Q1086" i="1"/>
  <c r="P1086" i="1"/>
  <c r="Q1144" i="1"/>
  <c r="P1144" i="1"/>
  <c r="Q1180" i="1"/>
  <c r="P1180" i="1"/>
  <c r="Q1333" i="1"/>
  <c r="P1333" i="1"/>
  <c r="P1338" i="1"/>
  <c r="Q1389" i="1"/>
  <c r="P1389" i="1"/>
  <c r="P1531" i="1"/>
  <c r="P1567" i="1"/>
  <c r="P1678" i="1"/>
  <c r="Q1678" i="1"/>
  <c r="Q1688" i="1"/>
  <c r="P1688" i="1"/>
  <c r="P1749" i="1"/>
  <c r="P1794" i="1"/>
  <c r="Q1794" i="1"/>
  <c r="P1799" i="1"/>
  <c r="Q1804" i="1"/>
  <c r="P1804" i="1"/>
  <c r="Q2013" i="1"/>
  <c r="P2013" i="1"/>
  <c r="P2081" i="1"/>
  <c r="Q2081" i="1"/>
  <c r="P2132" i="1"/>
  <c r="Q2132" i="1"/>
  <c r="Q2143" i="1"/>
  <c r="P2143" i="1"/>
  <c r="Q2229" i="1"/>
  <c r="P2229" i="1"/>
  <c r="Q2292" i="1"/>
  <c r="P2292" i="1"/>
  <c r="P2420" i="1"/>
  <c r="Q2452" i="1"/>
  <c r="P2452" i="1"/>
  <c r="Q2618" i="1"/>
  <c r="P2618" i="1"/>
  <c r="Q2629" i="1"/>
  <c r="P2629" i="1"/>
  <c r="Q2656" i="1"/>
  <c r="P2656" i="1"/>
  <c r="Q2789" i="1"/>
  <c r="P2789" i="1"/>
  <c r="Q2847" i="1"/>
  <c r="P2847" i="1"/>
  <c r="P2901" i="1"/>
  <c r="Q2969" i="1"/>
  <c r="P2969" i="1"/>
  <c r="P3079" i="1"/>
  <c r="Q3079" i="1"/>
  <c r="Q3386" i="1"/>
  <c r="P3386" i="1"/>
  <c r="Q3105" i="1"/>
  <c r="P3105" i="1"/>
  <c r="Q3135" i="1"/>
  <c r="P3135" i="1"/>
  <c r="Q3234" i="1"/>
  <c r="P3234" i="1"/>
  <c r="Q3641" i="1"/>
  <c r="P3641" i="1"/>
  <c r="P3765" i="1"/>
  <c r="Q3765" i="1"/>
  <c r="P4653" i="1"/>
  <c r="Q4653" i="1"/>
  <c r="P4706" i="1"/>
  <c r="Q4706" i="1"/>
  <c r="Q5401" i="1"/>
  <c r="P5401" i="1"/>
  <c r="Q5702" i="1"/>
  <c r="P5702" i="1"/>
  <c r="Q5877" i="1"/>
  <c r="P5877" i="1"/>
  <c r="Q5909" i="1"/>
  <c r="P5909" i="1"/>
  <c r="Q956" i="1"/>
  <c r="P956" i="1"/>
  <c r="P985" i="1"/>
  <c r="Q985" i="1"/>
  <c r="Q1046" i="1"/>
  <c r="P1046" i="1"/>
  <c r="Q1492" i="1"/>
  <c r="P1492" i="1"/>
  <c r="Q1610" i="1"/>
  <c r="P1610" i="1"/>
  <c r="Q1822" i="1"/>
  <c r="P1822" i="1"/>
  <c r="Q1861" i="1"/>
  <c r="P1861" i="1"/>
  <c r="Q1919" i="1"/>
  <c r="P1919" i="1"/>
  <c r="Q1983" i="1"/>
  <c r="P1983" i="1"/>
  <c r="Q1999" i="1"/>
  <c r="P1999" i="1"/>
  <c r="P2030" i="1"/>
  <c r="Q2030" i="1"/>
  <c r="Q2079" i="1"/>
  <c r="P2079" i="1"/>
  <c r="Q2095" i="1"/>
  <c r="P2095" i="1"/>
  <c r="P2151" i="1"/>
  <c r="Q2151" i="1"/>
  <c r="Q2301" i="1"/>
  <c r="P2301" i="1"/>
  <c r="Q2312" i="1"/>
  <c r="P2312" i="1"/>
  <c r="Q2431" i="1"/>
  <c r="P2431" i="1"/>
  <c r="Q2497" i="1"/>
  <c r="P2497" i="1"/>
  <c r="Q2730" i="1"/>
  <c r="P2730" i="1"/>
  <c r="Q2909" i="1"/>
  <c r="P2909" i="1"/>
  <c r="Q3069" i="1"/>
  <c r="P3069" i="1"/>
  <c r="Q3099" i="1"/>
  <c r="P3099" i="1"/>
  <c r="Q3213" i="1"/>
  <c r="P3213" i="1"/>
  <c r="P3286" i="1"/>
  <c r="Q3286" i="1"/>
  <c r="Q3575" i="1"/>
  <c r="P3575" i="1"/>
  <c r="P3636" i="1"/>
  <c r="Q3636" i="1"/>
  <c r="Q3648" i="1"/>
  <c r="P3648" i="1"/>
  <c r="Q3660" i="1"/>
  <c r="P3660" i="1"/>
  <c r="Q3777" i="1"/>
  <c r="P3777" i="1"/>
  <c r="Q4647" i="1"/>
  <c r="P4647" i="1"/>
  <c r="Q4669" i="1"/>
  <c r="P4669" i="1"/>
  <c r="P4750" i="1"/>
  <c r="Q4750" i="1"/>
  <c r="Q4779" i="1"/>
  <c r="P4779" i="1"/>
  <c r="Q5320" i="1"/>
  <c r="P5320" i="1"/>
  <c r="Q1197" i="1"/>
  <c r="P1197" i="1"/>
  <c r="Q1292" i="1"/>
  <c r="P1292" i="1"/>
  <c r="Q1372" i="1"/>
  <c r="P1372" i="1"/>
  <c r="Q1386" i="1"/>
  <c r="P1386" i="1"/>
  <c r="Q1508" i="1"/>
  <c r="P1508" i="1"/>
  <c r="Q1578" i="1"/>
  <c r="P1578" i="1"/>
  <c r="P1588" i="1"/>
  <c r="Q1588" i="1"/>
  <c r="Q1607" i="1"/>
  <c r="P1607" i="1"/>
  <c r="P1625" i="1"/>
  <c r="Q1625" i="1"/>
  <c r="Q1669" i="1"/>
  <c r="P1669" i="1"/>
  <c r="Q1756" i="1"/>
  <c r="P1756" i="1"/>
  <c r="Q1818" i="1"/>
  <c r="P1818" i="1"/>
  <c r="P1910" i="1"/>
  <c r="Q1910" i="1"/>
  <c r="Q1973" i="1"/>
  <c r="P1973" i="1"/>
  <c r="Q2111" i="1"/>
  <c r="P2111" i="1"/>
  <c r="Q2238" i="1"/>
  <c r="P2238" i="1"/>
  <c r="Q2386" i="1"/>
  <c r="P2386" i="1"/>
  <c r="Q2402" i="1"/>
  <c r="P2402" i="1"/>
  <c r="P2488" i="1"/>
  <c r="Q2488" i="1"/>
  <c r="P2503" i="1"/>
  <c r="Q2503" i="1"/>
  <c r="P2519" i="1"/>
  <c r="Q2519" i="1"/>
  <c r="Q2539" i="1"/>
  <c r="P2539" i="1"/>
  <c r="Q2622" i="1"/>
  <c r="P2622" i="1"/>
  <c r="Q2632" i="1"/>
  <c r="P2632" i="1"/>
  <c r="Q2643" i="1"/>
  <c r="P2643" i="1"/>
  <c r="P2695" i="1"/>
  <c r="Q2695" i="1"/>
  <c r="Q2732" i="1"/>
  <c r="P2732" i="1"/>
  <c r="Q2824" i="1"/>
  <c r="P2824" i="1"/>
  <c r="Q2977" i="1"/>
  <c r="P2977" i="1"/>
  <c r="Q3071" i="1"/>
  <c r="P3071" i="1"/>
  <c r="Q3587" i="1"/>
  <c r="P3587" i="1"/>
  <c r="Q3593" i="1"/>
  <c r="P3593" i="1"/>
  <c r="Q4031" i="1"/>
  <c r="P4031" i="1"/>
  <c r="Q4058" i="1"/>
  <c r="P4058" i="1"/>
  <c r="P4334" i="1"/>
  <c r="Q4334" i="1"/>
  <c r="Q4575" i="1"/>
  <c r="P4575" i="1"/>
  <c r="Q406" i="1"/>
  <c r="P406" i="1"/>
  <c r="Q1084" i="1"/>
  <c r="P1084" i="1"/>
  <c r="Q1150" i="1"/>
  <c r="P1150" i="1"/>
  <c r="Q1219" i="1"/>
  <c r="P1219" i="1"/>
  <c r="Q1253" i="1"/>
  <c r="P1253" i="1"/>
  <c r="Q1324" i="1"/>
  <c r="P1324" i="1"/>
  <c r="P1353" i="1"/>
  <c r="Q1353" i="1"/>
  <c r="P1405" i="1"/>
  <c r="Q1405" i="1"/>
  <c r="P1442" i="1"/>
  <c r="Q1442" i="1"/>
  <c r="Q1485" i="1"/>
  <c r="P1485" i="1"/>
  <c r="Q1548" i="1"/>
  <c r="P1548" i="1"/>
  <c r="P1646" i="1"/>
  <c r="Q1646" i="1"/>
  <c r="Q1675" i="1"/>
  <c r="P1675" i="1"/>
  <c r="Q1713" i="1"/>
  <c r="P1713" i="1"/>
  <c r="Q1863" i="1"/>
  <c r="P1863" i="1"/>
  <c r="Q1873" i="1"/>
  <c r="P1873" i="1"/>
  <c r="Q1883" i="1"/>
  <c r="P1883" i="1"/>
  <c r="Q1895" i="1"/>
  <c r="P1895" i="1"/>
  <c r="P1916" i="1"/>
  <c r="Q1916" i="1"/>
  <c r="Q2048" i="1"/>
  <c r="P2048" i="1"/>
  <c r="P2054" i="1"/>
  <c r="Q2054" i="1"/>
  <c r="Q2159" i="1"/>
  <c r="P2159" i="1"/>
  <c r="Q2262" i="1"/>
  <c r="P2262" i="1"/>
  <c r="Q2330" i="1"/>
  <c r="P2330" i="1"/>
  <c r="Q2371" i="1"/>
  <c r="P2371" i="1"/>
  <c r="Q2474" i="1"/>
  <c r="P2474" i="1"/>
  <c r="Q2865" i="1"/>
  <c r="P2865" i="1"/>
  <c r="Q2905" i="1"/>
  <c r="P2905" i="1"/>
  <c r="P3013" i="1"/>
  <c r="Q3013" i="1"/>
  <c r="Q3148" i="1"/>
  <c r="P3148" i="1"/>
  <c r="Q3461" i="1"/>
  <c r="P3461" i="1"/>
  <c r="Q3577" i="1"/>
  <c r="P3577" i="1"/>
  <c r="P3922" i="1"/>
  <c r="Q3922" i="1"/>
  <c r="P4078" i="1"/>
  <c r="Q4078" i="1"/>
  <c r="Q4095" i="1"/>
  <c r="P4095" i="1"/>
  <c r="Q4436" i="1"/>
  <c r="P4436" i="1"/>
  <c r="Q4556" i="1"/>
  <c r="P4556" i="1"/>
  <c r="Q85" i="1"/>
  <c r="P124" i="1"/>
  <c r="Q153" i="1"/>
  <c r="Q208" i="1"/>
  <c r="P208" i="1"/>
  <c r="P224" i="1"/>
  <c r="P243" i="1"/>
  <c r="Q255" i="1"/>
  <c r="P255" i="1"/>
  <c r="Q297" i="1"/>
  <c r="Q309" i="1"/>
  <c r="Q352" i="1"/>
  <c r="P352" i="1"/>
  <c r="P368" i="1"/>
  <c r="P387" i="1"/>
  <c r="Q399" i="1"/>
  <c r="P399" i="1"/>
  <c r="P422" i="1"/>
  <c r="Q537" i="1"/>
  <c r="Q656" i="1"/>
  <c r="P656" i="1"/>
  <c r="Q663" i="1"/>
  <c r="P675" i="1"/>
  <c r="P756" i="1"/>
  <c r="P787" i="1"/>
  <c r="P888" i="1"/>
  <c r="Q888" i="1"/>
  <c r="Q949" i="1"/>
  <c r="Q966" i="1"/>
  <c r="P966" i="1"/>
  <c r="P1023" i="1"/>
  <c r="Q1036" i="1"/>
  <c r="P1036" i="1"/>
  <c r="Q1040" i="1"/>
  <c r="Q1178" i="1"/>
  <c r="P1206" i="1"/>
  <c r="P1210" i="1"/>
  <c r="Q1215" i="1"/>
  <c r="P1215" i="1"/>
  <c r="Q1224" i="1"/>
  <c r="P1224" i="1"/>
  <c r="P1233" i="1"/>
  <c r="P1238" i="1"/>
  <c r="P1243" i="1"/>
  <c r="P1248" i="1"/>
  <c r="P1293" i="1"/>
  <c r="Q1293" i="1"/>
  <c r="Q1329" i="1"/>
  <c r="P1329" i="1"/>
  <c r="Q1363" i="1"/>
  <c r="P1363" i="1"/>
  <c r="Q1480" i="1"/>
  <c r="P1480" i="1"/>
  <c r="P1538" i="1"/>
  <c r="Q1573" i="1"/>
  <c r="P1573" i="1"/>
  <c r="Q1579" i="1"/>
  <c r="P1579" i="1"/>
  <c r="P1776" i="1"/>
  <c r="P1785" i="1"/>
  <c r="Q1785" i="1"/>
  <c r="Q1943" i="1"/>
  <c r="Q2065" i="1"/>
  <c r="P2065" i="1"/>
  <c r="Q2127" i="1"/>
  <c r="P2127" i="1"/>
  <c r="Q2248" i="1"/>
  <c r="Q2272" i="1"/>
  <c r="P2272" i="1"/>
  <c r="Q2413" i="1"/>
  <c r="P2413" i="1"/>
  <c r="Q2443" i="1"/>
  <c r="P2443" i="1"/>
  <c r="Q2504" i="1"/>
  <c r="P2504" i="1"/>
  <c r="P2520" i="1"/>
  <c r="Q2520" i="1"/>
  <c r="P2600" i="1"/>
  <c r="Q2660" i="1"/>
  <c r="P2660" i="1"/>
  <c r="Q2707" i="1"/>
  <c r="P2707" i="1"/>
  <c r="Q2753" i="1"/>
  <c r="P2753" i="1"/>
  <c r="Q2757" i="1"/>
  <c r="P2757" i="1"/>
  <c r="Q2799" i="1"/>
  <c r="P2799" i="1"/>
  <c r="Q2814" i="1"/>
  <c r="Q2912" i="1"/>
  <c r="P2912" i="1"/>
  <c r="P2951" i="1"/>
  <c r="Q2951" i="1"/>
  <c r="P2960" i="1"/>
  <c r="P2988" i="1"/>
  <c r="P3009" i="1"/>
  <c r="Q3009" i="1"/>
  <c r="Q3199" i="1"/>
  <c r="P3199" i="1"/>
  <c r="Q3299" i="1"/>
  <c r="P3299" i="1"/>
  <c r="Q3457" i="1"/>
  <c r="P3457" i="1"/>
  <c r="Q3565" i="1"/>
  <c r="P3565" i="1"/>
  <c r="P3846" i="1"/>
  <c r="Q3846" i="1"/>
  <c r="Q40" i="1"/>
  <c r="P40" i="1"/>
  <c r="Q212" i="1"/>
  <c r="Q251" i="1"/>
  <c r="P251" i="1"/>
  <c r="P278" i="1"/>
  <c r="Q356" i="1"/>
  <c r="P360" i="1"/>
  <c r="Q395" i="1"/>
  <c r="P395" i="1"/>
  <c r="Q441" i="1"/>
  <c r="Q572" i="1"/>
  <c r="P572" i="1"/>
  <c r="P576" i="1"/>
  <c r="Q591" i="1"/>
  <c r="P591" i="1"/>
  <c r="P595" i="1"/>
  <c r="Q702" i="1"/>
  <c r="P702" i="1"/>
  <c r="Q741" i="1"/>
  <c r="P741" i="1"/>
  <c r="Q764" i="1"/>
  <c r="P764" i="1"/>
  <c r="P768" i="1"/>
  <c r="P803" i="1"/>
  <c r="Q834" i="1"/>
  <c r="P858" i="1"/>
  <c r="Q884" i="1"/>
  <c r="P884" i="1"/>
  <c r="P909" i="1"/>
  <c r="P941" i="1"/>
  <c r="P991" i="1"/>
  <c r="Q1064" i="1"/>
  <c r="P1064" i="1"/>
  <c r="Q1080" i="1"/>
  <c r="P1080" i="1"/>
  <c r="Q1093" i="1"/>
  <c r="P1093" i="1"/>
  <c r="Q1122" i="1"/>
  <c r="P1122" i="1"/>
  <c r="P1155" i="1"/>
  <c r="P1160" i="1"/>
  <c r="Q1160" i="1"/>
  <c r="P1192" i="1"/>
  <c r="Q1202" i="1"/>
  <c r="Q1244" i="1"/>
  <c r="P1244" i="1"/>
  <c r="P1339" i="1"/>
  <c r="P1344" i="1"/>
  <c r="Q1344" i="1"/>
  <c r="Q1349" i="1"/>
  <c r="P1349" i="1"/>
  <c r="Q1368" i="1"/>
  <c r="P1368" i="1"/>
  <c r="Q1377" i="1"/>
  <c r="P1377" i="1"/>
  <c r="Q1419" i="1"/>
  <c r="Q1424" i="1"/>
  <c r="Q1438" i="1"/>
  <c r="P1438" i="1"/>
  <c r="P1447" i="1"/>
  <c r="Q1452" i="1"/>
  <c r="P1452" i="1"/>
  <c r="P1456" i="1"/>
  <c r="P1563" i="1"/>
  <c r="Q1621" i="1"/>
  <c r="P1621" i="1"/>
  <c r="Q1655" i="1"/>
  <c r="P1655" i="1"/>
  <c r="Q1695" i="1"/>
  <c r="P1695" i="1"/>
  <c r="P1704" i="1"/>
  <c r="Q1772" i="1"/>
  <c r="P1772" i="1"/>
  <c r="P1780" i="1"/>
  <c r="Q1858" i="1"/>
  <c r="Q1879" i="1"/>
  <c r="P1879" i="1"/>
  <c r="P1884" i="1"/>
  <c r="Q1884" i="1"/>
  <c r="Q1933" i="1"/>
  <c r="P1933" i="1"/>
  <c r="Q2021" i="1"/>
  <c r="P2021" i="1"/>
  <c r="P2037" i="1"/>
  <c r="Q2117" i="1"/>
  <c r="P2117" i="1"/>
  <c r="P2202" i="1"/>
  <c r="Q2202" i="1"/>
  <c r="Q2346" i="1"/>
  <c r="P2346" i="1"/>
  <c r="Q2351" i="1"/>
  <c r="P2351" i="1"/>
  <c r="P2408" i="1"/>
  <c r="P2439" i="1"/>
  <c r="Q2439" i="1"/>
  <c r="Q2455" i="1"/>
  <c r="P2455" i="1"/>
  <c r="P2480" i="1"/>
  <c r="P2525" i="1"/>
  <c r="Q2525" i="1"/>
  <c r="Q2581" i="1"/>
  <c r="P2581" i="1"/>
  <c r="P2748" i="1"/>
  <c r="Q2748" i="1"/>
  <c r="Q2774" i="1"/>
  <c r="P2774" i="1"/>
  <c r="P2780" i="1"/>
  <c r="Q2809" i="1"/>
  <c r="Q2815" i="1"/>
  <c r="P2815" i="1"/>
  <c r="Q2856" i="1"/>
  <c r="P2856" i="1"/>
  <c r="Q2906" i="1"/>
  <c r="P2906" i="1"/>
  <c r="Q2957" i="1"/>
  <c r="P2957" i="1"/>
  <c r="Q2961" i="1"/>
  <c r="P2961" i="1"/>
  <c r="P2983" i="1"/>
  <c r="Q2983" i="1"/>
  <c r="Q2989" i="1"/>
  <c r="P2989" i="1"/>
  <c r="P3138" i="1"/>
  <c r="Q3138" i="1"/>
  <c r="Q3334" i="1"/>
  <c r="P3334" i="1"/>
  <c r="Q3351" i="1"/>
  <c r="P3351" i="1"/>
  <c r="Q3378" i="1"/>
  <c r="P3378" i="1"/>
  <c r="P3812" i="1"/>
  <c r="Q3812" i="1"/>
  <c r="P3832" i="1"/>
  <c r="Q3832" i="1"/>
  <c r="Q4021" i="1"/>
  <c r="P4021" i="1"/>
  <c r="Q4049" i="1"/>
  <c r="Q1118" i="1"/>
  <c r="P1118" i="1"/>
  <c r="Q1134" i="1"/>
  <c r="P1134" i="1"/>
  <c r="Q1239" i="1"/>
  <c r="P1239" i="1"/>
  <c r="Q1420" i="1"/>
  <c r="P1420" i="1"/>
  <c r="Q1425" i="1"/>
  <c r="P1425" i="1"/>
  <c r="P1486" i="1"/>
  <c r="Q1486" i="1"/>
  <c r="P1490" i="1"/>
  <c r="Q1490" i="1"/>
  <c r="Q1738" i="1"/>
  <c r="P1738" i="1"/>
  <c r="P1762" i="1"/>
  <c r="Q1762" i="1"/>
  <c r="Q1864" i="1"/>
  <c r="P1864" i="1"/>
  <c r="Q1922" i="1"/>
  <c r="P1922" i="1"/>
  <c r="Q1927" i="1"/>
  <c r="P1927" i="1"/>
  <c r="Q2043" i="1"/>
  <c r="P2043" i="1"/>
  <c r="Q2049" i="1"/>
  <c r="P2049" i="1"/>
  <c r="Q2122" i="1"/>
  <c r="P2122" i="1"/>
  <c r="Q2128" i="1"/>
  <c r="P2128" i="1"/>
  <c r="Q2166" i="1"/>
  <c r="P2166" i="1"/>
  <c r="Q2254" i="1"/>
  <c r="P2254" i="1"/>
  <c r="Q2267" i="1"/>
  <c r="P2267" i="1"/>
  <c r="Q2326" i="1"/>
  <c r="P2326" i="1"/>
  <c r="Q2367" i="1"/>
  <c r="P2367" i="1"/>
  <c r="Q2381" i="1"/>
  <c r="P2381" i="1"/>
  <c r="Q2551" i="1"/>
  <c r="P2551" i="1"/>
  <c r="P2556" i="1"/>
  <c r="Q2556" i="1"/>
  <c r="Q2561" i="1"/>
  <c r="P2561" i="1"/>
  <c r="Q2586" i="1"/>
  <c r="P2586" i="1"/>
  <c r="Q2605" i="1"/>
  <c r="P2605" i="1"/>
  <c r="Q2685" i="1"/>
  <c r="P2685" i="1"/>
  <c r="Q2941" i="1"/>
  <c r="P2941" i="1"/>
  <c r="Q2966" i="1"/>
  <c r="P2966" i="1"/>
  <c r="Q3057" i="1"/>
  <c r="P3057" i="1"/>
  <c r="Q3066" i="1"/>
  <c r="P3066" i="1"/>
  <c r="Q3117" i="1"/>
  <c r="P3117" i="1"/>
  <c r="Q3133" i="1"/>
  <c r="P3133" i="1"/>
  <c r="Q3179" i="1"/>
  <c r="P3179" i="1"/>
  <c r="Q3194" i="1"/>
  <c r="P3194" i="1"/>
  <c r="P3300" i="1"/>
  <c r="Q3300" i="1"/>
  <c r="Q3319" i="1"/>
  <c r="P3319" i="1"/>
  <c r="Q3415" i="1"/>
  <c r="P3415" i="1"/>
  <c r="Q3443" i="1"/>
  <c r="P3443" i="1"/>
  <c r="P3462" i="1"/>
  <c r="Q3462" i="1"/>
  <c r="P3780" i="1"/>
  <c r="Q3780" i="1"/>
  <c r="Q3807" i="1"/>
  <c r="P3807" i="1"/>
  <c r="P4006" i="1"/>
  <c r="Q4006" i="1"/>
  <c r="Q2611" i="1"/>
  <c r="P2611" i="1"/>
  <c r="P12" i="1"/>
  <c r="P216" i="1"/>
  <c r="P270" i="1"/>
  <c r="Q496" i="1"/>
  <c r="P496" i="1"/>
  <c r="Q5" i="1"/>
  <c r="P44" i="1"/>
  <c r="P93" i="1"/>
  <c r="P170" i="1"/>
  <c r="P240" i="1"/>
  <c r="P294" i="1"/>
  <c r="P310" i="1"/>
  <c r="P384" i="1"/>
  <c r="P407" i="1"/>
  <c r="P411" i="1"/>
  <c r="P438" i="1"/>
  <c r="P454" i="1"/>
  <c r="P469" i="1"/>
  <c r="P488" i="1"/>
  <c r="P561" i="1"/>
  <c r="P580" i="1"/>
  <c r="P672" i="1"/>
  <c r="P683" i="1"/>
  <c r="P691" i="1"/>
  <c r="P714" i="1"/>
  <c r="Q784" i="1"/>
  <c r="P784" i="1"/>
  <c r="P807" i="1"/>
  <c r="Q823" i="1"/>
  <c r="P823" i="1"/>
  <c r="P875" i="1"/>
  <c r="Q880" i="1"/>
  <c r="P880" i="1"/>
  <c r="P897" i="1"/>
  <c r="P901" i="1"/>
  <c r="Q905" i="1"/>
  <c r="P914" i="1"/>
  <c r="P918" i="1"/>
  <c r="P934" i="1"/>
  <c r="P946" i="1"/>
  <c r="P950" i="1"/>
  <c r="P992" i="1"/>
  <c r="Q992" i="1"/>
  <c r="P1000" i="1"/>
  <c r="Q1032" i="1"/>
  <c r="P1048" i="1"/>
  <c r="Q1056" i="1"/>
  <c r="P1102" i="1"/>
  <c r="Q1156" i="1"/>
  <c r="P1156" i="1"/>
  <c r="Q1245" i="1"/>
  <c r="P1245" i="1"/>
  <c r="P1306" i="1"/>
  <c r="P1311" i="1"/>
  <c r="P1335" i="1"/>
  <c r="Q1373" i="1"/>
  <c r="P1392" i="1"/>
  <c r="Q1397" i="1"/>
  <c r="P1397" i="1"/>
  <c r="P1406" i="1"/>
  <c r="Q1457" i="1"/>
  <c r="P1457" i="1"/>
  <c r="Q1617" i="1"/>
  <c r="P1617" i="1"/>
  <c r="Q1700" i="1"/>
  <c r="P1700" i="1"/>
  <c r="Q1781" i="1"/>
  <c r="P1781" i="1"/>
  <c r="Q1786" i="1"/>
  <c r="P1786" i="1"/>
  <c r="P1806" i="1"/>
  <c r="Q1806" i="1"/>
  <c r="Q1906" i="1"/>
  <c r="P1906" i="1"/>
  <c r="Q2017" i="1"/>
  <c r="P2017" i="1"/>
  <c r="Q2077" i="1"/>
  <c r="P2077" i="1"/>
  <c r="Q2088" i="1"/>
  <c r="P2088" i="1"/>
  <c r="Q2107" i="1"/>
  <c r="P2107" i="1"/>
  <c r="Q2161" i="1"/>
  <c r="P2161" i="1"/>
  <c r="P2283" i="1"/>
  <c r="P2315" i="1"/>
  <c r="Q2315" i="1"/>
  <c r="Q2352" i="1"/>
  <c r="P2352" i="1"/>
  <c r="Q2357" i="1"/>
  <c r="P2357" i="1"/>
  <c r="Q2465" i="1"/>
  <c r="P2465" i="1"/>
  <c r="Q2480" i="1"/>
  <c r="Q2515" i="1"/>
  <c r="P2515" i="1"/>
  <c r="Q2617" i="1"/>
  <c r="P2617" i="1"/>
  <c r="Q2742" i="1"/>
  <c r="Q2769" i="1"/>
  <c r="P2769" i="1"/>
  <c r="P2805" i="1"/>
  <c r="Q2805" i="1"/>
  <c r="Q2832" i="1"/>
  <c r="P2832" i="1"/>
  <c r="P2885" i="1"/>
  <c r="Q2890" i="1"/>
  <c r="P2890" i="1"/>
  <c r="Q2907" i="1"/>
  <c r="P2907" i="1"/>
  <c r="Q3143" i="1"/>
  <c r="Q3184" i="1"/>
  <c r="P3184" i="1"/>
  <c r="Q3356" i="1"/>
  <c r="P3356" i="1"/>
  <c r="P3572" i="1"/>
  <c r="Q3572" i="1"/>
  <c r="Q3817" i="1"/>
  <c r="P3817" i="1"/>
  <c r="Q3837" i="1"/>
  <c r="P3912" i="1"/>
  <c r="Q3912" i="1"/>
  <c r="P3918" i="1"/>
  <c r="Q3918" i="1"/>
  <c r="P3923" i="1"/>
  <c r="Q4039" i="1"/>
  <c r="P4039" i="1"/>
  <c r="P4050" i="1"/>
  <c r="Q4050" i="1"/>
  <c r="Q4102" i="1"/>
  <c r="P4102" i="1"/>
  <c r="Q560" i="1"/>
  <c r="P560" i="1"/>
  <c r="Q896" i="1"/>
  <c r="P896" i="1"/>
  <c r="Q262" i="1"/>
  <c r="P262" i="1"/>
  <c r="Q752" i="1"/>
  <c r="P752" i="1"/>
  <c r="Q892" i="1"/>
  <c r="P892" i="1"/>
  <c r="P19" i="1"/>
  <c r="P68" i="1"/>
  <c r="P121" i="1"/>
  <c r="P128" i="1"/>
  <c r="P146" i="1"/>
  <c r="Q158" i="1"/>
  <c r="P314" i="1"/>
  <c r="Q147" i="1"/>
  <c r="P147" i="1"/>
  <c r="Q252" i="1"/>
  <c r="P252" i="1"/>
  <c r="P306" i="1"/>
  <c r="Q396" i="1"/>
  <c r="P396" i="1"/>
  <c r="Q446" i="1"/>
  <c r="Q473" i="1"/>
  <c r="Q592" i="1"/>
  <c r="P592" i="1"/>
  <c r="Q599" i="1"/>
  <c r="Q996" i="1"/>
  <c r="Q1008" i="1"/>
  <c r="Q1024" i="1"/>
  <c r="P1184" i="1"/>
  <c r="P1220" i="1"/>
  <c r="P1275" i="1"/>
  <c r="P1316" i="1"/>
  <c r="P1369" i="1"/>
  <c r="Q1369" i="1"/>
  <c r="P1378" i="1"/>
  <c r="Q1388" i="1"/>
  <c r="P1388" i="1"/>
  <c r="P1495" i="1"/>
  <c r="Q1516" i="1"/>
  <c r="P1516" i="1"/>
  <c r="Q1599" i="1"/>
  <c r="P1599" i="1"/>
  <c r="Q1627" i="1"/>
  <c r="P1627" i="1"/>
  <c r="P1666" i="1"/>
  <c r="P1681" i="1"/>
  <c r="P1691" i="1"/>
  <c r="Q1691" i="1"/>
  <c r="Q1710" i="1"/>
  <c r="Q1733" i="1"/>
  <c r="P1733" i="1"/>
  <c r="Q1896" i="1"/>
  <c r="Q1901" i="1"/>
  <c r="Q1970" i="1"/>
  <c r="P1970" i="1"/>
  <c r="P2007" i="1"/>
  <c r="Q2007" i="1"/>
  <c r="Q2027" i="1"/>
  <c r="P2038" i="1"/>
  <c r="P2061" i="1"/>
  <c r="Q2061" i="1"/>
  <c r="Q2129" i="1"/>
  <c r="P2129" i="1"/>
  <c r="P2144" i="1"/>
  <c r="Q2234" i="1"/>
  <c r="P2234" i="1"/>
  <c r="Q2274" i="1"/>
  <c r="P2274" i="1"/>
  <c r="Q2398" i="1"/>
  <c r="P2398" i="1"/>
  <c r="P2456" i="1"/>
  <c r="Q2481" i="1"/>
  <c r="P2481" i="1"/>
  <c r="P2526" i="1"/>
  <c r="Q2526" i="1"/>
  <c r="Q2562" i="1"/>
  <c r="P2562" i="1"/>
  <c r="Q2624" i="1"/>
  <c r="P2624" i="1"/>
  <c r="Q2639" i="1"/>
  <c r="P2639" i="1"/>
  <c r="Q2650" i="1"/>
  <c r="P2650" i="1"/>
  <c r="Q2728" i="1"/>
  <c r="P2728" i="1"/>
  <c r="P2743" i="1"/>
  <c r="Q2743" i="1"/>
  <c r="Q2781" i="1"/>
  <c r="P2781" i="1"/>
  <c r="Q2827" i="1"/>
  <c r="P2827" i="1"/>
  <c r="P3126" i="1"/>
  <c r="Q3144" i="1"/>
  <c r="P3144" i="1"/>
  <c r="P3173" i="1"/>
  <c r="Q3173" i="1"/>
  <c r="P3295" i="1"/>
  <c r="Q3352" i="1"/>
  <c r="P3352" i="1"/>
  <c r="Q3363" i="1"/>
  <c r="P3363" i="1"/>
  <c r="Q3410" i="1"/>
  <c r="P3996" i="1"/>
  <c r="Q3996" i="1"/>
  <c r="Q1476" i="1"/>
  <c r="P1476" i="1"/>
  <c r="P1618" i="1"/>
  <c r="Q1618" i="1"/>
  <c r="Q1659" i="1"/>
  <c r="P1659" i="1"/>
  <c r="P1870" i="1"/>
  <c r="Q1870" i="1"/>
  <c r="Q1903" i="1"/>
  <c r="P1903" i="1"/>
  <c r="Q2125" i="1"/>
  <c r="P2125" i="1"/>
  <c r="Q2191" i="1"/>
  <c r="P2191" i="1"/>
  <c r="Q2231" i="1"/>
  <c r="P2231" i="1"/>
  <c r="Q2246" i="1"/>
  <c r="P2246" i="1"/>
  <c r="Q2289" i="1"/>
  <c r="P2289" i="1"/>
  <c r="Q2344" i="1"/>
  <c r="P2344" i="1"/>
  <c r="Q2349" i="1"/>
  <c r="P2349" i="1"/>
  <c r="Q2433" i="1"/>
  <c r="P2433" i="1"/>
  <c r="Q2490" i="1"/>
  <c r="P2490" i="1"/>
  <c r="Q2589" i="1"/>
  <c r="P2589" i="1"/>
  <c r="P2619" i="1"/>
  <c r="Q2619" i="1"/>
  <c r="Q2634" i="1"/>
  <c r="P2634" i="1"/>
  <c r="Q2665" i="1"/>
  <c r="P2665" i="1"/>
  <c r="P2710" i="1"/>
  <c r="P2962" i="1"/>
  <c r="Q2962" i="1"/>
  <c r="Q2973" i="1"/>
  <c r="P2973" i="1"/>
  <c r="Q3019" i="1"/>
  <c r="P3019" i="1"/>
  <c r="Q3024" i="1"/>
  <c r="P3024" i="1"/>
  <c r="Q3034" i="1"/>
  <c r="P3034" i="1"/>
  <c r="Q3257" i="1"/>
  <c r="P3257" i="1"/>
  <c r="Q3292" i="1"/>
  <c r="P3292" i="1"/>
  <c r="Q3321" i="1"/>
  <c r="P3321" i="1"/>
  <c r="Q3331" i="1"/>
  <c r="P3331" i="1"/>
  <c r="Q3337" i="1"/>
  <c r="P3337" i="1"/>
  <c r="Q3397" i="1"/>
  <c r="P3397" i="1"/>
  <c r="Q3411" i="1"/>
  <c r="P3411" i="1"/>
  <c r="Q3439" i="1"/>
  <c r="P3439" i="1"/>
  <c r="Q3497" i="1"/>
  <c r="P3497" i="1"/>
  <c r="Q3550" i="1"/>
  <c r="P3550" i="1"/>
  <c r="Q3766" i="1"/>
  <c r="P3766" i="1"/>
  <c r="Q3908" i="1"/>
  <c r="P3908" i="1"/>
  <c r="Q4045" i="1"/>
  <c r="P4045" i="1"/>
  <c r="P4429" i="1"/>
  <c r="Q4429" i="1"/>
  <c r="P4457" i="1"/>
  <c r="Q4457" i="1"/>
  <c r="Q4474" i="1"/>
  <c r="P4474" i="1"/>
  <c r="Q5163" i="1"/>
  <c r="P5163" i="1"/>
  <c r="Q5290" i="1"/>
  <c r="P5290" i="1"/>
  <c r="Q5322" i="1"/>
  <c r="P5322" i="1"/>
  <c r="P1145" i="1"/>
  <c r="Q1235" i="1"/>
  <c r="P1235" i="1"/>
  <c r="P1650" i="1"/>
  <c r="Q1650" i="1"/>
  <c r="Q1687" i="1"/>
  <c r="P1687" i="1"/>
  <c r="P1737" i="1"/>
  <c r="Q1737" i="1"/>
  <c r="P1774" i="1"/>
  <c r="Q1774" i="1"/>
  <c r="Q1899" i="1"/>
  <c r="P1899" i="1"/>
  <c r="Q1924" i="1"/>
  <c r="P1924" i="1"/>
  <c r="P1944" i="1"/>
  <c r="Q1944" i="1"/>
  <c r="P1959" i="1"/>
  <c r="Q1959" i="1"/>
  <c r="Q2050" i="1"/>
  <c r="P2050" i="1"/>
  <c r="P2076" i="1"/>
  <c r="Q2076" i="1"/>
  <c r="Q2171" i="1"/>
  <c r="P2171" i="1"/>
  <c r="Q2226" i="1"/>
  <c r="P2226" i="1"/>
  <c r="P2236" i="1"/>
  <c r="Q2236" i="1"/>
  <c r="Q2241" i="1"/>
  <c r="P2241" i="1"/>
  <c r="Q2335" i="1"/>
  <c r="P2335" i="1"/>
  <c r="Q2467" i="1"/>
  <c r="P2467" i="1"/>
  <c r="Q2477" i="1"/>
  <c r="P2477" i="1"/>
  <c r="Q2482" i="1"/>
  <c r="P2482" i="1"/>
  <c r="Q2530" i="1"/>
  <c r="P2530" i="1"/>
  <c r="Q2545" i="1"/>
  <c r="P2545" i="1"/>
  <c r="P2584" i="1"/>
  <c r="Q2584" i="1"/>
  <c r="Q2731" i="1"/>
  <c r="P2731" i="1"/>
  <c r="Q2850" i="1"/>
  <c r="P2850" i="1"/>
  <c r="Q2893" i="1"/>
  <c r="P2893" i="1"/>
  <c r="Q2953" i="1"/>
  <c r="P2953" i="1"/>
  <c r="Q3165" i="1"/>
  <c r="P3165" i="1"/>
  <c r="Q3226" i="1"/>
  <c r="P3226" i="1"/>
  <c r="Q3370" i="1"/>
  <c r="P3370" i="1"/>
  <c r="Q3485" i="1"/>
  <c r="P3485" i="1"/>
  <c r="Q3491" i="1"/>
  <c r="P3491" i="1"/>
  <c r="Q3618" i="1"/>
  <c r="P3618" i="1"/>
  <c r="Q3695" i="1"/>
  <c r="P3695" i="1"/>
  <c r="Q3729" i="1"/>
  <c r="P3729" i="1"/>
  <c r="Q3962" i="1"/>
  <c r="P3962" i="1"/>
  <c r="Q4324" i="1"/>
  <c r="P4324" i="1"/>
  <c r="Q4423" i="1"/>
  <c r="P4423" i="1"/>
  <c r="Q4533" i="1"/>
  <c r="P4533" i="1"/>
  <c r="Q4557" i="1"/>
  <c r="P4557" i="1"/>
  <c r="Q5561" i="1"/>
  <c r="P5561" i="1"/>
  <c r="Q5688" i="1"/>
  <c r="P5688" i="1"/>
  <c r="Q5720" i="1"/>
  <c r="P5720" i="1"/>
  <c r="Q5732" i="1"/>
  <c r="P5732" i="1"/>
  <c r="Q5988" i="1"/>
  <c r="P5988" i="1"/>
  <c r="Q5999" i="1"/>
  <c r="P5999" i="1"/>
  <c r="Q1500" i="1"/>
  <c r="P1500" i="1"/>
  <c r="Q1514" i="1"/>
  <c r="P1514" i="1"/>
  <c r="Q1524" i="1"/>
  <c r="P1524" i="1"/>
  <c r="P1529" i="1"/>
  <c r="Q1529" i="1"/>
  <c r="P1601" i="1"/>
  <c r="Q1660" i="1"/>
  <c r="P1660" i="1"/>
  <c r="Q1692" i="1"/>
  <c r="P1692" i="1"/>
  <c r="Q1769" i="1"/>
  <c r="Q1850" i="1"/>
  <c r="P1865" i="1"/>
  <c r="Q1865" i="1"/>
  <c r="P1889" i="1"/>
  <c r="P1939" i="1"/>
  <c r="Q2000" i="1"/>
  <c r="P2000" i="1"/>
  <c r="P2024" i="1"/>
  <c r="Q2060" i="1"/>
  <c r="P2115" i="1"/>
  <c r="P2155" i="1"/>
  <c r="P2232" i="1"/>
  <c r="P2269" i="1"/>
  <c r="Q2284" i="1"/>
  <c r="Q2295" i="1"/>
  <c r="P2295" i="1"/>
  <c r="Q2305" i="1"/>
  <c r="P2305" i="1"/>
  <c r="P2404" i="1"/>
  <c r="P2427" i="1"/>
  <c r="P2472" i="1"/>
  <c r="Q2491" i="1"/>
  <c r="P2491" i="1"/>
  <c r="Q2506" i="1"/>
  <c r="P2506" i="1"/>
  <c r="Q2516" i="1"/>
  <c r="P2516" i="1"/>
  <c r="P2574" i="1"/>
  <c r="Q2620" i="1"/>
  <c r="P2620" i="1"/>
  <c r="Q2635" i="1"/>
  <c r="P2635" i="1"/>
  <c r="Q2690" i="1"/>
  <c r="P2690" i="1"/>
  <c r="Q2710" i="1"/>
  <c r="Q2751" i="1"/>
  <c r="P2751" i="1"/>
  <c r="Q2761" i="1"/>
  <c r="P2761" i="1"/>
  <c r="P2777" i="1"/>
  <c r="Q2821" i="1"/>
  <c r="P2821" i="1"/>
  <c r="P2855" i="1"/>
  <c r="Q2855" i="1"/>
  <c r="Q3004" i="1"/>
  <c r="Q3100" i="1"/>
  <c r="P3100" i="1"/>
  <c r="Q3130" i="1"/>
  <c r="P3130" i="1"/>
  <c r="P3159" i="1"/>
  <c r="Q3159" i="1"/>
  <c r="Q3327" i="1"/>
  <c r="P3327" i="1"/>
  <c r="Q3343" i="1"/>
  <c r="P3343" i="1"/>
  <c r="P3406" i="1"/>
  <c r="Q3421" i="1"/>
  <c r="P3509" i="1"/>
  <c r="Q3509" i="1"/>
  <c r="P3531" i="1"/>
  <c r="Q3531" i="1"/>
  <c r="Q3537" i="1"/>
  <c r="P3537" i="1"/>
  <c r="P3588" i="1"/>
  <c r="Q3588" i="1"/>
  <c r="Q3709" i="1"/>
  <c r="P3709" i="1"/>
  <c r="Q3760" i="1"/>
  <c r="Q3767" i="1"/>
  <c r="P3767" i="1"/>
  <c r="P3798" i="1"/>
  <c r="Q3941" i="1"/>
  <c r="P3941" i="1"/>
  <c r="Q3946" i="1"/>
  <c r="P3946" i="1"/>
  <c r="Q3951" i="1"/>
  <c r="P3951" i="1"/>
  <c r="P4040" i="1"/>
  <c r="Q4040" i="1"/>
  <c r="P4288" i="1"/>
  <c r="Q4288" i="1"/>
  <c r="Q4430" i="1"/>
  <c r="P4430" i="1"/>
  <c r="P4469" i="1"/>
  <c r="Q4469" i="1"/>
  <c r="Q4510" i="1"/>
  <c r="P4510" i="1"/>
  <c r="Q4581" i="1"/>
  <c r="P4581" i="1"/>
  <c r="Q4897" i="1"/>
  <c r="P4897" i="1"/>
  <c r="P3252" i="1"/>
  <c r="Q3252" i="1"/>
  <c r="Q3322" i="1"/>
  <c r="P3322" i="1"/>
  <c r="Q3475" i="1"/>
  <c r="P3475" i="1"/>
  <c r="Q3882" i="1"/>
  <c r="P3882" i="1"/>
  <c r="Q4540" i="1"/>
  <c r="P4540" i="1"/>
  <c r="Q1249" i="1"/>
  <c r="P1249" i="1"/>
  <c r="P1477" i="1"/>
  <c r="P1509" i="1"/>
  <c r="Q1520" i="1"/>
  <c r="P1520" i="1"/>
  <c r="P1537" i="1"/>
  <c r="Q1565" i="1"/>
  <c r="P1574" i="1"/>
  <c r="Q1597" i="1"/>
  <c r="Q1601" i="1"/>
  <c r="Q1673" i="1"/>
  <c r="P1765" i="1"/>
  <c r="P1797" i="1"/>
  <c r="Q1820" i="1"/>
  <c r="P1820" i="1"/>
  <c r="P1833" i="1"/>
  <c r="Q1833" i="1"/>
  <c r="Q1866" i="1"/>
  <c r="P1866" i="1"/>
  <c r="Q1991" i="1"/>
  <c r="P1991" i="1"/>
  <c r="P2087" i="1"/>
  <c r="Q2087" i="1"/>
  <c r="P2092" i="1"/>
  <c r="Q2092" i="1"/>
  <c r="Q2146" i="1"/>
  <c r="P2146" i="1"/>
  <c r="P2181" i="1"/>
  <c r="Q2222" i="1"/>
  <c r="Q2232" i="1"/>
  <c r="P2374" i="1"/>
  <c r="P2468" i="1"/>
  <c r="Q2468" i="1"/>
  <c r="P2492" i="1"/>
  <c r="Q2492" i="1"/>
  <c r="Q2541" i="1"/>
  <c r="P2541" i="1"/>
  <c r="Q2546" i="1"/>
  <c r="P2546" i="1"/>
  <c r="P2565" i="1"/>
  <c r="Q2570" i="1"/>
  <c r="P2570" i="1"/>
  <c r="Q2580" i="1"/>
  <c r="P2580" i="1"/>
  <c r="Q2636" i="1"/>
  <c r="P2636" i="1"/>
  <c r="Q2667" i="1"/>
  <c r="P2667" i="1"/>
  <c r="Q2675" i="1"/>
  <c r="Q2697" i="1"/>
  <c r="P2697" i="1"/>
  <c r="Q2767" i="1"/>
  <c r="P2767" i="1"/>
  <c r="P2802" i="1"/>
  <c r="P2910" i="1"/>
  <c r="Q2920" i="1"/>
  <c r="P2920" i="1"/>
  <c r="P2999" i="1"/>
  <c r="Q2999" i="1"/>
  <c r="P3045" i="1"/>
  <c r="Q3045" i="1"/>
  <c r="Q3052" i="1"/>
  <c r="P3052" i="1"/>
  <c r="P3080" i="1"/>
  <c r="P3136" i="1"/>
  <c r="Q3160" i="1"/>
  <c r="P3160" i="1"/>
  <c r="Q3166" i="1"/>
  <c r="P3166" i="1"/>
  <c r="Q3181" i="1"/>
  <c r="P3181" i="1"/>
  <c r="P3277" i="1"/>
  <c r="Q3344" i="1"/>
  <c r="P3344" i="1"/>
  <c r="Q3382" i="1"/>
  <c r="P3382" i="1"/>
  <c r="P3510" i="1"/>
  <c r="Q3510" i="1"/>
  <c r="Q3551" i="1"/>
  <c r="Q3651" i="1"/>
  <c r="P3651" i="1"/>
  <c r="P3669" i="1"/>
  <c r="Q3865" i="1"/>
  <c r="P3865" i="1"/>
  <c r="Q3936" i="1"/>
  <c r="Q3952" i="1"/>
  <c r="P3952" i="1"/>
  <c r="Q4150" i="1"/>
  <c r="P4150" i="1"/>
  <c r="P4226" i="1"/>
  <c r="Q4226" i="1"/>
  <c r="Q4241" i="1"/>
  <c r="P4241" i="1"/>
  <c r="Q3578" i="1"/>
  <c r="P3578" i="1"/>
  <c r="Q3690" i="1"/>
  <c r="P3690" i="1"/>
  <c r="P3789" i="1"/>
  <c r="Q3789" i="1"/>
  <c r="Q4023" i="1"/>
  <c r="P4023" i="1"/>
  <c r="P4034" i="1"/>
  <c r="Q4034" i="1"/>
  <c r="Q4155" i="1"/>
  <c r="P4155" i="1"/>
  <c r="Q4231" i="1"/>
  <c r="P4231" i="1"/>
  <c r="P4564" i="1"/>
  <c r="Q4564" i="1"/>
  <c r="Q140" i="1"/>
  <c r="P140" i="1"/>
  <c r="Q428" i="1"/>
  <c r="P428" i="1"/>
  <c r="Q842" i="1"/>
  <c r="P842" i="1"/>
  <c r="Q924" i="1"/>
  <c r="P924" i="1"/>
  <c r="P947" i="1"/>
  <c r="P979" i="1"/>
  <c r="P995" i="1"/>
  <c r="P1027" i="1"/>
  <c r="Q1111" i="1"/>
  <c r="P1111" i="1"/>
  <c r="P1123" i="1"/>
  <c r="Q1181" i="1"/>
  <c r="P1181" i="1"/>
  <c r="Q1464" i="1"/>
  <c r="P1464" i="1"/>
  <c r="Q1556" i="1"/>
  <c r="P1556" i="1"/>
  <c r="P1593" i="1"/>
  <c r="Q1593" i="1"/>
  <c r="P1629" i="1"/>
  <c r="Q1629" i="1"/>
  <c r="Q1674" i="1"/>
  <c r="P1674" i="1"/>
  <c r="Q1706" i="1"/>
  <c r="P1706" i="1"/>
  <c r="Q1724" i="1"/>
  <c r="P1724" i="1"/>
  <c r="Q1766" i="1"/>
  <c r="P1766" i="1"/>
  <c r="Q1986" i="1"/>
  <c r="P1986" i="1"/>
  <c r="Q2046" i="1"/>
  <c r="P2046" i="1"/>
  <c r="P2276" i="1"/>
  <c r="P2300" i="1"/>
  <c r="Q2300" i="1"/>
  <c r="P2429" i="1"/>
  <c r="Q2449" i="1"/>
  <c r="P2449" i="1"/>
  <c r="Q2512" i="1"/>
  <c r="P2512" i="1"/>
  <c r="Q2517" i="1"/>
  <c r="P2517" i="1"/>
  <c r="Q2536" i="1"/>
  <c r="P2536" i="1"/>
  <c r="Q2591" i="1"/>
  <c r="P2591" i="1"/>
  <c r="P2652" i="1"/>
  <c r="Q2652" i="1"/>
  <c r="Q2676" i="1"/>
  <c r="P2676" i="1"/>
  <c r="Q2752" i="1"/>
  <c r="P2752" i="1"/>
  <c r="Q2889" i="1"/>
  <c r="P2889" i="1"/>
  <c r="Q2911" i="1"/>
  <c r="P2911" i="1"/>
  <c r="P3041" i="1"/>
  <c r="Q3091" i="1"/>
  <c r="P3091" i="1"/>
  <c r="Q3121" i="1"/>
  <c r="P3121" i="1"/>
  <c r="Q3205" i="1"/>
  <c r="P3211" i="1"/>
  <c r="P3248" i="1"/>
  <c r="P3268" i="1"/>
  <c r="Q3268" i="1"/>
  <c r="P3338" i="1"/>
  <c r="P3398" i="1"/>
  <c r="P3407" i="1"/>
  <c r="Q3418" i="1"/>
  <c r="P3418" i="1"/>
  <c r="Q3492" i="1"/>
  <c r="Q3532" i="1"/>
  <c r="P3532" i="1"/>
  <c r="Q3552" i="1"/>
  <c r="P3552" i="1"/>
  <c r="Q3573" i="1"/>
  <c r="P3573" i="1"/>
  <c r="Q3634" i="1"/>
  <c r="P3634" i="1"/>
  <c r="Q3741" i="1"/>
  <c r="P3741" i="1"/>
  <c r="P3898" i="1"/>
  <c r="Q3904" i="1"/>
  <c r="P3904" i="1"/>
  <c r="P4140" i="1"/>
  <c r="P4156" i="1"/>
  <c r="Q4156" i="1"/>
  <c r="P4216" i="1"/>
  <c r="Q4216" i="1"/>
  <c r="P4414" i="1"/>
  <c r="P4418" i="1"/>
  <c r="Q4481" i="1"/>
  <c r="P4481" i="1"/>
  <c r="P3969" i="1"/>
  <c r="Q3969" i="1"/>
  <c r="Q4161" i="1"/>
  <c r="P4161" i="1"/>
  <c r="Q4183" i="1"/>
  <c r="P4183" i="1"/>
  <c r="Q223" i="1"/>
  <c r="P223" i="1"/>
  <c r="Q284" i="1"/>
  <c r="P284" i="1"/>
  <c r="Q367" i="1"/>
  <c r="P367" i="1"/>
  <c r="Q920" i="1"/>
  <c r="P920" i="1"/>
  <c r="P963" i="1"/>
  <c r="Q967" i="1"/>
  <c r="P967" i="1"/>
  <c r="Q1172" i="1"/>
  <c r="P1172" i="1"/>
  <c r="Q1199" i="1"/>
  <c r="P1199" i="1"/>
  <c r="P1232" i="1"/>
  <c r="P1266" i="1"/>
  <c r="Q1279" i="1"/>
  <c r="P1279" i="1"/>
  <c r="Q1318" i="1"/>
  <c r="P1318" i="1"/>
  <c r="P1336" i="1"/>
  <c r="Q1336" i="1"/>
  <c r="Q1345" i="1"/>
  <c r="P1345" i="1"/>
  <c r="Q1421" i="1"/>
  <c r="P1421" i="1"/>
  <c r="P1426" i="1"/>
  <c r="Q1426" i="1"/>
  <c r="P1561" i="1"/>
  <c r="Q1561" i="1"/>
  <c r="P1602" i="1"/>
  <c r="Q1602" i="1"/>
  <c r="P1748" i="1"/>
  <c r="P1789" i="1"/>
  <c r="Q1789" i="1"/>
  <c r="Q1829" i="1"/>
  <c r="P1829" i="1"/>
  <c r="Q1885" i="1"/>
  <c r="P1885" i="1"/>
  <c r="Q1905" i="1"/>
  <c r="P1905" i="1"/>
  <c r="Q1936" i="1"/>
  <c r="P1936" i="1"/>
  <c r="Q1941" i="1"/>
  <c r="P1941" i="1"/>
  <c r="Q1975" i="1"/>
  <c r="P1975" i="1"/>
  <c r="P2163" i="1"/>
  <c r="Q2203" i="1"/>
  <c r="P2203" i="1"/>
  <c r="Q2213" i="1"/>
  <c r="P2213" i="1"/>
  <c r="P2252" i="1"/>
  <c r="Q2252" i="1"/>
  <c r="Q2257" i="1"/>
  <c r="P2257" i="1"/>
  <c r="Q2261" i="1"/>
  <c r="P2261" i="1"/>
  <c r="Q2331" i="1"/>
  <c r="P2331" i="1"/>
  <c r="Q2356" i="1"/>
  <c r="P2356" i="1"/>
  <c r="Q2463" i="1"/>
  <c r="P2463" i="1"/>
  <c r="Q2610" i="1"/>
  <c r="P2610" i="1"/>
  <c r="Q2747" i="1"/>
  <c r="P2747" i="1"/>
  <c r="P2763" i="1"/>
  <c r="Q2763" i="1"/>
  <c r="Q2813" i="1"/>
  <c r="P2813" i="1"/>
  <c r="Q2939" i="1"/>
  <c r="P2939" i="1"/>
  <c r="Q2975" i="1"/>
  <c r="P2975" i="1"/>
  <c r="Q3161" i="1"/>
  <c r="P3161" i="1"/>
  <c r="Q3212" i="1"/>
  <c r="P3212" i="1"/>
  <c r="Q3239" i="1"/>
  <c r="P3239" i="1"/>
  <c r="Q3383" i="1"/>
  <c r="P3383" i="1"/>
  <c r="Q3493" i="1"/>
  <c r="P3493" i="1"/>
  <c r="Q3527" i="1"/>
  <c r="P3527" i="1"/>
  <c r="P3927" i="1"/>
  <c r="Q3927" i="1"/>
  <c r="Q4099" i="1"/>
  <c r="P4099" i="1"/>
  <c r="Q4110" i="1"/>
  <c r="P4110" i="1"/>
  <c r="Q4227" i="1"/>
  <c r="P4227" i="1"/>
  <c r="P4404" i="1"/>
  <c r="Q4404" i="1"/>
  <c r="P1554" i="1"/>
  <c r="Q1554" i="1"/>
  <c r="P1657" i="1"/>
  <c r="Q1657" i="1"/>
  <c r="Q1788" i="1"/>
  <c r="P1788" i="1"/>
  <c r="Q1836" i="1"/>
  <c r="P1836" i="1"/>
  <c r="Q2082" i="1"/>
  <c r="P2082" i="1"/>
  <c r="Q2090" i="1"/>
  <c r="P2090" i="1"/>
  <c r="Q2162" i="1"/>
  <c r="P2162" i="1"/>
  <c r="Q2199" i="1"/>
  <c r="P2199" i="1"/>
  <c r="Q2379" i="1"/>
  <c r="P2379" i="1"/>
  <c r="Q2399" i="1"/>
  <c r="P2399" i="1"/>
  <c r="Q2461" i="1"/>
  <c r="P2461" i="1"/>
  <c r="Q2466" i="1"/>
  <c r="P2466" i="1"/>
  <c r="Q2538" i="1"/>
  <c r="P2538" i="1"/>
  <c r="Q2720" i="1"/>
  <c r="P2720" i="1"/>
  <c r="Q2765" i="1"/>
  <c r="P2765" i="1"/>
  <c r="Q2794" i="1"/>
  <c r="P2794" i="1"/>
  <c r="Q2928" i="1"/>
  <c r="P2928" i="1"/>
  <c r="Q2984" i="1"/>
  <c r="P2984" i="1"/>
  <c r="Q3027" i="1"/>
  <c r="P3027" i="1"/>
  <c r="Q3042" i="1"/>
  <c r="P3042" i="1"/>
  <c r="P3047" i="1"/>
  <c r="Q3047" i="1"/>
  <c r="Q3085" i="1"/>
  <c r="P3085" i="1"/>
  <c r="Q3198" i="1"/>
  <c r="P3198" i="1"/>
  <c r="P3207" i="1"/>
  <c r="Q3207" i="1"/>
  <c r="P3238" i="1"/>
  <c r="Q3267" i="1"/>
  <c r="P3267" i="1"/>
  <c r="Q3392" i="1"/>
  <c r="P3392" i="1"/>
  <c r="P3452" i="1"/>
  <c r="Q3526" i="1"/>
  <c r="P3526" i="1"/>
  <c r="P3556" i="1"/>
  <c r="Q3561" i="1"/>
  <c r="P3561" i="1"/>
  <c r="Q3601" i="1"/>
  <c r="P3601" i="1"/>
  <c r="P3674" i="1"/>
  <c r="Q3674" i="1"/>
  <c r="P3685" i="1"/>
  <c r="Q3685" i="1"/>
  <c r="P3764" i="1"/>
  <c r="Q3764" i="1"/>
  <c r="Q3823" i="1"/>
  <c r="P3823" i="1"/>
  <c r="Q3984" i="1"/>
  <c r="P3984" i="1"/>
  <c r="Q4094" i="1"/>
  <c r="P4094" i="1"/>
  <c r="Q4100" i="1"/>
  <c r="P4100" i="1"/>
  <c r="P4131" i="1"/>
  <c r="Q4131" i="1"/>
  <c r="Q4145" i="1"/>
  <c r="P4145" i="1"/>
  <c r="P4195" i="1"/>
  <c r="Q4195" i="1"/>
  <c r="P4200" i="1"/>
  <c r="Q4200" i="1"/>
  <c r="Q4276" i="1"/>
  <c r="P4276" i="1"/>
  <c r="P4593" i="1"/>
  <c r="Q4593" i="1"/>
  <c r="Q4728" i="1"/>
  <c r="P4728" i="1"/>
  <c r="Q4739" i="1"/>
  <c r="P4739" i="1"/>
  <c r="Q4751" i="1"/>
  <c r="P4751" i="1"/>
  <c r="Q5294" i="1"/>
  <c r="P5294" i="1"/>
  <c r="P5309" i="1"/>
  <c r="Q5309" i="1"/>
  <c r="Q5448" i="1"/>
  <c r="P5448" i="1"/>
  <c r="Q1436" i="1"/>
  <c r="P1436" i="1"/>
  <c r="Q1484" i="1"/>
  <c r="P1484" i="1"/>
  <c r="P1714" i="1"/>
  <c r="Q1714" i="1"/>
  <c r="P1817" i="1"/>
  <c r="Q1817" i="1"/>
  <c r="P1881" i="1"/>
  <c r="Q1881" i="1"/>
  <c r="Q1890" i="1"/>
  <c r="P1890" i="1"/>
  <c r="Q1912" i="1"/>
  <c r="P1912" i="1"/>
  <c r="P1953" i="1"/>
  <c r="P1971" i="1"/>
  <c r="Q1971" i="1"/>
  <c r="Q2029" i="1"/>
  <c r="P2029" i="1"/>
  <c r="P2168" i="1"/>
  <c r="Q2168" i="1"/>
  <c r="Q2223" i="1"/>
  <c r="P2223" i="1"/>
  <c r="Q2285" i="1"/>
  <c r="P2285" i="1"/>
  <c r="Q2339" i="1"/>
  <c r="P2339" i="1"/>
  <c r="Q2418" i="1"/>
  <c r="P2418" i="1"/>
  <c r="P2535" i="1"/>
  <c r="Q2535" i="1"/>
  <c r="P2588" i="1"/>
  <c r="Q2588" i="1"/>
  <c r="Q2661" i="1"/>
  <c r="P2661" i="1"/>
  <c r="Q2864" i="1"/>
  <c r="P2864" i="1"/>
  <c r="Q2879" i="1"/>
  <c r="P2879" i="1"/>
  <c r="Q2897" i="1"/>
  <c r="P2897" i="1"/>
  <c r="Q2986" i="1"/>
  <c r="P2986" i="1"/>
  <c r="Q3033" i="1"/>
  <c r="P3033" i="1"/>
  <c r="Q3059" i="1"/>
  <c r="P3059" i="1"/>
  <c r="Q3219" i="1"/>
  <c r="P3219" i="1"/>
  <c r="Q3367" i="1"/>
  <c r="P3367" i="1"/>
  <c r="Q3388" i="1"/>
  <c r="P3388" i="1"/>
  <c r="Q3809" i="1"/>
  <c r="P3809" i="1"/>
  <c r="P3986" i="1"/>
  <c r="Q3986" i="1"/>
  <c r="Q4028" i="1"/>
  <c r="P4028" i="1"/>
  <c r="P4285" i="1"/>
  <c r="Q4285" i="1"/>
  <c r="P4362" i="1"/>
  <c r="Q4362" i="1"/>
  <c r="P4458" i="1"/>
  <c r="Q4458" i="1"/>
  <c r="Q4504" i="1"/>
  <c r="P4504" i="1"/>
  <c r="Q4546" i="1"/>
  <c r="P4546" i="1"/>
  <c r="P1401" i="1"/>
  <c r="Q1401" i="1"/>
  <c r="Q1532" i="1"/>
  <c r="P1532" i="1"/>
  <c r="Q1580" i="1"/>
  <c r="P1580" i="1"/>
  <c r="P1810" i="1"/>
  <c r="Q1810" i="1"/>
  <c r="Q2109" i="1"/>
  <c r="P2109" i="1"/>
  <c r="Q2154" i="1"/>
  <c r="P2154" i="1"/>
  <c r="Q2164" i="1"/>
  <c r="P2164" i="1"/>
  <c r="Q2186" i="1"/>
  <c r="P2186" i="1"/>
  <c r="Q2192" i="1"/>
  <c r="P2192" i="1"/>
  <c r="Q2277" i="1"/>
  <c r="P2277" i="1"/>
  <c r="Q2354" i="1"/>
  <c r="P2354" i="1"/>
  <c r="P2428" i="1"/>
  <c r="Q2428" i="1"/>
  <c r="Q2527" i="1"/>
  <c r="P2527" i="1"/>
  <c r="Q2594" i="1"/>
  <c r="P2594" i="1"/>
  <c r="Q2627" i="1"/>
  <c r="P2627" i="1"/>
  <c r="P2647" i="1"/>
  <c r="Q2647" i="1"/>
  <c r="Q2693" i="1"/>
  <c r="P2693" i="1"/>
  <c r="Q2778" i="1"/>
  <c r="P2778" i="1"/>
  <c r="Q2801" i="1"/>
  <c r="P2801" i="1"/>
  <c r="Q2880" i="1"/>
  <c r="P2880" i="1"/>
  <c r="Q2922" i="1"/>
  <c r="P2922" i="1"/>
  <c r="Q3005" i="1"/>
  <c r="P3005" i="1"/>
  <c r="Q3010" i="1"/>
  <c r="P3010" i="1"/>
  <c r="Q3055" i="1"/>
  <c r="P3055" i="1"/>
  <c r="Q3119" i="1"/>
  <c r="P3119" i="1"/>
  <c r="Q3129" i="1"/>
  <c r="P3129" i="1"/>
  <c r="Q3303" i="1"/>
  <c r="P3303" i="1"/>
  <c r="Q3399" i="1"/>
  <c r="P3399" i="1"/>
  <c r="Q3598" i="1"/>
  <c r="P3598" i="1"/>
  <c r="P3682" i="1"/>
  <c r="Q3682" i="1"/>
  <c r="P3716" i="1"/>
  <c r="Q3716" i="1"/>
  <c r="Q3746" i="1"/>
  <c r="P3746" i="1"/>
  <c r="Q3756" i="1"/>
  <c r="P3756" i="1"/>
  <c r="Q3849" i="1"/>
  <c r="P3849" i="1"/>
  <c r="P3970" i="1"/>
  <c r="Q3970" i="1"/>
  <c r="Q4013" i="1"/>
  <c r="P4013" i="1"/>
  <c r="Q4029" i="1"/>
  <c r="P4029" i="1"/>
  <c r="Q4055" i="1"/>
  <c r="P4055" i="1"/>
  <c r="Q4453" i="1"/>
  <c r="P4453" i="1"/>
  <c r="Q4493" i="1"/>
  <c r="P4493" i="1"/>
  <c r="P4517" i="1"/>
  <c r="Q4517" i="1"/>
  <c r="Q4528" i="1"/>
  <c r="P4528" i="1"/>
  <c r="Q4571" i="1"/>
  <c r="P4571" i="1"/>
  <c r="P931" i="1"/>
  <c r="P1433" i="1"/>
  <c r="Q1433" i="1"/>
  <c r="Q1564" i="1"/>
  <c r="P1564" i="1"/>
  <c r="Q1612" i="1"/>
  <c r="P1612" i="1"/>
  <c r="P1842" i="1"/>
  <c r="Q1842" i="1"/>
  <c r="Q2066" i="1"/>
  <c r="P2066" i="1"/>
  <c r="Q2219" i="1"/>
  <c r="P2219" i="1"/>
  <c r="Q2242" i="1"/>
  <c r="P2242" i="1"/>
  <c r="P2268" i="1"/>
  <c r="Q2268" i="1"/>
  <c r="Q2415" i="1"/>
  <c r="P2415" i="1"/>
  <c r="Q2500" i="1"/>
  <c r="P2500" i="1"/>
  <c r="Q2514" i="1"/>
  <c r="P2514" i="1"/>
  <c r="Q2523" i="1"/>
  <c r="P2523" i="1"/>
  <c r="Q2749" i="1"/>
  <c r="P2749" i="1"/>
  <c r="P2773" i="1"/>
  <c r="Q2842" i="1"/>
  <c r="P2842" i="1"/>
  <c r="Q2861" i="1"/>
  <c r="P2861" i="1"/>
  <c r="Q2866" i="1"/>
  <c r="P2866" i="1"/>
  <c r="Q3000" i="1"/>
  <c r="P3000" i="1"/>
  <c r="Q3215" i="1"/>
  <c r="P3215" i="1"/>
  <c r="Q3230" i="1"/>
  <c r="P3230" i="1"/>
  <c r="Q3274" i="1"/>
  <c r="P3274" i="1"/>
  <c r="Q3470" i="1"/>
  <c r="P3470" i="1"/>
  <c r="P3668" i="1"/>
  <c r="Q3774" i="1"/>
  <c r="P3774" i="1"/>
  <c r="P3964" i="1"/>
  <c r="Q3964" i="1"/>
  <c r="Q4268" i="1"/>
  <c r="P4268" i="1"/>
  <c r="Q4335" i="1"/>
  <c r="P4335" i="1"/>
  <c r="Q1068" i="1"/>
  <c r="P1068" i="1"/>
  <c r="Q1385" i="1"/>
  <c r="P1409" i="1"/>
  <c r="P1429" i="1"/>
  <c r="Q1437" i="1"/>
  <c r="P1465" i="1"/>
  <c r="Q1465" i="1"/>
  <c r="P1540" i="1"/>
  <c r="P1544" i="1"/>
  <c r="P1584" i="1"/>
  <c r="Q1596" i="1"/>
  <c r="P1596" i="1"/>
  <c r="Q1644" i="1"/>
  <c r="P1644" i="1"/>
  <c r="P1671" i="1"/>
  <c r="P1707" i="1"/>
  <c r="P1798" i="1"/>
  <c r="Q1834" i="1"/>
  <c r="P1834" i="1"/>
  <c r="P1874" i="1"/>
  <c r="Q1874" i="1"/>
  <c r="P1891" i="1"/>
  <c r="Q1963" i="1"/>
  <c r="P2009" i="1"/>
  <c r="P2080" i="1"/>
  <c r="Q2141" i="1"/>
  <c r="P2141" i="1"/>
  <c r="P2150" i="1"/>
  <c r="Q2160" i="1"/>
  <c r="P2160" i="1"/>
  <c r="Q2178" i="1"/>
  <c r="P2178" i="1"/>
  <c r="P2182" i="1"/>
  <c r="Q2187" i="1"/>
  <c r="P2187" i="1"/>
  <c r="Q2197" i="1"/>
  <c r="P2197" i="1"/>
  <c r="P2228" i="1"/>
  <c r="Q2273" i="1"/>
  <c r="P2273" i="1"/>
  <c r="Q2336" i="1"/>
  <c r="P2336" i="1"/>
  <c r="Q2387" i="1"/>
  <c r="P2387" i="1"/>
  <c r="Q2447" i="1"/>
  <c r="P2447" i="1"/>
  <c r="Q2469" i="1"/>
  <c r="P2469" i="1"/>
  <c r="P2550" i="1"/>
  <c r="P2576" i="1"/>
  <c r="P2607" i="1"/>
  <c r="P2694" i="1"/>
  <c r="Q2694" i="1"/>
  <c r="Q2700" i="1"/>
  <c r="P2700" i="1"/>
  <c r="P2713" i="1"/>
  <c r="Q2726" i="1"/>
  <c r="P2792" i="1"/>
  <c r="Q2797" i="1"/>
  <c r="P2797" i="1"/>
  <c r="Q2816" i="1"/>
  <c r="P2816" i="1"/>
  <c r="Q2875" i="1"/>
  <c r="P2875" i="1"/>
  <c r="Q2967" i="1"/>
  <c r="Q2978" i="1"/>
  <c r="P2978" i="1"/>
  <c r="P3074" i="1"/>
  <c r="Q3078" i="1"/>
  <c r="P3078" i="1"/>
  <c r="P3087" i="1"/>
  <c r="Q3101" i="1"/>
  <c r="P3101" i="1"/>
  <c r="Q3149" i="1"/>
  <c r="P3149" i="1"/>
  <c r="Q3153" i="1"/>
  <c r="P3153" i="1"/>
  <c r="Q3176" i="1"/>
  <c r="P3176" i="1"/>
  <c r="P3201" i="1"/>
  <c r="Q3210" i="1"/>
  <c r="P3210" i="1"/>
  <c r="Q3236" i="1"/>
  <c r="P3236" i="1"/>
  <c r="Q3246" i="1"/>
  <c r="P3246" i="1"/>
  <c r="Q3255" i="1"/>
  <c r="P3255" i="1"/>
  <c r="Q3347" i="1"/>
  <c r="P3379" i="1"/>
  <c r="Q3379" i="1"/>
  <c r="P3384" i="1"/>
  <c r="P3508" i="1"/>
  <c r="Q3508" i="1"/>
  <c r="P3513" i="1"/>
  <c r="Q3633" i="1"/>
  <c r="P3633" i="1"/>
  <c r="Q3683" i="1"/>
  <c r="P3683" i="1"/>
  <c r="Q3752" i="1"/>
  <c r="P3752" i="1"/>
  <c r="Q3762" i="1"/>
  <c r="P3762" i="1"/>
  <c r="Q3855" i="1"/>
  <c r="P3855" i="1"/>
  <c r="P3907" i="1"/>
  <c r="P3953" i="1"/>
  <c r="Q3953" i="1"/>
  <c r="Q4385" i="1"/>
  <c r="P4385" i="1"/>
  <c r="Q4460" i="1"/>
  <c r="P4460" i="1"/>
  <c r="Q4488" i="1"/>
  <c r="P4488" i="1"/>
  <c r="P867" i="1"/>
  <c r="P899" i="1"/>
  <c r="Q960" i="1"/>
  <c r="P1014" i="1"/>
  <c r="P1185" i="1"/>
  <c r="P1189" i="1"/>
  <c r="Q1193" i="1"/>
  <c r="Q1273" i="1"/>
  <c r="P1289" i="1"/>
  <c r="Q1289" i="1"/>
  <c r="Q1321" i="1"/>
  <c r="P1330" i="1"/>
  <c r="P1394" i="1"/>
  <c r="Q1394" i="1"/>
  <c r="Q1417" i="1"/>
  <c r="P1461" i="1"/>
  <c r="Q1469" i="1"/>
  <c r="P1497" i="1"/>
  <c r="Q1497" i="1"/>
  <c r="Q1628" i="1"/>
  <c r="P1628" i="1"/>
  <c r="Q1676" i="1"/>
  <c r="P1676" i="1"/>
  <c r="P1703" i="1"/>
  <c r="Q1909" i="1"/>
  <c r="P1909" i="1"/>
  <c r="Q1928" i="1"/>
  <c r="P1928" i="1"/>
  <c r="Q1960" i="1"/>
  <c r="P1960" i="1"/>
  <c r="Q2031" i="1"/>
  <c r="P2031" i="1"/>
  <c r="Q2035" i="1"/>
  <c r="Q2057" i="1"/>
  <c r="P2075" i="1"/>
  <c r="Q2207" i="1"/>
  <c r="P2207" i="1"/>
  <c r="Q2304" i="1"/>
  <c r="Q2314" i="1"/>
  <c r="P2314" i="1"/>
  <c r="P2355" i="1"/>
  <c r="P2382" i="1"/>
  <c r="Q2590" i="1"/>
  <c r="P2590" i="1"/>
  <c r="Q2648" i="1"/>
  <c r="P2648" i="1"/>
  <c r="Q2758" i="1"/>
  <c r="Q2773" i="1"/>
  <c r="P2784" i="1"/>
  <c r="Q2811" i="1"/>
  <c r="P2811" i="1"/>
  <c r="Q2899" i="1"/>
  <c r="P2899" i="1"/>
  <c r="Q2968" i="1"/>
  <c r="P2968" i="1"/>
  <c r="Q2992" i="1"/>
  <c r="P2992" i="1"/>
  <c r="Q3001" i="1"/>
  <c r="P3001" i="1"/>
  <c r="Q3051" i="1"/>
  <c r="P3051" i="1"/>
  <c r="P3070" i="1"/>
  <c r="Q3095" i="1"/>
  <c r="Q3162" i="1"/>
  <c r="P3162" i="1"/>
  <c r="Q3280" i="1"/>
  <c r="P3280" i="1"/>
  <c r="Q3314" i="1"/>
  <c r="P3314" i="1"/>
  <c r="P3342" i="1"/>
  <c r="Q3433" i="1"/>
  <c r="P3433" i="1"/>
  <c r="P3476" i="1"/>
  <c r="Q3476" i="1"/>
  <c r="Q3487" i="1"/>
  <c r="P3487" i="1"/>
  <c r="Q3668" i="1"/>
  <c r="Q3699" i="1"/>
  <c r="P3699" i="1"/>
  <c r="P3738" i="1"/>
  <c r="Q3738" i="1"/>
  <c r="Q3785" i="1"/>
  <c r="P3785" i="1"/>
  <c r="P3869" i="1"/>
  <c r="Q3881" i="1"/>
  <c r="P3881" i="1"/>
  <c r="P3887" i="1"/>
  <c r="Q3887" i="1"/>
  <c r="Q3913" i="1"/>
  <c r="P3948" i="1"/>
  <c r="Q3948" i="1"/>
  <c r="P4342" i="1"/>
  <c r="Q4342" i="1"/>
  <c r="Q4347" i="1"/>
  <c r="P4347" i="1"/>
  <c r="Q4406" i="1"/>
  <c r="P1932" i="1"/>
  <c r="Q1932" i="1"/>
  <c r="Q2101" i="1"/>
  <c r="P2101" i="1"/>
  <c r="P2140" i="1"/>
  <c r="Q2140" i="1"/>
  <c r="Q2218" i="1"/>
  <c r="P2218" i="1"/>
  <c r="Q2578" i="1"/>
  <c r="P2578" i="1"/>
  <c r="P2657" i="1"/>
  <c r="Q2736" i="1"/>
  <c r="P2736" i="1"/>
  <c r="P2840" i="1"/>
  <c r="Q2840" i="1"/>
  <c r="Q2845" i="1"/>
  <c r="P2845" i="1"/>
  <c r="Q3023" i="1"/>
  <c r="P3023" i="1"/>
  <c r="Q3032" i="1"/>
  <c r="P3032" i="1"/>
  <c r="Q3050" i="1"/>
  <c r="P3050" i="1"/>
  <c r="Q3110" i="1"/>
  <c r="P3110" i="1"/>
  <c r="Q3217" i="1"/>
  <c r="P3217" i="1"/>
  <c r="Q3241" i="1"/>
  <c r="P3241" i="1"/>
  <c r="P3259" i="1"/>
  <c r="Q3287" i="1"/>
  <c r="P3287" i="1"/>
  <c r="Q3473" i="1"/>
  <c r="P3473" i="1"/>
  <c r="Q3670" i="1"/>
  <c r="P3670" i="1"/>
  <c r="Q3743" i="1"/>
  <c r="P3743" i="1"/>
  <c r="P3748" i="1"/>
  <c r="Q3748" i="1"/>
  <c r="P4060" i="1"/>
  <c r="Q4060" i="1"/>
  <c r="Q4118" i="1"/>
  <c r="P4118" i="1"/>
  <c r="P4281" i="1"/>
  <c r="Q4364" i="1"/>
  <c r="P4364" i="1"/>
  <c r="Q4374" i="1"/>
  <c r="P4374" i="1"/>
  <c r="P4411" i="1"/>
  <c r="Q4411" i="1"/>
  <c r="Q4443" i="1"/>
  <c r="P4443" i="1"/>
  <c r="Q4920" i="1"/>
  <c r="P4920" i="1"/>
  <c r="Q5284" i="1"/>
  <c r="P5284" i="1"/>
  <c r="Q1228" i="1"/>
  <c r="P1228" i="1"/>
  <c r="P1940" i="1"/>
  <c r="P2003" i="1"/>
  <c r="P2070" i="1"/>
  <c r="P2148" i="1"/>
  <c r="Q2183" i="1"/>
  <c r="Q2258" i="1"/>
  <c r="P2258" i="1"/>
  <c r="Q2293" i="1"/>
  <c r="P2293" i="1"/>
  <c r="Q2316" i="1"/>
  <c r="P2332" i="1"/>
  <c r="Q2332" i="1"/>
  <c r="P2406" i="1"/>
  <c r="Q2410" i="1"/>
  <c r="P2410" i="1"/>
  <c r="P2414" i="1"/>
  <c r="P2422" i="1"/>
  <c r="P2496" i="1"/>
  <c r="P2531" i="1"/>
  <c r="P2547" i="1"/>
  <c r="Q2653" i="1"/>
  <c r="P2653" i="1"/>
  <c r="Q2657" i="1"/>
  <c r="Q2666" i="1"/>
  <c r="P2666" i="1"/>
  <c r="Q2681" i="1"/>
  <c r="Q2737" i="1"/>
  <c r="P2737" i="1"/>
  <c r="Q2783" i="1"/>
  <c r="P2783" i="1"/>
  <c r="P2803" i="1"/>
  <c r="Q2829" i="1"/>
  <c r="P2829" i="1"/>
  <c r="P2853" i="1"/>
  <c r="Q2858" i="1"/>
  <c r="P2858" i="1"/>
  <c r="P2878" i="1"/>
  <c r="Q2936" i="1"/>
  <c r="P2945" i="1"/>
  <c r="Q2949" i="1"/>
  <c r="P2949" i="1"/>
  <c r="Q3014" i="1"/>
  <c r="P3014" i="1"/>
  <c r="P3102" i="1"/>
  <c r="P3132" i="1"/>
  <c r="P3145" i="1"/>
  <c r="Q3185" i="1"/>
  <c r="P3185" i="1"/>
  <c r="Q3259" i="1"/>
  <c r="Q3269" i="1"/>
  <c r="P3269" i="1"/>
  <c r="Q3360" i="1"/>
  <c r="P3360" i="1"/>
  <c r="P3374" i="1"/>
  <c r="Q3422" i="1"/>
  <c r="P3422" i="1"/>
  <c r="Q3431" i="1"/>
  <c r="P3431" i="1"/>
  <c r="P3557" i="1"/>
  <c r="Q3580" i="1"/>
  <c r="P3580" i="1"/>
  <c r="P3654" i="1"/>
  <c r="Q3666" i="1"/>
  <c r="P3666" i="1"/>
  <c r="Q3770" i="1"/>
  <c r="P3770" i="1"/>
  <c r="Q3799" i="1"/>
  <c r="P3799" i="1"/>
  <c r="P3804" i="1"/>
  <c r="Q3804" i="1"/>
  <c r="Q3810" i="1"/>
  <c r="P3810" i="1"/>
  <c r="Q3853" i="1"/>
  <c r="P3853" i="1"/>
  <c r="Q3988" i="1"/>
  <c r="P3988" i="1"/>
  <c r="P3993" i="1"/>
  <c r="Q3993" i="1"/>
  <c r="Q4035" i="1"/>
  <c r="P4035" i="1"/>
  <c r="Q4337" i="1"/>
  <c r="P4337" i="1"/>
  <c r="Q4565" i="1"/>
  <c r="P4565" i="1"/>
  <c r="Q4892" i="1"/>
  <c r="P4892" i="1"/>
  <c r="P5285" i="1"/>
  <c r="Q5285" i="1"/>
  <c r="Q1340" i="1"/>
  <c r="P1340" i="1"/>
  <c r="Q2098" i="1"/>
  <c r="P2098" i="1"/>
  <c r="Q2133" i="1"/>
  <c r="P2133" i="1"/>
  <c r="P2172" i="1"/>
  <c r="Q2172" i="1"/>
  <c r="Q2250" i="1"/>
  <c r="P2250" i="1"/>
  <c r="Q2733" i="1"/>
  <c r="P2733" i="1"/>
  <c r="Q2993" i="1"/>
  <c r="P2993" i="1"/>
  <c r="P3227" i="1"/>
  <c r="Q3227" i="1"/>
  <c r="Q3278" i="1"/>
  <c r="P3278" i="1"/>
  <c r="P3325" i="1"/>
  <c r="Q3325" i="1"/>
  <c r="Q3350" i="1"/>
  <c r="P3350" i="1"/>
  <c r="Q3400" i="1"/>
  <c r="P3400" i="1"/>
  <c r="Q3518" i="1"/>
  <c r="P3518" i="1"/>
  <c r="Q3539" i="1"/>
  <c r="P3539" i="1"/>
  <c r="P3548" i="1"/>
  <c r="Q3548" i="1"/>
  <c r="Q3661" i="1"/>
  <c r="P3661" i="1"/>
  <c r="Q3697" i="1"/>
  <c r="P3697" i="1"/>
  <c r="Q3790" i="1"/>
  <c r="P3790" i="1"/>
  <c r="Q3830" i="1"/>
  <c r="P3830" i="1"/>
  <c r="P3867" i="1"/>
  <c r="Q3867" i="1"/>
  <c r="Q3999" i="1"/>
  <c r="P3999" i="1"/>
  <c r="Q4165" i="1"/>
  <c r="P4165" i="1"/>
  <c r="Q4208" i="1"/>
  <c r="P4208" i="1"/>
  <c r="P4218" i="1"/>
  <c r="Q4218" i="1"/>
  <c r="Q4266" i="1"/>
  <c r="P4266" i="1"/>
  <c r="Q4282" i="1"/>
  <c r="P4282" i="1"/>
  <c r="Q4314" i="1"/>
  <c r="P4314" i="1"/>
  <c r="Q4434" i="1"/>
  <c r="P4434" i="1"/>
  <c r="P4783" i="1"/>
  <c r="Q4783" i="1"/>
  <c r="Q4788" i="1"/>
  <c r="P4788" i="1"/>
  <c r="Q4860" i="1"/>
  <c r="P4860" i="1"/>
  <c r="Q4870" i="1"/>
  <c r="P4870" i="1"/>
  <c r="Q4876" i="1"/>
  <c r="P4876" i="1"/>
  <c r="Q5170" i="1"/>
  <c r="P5170" i="1"/>
  <c r="Q5182" i="1"/>
  <c r="P5182" i="1"/>
  <c r="Q5244" i="1"/>
  <c r="P5244" i="1"/>
  <c r="Q2434" i="1"/>
  <c r="P2434" i="1"/>
  <c r="Q2450" i="1"/>
  <c r="P2450" i="1"/>
  <c r="Q2485" i="1"/>
  <c r="P2485" i="1"/>
  <c r="P2524" i="1"/>
  <c r="Q2524" i="1"/>
  <c r="Q2559" i="1"/>
  <c r="P2559" i="1"/>
  <c r="Q2575" i="1"/>
  <c r="P2575" i="1"/>
  <c r="Q2602" i="1"/>
  <c r="P2602" i="1"/>
  <c r="Q2640" i="1"/>
  <c r="P2640" i="1"/>
  <c r="Q2682" i="1"/>
  <c r="P2682" i="1"/>
  <c r="Q2825" i="1"/>
  <c r="P2825" i="1"/>
  <c r="Q2874" i="1"/>
  <c r="P2874" i="1"/>
  <c r="Q2895" i="1"/>
  <c r="P2895" i="1"/>
  <c r="Q2925" i="1"/>
  <c r="P2925" i="1"/>
  <c r="Q2929" i="1"/>
  <c r="P2929" i="1"/>
  <c r="Q3006" i="1"/>
  <c r="P3006" i="1"/>
  <c r="P3015" i="1"/>
  <c r="Q3015" i="1"/>
  <c r="Q3103" i="1"/>
  <c r="P3103" i="1"/>
  <c r="P3141" i="1"/>
  <c r="Q3141" i="1"/>
  <c r="Q3260" i="1"/>
  <c r="P3260" i="1"/>
  <c r="Q3283" i="1"/>
  <c r="P3283" i="1"/>
  <c r="Q3312" i="1"/>
  <c r="P3312" i="1"/>
  <c r="Q3330" i="1"/>
  <c r="P3330" i="1"/>
  <c r="Q3361" i="1"/>
  <c r="P3361" i="1"/>
  <c r="Q3375" i="1"/>
  <c r="P3375" i="1"/>
  <c r="P3380" i="1"/>
  <c r="Q3380" i="1"/>
  <c r="Q3395" i="1"/>
  <c r="P3395" i="1"/>
  <c r="Q3615" i="1"/>
  <c r="P3615" i="1"/>
  <c r="P3638" i="1"/>
  <c r="Q3638" i="1"/>
  <c r="Q3681" i="1"/>
  <c r="P3681" i="1"/>
  <c r="Q3687" i="1"/>
  <c r="P3687" i="1"/>
  <c r="P3724" i="1"/>
  <c r="Q3759" i="1"/>
  <c r="P3759" i="1"/>
  <c r="P3800" i="1"/>
  <c r="Q3800" i="1"/>
  <c r="Q3805" i="1"/>
  <c r="P3805" i="1"/>
  <c r="Q3854" i="1"/>
  <c r="P3854" i="1"/>
  <c r="P3889" i="1"/>
  <c r="P3894" i="1"/>
  <c r="Q3894" i="1"/>
  <c r="P3910" i="1"/>
  <c r="Q3910" i="1"/>
  <c r="Q3967" i="1"/>
  <c r="P3967" i="1"/>
  <c r="Q4041" i="1"/>
  <c r="Q4260" i="1"/>
  <c r="Q4309" i="1"/>
  <c r="P4309" i="1"/>
  <c r="Q4376" i="1"/>
  <c r="P4376" i="1"/>
  <c r="P4455" i="1"/>
  <c r="Q4455" i="1"/>
  <c r="Q4478" i="1"/>
  <c r="P4478" i="1"/>
  <c r="Q4506" i="1"/>
  <c r="P4506" i="1"/>
  <c r="Q4560" i="1"/>
  <c r="P4560" i="1"/>
  <c r="P4849" i="1"/>
  <c r="Q4849" i="1"/>
  <c r="P4866" i="1"/>
  <c r="Q4866" i="1"/>
  <c r="P4887" i="1"/>
  <c r="Q5094" i="1"/>
  <c r="P5094" i="1"/>
  <c r="Q5230" i="1"/>
  <c r="P5230" i="1"/>
  <c r="P1167" i="1"/>
  <c r="P1221" i="1"/>
  <c r="Q1257" i="1"/>
  <c r="P1304" i="1"/>
  <c r="Q1308" i="1"/>
  <c r="P1308" i="1"/>
  <c r="P1315" i="1"/>
  <c r="P1322" i="1"/>
  <c r="P1351" i="1"/>
  <c r="Q1921" i="1"/>
  <c r="P1921" i="1"/>
  <c r="P1996" i="1"/>
  <c r="Q1996" i="1"/>
  <c r="Q2011" i="1"/>
  <c r="Q2047" i="1"/>
  <c r="P2047" i="1"/>
  <c r="Q2058" i="1"/>
  <c r="Q2290" i="1"/>
  <c r="P2290" i="1"/>
  <c r="Q2325" i="1"/>
  <c r="P2325" i="1"/>
  <c r="Q2348" i="1"/>
  <c r="P2364" i="1"/>
  <c r="Q2364" i="1"/>
  <c r="Q2442" i="1"/>
  <c r="P2442" i="1"/>
  <c r="P2563" i="1"/>
  <c r="Q2649" i="1"/>
  <c r="P2649" i="1"/>
  <c r="P2712" i="1"/>
  <c r="Q2712" i="1"/>
  <c r="Q2717" i="1"/>
  <c r="P2717" i="1"/>
  <c r="P2933" i="1"/>
  <c r="P2971" i="1"/>
  <c r="Q3046" i="1"/>
  <c r="P3046" i="1"/>
  <c r="Q3082" i="1"/>
  <c r="P3082" i="1"/>
  <c r="Q3127" i="1"/>
  <c r="P3163" i="1"/>
  <c r="P3218" i="1"/>
  <c r="Q3326" i="1"/>
  <c r="P3326" i="1"/>
  <c r="Q3427" i="1"/>
  <c r="P3427" i="1"/>
  <c r="P3505" i="1"/>
  <c r="Q3591" i="1"/>
  <c r="P3591" i="1"/>
  <c r="Q3644" i="1"/>
  <c r="P3644" i="1"/>
  <c r="P3655" i="1"/>
  <c r="P3711" i="1"/>
  <c r="Q3711" i="1"/>
  <c r="Q3786" i="1"/>
  <c r="P3786" i="1"/>
  <c r="Q3791" i="1"/>
  <c r="P3791" i="1"/>
  <c r="P3821" i="1"/>
  <c r="Q3821" i="1"/>
  <c r="P3873" i="1"/>
  <c r="Q3878" i="1"/>
  <c r="P3878" i="1"/>
  <c r="P3978" i="1"/>
  <c r="Q3978" i="1"/>
  <c r="Q4182" i="1"/>
  <c r="P4182" i="1"/>
  <c r="P4193" i="1"/>
  <c r="Q4193" i="1"/>
  <c r="Q4202" i="1"/>
  <c r="Q4344" i="1"/>
  <c r="P4344" i="1"/>
  <c r="Q4435" i="1"/>
  <c r="P4435" i="1"/>
  <c r="Q4554" i="1"/>
  <c r="P4554" i="1"/>
  <c r="P4613" i="1"/>
  <c r="Q4613" i="1"/>
  <c r="Q4635" i="1"/>
  <c r="P4635" i="1"/>
  <c r="Q4662" i="1"/>
  <c r="P4662" i="1"/>
  <c r="Q4674" i="1"/>
  <c r="P4674" i="1"/>
  <c r="P4710" i="1"/>
  <c r="Q4710" i="1"/>
  <c r="Q5137" i="1"/>
  <c r="P5137" i="1"/>
  <c r="Q1164" i="1"/>
  <c r="P1164" i="1"/>
  <c r="P1218" i="1"/>
  <c r="Q2114" i="1"/>
  <c r="P2114" i="1"/>
  <c r="Q2130" i="1"/>
  <c r="P2130" i="1"/>
  <c r="Q2165" i="1"/>
  <c r="P2165" i="1"/>
  <c r="Q2188" i="1"/>
  <c r="P2204" i="1"/>
  <c r="Q2204" i="1"/>
  <c r="Q2239" i="1"/>
  <c r="P2239" i="1"/>
  <c r="Q2255" i="1"/>
  <c r="P2255" i="1"/>
  <c r="Q2282" i="1"/>
  <c r="P2282" i="1"/>
  <c r="P2309" i="1"/>
  <c r="P2317" i="1"/>
  <c r="P2321" i="1"/>
  <c r="Q2360" i="1"/>
  <c r="P2403" i="1"/>
  <c r="P2552" i="1"/>
  <c r="P2555" i="1"/>
  <c r="Q2567" i="1"/>
  <c r="P2704" i="1"/>
  <c r="P2729" i="1"/>
  <c r="Q2762" i="1"/>
  <c r="P2762" i="1"/>
  <c r="Q2771" i="1"/>
  <c r="P2771" i="1"/>
  <c r="P2779" i="1"/>
  <c r="Q2854" i="1"/>
  <c r="Q2891" i="1"/>
  <c r="Q2904" i="1"/>
  <c r="Q2937" i="1"/>
  <c r="Q2950" i="1"/>
  <c r="P2976" i="1"/>
  <c r="P2994" i="1"/>
  <c r="Q3007" i="1"/>
  <c r="P3007" i="1"/>
  <c r="Q3025" i="1"/>
  <c r="P3025" i="1"/>
  <c r="P3038" i="1"/>
  <c r="P3077" i="1"/>
  <c r="P3116" i="1"/>
  <c r="Q3128" i="1"/>
  <c r="P3128" i="1"/>
  <c r="Q3190" i="1"/>
  <c r="P3190" i="1"/>
  <c r="P3222" i="1"/>
  <c r="Q3265" i="1"/>
  <c r="P3265" i="1"/>
  <c r="Q3279" i="1"/>
  <c r="P3279" i="1"/>
  <c r="Q3308" i="1"/>
  <c r="P3308" i="1"/>
  <c r="P3317" i="1"/>
  <c r="Q3391" i="1"/>
  <c r="P3391" i="1"/>
  <c r="Q3449" i="1"/>
  <c r="P3449" i="1"/>
  <c r="Q3514" i="1"/>
  <c r="Q3519" i="1"/>
  <c r="P3519" i="1"/>
  <c r="Q3600" i="1"/>
  <c r="Q3656" i="1"/>
  <c r="P3656" i="1"/>
  <c r="Q3720" i="1"/>
  <c r="P3720" i="1"/>
  <c r="P3836" i="1"/>
  <c r="Q3890" i="1"/>
  <c r="P3890" i="1"/>
  <c r="Q3945" i="1"/>
  <c r="P3945" i="1"/>
  <c r="Q3961" i="1"/>
  <c r="P3961" i="1"/>
  <c r="P3983" i="1"/>
  <c r="Q4235" i="1"/>
  <c r="P4235" i="1"/>
  <c r="P4250" i="1"/>
  <c r="Q4250" i="1"/>
  <c r="Q4300" i="1"/>
  <c r="P4300" i="1"/>
  <c r="Q4332" i="1"/>
  <c r="P4332" i="1"/>
  <c r="P4445" i="1"/>
  <c r="Q4484" i="1"/>
  <c r="P4484" i="1"/>
  <c r="P4630" i="1"/>
  <c r="Q4630" i="1"/>
  <c r="P4844" i="1"/>
  <c r="Q4844" i="1"/>
  <c r="Q4959" i="1"/>
  <c r="P4959" i="1"/>
  <c r="Q5106" i="1"/>
  <c r="P5106" i="1"/>
  <c r="Q3178" i="1"/>
  <c r="P3178" i="1"/>
  <c r="Q3206" i="1"/>
  <c r="P3206" i="1"/>
  <c r="Q3261" i="1"/>
  <c r="P3261" i="1"/>
  <c r="P3291" i="1"/>
  <c r="Q3291" i="1"/>
  <c r="P3348" i="1"/>
  <c r="Q3348" i="1"/>
  <c r="Q3376" i="1"/>
  <c r="P3376" i="1"/>
  <c r="Q3416" i="1"/>
  <c r="P3416" i="1"/>
  <c r="Q3534" i="1"/>
  <c r="P3534" i="1"/>
  <c r="Q3626" i="1"/>
  <c r="P3626" i="1"/>
  <c r="Q3694" i="1"/>
  <c r="P3694" i="1"/>
  <c r="Q3703" i="1"/>
  <c r="P3703" i="1"/>
  <c r="Q3742" i="1"/>
  <c r="P3742" i="1"/>
  <c r="Q3747" i="1"/>
  <c r="P3747" i="1"/>
  <c r="P3772" i="1"/>
  <c r="P3842" i="1"/>
  <c r="P3958" i="1"/>
  <c r="Q3958" i="1"/>
  <c r="Q3980" i="1"/>
  <c r="P3980" i="1"/>
  <c r="P4010" i="1"/>
  <c r="Q4010" i="1"/>
  <c r="Q4046" i="1"/>
  <c r="P4046" i="1"/>
  <c r="Q4245" i="1"/>
  <c r="P4245" i="1"/>
  <c r="P4256" i="1"/>
  <c r="Q4256" i="1"/>
  <c r="Q4262" i="1"/>
  <c r="P4262" i="1"/>
  <c r="Q4513" i="1"/>
  <c r="P4513" i="1"/>
  <c r="Q4570" i="1"/>
  <c r="P4570" i="1"/>
  <c r="P4585" i="1"/>
  <c r="Q4585" i="1"/>
  <c r="P4660" i="1"/>
  <c r="Q4660" i="1"/>
  <c r="Q4724" i="1"/>
  <c r="P4724" i="1"/>
  <c r="P4729" i="1"/>
  <c r="Q4729" i="1"/>
  <c r="Q5158" i="1"/>
  <c r="P5158" i="1"/>
  <c r="Q2705" i="1"/>
  <c r="P2705" i="1"/>
  <c r="Q2833" i="1"/>
  <c r="P2833" i="1"/>
  <c r="Q3096" i="1"/>
  <c r="P3096" i="1"/>
  <c r="Q3146" i="1"/>
  <c r="P3146" i="1"/>
  <c r="Q3174" i="1"/>
  <c r="P3174" i="1"/>
  <c r="P3372" i="1"/>
  <c r="Q3372" i="1"/>
  <c r="P3498" i="1"/>
  <c r="Q3498" i="1"/>
  <c r="Q3503" i="1"/>
  <c r="P3503" i="1"/>
  <c r="Q3544" i="1"/>
  <c r="P3544" i="1"/>
  <c r="Q3613" i="1"/>
  <c r="P3613" i="1"/>
  <c r="Q3646" i="1"/>
  <c r="P3646" i="1"/>
  <c r="P4026" i="1"/>
  <c r="P4164" i="1"/>
  <c r="P4222" i="1"/>
  <c r="Q4257" i="1"/>
  <c r="P4257" i="1"/>
  <c r="Q4316" i="1"/>
  <c r="P4316" i="1"/>
  <c r="Q4355" i="1"/>
  <c r="P4355" i="1"/>
  <c r="Q4463" i="1"/>
  <c r="P4463" i="1"/>
  <c r="P5286" i="1"/>
  <c r="Q5286" i="1"/>
  <c r="Q3368" i="1"/>
  <c r="P3368" i="1"/>
  <c r="Q3463" i="1"/>
  <c r="P3463" i="1"/>
  <c r="Q3468" i="1"/>
  <c r="P3468" i="1"/>
  <c r="P3540" i="1"/>
  <c r="Q3540" i="1"/>
  <c r="P3604" i="1"/>
  <c r="Q3604" i="1"/>
  <c r="Q3609" i="1"/>
  <c r="P3609" i="1"/>
  <c r="P3796" i="1"/>
  <c r="Q3796" i="1"/>
  <c r="Q3825" i="1"/>
  <c r="P3825" i="1"/>
  <c r="Q3834" i="1"/>
  <c r="P3834" i="1"/>
  <c r="Q3839" i="1"/>
  <c r="P3839" i="1"/>
  <c r="Q3954" i="1"/>
  <c r="P3954" i="1"/>
  <c r="P4002" i="1"/>
  <c r="Q4002" i="1"/>
  <c r="Q4113" i="1"/>
  <c r="P4113" i="1"/>
  <c r="Q4170" i="1"/>
  <c r="P4170" i="1"/>
  <c r="Q4212" i="1"/>
  <c r="P4212" i="1"/>
  <c r="Q4302" i="1"/>
  <c r="P4302" i="1"/>
  <c r="Q4350" i="1"/>
  <c r="P4350" i="1"/>
  <c r="P4520" i="1"/>
  <c r="Q4520" i="1"/>
  <c r="P4577" i="1"/>
  <c r="Q4577" i="1"/>
  <c r="Q4803" i="1"/>
  <c r="P4803" i="1"/>
  <c r="Q4825" i="1"/>
  <c r="P4825" i="1"/>
  <c r="Q5022" i="1"/>
  <c r="P5022" i="1"/>
  <c r="P5037" i="1"/>
  <c r="Q5037" i="1"/>
  <c r="P5101" i="1"/>
  <c r="Q5101" i="1"/>
  <c r="Q5148" i="1"/>
  <c r="P5148" i="1"/>
  <c r="Q5171" i="1"/>
  <c r="P5171" i="1"/>
  <c r="P1878" i="1"/>
  <c r="Q1964" i="1"/>
  <c r="P1993" i="1"/>
  <c r="P2022" i="1"/>
  <c r="P2606" i="1"/>
  <c r="P2721" i="1"/>
  <c r="Q2790" i="1"/>
  <c r="P2849" i="1"/>
  <c r="Q2918" i="1"/>
  <c r="Q2954" i="1"/>
  <c r="P2954" i="1"/>
  <c r="Q2982" i="1"/>
  <c r="P2982" i="1"/>
  <c r="P3035" i="1"/>
  <c r="Q3063" i="1"/>
  <c r="P3068" i="1"/>
  <c r="Q3089" i="1"/>
  <c r="P3089" i="1"/>
  <c r="P3113" i="1"/>
  <c r="P3232" i="1"/>
  <c r="P3249" i="1"/>
  <c r="P3310" i="1"/>
  <c r="Q3335" i="1"/>
  <c r="P3335" i="1"/>
  <c r="Q3340" i="1"/>
  <c r="P3340" i="1"/>
  <c r="P3387" i="1"/>
  <c r="P3417" i="1"/>
  <c r="P3429" i="1"/>
  <c r="Q3494" i="1"/>
  <c r="P3494" i="1"/>
  <c r="P3530" i="1"/>
  <c r="P3535" i="1"/>
  <c r="Q3647" i="1"/>
  <c r="P3647" i="1"/>
  <c r="Q3782" i="1"/>
  <c r="Q3806" i="1"/>
  <c r="P3806" i="1"/>
  <c r="P3820" i="1"/>
  <c r="P3871" i="1"/>
  <c r="Q3886" i="1"/>
  <c r="P3886" i="1"/>
  <c r="Q3972" i="1"/>
  <c r="P3972" i="1"/>
  <c r="Q4026" i="1"/>
  <c r="P4032" i="1"/>
  <c r="Q4032" i="1"/>
  <c r="Q4081" i="1"/>
  <c r="Q4087" i="1"/>
  <c r="P4087" i="1"/>
  <c r="Q4164" i="1"/>
  <c r="Q4176" i="1"/>
  <c r="P4176" i="1"/>
  <c r="P4207" i="1"/>
  <c r="Q4207" i="1"/>
  <c r="Q4222" i="1"/>
  <c r="P4292" i="1"/>
  <c r="P4311" i="1"/>
  <c r="Q4317" i="1"/>
  <c r="P4317" i="1"/>
  <c r="P4322" i="1"/>
  <c r="Q4322" i="1"/>
  <c r="Q4327" i="1"/>
  <c r="P4327" i="1"/>
  <c r="Q4339" i="1"/>
  <c r="P4339" i="1"/>
  <c r="Q4422" i="1"/>
  <c r="P4422" i="1"/>
  <c r="Q4444" i="1"/>
  <c r="P4444" i="1"/>
  <c r="Q4470" i="1"/>
  <c r="P4470" i="1"/>
  <c r="P4765" i="1"/>
  <c r="Q4765" i="1"/>
  <c r="Q4792" i="1"/>
  <c r="P4792" i="1"/>
  <c r="Q4896" i="1"/>
  <c r="P4896" i="1"/>
  <c r="Q4951" i="1"/>
  <c r="P4951" i="1"/>
  <c r="Q4977" i="1"/>
  <c r="P4977" i="1"/>
  <c r="P5002" i="1"/>
  <c r="Q5096" i="1"/>
  <c r="P5096" i="1"/>
  <c r="P5132" i="1"/>
  <c r="Q1954" i="1"/>
  <c r="P1954" i="1"/>
  <c r="Q2015" i="1"/>
  <c r="P2015" i="1"/>
  <c r="Q2658" i="1"/>
  <c r="P2658" i="1"/>
  <c r="Q2698" i="1"/>
  <c r="P2698" i="1"/>
  <c r="Q2810" i="1"/>
  <c r="P2810" i="1"/>
  <c r="Q2826" i="1"/>
  <c r="P2826" i="1"/>
  <c r="Q2938" i="1"/>
  <c r="P2938" i="1"/>
  <c r="Q3064" i="1"/>
  <c r="P3064" i="1"/>
  <c r="P3109" i="1"/>
  <c r="Q3114" i="1"/>
  <c r="P3114" i="1"/>
  <c r="Q3142" i="1"/>
  <c r="P3142" i="1"/>
  <c r="Q3167" i="1"/>
  <c r="P3167" i="1"/>
  <c r="P3195" i="1"/>
  <c r="Q3223" i="1"/>
  <c r="Q3245" i="1"/>
  <c r="Q3288" i="1"/>
  <c r="P3288" i="1"/>
  <c r="Q3450" i="1"/>
  <c r="P3450" i="1"/>
  <c r="Q3479" i="1"/>
  <c r="P3479" i="1"/>
  <c r="P3521" i="1"/>
  <c r="P3536" i="1"/>
  <c r="P3545" i="1"/>
  <c r="Q3545" i="1"/>
  <c r="P3585" i="1"/>
  <c r="Q3605" i="1"/>
  <c r="P3605" i="1"/>
  <c r="P3657" i="1"/>
  <c r="Q3768" i="1"/>
  <c r="Q3773" i="1"/>
  <c r="P3858" i="1"/>
  <c r="Q3901" i="1"/>
  <c r="P3901" i="1"/>
  <c r="P3911" i="1"/>
  <c r="Q3935" i="1"/>
  <c r="P3935" i="1"/>
  <c r="Q3966" i="1"/>
  <c r="P3966" i="1"/>
  <c r="P4082" i="1"/>
  <c r="Q4082" i="1"/>
  <c r="Q4351" i="1"/>
  <c r="P4351" i="1"/>
  <c r="P4399" i="1"/>
  <c r="Q4399" i="1"/>
  <c r="P4428" i="1"/>
  <c r="Q4454" i="1"/>
  <c r="P4454" i="1"/>
  <c r="Q4509" i="1"/>
  <c r="P4509" i="1"/>
  <c r="Q4545" i="1"/>
  <c r="P4545" i="1"/>
  <c r="Q4561" i="1"/>
  <c r="P4561" i="1"/>
  <c r="P4685" i="1"/>
  <c r="Q4685" i="1"/>
  <c r="Q4705" i="1"/>
  <c r="P4705" i="1"/>
  <c r="P4742" i="1"/>
  <c r="P4754" i="1"/>
  <c r="Q4754" i="1"/>
  <c r="Q4787" i="1"/>
  <c r="P4787" i="1"/>
  <c r="Q4935" i="1"/>
  <c r="P4946" i="1"/>
  <c r="Q4946" i="1"/>
  <c r="Q5013" i="1"/>
  <c r="P5013" i="1"/>
  <c r="P5128" i="1"/>
  <c r="Q5537" i="1"/>
  <c r="P5537" i="1"/>
  <c r="Q5554" i="1"/>
  <c r="P5554" i="1"/>
  <c r="Q5691" i="1"/>
  <c r="P5691" i="1"/>
  <c r="P3323" i="1"/>
  <c r="P3339" i="1"/>
  <c r="Q3339" i="1"/>
  <c r="P3403" i="1"/>
  <c r="P3435" i="1"/>
  <c r="Q3454" i="1"/>
  <c r="P3454" i="1"/>
  <c r="Q3472" i="1"/>
  <c r="P3472" i="1"/>
  <c r="Q3523" i="1"/>
  <c r="P3523" i="1"/>
  <c r="Q3630" i="1"/>
  <c r="P3630" i="1"/>
  <c r="P3725" i="1"/>
  <c r="Q3838" i="1"/>
  <c r="P3838" i="1"/>
  <c r="Q3895" i="1"/>
  <c r="P3895" i="1"/>
  <c r="Q3900" i="1"/>
  <c r="P3900" i="1"/>
  <c r="Q3931" i="1"/>
  <c r="P3931" i="1"/>
  <c r="Q3955" i="1"/>
  <c r="P3955" i="1"/>
  <c r="P3989" i="1"/>
  <c r="Q3989" i="1"/>
  <c r="Q4027" i="1"/>
  <c r="P4027" i="1"/>
  <c r="Q4173" i="1"/>
  <c r="P4173" i="1"/>
  <c r="P4359" i="1"/>
  <c r="Q4359" i="1"/>
  <c r="Q4370" i="1"/>
  <c r="P4370" i="1"/>
  <c r="Q4415" i="1"/>
  <c r="P4415" i="1"/>
  <c r="Q4590" i="1"/>
  <c r="P4590" i="1"/>
  <c r="Q4615" i="1"/>
  <c r="P4615" i="1"/>
  <c r="Q4703" i="1"/>
  <c r="P4703" i="1"/>
  <c r="Q4734" i="1"/>
  <c r="P4734" i="1"/>
  <c r="Q4808" i="1"/>
  <c r="P4808" i="1"/>
  <c r="P4839" i="1"/>
  <c r="Q4839" i="1"/>
  <c r="P4850" i="1"/>
  <c r="P4856" i="1"/>
  <c r="P4861" i="1"/>
  <c r="Q4861" i="1"/>
  <c r="Q4871" i="1"/>
  <c r="P4871" i="1"/>
  <c r="P4936" i="1"/>
  <c r="Q4936" i="1"/>
  <c r="P4941" i="1"/>
  <c r="Q4941" i="1"/>
  <c r="Q4947" i="1"/>
  <c r="P4947" i="1"/>
  <c r="Q5023" i="1"/>
  <c r="P5023" i="1"/>
  <c r="Q5086" i="1"/>
  <c r="P5086" i="1"/>
  <c r="Q5091" i="1"/>
  <c r="P5091" i="1"/>
  <c r="Q5306" i="1"/>
  <c r="P5306" i="1"/>
  <c r="Q5483" i="1"/>
  <c r="P5483" i="1"/>
  <c r="Q3896" i="1"/>
  <c r="P3896" i="1"/>
  <c r="P3937" i="1"/>
  <c r="Q3937" i="1"/>
  <c r="Q3950" i="1"/>
  <c r="P3950" i="1"/>
  <c r="Q3965" i="1"/>
  <c r="P3965" i="1"/>
  <c r="Q3975" i="1"/>
  <c r="P3975" i="1"/>
  <c r="P4042" i="1"/>
  <c r="Q4042" i="1"/>
  <c r="Q4123" i="1"/>
  <c r="P4123" i="1"/>
  <c r="Q4133" i="1"/>
  <c r="P4133" i="1"/>
  <c r="Q4319" i="1"/>
  <c r="P4319" i="1"/>
  <c r="P4360" i="1"/>
  <c r="Q4360" i="1"/>
  <c r="Q4371" i="1"/>
  <c r="P4371" i="1"/>
  <c r="P4605" i="1"/>
  <c r="Q4605" i="1"/>
  <c r="Q4611" i="1"/>
  <c r="P4611" i="1"/>
  <c r="Q4698" i="1"/>
  <c r="P4698" i="1"/>
  <c r="Q4714" i="1"/>
  <c r="P4714" i="1"/>
  <c r="P4797" i="1"/>
  <c r="Q4797" i="1"/>
  <c r="Q4867" i="1"/>
  <c r="P4867" i="1"/>
  <c r="P4872" i="1"/>
  <c r="Q4872" i="1"/>
  <c r="P4888" i="1"/>
  <c r="Q4888" i="1"/>
  <c r="Q4912" i="1"/>
  <c r="P4912" i="1"/>
  <c r="Q4999" i="1"/>
  <c r="P4999" i="1"/>
  <c r="Q5055" i="1"/>
  <c r="P5055" i="1"/>
  <c r="P5117" i="1"/>
  <c r="Q5117" i="1"/>
  <c r="Q5160" i="1"/>
  <c r="P5160" i="1"/>
  <c r="Q5221" i="1"/>
  <c r="P5221" i="1"/>
  <c r="Q5266" i="1"/>
  <c r="P5266" i="1"/>
  <c r="Q5428" i="1"/>
  <c r="P5428" i="1"/>
  <c r="Q5468" i="1"/>
  <c r="P5468" i="1"/>
  <c r="Q5647" i="1"/>
  <c r="P5647" i="1"/>
  <c r="P3455" i="1"/>
  <c r="Q3455" i="1"/>
  <c r="P3524" i="1"/>
  <c r="Q3679" i="1"/>
  <c r="P3679" i="1"/>
  <c r="Q3726" i="1"/>
  <c r="P3726" i="1"/>
  <c r="P3932" i="1"/>
  <c r="Q3932" i="1"/>
  <c r="Q4018" i="1"/>
  <c r="P4018" i="1"/>
  <c r="Q4052" i="1"/>
  <c r="P4052" i="1"/>
  <c r="Q4062" i="1"/>
  <c r="P4062" i="1"/>
  <c r="P4090" i="1"/>
  <c r="Q4090" i="1"/>
  <c r="Q4174" i="1"/>
  <c r="P4174" i="1"/>
  <c r="Q4223" i="1"/>
  <c r="P4223" i="1"/>
  <c r="Q4497" i="1"/>
  <c r="P4497" i="1"/>
  <c r="P4529" i="1"/>
  <c r="Q4529" i="1"/>
  <c r="P4578" i="1"/>
  <c r="Q4578" i="1"/>
  <c r="P4591" i="1"/>
  <c r="P4601" i="1"/>
  <c r="Q4601" i="1"/>
  <c r="P4633" i="1"/>
  <c r="Q4633" i="1"/>
  <c r="Q4666" i="1"/>
  <c r="P4666" i="1"/>
  <c r="Q4678" i="1"/>
  <c r="P4678" i="1"/>
  <c r="Q4693" i="1"/>
  <c r="P4693" i="1"/>
  <c r="P4769" i="1"/>
  <c r="Q4769" i="1"/>
  <c r="Q4851" i="1"/>
  <c r="P4851" i="1"/>
  <c r="P4973" i="1"/>
  <c r="Q4973" i="1"/>
  <c r="Q4988" i="1"/>
  <c r="P4988" i="1"/>
  <c r="Q5072" i="1"/>
  <c r="P5072" i="1"/>
  <c r="P5092" i="1"/>
  <c r="Q5092" i="1"/>
  <c r="Q5362" i="1"/>
  <c r="P5362" i="1"/>
  <c r="Q5457" i="1"/>
  <c r="P5457" i="1"/>
  <c r="Q5463" i="1"/>
  <c r="P5463" i="1"/>
  <c r="Q2669" i="1"/>
  <c r="P2669" i="1"/>
  <c r="P3364" i="1"/>
  <c r="Q3364" i="1"/>
  <c r="Q3404" i="1"/>
  <c r="P3404" i="1"/>
  <c r="Q3447" i="1"/>
  <c r="P3447" i="1"/>
  <c r="Q3490" i="1"/>
  <c r="P3490" i="1"/>
  <c r="Q3562" i="1"/>
  <c r="P3562" i="1"/>
  <c r="Q3614" i="1"/>
  <c r="P3614" i="1"/>
  <c r="Q3662" i="1"/>
  <c r="P3662" i="1"/>
  <c r="Q3710" i="1"/>
  <c r="P3710" i="1"/>
  <c r="Q3731" i="1"/>
  <c r="P3731" i="1"/>
  <c r="Q3775" i="1"/>
  <c r="P3775" i="1"/>
  <c r="Q3822" i="1"/>
  <c r="P3822" i="1"/>
  <c r="Q3857" i="1"/>
  <c r="P3857" i="1"/>
  <c r="Q3870" i="1"/>
  <c r="P3870" i="1"/>
  <c r="P3883" i="1"/>
  <c r="Q3883" i="1"/>
  <c r="P3960" i="1"/>
  <c r="Q4014" i="1"/>
  <c r="P4014" i="1"/>
  <c r="Q4079" i="1"/>
  <c r="Q4119" i="1"/>
  <c r="P4119" i="1"/>
  <c r="P4128" i="1"/>
  <c r="Q4128" i="1"/>
  <c r="Q4158" i="1"/>
  <c r="P4158" i="1"/>
  <c r="Q4168" i="1"/>
  <c r="Q4189" i="1"/>
  <c r="P4189" i="1"/>
  <c r="P4203" i="1"/>
  <c r="P4214" i="1"/>
  <c r="Q4214" i="1"/>
  <c r="P4264" i="1"/>
  <c r="Q4264" i="1"/>
  <c r="P4279" i="1"/>
  <c r="Q4330" i="1"/>
  <c r="P4341" i="1"/>
  <c r="P4382" i="1"/>
  <c r="Q4382" i="1"/>
  <c r="P4451" i="1"/>
  <c r="Q4451" i="1"/>
  <c r="P4466" i="1"/>
  <c r="P4477" i="1"/>
  <c r="P4541" i="1"/>
  <c r="P4606" i="1"/>
  <c r="Q4606" i="1"/>
  <c r="Q4651" i="1"/>
  <c r="P4651" i="1"/>
  <c r="Q4689" i="1"/>
  <c r="P4689" i="1"/>
  <c r="Q4699" i="1"/>
  <c r="P4699" i="1"/>
  <c r="P4746" i="1"/>
  <c r="Q4774" i="1"/>
  <c r="P4774" i="1"/>
  <c r="Q4784" i="1"/>
  <c r="P4784" i="1"/>
  <c r="P4846" i="1"/>
  <c r="P4857" i="1"/>
  <c r="Q4857" i="1"/>
  <c r="Q4907" i="1"/>
  <c r="Q5009" i="1"/>
  <c r="P5009" i="1"/>
  <c r="P5019" i="1"/>
  <c r="Q5019" i="1"/>
  <c r="Q5050" i="1"/>
  <c r="P5050" i="1"/>
  <c r="Q5061" i="1"/>
  <c r="P5061" i="1"/>
  <c r="Q5087" i="1"/>
  <c r="P5103" i="1"/>
  <c r="Q5103" i="1"/>
  <c r="Q5226" i="1"/>
  <c r="P5226" i="1"/>
  <c r="P3332" i="1"/>
  <c r="Q3332" i="1"/>
  <c r="Q3336" i="1"/>
  <c r="Q3408" i="1"/>
  <c r="Q3412" i="1"/>
  <c r="P3451" i="1"/>
  <c r="Q3451" i="1"/>
  <c r="Q3524" i="1"/>
  <c r="Q3619" i="1"/>
  <c r="P3619" i="1"/>
  <c r="P3761" i="1"/>
  <c r="P3844" i="1"/>
  <c r="Q3879" i="1"/>
  <c r="P3879" i="1"/>
  <c r="P3924" i="1"/>
  <c r="Q3933" i="1"/>
  <c r="P3933" i="1"/>
  <c r="P3956" i="1"/>
  <c r="Q3971" i="1"/>
  <c r="P3971" i="1"/>
  <c r="Q3976" i="1"/>
  <c r="P3976" i="1"/>
  <c r="P3985" i="1"/>
  <c r="Q3985" i="1"/>
  <c r="Q4000" i="1"/>
  <c r="P4000" i="1"/>
  <c r="Q4038" i="1"/>
  <c r="P4038" i="1"/>
  <c r="Q4096" i="1"/>
  <c r="P4096" i="1"/>
  <c r="P4184" i="1"/>
  <c r="Q4184" i="1"/>
  <c r="P4199" i="1"/>
  <c r="Q4199" i="1"/>
  <c r="Q4301" i="1"/>
  <c r="P4301" i="1"/>
  <c r="P4447" i="1"/>
  <c r="Q4467" i="1"/>
  <c r="P4467" i="1"/>
  <c r="P4473" i="1"/>
  <c r="Q4492" i="1"/>
  <c r="P4492" i="1"/>
  <c r="P4508" i="1"/>
  <c r="P4567" i="1"/>
  <c r="Q4573" i="1"/>
  <c r="P4573" i="1"/>
  <c r="Q4591" i="1"/>
  <c r="Q4596" i="1"/>
  <c r="P4596" i="1"/>
  <c r="Q4673" i="1"/>
  <c r="P4673" i="1"/>
  <c r="Q4715" i="1"/>
  <c r="P4715" i="1"/>
  <c r="Q4747" i="1"/>
  <c r="P4747" i="1"/>
  <c r="P4798" i="1"/>
  <c r="Q4798" i="1"/>
  <c r="Q4810" i="1"/>
  <c r="P4810" i="1"/>
  <c r="Q4831" i="1"/>
  <c r="P4831" i="1"/>
  <c r="P5045" i="1"/>
  <c r="Q5045" i="1"/>
  <c r="Q3440" i="1"/>
  <c r="P3440" i="1"/>
  <c r="Q3486" i="1"/>
  <c r="P3486" i="1"/>
  <c r="P3516" i="1"/>
  <c r="Q3533" i="1"/>
  <c r="P3533" i="1"/>
  <c r="Q3663" i="1"/>
  <c r="P3663" i="1"/>
  <c r="Q3727" i="1"/>
  <c r="P3727" i="1"/>
  <c r="P3732" i="1"/>
  <c r="Q3875" i="1"/>
  <c r="P3875" i="1"/>
  <c r="P3920" i="1"/>
  <c r="Q3920" i="1"/>
  <c r="Q3925" i="1"/>
  <c r="P3925" i="1"/>
  <c r="Q4075" i="1"/>
  <c r="P4075" i="1"/>
  <c r="Q4106" i="1"/>
  <c r="P4106" i="1"/>
  <c r="P4153" i="1"/>
  <c r="P4169" i="1"/>
  <c r="Q4190" i="1"/>
  <c r="P4190" i="1"/>
  <c r="P4280" i="1"/>
  <c r="Q4280" i="1"/>
  <c r="Q4286" i="1"/>
  <c r="P4286" i="1"/>
  <c r="P4315" i="1"/>
  <c r="Q4315" i="1"/>
  <c r="Q4356" i="1"/>
  <c r="P4356" i="1"/>
  <c r="P4367" i="1"/>
  <c r="Q4367" i="1"/>
  <c r="Q4433" i="1"/>
  <c r="P4433" i="1"/>
  <c r="Q4452" i="1"/>
  <c r="P4452" i="1"/>
  <c r="Q4498" i="1"/>
  <c r="P4498" i="1"/>
  <c r="Q4536" i="1"/>
  <c r="P4536" i="1"/>
  <c r="P4542" i="1"/>
  <c r="Q4542" i="1"/>
  <c r="P4634" i="1"/>
  <c r="Q4634" i="1"/>
  <c r="Q4694" i="1"/>
  <c r="P4694" i="1"/>
  <c r="P4974" i="1"/>
  <c r="Q4974" i="1"/>
  <c r="P3307" i="1"/>
  <c r="P3707" i="1"/>
  <c r="Q3707" i="1"/>
  <c r="P3963" i="1"/>
  <c r="Q4092" i="1"/>
  <c r="P4092" i="1"/>
  <c r="Q4204" i="1"/>
  <c r="P4204" i="1"/>
  <c r="Q4228" i="1"/>
  <c r="P4228" i="1"/>
  <c r="Q4283" i="1"/>
  <c r="P4283" i="1"/>
  <c r="Q4392" i="1"/>
  <c r="P4392" i="1"/>
  <c r="Q4494" i="1"/>
  <c r="P4494" i="1"/>
  <c r="Q4548" i="1"/>
  <c r="P4548" i="1"/>
  <c r="P4583" i="1"/>
  <c r="Q4583" i="1"/>
  <c r="P4696" i="1"/>
  <c r="Q4696" i="1"/>
  <c r="Q4816" i="1"/>
  <c r="P4816" i="1"/>
  <c r="P5073" i="1"/>
  <c r="Q5073" i="1"/>
  <c r="Q5190" i="1"/>
  <c r="P5190" i="1"/>
  <c r="P5196" i="1"/>
  <c r="Q5196" i="1"/>
  <c r="Q5202" i="1"/>
  <c r="P5202" i="1"/>
  <c r="Q5551" i="1"/>
  <c r="P5551" i="1"/>
  <c r="Q5575" i="1"/>
  <c r="P5575" i="1"/>
  <c r="Q3271" i="1"/>
  <c r="P3271" i="1"/>
  <c r="P3515" i="1"/>
  <c r="Q3515" i="1"/>
  <c r="Q3671" i="1"/>
  <c r="P3671" i="1"/>
  <c r="Q3735" i="1"/>
  <c r="P3735" i="1"/>
  <c r="Q3863" i="1"/>
  <c r="P3863" i="1"/>
  <c r="P3921" i="1"/>
  <c r="Q3921" i="1"/>
  <c r="Q4083" i="1"/>
  <c r="P4083" i="1"/>
  <c r="Q4186" i="1"/>
  <c r="P4186" i="1"/>
  <c r="Q4289" i="1"/>
  <c r="P4289" i="1"/>
  <c r="P4425" i="1"/>
  <c r="Q4425" i="1"/>
  <c r="P4505" i="1"/>
  <c r="Q4505" i="1"/>
  <c r="Q4543" i="1"/>
  <c r="P4543" i="1"/>
  <c r="P4553" i="1"/>
  <c r="Q4553" i="1"/>
  <c r="P4568" i="1"/>
  <c r="Q4568" i="1"/>
  <c r="Q4574" i="1"/>
  <c r="P4574" i="1"/>
  <c r="P4670" i="1"/>
  <c r="Q4670" i="1"/>
  <c r="P4682" i="1"/>
  <c r="Q4682" i="1"/>
  <c r="P4904" i="1"/>
  <c r="Q4904" i="1"/>
  <c r="P4924" i="1"/>
  <c r="Q4924" i="1"/>
  <c r="Q4960" i="1"/>
  <c r="P4960" i="1"/>
  <c r="Q5051" i="1"/>
  <c r="P5051" i="1"/>
  <c r="Q5452" i="1"/>
  <c r="P5452" i="1"/>
  <c r="Q5512" i="1"/>
  <c r="P5512" i="1"/>
  <c r="P3275" i="1"/>
  <c r="Q3307" i="1"/>
  <c r="P3390" i="1"/>
  <c r="Q3467" i="1"/>
  <c r="P3495" i="1"/>
  <c r="Q3499" i="1"/>
  <c r="P3559" i="1"/>
  <c r="Q3563" i="1"/>
  <c r="P3635" i="1"/>
  <c r="Q3691" i="1"/>
  <c r="P3771" i="1"/>
  <c r="Q3771" i="1"/>
  <c r="P3779" i="1"/>
  <c r="P3783" i="1"/>
  <c r="Q3787" i="1"/>
  <c r="P3803" i="1"/>
  <c r="Q3803" i="1"/>
  <c r="P3811" i="1"/>
  <c r="P3815" i="1"/>
  <c r="Q3819" i="1"/>
  <c r="P3835" i="1"/>
  <c r="Q3835" i="1"/>
  <c r="P3843" i="1"/>
  <c r="P3847" i="1"/>
  <c r="Q3851" i="1"/>
  <c r="Q3963" i="1"/>
  <c r="P4007" i="1"/>
  <c r="Q4047" i="1"/>
  <c r="P4047" i="1"/>
  <c r="P4056" i="1"/>
  <c r="Q4056" i="1"/>
  <c r="P4098" i="1"/>
  <c r="Q4138" i="1"/>
  <c r="P4138" i="1"/>
  <c r="P4152" i="1"/>
  <c r="Q4152" i="1"/>
  <c r="P4215" i="1"/>
  <c r="Q4224" i="1"/>
  <c r="P4224" i="1"/>
  <c r="P4284" i="1"/>
  <c r="Q4284" i="1"/>
  <c r="P4313" i="1"/>
  <c r="Q4313" i="1"/>
  <c r="P4387" i="1"/>
  <c r="P4431" i="1"/>
  <c r="Q4450" i="1"/>
  <c r="P4450" i="1"/>
  <c r="Q4465" i="1"/>
  <c r="P4480" i="1"/>
  <c r="P4485" i="1"/>
  <c r="Q4485" i="1"/>
  <c r="Q4489" i="1"/>
  <c r="P4495" i="1"/>
  <c r="Q4495" i="1"/>
  <c r="P4526" i="1"/>
  <c r="Q4526" i="1"/>
  <c r="P4532" i="1"/>
  <c r="P4621" i="1"/>
  <c r="P4637" i="1"/>
  <c r="Q4648" i="1"/>
  <c r="Q4718" i="1"/>
  <c r="P4718" i="1"/>
  <c r="Q4930" i="1"/>
  <c r="P4930" i="1"/>
  <c r="P5041" i="1"/>
  <c r="P5167" i="1"/>
  <c r="Q5167" i="1"/>
  <c r="Q5173" i="1"/>
  <c r="P5173" i="1"/>
  <c r="Q5179" i="1"/>
  <c r="P5179" i="1"/>
  <c r="Q5197" i="1"/>
  <c r="P5197" i="1"/>
  <c r="P5212" i="1"/>
  <c r="Q5212" i="1"/>
  <c r="Q5252" i="1"/>
  <c r="P5252" i="1"/>
  <c r="Q5262" i="1"/>
  <c r="P5262" i="1"/>
  <c r="P3627" i="1"/>
  <c r="Q3627" i="1"/>
  <c r="Q3868" i="1"/>
  <c r="P3868" i="1"/>
  <c r="P4043" i="1"/>
  <c r="Q4043" i="1"/>
  <c r="P4088" i="1"/>
  <c r="Q4088" i="1"/>
  <c r="Q4181" i="1"/>
  <c r="P4181" i="1"/>
  <c r="Q4243" i="1"/>
  <c r="P4243" i="1"/>
  <c r="P4248" i="1"/>
  <c r="P4328" i="1"/>
  <c r="Q4328" i="1"/>
  <c r="Q4388" i="1"/>
  <c r="P4388" i="1"/>
  <c r="P4521" i="1"/>
  <c r="Q4521" i="1"/>
  <c r="Q4622" i="1"/>
  <c r="P4622" i="1"/>
  <c r="Q4638" i="1"/>
  <c r="P4638" i="1"/>
  <c r="P4865" i="1"/>
  <c r="Q4865" i="1"/>
  <c r="Q4905" i="1"/>
  <c r="P4905" i="1"/>
  <c r="Q4910" i="1"/>
  <c r="P4910" i="1"/>
  <c r="P4950" i="1"/>
  <c r="Q4950" i="1"/>
  <c r="Q4976" i="1"/>
  <c r="P4976" i="1"/>
  <c r="Q5027" i="1"/>
  <c r="P5027" i="1"/>
  <c r="Q5162" i="1"/>
  <c r="P5162" i="1"/>
  <c r="Q4277" i="1"/>
  <c r="P4277" i="1"/>
  <c r="P4352" i="1"/>
  <c r="Q4352" i="1"/>
  <c r="Q4412" i="1"/>
  <c r="P4412" i="1"/>
  <c r="Q4420" i="1"/>
  <c r="P4420" i="1"/>
  <c r="P4514" i="1"/>
  <c r="Q4514" i="1"/>
  <c r="Q4538" i="1"/>
  <c r="P4538" i="1"/>
  <c r="P4617" i="1"/>
  <c r="Q4617" i="1"/>
  <c r="P4760" i="1"/>
  <c r="Q4760" i="1"/>
  <c r="P4785" i="1"/>
  <c r="Q4785" i="1"/>
  <c r="Q4799" i="1"/>
  <c r="P4799" i="1"/>
  <c r="P4821" i="1"/>
  <c r="P4858" i="1"/>
  <c r="Q4858" i="1"/>
  <c r="P4937" i="1"/>
  <c r="Q4937" i="1"/>
  <c r="P4942" i="1"/>
  <c r="Q4942" i="1"/>
  <c r="P5003" i="1"/>
  <c r="Q5003" i="1"/>
  <c r="P5180" i="1"/>
  <c r="Q5180" i="1"/>
  <c r="P5217" i="1"/>
  <c r="Q5217" i="1"/>
  <c r="Q5277" i="1"/>
  <c r="P5277" i="1"/>
  <c r="Q5325" i="1"/>
  <c r="P5325" i="1"/>
  <c r="Q5330" i="1"/>
  <c r="P5330" i="1"/>
  <c r="Q5345" i="1"/>
  <c r="P5345" i="1"/>
  <c r="Q5372" i="1"/>
  <c r="P5372" i="1"/>
  <c r="Q3566" i="1"/>
  <c r="P3566" i="1"/>
  <c r="Q4080" i="1"/>
  <c r="P4080" i="1"/>
  <c r="Q4085" i="1"/>
  <c r="P4085" i="1"/>
  <c r="Q4115" i="1"/>
  <c r="P4115" i="1"/>
  <c r="P4149" i="1"/>
  <c r="Q4154" i="1"/>
  <c r="P4154" i="1"/>
  <c r="P4172" i="1"/>
  <c r="Q4180" i="1"/>
  <c r="Q4185" i="1"/>
  <c r="P4185" i="1"/>
  <c r="Q4211" i="1"/>
  <c r="P4211" i="1"/>
  <c r="Q4220" i="1"/>
  <c r="P4220" i="1"/>
  <c r="P4233" i="1"/>
  <c r="P4237" i="1"/>
  <c r="Q4278" i="1"/>
  <c r="P4278" i="1"/>
  <c r="Q4293" i="1"/>
  <c r="P4293" i="1"/>
  <c r="Q4297" i="1"/>
  <c r="Q4348" i="1"/>
  <c r="P4348" i="1"/>
  <c r="P4366" i="1"/>
  <c r="P4394" i="1"/>
  <c r="P4398" i="1"/>
  <c r="P4468" i="1"/>
  <c r="P4544" i="1"/>
  <c r="P4549" i="1"/>
  <c r="Q4558" i="1"/>
  <c r="P4558" i="1"/>
  <c r="Q4572" i="1"/>
  <c r="P4572" i="1"/>
  <c r="P4649" i="1"/>
  <c r="Q4649" i="1"/>
  <c r="Q4686" i="1"/>
  <c r="P4686" i="1"/>
  <c r="Q4755" i="1"/>
  <c r="P4755" i="1"/>
  <c r="Q4776" i="1"/>
  <c r="P4776" i="1"/>
  <c r="Q4800" i="1"/>
  <c r="P4800" i="1"/>
  <c r="Q4821" i="1"/>
  <c r="Q5033" i="1"/>
  <c r="P5033" i="1"/>
  <c r="P5100" i="1"/>
  <c r="Q5100" i="1"/>
  <c r="Q5181" i="1"/>
  <c r="P5181" i="1"/>
  <c r="Q5192" i="1"/>
  <c r="P5192" i="1"/>
  <c r="Q5346" i="1"/>
  <c r="P5346" i="1"/>
  <c r="Q5351" i="1"/>
  <c r="P5351" i="1"/>
  <c r="Q5395" i="1"/>
  <c r="P5395" i="1"/>
  <c r="P5400" i="1"/>
  <c r="Q5400" i="1"/>
  <c r="Q5412" i="1"/>
  <c r="P5412" i="1"/>
  <c r="Q5418" i="1"/>
  <c r="P5418" i="1"/>
  <c r="Q5435" i="1"/>
  <c r="P5435" i="1"/>
  <c r="P5464" i="1"/>
  <c r="Q5464" i="1"/>
  <c r="Q3678" i="1"/>
  <c r="P3678" i="1"/>
  <c r="Q3902" i="1"/>
  <c r="P3902" i="1"/>
  <c r="Q4107" i="1"/>
  <c r="P4107" i="1"/>
  <c r="Q4251" i="1"/>
  <c r="P4251" i="1"/>
  <c r="Q4375" i="1"/>
  <c r="P4375" i="1"/>
  <c r="Q4380" i="1"/>
  <c r="P4380" i="1"/>
  <c r="P4599" i="1"/>
  <c r="P4681" i="1"/>
  <c r="Q4681" i="1"/>
  <c r="Q4761" i="1"/>
  <c r="P4761" i="1"/>
  <c r="Q4822" i="1"/>
  <c r="P4822" i="1"/>
  <c r="Q4908" i="1"/>
  <c r="P4908" i="1"/>
  <c r="P5029" i="1"/>
  <c r="Q5029" i="1"/>
  <c r="Q5340" i="1"/>
  <c r="P5340" i="1"/>
  <c r="Q5358" i="1"/>
  <c r="P5358" i="1"/>
  <c r="Q5424" i="1"/>
  <c r="P5424" i="1"/>
  <c r="Q5518" i="1"/>
  <c r="P5518" i="1"/>
  <c r="Q5535" i="1"/>
  <c r="P5535" i="1"/>
  <c r="Q5541" i="1"/>
  <c r="P5541" i="1"/>
  <c r="Q5569" i="1"/>
  <c r="P5569" i="1"/>
  <c r="Q5604" i="1"/>
  <c r="P5604" i="1"/>
  <c r="Q3502" i="1"/>
  <c r="P3502" i="1"/>
  <c r="Q3758" i="1"/>
  <c r="P3758" i="1"/>
  <c r="Q4020" i="1"/>
  <c r="P4020" i="1"/>
  <c r="P4146" i="1"/>
  <c r="Q4146" i="1"/>
  <c r="Q4247" i="1"/>
  <c r="P4247" i="1"/>
  <c r="P4312" i="1"/>
  <c r="Q4427" i="1"/>
  <c r="P4427" i="1"/>
  <c r="P4600" i="1"/>
  <c r="Q4600" i="1"/>
  <c r="Q4716" i="1"/>
  <c r="P4716" i="1"/>
  <c r="Q4875" i="1"/>
  <c r="P4875" i="1"/>
  <c r="Q4944" i="1"/>
  <c r="P4944" i="1"/>
  <c r="P5010" i="1"/>
  <c r="Q5010" i="1"/>
  <c r="P5025" i="1"/>
  <c r="Q5025" i="1"/>
  <c r="Q5147" i="1"/>
  <c r="P5147" i="1"/>
  <c r="Q5154" i="1"/>
  <c r="P5154" i="1"/>
  <c r="Q5341" i="1"/>
  <c r="P5341" i="1"/>
  <c r="P5369" i="1"/>
  <c r="Q5369" i="1"/>
  <c r="P4258" i="1"/>
  <c r="Q4273" i="1"/>
  <c r="P4273" i="1"/>
  <c r="Q4789" i="1"/>
  <c r="P4789" i="1"/>
  <c r="Q4794" i="1"/>
  <c r="P4794" i="1"/>
  <c r="Q4827" i="1"/>
  <c r="P4827" i="1"/>
  <c r="P4927" i="1"/>
  <c r="P4989" i="1"/>
  <c r="Q4989" i="1"/>
  <c r="Q5063" i="1"/>
  <c r="P5063" i="1"/>
  <c r="Q5155" i="1"/>
  <c r="P5155" i="1"/>
  <c r="P5228" i="1"/>
  <c r="Q5228" i="1"/>
  <c r="Q5276" i="1"/>
  <c r="P5276" i="1"/>
  <c r="P5407" i="1"/>
  <c r="Q5407" i="1"/>
  <c r="P5419" i="1"/>
  <c r="Q5442" i="1"/>
  <c r="P5442" i="1"/>
  <c r="Q5453" i="1"/>
  <c r="P5453" i="1"/>
  <c r="Q5459" i="1"/>
  <c r="P5459" i="1"/>
  <c r="P5546" i="1"/>
  <c r="Q5546" i="1"/>
  <c r="Q5676" i="1"/>
  <c r="P5676" i="1"/>
  <c r="Q5704" i="1"/>
  <c r="P5704" i="1"/>
  <c r="Q5780" i="1"/>
  <c r="P5780" i="1"/>
  <c r="Q4069" i="1"/>
  <c r="P4069" i="1"/>
  <c r="Q4166" i="1"/>
  <c r="P4166" i="1"/>
  <c r="Q4258" i="1"/>
  <c r="P4340" i="1"/>
  <c r="Q4408" i="1"/>
  <c r="P4408" i="1"/>
  <c r="P4459" i="1"/>
  <c r="Q4502" i="1"/>
  <c r="Q4518" i="1"/>
  <c r="P4518" i="1"/>
  <c r="P4530" i="1"/>
  <c r="P4534" i="1"/>
  <c r="P4566" i="1"/>
  <c r="P4644" i="1"/>
  <c r="P4842" i="1"/>
  <c r="P4852" i="1"/>
  <c r="P4883" i="1"/>
  <c r="P4922" i="1"/>
  <c r="Q4927" i="1"/>
  <c r="P4957" i="1"/>
  <c r="Q4957" i="1"/>
  <c r="Q4971" i="1"/>
  <c r="P4985" i="1"/>
  <c r="Q4990" i="1"/>
  <c r="P4990" i="1"/>
  <c r="Q5015" i="1"/>
  <c r="P5015" i="1"/>
  <c r="Q5064" i="1"/>
  <c r="P5064" i="1"/>
  <c r="Q5200" i="1"/>
  <c r="P5200" i="1"/>
  <c r="Q5443" i="1"/>
  <c r="P5443" i="1"/>
  <c r="Q5547" i="1"/>
  <c r="P5547" i="1"/>
  <c r="P5563" i="1"/>
  <c r="Q5563" i="1"/>
  <c r="P5614" i="1"/>
  <c r="Q5614" i="1"/>
  <c r="Q5677" i="1"/>
  <c r="P5677" i="1"/>
  <c r="Q4036" i="1"/>
  <c r="P4036" i="1"/>
  <c r="P4162" i="1"/>
  <c r="Q4162" i="1"/>
  <c r="Q4197" i="1"/>
  <c r="P4197" i="1"/>
  <c r="Q4294" i="1"/>
  <c r="P4294" i="1"/>
  <c r="P4306" i="1"/>
  <c r="Q4440" i="1"/>
  <c r="P4440" i="1"/>
  <c r="Q4658" i="1"/>
  <c r="P4658" i="1"/>
  <c r="P4763" i="1"/>
  <c r="Q4823" i="1"/>
  <c r="P4823" i="1"/>
  <c r="Q4853" i="1"/>
  <c r="P4853" i="1"/>
  <c r="P5039" i="1"/>
  <c r="Q5039" i="1"/>
  <c r="Q5059" i="1"/>
  <c r="P5059" i="1"/>
  <c r="P5119" i="1"/>
  <c r="Q5119" i="1"/>
  <c r="P5125" i="1"/>
  <c r="Q5125" i="1"/>
  <c r="Q5287" i="1"/>
  <c r="P5287" i="1"/>
  <c r="P5323" i="1"/>
  <c r="Q5323" i="1"/>
  <c r="P5349" i="1"/>
  <c r="Q5349" i="1"/>
  <c r="Q5381" i="1"/>
  <c r="P5381" i="1"/>
  <c r="P5397" i="1"/>
  <c r="Q5397" i="1"/>
  <c r="Q5497" i="1"/>
  <c r="P5497" i="1"/>
  <c r="Q5503" i="1"/>
  <c r="P5503" i="1"/>
  <c r="Q5524" i="1"/>
  <c r="P5524" i="1"/>
  <c r="Q5599" i="1"/>
  <c r="P5599" i="1"/>
  <c r="Q5627" i="1"/>
  <c r="P5627" i="1"/>
  <c r="P4290" i="1"/>
  <c r="Q4290" i="1"/>
  <c r="P4589" i="1"/>
  <c r="P4618" i="1"/>
  <c r="P4627" i="1"/>
  <c r="Q4672" i="1"/>
  <c r="P4677" i="1"/>
  <c r="P4695" i="1"/>
  <c r="P4721" i="1"/>
  <c r="P4743" i="1"/>
  <c r="Q4767" i="1"/>
  <c r="P4772" i="1"/>
  <c r="Q4777" i="1"/>
  <c r="P4777" i="1"/>
  <c r="P4804" i="1"/>
  <c r="P4889" i="1"/>
  <c r="Q4889" i="1"/>
  <c r="Q4928" i="1"/>
  <c r="P4928" i="1"/>
  <c r="P4967" i="1"/>
  <c r="Q4981" i="1"/>
  <c r="Q5011" i="1"/>
  <c r="P5011" i="1"/>
  <c r="Q5070" i="1"/>
  <c r="P5070" i="1"/>
  <c r="Q5234" i="1"/>
  <c r="P5234" i="1"/>
  <c r="P5248" i="1"/>
  <c r="P5312" i="1"/>
  <c r="P5354" i="1"/>
  <c r="P5386" i="1"/>
  <c r="Q5487" i="1"/>
  <c r="P5487" i="1"/>
  <c r="P5508" i="1"/>
  <c r="Q5514" i="1"/>
  <c r="P5514" i="1"/>
  <c r="Q5553" i="1"/>
  <c r="P5553" i="1"/>
  <c r="Q5581" i="1"/>
  <c r="P5581" i="1"/>
  <c r="P5670" i="1"/>
  <c r="Q4004" i="1"/>
  <c r="P4004" i="1"/>
  <c r="P4011" i="1"/>
  <c r="P4077" i="1"/>
  <c r="Q4232" i="1"/>
  <c r="P4255" i="1"/>
  <c r="Q4270" i="1"/>
  <c r="Q4306" i="1"/>
  <c r="P4353" i="1"/>
  <c r="P4361" i="1"/>
  <c r="P4384" i="1"/>
  <c r="P4456" i="1"/>
  <c r="Q4482" i="1"/>
  <c r="Q4490" i="1"/>
  <c r="P4539" i="1"/>
  <c r="P4547" i="1"/>
  <c r="Q4668" i="1"/>
  <c r="P4668" i="1"/>
  <c r="P4708" i="1"/>
  <c r="P4730" i="1"/>
  <c r="P4753" i="1"/>
  <c r="Q4763" i="1"/>
  <c r="Q4768" i="1"/>
  <c r="P4768" i="1"/>
  <c r="P4814" i="1"/>
  <c r="Q4814" i="1"/>
  <c r="Q4848" i="1"/>
  <c r="P4848" i="1"/>
  <c r="Q4864" i="1"/>
  <c r="P4864" i="1"/>
  <c r="P4879" i="1"/>
  <c r="P4914" i="1"/>
  <c r="Q5099" i="1"/>
  <c r="P5105" i="1"/>
  <c r="Q5105" i="1"/>
  <c r="Q5150" i="1"/>
  <c r="Q5189" i="1"/>
  <c r="P5189" i="1"/>
  <c r="Q5201" i="1"/>
  <c r="P5201" i="1"/>
  <c r="P5272" i="1"/>
  <c r="Q5338" i="1"/>
  <c r="P5338" i="1"/>
  <c r="Q5355" i="1"/>
  <c r="P5355" i="1"/>
  <c r="Q5414" i="1"/>
  <c r="Q5471" i="1"/>
  <c r="P5471" i="1"/>
  <c r="P4120" i="1"/>
  <c r="Q4135" i="1"/>
  <c r="P4221" i="1"/>
  <c r="Q4259" i="1"/>
  <c r="P4321" i="1"/>
  <c r="P4325" i="1"/>
  <c r="Q4333" i="1"/>
  <c r="P4345" i="1"/>
  <c r="P4369" i="1"/>
  <c r="P4377" i="1"/>
  <c r="P4389" i="1"/>
  <c r="P4432" i="1"/>
  <c r="P4441" i="1"/>
  <c r="Q4471" i="1"/>
  <c r="Q4475" i="1"/>
  <c r="Q4511" i="1"/>
  <c r="P4511" i="1"/>
  <c r="Q4551" i="1"/>
  <c r="Q4555" i="1"/>
  <c r="P4555" i="1"/>
  <c r="Q4559" i="1"/>
  <c r="Q4610" i="1"/>
  <c r="Q4623" i="1"/>
  <c r="P4636" i="1"/>
  <c r="P4663" i="1"/>
  <c r="P4758" i="1"/>
  <c r="P4809" i="1"/>
  <c r="P4829" i="1"/>
  <c r="Q4829" i="1"/>
  <c r="Q4843" i="1"/>
  <c r="Q4854" i="1"/>
  <c r="P4854" i="1"/>
  <c r="Q4880" i="1"/>
  <c r="P4880" i="1"/>
  <c r="Q4918" i="1"/>
  <c r="P4953" i="1"/>
  <c r="Q4963" i="1"/>
  <c r="P4963" i="1"/>
  <c r="Q5054" i="1"/>
  <c r="P5071" i="1"/>
  <c r="P5077" i="1"/>
  <c r="P5081" i="1"/>
  <c r="P5090" i="1"/>
  <c r="P5151" i="1"/>
  <c r="Q5151" i="1"/>
  <c r="Q5254" i="1"/>
  <c r="P5254" i="1"/>
  <c r="P5329" i="1"/>
  <c r="Q5329" i="1"/>
  <c r="Q5571" i="1"/>
  <c r="P5571" i="1"/>
  <c r="Q5634" i="1"/>
  <c r="P5634" i="1"/>
  <c r="P4903" i="1"/>
  <c r="P4949" i="1"/>
  <c r="Q4949" i="1"/>
  <c r="P5124" i="1"/>
  <c r="Q5191" i="1"/>
  <c r="P5191" i="1"/>
  <c r="P5210" i="1"/>
  <c r="Q5210" i="1"/>
  <c r="Q5229" i="1"/>
  <c r="P5229" i="1"/>
  <c r="Q5300" i="1"/>
  <c r="P5300" i="1"/>
  <c r="Q5375" i="1"/>
  <c r="P5375" i="1"/>
  <c r="Q5402" i="1"/>
  <c r="P5402" i="1"/>
  <c r="Q5473" i="1"/>
  <c r="P5473" i="1"/>
  <c r="Q5509" i="1"/>
  <c r="P5509" i="1"/>
  <c r="Q5530" i="1"/>
  <c r="P5530" i="1"/>
  <c r="Q5609" i="1"/>
  <c r="P5609" i="1"/>
  <c r="Q5632" i="1"/>
  <c r="P5632" i="1"/>
  <c r="P5675" i="1"/>
  <c r="Q5675" i="1"/>
  <c r="Q5730" i="1"/>
  <c r="P5730" i="1"/>
  <c r="Q5746" i="1"/>
  <c r="P5746" i="1"/>
  <c r="Q5795" i="1"/>
  <c r="P5795" i="1"/>
  <c r="P5920" i="1"/>
  <c r="Q5920" i="1"/>
  <c r="P5991" i="1"/>
  <c r="Q5991" i="1"/>
  <c r="P4642" i="1"/>
  <c r="Q4793" i="1"/>
  <c r="P4793" i="1"/>
  <c r="Q4982" i="1"/>
  <c r="P4982" i="1"/>
  <c r="Q5120" i="1"/>
  <c r="P5120" i="1"/>
  <c r="P5273" i="1"/>
  <c r="Q5273" i="1"/>
  <c r="Q5357" i="1"/>
  <c r="P5357" i="1"/>
  <c r="P5387" i="1"/>
  <c r="Q5387" i="1"/>
  <c r="Q5593" i="1"/>
  <c r="P5593" i="1"/>
  <c r="Q5748" i="1"/>
  <c r="P5748" i="1"/>
  <c r="Q5786" i="1"/>
  <c r="P5786" i="1"/>
  <c r="Q5193" i="1"/>
  <c r="P5193" i="1"/>
  <c r="Q5352" i="1"/>
  <c r="P5352" i="1"/>
  <c r="Q5367" i="1"/>
  <c r="P5367" i="1"/>
  <c r="Q5511" i="1"/>
  <c r="P5511" i="1"/>
  <c r="Q5594" i="1"/>
  <c r="P5594" i="1"/>
  <c r="P5639" i="1"/>
  <c r="Q5639" i="1"/>
  <c r="Q5654" i="1"/>
  <c r="P5654" i="1"/>
  <c r="Q5671" i="1"/>
  <c r="P5671" i="1"/>
  <c r="P5694" i="1"/>
  <c r="Q5694" i="1"/>
  <c r="Q5700" i="1"/>
  <c r="P5700" i="1"/>
  <c r="Q5781" i="1"/>
  <c r="P5781" i="1"/>
  <c r="Q5956" i="1"/>
  <c r="P5956" i="1"/>
  <c r="P5983" i="1"/>
  <c r="Q5983" i="1"/>
  <c r="P4114" i="1"/>
  <c r="P4242" i="1"/>
  <c r="P4522" i="1"/>
  <c r="P4569" i="1"/>
  <c r="P4643" i="1"/>
  <c r="P4781" i="1"/>
  <c r="Q4781" i="1"/>
  <c r="Q4832" i="1"/>
  <c r="P4832" i="1"/>
  <c r="P4845" i="1"/>
  <c r="Q4845" i="1"/>
  <c r="P4965" i="1"/>
  <c r="Q4965" i="1"/>
  <c r="P5121" i="1"/>
  <c r="Q5121" i="1"/>
  <c r="P5149" i="1"/>
  <c r="Q5149" i="1"/>
  <c r="Q5168" i="1"/>
  <c r="P5168" i="1"/>
  <c r="Q5183" i="1"/>
  <c r="P5183" i="1"/>
  <c r="P5208" i="1"/>
  <c r="Q5208" i="1"/>
  <c r="Q5236" i="1"/>
  <c r="P5236" i="1"/>
  <c r="Q5377" i="1"/>
  <c r="P5377" i="1"/>
  <c r="P5383" i="1"/>
  <c r="Q5383" i="1"/>
  <c r="Q5491" i="1"/>
  <c r="P5491" i="1"/>
  <c r="Q5601" i="1"/>
  <c r="P5601" i="1"/>
  <c r="Q5666" i="1"/>
  <c r="P5666" i="1"/>
  <c r="Q4620" i="1"/>
  <c r="P4620" i="1"/>
  <c r="Q4961" i="1"/>
  <c r="P4961" i="1"/>
  <c r="Q4992" i="1"/>
  <c r="P4992" i="1"/>
  <c r="P5038" i="1"/>
  <c r="P5068" i="1"/>
  <c r="P5074" i="1"/>
  <c r="Q5107" i="1"/>
  <c r="P5107" i="1"/>
  <c r="P5140" i="1"/>
  <c r="P5144" i="1"/>
  <c r="P5177" i="1"/>
  <c r="P5188" i="1"/>
  <c r="Q5188" i="1"/>
  <c r="Q5199" i="1"/>
  <c r="P5199" i="1"/>
  <c r="Q5298" i="1"/>
  <c r="P5298" i="1"/>
  <c r="Q5336" i="1"/>
  <c r="Q5476" i="1"/>
  <c r="P5476" i="1"/>
  <c r="Q5481" i="1"/>
  <c r="P5481" i="1"/>
  <c r="P5486" i="1"/>
  <c r="Q5517" i="1"/>
  <c r="P5517" i="1"/>
  <c r="Q5522" i="1"/>
  <c r="P5522" i="1"/>
  <c r="Q5606" i="1"/>
  <c r="P5606" i="1"/>
  <c r="Q5623" i="1"/>
  <c r="P5623" i="1"/>
  <c r="P5629" i="1"/>
  <c r="Q5629" i="1"/>
  <c r="Q5640" i="1"/>
  <c r="P5640" i="1"/>
  <c r="Q4114" i="1"/>
  <c r="P4159" i="1"/>
  <c r="Q4242" i="1"/>
  <c r="P4287" i="1"/>
  <c r="P4329" i="1"/>
  <c r="Q4329" i="1"/>
  <c r="P4336" i="1"/>
  <c r="P4343" i="1"/>
  <c r="P4386" i="1"/>
  <c r="P4472" i="1"/>
  <c r="P4486" i="1"/>
  <c r="P4515" i="1"/>
  <c r="Q4522" i="1"/>
  <c r="P4562" i="1"/>
  <c r="Q4569" i="1"/>
  <c r="P4576" i="1"/>
  <c r="P4597" i="1"/>
  <c r="P4639" i="1"/>
  <c r="Q4643" i="1"/>
  <c r="P4732" i="1"/>
  <c r="P4757" i="1"/>
  <c r="P4836" i="1"/>
  <c r="Q4970" i="1"/>
  <c r="P5026" i="1"/>
  <c r="Q5043" i="1"/>
  <c r="P5043" i="1"/>
  <c r="P5047" i="1"/>
  <c r="P5069" i="1"/>
  <c r="Q5069" i="1"/>
  <c r="Q5136" i="1"/>
  <c r="P5136" i="1"/>
  <c r="P5159" i="1"/>
  <c r="Q5194" i="1"/>
  <c r="P5194" i="1"/>
  <c r="Q5308" i="1"/>
  <c r="P5308" i="1"/>
  <c r="P5313" i="1"/>
  <c r="Q5318" i="1"/>
  <c r="Q5342" i="1"/>
  <c r="Q5394" i="1"/>
  <c r="P5394" i="1"/>
  <c r="Q5456" i="1"/>
  <c r="P5456" i="1"/>
  <c r="P5527" i="1"/>
  <c r="P5533" i="1"/>
  <c r="P4419" i="1"/>
  <c r="P4616" i="1"/>
  <c r="P4624" i="1"/>
  <c r="P4628" i="1"/>
  <c r="P4675" i="1"/>
  <c r="Q4679" i="1"/>
  <c r="P4679" i="1"/>
  <c r="P4713" i="1"/>
  <c r="Q4713" i="1"/>
  <c r="P4819" i="1"/>
  <c r="P4881" i="1"/>
  <c r="P4885" i="1"/>
  <c r="P4921" i="1"/>
  <c r="Q4943" i="1"/>
  <c r="P4952" i="1"/>
  <c r="P4956" i="1"/>
  <c r="Q4975" i="1"/>
  <c r="P4975" i="1"/>
  <c r="Q4987" i="1"/>
  <c r="Q5005" i="1"/>
  <c r="Q5030" i="1"/>
  <c r="P5178" i="1"/>
  <c r="Q5178" i="1"/>
  <c r="Q5204" i="1"/>
  <c r="P5204" i="1"/>
  <c r="Q5237" i="1"/>
  <c r="P5237" i="1"/>
  <c r="P5265" i="1"/>
  <c r="Q5343" i="1"/>
  <c r="P5343" i="1"/>
  <c r="Q5348" i="1"/>
  <c r="P5348" i="1"/>
  <c r="Q5373" i="1"/>
  <c r="Q5384" i="1"/>
  <c r="P5384" i="1"/>
  <c r="Q5439" i="1"/>
  <c r="P5439" i="1"/>
  <c r="Q5550" i="1"/>
  <c r="P5550" i="1"/>
  <c r="Q5618" i="1"/>
  <c r="P5618" i="1"/>
  <c r="P5630" i="1"/>
  <c r="Q5630" i="1"/>
  <c r="P4901" i="1"/>
  <c r="Q5075" i="1"/>
  <c r="P5075" i="1"/>
  <c r="Q5088" i="1"/>
  <c r="P5088" i="1"/>
  <c r="Q5138" i="1"/>
  <c r="P5138" i="1"/>
  <c r="Q5282" i="1"/>
  <c r="P5282" i="1"/>
  <c r="Q5404" i="1"/>
  <c r="P5404" i="1"/>
  <c r="Q5426" i="1"/>
  <c r="P5426" i="1"/>
  <c r="Q5431" i="1"/>
  <c r="P5431" i="1"/>
  <c r="Q5590" i="1"/>
  <c r="P5590" i="1"/>
  <c r="Q5749" i="1"/>
  <c r="P5749" i="1"/>
  <c r="P5973" i="1"/>
  <c r="Q5973" i="1"/>
  <c r="Q5661" i="1"/>
  <c r="P5661" i="1"/>
  <c r="Q5695" i="1"/>
  <c r="P5695" i="1"/>
  <c r="Q5776" i="1"/>
  <c r="P5776" i="1"/>
  <c r="P4650" i="1"/>
  <c r="P4697" i="1"/>
  <c r="P4700" i="1"/>
  <c r="Q4820" i="1"/>
  <c r="P4824" i="1"/>
  <c r="Q4893" i="1"/>
  <c r="Q4995" i="1"/>
  <c r="P4995" i="1"/>
  <c r="Q5020" i="1"/>
  <c r="P5020" i="1"/>
  <c r="Q5040" i="1"/>
  <c r="P5040" i="1"/>
  <c r="P5134" i="1"/>
  <c r="Q5134" i="1"/>
  <c r="Q5218" i="1"/>
  <c r="P5218" i="1"/>
  <c r="P5241" i="1"/>
  <c r="Q5241" i="1"/>
  <c r="Q5250" i="1"/>
  <c r="P5250" i="1"/>
  <c r="Q5255" i="1"/>
  <c r="P5255" i="1"/>
  <c r="Q5344" i="1"/>
  <c r="P5344" i="1"/>
  <c r="Q5359" i="1"/>
  <c r="P5359" i="1"/>
  <c r="Q5388" i="1"/>
  <c r="P5388" i="1"/>
  <c r="P5444" i="1"/>
  <c r="Q5444" i="1"/>
  <c r="Q5460" i="1"/>
  <c r="P5460" i="1"/>
  <c r="Q5532" i="1"/>
  <c r="P5532" i="1"/>
  <c r="Q5597" i="1"/>
  <c r="P5597" i="1"/>
  <c r="Q5625" i="1"/>
  <c r="P5625" i="1"/>
  <c r="Q5641" i="1"/>
  <c r="P5641" i="1"/>
  <c r="Q5717" i="1"/>
  <c r="P5717" i="1"/>
  <c r="P5771" i="1"/>
  <c r="Q5771" i="1"/>
  <c r="P5869" i="1"/>
  <c r="Q5869" i="1"/>
  <c r="Q4736" i="1"/>
  <c r="P4736" i="1"/>
  <c r="P4744" i="1"/>
  <c r="Q4752" i="1"/>
  <c r="P4752" i="1"/>
  <c r="Q5008" i="1"/>
  <c r="P5008" i="1"/>
  <c r="P5076" i="1"/>
  <c r="Q5115" i="1"/>
  <c r="P5115" i="1"/>
  <c r="P5227" i="1"/>
  <c r="Q5269" i="1"/>
  <c r="P5269" i="1"/>
  <c r="Q5378" i="1"/>
  <c r="P5378" i="1"/>
  <c r="Q5516" i="1"/>
  <c r="P5516" i="1"/>
  <c r="Q5570" i="1"/>
  <c r="P5570" i="1"/>
  <c r="Q5591" i="1"/>
  <c r="P5591" i="1"/>
  <c r="Q5651" i="1"/>
  <c r="P5651" i="1"/>
  <c r="Q5673" i="1"/>
  <c r="P5673" i="1"/>
  <c r="Q5679" i="1"/>
  <c r="Q5728" i="1"/>
  <c r="P5728" i="1"/>
  <c r="Q5739" i="1"/>
  <c r="P5739" i="1"/>
  <c r="Q5760" i="1"/>
  <c r="P5760" i="1"/>
  <c r="Q5242" i="1"/>
  <c r="P5242" i="1"/>
  <c r="Q5260" i="1"/>
  <c r="P5260" i="1"/>
  <c r="Q5292" i="1"/>
  <c r="P5292" i="1"/>
  <c r="P5415" i="1"/>
  <c r="Q5489" i="1"/>
  <c r="P5489" i="1"/>
  <c r="Q5588" i="1"/>
  <c r="P5588" i="1"/>
  <c r="Q5696" i="1"/>
  <c r="P5696" i="1"/>
  <c r="Q5777" i="1"/>
  <c r="P5777" i="1"/>
  <c r="Q5875" i="1"/>
  <c r="P5875" i="1"/>
  <c r="P5935" i="1"/>
  <c r="Q5945" i="1"/>
  <c r="P5945" i="1"/>
  <c r="Q5957" i="1"/>
  <c r="P5957" i="1"/>
  <c r="Q4996" i="1"/>
  <c r="P4996" i="1"/>
  <c r="Q5139" i="1"/>
  <c r="P5139" i="1"/>
  <c r="Q5211" i="1"/>
  <c r="P5211" i="1"/>
  <c r="Q5247" i="1"/>
  <c r="P5247" i="1"/>
  <c r="Q5256" i="1"/>
  <c r="P5256" i="1"/>
  <c r="Q5274" i="1"/>
  <c r="P5274" i="1"/>
  <c r="Q5319" i="1"/>
  <c r="P5319" i="1"/>
  <c r="Q5370" i="1"/>
  <c r="P5370" i="1"/>
  <c r="Q5500" i="1"/>
  <c r="P5500" i="1"/>
  <c r="Q5567" i="1"/>
  <c r="P5567" i="1"/>
  <c r="Q5611" i="1"/>
  <c r="P5611" i="1"/>
  <c r="Q5616" i="1"/>
  <c r="P5616" i="1"/>
  <c r="Q5837" i="1"/>
  <c r="P5837" i="1"/>
  <c r="Q5946" i="1"/>
  <c r="P5946" i="1"/>
  <c r="P5109" i="1"/>
  <c r="P5135" i="1"/>
  <c r="Q5152" i="1"/>
  <c r="P5152" i="1"/>
  <c r="Q5279" i="1"/>
  <c r="P5279" i="1"/>
  <c r="Q5288" i="1"/>
  <c r="P5288" i="1"/>
  <c r="Q5411" i="1"/>
  <c r="P5411" i="1"/>
  <c r="Q5416" i="1"/>
  <c r="P5416" i="1"/>
  <c r="Q5438" i="1"/>
  <c r="P5438" i="1"/>
  <c r="Q5445" i="1"/>
  <c r="P5445" i="1"/>
  <c r="Q5450" i="1"/>
  <c r="P5450" i="1"/>
  <c r="Q5455" i="1"/>
  <c r="P5455" i="1"/>
  <c r="Q5461" i="1"/>
  <c r="P5461" i="1"/>
  <c r="P5589" i="1"/>
  <c r="Q5724" i="1"/>
  <c r="P5724" i="1"/>
  <c r="Q5756" i="1"/>
  <c r="P5756" i="1"/>
  <c r="Q5762" i="1"/>
  <c r="P5762" i="1"/>
  <c r="Q5810" i="1"/>
  <c r="P5810" i="1"/>
  <c r="P5815" i="1"/>
  <c r="P5821" i="1"/>
  <c r="Q5821" i="1"/>
  <c r="Q5827" i="1"/>
  <c r="P5827" i="1"/>
  <c r="P5952" i="1"/>
  <c r="Q5952" i="1"/>
  <c r="Q5811" i="1"/>
  <c r="P5811" i="1"/>
  <c r="P5934" i="1"/>
  <c r="Q5934" i="1"/>
  <c r="Q5034" i="1"/>
  <c r="P5034" i="1"/>
  <c r="Q5104" i="1"/>
  <c r="P5104" i="1"/>
  <c r="P5246" i="1"/>
  <c r="Q5246" i="1"/>
  <c r="Q5263" i="1"/>
  <c r="P5263" i="1"/>
  <c r="P5337" i="1"/>
  <c r="Q5337" i="1"/>
  <c r="Q5420" i="1"/>
  <c r="P5420" i="1"/>
  <c r="Q5568" i="1"/>
  <c r="P5568" i="1"/>
  <c r="Q5619" i="1"/>
  <c r="P5619" i="1"/>
  <c r="Q5680" i="1"/>
  <c r="P5680" i="1"/>
  <c r="Q5722" i="1"/>
  <c r="P5722" i="1"/>
  <c r="P5743" i="1"/>
  <c r="Q5743" i="1"/>
  <c r="P5790" i="1"/>
  <c r="Q5790" i="1"/>
  <c r="Q5860" i="1"/>
  <c r="P5860" i="1"/>
  <c r="Q5876" i="1"/>
  <c r="P5876" i="1"/>
  <c r="P5881" i="1"/>
  <c r="Q5881" i="1"/>
  <c r="Q5972" i="1"/>
  <c r="P5972" i="1"/>
  <c r="P5085" i="1"/>
  <c r="Q5085" i="1"/>
  <c r="Q5214" i="1"/>
  <c r="P5214" i="1"/>
  <c r="Q5231" i="1"/>
  <c r="P5231" i="1"/>
  <c r="P5305" i="1"/>
  <c r="Q5305" i="1"/>
  <c r="P5391" i="1"/>
  <c r="Q5391" i="1"/>
  <c r="Q5396" i="1"/>
  <c r="P5396" i="1"/>
  <c r="Q5432" i="1"/>
  <c r="P5432" i="1"/>
  <c r="Q5477" i="1"/>
  <c r="P5477" i="1"/>
  <c r="P5492" i="1"/>
  <c r="Q5564" i="1"/>
  <c r="P5564" i="1"/>
  <c r="Q5626" i="1"/>
  <c r="P5626" i="1"/>
  <c r="Q5631" i="1"/>
  <c r="P5631" i="1"/>
  <c r="Q5636" i="1"/>
  <c r="P5636" i="1"/>
  <c r="Q5656" i="1"/>
  <c r="P5656" i="1"/>
  <c r="Q5692" i="1"/>
  <c r="P5692" i="1"/>
  <c r="Q5698" i="1"/>
  <c r="P5698" i="1"/>
  <c r="Q5834" i="1"/>
  <c r="P5834" i="1"/>
  <c r="P5872" i="1"/>
  <c r="Q5872" i="1"/>
  <c r="Q5915" i="1"/>
  <c r="P5915" i="1"/>
  <c r="Q5958" i="1"/>
  <c r="P5958" i="1"/>
  <c r="P5967" i="1"/>
  <c r="Q5967" i="1"/>
  <c r="Q5545" i="1"/>
  <c r="P5545" i="1"/>
  <c r="Q5725" i="1"/>
  <c r="P5725" i="1"/>
  <c r="P5814" i="1"/>
  <c r="Q5814" i="1"/>
  <c r="Q5852" i="1"/>
  <c r="P5852" i="1"/>
  <c r="Q5857" i="1"/>
  <c r="P5857" i="1"/>
  <c r="Q5899" i="1"/>
  <c r="P5899" i="1"/>
  <c r="Q5311" i="1"/>
  <c r="P5311" i="1"/>
  <c r="Q5324" i="1"/>
  <c r="P5324" i="1"/>
  <c r="Q5408" i="1"/>
  <c r="P5408" i="1"/>
  <c r="Q5413" i="1"/>
  <c r="P5413" i="1"/>
  <c r="Q5572" i="1"/>
  <c r="P5572" i="1"/>
  <c r="Q5577" i="1"/>
  <c r="P5577" i="1"/>
  <c r="Q5652" i="1"/>
  <c r="P5652" i="1"/>
  <c r="Q5672" i="1"/>
  <c r="P5672" i="1"/>
  <c r="Q5684" i="1"/>
  <c r="P5684" i="1"/>
  <c r="P5719" i="1"/>
  <c r="Q5719" i="1"/>
  <c r="P5799" i="1"/>
  <c r="Q5799" i="1"/>
  <c r="Q5922" i="1"/>
  <c r="P5922" i="1"/>
  <c r="Q5123" i="1"/>
  <c r="P5123" i="1"/>
  <c r="Q5423" i="1"/>
  <c r="P5423" i="1"/>
  <c r="P5566" i="1"/>
  <c r="Q5566" i="1"/>
  <c r="P5622" i="1"/>
  <c r="Q5662" i="1"/>
  <c r="Q5709" i="1"/>
  <c r="P5709" i="1"/>
  <c r="Q5826" i="1"/>
  <c r="P5826" i="1"/>
  <c r="Q5836" i="1"/>
  <c r="P5836" i="1"/>
  <c r="Q5890" i="1"/>
  <c r="P5890" i="1"/>
  <c r="P5975" i="1"/>
  <c r="Q5975" i="1"/>
  <c r="Q5441" i="1"/>
  <c r="P5441" i="1"/>
  <c r="Q5519" i="1"/>
  <c r="P5519" i="1"/>
  <c r="Q5644" i="1"/>
  <c r="P5644" i="1"/>
  <c r="P5659" i="1"/>
  <c r="Q5659" i="1"/>
  <c r="P5741" i="1"/>
  <c r="P5767" i="1"/>
  <c r="Q5767" i="1"/>
  <c r="P5792" i="1"/>
  <c r="Q5792" i="1"/>
  <c r="P5823" i="1"/>
  <c r="Q5844" i="1"/>
  <c r="P5844" i="1"/>
  <c r="Q5906" i="1"/>
  <c r="P5906" i="1"/>
  <c r="P5968" i="1"/>
  <c r="Q5327" i="1"/>
  <c r="P5327" i="1"/>
  <c r="P5389" i="1"/>
  <c r="P5393" i="1"/>
  <c r="P5474" i="1"/>
  <c r="Q5502" i="1"/>
  <c r="P5502" i="1"/>
  <c r="Q5529" i="1"/>
  <c r="P5529" i="1"/>
  <c r="P5538" i="1"/>
  <c r="Q5548" i="1"/>
  <c r="P5548" i="1"/>
  <c r="Q5562" i="1"/>
  <c r="P5562" i="1"/>
  <c r="Q5573" i="1"/>
  <c r="P5573" i="1"/>
  <c r="P5635" i="1"/>
  <c r="Q5715" i="1"/>
  <c r="Q5741" i="1"/>
  <c r="Q5752" i="1"/>
  <c r="P5752" i="1"/>
  <c r="P5772" i="1"/>
  <c r="Q5823" i="1"/>
  <c r="Q5870" i="1"/>
  <c r="Q5901" i="1"/>
  <c r="P5901" i="1"/>
  <c r="Q5907" i="1"/>
  <c r="P5907" i="1"/>
  <c r="P5933" i="1"/>
  <c r="Q5939" i="1"/>
  <c r="P5939" i="1"/>
  <c r="Q5968" i="1"/>
  <c r="Q5024" i="1"/>
  <c r="P5024" i="1"/>
  <c r="Q5056" i="1"/>
  <c r="P5056" i="1"/>
  <c r="Q5295" i="1"/>
  <c r="P5295" i="1"/>
  <c r="Q5356" i="1"/>
  <c r="P5356" i="1"/>
  <c r="P5403" i="1"/>
  <c r="Q5484" i="1"/>
  <c r="P5484" i="1"/>
  <c r="Q5493" i="1"/>
  <c r="P5493" i="1"/>
  <c r="Q5649" i="1"/>
  <c r="P5649" i="1"/>
  <c r="Q5681" i="1"/>
  <c r="P5681" i="1"/>
  <c r="Q5716" i="1"/>
  <c r="P5716" i="1"/>
  <c r="Q5747" i="1"/>
  <c r="P5747" i="1"/>
  <c r="P5918" i="1"/>
  <c r="Q5918" i="1"/>
  <c r="Q5924" i="1"/>
  <c r="P5924" i="1"/>
  <c r="Q5969" i="1"/>
  <c r="P5969" i="1"/>
  <c r="Q5980" i="1"/>
  <c r="P5980" i="1"/>
  <c r="Q5436" i="1"/>
  <c r="P5436" i="1"/>
  <c r="Q5513" i="1"/>
  <c r="P5513" i="1"/>
  <c r="P5871" i="1"/>
  <c r="Q5871" i="1"/>
  <c r="Q5891" i="1"/>
  <c r="P5891" i="1"/>
  <c r="Q5926" i="1"/>
  <c r="P5926" i="1"/>
  <c r="P5951" i="1"/>
  <c r="Q5951" i="1"/>
  <c r="Q5506" i="1"/>
  <c r="P5506" i="1"/>
  <c r="P5758" i="1"/>
  <c r="Q5758" i="1"/>
  <c r="Q5773" i="1"/>
  <c r="P5773" i="1"/>
  <c r="Q5832" i="1"/>
  <c r="P5832" i="1"/>
  <c r="Q5937" i="1"/>
  <c r="P5937" i="1"/>
  <c r="Q5985" i="1"/>
  <c r="P5985" i="1"/>
  <c r="Q5994" i="1"/>
  <c r="P5994" i="1"/>
  <c r="Q5449" i="1"/>
  <c r="P5449" i="1"/>
  <c r="Q5664" i="1"/>
  <c r="P5664" i="1"/>
  <c r="Q5828" i="1"/>
  <c r="P5828" i="1"/>
  <c r="P5847" i="1"/>
  <c r="Q5847" i="1"/>
  <c r="P5887" i="1"/>
  <c r="Q5887" i="1"/>
  <c r="Q5917" i="1"/>
  <c r="P5917" i="1"/>
  <c r="Q5942" i="1"/>
  <c r="P5942" i="1"/>
  <c r="Q5962" i="1"/>
  <c r="P5962" i="1"/>
  <c r="Q5433" i="1"/>
  <c r="P5433" i="1"/>
  <c r="P5437" i="1"/>
  <c r="P5539" i="1"/>
  <c r="Q5543" i="1"/>
  <c r="Q5586" i="1"/>
  <c r="P5603" i="1"/>
  <c r="P5615" i="1"/>
  <c r="P5650" i="1"/>
  <c r="P5655" i="1"/>
  <c r="Q5711" i="1"/>
  <c r="Q5745" i="1"/>
  <c r="P5745" i="1"/>
  <c r="P5759" i="1"/>
  <c r="Q5759" i="1"/>
  <c r="P5764" i="1"/>
  <c r="Q5769" i="1"/>
  <c r="P5769" i="1"/>
  <c r="P5783" i="1"/>
  <c r="Q5783" i="1"/>
  <c r="Q5798" i="1"/>
  <c r="P5798" i="1"/>
  <c r="Q5807" i="1"/>
  <c r="P5912" i="1"/>
  <c r="Q5953" i="1"/>
  <c r="P5953" i="1"/>
  <c r="Q5574" i="1"/>
  <c r="P5574" i="1"/>
  <c r="P5669" i="1"/>
  <c r="Q5669" i="1"/>
  <c r="P5703" i="1"/>
  <c r="Q5731" i="1"/>
  <c r="Q5735" i="1"/>
  <c r="P5754" i="1"/>
  <c r="P5808" i="1"/>
  <c r="Q5808" i="1"/>
  <c r="P5853" i="1"/>
  <c r="P5858" i="1"/>
  <c r="P5883" i="1"/>
  <c r="Q5928" i="1"/>
  <c r="P5928" i="1"/>
  <c r="P5646" i="1"/>
  <c r="P5824" i="1"/>
  <c r="Q5824" i="1"/>
  <c r="P5879" i="1"/>
  <c r="Q5879" i="1"/>
  <c r="P5888" i="1"/>
  <c r="Q5816" i="1"/>
  <c r="P5816" i="1"/>
  <c r="P5903" i="1"/>
  <c r="Q5903" i="1"/>
  <c r="Q5921" i="1"/>
  <c r="P5921" i="1"/>
  <c r="P5944" i="1"/>
  <c r="P5984" i="1"/>
  <c r="Q5465" i="1"/>
  <c r="P5465" i="1"/>
  <c r="Q5558" i="1"/>
  <c r="P5558" i="1"/>
  <c r="Q5578" i="1"/>
  <c r="P5578" i="1"/>
  <c r="Q5621" i="1"/>
  <c r="P5621" i="1"/>
  <c r="Q5713" i="1"/>
  <c r="P5713" i="1"/>
  <c r="P5840" i="1"/>
  <c r="Q5840" i="1"/>
  <c r="Q5417" i="1"/>
  <c r="P5417" i="1"/>
  <c r="Q5697" i="1"/>
  <c r="P5697" i="1"/>
  <c r="P5863" i="1"/>
  <c r="Q5863" i="1"/>
  <c r="Q5873" i="1"/>
  <c r="P5873" i="1"/>
  <c r="Q5990" i="1"/>
  <c r="P5990" i="1"/>
  <c r="Q5582" i="1"/>
  <c r="Q5726" i="1"/>
  <c r="Q5761" i="1"/>
  <c r="P5761" i="1"/>
  <c r="Q5818" i="1"/>
  <c r="P5818" i="1"/>
  <c r="Q5831" i="1"/>
  <c r="Q5841" i="1"/>
  <c r="P5841" i="1"/>
  <c r="Q5868" i="1"/>
  <c r="P5882" i="1"/>
  <c r="Q5923" i="1"/>
  <c r="P5923" i="1"/>
  <c r="Q5959" i="1"/>
  <c r="Q5986" i="1"/>
  <c r="P5986" i="1"/>
  <c r="Q5905" i="1"/>
  <c r="P5905" i="1"/>
  <c r="Q6000" i="1"/>
  <c r="P6000" i="1"/>
  <c r="Q5793" i="1"/>
  <c r="P5793" i="1"/>
  <c r="P5911" i="1"/>
  <c r="P5982" i="1"/>
  <c r="Q5982" i="1"/>
  <c r="P5608" i="1"/>
  <c r="Q5809" i="1"/>
  <c r="P5809" i="1"/>
  <c r="P5848" i="1"/>
  <c r="Q5895" i="1"/>
  <c r="P5931" i="1"/>
  <c r="Q5950" i="1"/>
  <c r="P5974" i="1"/>
  <c r="P5978" i="1"/>
  <c r="Q6001" i="1"/>
  <c r="P6001" i="1"/>
  <c r="Q5598" i="1"/>
  <c r="P5706" i="1"/>
  <c r="Q5729" i="1"/>
  <c r="P5729" i="1"/>
  <c r="Q5751" i="1"/>
  <c r="P5770" i="1"/>
  <c r="Q5825" i="1"/>
  <c r="P5825" i="1"/>
  <c r="Q5911" i="1"/>
  <c r="P5943" i="1"/>
  <c r="Q5966" i="1"/>
</calcChain>
</file>

<file path=xl/sharedStrings.xml><?xml version="1.0" encoding="utf-8"?>
<sst xmlns="http://schemas.openxmlformats.org/spreadsheetml/2006/main" count="36027" uniqueCount="238">
  <si>
    <t>Counterparty_ID</t>
  </si>
  <si>
    <t>Counterparty_Name</t>
  </si>
  <si>
    <t>Sector</t>
  </si>
  <si>
    <t>Region</t>
  </si>
  <si>
    <t>Type</t>
  </si>
  <si>
    <t>Date</t>
  </si>
  <si>
    <t>Interest_Rate (%)</t>
  </si>
  <si>
    <t>FX_Rate (₹/USD)</t>
  </si>
  <si>
    <t>Volatility_Index</t>
  </si>
  <si>
    <t>Commodity_Price (USD)</t>
  </si>
  <si>
    <t>Credit_Rating</t>
  </si>
  <si>
    <t>Exposure_INR_Cr</t>
  </si>
  <si>
    <t>Annual_PD</t>
  </si>
  <si>
    <t>Monthly_PD</t>
  </si>
  <si>
    <t>LGD</t>
  </si>
  <si>
    <t>Expected_Loss_INR_Cr</t>
  </si>
  <si>
    <t>Default_Flag</t>
  </si>
  <si>
    <t>CP0001</t>
  </si>
  <si>
    <t>Reliance Industries</t>
  </si>
  <si>
    <t>Metals</t>
  </si>
  <si>
    <t>India</t>
  </si>
  <si>
    <t>Corporate</t>
  </si>
  <si>
    <t>BBB</t>
  </si>
  <si>
    <t>A</t>
  </si>
  <si>
    <t>CP0002</t>
  </si>
  <si>
    <t>HDFC Bank</t>
  </si>
  <si>
    <t>Infrastructure</t>
  </si>
  <si>
    <t>CP0003</t>
  </si>
  <si>
    <t>Infosys Ltd</t>
  </si>
  <si>
    <t>Utilities</t>
  </si>
  <si>
    <t>BB</t>
  </si>
  <si>
    <t>B</t>
  </si>
  <si>
    <t>CCC</t>
  </si>
  <si>
    <t>CP0004</t>
  </si>
  <si>
    <t>Tata Consultancy Services</t>
  </si>
  <si>
    <t>Consumer</t>
  </si>
  <si>
    <t>CP0005</t>
  </si>
  <si>
    <t>Tata Steel</t>
  </si>
  <si>
    <t>CP0006</t>
  </si>
  <si>
    <t>State Bank of India</t>
  </si>
  <si>
    <t>Transport</t>
  </si>
  <si>
    <t>CP0007</t>
  </si>
  <si>
    <t>ICICI Bank</t>
  </si>
  <si>
    <t>Technology</t>
  </si>
  <si>
    <t>CP0008</t>
  </si>
  <si>
    <t>Adani Enterprises</t>
  </si>
  <si>
    <t>CP0009</t>
  </si>
  <si>
    <t>Larsen &amp; Toubro</t>
  </si>
  <si>
    <t>AA</t>
  </si>
  <si>
    <t>CP0010</t>
  </si>
  <si>
    <t>ONGC</t>
  </si>
  <si>
    <t>CP0011</t>
  </si>
  <si>
    <t>Indian Oil</t>
  </si>
  <si>
    <t>CP0012</t>
  </si>
  <si>
    <t>Bajaj Finance</t>
  </si>
  <si>
    <t>CP0013</t>
  </si>
  <si>
    <t>Hindustan Unilever</t>
  </si>
  <si>
    <t>CP0014</t>
  </si>
  <si>
    <t>Maruti Suzuki</t>
  </si>
  <si>
    <t>CP0015</t>
  </si>
  <si>
    <t>Axis Bank</t>
  </si>
  <si>
    <t>Healthcare</t>
  </si>
  <si>
    <t>CP0016</t>
  </si>
  <si>
    <t>Power Grid Corporation</t>
  </si>
  <si>
    <t>CP0017</t>
  </si>
  <si>
    <t>Vedanta Ltd</t>
  </si>
  <si>
    <t>Energy</t>
  </si>
  <si>
    <t>CP0018</t>
  </si>
  <si>
    <t>NTPC Ltd</t>
  </si>
  <si>
    <t>CP0019</t>
  </si>
  <si>
    <t>Sun Pharma</t>
  </si>
  <si>
    <t>CP0020</t>
  </si>
  <si>
    <t>Dr. Reddy's Laboratories</t>
  </si>
  <si>
    <t>CP0021</t>
  </si>
  <si>
    <t>Mahindra &amp; Mahindra</t>
  </si>
  <si>
    <t>CP0022</t>
  </si>
  <si>
    <t>Kotak Mahindra Bank</t>
  </si>
  <si>
    <t>Banking</t>
  </si>
  <si>
    <t>CP0023</t>
  </si>
  <si>
    <t>Bharti Airtel</t>
  </si>
  <si>
    <t>CP0024</t>
  </si>
  <si>
    <t>UltraTech Cement</t>
  </si>
  <si>
    <t>AAA</t>
  </si>
  <si>
    <t>CP0025</t>
  </si>
  <si>
    <t>Coal India</t>
  </si>
  <si>
    <t>Real Estate</t>
  </si>
  <si>
    <t>CP0026</t>
  </si>
  <si>
    <t>Bajaj Auto</t>
  </si>
  <si>
    <t>CP0027</t>
  </si>
  <si>
    <t>Tata Motors</t>
  </si>
  <si>
    <t>CP0028</t>
  </si>
  <si>
    <t>JSW Steel</t>
  </si>
  <si>
    <t>CP0029</t>
  </si>
  <si>
    <t>Ambuja Cements</t>
  </si>
  <si>
    <t>CP0030</t>
  </si>
  <si>
    <t>GAIL India</t>
  </si>
  <si>
    <t>CP0031</t>
  </si>
  <si>
    <t>Grasim Industries</t>
  </si>
  <si>
    <t>CP0032</t>
  </si>
  <si>
    <t>HCL Technologies</t>
  </si>
  <si>
    <t>CP0033</t>
  </si>
  <si>
    <t>Asian Paints</t>
  </si>
  <si>
    <t>CP0034</t>
  </si>
  <si>
    <t>Britannia Industries</t>
  </si>
  <si>
    <t>CP0035</t>
  </si>
  <si>
    <t>IDFC First Bank</t>
  </si>
  <si>
    <t>CP0036</t>
  </si>
  <si>
    <t>IndusInd Bank</t>
  </si>
  <si>
    <t>CP0037</t>
  </si>
  <si>
    <t>BPCL</t>
  </si>
  <si>
    <t>CP0038</t>
  </si>
  <si>
    <t>TVS Motor</t>
  </si>
  <si>
    <t>CP0039</t>
  </si>
  <si>
    <t>Wipro Ltd</t>
  </si>
  <si>
    <t>CP0040</t>
  </si>
  <si>
    <t>Tata Power</t>
  </si>
  <si>
    <t>CP0041</t>
  </si>
  <si>
    <t>NHPC</t>
  </si>
  <si>
    <t>CP0042</t>
  </si>
  <si>
    <t>SBI Life</t>
  </si>
  <si>
    <t>CP0043</t>
  </si>
  <si>
    <t>Eicher Motors</t>
  </si>
  <si>
    <t>CP0044</t>
  </si>
  <si>
    <t>Zomato Ltd</t>
  </si>
  <si>
    <t>CP0045</t>
  </si>
  <si>
    <t>Nestle India</t>
  </si>
  <si>
    <t>CP0046</t>
  </si>
  <si>
    <t>Hindalco Industries</t>
  </si>
  <si>
    <t>CP0047</t>
  </si>
  <si>
    <t>Torrent Pharma</t>
  </si>
  <si>
    <t>CP0048</t>
  </si>
  <si>
    <t>HDFC Life</t>
  </si>
  <si>
    <t>CP0049</t>
  </si>
  <si>
    <t>Canara Bank</t>
  </si>
  <si>
    <t>CP0050</t>
  </si>
  <si>
    <t>Bank of Baroda</t>
  </si>
  <si>
    <t>CP0051</t>
  </si>
  <si>
    <t>SBI Cards</t>
  </si>
  <si>
    <t>CP0052</t>
  </si>
  <si>
    <t>Cipla</t>
  </si>
  <si>
    <t>CP0053</t>
  </si>
  <si>
    <t>Hero MotoCorp</t>
  </si>
  <si>
    <t>CP0054</t>
  </si>
  <si>
    <t>UltraTech</t>
  </si>
  <si>
    <t>CP0055</t>
  </si>
  <si>
    <t>Adani Ports</t>
  </si>
  <si>
    <t>CP0056</t>
  </si>
  <si>
    <t>Tata Consumer</t>
  </si>
  <si>
    <t>CP0057</t>
  </si>
  <si>
    <t>Piramal Enterprises</t>
  </si>
  <si>
    <t>CP0058</t>
  </si>
  <si>
    <t>Motherson Sumi</t>
  </si>
  <si>
    <t>CP0059</t>
  </si>
  <si>
    <t>Ambuja</t>
  </si>
  <si>
    <t>CP0060</t>
  </si>
  <si>
    <t>ICICI Prudential</t>
  </si>
  <si>
    <t>CP0061</t>
  </si>
  <si>
    <t>REC Ltd</t>
  </si>
  <si>
    <t>CP0062</t>
  </si>
  <si>
    <t>Bharat Petroleum</t>
  </si>
  <si>
    <t>CP0063</t>
  </si>
  <si>
    <t>NMDC</t>
  </si>
  <si>
    <t>CP0064</t>
  </si>
  <si>
    <t>Indian Overseas Bank</t>
  </si>
  <si>
    <t>CP0065</t>
  </si>
  <si>
    <t>Future Enterprises</t>
  </si>
  <si>
    <t>CP0066</t>
  </si>
  <si>
    <t>Philips India</t>
  </si>
  <si>
    <t>CP0067</t>
  </si>
  <si>
    <t>Tata Communications</t>
  </si>
  <si>
    <t>CP0068</t>
  </si>
  <si>
    <t>InterGlobe Aviation</t>
  </si>
  <si>
    <t>CP0069</t>
  </si>
  <si>
    <t>JSW Energy</t>
  </si>
  <si>
    <t>CP0070</t>
  </si>
  <si>
    <t>Coal Gas Ltd</t>
  </si>
  <si>
    <t>CP0071</t>
  </si>
  <si>
    <t>Coromandel Intl</t>
  </si>
  <si>
    <t>CP0072</t>
  </si>
  <si>
    <t>MRF Ltd</t>
  </si>
  <si>
    <t>CP0073</t>
  </si>
  <si>
    <t>Sundaram Finance</t>
  </si>
  <si>
    <t>CP0074</t>
  </si>
  <si>
    <t>ABB India</t>
  </si>
  <si>
    <t>CP0075</t>
  </si>
  <si>
    <t>Biocon</t>
  </si>
  <si>
    <t>CP0076</t>
  </si>
  <si>
    <t>Apple Inc</t>
  </si>
  <si>
    <t>International</t>
  </si>
  <si>
    <t>CP0077</t>
  </si>
  <si>
    <t>Microsoft Corp</t>
  </si>
  <si>
    <t>CP0078</t>
  </si>
  <si>
    <t>JPMorgan Chase</t>
  </si>
  <si>
    <t>CP0079</t>
  </si>
  <si>
    <t>HSBC Holdings</t>
  </si>
  <si>
    <t>CP0080</t>
  </si>
  <si>
    <t>Shell Plc</t>
  </si>
  <si>
    <t>CP0081</t>
  </si>
  <si>
    <t>Saudi Aramco</t>
  </si>
  <si>
    <t>CP0082</t>
  </si>
  <si>
    <t>Toyota Motor</t>
  </si>
  <si>
    <t>CP0083</t>
  </si>
  <si>
    <t>BP Plc</t>
  </si>
  <si>
    <t>CP0084</t>
  </si>
  <si>
    <t>TotalEnergies</t>
  </si>
  <si>
    <t>CP0085</t>
  </si>
  <si>
    <t>Siemens AG</t>
  </si>
  <si>
    <t>CP0086</t>
  </si>
  <si>
    <t>Samsung Electronics</t>
  </si>
  <si>
    <t>CP0087</t>
  </si>
  <si>
    <t>Volkswagen AG</t>
  </si>
  <si>
    <t>CP0088</t>
  </si>
  <si>
    <t>Bayer AG</t>
  </si>
  <si>
    <t>CP0089</t>
  </si>
  <si>
    <t>GlaxoSmithKline</t>
  </si>
  <si>
    <t>CP0090</t>
  </si>
  <si>
    <t>Novartis</t>
  </si>
  <si>
    <t>CP0091</t>
  </si>
  <si>
    <t>Goldman Sachs</t>
  </si>
  <si>
    <t>CP0092</t>
  </si>
  <si>
    <t>Barclays Plc</t>
  </si>
  <si>
    <t>CP0093</t>
  </si>
  <si>
    <t>UBS Group</t>
  </si>
  <si>
    <t>CP0094</t>
  </si>
  <si>
    <t>Mitsubishi Corp</t>
  </si>
  <si>
    <t>CP0095</t>
  </si>
  <si>
    <t>Exxon Mobil</t>
  </si>
  <si>
    <t>CP0096</t>
  </si>
  <si>
    <t>Facebook (Meta)</t>
  </si>
  <si>
    <t>CP0097</t>
  </si>
  <si>
    <t>Alphabet Inc</t>
  </si>
  <si>
    <t>CP0098</t>
  </si>
  <si>
    <t>Tesla Inc</t>
  </si>
  <si>
    <t>CP0099</t>
  </si>
  <si>
    <t>Airbus SE</t>
  </si>
  <si>
    <t>CP0100</t>
  </si>
  <si>
    <t>Siemens Energy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</si>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</sst>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01"/>
  <sheetViews>
    <sheetView tabSelected="1" topLeftCell="A1715" workbookViewId="0">
      <selection activeCell="K2512" sqref="K2512:K2521"/>
    </sheetView>
  </sheetViews>
  <sheetFormatPr defaultRowHeight="14.25" x14ac:dyDescent="0.45"/>
  <cols>
    <col min="2" max="2" width="16.73046875" customWidth="1"/>
    <col min="6" max="6" width="16.53125" bestFit="1" customWidth="1"/>
    <col min="7" max="7" width="14.46484375" bestFit="1" customWidth="1"/>
    <col min="8" max="8" width="13.9296875" bestFit="1" customWidth="1"/>
    <col min="9" max="9" width="13.06640625" bestFit="1" customWidth="1"/>
    <col min="10" max="10" width="19.73046875" bestFit="1" customWidth="1"/>
    <col min="11" max="11" width="11.46484375" bestFit="1" customWidth="1"/>
    <col min="12" max="12" width="14.265625" bestFit="1" customWidth="1"/>
    <col min="13" max="13" width="9.3984375" bestFit="1" customWidth="1"/>
    <col min="14" max="14" width="11.73046875" bestFit="1" customWidth="1"/>
    <col min="15" max="15" width="4.73046875" bestFit="1" customWidth="1"/>
    <col min="17" max="17" width="10.664062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1">
        <v>43831</v>
      </c>
      <c r="G2">
        <v>6.57</v>
      </c>
      <c r="H2">
        <v>80.3065</v>
      </c>
      <c r="I2">
        <v>8.7100000000000009</v>
      </c>
      <c r="J2">
        <v>71.569999999999993</v>
      </c>
      <c r="K2" t="s">
        <v>22</v>
      </c>
      <c r="L2">
        <v>1189.72</v>
      </c>
      <c r="M2">
        <f>VLOOKUP(K2,RatingLookup!$A$2:$C$8,2,FALSE)</f>
        <v>5.0000000000000001E-3</v>
      </c>
      <c r="N2">
        <f t="shared" ref="N2:N65" si="0">1-(1-M2)^(1/12)</f>
        <v>4.1762458919303302E-4</v>
      </c>
      <c r="O2">
        <f>VLOOKUP(K2,RatingLookup!$A$2:$C$8,3,FALSE)</f>
        <v>0.45</v>
      </c>
      <c r="P2">
        <f t="shared" ref="P2:P65" si="1">L2*N2*O2</f>
        <v>0.22358534681463085</v>
      </c>
      <c r="Q2" t="str">
        <f t="shared" ref="Q2:Q65" ca="1" si="2">IF(RAND()&lt;N2,"Yes","No")</f>
        <v>No</v>
      </c>
    </row>
    <row r="3" spans="1:17" x14ac:dyDescent="0.4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1">
        <v>43862</v>
      </c>
      <c r="G3">
        <v>5.85</v>
      </c>
      <c r="H3">
        <v>86.158699999999996</v>
      </c>
      <c r="I3">
        <v>15.24</v>
      </c>
      <c r="J3">
        <v>75.97</v>
      </c>
      <c r="K3" t="s">
        <v>22</v>
      </c>
      <c r="L3">
        <v>1146.1099999999999</v>
      </c>
      <c r="M3">
        <f>VLOOKUP(K3,RatingLookup!$A$2:$C$8,2,FALSE)</f>
        <v>5.0000000000000001E-3</v>
      </c>
      <c r="N3">
        <f t="shared" si="0"/>
        <v>4.1762458919303302E-4</v>
      </c>
      <c r="O3">
        <f>VLOOKUP(K3,RatingLookup!$A$2:$C$8,3,FALSE)</f>
        <v>0.45</v>
      </c>
      <c r="P3">
        <f t="shared" si="1"/>
        <v>0.21538967306401216</v>
      </c>
      <c r="Q3" t="str">
        <f t="shared" ca="1" si="2"/>
        <v>No</v>
      </c>
    </row>
    <row r="4" spans="1:17" x14ac:dyDescent="0.4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1">
        <v>43891</v>
      </c>
      <c r="G4">
        <v>5.09</v>
      </c>
      <c r="H4">
        <v>81.381500000000003</v>
      </c>
      <c r="I4">
        <v>16.36</v>
      </c>
      <c r="J4">
        <v>69.16</v>
      </c>
      <c r="K4" t="s">
        <v>22</v>
      </c>
      <c r="L4">
        <v>1150.3399999999999</v>
      </c>
      <c r="M4">
        <f>VLOOKUP(K4,RatingLookup!$A$2:$C$8,2,FALSE)</f>
        <v>5.0000000000000001E-3</v>
      </c>
      <c r="N4">
        <f t="shared" si="0"/>
        <v>4.1762458919303302E-4</v>
      </c>
      <c r="O4">
        <f>VLOOKUP(K4,RatingLookup!$A$2:$C$8,3,FALSE)</f>
        <v>0.45</v>
      </c>
      <c r="P4">
        <f t="shared" si="1"/>
        <v>0.21618462146954109</v>
      </c>
      <c r="Q4" t="str">
        <f t="shared" ca="1" si="2"/>
        <v>No</v>
      </c>
    </row>
    <row r="5" spans="1:17" x14ac:dyDescent="0.4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s="1">
        <v>43922</v>
      </c>
      <c r="G5">
        <v>6.16</v>
      </c>
      <c r="H5">
        <v>81.248999999999995</v>
      </c>
      <c r="I5">
        <v>21.21</v>
      </c>
      <c r="J5">
        <v>107.17</v>
      </c>
      <c r="K5" t="s">
        <v>22</v>
      </c>
      <c r="L5">
        <v>1189.1300000000001</v>
      </c>
      <c r="M5">
        <f>VLOOKUP(K5,RatingLookup!$A$2:$C$8,2,FALSE)</f>
        <v>5.0000000000000001E-3</v>
      </c>
      <c r="N5">
        <f t="shared" si="0"/>
        <v>4.1762458919303302E-4</v>
      </c>
      <c r="O5">
        <f>VLOOKUP(K5,RatingLookup!$A$2:$C$8,3,FALSE)</f>
        <v>0.45</v>
      </c>
      <c r="P5">
        <f t="shared" si="1"/>
        <v>0.22347446748620012</v>
      </c>
      <c r="Q5" t="str">
        <f t="shared" ca="1" si="2"/>
        <v>No</v>
      </c>
    </row>
    <row r="6" spans="1:17" x14ac:dyDescent="0.4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s="1">
        <v>43952</v>
      </c>
      <c r="G6">
        <v>5.71</v>
      </c>
      <c r="H6">
        <v>84.395600000000002</v>
      </c>
      <c r="I6">
        <v>21.73</v>
      </c>
      <c r="J6">
        <v>85.73</v>
      </c>
      <c r="K6" t="s">
        <v>22</v>
      </c>
      <c r="L6">
        <v>1126.1300000000001</v>
      </c>
      <c r="M6">
        <f>VLOOKUP(K6,RatingLookup!$A$2:$C$8,2,FALSE)</f>
        <v>5.0000000000000001E-3</v>
      </c>
      <c r="N6">
        <f t="shared" si="0"/>
        <v>4.1762458919303302E-4</v>
      </c>
      <c r="O6">
        <f>VLOOKUP(K6,RatingLookup!$A$2:$C$8,3,FALSE)</f>
        <v>0.45</v>
      </c>
      <c r="P6">
        <f t="shared" si="1"/>
        <v>0.21163481038257764</v>
      </c>
      <c r="Q6" t="str">
        <f t="shared" ca="1" si="2"/>
        <v>No</v>
      </c>
    </row>
    <row r="7" spans="1:17" x14ac:dyDescent="0.4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s="1">
        <v>43983</v>
      </c>
      <c r="G7">
        <v>5.62</v>
      </c>
      <c r="H7">
        <v>84.942499999999995</v>
      </c>
      <c r="I7">
        <v>20.78</v>
      </c>
      <c r="J7">
        <v>64.05</v>
      </c>
      <c r="K7" t="s">
        <v>22</v>
      </c>
      <c r="L7">
        <v>1223.31</v>
      </c>
      <c r="M7">
        <f>VLOOKUP(K7,RatingLookup!$A$2:$C$8,2,FALSE)</f>
        <v>5.0000000000000001E-3</v>
      </c>
      <c r="N7">
        <f t="shared" si="0"/>
        <v>4.1762458919303302E-4</v>
      </c>
      <c r="O7">
        <f>VLOOKUP(K7,RatingLookup!$A$2:$C$8,3,FALSE)</f>
        <v>0.45</v>
      </c>
      <c r="P7">
        <f t="shared" si="1"/>
        <v>0.22989795129257817</v>
      </c>
      <c r="Q7" t="str">
        <f t="shared" ca="1" si="2"/>
        <v>No</v>
      </c>
    </row>
    <row r="8" spans="1:17" x14ac:dyDescent="0.4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s="1">
        <v>44013</v>
      </c>
      <c r="G8">
        <v>5.25</v>
      </c>
      <c r="H8">
        <v>81.841499999999996</v>
      </c>
      <c r="I8">
        <v>8.86</v>
      </c>
      <c r="J8">
        <v>86.77</v>
      </c>
      <c r="K8" t="s">
        <v>22</v>
      </c>
      <c r="L8">
        <v>1122.67</v>
      </c>
      <c r="M8">
        <f>VLOOKUP(K8,RatingLookup!$A$2:$C$8,2,FALSE)</f>
        <v>5.0000000000000001E-3</v>
      </c>
      <c r="N8">
        <f t="shared" si="0"/>
        <v>4.1762458919303302E-4</v>
      </c>
      <c r="O8">
        <f>VLOOKUP(K8,RatingLookup!$A$2:$C$8,3,FALSE)</f>
        <v>0.45</v>
      </c>
      <c r="P8">
        <f t="shared" si="1"/>
        <v>0.21098456889720407</v>
      </c>
      <c r="Q8" t="str">
        <f t="shared" ca="1" si="2"/>
        <v>No</v>
      </c>
    </row>
    <row r="9" spans="1:17" x14ac:dyDescent="0.4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s="1">
        <v>44044</v>
      </c>
      <c r="G9">
        <v>6.44</v>
      </c>
      <c r="H9">
        <v>82.068899999999999</v>
      </c>
      <c r="I9">
        <v>7.84</v>
      </c>
      <c r="J9">
        <v>65.27</v>
      </c>
      <c r="K9" t="s">
        <v>22</v>
      </c>
      <c r="L9">
        <v>1272.8900000000001</v>
      </c>
      <c r="M9">
        <f>VLOOKUP(K9,RatingLookup!$A$2:$C$8,2,FALSE)</f>
        <v>5.0000000000000001E-3</v>
      </c>
      <c r="N9">
        <f t="shared" si="0"/>
        <v>4.1762458919303302E-4</v>
      </c>
      <c r="O9">
        <f>VLOOKUP(K9,RatingLookup!$A$2:$C$8,3,FALSE)</f>
        <v>0.45</v>
      </c>
      <c r="P9">
        <f t="shared" si="1"/>
        <v>0.23921557350206393</v>
      </c>
      <c r="Q9" t="str">
        <f t="shared" ca="1" si="2"/>
        <v>No</v>
      </c>
    </row>
    <row r="10" spans="1:17" x14ac:dyDescent="0.4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s="1">
        <v>44075</v>
      </c>
      <c r="G10">
        <v>5.77</v>
      </c>
      <c r="H10">
        <v>81.963200000000001</v>
      </c>
      <c r="I10">
        <v>5</v>
      </c>
      <c r="J10">
        <v>89.7</v>
      </c>
      <c r="K10" t="s">
        <v>22</v>
      </c>
      <c r="L10">
        <v>1309.93</v>
      </c>
      <c r="M10">
        <f>VLOOKUP(K10,RatingLookup!$A$2:$C$8,2,FALSE)</f>
        <v>5.0000000000000001E-3</v>
      </c>
      <c r="N10">
        <f t="shared" si="0"/>
        <v>4.1762458919303302E-4</v>
      </c>
      <c r="O10">
        <f>VLOOKUP(K10,RatingLookup!$A$2:$C$8,3,FALSE)</f>
        <v>0.45</v>
      </c>
      <c r="P10">
        <f t="shared" si="1"/>
        <v>0.24617654015473339</v>
      </c>
      <c r="Q10" t="str">
        <f t="shared" ca="1" si="2"/>
        <v>No</v>
      </c>
    </row>
    <row r="11" spans="1:17" x14ac:dyDescent="0.4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s="1">
        <v>44105</v>
      </c>
      <c r="G11">
        <v>6.51</v>
      </c>
      <c r="H11">
        <v>83.410399999999996</v>
      </c>
      <c r="I11">
        <v>9.02</v>
      </c>
      <c r="J11">
        <v>77.7</v>
      </c>
      <c r="K11" t="s">
        <v>22</v>
      </c>
      <c r="L11">
        <v>1260.47</v>
      </c>
      <c r="M11">
        <f>VLOOKUP(K11,RatingLookup!$A$2:$C$8,2,FALSE)</f>
        <v>5.0000000000000001E-3</v>
      </c>
      <c r="N11">
        <f t="shared" si="0"/>
        <v>4.1762458919303302E-4</v>
      </c>
      <c r="O11">
        <f>VLOOKUP(K11,RatingLookup!$A$2:$C$8,3,FALSE)</f>
        <v>0.45</v>
      </c>
      <c r="P11">
        <f t="shared" si="1"/>
        <v>0.23688146967306403</v>
      </c>
      <c r="Q11" t="str">
        <f t="shared" ca="1" si="2"/>
        <v>No</v>
      </c>
    </row>
    <row r="12" spans="1:17" x14ac:dyDescent="0.4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s="1">
        <v>44136</v>
      </c>
      <c r="G12">
        <v>4.9800000000000004</v>
      </c>
      <c r="H12">
        <v>84.176500000000004</v>
      </c>
      <c r="I12">
        <v>22</v>
      </c>
      <c r="J12">
        <v>53.46</v>
      </c>
      <c r="K12" t="s">
        <v>22</v>
      </c>
      <c r="L12">
        <v>1058.21</v>
      </c>
      <c r="M12">
        <f>VLOOKUP(K12,RatingLookup!$A$2:$C$8,2,FALSE)</f>
        <v>5.0000000000000001E-3</v>
      </c>
      <c r="N12">
        <f t="shared" si="0"/>
        <v>4.1762458919303302E-4</v>
      </c>
      <c r="O12">
        <f>VLOOKUP(K12,RatingLookup!$A$2:$C$8,3,FALSE)</f>
        <v>0.45</v>
      </c>
      <c r="P12">
        <f t="shared" si="1"/>
        <v>0.19887053243848177</v>
      </c>
      <c r="Q12" t="str">
        <f t="shared" ca="1" si="2"/>
        <v>No</v>
      </c>
    </row>
    <row r="13" spans="1:17" x14ac:dyDescent="0.4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s="1">
        <v>44166</v>
      </c>
      <c r="G13">
        <v>5.45</v>
      </c>
      <c r="H13">
        <v>81.191800000000001</v>
      </c>
      <c r="I13">
        <v>24.12</v>
      </c>
      <c r="J13">
        <v>77.14</v>
      </c>
      <c r="K13" t="s">
        <v>22</v>
      </c>
      <c r="L13">
        <v>1214.42</v>
      </c>
      <c r="M13">
        <f>VLOOKUP(K13,RatingLookup!$A$2:$C$8,2,FALSE)</f>
        <v>5.0000000000000001E-3</v>
      </c>
      <c r="N13">
        <f t="shared" si="0"/>
        <v>4.1762458919303302E-4</v>
      </c>
      <c r="O13">
        <f>VLOOKUP(K13,RatingLookup!$A$2:$C$8,3,FALSE)</f>
        <v>0.45</v>
      </c>
      <c r="P13">
        <f t="shared" si="1"/>
        <v>0.22822724412351142</v>
      </c>
      <c r="Q13" t="str">
        <f t="shared" ca="1" si="2"/>
        <v>No</v>
      </c>
    </row>
    <row r="14" spans="1:17" x14ac:dyDescent="0.4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s="1">
        <v>44197</v>
      </c>
      <c r="G14">
        <v>6.17</v>
      </c>
      <c r="H14">
        <v>87.597999999999999</v>
      </c>
      <c r="I14">
        <v>16.18</v>
      </c>
      <c r="J14">
        <v>78.69</v>
      </c>
      <c r="K14" t="s">
        <v>22</v>
      </c>
      <c r="L14">
        <v>1219.68</v>
      </c>
      <c r="M14">
        <f>VLOOKUP(K14,RatingLookup!$A$2:$C$8,2,FALSE)</f>
        <v>5.0000000000000001E-3</v>
      </c>
      <c r="N14">
        <f t="shared" si="0"/>
        <v>4.1762458919303302E-4</v>
      </c>
      <c r="O14">
        <f>VLOOKUP(K14,RatingLookup!$A$2:$C$8,3,FALSE)</f>
        <v>0.45</v>
      </c>
      <c r="P14">
        <f t="shared" si="1"/>
        <v>0.22921576152613135</v>
      </c>
      <c r="Q14" t="str">
        <f t="shared" ca="1" si="2"/>
        <v>No</v>
      </c>
    </row>
    <row r="15" spans="1:17" x14ac:dyDescent="0.4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s="1">
        <v>44228</v>
      </c>
      <c r="G15">
        <v>6.51</v>
      </c>
      <c r="H15">
        <v>82.485200000000006</v>
      </c>
      <c r="I15">
        <v>18.760000000000002</v>
      </c>
      <c r="J15">
        <v>73.72</v>
      </c>
      <c r="K15" t="s">
        <v>22</v>
      </c>
      <c r="L15">
        <v>1275.08</v>
      </c>
      <c r="M15">
        <f>VLOOKUP(K15,RatingLookup!$A$2:$C$8,2,FALSE)</f>
        <v>5.0000000000000001E-3</v>
      </c>
      <c r="N15">
        <f t="shared" si="0"/>
        <v>4.1762458919303302E-4</v>
      </c>
      <c r="O15">
        <f>VLOOKUP(K15,RatingLookup!$A$2:$C$8,3,FALSE)</f>
        <v>0.45</v>
      </c>
      <c r="P15">
        <f t="shared" si="1"/>
        <v>0.23962714253471365</v>
      </c>
      <c r="Q15" t="str">
        <f t="shared" ca="1" si="2"/>
        <v>No</v>
      </c>
    </row>
    <row r="16" spans="1:17" x14ac:dyDescent="0.4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s="1">
        <v>44256</v>
      </c>
      <c r="G16">
        <v>4.55</v>
      </c>
      <c r="H16">
        <v>82.477500000000006</v>
      </c>
      <c r="I16">
        <v>24.64</v>
      </c>
      <c r="J16">
        <v>78.77</v>
      </c>
      <c r="K16" t="s">
        <v>22</v>
      </c>
      <c r="L16">
        <v>1184.6400000000001</v>
      </c>
      <c r="M16">
        <f>VLOOKUP(K16,RatingLookup!$A$2:$C$8,2,FALSE)</f>
        <v>5.0000000000000001E-3</v>
      </c>
      <c r="N16">
        <f t="shared" si="0"/>
        <v>4.1762458919303302E-4</v>
      </c>
      <c r="O16">
        <f>VLOOKUP(K16,RatingLookup!$A$2:$C$8,3,FALSE)</f>
        <v>0.45</v>
      </c>
      <c r="P16">
        <f t="shared" si="1"/>
        <v>0.2226306570037356</v>
      </c>
      <c r="Q16" t="str">
        <f t="shared" ca="1" si="2"/>
        <v>No</v>
      </c>
    </row>
    <row r="17" spans="1:17" x14ac:dyDescent="0.4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s="1">
        <v>44287</v>
      </c>
      <c r="G17">
        <v>5.78</v>
      </c>
      <c r="H17">
        <v>85.616299999999995</v>
      </c>
      <c r="I17">
        <v>12.57</v>
      </c>
      <c r="J17">
        <v>53.1</v>
      </c>
      <c r="K17" t="s">
        <v>22</v>
      </c>
      <c r="L17">
        <v>1184.3499999999999</v>
      </c>
      <c r="M17">
        <f>VLOOKUP(K17,RatingLookup!$A$2:$C$8,2,FALSE)</f>
        <v>5.0000000000000001E-3</v>
      </c>
      <c r="N17">
        <f t="shared" si="0"/>
        <v>4.1762458919303302E-4</v>
      </c>
      <c r="O17">
        <f>VLOOKUP(K17,RatingLookup!$A$2:$C$8,3,FALSE)</f>
        <v>0.45</v>
      </c>
      <c r="P17">
        <f t="shared" si="1"/>
        <v>0.2225761569948459</v>
      </c>
      <c r="Q17" t="str">
        <f t="shared" ca="1" si="2"/>
        <v>No</v>
      </c>
    </row>
    <row r="18" spans="1:17" x14ac:dyDescent="0.45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s="1">
        <v>44317</v>
      </c>
      <c r="G18">
        <v>5.07</v>
      </c>
      <c r="H18">
        <v>77.630600000000001</v>
      </c>
      <c r="I18">
        <v>14.87</v>
      </c>
      <c r="J18">
        <v>61.68</v>
      </c>
      <c r="K18" t="s">
        <v>22</v>
      </c>
      <c r="L18">
        <v>1307.02</v>
      </c>
      <c r="M18">
        <f>VLOOKUP(K18,RatingLookup!$A$2:$C$8,2,FALSE)</f>
        <v>5.0000000000000001E-3</v>
      </c>
      <c r="N18">
        <f t="shared" si="0"/>
        <v>4.1762458919303302E-4</v>
      </c>
      <c r="O18">
        <f>VLOOKUP(K18,RatingLookup!$A$2:$C$8,3,FALSE)</f>
        <v>0.45</v>
      </c>
      <c r="P18">
        <f t="shared" si="1"/>
        <v>0.24562966075518514</v>
      </c>
      <c r="Q18" t="str">
        <f t="shared" ca="1" si="2"/>
        <v>No</v>
      </c>
    </row>
    <row r="19" spans="1:17" x14ac:dyDescent="0.45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s="1">
        <v>44348</v>
      </c>
      <c r="G19">
        <v>5.78</v>
      </c>
      <c r="H19">
        <v>84.440399999999997</v>
      </c>
      <c r="I19">
        <v>25.14</v>
      </c>
      <c r="J19">
        <v>71.3</v>
      </c>
      <c r="K19" t="s">
        <v>22</v>
      </c>
      <c r="L19">
        <v>1126.04</v>
      </c>
      <c r="M19">
        <f>VLOOKUP(K19,RatingLookup!$A$2:$C$8,2,FALSE)</f>
        <v>5.0000000000000001E-3</v>
      </c>
      <c r="N19">
        <f t="shared" si="0"/>
        <v>4.1762458919303302E-4</v>
      </c>
      <c r="O19">
        <f>VLOOKUP(K19,RatingLookup!$A$2:$C$8,3,FALSE)</f>
        <v>0.45</v>
      </c>
      <c r="P19">
        <f t="shared" si="1"/>
        <v>0.21161789658671531</v>
      </c>
      <c r="Q19" t="str">
        <f t="shared" ca="1" si="2"/>
        <v>No</v>
      </c>
    </row>
    <row r="20" spans="1:17" x14ac:dyDescent="0.45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s="1">
        <v>44378</v>
      </c>
      <c r="G20">
        <v>3.96</v>
      </c>
      <c r="H20">
        <v>85.216800000000006</v>
      </c>
      <c r="I20">
        <v>6.98</v>
      </c>
      <c r="J20">
        <v>82.79</v>
      </c>
      <c r="K20" t="s">
        <v>22</v>
      </c>
      <c r="L20">
        <v>1200.53</v>
      </c>
      <c r="M20">
        <f>VLOOKUP(K20,RatingLookup!$A$2:$C$8,2,FALSE)</f>
        <v>5.0000000000000001E-3</v>
      </c>
      <c r="N20">
        <f t="shared" si="0"/>
        <v>4.1762458919303302E-4</v>
      </c>
      <c r="O20">
        <f>VLOOKUP(K20,RatingLookup!$A$2:$C$8,3,FALSE)</f>
        <v>0.45</v>
      </c>
      <c r="P20">
        <f t="shared" si="1"/>
        <v>0.2256168816287604</v>
      </c>
      <c r="Q20" t="str">
        <f t="shared" ca="1" si="2"/>
        <v>No</v>
      </c>
    </row>
    <row r="21" spans="1:17" x14ac:dyDescent="0.45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s="1">
        <v>44409</v>
      </c>
      <c r="G21">
        <v>5.67</v>
      </c>
      <c r="H21">
        <v>81.200299999999999</v>
      </c>
      <c r="I21">
        <v>15.04</v>
      </c>
      <c r="J21">
        <v>67.930000000000007</v>
      </c>
      <c r="K21" t="s">
        <v>22</v>
      </c>
      <c r="L21">
        <v>1308.54</v>
      </c>
      <c r="M21">
        <f>VLOOKUP(K21,RatingLookup!$A$2:$C$8,2,FALSE)</f>
        <v>5.0000000000000001E-3</v>
      </c>
      <c r="N21">
        <f t="shared" si="0"/>
        <v>4.1762458919303302E-4</v>
      </c>
      <c r="O21">
        <f>VLOOKUP(K21,RatingLookup!$A$2:$C$8,3,FALSE)</f>
        <v>0.45</v>
      </c>
      <c r="P21">
        <f t="shared" si="1"/>
        <v>0.24591531597419314</v>
      </c>
      <c r="Q21" t="str">
        <f t="shared" ca="1" si="2"/>
        <v>No</v>
      </c>
    </row>
    <row r="22" spans="1:17" x14ac:dyDescent="0.45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s="1">
        <v>44440</v>
      </c>
      <c r="G22">
        <v>5.41</v>
      </c>
      <c r="H22">
        <v>80.898499999999999</v>
      </c>
      <c r="I22">
        <v>16.55</v>
      </c>
      <c r="J22">
        <v>69.63</v>
      </c>
      <c r="K22" t="s">
        <v>22</v>
      </c>
      <c r="L22">
        <v>1242.6099999999999</v>
      </c>
      <c r="M22">
        <f>VLOOKUP(K22,RatingLookup!$A$2:$C$8,2,FALSE)</f>
        <v>5.0000000000000001E-3</v>
      </c>
      <c r="N22">
        <f t="shared" si="0"/>
        <v>4.1762458919303302E-4</v>
      </c>
      <c r="O22">
        <f>VLOOKUP(K22,RatingLookup!$A$2:$C$8,3,FALSE)</f>
        <v>0.45</v>
      </c>
      <c r="P22">
        <f t="shared" si="1"/>
        <v>0.23352502084971966</v>
      </c>
      <c r="Q22" t="str">
        <f t="shared" ca="1" si="2"/>
        <v>No</v>
      </c>
    </row>
    <row r="23" spans="1:17" x14ac:dyDescent="0.45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s="1">
        <v>44470</v>
      </c>
      <c r="G23">
        <v>4.88</v>
      </c>
      <c r="H23">
        <v>80.424400000000006</v>
      </c>
      <c r="I23">
        <v>10.39</v>
      </c>
      <c r="J23">
        <v>73.87</v>
      </c>
      <c r="K23" t="s">
        <v>22</v>
      </c>
      <c r="L23">
        <v>1119.1099999999999</v>
      </c>
      <c r="M23">
        <f>VLOOKUP(K23,RatingLookup!$A$2:$C$8,2,FALSE)</f>
        <v>5.0000000000000001E-3</v>
      </c>
      <c r="N23">
        <f t="shared" si="0"/>
        <v>4.1762458919303302E-4</v>
      </c>
      <c r="O23">
        <f>VLOOKUP(K23,RatingLookup!$A$2:$C$8,3,FALSE)</f>
        <v>0.45</v>
      </c>
      <c r="P23">
        <f t="shared" si="1"/>
        <v>0.21031553430531683</v>
      </c>
      <c r="Q23" t="str">
        <f t="shared" ca="1" si="2"/>
        <v>No</v>
      </c>
    </row>
    <row r="24" spans="1:17" x14ac:dyDescent="0.45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s="1">
        <v>44501</v>
      </c>
      <c r="G24">
        <v>6.54</v>
      </c>
      <c r="H24">
        <v>78.708500000000001</v>
      </c>
      <c r="I24">
        <v>14.56</v>
      </c>
      <c r="J24">
        <v>73.16</v>
      </c>
      <c r="K24" t="s">
        <v>22</v>
      </c>
      <c r="L24">
        <v>1324.75</v>
      </c>
      <c r="M24">
        <f>VLOOKUP(K24,RatingLookup!$A$2:$C$8,2,FALSE)</f>
        <v>5.0000000000000001E-3</v>
      </c>
      <c r="N24">
        <f t="shared" si="0"/>
        <v>4.1762458919303302E-4</v>
      </c>
      <c r="O24">
        <f>VLOOKUP(K24,RatingLookup!$A$2:$C$8,3,FALSE)</f>
        <v>0.45</v>
      </c>
      <c r="P24">
        <f t="shared" si="1"/>
        <v>0.24896167854006174</v>
      </c>
      <c r="Q24" t="str">
        <f t="shared" ca="1" si="2"/>
        <v>No</v>
      </c>
    </row>
    <row r="25" spans="1:17" x14ac:dyDescent="0.45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s="1">
        <v>44531</v>
      </c>
      <c r="G25">
        <v>4.46</v>
      </c>
      <c r="H25">
        <v>82.815100000000001</v>
      </c>
      <c r="I25">
        <v>24.68</v>
      </c>
      <c r="J25">
        <v>74.2</v>
      </c>
      <c r="K25" t="s">
        <v>22</v>
      </c>
      <c r="L25">
        <v>1150.22</v>
      </c>
      <c r="M25">
        <f>VLOOKUP(K25,RatingLookup!$A$2:$C$8,2,FALSE)</f>
        <v>5.0000000000000001E-3</v>
      </c>
      <c r="N25">
        <f t="shared" si="0"/>
        <v>4.1762458919303302E-4</v>
      </c>
      <c r="O25">
        <f>VLOOKUP(K25,RatingLookup!$A$2:$C$8,3,FALSE)</f>
        <v>0.45</v>
      </c>
      <c r="P25">
        <f t="shared" si="1"/>
        <v>0.21616206974172469</v>
      </c>
      <c r="Q25" t="str">
        <f t="shared" ca="1" si="2"/>
        <v>No</v>
      </c>
    </row>
    <row r="26" spans="1:17" x14ac:dyDescent="0.45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s="1">
        <v>44562</v>
      </c>
      <c r="G26">
        <v>5.13</v>
      </c>
      <c r="H26">
        <v>86.070499999999996</v>
      </c>
      <c r="I26">
        <v>20.03</v>
      </c>
      <c r="J26">
        <v>89.73</v>
      </c>
      <c r="K26" t="s">
        <v>22</v>
      </c>
      <c r="L26">
        <v>1234.69</v>
      </c>
      <c r="M26">
        <f>VLOOKUP(K26,RatingLookup!$A$2:$C$8,2,FALSE)</f>
        <v>5.0000000000000001E-3</v>
      </c>
      <c r="N26">
        <f t="shared" si="0"/>
        <v>4.1762458919303302E-4</v>
      </c>
      <c r="O26">
        <f>VLOOKUP(K26,RatingLookup!$A$2:$C$8,3,FALSE)</f>
        <v>0.45</v>
      </c>
      <c r="P26">
        <f t="shared" si="1"/>
        <v>0.23203660681383567</v>
      </c>
      <c r="Q26" t="str">
        <f t="shared" ca="1" si="2"/>
        <v>No</v>
      </c>
    </row>
    <row r="27" spans="1:17" x14ac:dyDescent="0.45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s="1">
        <v>44593</v>
      </c>
      <c r="G27">
        <v>5.21</v>
      </c>
      <c r="H27">
        <v>82.9161</v>
      </c>
      <c r="I27">
        <v>23.35</v>
      </c>
      <c r="J27">
        <v>86.74</v>
      </c>
      <c r="K27" t="s">
        <v>22</v>
      </c>
      <c r="L27">
        <v>1273.77</v>
      </c>
      <c r="M27">
        <f>VLOOKUP(K27,RatingLookup!$A$2:$C$8,2,FALSE)</f>
        <v>5.0000000000000001E-3</v>
      </c>
      <c r="N27">
        <f t="shared" si="0"/>
        <v>4.1762458919303302E-4</v>
      </c>
      <c r="O27">
        <f>VLOOKUP(K27,RatingLookup!$A$2:$C$8,3,FALSE)</f>
        <v>0.45</v>
      </c>
      <c r="P27">
        <f t="shared" si="1"/>
        <v>0.23938095283938438</v>
      </c>
      <c r="Q27" t="str">
        <f t="shared" ca="1" si="2"/>
        <v>No</v>
      </c>
    </row>
    <row r="28" spans="1:17" x14ac:dyDescent="0.45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s="1">
        <v>44621</v>
      </c>
      <c r="G28">
        <v>5.1100000000000003</v>
      </c>
      <c r="H28">
        <v>80.572299999999998</v>
      </c>
      <c r="I28">
        <v>13.29</v>
      </c>
      <c r="J28">
        <v>70.89</v>
      </c>
      <c r="K28" t="s">
        <v>22</v>
      </c>
      <c r="L28">
        <v>1245.55</v>
      </c>
      <c r="M28">
        <f>VLOOKUP(K28,RatingLookup!$A$2:$C$8,2,FALSE)</f>
        <v>5.0000000000000001E-3</v>
      </c>
      <c r="N28">
        <f t="shared" si="0"/>
        <v>4.1762458919303302E-4</v>
      </c>
      <c r="O28">
        <f>VLOOKUP(K28,RatingLookup!$A$2:$C$8,3,FALSE)</f>
        <v>0.45</v>
      </c>
      <c r="P28">
        <f t="shared" si="1"/>
        <v>0.23407753818122201</v>
      </c>
      <c r="Q28" t="str">
        <f t="shared" ca="1" si="2"/>
        <v>No</v>
      </c>
    </row>
    <row r="29" spans="1:17" x14ac:dyDescent="0.45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s="1">
        <v>44652</v>
      </c>
      <c r="G29">
        <v>5.8</v>
      </c>
      <c r="H29">
        <v>82.535899999999998</v>
      </c>
      <c r="I29">
        <v>15.98</v>
      </c>
      <c r="J29">
        <v>90.45</v>
      </c>
      <c r="K29" t="s">
        <v>22</v>
      </c>
      <c r="L29">
        <v>1220.97</v>
      </c>
      <c r="M29">
        <f>VLOOKUP(K29,RatingLookup!$A$2:$C$8,2,FALSE)</f>
        <v>5.0000000000000001E-3</v>
      </c>
      <c r="N29">
        <f t="shared" si="0"/>
        <v>4.1762458919303302E-4</v>
      </c>
      <c r="O29">
        <f>VLOOKUP(K29,RatingLookup!$A$2:$C$8,3,FALSE)</f>
        <v>0.45</v>
      </c>
      <c r="P29">
        <f t="shared" si="1"/>
        <v>0.2294581926001579</v>
      </c>
      <c r="Q29" t="str">
        <f t="shared" ca="1" si="2"/>
        <v>No</v>
      </c>
    </row>
    <row r="30" spans="1:17" x14ac:dyDescent="0.45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s="1">
        <v>44682</v>
      </c>
      <c r="G30">
        <v>5.75</v>
      </c>
      <c r="H30">
        <v>85.915199999999999</v>
      </c>
      <c r="I30">
        <v>5</v>
      </c>
      <c r="J30">
        <v>71.25</v>
      </c>
      <c r="K30" t="s">
        <v>22</v>
      </c>
      <c r="L30">
        <v>1265.3499999999999</v>
      </c>
      <c r="M30">
        <f>VLOOKUP(K30,RatingLookup!$A$2:$C$8,2,FALSE)</f>
        <v>5.0000000000000001E-3</v>
      </c>
      <c r="N30">
        <f t="shared" si="0"/>
        <v>4.1762458919303302E-4</v>
      </c>
      <c r="O30">
        <f>VLOOKUP(K30,RatingLookup!$A$2:$C$8,3,FALSE)</f>
        <v>0.45</v>
      </c>
      <c r="P30">
        <f t="shared" si="1"/>
        <v>0.23779857327093193</v>
      </c>
      <c r="Q30" t="str">
        <f t="shared" ca="1" si="2"/>
        <v>No</v>
      </c>
    </row>
    <row r="31" spans="1:17" x14ac:dyDescent="0.45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s="1">
        <v>44713</v>
      </c>
      <c r="G31">
        <v>6.23</v>
      </c>
      <c r="H31">
        <v>82.715199999999996</v>
      </c>
      <c r="I31">
        <v>20.02</v>
      </c>
      <c r="J31">
        <v>86.13</v>
      </c>
      <c r="K31" t="s">
        <v>22</v>
      </c>
      <c r="L31">
        <v>1363.05</v>
      </c>
      <c r="M31">
        <f>VLOOKUP(K31,RatingLookup!$A$2:$C$8,2,FALSE)</f>
        <v>5.0000000000000001E-3</v>
      </c>
      <c r="N31">
        <f t="shared" si="0"/>
        <v>4.1762458919303302E-4</v>
      </c>
      <c r="O31">
        <f>VLOOKUP(K31,RatingLookup!$A$2:$C$8,3,FALSE)</f>
        <v>0.45</v>
      </c>
      <c r="P31">
        <f t="shared" si="1"/>
        <v>0.25615943833480365</v>
      </c>
      <c r="Q31" t="str">
        <f t="shared" ca="1" si="2"/>
        <v>No</v>
      </c>
    </row>
    <row r="32" spans="1:17" x14ac:dyDescent="0.45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s="1">
        <v>44743</v>
      </c>
      <c r="G32">
        <v>4.28</v>
      </c>
      <c r="H32">
        <v>87.503299999999996</v>
      </c>
      <c r="I32">
        <v>17.02</v>
      </c>
      <c r="J32">
        <v>83.35</v>
      </c>
      <c r="K32" t="s">
        <v>22</v>
      </c>
      <c r="L32">
        <v>1355.05</v>
      </c>
      <c r="M32">
        <f>VLOOKUP(K32,RatingLookup!$A$2:$C$8,2,FALSE)</f>
        <v>5.0000000000000001E-3</v>
      </c>
      <c r="N32">
        <f t="shared" si="0"/>
        <v>4.1762458919303302E-4</v>
      </c>
      <c r="O32">
        <f>VLOOKUP(K32,RatingLookup!$A$2:$C$8,3,FALSE)</f>
        <v>0.45</v>
      </c>
      <c r="P32">
        <f t="shared" si="1"/>
        <v>0.25465598981370874</v>
      </c>
      <c r="Q32" t="str">
        <f t="shared" ca="1" si="2"/>
        <v>No</v>
      </c>
    </row>
    <row r="33" spans="1:17" x14ac:dyDescent="0.45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s="1">
        <v>44774</v>
      </c>
      <c r="G33">
        <v>5.64</v>
      </c>
      <c r="H33">
        <v>83.771799999999999</v>
      </c>
      <c r="I33">
        <v>22.14</v>
      </c>
      <c r="J33">
        <v>62.87</v>
      </c>
      <c r="K33" t="s">
        <v>22</v>
      </c>
      <c r="L33">
        <v>1310.32</v>
      </c>
      <c r="M33">
        <f>VLOOKUP(K33,RatingLookup!$A$2:$C$8,2,FALSE)</f>
        <v>5.0000000000000001E-3</v>
      </c>
      <c r="N33">
        <f t="shared" si="0"/>
        <v>4.1762458919303302E-4</v>
      </c>
      <c r="O33">
        <f>VLOOKUP(K33,RatingLookup!$A$2:$C$8,3,FALSE)</f>
        <v>0.45</v>
      </c>
      <c r="P33">
        <f t="shared" si="1"/>
        <v>0.24624983327013678</v>
      </c>
      <c r="Q33" t="str">
        <f t="shared" ca="1" si="2"/>
        <v>No</v>
      </c>
    </row>
    <row r="34" spans="1:17" x14ac:dyDescent="0.45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s="1">
        <v>44805</v>
      </c>
      <c r="G34">
        <v>5.79</v>
      </c>
      <c r="H34">
        <v>77.483699999999999</v>
      </c>
      <c r="I34">
        <v>32.69</v>
      </c>
      <c r="J34">
        <v>67.180000000000007</v>
      </c>
      <c r="K34" t="s">
        <v>22</v>
      </c>
      <c r="L34">
        <v>1339.1</v>
      </c>
      <c r="M34">
        <f>VLOOKUP(K34,RatingLookup!$A$2:$C$8,2,FALSE)</f>
        <v>5.0000000000000001E-3</v>
      </c>
      <c r="N34">
        <f t="shared" si="0"/>
        <v>4.1762458919303302E-4</v>
      </c>
      <c r="O34">
        <f>VLOOKUP(K34,RatingLookup!$A$2:$C$8,3,FALSE)</f>
        <v>0.45</v>
      </c>
      <c r="P34">
        <f t="shared" si="1"/>
        <v>0.25165848932477575</v>
      </c>
      <c r="Q34" t="str">
        <f t="shared" ca="1" si="2"/>
        <v>No</v>
      </c>
    </row>
    <row r="35" spans="1:17" x14ac:dyDescent="0.45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s="1">
        <v>44835</v>
      </c>
      <c r="G35">
        <v>5.01</v>
      </c>
      <c r="H35">
        <v>85.152799999999999</v>
      </c>
      <c r="I35">
        <v>17.25</v>
      </c>
      <c r="J35">
        <v>82.98</v>
      </c>
      <c r="K35" t="s">
        <v>22</v>
      </c>
      <c r="L35">
        <v>1238.1099999999999</v>
      </c>
      <c r="M35">
        <f>VLOOKUP(K35,RatingLookup!$A$2:$C$8,2,FALSE)</f>
        <v>5.0000000000000001E-3</v>
      </c>
      <c r="N35">
        <f t="shared" si="0"/>
        <v>4.1762458919303302E-4</v>
      </c>
      <c r="O35">
        <f>VLOOKUP(K35,RatingLookup!$A$2:$C$8,3,FALSE)</f>
        <v>0.45</v>
      </c>
      <c r="P35">
        <f t="shared" si="1"/>
        <v>0.23267933105660374</v>
      </c>
      <c r="Q35" t="str">
        <f t="shared" ca="1" si="2"/>
        <v>No</v>
      </c>
    </row>
    <row r="36" spans="1:17" x14ac:dyDescent="0.45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s="1">
        <v>44866</v>
      </c>
      <c r="G36">
        <v>5.2</v>
      </c>
      <c r="H36">
        <v>85.293300000000002</v>
      </c>
      <c r="I36">
        <v>17.260000000000002</v>
      </c>
      <c r="J36">
        <v>77.63</v>
      </c>
      <c r="K36" t="s">
        <v>22</v>
      </c>
      <c r="L36">
        <v>1347.72</v>
      </c>
      <c r="M36">
        <f>VLOOKUP(K36,RatingLookup!$A$2:$C$8,2,FALSE)</f>
        <v>5.0000000000000001E-3</v>
      </c>
      <c r="N36">
        <f t="shared" si="0"/>
        <v>4.1762458919303302E-4</v>
      </c>
      <c r="O36">
        <f>VLOOKUP(K36,RatingLookup!$A$2:$C$8,3,FALSE)</f>
        <v>0.45</v>
      </c>
      <c r="P36">
        <f t="shared" si="1"/>
        <v>0.25327845510625552</v>
      </c>
      <c r="Q36" t="str">
        <f t="shared" ca="1" si="2"/>
        <v>No</v>
      </c>
    </row>
    <row r="37" spans="1:17" x14ac:dyDescent="0.45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s="1">
        <v>44896</v>
      </c>
      <c r="G37">
        <v>6.93</v>
      </c>
      <c r="H37">
        <v>79.653800000000004</v>
      </c>
      <c r="I37">
        <v>11.74</v>
      </c>
      <c r="J37">
        <v>78.08</v>
      </c>
      <c r="K37" t="s">
        <v>23</v>
      </c>
      <c r="L37">
        <v>1186.1199999999999</v>
      </c>
      <c r="M37">
        <f>VLOOKUP(K37,RatingLookup!$A$2:$C$8,2,FALSE)</f>
        <v>1E-3</v>
      </c>
      <c r="N37">
        <f t="shared" si="0"/>
        <v>8.3371552197619714E-5</v>
      </c>
      <c r="O37">
        <f>VLOOKUP(K37,RatingLookup!$A$2:$C$8,3,FALSE)</f>
        <v>0.3</v>
      </c>
      <c r="P37">
        <f t="shared" si="1"/>
        <v>2.9666599647792207E-2</v>
      </c>
      <c r="Q37" t="str">
        <f t="shared" ca="1" si="2"/>
        <v>No</v>
      </c>
    </row>
    <row r="38" spans="1:17" x14ac:dyDescent="0.45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s="1">
        <v>44927</v>
      </c>
      <c r="G38">
        <v>5.27</v>
      </c>
      <c r="H38">
        <v>80.071100000000001</v>
      </c>
      <c r="I38">
        <v>19.809999999999999</v>
      </c>
      <c r="J38">
        <v>70.849999999999994</v>
      </c>
      <c r="K38" t="s">
        <v>23</v>
      </c>
      <c r="L38">
        <v>1243.96</v>
      </c>
      <c r="M38">
        <f>VLOOKUP(K38,RatingLookup!$A$2:$C$8,2,FALSE)</f>
        <v>1E-3</v>
      </c>
      <c r="N38">
        <f t="shared" si="0"/>
        <v>8.3371552197619714E-5</v>
      </c>
      <c r="O38">
        <f>VLOOKUP(K38,RatingLookup!$A$2:$C$8,3,FALSE)</f>
        <v>0.3</v>
      </c>
      <c r="P38">
        <f t="shared" si="1"/>
        <v>3.1113262821525302E-2</v>
      </c>
      <c r="Q38" t="str">
        <f t="shared" ca="1" si="2"/>
        <v>No</v>
      </c>
    </row>
    <row r="39" spans="1:17" x14ac:dyDescent="0.45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s="1">
        <v>44958</v>
      </c>
      <c r="G39">
        <v>5.69</v>
      </c>
      <c r="H39">
        <v>83.220200000000006</v>
      </c>
      <c r="I39">
        <v>28.32</v>
      </c>
      <c r="J39">
        <v>76.17</v>
      </c>
      <c r="K39" t="s">
        <v>23</v>
      </c>
      <c r="L39">
        <v>1252.21</v>
      </c>
      <c r="M39">
        <f>VLOOKUP(K39,RatingLookup!$A$2:$C$8,2,FALSE)</f>
        <v>1E-3</v>
      </c>
      <c r="N39">
        <f t="shared" si="0"/>
        <v>8.3371552197619714E-5</v>
      </c>
      <c r="O39">
        <f>VLOOKUP(K39,RatingLookup!$A$2:$C$8,3,FALSE)</f>
        <v>0.3</v>
      </c>
      <c r="P39">
        <f t="shared" si="1"/>
        <v>3.1319607413214413E-2</v>
      </c>
      <c r="Q39" t="str">
        <f t="shared" ca="1" si="2"/>
        <v>No</v>
      </c>
    </row>
    <row r="40" spans="1:17" x14ac:dyDescent="0.45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s="1">
        <v>44986</v>
      </c>
      <c r="G40">
        <v>6.02</v>
      </c>
      <c r="H40">
        <v>83.937600000000003</v>
      </c>
      <c r="I40">
        <v>16.61</v>
      </c>
      <c r="J40">
        <v>87.82</v>
      </c>
      <c r="K40" t="s">
        <v>23</v>
      </c>
      <c r="L40">
        <v>1192.9100000000001</v>
      </c>
      <c r="M40">
        <f>VLOOKUP(K40,RatingLookup!$A$2:$C$8,2,FALSE)</f>
        <v>1E-3</v>
      </c>
      <c r="N40">
        <f t="shared" si="0"/>
        <v>8.3371552197619714E-5</v>
      </c>
      <c r="O40">
        <f>VLOOKUP(K40,RatingLookup!$A$2:$C$8,3,FALSE)</f>
        <v>0.3</v>
      </c>
      <c r="P40">
        <f t="shared" si="1"/>
        <v>2.9836427499618758E-2</v>
      </c>
      <c r="Q40" t="str">
        <f t="shared" ca="1" si="2"/>
        <v>No</v>
      </c>
    </row>
    <row r="41" spans="1:17" x14ac:dyDescent="0.45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s="1">
        <v>45017</v>
      </c>
      <c r="G41">
        <v>5.36</v>
      </c>
      <c r="H41">
        <v>85.754000000000005</v>
      </c>
      <c r="I41">
        <v>20.12</v>
      </c>
      <c r="J41">
        <v>79.650000000000006</v>
      </c>
      <c r="K41" t="s">
        <v>23</v>
      </c>
      <c r="L41">
        <v>1194.3800000000001</v>
      </c>
      <c r="M41">
        <f>VLOOKUP(K41,RatingLookup!$A$2:$C$8,2,FALSE)</f>
        <v>1E-3</v>
      </c>
      <c r="N41">
        <f t="shared" si="0"/>
        <v>8.3371552197619714E-5</v>
      </c>
      <c r="O41">
        <f>VLOOKUP(K41,RatingLookup!$A$2:$C$8,3,FALSE)</f>
        <v>0.3</v>
      </c>
      <c r="P41">
        <f t="shared" si="1"/>
        <v>2.9873194354137909E-2</v>
      </c>
      <c r="Q41" t="str">
        <f t="shared" ca="1" si="2"/>
        <v>No</v>
      </c>
    </row>
    <row r="42" spans="1:17" x14ac:dyDescent="0.45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s="1">
        <v>45047</v>
      </c>
      <c r="G42">
        <v>4.1900000000000004</v>
      </c>
      <c r="H42">
        <v>81.822400000000002</v>
      </c>
      <c r="I42">
        <v>17.010000000000002</v>
      </c>
      <c r="J42">
        <v>100.73</v>
      </c>
      <c r="K42" t="s">
        <v>23</v>
      </c>
      <c r="L42">
        <v>1351.12</v>
      </c>
      <c r="M42">
        <f>VLOOKUP(K42,RatingLookup!$A$2:$C$8,2,FALSE)</f>
        <v>1E-3</v>
      </c>
      <c r="N42">
        <f t="shared" si="0"/>
        <v>8.3371552197619714E-5</v>
      </c>
      <c r="O42">
        <f>VLOOKUP(K42,RatingLookup!$A$2:$C$8,3,FALSE)</f>
        <v>0.3</v>
      </c>
      <c r="P42">
        <f t="shared" si="1"/>
        <v>3.3793491481574379E-2</v>
      </c>
      <c r="Q42" t="str">
        <f t="shared" ca="1" si="2"/>
        <v>No</v>
      </c>
    </row>
    <row r="43" spans="1:17" x14ac:dyDescent="0.45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s="1">
        <v>45078</v>
      </c>
      <c r="G43">
        <v>5.83</v>
      </c>
      <c r="H43">
        <v>77.801100000000005</v>
      </c>
      <c r="I43">
        <v>25.22</v>
      </c>
      <c r="J43">
        <v>86.21</v>
      </c>
      <c r="K43" t="s">
        <v>23</v>
      </c>
      <c r="L43">
        <v>1233.3499999999999</v>
      </c>
      <c r="M43">
        <f>VLOOKUP(K43,RatingLookup!$A$2:$C$8,2,FALSE)</f>
        <v>1E-3</v>
      </c>
      <c r="N43">
        <f t="shared" si="0"/>
        <v>8.3371552197619714E-5</v>
      </c>
      <c r="O43">
        <f>VLOOKUP(K43,RatingLookup!$A$2:$C$8,3,FALSE)</f>
        <v>0.3</v>
      </c>
      <c r="P43">
        <f t="shared" si="1"/>
        <v>3.0847891170880277E-2</v>
      </c>
      <c r="Q43" t="str">
        <f t="shared" ca="1" si="2"/>
        <v>No</v>
      </c>
    </row>
    <row r="44" spans="1:17" x14ac:dyDescent="0.45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s="1">
        <v>45108</v>
      </c>
      <c r="G44">
        <v>4.25</v>
      </c>
      <c r="H44">
        <v>82.786299999999997</v>
      </c>
      <c r="I44">
        <v>15.14</v>
      </c>
      <c r="J44">
        <v>66.61</v>
      </c>
      <c r="K44" t="s">
        <v>23</v>
      </c>
      <c r="L44">
        <v>1329.84</v>
      </c>
      <c r="M44">
        <f>VLOOKUP(K44,RatingLookup!$A$2:$C$8,2,FALSE)</f>
        <v>1E-3</v>
      </c>
      <c r="N44">
        <f t="shared" si="0"/>
        <v>8.3371552197619714E-5</v>
      </c>
      <c r="O44">
        <f>VLOOKUP(K44,RatingLookup!$A$2:$C$8,3,FALSE)</f>
        <v>0.3</v>
      </c>
      <c r="P44">
        <f t="shared" si="1"/>
        <v>3.3261247492344777E-2</v>
      </c>
      <c r="Q44" t="str">
        <f t="shared" ca="1" si="2"/>
        <v>No</v>
      </c>
    </row>
    <row r="45" spans="1:17" x14ac:dyDescent="0.45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s="1">
        <v>45139</v>
      </c>
      <c r="G45">
        <v>5.48</v>
      </c>
      <c r="H45">
        <v>83.294899999999998</v>
      </c>
      <c r="I45">
        <v>24.31</v>
      </c>
      <c r="J45">
        <v>79.209999999999994</v>
      </c>
      <c r="K45" t="s">
        <v>23</v>
      </c>
      <c r="L45">
        <v>1283.51</v>
      </c>
      <c r="M45">
        <f>VLOOKUP(K45,RatingLookup!$A$2:$C$8,2,FALSE)</f>
        <v>1E-3</v>
      </c>
      <c r="N45">
        <f t="shared" si="0"/>
        <v>8.3371552197619714E-5</v>
      </c>
      <c r="O45">
        <f>VLOOKUP(K45,RatingLookup!$A$2:$C$8,3,FALSE)</f>
        <v>0.3</v>
      </c>
      <c r="P45">
        <f t="shared" si="1"/>
        <v>3.2102466288350062E-2</v>
      </c>
      <c r="Q45" t="str">
        <f t="shared" ca="1" si="2"/>
        <v>No</v>
      </c>
    </row>
    <row r="46" spans="1:17" x14ac:dyDescent="0.45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s="1">
        <v>45170</v>
      </c>
      <c r="G46">
        <v>5.67</v>
      </c>
      <c r="H46">
        <v>87.337800000000001</v>
      </c>
      <c r="I46">
        <v>26.33</v>
      </c>
      <c r="J46">
        <v>78.540000000000006</v>
      </c>
      <c r="K46" t="s">
        <v>23</v>
      </c>
      <c r="L46">
        <v>1200.76</v>
      </c>
      <c r="M46">
        <f>VLOOKUP(K46,RatingLookup!$A$2:$C$8,2,FALSE)</f>
        <v>1E-3</v>
      </c>
      <c r="N46">
        <f t="shared" si="0"/>
        <v>8.3371552197619714E-5</v>
      </c>
      <c r="O46">
        <f>VLOOKUP(K46,RatingLookup!$A$2:$C$8,3,FALSE)</f>
        <v>0.3</v>
      </c>
      <c r="P46">
        <f t="shared" si="1"/>
        <v>3.0032767505044154E-2</v>
      </c>
      <c r="Q46" t="str">
        <f t="shared" ca="1" si="2"/>
        <v>No</v>
      </c>
    </row>
    <row r="47" spans="1:17" x14ac:dyDescent="0.45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s="1">
        <v>45200</v>
      </c>
      <c r="G47">
        <v>5.88</v>
      </c>
      <c r="H47">
        <v>85.368700000000004</v>
      </c>
      <c r="I47">
        <v>23.49</v>
      </c>
      <c r="J47">
        <v>79.63</v>
      </c>
      <c r="K47" t="s">
        <v>23</v>
      </c>
      <c r="L47">
        <v>1204.49</v>
      </c>
      <c r="M47">
        <f>VLOOKUP(K47,RatingLookup!$A$2:$C$8,2,FALSE)</f>
        <v>1E-3</v>
      </c>
      <c r="N47">
        <f t="shared" si="0"/>
        <v>8.3371552197619714E-5</v>
      </c>
      <c r="O47">
        <f>VLOOKUP(K47,RatingLookup!$A$2:$C$8,3,FALSE)</f>
        <v>0.3</v>
      </c>
      <c r="P47">
        <f t="shared" si="1"/>
        <v>3.0126060271953289E-2</v>
      </c>
      <c r="Q47" t="str">
        <f t="shared" ca="1" si="2"/>
        <v>No</v>
      </c>
    </row>
    <row r="48" spans="1:17" x14ac:dyDescent="0.45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s="1">
        <v>45231</v>
      </c>
      <c r="G48">
        <v>4.46</v>
      </c>
      <c r="H48">
        <v>86.024299999999997</v>
      </c>
      <c r="I48">
        <v>31.32</v>
      </c>
      <c r="J48">
        <v>60.15</v>
      </c>
      <c r="K48" t="s">
        <v>23</v>
      </c>
      <c r="L48">
        <v>1174.96</v>
      </c>
      <c r="M48">
        <f>VLOOKUP(K48,RatingLookup!$A$2:$C$8,2,FALSE)</f>
        <v>1E-3</v>
      </c>
      <c r="N48">
        <f t="shared" si="0"/>
        <v>8.3371552197619714E-5</v>
      </c>
      <c r="O48">
        <f>VLOOKUP(K48,RatingLookup!$A$2:$C$8,3,FALSE)</f>
        <v>0.3</v>
      </c>
      <c r="P48">
        <f t="shared" si="1"/>
        <v>2.9387471691034575E-2</v>
      </c>
      <c r="Q48" t="str">
        <f t="shared" ca="1" si="2"/>
        <v>No</v>
      </c>
    </row>
    <row r="49" spans="1:17" x14ac:dyDescent="0.45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s="1">
        <v>45261</v>
      </c>
      <c r="G49">
        <v>5.64</v>
      </c>
      <c r="H49">
        <v>82.760800000000003</v>
      </c>
      <c r="I49">
        <v>12.8</v>
      </c>
      <c r="J49">
        <v>92.58</v>
      </c>
      <c r="K49" t="s">
        <v>23</v>
      </c>
      <c r="L49">
        <v>1291.5899999999999</v>
      </c>
      <c r="M49">
        <f>VLOOKUP(K49,RatingLookup!$A$2:$C$8,2,FALSE)</f>
        <v>1E-3</v>
      </c>
      <c r="N49">
        <f t="shared" si="0"/>
        <v>8.3371552197619714E-5</v>
      </c>
      <c r="O49">
        <f>VLOOKUP(K49,RatingLookup!$A$2:$C$8,3,FALSE)</f>
        <v>0.3</v>
      </c>
      <c r="P49">
        <f t="shared" si="1"/>
        <v>3.2304558930877095E-2</v>
      </c>
      <c r="Q49" t="str">
        <f t="shared" ca="1" si="2"/>
        <v>No</v>
      </c>
    </row>
    <row r="50" spans="1:17" x14ac:dyDescent="0.45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s="1">
        <v>45292</v>
      </c>
      <c r="G50">
        <v>5.16</v>
      </c>
      <c r="H50">
        <v>86.7226</v>
      </c>
      <c r="I50">
        <v>15.91</v>
      </c>
      <c r="J50">
        <v>67.38</v>
      </c>
      <c r="K50" t="s">
        <v>23</v>
      </c>
      <c r="L50">
        <v>1275.3499999999999</v>
      </c>
      <c r="M50">
        <f>VLOOKUP(K50,RatingLookup!$A$2:$C$8,2,FALSE)</f>
        <v>1E-3</v>
      </c>
      <c r="N50">
        <f t="shared" si="0"/>
        <v>8.3371552197619714E-5</v>
      </c>
      <c r="O50">
        <f>VLOOKUP(K50,RatingLookup!$A$2:$C$8,3,FALSE)</f>
        <v>0.3</v>
      </c>
      <c r="P50">
        <f t="shared" si="1"/>
        <v>3.1898372728570289E-2</v>
      </c>
      <c r="Q50" t="str">
        <f t="shared" ca="1" si="2"/>
        <v>No</v>
      </c>
    </row>
    <row r="51" spans="1:17" x14ac:dyDescent="0.45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s="1">
        <v>45323</v>
      </c>
      <c r="G51">
        <v>5.71</v>
      </c>
      <c r="H51">
        <v>84.309799999999996</v>
      </c>
      <c r="I51">
        <v>23.16</v>
      </c>
      <c r="J51">
        <v>85.06</v>
      </c>
      <c r="K51" t="s">
        <v>23</v>
      </c>
      <c r="L51">
        <v>1295.92</v>
      </c>
      <c r="M51">
        <f>VLOOKUP(K51,RatingLookup!$A$2:$C$8,2,FALSE)</f>
        <v>1E-3</v>
      </c>
      <c r="N51">
        <f t="shared" si="0"/>
        <v>8.3371552197619714E-5</v>
      </c>
      <c r="O51">
        <f>VLOOKUP(K51,RatingLookup!$A$2:$C$8,3,FALSE)</f>
        <v>0.3</v>
      </c>
      <c r="P51">
        <f t="shared" si="1"/>
        <v>3.2412858577181805E-2</v>
      </c>
      <c r="Q51" t="str">
        <f t="shared" ca="1" si="2"/>
        <v>No</v>
      </c>
    </row>
    <row r="52" spans="1:17" x14ac:dyDescent="0.45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s="1">
        <v>45352</v>
      </c>
      <c r="G52">
        <v>5.95</v>
      </c>
      <c r="H52">
        <v>83.608599999999996</v>
      </c>
      <c r="I52">
        <v>23.92</v>
      </c>
      <c r="J52">
        <v>62.93</v>
      </c>
      <c r="K52" t="s">
        <v>23</v>
      </c>
      <c r="L52">
        <v>1235.9100000000001</v>
      </c>
      <c r="M52">
        <f>VLOOKUP(K52,RatingLookup!$A$2:$C$8,2,FALSE)</f>
        <v>1E-3</v>
      </c>
      <c r="N52">
        <f t="shared" si="0"/>
        <v>8.3371552197619714E-5</v>
      </c>
      <c r="O52">
        <f>VLOOKUP(K52,RatingLookup!$A$2:$C$8,3,FALSE)</f>
        <v>0.3</v>
      </c>
      <c r="P52">
        <f t="shared" si="1"/>
        <v>3.0911920522968053E-2</v>
      </c>
      <c r="Q52" t="str">
        <f t="shared" ca="1" si="2"/>
        <v>No</v>
      </c>
    </row>
    <row r="53" spans="1:17" x14ac:dyDescent="0.45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s="1">
        <v>45383</v>
      </c>
      <c r="G53">
        <v>6.64</v>
      </c>
      <c r="H53">
        <v>77.204099999999997</v>
      </c>
      <c r="I53">
        <v>28.08</v>
      </c>
      <c r="J53">
        <v>61.49</v>
      </c>
      <c r="K53" t="s">
        <v>23</v>
      </c>
      <c r="L53">
        <v>1333.87</v>
      </c>
      <c r="M53">
        <f>VLOOKUP(K53,RatingLookup!$A$2:$C$8,2,FALSE)</f>
        <v>1E-3</v>
      </c>
      <c r="N53">
        <f t="shared" si="0"/>
        <v>8.3371552197619714E-5</v>
      </c>
      <c r="O53">
        <f>VLOOKUP(K53,RatingLookup!$A$2:$C$8,3,FALSE)</f>
        <v>0.3</v>
      </c>
      <c r="P53">
        <f t="shared" si="1"/>
        <v>3.3362043698951703E-2</v>
      </c>
      <c r="Q53" t="str">
        <f t="shared" ca="1" si="2"/>
        <v>No</v>
      </c>
    </row>
    <row r="54" spans="1:17" x14ac:dyDescent="0.45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s="1">
        <v>45413</v>
      </c>
      <c r="G54">
        <v>4.13</v>
      </c>
      <c r="H54">
        <v>86.621200000000002</v>
      </c>
      <c r="I54">
        <v>26.33</v>
      </c>
      <c r="J54">
        <v>71.39</v>
      </c>
      <c r="K54" t="s">
        <v>23</v>
      </c>
      <c r="L54">
        <v>1215.96</v>
      </c>
      <c r="M54">
        <f>VLOOKUP(K54,RatingLookup!$A$2:$C$8,2,FALSE)</f>
        <v>1E-3</v>
      </c>
      <c r="N54">
        <f t="shared" si="0"/>
        <v>8.3371552197619714E-5</v>
      </c>
      <c r="O54">
        <f>VLOOKUP(K54,RatingLookup!$A$2:$C$8,3,FALSE)</f>
        <v>0.3</v>
      </c>
      <c r="P54">
        <f t="shared" si="1"/>
        <v>3.0412941783065299E-2</v>
      </c>
      <c r="Q54" t="str">
        <f t="shared" ca="1" si="2"/>
        <v>No</v>
      </c>
    </row>
    <row r="55" spans="1:17" x14ac:dyDescent="0.45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s="1">
        <v>45444</v>
      </c>
      <c r="G55">
        <v>5.81</v>
      </c>
      <c r="H55">
        <v>84.259</v>
      </c>
      <c r="I55">
        <v>28.56</v>
      </c>
      <c r="J55">
        <v>90</v>
      </c>
      <c r="K55" t="s">
        <v>23</v>
      </c>
      <c r="L55">
        <v>1319.24</v>
      </c>
      <c r="M55">
        <f>VLOOKUP(K55,RatingLookup!$A$2:$C$8,2,FALSE)</f>
        <v>1E-3</v>
      </c>
      <c r="N55">
        <f t="shared" si="0"/>
        <v>8.3371552197619714E-5</v>
      </c>
      <c r="O55">
        <f>VLOOKUP(K55,RatingLookup!$A$2:$C$8,3,FALSE)</f>
        <v>0.3</v>
      </c>
      <c r="P55">
        <f t="shared" si="1"/>
        <v>3.2996125956356349E-2</v>
      </c>
      <c r="Q55" t="str">
        <f t="shared" ca="1" si="2"/>
        <v>No</v>
      </c>
    </row>
    <row r="56" spans="1:17" x14ac:dyDescent="0.45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s="1">
        <v>45474</v>
      </c>
      <c r="G56">
        <v>5.47</v>
      </c>
      <c r="H56">
        <v>87.682400000000001</v>
      </c>
      <c r="I56">
        <v>16.64</v>
      </c>
      <c r="J56">
        <v>83.01</v>
      </c>
      <c r="K56" t="s">
        <v>23</v>
      </c>
      <c r="L56">
        <v>1139.02</v>
      </c>
      <c r="M56">
        <f>VLOOKUP(K56,RatingLookup!$A$2:$C$8,2,FALSE)</f>
        <v>1E-3</v>
      </c>
      <c r="N56">
        <f t="shared" si="0"/>
        <v>8.3371552197619714E-5</v>
      </c>
      <c r="O56">
        <f>VLOOKUP(K56,RatingLookup!$A$2:$C$8,3,FALSE)</f>
        <v>0.3</v>
      </c>
      <c r="P56">
        <f t="shared" si="1"/>
        <v>2.8488559615239838E-2</v>
      </c>
      <c r="Q56" t="str">
        <f t="shared" ca="1" si="2"/>
        <v>No</v>
      </c>
    </row>
    <row r="57" spans="1:17" x14ac:dyDescent="0.45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s="1">
        <v>45505</v>
      </c>
      <c r="G57">
        <v>5.91</v>
      </c>
      <c r="H57">
        <v>91.036100000000005</v>
      </c>
      <c r="I57">
        <v>20.190000000000001</v>
      </c>
      <c r="J57">
        <v>54.77</v>
      </c>
      <c r="K57" t="s">
        <v>23</v>
      </c>
      <c r="L57">
        <v>1251.72</v>
      </c>
      <c r="M57">
        <f>VLOOKUP(K57,RatingLookup!$A$2:$C$8,2,FALSE)</f>
        <v>1E-3</v>
      </c>
      <c r="N57">
        <f t="shared" si="0"/>
        <v>8.3371552197619714E-5</v>
      </c>
      <c r="O57">
        <f>VLOOKUP(K57,RatingLookup!$A$2:$C$8,3,FALSE)</f>
        <v>0.3</v>
      </c>
      <c r="P57">
        <f t="shared" si="1"/>
        <v>3.1307351795041363E-2</v>
      </c>
      <c r="Q57" t="str">
        <f t="shared" ca="1" si="2"/>
        <v>No</v>
      </c>
    </row>
    <row r="58" spans="1:17" x14ac:dyDescent="0.45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s="1">
        <v>45536</v>
      </c>
      <c r="G58">
        <v>6.3</v>
      </c>
      <c r="H58">
        <v>88.118300000000005</v>
      </c>
      <c r="I58">
        <v>23.43</v>
      </c>
      <c r="J58">
        <v>96.28</v>
      </c>
      <c r="K58" t="s">
        <v>23</v>
      </c>
      <c r="L58">
        <v>1204.77</v>
      </c>
      <c r="M58">
        <f>VLOOKUP(K58,RatingLookup!$A$2:$C$8,2,FALSE)</f>
        <v>1E-3</v>
      </c>
      <c r="N58">
        <f t="shared" si="0"/>
        <v>8.3371552197619714E-5</v>
      </c>
      <c r="O58">
        <f>VLOOKUP(K58,RatingLookup!$A$2:$C$8,3,FALSE)</f>
        <v>0.3</v>
      </c>
      <c r="P58">
        <f t="shared" si="1"/>
        <v>3.0133063482337887E-2</v>
      </c>
      <c r="Q58" t="str">
        <f t="shared" ca="1" si="2"/>
        <v>No</v>
      </c>
    </row>
    <row r="59" spans="1:17" x14ac:dyDescent="0.45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s="1">
        <v>45566</v>
      </c>
      <c r="G59">
        <v>5.09</v>
      </c>
      <c r="H59">
        <v>85.044799999999995</v>
      </c>
      <c r="I59">
        <v>20.420000000000002</v>
      </c>
      <c r="J59">
        <v>89.38</v>
      </c>
      <c r="K59" t="s">
        <v>23</v>
      </c>
      <c r="L59">
        <v>1221.08</v>
      </c>
      <c r="M59">
        <f>VLOOKUP(K59,RatingLookup!$A$2:$C$8,2,FALSE)</f>
        <v>1E-3</v>
      </c>
      <c r="N59">
        <f t="shared" si="0"/>
        <v>8.3371552197619714E-5</v>
      </c>
      <c r="O59">
        <f>VLOOKUP(K59,RatingLookup!$A$2:$C$8,3,FALSE)</f>
        <v>0.3</v>
      </c>
      <c r="P59">
        <f t="shared" si="1"/>
        <v>3.054100048724084E-2</v>
      </c>
      <c r="Q59" t="str">
        <f t="shared" ca="1" si="2"/>
        <v>No</v>
      </c>
    </row>
    <row r="60" spans="1:17" x14ac:dyDescent="0.45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s="1">
        <v>45597</v>
      </c>
      <c r="G60">
        <v>5.14</v>
      </c>
      <c r="H60">
        <v>86.414599999999993</v>
      </c>
      <c r="I60">
        <v>15.4</v>
      </c>
      <c r="J60">
        <v>75.849999999999994</v>
      </c>
      <c r="K60" t="s">
        <v>23</v>
      </c>
      <c r="L60">
        <v>1308.51</v>
      </c>
      <c r="M60">
        <f>VLOOKUP(K60,RatingLookup!$A$2:$C$8,2,FALSE)</f>
        <v>1E-3</v>
      </c>
      <c r="N60">
        <f t="shared" si="0"/>
        <v>8.3371552197619714E-5</v>
      </c>
      <c r="O60">
        <f>VLOOKUP(K60,RatingLookup!$A$2:$C$8,3,FALSE)</f>
        <v>0.3</v>
      </c>
      <c r="P60">
        <f t="shared" si="1"/>
        <v>3.272775292983221E-2</v>
      </c>
      <c r="Q60" t="str">
        <f t="shared" ca="1" si="2"/>
        <v>No</v>
      </c>
    </row>
    <row r="61" spans="1:17" x14ac:dyDescent="0.45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s="1">
        <v>45627</v>
      </c>
      <c r="G61">
        <v>5.27</v>
      </c>
      <c r="H61">
        <v>84.5244</v>
      </c>
      <c r="I61">
        <v>11.03</v>
      </c>
      <c r="J61">
        <v>94.87</v>
      </c>
      <c r="K61" t="s">
        <v>23</v>
      </c>
      <c r="L61">
        <v>1239.6199999999999</v>
      </c>
      <c r="M61">
        <f>VLOOKUP(K61,RatingLookup!$A$2:$C$8,2,FALSE)</f>
        <v>1E-3</v>
      </c>
      <c r="N61">
        <f t="shared" si="0"/>
        <v>8.3371552197619714E-5</v>
      </c>
      <c r="O61">
        <f>VLOOKUP(K61,RatingLookup!$A$2:$C$8,3,FALSE)</f>
        <v>0.3</v>
      </c>
      <c r="P61">
        <f t="shared" si="1"/>
        <v>3.1004713060564001E-2</v>
      </c>
      <c r="Q61" t="str">
        <f t="shared" ca="1" si="2"/>
        <v>No</v>
      </c>
    </row>
    <row r="62" spans="1:17" x14ac:dyDescent="0.45">
      <c r="A62" t="s">
        <v>24</v>
      </c>
      <c r="B62" t="s">
        <v>25</v>
      </c>
      <c r="C62" t="s">
        <v>26</v>
      </c>
      <c r="D62" t="s">
        <v>20</v>
      </c>
      <c r="E62" t="s">
        <v>21</v>
      </c>
      <c r="F62" s="1">
        <v>43831</v>
      </c>
      <c r="G62">
        <v>4.95</v>
      </c>
      <c r="H62">
        <v>82.615300000000005</v>
      </c>
      <c r="I62">
        <v>24.31</v>
      </c>
      <c r="J62">
        <v>72.53</v>
      </c>
      <c r="K62" t="s">
        <v>23</v>
      </c>
      <c r="L62">
        <v>314.08999999999997</v>
      </c>
      <c r="M62">
        <f>VLOOKUP(K62,RatingLookup!$A$2:$C$8,2,FALSE)</f>
        <v>1E-3</v>
      </c>
      <c r="N62">
        <f t="shared" si="0"/>
        <v>8.3371552197619714E-5</v>
      </c>
      <c r="O62">
        <f>VLOOKUP(K62,RatingLookup!$A$2:$C$8,3,FALSE)</f>
        <v>0.3</v>
      </c>
      <c r="P62">
        <f t="shared" si="1"/>
        <v>7.8558512489251119E-3</v>
      </c>
      <c r="Q62" t="str">
        <f t="shared" ca="1" si="2"/>
        <v>No</v>
      </c>
    </row>
    <row r="63" spans="1:17" x14ac:dyDescent="0.45">
      <c r="A63" t="s">
        <v>24</v>
      </c>
      <c r="B63" t="s">
        <v>25</v>
      </c>
      <c r="C63" t="s">
        <v>26</v>
      </c>
      <c r="D63" t="s">
        <v>20</v>
      </c>
      <c r="E63" t="s">
        <v>21</v>
      </c>
      <c r="F63" s="1">
        <v>43862</v>
      </c>
      <c r="G63">
        <v>5.98</v>
      </c>
      <c r="H63">
        <v>83.199200000000005</v>
      </c>
      <c r="I63">
        <v>8.84</v>
      </c>
      <c r="J63">
        <v>85.49</v>
      </c>
      <c r="K63" t="s">
        <v>23</v>
      </c>
      <c r="L63">
        <v>305.07</v>
      </c>
      <c r="M63">
        <f>VLOOKUP(K63,RatingLookup!$A$2:$C$8,2,FALSE)</f>
        <v>1E-3</v>
      </c>
      <c r="N63">
        <f t="shared" si="0"/>
        <v>8.3371552197619714E-5</v>
      </c>
      <c r="O63">
        <f>VLOOKUP(K63,RatingLookup!$A$2:$C$8,3,FALSE)</f>
        <v>0.3</v>
      </c>
      <c r="P63">
        <f t="shared" si="1"/>
        <v>7.6302478286783531E-3</v>
      </c>
      <c r="Q63" t="str">
        <f t="shared" ca="1" si="2"/>
        <v>No</v>
      </c>
    </row>
    <row r="64" spans="1:17" x14ac:dyDescent="0.45">
      <c r="A64" t="s">
        <v>24</v>
      </c>
      <c r="B64" t="s">
        <v>25</v>
      </c>
      <c r="C64" t="s">
        <v>26</v>
      </c>
      <c r="D64" t="s">
        <v>20</v>
      </c>
      <c r="E64" t="s">
        <v>21</v>
      </c>
      <c r="F64" s="1">
        <v>43891</v>
      </c>
      <c r="G64">
        <v>5.55</v>
      </c>
      <c r="H64">
        <v>78.328199999999995</v>
      </c>
      <c r="I64">
        <v>17.82</v>
      </c>
      <c r="J64">
        <v>79.489999999999995</v>
      </c>
      <c r="K64" t="s">
        <v>23</v>
      </c>
      <c r="L64">
        <v>334.72</v>
      </c>
      <c r="M64">
        <f>VLOOKUP(K64,RatingLookup!$A$2:$C$8,2,FALSE)</f>
        <v>1E-3</v>
      </c>
      <c r="N64">
        <f t="shared" si="0"/>
        <v>8.3371552197619714E-5</v>
      </c>
      <c r="O64">
        <f>VLOOKUP(K64,RatingLookup!$A$2:$C$8,3,FALSE)</f>
        <v>0.3</v>
      </c>
      <c r="P64">
        <f t="shared" si="1"/>
        <v>8.3718377854761807E-3</v>
      </c>
      <c r="Q64" t="str">
        <f t="shared" ca="1" si="2"/>
        <v>No</v>
      </c>
    </row>
    <row r="65" spans="1:17" x14ac:dyDescent="0.45">
      <c r="A65" t="s">
        <v>24</v>
      </c>
      <c r="B65" t="s">
        <v>25</v>
      </c>
      <c r="C65" t="s">
        <v>26</v>
      </c>
      <c r="D65" t="s">
        <v>20</v>
      </c>
      <c r="E65" t="s">
        <v>21</v>
      </c>
      <c r="F65" s="1">
        <v>43922</v>
      </c>
      <c r="G65">
        <v>5.61</v>
      </c>
      <c r="H65">
        <v>79.409400000000005</v>
      </c>
      <c r="I65">
        <v>11.35</v>
      </c>
      <c r="J65">
        <v>61.67</v>
      </c>
      <c r="K65" t="s">
        <v>23</v>
      </c>
      <c r="L65">
        <v>288.55</v>
      </c>
      <c r="M65">
        <f>VLOOKUP(K65,RatingLookup!$A$2:$C$8,2,FALSE)</f>
        <v>1E-3</v>
      </c>
      <c r="N65">
        <f t="shared" si="0"/>
        <v>8.3371552197619714E-5</v>
      </c>
      <c r="O65">
        <f>VLOOKUP(K65,RatingLookup!$A$2:$C$8,3,FALSE)</f>
        <v>0.3</v>
      </c>
      <c r="P65">
        <f t="shared" si="1"/>
        <v>7.2170584159869508E-3</v>
      </c>
      <c r="Q65" t="str">
        <f t="shared" ca="1" si="2"/>
        <v>No</v>
      </c>
    </row>
    <row r="66" spans="1:17" x14ac:dyDescent="0.45">
      <c r="A66" t="s">
        <v>24</v>
      </c>
      <c r="B66" t="s">
        <v>25</v>
      </c>
      <c r="C66" t="s">
        <v>26</v>
      </c>
      <c r="D66" t="s">
        <v>20</v>
      </c>
      <c r="E66" t="s">
        <v>21</v>
      </c>
      <c r="F66" s="1">
        <v>43952</v>
      </c>
      <c r="G66">
        <v>6.85</v>
      </c>
      <c r="H66">
        <v>80.646000000000001</v>
      </c>
      <c r="I66">
        <v>24.6</v>
      </c>
      <c r="J66">
        <v>71.45</v>
      </c>
      <c r="K66" t="s">
        <v>23</v>
      </c>
      <c r="L66">
        <v>293.06</v>
      </c>
      <c r="M66">
        <f>VLOOKUP(K66,RatingLookup!$A$2:$C$8,2,FALSE)</f>
        <v>1E-3</v>
      </c>
      <c r="N66">
        <f t="shared" ref="N66:N129" si="3">1-(1-M66)^(1/12)</f>
        <v>8.3371552197619714E-5</v>
      </c>
      <c r="O66">
        <f>VLOOKUP(K66,RatingLookup!$A$2:$C$8,3,FALSE)</f>
        <v>0.3</v>
      </c>
      <c r="P66">
        <f t="shared" ref="P66:P129" si="4">L66*N66*O66</f>
        <v>7.3298601261103293E-3</v>
      </c>
      <c r="Q66" t="str">
        <f t="shared" ref="Q66:Q129" ca="1" si="5">IF(RAND()&lt;N66,"Yes","No")</f>
        <v>No</v>
      </c>
    </row>
    <row r="67" spans="1:17" x14ac:dyDescent="0.45">
      <c r="A67" t="s">
        <v>24</v>
      </c>
      <c r="B67" t="s">
        <v>25</v>
      </c>
      <c r="C67" t="s">
        <v>26</v>
      </c>
      <c r="D67" t="s">
        <v>20</v>
      </c>
      <c r="E67" t="s">
        <v>21</v>
      </c>
      <c r="F67" s="1">
        <v>43983</v>
      </c>
      <c r="G67">
        <v>5.92</v>
      </c>
      <c r="H67">
        <v>78.263300000000001</v>
      </c>
      <c r="I67">
        <v>34.880000000000003</v>
      </c>
      <c r="J67">
        <v>91.42</v>
      </c>
      <c r="K67" t="s">
        <v>23</v>
      </c>
      <c r="L67">
        <v>318.77</v>
      </c>
      <c r="M67">
        <f>VLOOKUP(K67,RatingLookup!$A$2:$C$8,2,FALSE)</f>
        <v>1E-3</v>
      </c>
      <c r="N67">
        <f t="shared" si="3"/>
        <v>8.3371552197619714E-5</v>
      </c>
      <c r="O67">
        <f>VLOOKUP(K67,RatingLookup!$A$2:$C$8,3,FALSE)</f>
        <v>0.3</v>
      </c>
      <c r="P67">
        <f t="shared" si="4"/>
        <v>7.9729049082105704E-3</v>
      </c>
      <c r="Q67" t="str">
        <f t="shared" ca="1" si="5"/>
        <v>No</v>
      </c>
    </row>
    <row r="68" spans="1:17" x14ac:dyDescent="0.45">
      <c r="A68" t="s">
        <v>24</v>
      </c>
      <c r="B68" t="s">
        <v>25</v>
      </c>
      <c r="C68" t="s">
        <v>26</v>
      </c>
      <c r="D68" t="s">
        <v>20</v>
      </c>
      <c r="E68" t="s">
        <v>21</v>
      </c>
      <c r="F68" s="1">
        <v>44013</v>
      </c>
      <c r="G68">
        <v>5.57</v>
      </c>
      <c r="H68">
        <v>81.660200000000003</v>
      </c>
      <c r="I68">
        <v>21.2</v>
      </c>
      <c r="J68">
        <v>72.66</v>
      </c>
      <c r="K68" t="s">
        <v>23</v>
      </c>
      <c r="L68">
        <v>343.3</v>
      </c>
      <c r="M68">
        <f>VLOOKUP(K68,RatingLookup!$A$2:$C$8,2,FALSE)</f>
        <v>1E-3</v>
      </c>
      <c r="N68">
        <f t="shared" si="3"/>
        <v>8.3371552197619714E-5</v>
      </c>
      <c r="O68">
        <f>VLOOKUP(K68,RatingLookup!$A$2:$C$8,3,FALSE)</f>
        <v>0.3</v>
      </c>
      <c r="P68">
        <f t="shared" si="4"/>
        <v>8.5864361608328551E-3</v>
      </c>
      <c r="Q68" t="str">
        <f t="shared" ca="1" si="5"/>
        <v>No</v>
      </c>
    </row>
    <row r="69" spans="1:17" x14ac:dyDescent="0.45">
      <c r="A69" t="s">
        <v>24</v>
      </c>
      <c r="B69" t="s">
        <v>25</v>
      </c>
      <c r="C69" t="s">
        <v>26</v>
      </c>
      <c r="D69" t="s">
        <v>20</v>
      </c>
      <c r="E69" t="s">
        <v>21</v>
      </c>
      <c r="F69" s="1">
        <v>44044</v>
      </c>
      <c r="G69">
        <v>5.58</v>
      </c>
      <c r="H69">
        <v>81.498000000000005</v>
      </c>
      <c r="I69">
        <v>24.29</v>
      </c>
      <c r="J69">
        <v>59.47</v>
      </c>
      <c r="K69" t="s">
        <v>23</v>
      </c>
      <c r="L69">
        <v>326.14999999999998</v>
      </c>
      <c r="M69">
        <f>VLOOKUP(K69,RatingLookup!$A$2:$C$8,2,FALSE)</f>
        <v>1E-3</v>
      </c>
      <c r="N69">
        <f t="shared" si="3"/>
        <v>8.3371552197619714E-5</v>
      </c>
      <c r="O69">
        <f>VLOOKUP(K69,RatingLookup!$A$2:$C$8,3,FALSE)</f>
        <v>0.3</v>
      </c>
      <c r="P69">
        <f t="shared" si="4"/>
        <v>8.1574895247760997E-3</v>
      </c>
      <c r="Q69" t="str">
        <f t="shared" ca="1" si="5"/>
        <v>No</v>
      </c>
    </row>
    <row r="70" spans="1:17" x14ac:dyDescent="0.45">
      <c r="A70" t="s">
        <v>24</v>
      </c>
      <c r="B70" t="s">
        <v>25</v>
      </c>
      <c r="C70" t="s">
        <v>26</v>
      </c>
      <c r="D70" t="s">
        <v>20</v>
      </c>
      <c r="E70" t="s">
        <v>21</v>
      </c>
      <c r="F70" s="1">
        <v>44075</v>
      </c>
      <c r="G70">
        <v>4.47</v>
      </c>
      <c r="H70">
        <v>84.685900000000004</v>
      </c>
      <c r="I70">
        <v>23.94</v>
      </c>
      <c r="J70">
        <v>77.53</v>
      </c>
      <c r="K70" t="s">
        <v>23</v>
      </c>
      <c r="L70">
        <v>350.23</v>
      </c>
      <c r="M70">
        <f>VLOOKUP(K70,RatingLookup!$A$2:$C$8,2,FALSE)</f>
        <v>1E-3</v>
      </c>
      <c r="N70">
        <f t="shared" si="3"/>
        <v>8.3371552197619714E-5</v>
      </c>
      <c r="O70">
        <f>VLOOKUP(K70,RatingLookup!$A$2:$C$8,3,FALSE)</f>
        <v>0.3</v>
      </c>
      <c r="P70">
        <f t="shared" si="4"/>
        <v>8.7597656178517065E-3</v>
      </c>
      <c r="Q70" t="str">
        <f t="shared" ca="1" si="5"/>
        <v>No</v>
      </c>
    </row>
    <row r="71" spans="1:17" x14ac:dyDescent="0.45">
      <c r="A71" t="s">
        <v>24</v>
      </c>
      <c r="B71" t="s">
        <v>25</v>
      </c>
      <c r="C71" t="s">
        <v>26</v>
      </c>
      <c r="D71" t="s">
        <v>20</v>
      </c>
      <c r="E71" t="s">
        <v>21</v>
      </c>
      <c r="F71" s="1">
        <v>44105</v>
      </c>
      <c r="G71">
        <v>5.76</v>
      </c>
      <c r="H71">
        <v>77.946799999999996</v>
      </c>
      <c r="I71">
        <v>12.78</v>
      </c>
      <c r="J71">
        <v>78.209999999999994</v>
      </c>
      <c r="K71" t="s">
        <v>23</v>
      </c>
      <c r="L71">
        <v>310.88</v>
      </c>
      <c r="M71">
        <f>VLOOKUP(K71,RatingLookup!$A$2:$C$8,2,FALSE)</f>
        <v>1E-3</v>
      </c>
      <c r="N71">
        <f t="shared" si="3"/>
        <v>8.3371552197619714E-5</v>
      </c>
      <c r="O71">
        <f>VLOOKUP(K71,RatingLookup!$A$2:$C$8,3,FALSE)</f>
        <v>0.3</v>
      </c>
      <c r="P71">
        <f t="shared" si="4"/>
        <v>7.7755644441588039E-3</v>
      </c>
      <c r="Q71" t="str">
        <f t="shared" ca="1" si="5"/>
        <v>No</v>
      </c>
    </row>
    <row r="72" spans="1:17" x14ac:dyDescent="0.45">
      <c r="A72" t="s">
        <v>24</v>
      </c>
      <c r="B72" t="s">
        <v>25</v>
      </c>
      <c r="C72" t="s">
        <v>26</v>
      </c>
      <c r="D72" t="s">
        <v>20</v>
      </c>
      <c r="E72" t="s">
        <v>21</v>
      </c>
      <c r="F72" s="1">
        <v>44136</v>
      </c>
      <c r="G72">
        <v>6.32</v>
      </c>
      <c r="H72">
        <v>84.595600000000005</v>
      </c>
      <c r="I72">
        <v>19.559999999999999</v>
      </c>
      <c r="J72">
        <v>83.48</v>
      </c>
      <c r="K72" t="s">
        <v>23</v>
      </c>
      <c r="L72">
        <v>339.65</v>
      </c>
      <c r="M72">
        <f>VLOOKUP(K72,RatingLookup!$A$2:$C$8,2,FALSE)</f>
        <v>1E-3</v>
      </c>
      <c r="N72">
        <f t="shared" si="3"/>
        <v>8.3371552197619714E-5</v>
      </c>
      <c r="O72">
        <f>VLOOKUP(K72,RatingLookup!$A$2:$C$8,3,FALSE)</f>
        <v>0.3</v>
      </c>
      <c r="P72">
        <f t="shared" si="4"/>
        <v>8.4951443111764592E-3</v>
      </c>
      <c r="Q72" t="str">
        <f t="shared" ca="1" si="5"/>
        <v>No</v>
      </c>
    </row>
    <row r="73" spans="1:17" x14ac:dyDescent="0.45">
      <c r="A73" t="s">
        <v>24</v>
      </c>
      <c r="B73" t="s">
        <v>25</v>
      </c>
      <c r="C73" t="s">
        <v>26</v>
      </c>
      <c r="D73" t="s">
        <v>20</v>
      </c>
      <c r="E73" t="s">
        <v>21</v>
      </c>
      <c r="F73" s="1">
        <v>44166</v>
      </c>
      <c r="G73">
        <v>5.2</v>
      </c>
      <c r="H73">
        <v>81.031199999999998</v>
      </c>
      <c r="I73">
        <v>24.31</v>
      </c>
      <c r="J73">
        <v>69.83</v>
      </c>
      <c r="K73" t="s">
        <v>23</v>
      </c>
      <c r="L73">
        <v>344.7</v>
      </c>
      <c r="M73">
        <f>VLOOKUP(K73,RatingLookup!$A$2:$C$8,2,FALSE)</f>
        <v>1E-3</v>
      </c>
      <c r="N73">
        <f t="shared" si="3"/>
        <v>8.3371552197619714E-5</v>
      </c>
      <c r="O73">
        <f>VLOOKUP(K73,RatingLookup!$A$2:$C$8,3,FALSE)</f>
        <v>0.3</v>
      </c>
      <c r="P73">
        <f t="shared" si="4"/>
        <v>8.6214522127558545E-3</v>
      </c>
      <c r="Q73" t="str">
        <f t="shared" ca="1" si="5"/>
        <v>No</v>
      </c>
    </row>
    <row r="74" spans="1:17" x14ac:dyDescent="0.45">
      <c r="A74" t="s">
        <v>24</v>
      </c>
      <c r="B74" t="s">
        <v>25</v>
      </c>
      <c r="C74" t="s">
        <v>26</v>
      </c>
      <c r="D74" t="s">
        <v>20</v>
      </c>
      <c r="E74" t="s">
        <v>21</v>
      </c>
      <c r="F74" s="1">
        <v>44197</v>
      </c>
      <c r="G74">
        <v>5.6</v>
      </c>
      <c r="H74">
        <v>79.8001</v>
      </c>
      <c r="I74">
        <v>18.12</v>
      </c>
      <c r="J74">
        <v>79.540000000000006</v>
      </c>
      <c r="K74" t="s">
        <v>23</v>
      </c>
      <c r="L74">
        <v>323.52999999999997</v>
      </c>
      <c r="M74">
        <f>VLOOKUP(K74,RatingLookup!$A$2:$C$8,2,FALSE)</f>
        <v>1E-3</v>
      </c>
      <c r="N74">
        <f t="shared" si="3"/>
        <v>8.3371552197619714E-5</v>
      </c>
      <c r="O74">
        <f>VLOOKUP(K74,RatingLookup!$A$2:$C$8,3,FALSE)</f>
        <v>0.3</v>
      </c>
      <c r="P74">
        <f t="shared" si="4"/>
        <v>8.0919594847487716E-3</v>
      </c>
      <c r="Q74" t="str">
        <f t="shared" ca="1" si="5"/>
        <v>No</v>
      </c>
    </row>
    <row r="75" spans="1:17" x14ac:dyDescent="0.45">
      <c r="A75" t="s">
        <v>24</v>
      </c>
      <c r="B75" t="s">
        <v>25</v>
      </c>
      <c r="C75" t="s">
        <v>26</v>
      </c>
      <c r="D75" t="s">
        <v>20</v>
      </c>
      <c r="E75" t="s">
        <v>21</v>
      </c>
      <c r="F75" s="1">
        <v>44228</v>
      </c>
      <c r="G75">
        <v>4.6900000000000004</v>
      </c>
      <c r="H75">
        <v>80.274199999999993</v>
      </c>
      <c r="I75">
        <v>27.98</v>
      </c>
      <c r="J75">
        <v>82.47</v>
      </c>
      <c r="K75" t="s">
        <v>23</v>
      </c>
      <c r="L75">
        <v>306.41000000000003</v>
      </c>
      <c r="M75">
        <f>VLOOKUP(K75,RatingLookup!$A$2:$C$8,2,FALSE)</f>
        <v>1E-3</v>
      </c>
      <c r="N75">
        <f t="shared" si="3"/>
        <v>8.3371552197619714E-5</v>
      </c>
      <c r="O75">
        <f>VLOOKUP(K75,RatingLookup!$A$2:$C$8,3,FALSE)</f>
        <v>0.3</v>
      </c>
      <c r="P75">
        <f t="shared" si="4"/>
        <v>7.6637631926617968E-3</v>
      </c>
      <c r="Q75" t="str">
        <f t="shared" ca="1" si="5"/>
        <v>No</v>
      </c>
    </row>
    <row r="76" spans="1:17" x14ac:dyDescent="0.45">
      <c r="A76" t="s">
        <v>24</v>
      </c>
      <c r="B76" t="s">
        <v>25</v>
      </c>
      <c r="C76" t="s">
        <v>26</v>
      </c>
      <c r="D76" t="s">
        <v>20</v>
      </c>
      <c r="E76" t="s">
        <v>21</v>
      </c>
      <c r="F76" s="1">
        <v>44256</v>
      </c>
      <c r="G76">
        <v>5.68</v>
      </c>
      <c r="H76">
        <v>83.837000000000003</v>
      </c>
      <c r="I76">
        <v>23.98</v>
      </c>
      <c r="J76">
        <v>81.8</v>
      </c>
      <c r="K76" t="s">
        <v>23</v>
      </c>
      <c r="L76">
        <v>348.87</v>
      </c>
      <c r="M76">
        <f>VLOOKUP(K76,RatingLookup!$A$2:$C$8,2,FALSE)</f>
        <v>1E-3</v>
      </c>
      <c r="N76">
        <f t="shared" si="3"/>
        <v>8.3371552197619714E-5</v>
      </c>
      <c r="O76">
        <f>VLOOKUP(K76,RatingLookup!$A$2:$C$8,3,FALSE)</f>
        <v>0.3</v>
      </c>
      <c r="P76">
        <f t="shared" si="4"/>
        <v>8.7257500245550776E-3</v>
      </c>
      <c r="Q76" t="str">
        <f t="shared" ca="1" si="5"/>
        <v>No</v>
      </c>
    </row>
    <row r="77" spans="1:17" x14ac:dyDescent="0.45">
      <c r="A77" t="s">
        <v>24</v>
      </c>
      <c r="B77" t="s">
        <v>25</v>
      </c>
      <c r="C77" t="s">
        <v>26</v>
      </c>
      <c r="D77" t="s">
        <v>20</v>
      </c>
      <c r="E77" t="s">
        <v>21</v>
      </c>
      <c r="F77" s="1">
        <v>44287</v>
      </c>
      <c r="G77">
        <v>5.58</v>
      </c>
      <c r="H77">
        <v>82.127499999999998</v>
      </c>
      <c r="I77">
        <v>5</v>
      </c>
      <c r="J77">
        <v>70.89</v>
      </c>
      <c r="K77" t="s">
        <v>23</v>
      </c>
      <c r="L77">
        <v>332.11</v>
      </c>
      <c r="M77">
        <f>VLOOKUP(K77,RatingLookup!$A$2:$C$8,2,FALSE)</f>
        <v>1E-3</v>
      </c>
      <c r="N77">
        <f t="shared" si="3"/>
        <v>8.3371552197619714E-5</v>
      </c>
      <c r="O77">
        <f>VLOOKUP(K77,RatingLookup!$A$2:$C$8,3,FALSE)</f>
        <v>0.3</v>
      </c>
      <c r="P77">
        <f t="shared" si="4"/>
        <v>8.3065578601054443E-3</v>
      </c>
      <c r="Q77" t="str">
        <f t="shared" ca="1" si="5"/>
        <v>No</v>
      </c>
    </row>
    <row r="78" spans="1:17" x14ac:dyDescent="0.45">
      <c r="A78" t="s">
        <v>24</v>
      </c>
      <c r="B78" t="s">
        <v>25</v>
      </c>
      <c r="C78" t="s">
        <v>26</v>
      </c>
      <c r="D78" t="s">
        <v>20</v>
      </c>
      <c r="E78" t="s">
        <v>21</v>
      </c>
      <c r="F78" s="1">
        <v>44317</v>
      </c>
      <c r="G78">
        <v>6.05</v>
      </c>
      <c r="H78">
        <v>80.028599999999997</v>
      </c>
      <c r="I78">
        <v>22.59</v>
      </c>
      <c r="J78">
        <v>63.27</v>
      </c>
      <c r="K78" t="s">
        <v>23</v>
      </c>
      <c r="L78">
        <v>376.23</v>
      </c>
      <c r="M78">
        <f>VLOOKUP(K78,RatingLookup!$A$2:$C$8,2,FALSE)</f>
        <v>1E-3</v>
      </c>
      <c r="N78">
        <f t="shared" si="3"/>
        <v>8.3371552197619714E-5</v>
      </c>
      <c r="O78">
        <f>VLOOKUP(K78,RatingLookup!$A$2:$C$8,3,FALSE)</f>
        <v>0.3</v>
      </c>
      <c r="P78">
        <f t="shared" si="4"/>
        <v>9.4100637249931382E-3</v>
      </c>
      <c r="Q78" t="str">
        <f t="shared" ca="1" si="5"/>
        <v>No</v>
      </c>
    </row>
    <row r="79" spans="1:17" x14ac:dyDescent="0.45">
      <c r="A79" t="s">
        <v>24</v>
      </c>
      <c r="B79" t="s">
        <v>25</v>
      </c>
      <c r="C79" t="s">
        <v>26</v>
      </c>
      <c r="D79" t="s">
        <v>20</v>
      </c>
      <c r="E79" t="s">
        <v>21</v>
      </c>
      <c r="F79" s="1">
        <v>44348</v>
      </c>
      <c r="G79">
        <v>5.37</v>
      </c>
      <c r="H79">
        <v>81.293199999999999</v>
      </c>
      <c r="I79">
        <v>27.07</v>
      </c>
      <c r="J79">
        <v>80.42</v>
      </c>
      <c r="K79" t="s">
        <v>23</v>
      </c>
      <c r="L79">
        <v>326.57</v>
      </c>
      <c r="M79">
        <f>VLOOKUP(K79,RatingLookup!$A$2:$C$8,2,FALSE)</f>
        <v>1E-3</v>
      </c>
      <c r="N79">
        <f t="shared" si="3"/>
        <v>8.3371552197619714E-5</v>
      </c>
      <c r="O79">
        <f>VLOOKUP(K79,RatingLookup!$A$2:$C$8,3,FALSE)</f>
        <v>0.3</v>
      </c>
      <c r="P79">
        <f t="shared" si="4"/>
        <v>8.1679943403530006E-3</v>
      </c>
      <c r="Q79" t="str">
        <f t="shared" ca="1" si="5"/>
        <v>No</v>
      </c>
    </row>
    <row r="80" spans="1:17" x14ac:dyDescent="0.45">
      <c r="A80" t="s">
        <v>24</v>
      </c>
      <c r="B80" t="s">
        <v>25</v>
      </c>
      <c r="C80" t="s">
        <v>26</v>
      </c>
      <c r="D80" t="s">
        <v>20</v>
      </c>
      <c r="E80" t="s">
        <v>21</v>
      </c>
      <c r="F80" s="1">
        <v>44378</v>
      </c>
      <c r="G80">
        <v>5.36</v>
      </c>
      <c r="H80">
        <v>85.379000000000005</v>
      </c>
      <c r="I80">
        <v>19.739999999999998</v>
      </c>
      <c r="J80">
        <v>81.12</v>
      </c>
      <c r="K80" t="s">
        <v>23</v>
      </c>
      <c r="L80">
        <v>338.33</v>
      </c>
      <c r="M80">
        <f>VLOOKUP(K80,RatingLookup!$A$2:$C$8,2,FALSE)</f>
        <v>1E-3</v>
      </c>
      <c r="N80">
        <f t="shared" si="3"/>
        <v>8.3371552197619714E-5</v>
      </c>
      <c r="O80">
        <f>VLOOKUP(K80,RatingLookup!$A$2:$C$8,3,FALSE)</f>
        <v>0.3</v>
      </c>
      <c r="P80">
        <f t="shared" si="4"/>
        <v>8.4621291765062025E-3</v>
      </c>
      <c r="Q80" t="str">
        <f t="shared" ca="1" si="5"/>
        <v>No</v>
      </c>
    </row>
    <row r="81" spans="1:17" x14ac:dyDescent="0.45">
      <c r="A81" t="s">
        <v>24</v>
      </c>
      <c r="B81" t="s">
        <v>25</v>
      </c>
      <c r="C81" t="s">
        <v>26</v>
      </c>
      <c r="D81" t="s">
        <v>20</v>
      </c>
      <c r="E81" t="s">
        <v>21</v>
      </c>
      <c r="F81" s="1">
        <v>44409</v>
      </c>
      <c r="G81">
        <v>5.58</v>
      </c>
      <c r="H81">
        <v>77.992999999999995</v>
      </c>
      <c r="I81">
        <v>17.64</v>
      </c>
      <c r="J81">
        <v>64.58</v>
      </c>
      <c r="K81" t="s">
        <v>22</v>
      </c>
      <c r="L81">
        <v>332.49</v>
      </c>
      <c r="M81">
        <f>VLOOKUP(K81,RatingLookup!$A$2:$C$8,2,FALSE)</f>
        <v>5.0000000000000001E-3</v>
      </c>
      <c r="N81">
        <f t="shared" si="3"/>
        <v>4.1762458919303302E-4</v>
      </c>
      <c r="O81">
        <f>VLOOKUP(K81,RatingLookup!$A$2:$C$8,3,FALSE)</f>
        <v>0.45</v>
      </c>
      <c r="P81">
        <f t="shared" si="4"/>
        <v>6.2485199847356197E-2</v>
      </c>
      <c r="Q81" t="str">
        <f t="shared" ca="1" si="5"/>
        <v>No</v>
      </c>
    </row>
    <row r="82" spans="1:17" x14ac:dyDescent="0.45">
      <c r="A82" t="s">
        <v>24</v>
      </c>
      <c r="B82" t="s">
        <v>25</v>
      </c>
      <c r="C82" t="s">
        <v>26</v>
      </c>
      <c r="D82" t="s">
        <v>20</v>
      </c>
      <c r="E82" t="s">
        <v>21</v>
      </c>
      <c r="F82" s="1">
        <v>44440</v>
      </c>
      <c r="G82">
        <v>5.21</v>
      </c>
      <c r="H82">
        <v>88.146199999999993</v>
      </c>
      <c r="I82">
        <v>10.79</v>
      </c>
      <c r="J82">
        <v>63.71</v>
      </c>
      <c r="K82" t="s">
        <v>22</v>
      </c>
      <c r="L82">
        <v>359.42</v>
      </c>
      <c r="M82">
        <f>VLOOKUP(K82,RatingLookup!$A$2:$C$8,2,FALSE)</f>
        <v>5.0000000000000001E-3</v>
      </c>
      <c r="N82">
        <f t="shared" si="3"/>
        <v>4.1762458919303302E-4</v>
      </c>
      <c r="O82">
        <f>VLOOKUP(K82,RatingLookup!$A$2:$C$8,3,FALSE)</f>
        <v>0.45</v>
      </c>
      <c r="P82">
        <f t="shared" si="4"/>
        <v>6.7546183431491977E-2</v>
      </c>
      <c r="Q82" t="str">
        <f t="shared" ca="1" si="5"/>
        <v>No</v>
      </c>
    </row>
    <row r="83" spans="1:17" x14ac:dyDescent="0.45">
      <c r="A83" t="s">
        <v>24</v>
      </c>
      <c r="B83" t="s">
        <v>25</v>
      </c>
      <c r="C83" t="s">
        <v>26</v>
      </c>
      <c r="D83" t="s">
        <v>20</v>
      </c>
      <c r="E83" t="s">
        <v>21</v>
      </c>
      <c r="F83" s="1">
        <v>44470</v>
      </c>
      <c r="G83">
        <v>5.08</v>
      </c>
      <c r="H83">
        <v>84.884299999999996</v>
      </c>
      <c r="I83">
        <v>14.85</v>
      </c>
      <c r="J83">
        <v>79.28</v>
      </c>
      <c r="K83" t="s">
        <v>22</v>
      </c>
      <c r="L83">
        <v>365.55</v>
      </c>
      <c r="M83">
        <f>VLOOKUP(K83,RatingLookup!$A$2:$C$8,2,FALSE)</f>
        <v>5.0000000000000001E-3</v>
      </c>
      <c r="N83">
        <f t="shared" si="3"/>
        <v>4.1762458919303302E-4</v>
      </c>
      <c r="O83">
        <f>VLOOKUP(K83,RatingLookup!$A$2:$C$8,3,FALSE)</f>
        <v>0.45</v>
      </c>
      <c r="P83">
        <f t="shared" si="4"/>
        <v>6.8698200860780947E-2</v>
      </c>
      <c r="Q83" t="str">
        <f t="shared" ca="1" si="5"/>
        <v>No</v>
      </c>
    </row>
    <row r="84" spans="1:17" x14ac:dyDescent="0.45">
      <c r="A84" t="s">
        <v>24</v>
      </c>
      <c r="B84" t="s">
        <v>25</v>
      </c>
      <c r="C84" t="s">
        <v>26</v>
      </c>
      <c r="D84" t="s">
        <v>20</v>
      </c>
      <c r="E84" t="s">
        <v>21</v>
      </c>
      <c r="F84" s="1">
        <v>44501</v>
      </c>
      <c r="G84">
        <v>6.27</v>
      </c>
      <c r="H84">
        <v>84.162599999999998</v>
      </c>
      <c r="I84">
        <v>23.47</v>
      </c>
      <c r="J84">
        <v>90.88</v>
      </c>
      <c r="K84" t="s">
        <v>22</v>
      </c>
      <c r="L84">
        <v>355.75</v>
      </c>
      <c r="M84">
        <f>VLOOKUP(K84,RatingLookup!$A$2:$C$8,2,FALSE)</f>
        <v>5.0000000000000001E-3</v>
      </c>
      <c r="N84">
        <f t="shared" si="3"/>
        <v>4.1762458919303302E-4</v>
      </c>
      <c r="O84">
        <f>VLOOKUP(K84,RatingLookup!$A$2:$C$8,3,FALSE)</f>
        <v>0.45</v>
      </c>
      <c r="P84">
        <f t="shared" si="4"/>
        <v>6.6856476422439678E-2</v>
      </c>
      <c r="Q84" t="str">
        <f t="shared" ca="1" si="5"/>
        <v>No</v>
      </c>
    </row>
    <row r="85" spans="1:17" x14ac:dyDescent="0.45">
      <c r="A85" t="s">
        <v>24</v>
      </c>
      <c r="B85" t="s">
        <v>25</v>
      </c>
      <c r="C85" t="s">
        <v>26</v>
      </c>
      <c r="D85" t="s">
        <v>20</v>
      </c>
      <c r="E85" t="s">
        <v>21</v>
      </c>
      <c r="F85" s="1">
        <v>44531</v>
      </c>
      <c r="G85">
        <v>6.12</v>
      </c>
      <c r="H85">
        <v>82.718699999999998</v>
      </c>
      <c r="I85">
        <v>15.25</v>
      </c>
      <c r="J85">
        <v>57.78</v>
      </c>
      <c r="K85" t="s">
        <v>22</v>
      </c>
      <c r="L85">
        <v>328.61</v>
      </c>
      <c r="M85">
        <f>VLOOKUP(K85,RatingLookup!$A$2:$C$8,2,FALSE)</f>
        <v>5.0000000000000001E-3</v>
      </c>
      <c r="N85">
        <f t="shared" si="3"/>
        <v>4.1762458919303302E-4</v>
      </c>
      <c r="O85">
        <f>VLOOKUP(K85,RatingLookup!$A$2:$C$8,3,FALSE)</f>
        <v>0.45</v>
      </c>
      <c r="P85">
        <f t="shared" si="4"/>
        <v>6.1756027314625164E-2</v>
      </c>
      <c r="Q85" t="str">
        <f t="shared" ca="1" si="5"/>
        <v>No</v>
      </c>
    </row>
    <row r="86" spans="1:17" x14ac:dyDescent="0.45">
      <c r="A86" t="s">
        <v>24</v>
      </c>
      <c r="B86" t="s">
        <v>25</v>
      </c>
      <c r="C86" t="s">
        <v>26</v>
      </c>
      <c r="D86" t="s">
        <v>20</v>
      </c>
      <c r="E86" t="s">
        <v>21</v>
      </c>
      <c r="F86" s="1">
        <v>44562</v>
      </c>
      <c r="G86">
        <v>5.38</v>
      </c>
      <c r="H86">
        <v>82.094899999999996</v>
      </c>
      <c r="I86">
        <v>26.62</v>
      </c>
      <c r="J86">
        <v>73.81</v>
      </c>
      <c r="K86" t="s">
        <v>22</v>
      </c>
      <c r="L86">
        <v>357.47</v>
      </c>
      <c r="M86">
        <f>VLOOKUP(K86,RatingLookup!$A$2:$C$8,2,FALSE)</f>
        <v>5.0000000000000001E-3</v>
      </c>
      <c r="N86">
        <f t="shared" si="3"/>
        <v>4.1762458919303302E-4</v>
      </c>
      <c r="O86">
        <f>VLOOKUP(K86,RatingLookup!$A$2:$C$8,3,FALSE)</f>
        <v>0.45</v>
      </c>
      <c r="P86">
        <f t="shared" si="4"/>
        <v>6.7179717854475088E-2</v>
      </c>
      <c r="Q86" t="str">
        <f t="shared" ca="1" si="5"/>
        <v>No</v>
      </c>
    </row>
    <row r="87" spans="1:17" x14ac:dyDescent="0.45">
      <c r="A87" t="s">
        <v>24</v>
      </c>
      <c r="B87" t="s">
        <v>25</v>
      </c>
      <c r="C87" t="s">
        <v>26</v>
      </c>
      <c r="D87" t="s">
        <v>20</v>
      </c>
      <c r="E87" t="s">
        <v>21</v>
      </c>
      <c r="F87" s="1">
        <v>44593</v>
      </c>
      <c r="G87">
        <v>3.87</v>
      </c>
      <c r="H87">
        <v>84.755600000000001</v>
      </c>
      <c r="I87">
        <v>6.43</v>
      </c>
      <c r="J87">
        <v>87.69</v>
      </c>
      <c r="K87" t="s">
        <v>22</v>
      </c>
      <c r="L87">
        <v>333.98</v>
      </c>
      <c r="M87">
        <f>VLOOKUP(K87,RatingLookup!$A$2:$C$8,2,FALSE)</f>
        <v>5.0000000000000001E-3</v>
      </c>
      <c r="N87">
        <f t="shared" si="3"/>
        <v>4.1762458919303302E-4</v>
      </c>
      <c r="O87">
        <f>VLOOKUP(K87,RatingLookup!$A$2:$C$8,3,FALSE)</f>
        <v>0.45</v>
      </c>
      <c r="P87">
        <f t="shared" si="4"/>
        <v>6.2765217134410134E-2</v>
      </c>
      <c r="Q87" t="str">
        <f t="shared" ca="1" si="5"/>
        <v>No</v>
      </c>
    </row>
    <row r="88" spans="1:17" x14ac:dyDescent="0.45">
      <c r="A88" t="s">
        <v>24</v>
      </c>
      <c r="B88" t="s">
        <v>25</v>
      </c>
      <c r="C88" t="s">
        <v>26</v>
      </c>
      <c r="D88" t="s">
        <v>20</v>
      </c>
      <c r="E88" t="s">
        <v>21</v>
      </c>
      <c r="F88" s="1">
        <v>44621</v>
      </c>
      <c r="G88">
        <v>6.37</v>
      </c>
      <c r="H88">
        <v>77.758700000000005</v>
      </c>
      <c r="I88">
        <v>19.57</v>
      </c>
      <c r="J88">
        <v>91.49</v>
      </c>
      <c r="K88" t="s">
        <v>22</v>
      </c>
      <c r="L88">
        <v>356.89</v>
      </c>
      <c r="M88">
        <f>VLOOKUP(K88,RatingLookup!$A$2:$C$8,2,FALSE)</f>
        <v>5.0000000000000001E-3</v>
      </c>
      <c r="N88">
        <f t="shared" si="3"/>
        <v>4.1762458919303302E-4</v>
      </c>
      <c r="O88">
        <f>VLOOKUP(K88,RatingLookup!$A$2:$C$8,3,FALSE)</f>
        <v>0.45</v>
      </c>
      <c r="P88">
        <f t="shared" si="4"/>
        <v>6.7070717836695701E-2</v>
      </c>
      <c r="Q88" t="str">
        <f t="shared" ca="1" si="5"/>
        <v>No</v>
      </c>
    </row>
    <row r="89" spans="1:17" x14ac:dyDescent="0.45">
      <c r="A89" t="s">
        <v>24</v>
      </c>
      <c r="B89" t="s">
        <v>25</v>
      </c>
      <c r="C89" t="s">
        <v>26</v>
      </c>
      <c r="D89" t="s">
        <v>20</v>
      </c>
      <c r="E89" t="s">
        <v>21</v>
      </c>
      <c r="F89" s="1">
        <v>44652</v>
      </c>
      <c r="G89">
        <v>6</v>
      </c>
      <c r="H89">
        <v>81.994699999999995</v>
      </c>
      <c r="I89">
        <v>24.52</v>
      </c>
      <c r="J89">
        <v>80.260000000000005</v>
      </c>
      <c r="K89" t="s">
        <v>22</v>
      </c>
      <c r="L89">
        <v>336.06</v>
      </c>
      <c r="M89">
        <f>VLOOKUP(K89,RatingLookup!$A$2:$C$8,2,FALSE)</f>
        <v>5.0000000000000001E-3</v>
      </c>
      <c r="N89">
        <f t="shared" si="3"/>
        <v>4.1762458919303302E-4</v>
      </c>
      <c r="O89">
        <f>VLOOKUP(K89,RatingLookup!$A$2:$C$8,3,FALSE)</f>
        <v>0.45</v>
      </c>
      <c r="P89">
        <f t="shared" si="4"/>
        <v>6.3156113749894813E-2</v>
      </c>
      <c r="Q89" t="str">
        <f t="shared" ca="1" si="5"/>
        <v>No</v>
      </c>
    </row>
    <row r="90" spans="1:17" x14ac:dyDescent="0.45">
      <c r="A90" t="s">
        <v>24</v>
      </c>
      <c r="B90" t="s">
        <v>25</v>
      </c>
      <c r="C90" t="s">
        <v>26</v>
      </c>
      <c r="D90" t="s">
        <v>20</v>
      </c>
      <c r="E90" t="s">
        <v>21</v>
      </c>
      <c r="F90" s="1">
        <v>44682</v>
      </c>
      <c r="G90">
        <v>5.88</v>
      </c>
      <c r="H90">
        <v>82.130200000000002</v>
      </c>
      <c r="I90">
        <v>18.41</v>
      </c>
      <c r="J90">
        <v>72.25</v>
      </c>
      <c r="K90" t="s">
        <v>22</v>
      </c>
      <c r="L90">
        <v>311.17</v>
      </c>
      <c r="M90">
        <f>VLOOKUP(K90,RatingLookup!$A$2:$C$8,2,FALSE)</f>
        <v>5.0000000000000001E-3</v>
      </c>
      <c r="N90">
        <f t="shared" si="3"/>
        <v>4.1762458919303302E-4</v>
      </c>
      <c r="O90">
        <f>VLOOKUP(K90,RatingLookup!$A$2:$C$8,3,FALSE)</f>
        <v>0.45</v>
      </c>
      <c r="P90">
        <f t="shared" si="4"/>
        <v>5.8478509538638243E-2</v>
      </c>
      <c r="Q90" t="str">
        <f t="shared" ca="1" si="5"/>
        <v>No</v>
      </c>
    </row>
    <row r="91" spans="1:17" x14ac:dyDescent="0.45">
      <c r="A91" t="s">
        <v>24</v>
      </c>
      <c r="B91" t="s">
        <v>25</v>
      </c>
      <c r="C91" t="s">
        <v>26</v>
      </c>
      <c r="D91" t="s">
        <v>20</v>
      </c>
      <c r="E91" t="s">
        <v>21</v>
      </c>
      <c r="F91" s="1">
        <v>44713</v>
      </c>
      <c r="G91">
        <v>5.84</v>
      </c>
      <c r="H91">
        <v>83.297399999999996</v>
      </c>
      <c r="I91">
        <v>6.07</v>
      </c>
      <c r="J91">
        <v>59.29</v>
      </c>
      <c r="K91" t="s">
        <v>22</v>
      </c>
      <c r="L91">
        <v>332.94</v>
      </c>
      <c r="M91">
        <f>VLOOKUP(K91,RatingLookup!$A$2:$C$8,2,FALSE)</f>
        <v>5.0000000000000001E-3</v>
      </c>
      <c r="N91">
        <f t="shared" si="3"/>
        <v>4.1762458919303302E-4</v>
      </c>
      <c r="O91">
        <f>VLOOKUP(K91,RatingLookup!$A$2:$C$8,3,FALSE)</f>
        <v>0.45</v>
      </c>
      <c r="P91">
        <f t="shared" si="4"/>
        <v>6.2569768826667788E-2</v>
      </c>
      <c r="Q91" t="str">
        <f t="shared" ca="1" si="5"/>
        <v>No</v>
      </c>
    </row>
    <row r="92" spans="1:17" x14ac:dyDescent="0.45">
      <c r="A92" t="s">
        <v>24</v>
      </c>
      <c r="B92" t="s">
        <v>25</v>
      </c>
      <c r="C92" t="s">
        <v>26</v>
      </c>
      <c r="D92" t="s">
        <v>20</v>
      </c>
      <c r="E92" t="s">
        <v>21</v>
      </c>
      <c r="F92" s="1">
        <v>44743</v>
      </c>
      <c r="G92">
        <v>4.55</v>
      </c>
      <c r="H92">
        <v>84.191599999999994</v>
      </c>
      <c r="I92">
        <v>17.13</v>
      </c>
      <c r="J92">
        <v>69.17</v>
      </c>
      <c r="K92" t="s">
        <v>22</v>
      </c>
      <c r="L92">
        <v>327.95</v>
      </c>
      <c r="M92">
        <f>VLOOKUP(K92,RatingLookup!$A$2:$C$8,2,FALSE)</f>
        <v>5.0000000000000001E-3</v>
      </c>
      <c r="N92">
        <f t="shared" si="3"/>
        <v>4.1762458919303302E-4</v>
      </c>
      <c r="O92">
        <f>VLOOKUP(K92,RatingLookup!$A$2:$C$8,3,FALSE)</f>
        <v>0.45</v>
      </c>
      <c r="P92">
        <f t="shared" si="4"/>
        <v>6.1631992811634832E-2</v>
      </c>
      <c r="Q92" t="str">
        <f t="shared" ca="1" si="5"/>
        <v>No</v>
      </c>
    </row>
    <row r="93" spans="1:17" x14ac:dyDescent="0.45">
      <c r="A93" t="s">
        <v>24</v>
      </c>
      <c r="B93" t="s">
        <v>25</v>
      </c>
      <c r="C93" t="s">
        <v>26</v>
      </c>
      <c r="D93" t="s">
        <v>20</v>
      </c>
      <c r="E93" t="s">
        <v>21</v>
      </c>
      <c r="F93" s="1">
        <v>44774</v>
      </c>
      <c r="G93">
        <v>5.98</v>
      </c>
      <c r="H93">
        <v>84.698899999999995</v>
      </c>
      <c r="I93">
        <v>19.87</v>
      </c>
      <c r="J93">
        <v>76.61</v>
      </c>
      <c r="K93" t="s">
        <v>22</v>
      </c>
      <c r="L93">
        <v>328.53</v>
      </c>
      <c r="M93">
        <f>VLOOKUP(K93,RatingLookup!$A$2:$C$8,2,FALSE)</f>
        <v>5.0000000000000001E-3</v>
      </c>
      <c r="N93">
        <f t="shared" si="3"/>
        <v>4.1762458919303302E-4</v>
      </c>
      <c r="O93">
        <f>VLOOKUP(K93,RatingLookup!$A$2:$C$8,3,FALSE)</f>
        <v>0.45</v>
      </c>
      <c r="P93">
        <f t="shared" si="4"/>
        <v>6.1740992829414212E-2</v>
      </c>
      <c r="Q93" t="str">
        <f t="shared" ca="1" si="5"/>
        <v>No</v>
      </c>
    </row>
    <row r="94" spans="1:17" x14ac:dyDescent="0.45">
      <c r="A94" t="s">
        <v>24</v>
      </c>
      <c r="B94" t="s">
        <v>25</v>
      </c>
      <c r="C94" t="s">
        <v>26</v>
      </c>
      <c r="D94" t="s">
        <v>20</v>
      </c>
      <c r="E94" t="s">
        <v>21</v>
      </c>
      <c r="F94" s="1">
        <v>44805</v>
      </c>
      <c r="G94">
        <v>5.42</v>
      </c>
      <c r="H94">
        <v>81.387200000000007</v>
      </c>
      <c r="I94">
        <v>21.45</v>
      </c>
      <c r="J94">
        <v>83.28</v>
      </c>
      <c r="K94" t="s">
        <v>22</v>
      </c>
      <c r="L94">
        <v>319.72000000000003</v>
      </c>
      <c r="M94">
        <f>VLOOKUP(K94,RatingLookup!$A$2:$C$8,2,FALSE)</f>
        <v>5.0000000000000001E-3</v>
      </c>
      <c r="N94">
        <f t="shared" si="3"/>
        <v>4.1762458919303302E-4</v>
      </c>
      <c r="O94">
        <f>VLOOKUP(K94,RatingLookup!$A$2:$C$8,3,FALSE)</f>
        <v>0.45</v>
      </c>
      <c r="P94">
        <f t="shared" si="4"/>
        <v>6.0085320145558431E-2</v>
      </c>
      <c r="Q94" t="str">
        <f t="shared" ca="1" si="5"/>
        <v>No</v>
      </c>
    </row>
    <row r="95" spans="1:17" x14ac:dyDescent="0.45">
      <c r="A95" t="s">
        <v>24</v>
      </c>
      <c r="B95" t="s">
        <v>25</v>
      </c>
      <c r="C95" t="s">
        <v>26</v>
      </c>
      <c r="D95" t="s">
        <v>20</v>
      </c>
      <c r="E95" t="s">
        <v>21</v>
      </c>
      <c r="F95" s="1">
        <v>44835</v>
      </c>
      <c r="G95">
        <v>5.84</v>
      </c>
      <c r="H95">
        <v>78.412499999999994</v>
      </c>
      <c r="I95">
        <v>19.72</v>
      </c>
      <c r="J95">
        <v>59.99</v>
      </c>
      <c r="K95" t="s">
        <v>22</v>
      </c>
      <c r="L95">
        <v>399.65</v>
      </c>
      <c r="M95">
        <f>VLOOKUP(K95,RatingLookup!$A$2:$C$8,2,FALSE)</f>
        <v>5.0000000000000001E-3</v>
      </c>
      <c r="N95">
        <f t="shared" si="3"/>
        <v>4.1762458919303302E-4</v>
      </c>
      <c r="O95">
        <f>VLOOKUP(K95,RatingLookup!$A$2:$C$8,3,FALSE)</f>
        <v>0.45</v>
      </c>
      <c r="P95">
        <f t="shared" si="4"/>
        <v>7.5106650181948037E-2</v>
      </c>
      <c r="Q95" t="str">
        <f t="shared" ca="1" si="5"/>
        <v>No</v>
      </c>
    </row>
    <row r="96" spans="1:17" x14ac:dyDescent="0.45">
      <c r="A96" t="s">
        <v>24</v>
      </c>
      <c r="B96" t="s">
        <v>25</v>
      </c>
      <c r="C96" t="s">
        <v>26</v>
      </c>
      <c r="D96" t="s">
        <v>20</v>
      </c>
      <c r="E96" t="s">
        <v>21</v>
      </c>
      <c r="F96" s="1">
        <v>44866</v>
      </c>
      <c r="G96">
        <v>6.33</v>
      </c>
      <c r="H96">
        <v>84.388999999999996</v>
      </c>
      <c r="I96">
        <v>17.88</v>
      </c>
      <c r="J96">
        <v>89.66</v>
      </c>
      <c r="K96" t="s">
        <v>23</v>
      </c>
      <c r="L96">
        <v>317.3</v>
      </c>
      <c r="M96">
        <f>VLOOKUP(K96,RatingLookup!$A$2:$C$8,2,FALSE)</f>
        <v>1E-3</v>
      </c>
      <c r="N96">
        <f t="shared" si="3"/>
        <v>8.3371552197619714E-5</v>
      </c>
      <c r="O96">
        <f>VLOOKUP(K96,RatingLookup!$A$2:$C$8,3,FALSE)</f>
        <v>0.3</v>
      </c>
      <c r="P96">
        <f t="shared" si="4"/>
        <v>7.9361380536914199E-3</v>
      </c>
      <c r="Q96" t="str">
        <f t="shared" ca="1" si="5"/>
        <v>No</v>
      </c>
    </row>
    <row r="97" spans="1:17" x14ac:dyDescent="0.45">
      <c r="A97" t="s">
        <v>24</v>
      </c>
      <c r="B97" t="s">
        <v>25</v>
      </c>
      <c r="C97" t="s">
        <v>26</v>
      </c>
      <c r="D97" t="s">
        <v>20</v>
      </c>
      <c r="E97" t="s">
        <v>21</v>
      </c>
      <c r="F97" s="1">
        <v>44896</v>
      </c>
      <c r="G97">
        <v>5.07</v>
      </c>
      <c r="H97">
        <v>83.966800000000006</v>
      </c>
      <c r="I97">
        <v>17.5</v>
      </c>
      <c r="J97">
        <v>69.44</v>
      </c>
      <c r="K97" t="s">
        <v>23</v>
      </c>
      <c r="L97">
        <v>359.81</v>
      </c>
      <c r="M97">
        <f>VLOOKUP(K97,RatingLookup!$A$2:$C$8,2,FALSE)</f>
        <v>1E-3</v>
      </c>
      <c r="N97">
        <f t="shared" si="3"/>
        <v>8.3371552197619714E-5</v>
      </c>
      <c r="O97">
        <f>VLOOKUP(K97,RatingLookup!$A$2:$C$8,3,FALSE)</f>
        <v>0.3</v>
      </c>
      <c r="P97">
        <f t="shared" si="4"/>
        <v>8.9993754588676648E-3</v>
      </c>
      <c r="Q97" t="str">
        <f t="shared" ca="1" si="5"/>
        <v>No</v>
      </c>
    </row>
    <row r="98" spans="1:17" x14ac:dyDescent="0.45">
      <c r="A98" t="s">
        <v>24</v>
      </c>
      <c r="B98" t="s">
        <v>25</v>
      </c>
      <c r="C98" t="s">
        <v>26</v>
      </c>
      <c r="D98" t="s">
        <v>20</v>
      </c>
      <c r="E98" t="s">
        <v>21</v>
      </c>
      <c r="F98" s="1">
        <v>44927</v>
      </c>
      <c r="G98">
        <v>5.36</v>
      </c>
      <c r="H98">
        <v>82.975300000000004</v>
      </c>
      <c r="I98">
        <v>22.03</v>
      </c>
      <c r="J98">
        <v>78.989999999999995</v>
      </c>
      <c r="K98" t="s">
        <v>23</v>
      </c>
      <c r="L98">
        <v>344.22</v>
      </c>
      <c r="M98">
        <f>VLOOKUP(K98,RatingLookup!$A$2:$C$8,2,FALSE)</f>
        <v>1E-3</v>
      </c>
      <c r="N98">
        <f t="shared" si="3"/>
        <v>8.3371552197619714E-5</v>
      </c>
      <c r="O98">
        <f>VLOOKUP(K98,RatingLookup!$A$2:$C$8,3,FALSE)</f>
        <v>0.3</v>
      </c>
      <c r="P98">
        <f t="shared" si="4"/>
        <v>8.6094467092393979E-3</v>
      </c>
      <c r="Q98" t="str">
        <f t="shared" ca="1" si="5"/>
        <v>No</v>
      </c>
    </row>
    <row r="99" spans="1:17" x14ac:dyDescent="0.45">
      <c r="A99" t="s">
        <v>24</v>
      </c>
      <c r="B99" t="s">
        <v>25</v>
      </c>
      <c r="C99" t="s">
        <v>26</v>
      </c>
      <c r="D99" t="s">
        <v>20</v>
      </c>
      <c r="E99" t="s">
        <v>21</v>
      </c>
      <c r="F99" s="1">
        <v>44958</v>
      </c>
      <c r="G99">
        <v>6.12</v>
      </c>
      <c r="H99">
        <v>84.101699999999994</v>
      </c>
      <c r="I99">
        <v>30.84</v>
      </c>
      <c r="J99">
        <v>82.79</v>
      </c>
      <c r="K99" t="s">
        <v>23</v>
      </c>
      <c r="L99">
        <v>355.43</v>
      </c>
      <c r="M99">
        <f>VLOOKUP(K99,RatingLookup!$A$2:$C$8,2,FALSE)</f>
        <v>1E-3</v>
      </c>
      <c r="N99">
        <f t="shared" si="3"/>
        <v>8.3371552197619714E-5</v>
      </c>
      <c r="O99">
        <f>VLOOKUP(K99,RatingLookup!$A$2:$C$8,3,FALSE)</f>
        <v>0.3</v>
      </c>
      <c r="P99">
        <f t="shared" si="4"/>
        <v>8.8898252392799922E-3</v>
      </c>
      <c r="Q99" t="str">
        <f t="shared" ca="1" si="5"/>
        <v>No</v>
      </c>
    </row>
    <row r="100" spans="1:17" x14ac:dyDescent="0.45">
      <c r="A100" t="s">
        <v>24</v>
      </c>
      <c r="B100" t="s">
        <v>25</v>
      </c>
      <c r="C100" t="s">
        <v>26</v>
      </c>
      <c r="D100" t="s">
        <v>20</v>
      </c>
      <c r="E100" t="s">
        <v>21</v>
      </c>
      <c r="F100" s="1">
        <v>44986</v>
      </c>
      <c r="G100">
        <v>5.12</v>
      </c>
      <c r="H100">
        <v>81.574600000000004</v>
      </c>
      <c r="I100">
        <v>15.97</v>
      </c>
      <c r="J100">
        <v>69.3</v>
      </c>
      <c r="K100" t="s">
        <v>23</v>
      </c>
      <c r="L100">
        <v>350.58</v>
      </c>
      <c r="M100">
        <f>VLOOKUP(K100,RatingLookup!$A$2:$C$8,2,FALSE)</f>
        <v>1E-3</v>
      </c>
      <c r="N100">
        <f t="shared" si="3"/>
        <v>8.3371552197619714E-5</v>
      </c>
      <c r="O100">
        <f>VLOOKUP(K100,RatingLookup!$A$2:$C$8,3,FALSE)</f>
        <v>0.3</v>
      </c>
      <c r="P100">
        <f t="shared" si="4"/>
        <v>8.7685196308324546E-3</v>
      </c>
      <c r="Q100" t="str">
        <f t="shared" ca="1" si="5"/>
        <v>No</v>
      </c>
    </row>
    <row r="101" spans="1:17" x14ac:dyDescent="0.45">
      <c r="A101" t="s">
        <v>24</v>
      </c>
      <c r="B101" t="s">
        <v>25</v>
      </c>
      <c r="C101" t="s">
        <v>26</v>
      </c>
      <c r="D101" t="s">
        <v>20</v>
      </c>
      <c r="E101" t="s">
        <v>21</v>
      </c>
      <c r="F101" s="1">
        <v>45017</v>
      </c>
      <c r="G101">
        <v>5.12</v>
      </c>
      <c r="H101">
        <v>85.380499999999998</v>
      </c>
      <c r="I101">
        <v>18.21</v>
      </c>
      <c r="J101">
        <v>81.2</v>
      </c>
      <c r="K101" t="s">
        <v>23</v>
      </c>
      <c r="L101">
        <v>343.22</v>
      </c>
      <c r="M101">
        <f>VLOOKUP(K101,RatingLookup!$A$2:$C$8,2,FALSE)</f>
        <v>1E-3</v>
      </c>
      <c r="N101">
        <f t="shared" si="3"/>
        <v>8.3371552197619714E-5</v>
      </c>
      <c r="O101">
        <f>VLOOKUP(K101,RatingLookup!$A$2:$C$8,3,FALSE)</f>
        <v>0.3</v>
      </c>
      <c r="P101">
        <f t="shared" si="4"/>
        <v>8.5844352435801106E-3</v>
      </c>
      <c r="Q101" t="str">
        <f t="shared" ca="1" si="5"/>
        <v>No</v>
      </c>
    </row>
    <row r="102" spans="1:17" x14ac:dyDescent="0.45">
      <c r="A102" t="s">
        <v>24</v>
      </c>
      <c r="B102" t="s">
        <v>25</v>
      </c>
      <c r="C102" t="s">
        <v>26</v>
      </c>
      <c r="D102" t="s">
        <v>20</v>
      </c>
      <c r="E102" t="s">
        <v>21</v>
      </c>
      <c r="F102" s="1">
        <v>45047</v>
      </c>
      <c r="G102">
        <v>5.01</v>
      </c>
      <c r="H102">
        <v>84.955699999999993</v>
      </c>
      <c r="I102">
        <v>22.72</v>
      </c>
      <c r="J102">
        <v>60.07</v>
      </c>
      <c r="K102" t="s">
        <v>23</v>
      </c>
      <c r="L102">
        <v>341.76</v>
      </c>
      <c r="M102">
        <f>VLOOKUP(K102,RatingLookup!$A$2:$C$8,2,FALSE)</f>
        <v>1E-3</v>
      </c>
      <c r="N102">
        <f t="shared" si="3"/>
        <v>8.3371552197619714E-5</v>
      </c>
      <c r="O102">
        <f>VLOOKUP(K102,RatingLookup!$A$2:$C$8,3,FALSE)</f>
        <v>0.3</v>
      </c>
      <c r="P102">
        <f t="shared" si="4"/>
        <v>8.5479185037175536E-3</v>
      </c>
      <c r="Q102" t="str">
        <f t="shared" ca="1" si="5"/>
        <v>No</v>
      </c>
    </row>
    <row r="103" spans="1:17" x14ac:dyDescent="0.45">
      <c r="A103" t="s">
        <v>24</v>
      </c>
      <c r="B103" t="s">
        <v>25</v>
      </c>
      <c r="C103" t="s">
        <v>26</v>
      </c>
      <c r="D103" t="s">
        <v>20</v>
      </c>
      <c r="E103" t="s">
        <v>21</v>
      </c>
      <c r="F103" s="1">
        <v>45078</v>
      </c>
      <c r="G103">
        <v>4.97</v>
      </c>
      <c r="H103">
        <v>81.842699999999994</v>
      </c>
      <c r="I103">
        <v>14.8</v>
      </c>
      <c r="J103">
        <v>78.64</v>
      </c>
      <c r="K103" t="s">
        <v>23</v>
      </c>
      <c r="L103">
        <v>341.74</v>
      </c>
      <c r="M103">
        <f>VLOOKUP(K103,RatingLookup!$A$2:$C$8,2,FALSE)</f>
        <v>1E-3</v>
      </c>
      <c r="N103">
        <f t="shared" si="3"/>
        <v>8.3371552197619714E-5</v>
      </c>
      <c r="O103">
        <f>VLOOKUP(K103,RatingLookup!$A$2:$C$8,3,FALSE)</f>
        <v>0.3</v>
      </c>
      <c r="P103">
        <f t="shared" si="4"/>
        <v>8.5474182744043684E-3</v>
      </c>
      <c r="Q103" t="str">
        <f t="shared" ca="1" si="5"/>
        <v>No</v>
      </c>
    </row>
    <row r="104" spans="1:17" x14ac:dyDescent="0.45">
      <c r="A104" t="s">
        <v>24</v>
      </c>
      <c r="B104" t="s">
        <v>25</v>
      </c>
      <c r="C104" t="s">
        <v>26</v>
      </c>
      <c r="D104" t="s">
        <v>20</v>
      </c>
      <c r="E104" t="s">
        <v>21</v>
      </c>
      <c r="F104" s="1">
        <v>45108</v>
      </c>
      <c r="G104">
        <v>5.83</v>
      </c>
      <c r="H104">
        <v>81.080299999999994</v>
      </c>
      <c r="I104">
        <v>15.51</v>
      </c>
      <c r="J104">
        <v>84.12</v>
      </c>
      <c r="K104" t="s">
        <v>23</v>
      </c>
      <c r="L104">
        <v>356.85</v>
      </c>
      <c r="M104">
        <f>VLOOKUP(K104,RatingLookup!$A$2:$C$8,2,FALSE)</f>
        <v>1E-3</v>
      </c>
      <c r="N104">
        <f t="shared" si="3"/>
        <v>8.3371552197619714E-5</v>
      </c>
      <c r="O104">
        <f>VLOOKUP(K104,RatingLookup!$A$2:$C$8,3,FALSE)</f>
        <v>0.3</v>
      </c>
      <c r="P104">
        <f t="shared" si="4"/>
        <v>8.9253415205161786E-3</v>
      </c>
      <c r="Q104" t="str">
        <f t="shared" ca="1" si="5"/>
        <v>No</v>
      </c>
    </row>
    <row r="105" spans="1:17" x14ac:dyDescent="0.45">
      <c r="A105" t="s">
        <v>24</v>
      </c>
      <c r="B105" t="s">
        <v>25</v>
      </c>
      <c r="C105" t="s">
        <v>26</v>
      </c>
      <c r="D105" t="s">
        <v>20</v>
      </c>
      <c r="E105" t="s">
        <v>21</v>
      </c>
      <c r="F105" s="1">
        <v>45139</v>
      </c>
      <c r="G105">
        <v>5.14</v>
      </c>
      <c r="H105">
        <v>81.393600000000006</v>
      </c>
      <c r="I105">
        <v>30.32</v>
      </c>
      <c r="J105">
        <v>90.34</v>
      </c>
      <c r="K105" t="s">
        <v>23</v>
      </c>
      <c r="L105">
        <v>380.44</v>
      </c>
      <c r="M105">
        <f>VLOOKUP(K105,RatingLookup!$A$2:$C$8,2,FALSE)</f>
        <v>1E-3</v>
      </c>
      <c r="N105">
        <f t="shared" si="3"/>
        <v>8.3371552197619714E-5</v>
      </c>
      <c r="O105">
        <f>VLOOKUP(K105,RatingLookup!$A$2:$C$8,3,FALSE)</f>
        <v>0.3</v>
      </c>
      <c r="P105">
        <f t="shared" si="4"/>
        <v>9.5153619954187335E-3</v>
      </c>
      <c r="Q105" t="str">
        <f t="shared" ca="1" si="5"/>
        <v>No</v>
      </c>
    </row>
    <row r="106" spans="1:17" x14ac:dyDescent="0.45">
      <c r="A106" t="s">
        <v>24</v>
      </c>
      <c r="B106" t="s">
        <v>25</v>
      </c>
      <c r="C106" t="s">
        <v>26</v>
      </c>
      <c r="D106" t="s">
        <v>20</v>
      </c>
      <c r="E106" t="s">
        <v>21</v>
      </c>
      <c r="F106" s="1">
        <v>45170</v>
      </c>
      <c r="G106">
        <v>5.23</v>
      </c>
      <c r="H106">
        <v>85.696899999999999</v>
      </c>
      <c r="I106">
        <v>15.47</v>
      </c>
      <c r="J106">
        <v>86.71</v>
      </c>
      <c r="K106" t="s">
        <v>23</v>
      </c>
      <c r="L106">
        <v>361.85</v>
      </c>
      <c r="M106">
        <f>VLOOKUP(K106,RatingLookup!$A$2:$C$8,2,FALSE)</f>
        <v>1E-3</v>
      </c>
      <c r="N106">
        <f t="shared" si="3"/>
        <v>8.3371552197619714E-5</v>
      </c>
      <c r="O106">
        <f>VLOOKUP(K106,RatingLookup!$A$2:$C$8,3,FALSE)</f>
        <v>0.3</v>
      </c>
      <c r="P106">
        <f t="shared" si="4"/>
        <v>9.0503988488126082E-3</v>
      </c>
      <c r="Q106" t="str">
        <f t="shared" ca="1" si="5"/>
        <v>No</v>
      </c>
    </row>
    <row r="107" spans="1:17" x14ac:dyDescent="0.45">
      <c r="A107" t="s">
        <v>24</v>
      </c>
      <c r="B107" t="s">
        <v>25</v>
      </c>
      <c r="C107" t="s">
        <v>26</v>
      </c>
      <c r="D107" t="s">
        <v>20</v>
      </c>
      <c r="E107" t="s">
        <v>21</v>
      </c>
      <c r="F107" s="1">
        <v>45200</v>
      </c>
      <c r="G107">
        <v>5.47</v>
      </c>
      <c r="H107">
        <v>86.146600000000007</v>
      </c>
      <c r="I107">
        <v>19.55</v>
      </c>
      <c r="J107">
        <v>87.84</v>
      </c>
      <c r="K107" t="s">
        <v>23</v>
      </c>
      <c r="L107">
        <v>342.01</v>
      </c>
      <c r="M107">
        <f>VLOOKUP(K107,RatingLookup!$A$2:$C$8,2,FALSE)</f>
        <v>1E-3</v>
      </c>
      <c r="N107">
        <f t="shared" si="3"/>
        <v>8.3371552197619714E-5</v>
      </c>
      <c r="O107">
        <f>VLOOKUP(K107,RatingLookup!$A$2:$C$8,3,FALSE)</f>
        <v>0.3</v>
      </c>
      <c r="P107">
        <f t="shared" si="4"/>
        <v>8.5541713701323754E-3</v>
      </c>
      <c r="Q107" t="str">
        <f t="shared" ca="1" si="5"/>
        <v>No</v>
      </c>
    </row>
    <row r="108" spans="1:17" x14ac:dyDescent="0.45">
      <c r="A108" t="s">
        <v>24</v>
      </c>
      <c r="B108" t="s">
        <v>25</v>
      </c>
      <c r="C108" t="s">
        <v>26</v>
      </c>
      <c r="D108" t="s">
        <v>20</v>
      </c>
      <c r="E108" t="s">
        <v>21</v>
      </c>
      <c r="F108" s="1">
        <v>45231</v>
      </c>
      <c r="G108">
        <v>5.76</v>
      </c>
      <c r="H108">
        <v>83.528300000000002</v>
      </c>
      <c r="I108">
        <v>16.86</v>
      </c>
      <c r="J108">
        <v>95.09</v>
      </c>
      <c r="K108" t="s">
        <v>23</v>
      </c>
      <c r="L108">
        <v>332.28</v>
      </c>
      <c r="M108">
        <f>VLOOKUP(K108,RatingLookup!$A$2:$C$8,2,FALSE)</f>
        <v>1E-3</v>
      </c>
      <c r="N108">
        <f t="shared" si="3"/>
        <v>8.3371552197619714E-5</v>
      </c>
      <c r="O108">
        <f>VLOOKUP(K108,RatingLookup!$A$2:$C$8,3,FALSE)</f>
        <v>0.3</v>
      </c>
      <c r="P108">
        <f t="shared" si="4"/>
        <v>8.3108098092675234E-3</v>
      </c>
      <c r="Q108" t="str">
        <f t="shared" ca="1" si="5"/>
        <v>No</v>
      </c>
    </row>
    <row r="109" spans="1:17" x14ac:dyDescent="0.45">
      <c r="A109" t="s">
        <v>24</v>
      </c>
      <c r="B109" t="s">
        <v>25</v>
      </c>
      <c r="C109" t="s">
        <v>26</v>
      </c>
      <c r="D109" t="s">
        <v>20</v>
      </c>
      <c r="E109" t="s">
        <v>21</v>
      </c>
      <c r="F109" s="1">
        <v>45261</v>
      </c>
      <c r="G109">
        <v>4.8</v>
      </c>
      <c r="H109">
        <v>83.824399999999997</v>
      </c>
      <c r="I109">
        <v>17.21</v>
      </c>
      <c r="J109">
        <v>84.72</v>
      </c>
      <c r="K109" t="s">
        <v>23</v>
      </c>
      <c r="L109">
        <v>383.79</v>
      </c>
      <c r="M109">
        <f>VLOOKUP(K109,RatingLookup!$A$2:$C$8,2,FALSE)</f>
        <v>1E-3</v>
      </c>
      <c r="N109">
        <f t="shared" si="3"/>
        <v>8.3371552197619714E-5</v>
      </c>
      <c r="O109">
        <f>VLOOKUP(K109,RatingLookup!$A$2:$C$8,3,FALSE)</f>
        <v>0.3</v>
      </c>
      <c r="P109">
        <f t="shared" si="4"/>
        <v>9.5991504053773418E-3</v>
      </c>
      <c r="Q109" t="str">
        <f t="shared" ca="1" si="5"/>
        <v>No</v>
      </c>
    </row>
    <row r="110" spans="1:17" x14ac:dyDescent="0.45">
      <c r="A110" t="s">
        <v>24</v>
      </c>
      <c r="B110" t="s">
        <v>25</v>
      </c>
      <c r="C110" t="s">
        <v>26</v>
      </c>
      <c r="D110" t="s">
        <v>20</v>
      </c>
      <c r="E110" t="s">
        <v>21</v>
      </c>
      <c r="F110" s="1">
        <v>45292</v>
      </c>
      <c r="G110">
        <v>5.25</v>
      </c>
      <c r="H110">
        <v>81.755600000000001</v>
      </c>
      <c r="I110">
        <v>28.72</v>
      </c>
      <c r="J110">
        <v>54.99</v>
      </c>
      <c r="K110" t="s">
        <v>23</v>
      </c>
      <c r="L110">
        <v>362.12</v>
      </c>
      <c r="M110">
        <f>VLOOKUP(K110,RatingLookup!$A$2:$C$8,2,FALSE)</f>
        <v>1E-3</v>
      </c>
      <c r="N110">
        <f t="shared" si="3"/>
        <v>8.3371552197619714E-5</v>
      </c>
      <c r="O110">
        <f>VLOOKUP(K110,RatingLookup!$A$2:$C$8,3,FALSE)</f>
        <v>0.3</v>
      </c>
      <c r="P110">
        <f t="shared" si="4"/>
        <v>9.0571519445406153E-3</v>
      </c>
      <c r="Q110" t="str">
        <f t="shared" ca="1" si="5"/>
        <v>No</v>
      </c>
    </row>
    <row r="111" spans="1:17" x14ac:dyDescent="0.45">
      <c r="A111" t="s">
        <v>24</v>
      </c>
      <c r="B111" t="s">
        <v>25</v>
      </c>
      <c r="C111" t="s">
        <v>26</v>
      </c>
      <c r="D111" t="s">
        <v>20</v>
      </c>
      <c r="E111" t="s">
        <v>21</v>
      </c>
      <c r="F111" s="1">
        <v>45323</v>
      </c>
      <c r="G111">
        <v>5.35</v>
      </c>
      <c r="H111">
        <v>87.075299999999999</v>
      </c>
      <c r="I111">
        <v>27.99</v>
      </c>
      <c r="J111">
        <v>83.56</v>
      </c>
      <c r="K111" t="s">
        <v>23</v>
      </c>
      <c r="L111">
        <v>326.86</v>
      </c>
      <c r="M111">
        <f>VLOOKUP(K111,RatingLookup!$A$2:$C$8,2,FALSE)</f>
        <v>1E-3</v>
      </c>
      <c r="N111">
        <f t="shared" si="3"/>
        <v>8.3371552197619714E-5</v>
      </c>
      <c r="O111">
        <f>VLOOKUP(K111,RatingLookup!$A$2:$C$8,3,FALSE)</f>
        <v>0.3</v>
      </c>
      <c r="P111">
        <f t="shared" si="4"/>
        <v>8.1752476653941929E-3</v>
      </c>
      <c r="Q111" t="str">
        <f t="shared" ca="1" si="5"/>
        <v>No</v>
      </c>
    </row>
    <row r="112" spans="1:17" x14ac:dyDescent="0.45">
      <c r="A112" t="s">
        <v>24</v>
      </c>
      <c r="B112" t="s">
        <v>25</v>
      </c>
      <c r="C112" t="s">
        <v>26</v>
      </c>
      <c r="D112" t="s">
        <v>20</v>
      </c>
      <c r="E112" t="s">
        <v>21</v>
      </c>
      <c r="F112" s="1">
        <v>45352</v>
      </c>
      <c r="G112">
        <v>4.7</v>
      </c>
      <c r="H112">
        <v>85.886499999999998</v>
      </c>
      <c r="I112">
        <v>10.28</v>
      </c>
      <c r="J112">
        <v>99.65</v>
      </c>
      <c r="K112" t="s">
        <v>23</v>
      </c>
      <c r="L112">
        <v>391.07</v>
      </c>
      <c r="M112">
        <f>VLOOKUP(K112,RatingLookup!$A$2:$C$8,2,FALSE)</f>
        <v>1E-3</v>
      </c>
      <c r="N112">
        <f t="shared" si="3"/>
        <v>8.3371552197619714E-5</v>
      </c>
      <c r="O112">
        <f>VLOOKUP(K112,RatingLookup!$A$2:$C$8,3,FALSE)</f>
        <v>0.3</v>
      </c>
      <c r="P112">
        <f t="shared" si="4"/>
        <v>9.7812338753769414E-3</v>
      </c>
      <c r="Q112" t="str">
        <f t="shared" ca="1" si="5"/>
        <v>No</v>
      </c>
    </row>
    <row r="113" spans="1:17" x14ac:dyDescent="0.45">
      <c r="A113" t="s">
        <v>24</v>
      </c>
      <c r="B113" t="s">
        <v>25</v>
      </c>
      <c r="C113" t="s">
        <v>26</v>
      </c>
      <c r="D113" t="s">
        <v>20</v>
      </c>
      <c r="E113" t="s">
        <v>21</v>
      </c>
      <c r="F113" s="1">
        <v>45383</v>
      </c>
      <c r="G113">
        <v>5.27</v>
      </c>
      <c r="H113">
        <v>86.057900000000004</v>
      </c>
      <c r="I113">
        <v>23.47</v>
      </c>
      <c r="J113">
        <v>89.5</v>
      </c>
      <c r="K113" t="s">
        <v>23</v>
      </c>
      <c r="L113">
        <v>370.65</v>
      </c>
      <c r="M113">
        <f>VLOOKUP(K113,RatingLookup!$A$2:$C$8,2,FALSE)</f>
        <v>1E-3</v>
      </c>
      <c r="N113">
        <f t="shared" si="3"/>
        <v>8.3371552197619714E-5</v>
      </c>
      <c r="O113">
        <f>VLOOKUP(K113,RatingLookup!$A$2:$C$8,3,FALSE)</f>
        <v>0.3</v>
      </c>
      <c r="P113">
        <f t="shared" si="4"/>
        <v>9.2704997466143222E-3</v>
      </c>
      <c r="Q113" t="str">
        <f t="shared" ca="1" si="5"/>
        <v>No</v>
      </c>
    </row>
    <row r="114" spans="1:17" x14ac:dyDescent="0.45">
      <c r="A114" t="s">
        <v>24</v>
      </c>
      <c r="B114" t="s">
        <v>25</v>
      </c>
      <c r="C114" t="s">
        <v>26</v>
      </c>
      <c r="D114" t="s">
        <v>20</v>
      </c>
      <c r="E114" t="s">
        <v>21</v>
      </c>
      <c r="F114" s="1">
        <v>45413</v>
      </c>
      <c r="G114">
        <v>5.31</v>
      </c>
      <c r="H114">
        <v>83.159000000000006</v>
      </c>
      <c r="I114">
        <v>10.199999999999999</v>
      </c>
      <c r="J114">
        <v>79.3</v>
      </c>
      <c r="K114" t="s">
        <v>23</v>
      </c>
      <c r="L114">
        <v>377.79</v>
      </c>
      <c r="M114">
        <f>VLOOKUP(K114,RatingLookup!$A$2:$C$8,2,FALSE)</f>
        <v>1E-3</v>
      </c>
      <c r="N114">
        <f t="shared" si="3"/>
        <v>8.3371552197619714E-5</v>
      </c>
      <c r="O114">
        <f>VLOOKUP(K114,RatingLookup!$A$2:$C$8,3,FALSE)</f>
        <v>0.3</v>
      </c>
      <c r="P114">
        <f t="shared" si="4"/>
        <v>9.4490816114216267E-3</v>
      </c>
      <c r="Q114" t="str">
        <f t="shared" ca="1" si="5"/>
        <v>No</v>
      </c>
    </row>
    <row r="115" spans="1:17" x14ac:dyDescent="0.45">
      <c r="A115" t="s">
        <v>24</v>
      </c>
      <c r="B115" t="s">
        <v>25</v>
      </c>
      <c r="C115" t="s">
        <v>26</v>
      </c>
      <c r="D115" t="s">
        <v>20</v>
      </c>
      <c r="E115" t="s">
        <v>21</v>
      </c>
      <c r="F115" s="1">
        <v>45444</v>
      </c>
      <c r="G115">
        <v>5.0999999999999996</v>
      </c>
      <c r="H115">
        <v>85.617900000000006</v>
      </c>
      <c r="I115">
        <v>19.61</v>
      </c>
      <c r="J115">
        <v>66.45</v>
      </c>
      <c r="K115" t="s">
        <v>23</v>
      </c>
      <c r="L115">
        <v>337.65</v>
      </c>
      <c r="M115">
        <f>VLOOKUP(K115,RatingLookup!$A$2:$C$8,2,FALSE)</f>
        <v>1E-3</v>
      </c>
      <c r="N115">
        <f t="shared" si="3"/>
        <v>8.3371552197619714E-5</v>
      </c>
      <c r="O115">
        <f>VLOOKUP(K115,RatingLookup!$A$2:$C$8,3,FALSE)</f>
        <v>0.3</v>
      </c>
      <c r="P115">
        <f t="shared" si="4"/>
        <v>8.4451213798578881E-3</v>
      </c>
      <c r="Q115" t="str">
        <f t="shared" ca="1" si="5"/>
        <v>No</v>
      </c>
    </row>
    <row r="116" spans="1:17" x14ac:dyDescent="0.45">
      <c r="A116" t="s">
        <v>24</v>
      </c>
      <c r="B116" t="s">
        <v>25</v>
      </c>
      <c r="C116" t="s">
        <v>26</v>
      </c>
      <c r="D116" t="s">
        <v>20</v>
      </c>
      <c r="E116" t="s">
        <v>21</v>
      </c>
      <c r="F116" s="1">
        <v>45474</v>
      </c>
      <c r="G116">
        <v>6.05</v>
      </c>
      <c r="H116">
        <v>84.461299999999994</v>
      </c>
      <c r="I116">
        <v>19.690000000000001</v>
      </c>
      <c r="J116">
        <v>77.66</v>
      </c>
      <c r="K116" t="s">
        <v>23</v>
      </c>
      <c r="L116">
        <v>361.45</v>
      </c>
      <c r="M116">
        <f>VLOOKUP(K116,RatingLookup!$A$2:$C$8,2,FALSE)</f>
        <v>1E-3</v>
      </c>
      <c r="N116">
        <f t="shared" si="3"/>
        <v>8.3371552197619714E-5</v>
      </c>
      <c r="O116">
        <f>VLOOKUP(K116,RatingLookup!$A$2:$C$8,3,FALSE)</f>
        <v>0.3</v>
      </c>
      <c r="P116">
        <f t="shared" si="4"/>
        <v>9.0403942625488926E-3</v>
      </c>
      <c r="Q116" t="str">
        <f t="shared" ca="1" si="5"/>
        <v>No</v>
      </c>
    </row>
    <row r="117" spans="1:17" x14ac:dyDescent="0.45">
      <c r="A117" t="s">
        <v>24</v>
      </c>
      <c r="B117" t="s">
        <v>25</v>
      </c>
      <c r="C117" t="s">
        <v>26</v>
      </c>
      <c r="D117" t="s">
        <v>20</v>
      </c>
      <c r="E117" t="s">
        <v>21</v>
      </c>
      <c r="F117" s="1">
        <v>45505</v>
      </c>
      <c r="G117">
        <v>6.03</v>
      </c>
      <c r="H117">
        <v>84.029899999999998</v>
      </c>
      <c r="I117">
        <v>18.07</v>
      </c>
      <c r="J117">
        <v>81.96</v>
      </c>
      <c r="K117" t="s">
        <v>23</v>
      </c>
      <c r="L117">
        <v>367.93</v>
      </c>
      <c r="M117">
        <f>VLOOKUP(K117,RatingLookup!$A$2:$C$8,2,FALSE)</f>
        <v>1E-3</v>
      </c>
      <c r="N117">
        <f t="shared" si="3"/>
        <v>8.3371552197619714E-5</v>
      </c>
      <c r="O117">
        <f>VLOOKUP(K117,RatingLookup!$A$2:$C$8,3,FALSE)</f>
        <v>0.3</v>
      </c>
      <c r="P117">
        <f t="shared" si="4"/>
        <v>9.2024685600210661E-3</v>
      </c>
      <c r="Q117" t="str">
        <f t="shared" ca="1" si="5"/>
        <v>No</v>
      </c>
    </row>
    <row r="118" spans="1:17" x14ac:dyDescent="0.45">
      <c r="A118" t="s">
        <v>24</v>
      </c>
      <c r="B118" t="s">
        <v>25</v>
      </c>
      <c r="C118" t="s">
        <v>26</v>
      </c>
      <c r="D118" t="s">
        <v>20</v>
      </c>
      <c r="E118" t="s">
        <v>21</v>
      </c>
      <c r="F118" s="1">
        <v>45536</v>
      </c>
      <c r="G118">
        <v>6.77</v>
      </c>
      <c r="H118">
        <v>82.606899999999996</v>
      </c>
      <c r="I118">
        <v>32.06</v>
      </c>
      <c r="J118">
        <v>92.32</v>
      </c>
      <c r="K118" t="s">
        <v>23</v>
      </c>
      <c r="L118">
        <v>357.43</v>
      </c>
      <c r="M118">
        <f>VLOOKUP(K118,RatingLookup!$A$2:$C$8,2,FALSE)</f>
        <v>1E-3</v>
      </c>
      <c r="N118">
        <f t="shared" si="3"/>
        <v>8.3371552197619714E-5</v>
      </c>
      <c r="O118">
        <f>VLOOKUP(K118,RatingLookup!$A$2:$C$8,3,FALSE)</f>
        <v>0.3</v>
      </c>
      <c r="P118">
        <f t="shared" si="4"/>
        <v>8.9398481705985633E-3</v>
      </c>
      <c r="Q118" t="str">
        <f t="shared" ca="1" si="5"/>
        <v>No</v>
      </c>
    </row>
    <row r="119" spans="1:17" x14ac:dyDescent="0.45">
      <c r="A119" t="s">
        <v>24</v>
      </c>
      <c r="B119" t="s">
        <v>25</v>
      </c>
      <c r="C119" t="s">
        <v>26</v>
      </c>
      <c r="D119" t="s">
        <v>20</v>
      </c>
      <c r="E119" t="s">
        <v>21</v>
      </c>
      <c r="F119" s="1">
        <v>45566</v>
      </c>
      <c r="G119">
        <v>6.4</v>
      </c>
      <c r="H119">
        <v>87.354100000000003</v>
      </c>
      <c r="I119">
        <v>16.38</v>
      </c>
      <c r="J119">
        <v>98.02</v>
      </c>
      <c r="K119" t="s">
        <v>23</v>
      </c>
      <c r="L119">
        <v>379.91</v>
      </c>
      <c r="M119">
        <f>VLOOKUP(K119,RatingLookup!$A$2:$C$8,2,FALSE)</f>
        <v>1E-3</v>
      </c>
      <c r="N119">
        <f t="shared" si="3"/>
        <v>8.3371552197619714E-5</v>
      </c>
      <c r="O119">
        <f>VLOOKUP(K119,RatingLookup!$A$2:$C$8,3,FALSE)</f>
        <v>0.3</v>
      </c>
      <c r="P119">
        <f t="shared" si="4"/>
        <v>9.5021059186193111E-3</v>
      </c>
      <c r="Q119" t="str">
        <f t="shared" ca="1" si="5"/>
        <v>No</v>
      </c>
    </row>
    <row r="120" spans="1:17" x14ac:dyDescent="0.45">
      <c r="A120" t="s">
        <v>24</v>
      </c>
      <c r="B120" t="s">
        <v>25</v>
      </c>
      <c r="C120" t="s">
        <v>26</v>
      </c>
      <c r="D120" t="s">
        <v>20</v>
      </c>
      <c r="E120" t="s">
        <v>21</v>
      </c>
      <c r="F120" s="1">
        <v>45597</v>
      </c>
      <c r="G120">
        <v>5.29</v>
      </c>
      <c r="H120">
        <v>78.093299999999999</v>
      </c>
      <c r="I120">
        <v>22.59</v>
      </c>
      <c r="J120">
        <v>84.55</v>
      </c>
      <c r="K120" t="s">
        <v>23</v>
      </c>
      <c r="L120">
        <v>350.8</v>
      </c>
      <c r="M120">
        <f>VLOOKUP(K120,RatingLookup!$A$2:$C$8,2,FALSE)</f>
        <v>1E-3</v>
      </c>
      <c r="N120">
        <f t="shared" si="3"/>
        <v>8.3371552197619714E-5</v>
      </c>
      <c r="O120">
        <f>VLOOKUP(K120,RatingLookup!$A$2:$C$8,3,FALSE)</f>
        <v>0.3</v>
      </c>
      <c r="P120">
        <f t="shared" si="4"/>
        <v>8.7740221532774994E-3</v>
      </c>
      <c r="Q120" t="str">
        <f t="shared" ca="1" si="5"/>
        <v>No</v>
      </c>
    </row>
    <row r="121" spans="1:17" x14ac:dyDescent="0.45">
      <c r="A121" t="s">
        <v>24</v>
      </c>
      <c r="B121" t="s">
        <v>25</v>
      </c>
      <c r="C121" t="s">
        <v>26</v>
      </c>
      <c r="D121" t="s">
        <v>20</v>
      </c>
      <c r="E121" t="s">
        <v>21</v>
      </c>
      <c r="F121" s="1">
        <v>45627</v>
      </c>
      <c r="G121">
        <v>5.45</v>
      </c>
      <c r="H121">
        <v>79.901899999999998</v>
      </c>
      <c r="I121">
        <v>26.37</v>
      </c>
      <c r="J121">
        <v>76</v>
      </c>
      <c r="K121" t="s">
        <v>23</v>
      </c>
      <c r="L121">
        <v>422.1</v>
      </c>
      <c r="M121">
        <f>VLOOKUP(K121,RatingLookup!$A$2:$C$8,2,FALSE)</f>
        <v>1E-3</v>
      </c>
      <c r="N121">
        <f t="shared" si="3"/>
        <v>8.3371552197619714E-5</v>
      </c>
      <c r="O121">
        <f>VLOOKUP(K121,RatingLookup!$A$2:$C$8,3,FALSE)</f>
        <v>0.3</v>
      </c>
      <c r="P121">
        <f t="shared" si="4"/>
        <v>1.0557339654784585E-2</v>
      </c>
      <c r="Q121" t="str">
        <f t="shared" ca="1" si="5"/>
        <v>No</v>
      </c>
    </row>
    <row r="122" spans="1:17" x14ac:dyDescent="0.45">
      <c r="A122" t="s">
        <v>27</v>
      </c>
      <c r="B122" t="s">
        <v>28</v>
      </c>
      <c r="C122" t="s">
        <v>29</v>
      </c>
      <c r="D122" t="s">
        <v>20</v>
      </c>
      <c r="E122" t="s">
        <v>21</v>
      </c>
      <c r="F122" s="1">
        <v>43831</v>
      </c>
      <c r="G122">
        <v>5.25</v>
      </c>
      <c r="H122">
        <v>78.470100000000002</v>
      </c>
      <c r="I122">
        <v>20.89</v>
      </c>
      <c r="J122">
        <v>70.8</v>
      </c>
      <c r="K122" t="s">
        <v>22</v>
      </c>
      <c r="L122">
        <v>465.05</v>
      </c>
      <c r="M122">
        <f>VLOOKUP(K122,RatingLookup!$A$2:$C$8,2,FALSE)</f>
        <v>5.0000000000000001E-3</v>
      </c>
      <c r="N122">
        <f t="shared" si="3"/>
        <v>4.1762458919303302E-4</v>
      </c>
      <c r="O122">
        <f>VLOOKUP(K122,RatingLookup!$A$2:$C$8,3,FALSE)</f>
        <v>0.45</v>
      </c>
      <c r="P122">
        <f t="shared" si="4"/>
        <v>8.7397341841898998E-2</v>
      </c>
      <c r="Q122" t="str">
        <f t="shared" ca="1" si="5"/>
        <v>No</v>
      </c>
    </row>
    <row r="123" spans="1:17" x14ac:dyDescent="0.45">
      <c r="A123" t="s">
        <v>27</v>
      </c>
      <c r="B123" t="s">
        <v>28</v>
      </c>
      <c r="C123" t="s">
        <v>29</v>
      </c>
      <c r="D123" t="s">
        <v>20</v>
      </c>
      <c r="E123" t="s">
        <v>21</v>
      </c>
      <c r="F123" s="1">
        <v>43862</v>
      </c>
      <c r="G123">
        <v>5.34</v>
      </c>
      <c r="H123">
        <v>82.091499999999996</v>
      </c>
      <c r="I123">
        <v>27.5</v>
      </c>
      <c r="J123">
        <v>84.62</v>
      </c>
      <c r="K123" t="s">
        <v>22</v>
      </c>
      <c r="L123">
        <v>510</v>
      </c>
      <c r="M123">
        <f>VLOOKUP(K123,RatingLookup!$A$2:$C$8,2,FALSE)</f>
        <v>5.0000000000000001E-3</v>
      </c>
      <c r="N123">
        <f t="shared" si="3"/>
        <v>4.1762458919303302E-4</v>
      </c>
      <c r="O123">
        <f>VLOOKUP(K123,RatingLookup!$A$2:$C$8,3,FALSE)</f>
        <v>0.45</v>
      </c>
      <c r="P123">
        <f t="shared" si="4"/>
        <v>9.5844843219801079E-2</v>
      </c>
      <c r="Q123" t="str">
        <f t="shared" ca="1" si="5"/>
        <v>No</v>
      </c>
    </row>
    <row r="124" spans="1:17" x14ac:dyDescent="0.45">
      <c r="A124" t="s">
        <v>27</v>
      </c>
      <c r="B124" t="s">
        <v>28</v>
      </c>
      <c r="C124" t="s">
        <v>29</v>
      </c>
      <c r="D124" t="s">
        <v>20</v>
      </c>
      <c r="E124" t="s">
        <v>21</v>
      </c>
      <c r="F124" s="1">
        <v>43891</v>
      </c>
      <c r="G124">
        <v>6.44</v>
      </c>
      <c r="H124">
        <v>78.181200000000004</v>
      </c>
      <c r="I124">
        <v>25.94</v>
      </c>
      <c r="J124">
        <v>79.59</v>
      </c>
      <c r="K124" t="s">
        <v>22</v>
      </c>
      <c r="L124">
        <v>421.65</v>
      </c>
      <c r="M124">
        <f>VLOOKUP(K124,RatingLookup!$A$2:$C$8,2,FALSE)</f>
        <v>5.0000000000000001E-3</v>
      </c>
      <c r="N124">
        <f t="shared" si="3"/>
        <v>4.1762458919303302E-4</v>
      </c>
      <c r="O124">
        <f>VLOOKUP(K124,RatingLookup!$A$2:$C$8,3,FALSE)</f>
        <v>0.45</v>
      </c>
      <c r="P124">
        <f t="shared" si="4"/>
        <v>7.9241133614959061E-2</v>
      </c>
      <c r="Q124" t="str">
        <f t="shared" ca="1" si="5"/>
        <v>No</v>
      </c>
    </row>
    <row r="125" spans="1:17" x14ac:dyDescent="0.45">
      <c r="A125" t="s">
        <v>27</v>
      </c>
      <c r="B125" t="s">
        <v>28</v>
      </c>
      <c r="C125" t="s">
        <v>29</v>
      </c>
      <c r="D125" t="s">
        <v>20</v>
      </c>
      <c r="E125" t="s">
        <v>21</v>
      </c>
      <c r="F125" s="1">
        <v>43922</v>
      </c>
      <c r="G125">
        <v>4.68</v>
      </c>
      <c r="H125">
        <v>80.836200000000005</v>
      </c>
      <c r="I125">
        <v>21.8</v>
      </c>
      <c r="J125">
        <v>70.540000000000006</v>
      </c>
      <c r="K125" t="s">
        <v>22</v>
      </c>
      <c r="L125">
        <v>473.19</v>
      </c>
      <c r="M125">
        <f>VLOOKUP(K125,RatingLookup!$A$2:$C$8,2,FALSE)</f>
        <v>5.0000000000000001E-3</v>
      </c>
      <c r="N125">
        <f t="shared" si="3"/>
        <v>4.1762458919303302E-4</v>
      </c>
      <c r="O125">
        <f>VLOOKUP(K125,RatingLookup!$A$2:$C$8,3,FALSE)</f>
        <v>0.45</v>
      </c>
      <c r="P125">
        <f t="shared" si="4"/>
        <v>8.8927100712113086E-2</v>
      </c>
      <c r="Q125" t="str">
        <f t="shared" ca="1" si="5"/>
        <v>No</v>
      </c>
    </row>
    <row r="126" spans="1:17" x14ac:dyDescent="0.45">
      <c r="A126" t="s">
        <v>27</v>
      </c>
      <c r="B126" t="s">
        <v>28</v>
      </c>
      <c r="C126" t="s">
        <v>29</v>
      </c>
      <c r="D126" t="s">
        <v>20</v>
      </c>
      <c r="E126" t="s">
        <v>21</v>
      </c>
      <c r="F126" s="1">
        <v>43952</v>
      </c>
      <c r="G126">
        <v>5.64</v>
      </c>
      <c r="H126">
        <v>76.268299999999996</v>
      </c>
      <c r="I126">
        <v>13.86</v>
      </c>
      <c r="J126">
        <v>73.98</v>
      </c>
      <c r="K126" t="s">
        <v>22</v>
      </c>
      <c r="L126">
        <v>422.79</v>
      </c>
      <c r="M126">
        <f>VLOOKUP(K126,RatingLookup!$A$2:$C$8,2,FALSE)</f>
        <v>5.0000000000000001E-3</v>
      </c>
      <c r="N126">
        <f t="shared" si="3"/>
        <v>4.1762458919303302E-4</v>
      </c>
      <c r="O126">
        <f>VLOOKUP(K126,RatingLookup!$A$2:$C$8,3,FALSE)</f>
        <v>0.45</v>
      </c>
      <c r="P126">
        <f t="shared" si="4"/>
        <v>7.9455375029215097E-2</v>
      </c>
      <c r="Q126" t="str">
        <f t="shared" ca="1" si="5"/>
        <v>No</v>
      </c>
    </row>
    <row r="127" spans="1:17" x14ac:dyDescent="0.45">
      <c r="A127" t="s">
        <v>27</v>
      </c>
      <c r="B127" t="s">
        <v>28</v>
      </c>
      <c r="C127" t="s">
        <v>29</v>
      </c>
      <c r="D127" t="s">
        <v>20</v>
      </c>
      <c r="E127" t="s">
        <v>21</v>
      </c>
      <c r="F127" s="1">
        <v>43983</v>
      </c>
      <c r="G127">
        <v>5.42</v>
      </c>
      <c r="H127">
        <v>86.629199999999997</v>
      </c>
      <c r="I127">
        <v>23.41</v>
      </c>
      <c r="J127">
        <v>78.180000000000007</v>
      </c>
      <c r="K127" t="s">
        <v>22</v>
      </c>
      <c r="L127">
        <v>427.26</v>
      </c>
      <c r="M127">
        <f>VLOOKUP(K127,RatingLookup!$A$2:$C$8,2,FALSE)</f>
        <v>5.0000000000000001E-3</v>
      </c>
      <c r="N127">
        <f t="shared" si="3"/>
        <v>4.1762458919303302E-4</v>
      </c>
      <c r="O127">
        <f>VLOOKUP(K127,RatingLookup!$A$2:$C$8,3,FALSE)</f>
        <v>0.45</v>
      </c>
      <c r="P127">
        <f t="shared" si="4"/>
        <v>8.0295426890376886E-2</v>
      </c>
      <c r="Q127" t="str">
        <f t="shared" ca="1" si="5"/>
        <v>No</v>
      </c>
    </row>
    <row r="128" spans="1:17" x14ac:dyDescent="0.45">
      <c r="A128" t="s">
        <v>27</v>
      </c>
      <c r="B128" t="s">
        <v>28</v>
      </c>
      <c r="C128" t="s">
        <v>29</v>
      </c>
      <c r="D128" t="s">
        <v>20</v>
      </c>
      <c r="E128" t="s">
        <v>21</v>
      </c>
      <c r="F128" s="1">
        <v>44013</v>
      </c>
      <c r="G128">
        <v>6.53</v>
      </c>
      <c r="H128">
        <v>85.963999999999999</v>
      </c>
      <c r="I128">
        <v>9.68</v>
      </c>
      <c r="J128">
        <v>70.069999999999993</v>
      </c>
      <c r="K128" t="s">
        <v>22</v>
      </c>
      <c r="L128">
        <v>453.14</v>
      </c>
      <c r="M128">
        <f>VLOOKUP(K128,RatingLookup!$A$2:$C$8,2,FALSE)</f>
        <v>5.0000000000000001E-3</v>
      </c>
      <c r="N128">
        <f t="shared" si="3"/>
        <v>4.1762458919303302E-4</v>
      </c>
      <c r="O128">
        <f>VLOOKUP(K128,RatingLookup!$A$2:$C$8,3,FALSE)</f>
        <v>0.45</v>
      </c>
      <c r="P128">
        <f t="shared" si="4"/>
        <v>8.5159082856118951E-2</v>
      </c>
      <c r="Q128" t="str">
        <f t="shared" ca="1" si="5"/>
        <v>No</v>
      </c>
    </row>
    <row r="129" spans="1:17" x14ac:dyDescent="0.45">
      <c r="A129" t="s">
        <v>27</v>
      </c>
      <c r="B129" t="s">
        <v>28</v>
      </c>
      <c r="C129" t="s">
        <v>29</v>
      </c>
      <c r="D129" t="s">
        <v>20</v>
      </c>
      <c r="E129" t="s">
        <v>21</v>
      </c>
      <c r="F129" s="1">
        <v>44044</v>
      </c>
      <c r="G129">
        <v>5.32</v>
      </c>
      <c r="H129">
        <v>87.017600000000002</v>
      </c>
      <c r="I129">
        <v>14.6</v>
      </c>
      <c r="J129">
        <v>74.069999999999993</v>
      </c>
      <c r="K129" t="s">
        <v>22</v>
      </c>
      <c r="L129">
        <v>419.38</v>
      </c>
      <c r="M129">
        <f>VLOOKUP(K129,RatingLookup!$A$2:$C$8,2,FALSE)</f>
        <v>5.0000000000000001E-3</v>
      </c>
      <c r="N129">
        <f t="shared" si="3"/>
        <v>4.1762458919303302E-4</v>
      </c>
      <c r="O129">
        <f>VLOOKUP(K129,RatingLookup!$A$2:$C$8,3,FALSE)</f>
        <v>0.45</v>
      </c>
      <c r="P129">
        <f t="shared" si="4"/>
        <v>7.8814530097098379E-2</v>
      </c>
      <c r="Q129" t="str">
        <f t="shared" ca="1" si="5"/>
        <v>No</v>
      </c>
    </row>
    <row r="130" spans="1:17" x14ac:dyDescent="0.45">
      <c r="A130" t="s">
        <v>27</v>
      </c>
      <c r="B130" t="s">
        <v>28</v>
      </c>
      <c r="C130" t="s">
        <v>29</v>
      </c>
      <c r="D130" t="s">
        <v>20</v>
      </c>
      <c r="E130" t="s">
        <v>21</v>
      </c>
      <c r="F130" s="1">
        <v>44075</v>
      </c>
      <c r="G130">
        <v>4.72</v>
      </c>
      <c r="H130">
        <v>78.378500000000003</v>
      </c>
      <c r="I130">
        <v>8.34</v>
      </c>
      <c r="J130">
        <v>87.86</v>
      </c>
      <c r="K130" t="s">
        <v>30</v>
      </c>
      <c r="L130">
        <v>479.27</v>
      </c>
      <c r="M130">
        <f>VLOOKUP(K130,RatingLookup!$A$2:$C$8,2,FALSE)</f>
        <v>1.4999999999999999E-2</v>
      </c>
      <c r="N130">
        <f t="shared" ref="N130:N193" si="6">1-(1-M130)^(1/12)</f>
        <v>1.2586770182638762E-3</v>
      </c>
      <c r="O130">
        <f>VLOOKUP(K130,RatingLookup!$A$2:$C$8,3,FALSE)</f>
        <v>0.5</v>
      </c>
      <c r="P130">
        <f t="shared" ref="P130:P193" si="7">L130*N130*O130</f>
        <v>0.30162306727166399</v>
      </c>
      <c r="Q130" t="str">
        <f t="shared" ref="Q130:Q193" ca="1" si="8">IF(RAND()&lt;N130,"Yes","No")</f>
        <v>No</v>
      </c>
    </row>
    <row r="131" spans="1:17" x14ac:dyDescent="0.45">
      <c r="A131" t="s">
        <v>27</v>
      </c>
      <c r="B131" t="s">
        <v>28</v>
      </c>
      <c r="C131" t="s">
        <v>29</v>
      </c>
      <c r="D131" t="s">
        <v>20</v>
      </c>
      <c r="E131" t="s">
        <v>21</v>
      </c>
      <c r="F131" s="1">
        <v>44105</v>
      </c>
      <c r="G131">
        <v>5.61</v>
      </c>
      <c r="H131">
        <v>82.614800000000002</v>
      </c>
      <c r="I131">
        <v>24.72</v>
      </c>
      <c r="J131">
        <v>70.739999999999995</v>
      </c>
      <c r="K131" t="s">
        <v>30</v>
      </c>
      <c r="L131">
        <v>446.4</v>
      </c>
      <c r="M131">
        <f>VLOOKUP(K131,RatingLookup!$A$2:$C$8,2,FALSE)</f>
        <v>1.4999999999999999E-2</v>
      </c>
      <c r="N131">
        <f t="shared" si="6"/>
        <v>1.2586770182638762E-3</v>
      </c>
      <c r="O131">
        <f>VLOOKUP(K131,RatingLookup!$A$2:$C$8,3,FALSE)</f>
        <v>0.5</v>
      </c>
      <c r="P131">
        <f t="shared" si="7"/>
        <v>0.28093671047649715</v>
      </c>
      <c r="Q131" t="str">
        <f t="shared" ca="1" si="8"/>
        <v>No</v>
      </c>
    </row>
    <row r="132" spans="1:17" x14ac:dyDescent="0.45">
      <c r="A132" t="s">
        <v>27</v>
      </c>
      <c r="B132" t="s">
        <v>28</v>
      </c>
      <c r="C132" t="s">
        <v>29</v>
      </c>
      <c r="D132" t="s">
        <v>20</v>
      </c>
      <c r="E132" t="s">
        <v>21</v>
      </c>
      <c r="F132" s="1">
        <v>44136</v>
      </c>
      <c r="G132">
        <v>4.76</v>
      </c>
      <c r="H132">
        <v>83.773099999999999</v>
      </c>
      <c r="I132">
        <v>19.350000000000001</v>
      </c>
      <c r="J132">
        <v>67.05</v>
      </c>
      <c r="K132" t="s">
        <v>30</v>
      </c>
      <c r="L132">
        <v>426.85</v>
      </c>
      <c r="M132">
        <f>VLOOKUP(K132,RatingLookup!$A$2:$C$8,2,FALSE)</f>
        <v>1.4999999999999999E-2</v>
      </c>
      <c r="N132">
        <f t="shared" si="6"/>
        <v>1.2586770182638762E-3</v>
      </c>
      <c r="O132">
        <f>VLOOKUP(K132,RatingLookup!$A$2:$C$8,3,FALSE)</f>
        <v>0.5</v>
      </c>
      <c r="P132">
        <f t="shared" si="7"/>
        <v>0.26863314262296778</v>
      </c>
      <c r="Q132" t="str">
        <f t="shared" ca="1" si="8"/>
        <v>No</v>
      </c>
    </row>
    <row r="133" spans="1:17" x14ac:dyDescent="0.45">
      <c r="A133" t="s">
        <v>27</v>
      </c>
      <c r="B133" t="s">
        <v>28</v>
      </c>
      <c r="C133" t="s">
        <v>29</v>
      </c>
      <c r="D133" t="s">
        <v>20</v>
      </c>
      <c r="E133" t="s">
        <v>21</v>
      </c>
      <c r="F133" s="1">
        <v>44166</v>
      </c>
      <c r="G133">
        <v>6.47</v>
      </c>
      <c r="H133">
        <v>82.389399999999995</v>
      </c>
      <c r="I133">
        <v>20.62</v>
      </c>
      <c r="J133">
        <v>77.58</v>
      </c>
      <c r="K133" t="s">
        <v>30</v>
      </c>
      <c r="L133">
        <v>410.86</v>
      </c>
      <c r="M133">
        <f>VLOOKUP(K133,RatingLookup!$A$2:$C$8,2,FALSE)</f>
        <v>1.4999999999999999E-2</v>
      </c>
      <c r="N133">
        <f t="shared" si="6"/>
        <v>1.2586770182638762E-3</v>
      </c>
      <c r="O133">
        <f>VLOOKUP(K133,RatingLookup!$A$2:$C$8,3,FALSE)</f>
        <v>0.5</v>
      </c>
      <c r="P133">
        <f t="shared" si="7"/>
        <v>0.25857001986194811</v>
      </c>
      <c r="Q133" t="str">
        <f t="shared" ca="1" si="8"/>
        <v>No</v>
      </c>
    </row>
    <row r="134" spans="1:17" x14ac:dyDescent="0.45">
      <c r="A134" t="s">
        <v>27</v>
      </c>
      <c r="B134" t="s">
        <v>28</v>
      </c>
      <c r="C134" t="s">
        <v>29</v>
      </c>
      <c r="D134" t="s">
        <v>20</v>
      </c>
      <c r="E134" t="s">
        <v>21</v>
      </c>
      <c r="F134" s="1">
        <v>44197</v>
      </c>
      <c r="G134">
        <v>5.0599999999999996</v>
      </c>
      <c r="H134">
        <v>83.503600000000006</v>
      </c>
      <c r="I134">
        <v>21.84</v>
      </c>
      <c r="J134">
        <v>68.099999999999994</v>
      </c>
      <c r="K134" t="s">
        <v>30</v>
      </c>
      <c r="L134">
        <v>437.25</v>
      </c>
      <c r="M134">
        <f>VLOOKUP(K134,RatingLookup!$A$2:$C$8,2,FALSE)</f>
        <v>1.4999999999999999E-2</v>
      </c>
      <c r="N134">
        <f t="shared" si="6"/>
        <v>1.2586770182638762E-3</v>
      </c>
      <c r="O134">
        <f>VLOOKUP(K134,RatingLookup!$A$2:$C$8,3,FALSE)</f>
        <v>0.5</v>
      </c>
      <c r="P134">
        <f t="shared" si="7"/>
        <v>0.27517826311793991</v>
      </c>
      <c r="Q134" t="str">
        <f t="shared" ca="1" si="8"/>
        <v>No</v>
      </c>
    </row>
    <row r="135" spans="1:17" x14ac:dyDescent="0.45">
      <c r="A135" t="s">
        <v>27</v>
      </c>
      <c r="B135" t="s">
        <v>28</v>
      </c>
      <c r="C135" t="s">
        <v>29</v>
      </c>
      <c r="D135" t="s">
        <v>20</v>
      </c>
      <c r="E135" t="s">
        <v>21</v>
      </c>
      <c r="F135" s="1">
        <v>44228</v>
      </c>
      <c r="G135">
        <v>5.14</v>
      </c>
      <c r="H135">
        <v>82.002899999999997</v>
      </c>
      <c r="I135">
        <v>18.100000000000001</v>
      </c>
      <c r="J135">
        <v>82.98</v>
      </c>
      <c r="K135" t="s">
        <v>30</v>
      </c>
      <c r="L135">
        <v>436.62</v>
      </c>
      <c r="M135">
        <f>VLOOKUP(K135,RatingLookup!$A$2:$C$8,2,FALSE)</f>
        <v>1.4999999999999999E-2</v>
      </c>
      <c r="N135">
        <f t="shared" si="6"/>
        <v>1.2586770182638762E-3</v>
      </c>
      <c r="O135">
        <f>VLOOKUP(K135,RatingLookup!$A$2:$C$8,3,FALSE)</f>
        <v>0.5</v>
      </c>
      <c r="P135">
        <f t="shared" si="7"/>
        <v>0.27478177985718683</v>
      </c>
      <c r="Q135" t="str">
        <f t="shared" ca="1" si="8"/>
        <v>No</v>
      </c>
    </row>
    <row r="136" spans="1:17" x14ac:dyDescent="0.45">
      <c r="A136" t="s">
        <v>27</v>
      </c>
      <c r="B136" t="s">
        <v>28</v>
      </c>
      <c r="C136" t="s">
        <v>29</v>
      </c>
      <c r="D136" t="s">
        <v>20</v>
      </c>
      <c r="E136" t="s">
        <v>21</v>
      </c>
      <c r="F136" s="1">
        <v>44256</v>
      </c>
      <c r="G136">
        <v>5.62</v>
      </c>
      <c r="H136">
        <v>81.631</v>
      </c>
      <c r="I136">
        <v>19.36</v>
      </c>
      <c r="J136">
        <v>83.92</v>
      </c>
      <c r="K136" t="s">
        <v>30</v>
      </c>
      <c r="L136">
        <v>467.94</v>
      </c>
      <c r="M136">
        <f>VLOOKUP(K136,RatingLookup!$A$2:$C$8,2,FALSE)</f>
        <v>1.4999999999999999E-2</v>
      </c>
      <c r="N136">
        <f t="shared" si="6"/>
        <v>1.2586770182638762E-3</v>
      </c>
      <c r="O136">
        <f>VLOOKUP(K136,RatingLookup!$A$2:$C$8,3,FALSE)</f>
        <v>0.5</v>
      </c>
      <c r="P136">
        <f t="shared" si="7"/>
        <v>0.29449266196319912</v>
      </c>
      <c r="Q136" t="str">
        <f t="shared" ca="1" si="8"/>
        <v>No</v>
      </c>
    </row>
    <row r="137" spans="1:17" x14ac:dyDescent="0.45">
      <c r="A137" t="s">
        <v>27</v>
      </c>
      <c r="B137" t="s">
        <v>28</v>
      </c>
      <c r="C137" t="s">
        <v>29</v>
      </c>
      <c r="D137" t="s">
        <v>20</v>
      </c>
      <c r="E137" t="s">
        <v>21</v>
      </c>
      <c r="F137" s="1">
        <v>44287</v>
      </c>
      <c r="G137">
        <v>6.59</v>
      </c>
      <c r="H137">
        <v>78.266300000000001</v>
      </c>
      <c r="I137">
        <v>23.89</v>
      </c>
      <c r="J137">
        <v>73.150000000000006</v>
      </c>
      <c r="K137" t="s">
        <v>30</v>
      </c>
      <c r="L137">
        <v>454.03</v>
      </c>
      <c r="M137">
        <f>VLOOKUP(K137,RatingLookup!$A$2:$C$8,2,FALSE)</f>
        <v>1.4999999999999999E-2</v>
      </c>
      <c r="N137">
        <f t="shared" si="6"/>
        <v>1.2586770182638762E-3</v>
      </c>
      <c r="O137">
        <f>VLOOKUP(K137,RatingLookup!$A$2:$C$8,3,FALSE)</f>
        <v>0.5</v>
      </c>
      <c r="P137">
        <f t="shared" si="7"/>
        <v>0.28573856330117386</v>
      </c>
      <c r="Q137" t="str">
        <f t="shared" ca="1" si="8"/>
        <v>No</v>
      </c>
    </row>
    <row r="138" spans="1:17" x14ac:dyDescent="0.45">
      <c r="A138" t="s">
        <v>27</v>
      </c>
      <c r="B138" t="s">
        <v>28</v>
      </c>
      <c r="C138" t="s">
        <v>29</v>
      </c>
      <c r="D138" t="s">
        <v>20</v>
      </c>
      <c r="E138" t="s">
        <v>21</v>
      </c>
      <c r="F138" s="1">
        <v>44317</v>
      </c>
      <c r="G138">
        <v>6.23</v>
      </c>
      <c r="H138">
        <v>84.055599999999998</v>
      </c>
      <c r="I138">
        <v>17.649999999999999</v>
      </c>
      <c r="J138">
        <v>84.28</v>
      </c>
      <c r="K138" t="s">
        <v>30</v>
      </c>
      <c r="L138">
        <v>468.16</v>
      </c>
      <c r="M138">
        <f>VLOOKUP(K138,RatingLookup!$A$2:$C$8,2,FALSE)</f>
        <v>1.4999999999999999E-2</v>
      </c>
      <c r="N138">
        <f t="shared" si="6"/>
        <v>1.2586770182638762E-3</v>
      </c>
      <c r="O138">
        <f>VLOOKUP(K138,RatingLookup!$A$2:$C$8,3,FALSE)</f>
        <v>0.5</v>
      </c>
      <c r="P138">
        <f t="shared" si="7"/>
        <v>0.29463111643520817</v>
      </c>
      <c r="Q138" t="str">
        <f t="shared" ca="1" si="8"/>
        <v>No</v>
      </c>
    </row>
    <row r="139" spans="1:17" x14ac:dyDescent="0.45">
      <c r="A139" t="s">
        <v>27</v>
      </c>
      <c r="B139" t="s">
        <v>28</v>
      </c>
      <c r="C139" t="s">
        <v>29</v>
      </c>
      <c r="D139" t="s">
        <v>20</v>
      </c>
      <c r="E139" t="s">
        <v>21</v>
      </c>
      <c r="F139" s="1">
        <v>44348</v>
      </c>
      <c r="G139">
        <v>5.27</v>
      </c>
      <c r="H139">
        <v>78.988699999999994</v>
      </c>
      <c r="I139">
        <v>25.33</v>
      </c>
      <c r="J139">
        <v>90.08</v>
      </c>
      <c r="K139" t="s">
        <v>30</v>
      </c>
      <c r="L139">
        <v>487.89</v>
      </c>
      <c r="M139">
        <f>VLOOKUP(K139,RatingLookup!$A$2:$C$8,2,FALSE)</f>
        <v>1.4999999999999999E-2</v>
      </c>
      <c r="N139">
        <f t="shared" si="6"/>
        <v>1.2586770182638762E-3</v>
      </c>
      <c r="O139">
        <f>VLOOKUP(K139,RatingLookup!$A$2:$C$8,3,FALSE)</f>
        <v>0.5</v>
      </c>
      <c r="P139">
        <f t="shared" si="7"/>
        <v>0.3070479652203813</v>
      </c>
      <c r="Q139" t="str">
        <f t="shared" ca="1" si="8"/>
        <v>No</v>
      </c>
    </row>
    <row r="140" spans="1:17" x14ac:dyDescent="0.45">
      <c r="A140" t="s">
        <v>27</v>
      </c>
      <c r="B140" t="s">
        <v>28</v>
      </c>
      <c r="C140" t="s">
        <v>29</v>
      </c>
      <c r="D140" t="s">
        <v>20</v>
      </c>
      <c r="E140" t="s">
        <v>21</v>
      </c>
      <c r="F140" s="1">
        <v>44378</v>
      </c>
      <c r="G140">
        <v>6.83</v>
      </c>
      <c r="H140">
        <v>85.14</v>
      </c>
      <c r="I140">
        <v>5.45</v>
      </c>
      <c r="J140">
        <v>94.48</v>
      </c>
      <c r="K140" t="s">
        <v>30</v>
      </c>
      <c r="L140">
        <v>452.29</v>
      </c>
      <c r="M140">
        <f>VLOOKUP(K140,RatingLookup!$A$2:$C$8,2,FALSE)</f>
        <v>1.4999999999999999E-2</v>
      </c>
      <c r="N140">
        <f t="shared" si="6"/>
        <v>1.2586770182638762E-3</v>
      </c>
      <c r="O140">
        <f>VLOOKUP(K140,RatingLookup!$A$2:$C$8,3,FALSE)</f>
        <v>0.5</v>
      </c>
      <c r="P140">
        <f t="shared" si="7"/>
        <v>0.28464351429528428</v>
      </c>
      <c r="Q140" t="str">
        <f t="shared" ca="1" si="8"/>
        <v>No</v>
      </c>
    </row>
    <row r="141" spans="1:17" x14ac:dyDescent="0.45">
      <c r="A141" t="s">
        <v>27</v>
      </c>
      <c r="B141" t="s">
        <v>28</v>
      </c>
      <c r="C141" t="s">
        <v>29</v>
      </c>
      <c r="D141" t="s">
        <v>20</v>
      </c>
      <c r="E141" t="s">
        <v>21</v>
      </c>
      <c r="F141" s="1">
        <v>44409</v>
      </c>
      <c r="G141">
        <v>5.36</v>
      </c>
      <c r="H141">
        <v>82.387</v>
      </c>
      <c r="I141">
        <v>28.1</v>
      </c>
      <c r="J141">
        <v>83.12</v>
      </c>
      <c r="K141" t="s">
        <v>30</v>
      </c>
      <c r="L141">
        <v>453.33</v>
      </c>
      <c r="M141">
        <f>VLOOKUP(K141,RatingLookup!$A$2:$C$8,2,FALSE)</f>
        <v>1.4999999999999999E-2</v>
      </c>
      <c r="N141">
        <f t="shared" si="6"/>
        <v>1.2586770182638762E-3</v>
      </c>
      <c r="O141">
        <f>VLOOKUP(K141,RatingLookup!$A$2:$C$8,3,FALSE)</f>
        <v>0.5</v>
      </c>
      <c r="P141">
        <f t="shared" si="7"/>
        <v>0.28529802634478152</v>
      </c>
      <c r="Q141" t="str">
        <f t="shared" ca="1" si="8"/>
        <v>No</v>
      </c>
    </row>
    <row r="142" spans="1:17" x14ac:dyDescent="0.45">
      <c r="A142" t="s">
        <v>27</v>
      </c>
      <c r="B142" t="s">
        <v>28</v>
      </c>
      <c r="C142" t="s">
        <v>29</v>
      </c>
      <c r="D142" t="s">
        <v>20</v>
      </c>
      <c r="E142" t="s">
        <v>21</v>
      </c>
      <c r="F142" s="1">
        <v>44440</v>
      </c>
      <c r="G142">
        <v>4.5199999999999996</v>
      </c>
      <c r="H142">
        <v>82.827399999999997</v>
      </c>
      <c r="I142">
        <v>5</v>
      </c>
      <c r="J142">
        <v>71.67</v>
      </c>
      <c r="K142" t="s">
        <v>30</v>
      </c>
      <c r="L142">
        <v>490.96</v>
      </c>
      <c r="M142">
        <f>VLOOKUP(K142,RatingLookup!$A$2:$C$8,2,FALSE)</f>
        <v>1.4999999999999999E-2</v>
      </c>
      <c r="N142">
        <f t="shared" si="6"/>
        <v>1.2586770182638762E-3</v>
      </c>
      <c r="O142">
        <f>VLOOKUP(K142,RatingLookup!$A$2:$C$8,3,FALSE)</f>
        <v>0.5</v>
      </c>
      <c r="P142">
        <f t="shared" si="7"/>
        <v>0.30898003444341632</v>
      </c>
      <c r="Q142" t="str">
        <f t="shared" ca="1" si="8"/>
        <v>No</v>
      </c>
    </row>
    <row r="143" spans="1:17" x14ac:dyDescent="0.45">
      <c r="A143" t="s">
        <v>27</v>
      </c>
      <c r="B143" t="s">
        <v>28</v>
      </c>
      <c r="C143" t="s">
        <v>29</v>
      </c>
      <c r="D143" t="s">
        <v>20</v>
      </c>
      <c r="E143" t="s">
        <v>21</v>
      </c>
      <c r="F143" s="1">
        <v>44470</v>
      </c>
      <c r="G143">
        <v>5.7</v>
      </c>
      <c r="H143">
        <v>81.743499999999997</v>
      </c>
      <c r="I143">
        <v>25.99</v>
      </c>
      <c r="J143">
        <v>78.39</v>
      </c>
      <c r="K143" t="s">
        <v>30</v>
      </c>
      <c r="L143">
        <v>462.02</v>
      </c>
      <c r="M143">
        <f>VLOOKUP(K143,RatingLookup!$A$2:$C$8,2,FALSE)</f>
        <v>1.4999999999999999E-2</v>
      </c>
      <c r="N143">
        <f t="shared" si="6"/>
        <v>1.2586770182638762E-3</v>
      </c>
      <c r="O143">
        <f>VLOOKUP(K143,RatingLookup!$A$2:$C$8,3,FALSE)</f>
        <v>0.5</v>
      </c>
      <c r="P143">
        <f t="shared" si="7"/>
        <v>0.29076697798913803</v>
      </c>
      <c r="Q143" t="str">
        <f t="shared" ca="1" si="8"/>
        <v>No</v>
      </c>
    </row>
    <row r="144" spans="1:17" x14ac:dyDescent="0.45">
      <c r="A144" t="s">
        <v>27</v>
      </c>
      <c r="B144" t="s">
        <v>28</v>
      </c>
      <c r="C144" t="s">
        <v>29</v>
      </c>
      <c r="D144" t="s">
        <v>20</v>
      </c>
      <c r="E144" t="s">
        <v>21</v>
      </c>
      <c r="F144" s="1">
        <v>44501</v>
      </c>
      <c r="G144">
        <v>4.66</v>
      </c>
      <c r="H144">
        <v>82.201899999999995</v>
      </c>
      <c r="I144">
        <v>20.78</v>
      </c>
      <c r="J144">
        <v>66.099999999999994</v>
      </c>
      <c r="K144" t="s">
        <v>30</v>
      </c>
      <c r="L144">
        <v>502.96</v>
      </c>
      <c r="M144">
        <f>VLOOKUP(K144,RatingLookup!$A$2:$C$8,2,FALSE)</f>
        <v>1.4999999999999999E-2</v>
      </c>
      <c r="N144">
        <f t="shared" si="6"/>
        <v>1.2586770182638762E-3</v>
      </c>
      <c r="O144">
        <f>VLOOKUP(K144,RatingLookup!$A$2:$C$8,3,FALSE)</f>
        <v>0.5</v>
      </c>
      <c r="P144">
        <f t="shared" si="7"/>
        <v>0.31653209655299958</v>
      </c>
      <c r="Q144" t="str">
        <f t="shared" ca="1" si="8"/>
        <v>No</v>
      </c>
    </row>
    <row r="145" spans="1:17" x14ac:dyDescent="0.45">
      <c r="A145" t="s">
        <v>27</v>
      </c>
      <c r="B145" t="s">
        <v>28</v>
      </c>
      <c r="C145" t="s">
        <v>29</v>
      </c>
      <c r="D145" t="s">
        <v>20</v>
      </c>
      <c r="E145" t="s">
        <v>21</v>
      </c>
      <c r="F145" s="1">
        <v>44531</v>
      </c>
      <c r="G145">
        <v>5.67</v>
      </c>
      <c r="H145">
        <v>80.387699999999995</v>
      </c>
      <c r="I145">
        <v>19.440000000000001</v>
      </c>
      <c r="J145">
        <v>70.13</v>
      </c>
      <c r="K145" t="s">
        <v>30</v>
      </c>
      <c r="L145">
        <v>491.49</v>
      </c>
      <c r="M145">
        <f>VLOOKUP(K145,RatingLookup!$A$2:$C$8,2,FALSE)</f>
        <v>1.4999999999999999E-2</v>
      </c>
      <c r="N145">
        <f t="shared" si="6"/>
        <v>1.2586770182638762E-3</v>
      </c>
      <c r="O145">
        <f>VLOOKUP(K145,RatingLookup!$A$2:$C$8,3,FALSE)</f>
        <v>0.5</v>
      </c>
      <c r="P145">
        <f t="shared" si="7"/>
        <v>0.30931358385325625</v>
      </c>
      <c r="Q145" t="str">
        <f t="shared" ca="1" si="8"/>
        <v>No</v>
      </c>
    </row>
    <row r="146" spans="1:17" x14ac:dyDescent="0.45">
      <c r="A146" t="s">
        <v>27</v>
      </c>
      <c r="B146" t="s">
        <v>28</v>
      </c>
      <c r="C146" t="s">
        <v>29</v>
      </c>
      <c r="D146" t="s">
        <v>20</v>
      </c>
      <c r="E146" t="s">
        <v>21</v>
      </c>
      <c r="F146" s="1">
        <v>44562</v>
      </c>
      <c r="G146">
        <v>4.8600000000000003</v>
      </c>
      <c r="H146">
        <v>82.637900000000002</v>
      </c>
      <c r="I146">
        <v>20.46</v>
      </c>
      <c r="J146">
        <v>81.349999999999994</v>
      </c>
      <c r="K146" t="s">
        <v>30</v>
      </c>
      <c r="L146">
        <v>442.26</v>
      </c>
      <c r="M146">
        <f>VLOOKUP(K146,RatingLookup!$A$2:$C$8,2,FALSE)</f>
        <v>1.4999999999999999E-2</v>
      </c>
      <c r="N146">
        <f t="shared" si="6"/>
        <v>1.2586770182638762E-3</v>
      </c>
      <c r="O146">
        <f>VLOOKUP(K146,RatingLookup!$A$2:$C$8,3,FALSE)</f>
        <v>0.5</v>
      </c>
      <c r="P146">
        <f t="shared" si="7"/>
        <v>0.27833124904869094</v>
      </c>
      <c r="Q146" t="str">
        <f t="shared" ca="1" si="8"/>
        <v>No</v>
      </c>
    </row>
    <row r="147" spans="1:17" x14ac:dyDescent="0.45">
      <c r="A147" t="s">
        <v>27</v>
      </c>
      <c r="B147" t="s">
        <v>28</v>
      </c>
      <c r="C147" t="s">
        <v>29</v>
      </c>
      <c r="D147" t="s">
        <v>20</v>
      </c>
      <c r="E147" t="s">
        <v>21</v>
      </c>
      <c r="F147" s="1">
        <v>44593</v>
      </c>
      <c r="G147">
        <v>4.96</v>
      </c>
      <c r="H147">
        <v>82.1404</v>
      </c>
      <c r="I147">
        <v>23.28</v>
      </c>
      <c r="J147">
        <v>82.27</v>
      </c>
      <c r="K147" t="s">
        <v>30</v>
      </c>
      <c r="L147">
        <v>406.9</v>
      </c>
      <c r="M147">
        <f>VLOOKUP(K147,RatingLookup!$A$2:$C$8,2,FALSE)</f>
        <v>1.4999999999999999E-2</v>
      </c>
      <c r="N147">
        <f t="shared" si="6"/>
        <v>1.2586770182638762E-3</v>
      </c>
      <c r="O147">
        <f>VLOOKUP(K147,RatingLookup!$A$2:$C$8,3,FALSE)</f>
        <v>0.5</v>
      </c>
      <c r="P147">
        <f t="shared" si="7"/>
        <v>0.2560778393657856</v>
      </c>
      <c r="Q147" t="str">
        <f t="shared" ca="1" si="8"/>
        <v>No</v>
      </c>
    </row>
    <row r="148" spans="1:17" x14ac:dyDescent="0.45">
      <c r="A148" t="s">
        <v>27</v>
      </c>
      <c r="B148" t="s">
        <v>28</v>
      </c>
      <c r="C148" t="s">
        <v>29</v>
      </c>
      <c r="D148" t="s">
        <v>20</v>
      </c>
      <c r="E148" t="s">
        <v>21</v>
      </c>
      <c r="F148" s="1">
        <v>44621</v>
      </c>
      <c r="G148">
        <v>5.65</v>
      </c>
      <c r="H148">
        <v>88.146100000000004</v>
      </c>
      <c r="I148">
        <v>26.47</v>
      </c>
      <c r="J148">
        <v>81.819999999999993</v>
      </c>
      <c r="K148" t="s">
        <v>30</v>
      </c>
      <c r="L148">
        <v>433.06</v>
      </c>
      <c r="M148">
        <f>VLOOKUP(K148,RatingLookup!$A$2:$C$8,2,FALSE)</f>
        <v>1.4999999999999999E-2</v>
      </c>
      <c r="N148">
        <f t="shared" si="6"/>
        <v>1.2586770182638762E-3</v>
      </c>
      <c r="O148">
        <f>VLOOKUP(K148,RatingLookup!$A$2:$C$8,3,FALSE)</f>
        <v>0.5</v>
      </c>
      <c r="P148">
        <f t="shared" si="7"/>
        <v>0.27254133476467712</v>
      </c>
      <c r="Q148" t="str">
        <f t="shared" ca="1" si="8"/>
        <v>No</v>
      </c>
    </row>
    <row r="149" spans="1:17" x14ac:dyDescent="0.45">
      <c r="A149" t="s">
        <v>27</v>
      </c>
      <c r="B149" t="s">
        <v>28</v>
      </c>
      <c r="C149" t="s">
        <v>29</v>
      </c>
      <c r="D149" t="s">
        <v>20</v>
      </c>
      <c r="E149" t="s">
        <v>21</v>
      </c>
      <c r="F149" s="1">
        <v>44652</v>
      </c>
      <c r="G149">
        <v>5.79</v>
      </c>
      <c r="H149">
        <v>78.494500000000002</v>
      </c>
      <c r="I149">
        <v>20.79</v>
      </c>
      <c r="J149">
        <v>88.4</v>
      </c>
      <c r="K149" t="s">
        <v>30</v>
      </c>
      <c r="L149">
        <v>436.87</v>
      </c>
      <c r="M149">
        <f>VLOOKUP(K149,RatingLookup!$A$2:$C$8,2,FALSE)</f>
        <v>1.4999999999999999E-2</v>
      </c>
      <c r="N149">
        <f t="shared" si="6"/>
        <v>1.2586770182638762E-3</v>
      </c>
      <c r="O149">
        <f>VLOOKUP(K149,RatingLookup!$A$2:$C$8,3,FALSE)</f>
        <v>0.5</v>
      </c>
      <c r="P149">
        <f t="shared" si="7"/>
        <v>0.27493911448446978</v>
      </c>
      <c r="Q149" t="str">
        <f t="shared" ca="1" si="8"/>
        <v>No</v>
      </c>
    </row>
    <row r="150" spans="1:17" x14ac:dyDescent="0.45">
      <c r="A150" t="s">
        <v>27</v>
      </c>
      <c r="B150" t="s">
        <v>28</v>
      </c>
      <c r="C150" t="s">
        <v>29</v>
      </c>
      <c r="D150" t="s">
        <v>20</v>
      </c>
      <c r="E150" t="s">
        <v>21</v>
      </c>
      <c r="F150" s="1">
        <v>44682</v>
      </c>
      <c r="G150">
        <v>5.85</v>
      </c>
      <c r="H150">
        <v>84.262500000000003</v>
      </c>
      <c r="I150">
        <v>17.09</v>
      </c>
      <c r="J150">
        <v>66.52</v>
      </c>
      <c r="K150" t="s">
        <v>30</v>
      </c>
      <c r="L150">
        <v>447.81</v>
      </c>
      <c r="M150">
        <f>VLOOKUP(K150,RatingLookup!$A$2:$C$8,2,FALSE)</f>
        <v>1.4999999999999999E-2</v>
      </c>
      <c r="N150">
        <f t="shared" si="6"/>
        <v>1.2586770182638762E-3</v>
      </c>
      <c r="O150">
        <f>VLOOKUP(K150,RatingLookup!$A$2:$C$8,3,FALSE)</f>
        <v>0.5</v>
      </c>
      <c r="P150">
        <f t="shared" si="7"/>
        <v>0.28182407777437318</v>
      </c>
      <c r="Q150" t="str">
        <f t="shared" ca="1" si="8"/>
        <v>No</v>
      </c>
    </row>
    <row r="151" spans="1:17" x14ac:dyDescent="0.45">
      <c r="A151" t="s">
        <v>27</v>
      </c>
      <c r="B151" t="s">
        <v>28</v>
      </c>
      <c r="C151" t="s">
        <v>29</v>
      </c>
      <c r="D151" t="s">
        <v>20</v>
      </c>
      <c r="E151" t="s">
        <v>21</v>
      </c>
      <c r="F151" s="1">
        <v>44713</v>
      </c>
      <c r="G151">
        <v>5.15</v>
      </c>
      <c r="H151">
        <v>79.300399999999996</v>
      </c>
      <c r="I151">
        <v>19.45</v>
      </c>
      <c r="J151">
        <v>67.27</v>
      </c>
      <c r="K151" t="s">
        <v>30</v>
      </c>
      <c r="L151">
        <v>441.94</v>
      </c>
      <c r="M151">
        <f>VLOOKUP(K151,RatingLookup!$A$2:$C$8,2,FALSE)</f>
        <v>1.4999999999999999E-2</v>
      </c>
      <c r="N151">
        <f t="shared" si="6"/>
        <v>1.2586770182638762E-3</v>
      </c>
      <c r="O151">
        <f>VLOOKUP(K151,RatingLookup!$A$2:$C$8,3,FALSE)</f>
        <v>0.5</v>
      </c>
      <c r="P151">
        <f t="shared" si="7"/>
        <v>0.27812986072576873</v>
      </c>
      <c r="Q151" t="str">
        <f t="shared" ca="1" si="8"/>
        <v>No</v>
      </c>
    </row>
    <row r="152" spans="1:17" x14ac:dyDescent="0.45">
      <c r="A152" t="s">
        <v>27</v>
      </c>
      <c r="B152" t="s">
        <v>28</v>
      </c>
      <c r="C152" t="s">
        <v>29</v>
      </c>
      <c r="D152" t="s">
        <v>20</v>
      </c>
      <c r="E152" t="s">
        <v>21</v>
      </c>
      <c r="F152" s="1">
        <v>44743</v>
      </c>
      <c r="G152">
        <v>5.94</v>
      </c>
      <c r="H152">
        <v>79.2196</v>
      </c>
      <c r="I152">
        <v>22.6</v>
      </c>
      <c r="J152">
        <v>62.5</v>
      </c>
      <c r="K152" t="s">
        <v>30</v>
      </c>
      <c r="L152">
        <v>445.29</v>
      </c>
      <c r="M152">
        <f>VLOOKUP(K152,RatingLookup!$A$2:$C$8,2,FALSE)</f>
        <v>1.4999999999999999E-2</v>
      </c>
      <c r="N152">
        <f t="shared" si="6"/>
        <v>1.2586770182638762E-3</v>
      </c>
      <c r="O152">
        <f>VLOOKUP(K152,RatingLookup!$A$2:$C$8,3,FALSE)</f>
        <v>0.5</v>
      </c>
      <c r="P152">
        <f t="shared" si="7"/>
        <v>0.28023814473136072</v>
      </c>
      <c r="Q152" t="str">
        <f t="shared" ca="1" si="8"/>
        <v>No</v>
      </c>
    </row>
    <row r="153" spans="1:17" x14ac:dyDescent="0.45">
      <c r="A153" t="s">
        <v>27</v>
      </c>
      <c r="B153" t="s">
        <v>28</v>
      </c>
      <c r="C153" t="s">
        <v>29</v>
      </c>
      <c r="D153" t="s">
        <v>20</v>
      </c>
      <c r="E153" t="s">
        <v>21</v>
      </c>
      <c r="F153" s="1">
        <v>44774</v>
      </c>
      <c r="G153">
        <v>6.64</v>
      </c>
      <c r="H153">
        <v>83.594899999999996</v>
      </c>
      <c r="I153">
        <v>25.84</v>
      </c>
      <c r="J153">
        <v>84.91</v>
      </c>
      <c r="K153" t="s">
        <v>30</v>
      </c>
      <c r="L153">
        <v>453.67</v>
      </c>
      <c r="M153">
        <f>VLOOKUP(K153,RatingLookup!$A$2:$C$8,2,FALSE)</f>
        <v>1.4999999999999999E-2</v>
      </c>
      <c r="N153">
        <f t="shared" si="6"/>
        <v>1.2586770182638762E-3</v>
      </c>
      <c r="O153">
        <f>VLOOKUP(K153,RatingLookup!$A$2:$C$8,3,FALSE)</f>
        <v>0.5</v>
      </c>
      <c r="P153">
        <f t="shared" si="7"/>
        <v>0.28551200143788635</v>
      </c>
      <c r="Q153" t="str">
        <f t="shared" ca="1" si="8"/>
        <v>No</v>
      </c>
    </row>
    <row r="154" spans="1:17" x14ac:dyDescent="0.45">
      <c r="A154" t="s">
        <v>27</v>
      </c>
      <c r="B154" t="s">
        <v>28</v>
      </c>
      <c r="C154" t="s">
        <v>29</v>
      </c>
      <c r="D154" t="s">
        <v>20</v>
      </c>
      <c r="E154" t="s">
        <v>21</v>
      </c>
      <c r="F154" s="1">
        <v>44805</v>
      </c>
      <c r="G154">
        <v>6.18</v>
      </c>
      <c r="H154">
        <v>86.929299999999998</v>
      </c>
      <c r="I154">
        <v>8.52</v>
      </c>
      <c r="J154">
        <v>65.67</v>
      </c>
      <c r="K154" t="s">
        <v>30</v>
      </c>
      <c r="L154">
        <v>488.13</v>
      </c>
      <c r="M154">
        <f>VLOOKUP(K154,RatingLookup!$A$2:$C$8,2,FALSE)</f>
        <v>1.4999999999999999E-2</v>
      </c>
      <c r="N154">
        <f t="shared" si="6"/>
        <v>1.2586770182638762E-3</v>
      </c>
      <c r="O154">
        <f>VLOOKUP(K154,RatingLookup!$A$2:$C$8,3,FALSE)</f>
        <v>0.5</v>
      </c>
      <c r="P154">
        <f t="shared" si="7"/>
        <v>0.30719900646257298</v>
      </c>
      <c r="Q154" t="str">
        <f t="shared" ca="1" si="8"/>
        <v>No</v>
      </c>
    </row>
    <row r="155" spans="1:17" x14ac:dyDescent="0.45">
      <c r="A155" t="s">
        <v>27</v>
      </c>
      <c r="B155" t="s">
        <v>28</v>
      </c>
      <c r="C155" t="s">
        <v>29</v>
      </c>
      <c r="D155" t="s">
        <v>20</v>
      </c>
      <c r="E155" t="s">
        <v>21</v>
      </c>
      <c r="F155" s="1">
        <v>44835</v>
      </c>
      <c r="G155">
        <v>4.57</v>
      </c>
      <c r="H155">
        <v>81.357699999999994</v>
      </c>
      <c r="I155">
        <v>19.89</v>
      </c>
      <c r="J155">
        <v>64.849999999999994</v>
      </c>
      <c r="K155" t="s">
        <v>30</v>
      </c>
      <c r="L155">
        <v>480.63</v>
      </c>
      <c r="M155">
        <f>VLOOKUP(K155,RatingLookup!$A$2:$C$8,2,FALSE)</f>
        <v>1.4999999999999999E-2</v>
      </c>
      <c r="N155">
        <f t="shared" si="6"/>
        <v>1.2586770182638762E-3</v>
      </c>
      <c r="O155">
        <f>VLOOKUP(K155,RatingLookup!$A$2:$C$8,3,FALSE)</f>
        <v>0.5</v>
      </c>
      <c r="P155">
        <f t="shared" si="7"/>
        <v>0.30247896764408344</v>
      </c>
      <c r="Q155" t="str">
        <f t="shared" ca="1" si="8"/>
        <v>No</v>
      </c>
    </row>
    <row r="156" spans="1:17" x14ac:dyDescent="0.45">
      <c r="A156" t="s">
        <v>27</v>
      </c>
      <c r="B156" t="s">
        <v>28</v>
      </c>
      <c r="C156" t="s">
        <v>29</v>
      </c>
      <c r="D156" t="s">
        <v>20</v>
      </c>
      <c r="E156" t="s">
        <v>21</v>
      </c>
      <c r="F156" s="1">
        <v>44866</v>
      </c>
      <c r="G156">
        <v>5.35</v>
      </c>
      <c r="H156">
        <v>78.834900000000005</v>
      </c>
      <c r="I156">
        <v>9.68</v>
      </c>
      <c r="J156">
        <v>65.099999999999994</v>
      </c>
      <c r="K156" t="s">
        <v>30</v>
      </c>
      <c r="L156">
        <v>461.61</v>
      </c>
      <c r="M156">
        <f>VLOOKUP(K156,RatingLookup!$A$2:$C$8,2,FALSE)</f>
        <v>1.4999999999999999E-2</v>
      </c>
      <c r="N156">
        <f t="shared" si="6"/>
        <v>1.2586770182638762E-3</v>
      </c>
      <c r="O156">
        <f>VLOOKUP(K156,RatingLookup!$A$2:$C$8,3,FALSE)</f>
        <v>0.5</v>
      </c>
      <c r="P156">
        <f t="shared" si="7"/>
        <v>0.29050894920039394</v>
      </c>
      <c r="Q156" t="str">
        <f t="shared" ca="1" si="8"/>
        <v>No</v>
      </c>
    </row>
    <row r="157" spans="1:17" x14ac:dyDescent="0.45">
      <c r="A157" t="s">
        <v>27</v>
      </c>
      <c r="B157" t="s">
        <v>28</v>
      </c>
      <c r="C157" t="s">
        <v>29</v>
      </c>
      <c r="D157" t="s">
        <v>20</v>
      </c>
      <c r="E157" t="s">
        <v>21</v>
      </c>
      <c r="F157" s="1">
        <v>44896</v>
      </c>
      <c r="G157">
        <v>5.57</v>
      </c>
      <c r="H157">
        <v>85.977999999999994</v>
      </c>
      <c r="I157">
        <v>22.87</v>
      </c>
      <c r="J157">
        <v>75.23</v>
      </c>
      <c r="K157" t="s">
        <v>30</v>
      </c>
      <c r="L157">
        <v>435.84</v>
      </c>
      <c r="M157">
        <f>VLOOKUP(K157,RatingLookup!$A$2:$C$8,2,FALSE)</f>
        <v>1.4999999999999999E-2</v>
      </c>
      <c r="N157">
        <f t="shared" si="6"/>
        <v>1.2586770182638762E-3</v>
      </c>
      <c r="O157">
        <f>VLOOKUP(K157,RatingLookup!$A$2:$C$8,3,FALSE)</f>
        <v>0.5</v>
      </c>
      <c r="P157">
        <f t="shared" si="7"/>
        <v>0.27429089582006388</v>
      </c>
      <c r="Q157" t="str">
        <f t="shared" ca="1" si="8"/>
        <v>No</v>
      </c>
    </row>
    <row r="158" spans="1:17" x14ac:dyDescent="0.45">
      <c r="A158" t="s">
        <v>27</v>
      </c>
      <c r="B158" t="s">
        <v>28</v>
      </c>
      <c r="C158" t="s">
        <v>29</v>
      </c>
      <c r="D158" t="s">
        <v>20</v>
      </c>
      <c r="E158" t="s">
        <v>21</v>
      </c>
      <c r="F158" s="1">
        <v>44927</v>
      </c>
      <c r="G158">
        <v>5.49</v>
      </c>
      <c r="H158">
        <v>83.679000000000002</v>
      </c>
      <c r="I158">
        <v>13.24</v>
      </c>
      <c r="J158">
        <v>75.78</v>
      </c>
      <c r="K158" t="s">
        <v>30</v>
      </c>
      <c r="L158">
        <v>483.69</v>
      </c>
      <c r="M158">
        <f>VLOOKUP(K158,RatingLookup!$A$2:$C$8,2,FALSE)</f>
        <v>1.4999999999999999E-2</v>
      </c>
      <c r="N158">
        <f t="shared" si="6"/>
        <v>1.2586770182638762E-3</v>
      </c>
      <c r="O158">
        <f>VLOOKUP(K158,RatingLookup!$A$2:$C$8,3,FALSE)</f>
        <v>0.5</v>
      </c>
      <c r="P158">
        <f t="shared" si="7"/>
        <v>0.30440474348202717</v>
      </c>
      <c r="Q158" t="str">
        <f t="shared" ca="1" si="8"/>
        <v>No</v>
      </c>
    </row>
    <row r="159" spans="1:17" x14ac:dyDescent="0.45">
      <c r="A159" t="s">
        <v>27</v>
      </c>
      <c r="B159" t="s">
        <v>28</v>
      </c>
      <c r="C159" t="s">
        <v>29</v>
      </c>
      <c r="D159" t="s">
        <v>20</v>
      </c>
      <c r="E159" t="s">
        <v>21</v>
      </c>
      <c r="F159" s="1">
        <v>44958</v>
      </c>
      <c r="G159">
        <v>5.96</v>
      </c>
      <c r="H159">
        <v>82.148499999999999</v>
      </c>
      <c r="I159">
        <v>16.36</v>
      </c>
      <c r="J159">
        <v>82.95</v>
      </c>
      <c r="K159" t="s">
        <v>30</v>
      </c>
      <c r="L159">
        <v>471.72</v>
      </c>
      <c r="M159">
        <f>VLOOKUP(K159,RatingLookup!$A$2:$C$8,2,FALSE)</f>
        <v>1.4999999999999999E-2</v>
      </c>
      <c r="N159">
        <f t="shared" si="6"/>
        <v>1.2586770182638762E-3</v>
      </c>
      <c r="O159">
        <f>VLOOKUP(K159,RatingLookup!$A$2:$C$8,3,FALSE)</f>
        <v>0.5</v>
      </c>
      <c r="P159">
        <f t="shared" si="7"/>
        <v>0.29687156152771788</v>
      </c>
      <c r="Q159" t="str">
        <f t="shared" ca="1" si="8"/>
        <v>No</v>
      </c>
    </row>
    <row r="160" spans="1:17" x14ac:dyDescent="0.45">
      <c r="A160" t="s">
        <v>27</v>
      </c>
      <c r="B160" t="s">
        <v>28</v>
      </c>
      <c r="C160" t="s">
        <v>29</v>
      </c>
      <c r="D160" t="s">
        <v>20</v>
      </c>
      <c r="E160" t="s">
        <v>21</v>
      </c>
      <c r="F160" s="1">
        <v>44986</v>
      </c>
      <c r="G160">
        <v>5.33</v>
      </c>
      <c r="H160">
        <v>81.740399999999994</v>
      </c>
      <c r="I160">
        <v>11.82</v>
      </c>
      <c r="J160">
        <v>63.42</v>
      </c>
      <c r="K160" t="s">
        <v>30</v>
      </c>
      <c r="L160">
        <v>437.03</v>
      </c>
      <c r="M160">
        <f>VLOOKUP(K160,RatingLookup!$A$2:$C$8,2,FALSE)</f>
        <v>1.4999999999999999E-2</v>
      </c>
      <c r="N160">
        <f t="shared" si="6"/>
        <v>1.2586770182638762E-3</v>
      </c>
      <c r="O160">
        <f>VLOOKUP(K160,RatingLookup!$A$2:$C$8,3,FALSE)</f>
        <v>0.5</v>
      </c>
      <c r="P160">
        <f t="shared" si="7"/>
        <v>0.27503980864593092</v>
      </c>
      <c r="Q160" t="str">
        <f t="shared" ca="1" si="8"/>
        <v>No</v>
      </c>
    </row>
    <row r="161" spans="1:17" x14ac:dyDescent="0.45">
      <c r="A161" t="s">
        <v>27</v>
      </c>
      <c r="B161" t="s">
        <v>28</v>
      </c>
      <c r="C161" t="s">
        <v>29</v>
      </c>
      <c r="D161" t="s">
        <v>20</v>
      </c>
      <c r="E161" t="s">
        <v>21</v>
      </c>
      <c r="F161" s="1">
        <v>45017</v>
      </c>
      <c r="G161">
        <v>5.07</v>
      </c>
      <c r="H161">
        <v>83.263300000000001</v>
      </c>
      <c r="I161">
        <v>18.2</v>
      </c>
      <c r="J161">
        <v>82.55</v>
      </c>
      <c r="K161" t="s">
        <v>30</v>
      </c>
      <c r="L161">
        <v>498.97</v>
      </c>
      <c r="M161">
        <f>VLOOKUP(K161,RatingLookup!$A$2:$C$8,2,FALSE)</f>
        <v>1.4999999999999999E-2</v>
      </c>
      <c r="N161">
        <f t="shared" si="6"/>
        <v>1.2586770182638762E-3</v>
      </c>
      <c r="O161">
        <f>VLOOKUP(K161,RatingLookup!$A$2:$C$8,3,FALSE)</f>
        <v>0.5</v>
      </c>
      <c r="P161">
        <f t="shared" si="7"/>
        <v>0.31402103590156316</v>
      </c>
      <c r="Q161" t="str">
        <f t="shared" ca="1" si="8"/>
        <v>No</v>
      </c>
    </row>
    <row r="162" spans="1:17" x14ac:dyDescent="0.45">
      <c r="A162" t="s">
        <v>27</v>
      </c>
      <c r="B162" t="s">
        <v>28</v>
      </c>
      <c r="C162" t="s">
        <v>29</v>
      </c>
      <c r="D162" t="s">
        <v>20</v>
      </c>
      <c r="E162" t="s">
        <v>21</v>
      </c>
      <c r="F162" s="1">
        <v>45047</v>
      </c>
      <c r="G162">
        <v>3.99</v>
      </c>
      <c r="H162">
        <v>82.870500000000007</v>
      </c>
      <c r="I162">
        <v>31.95</v>
      </c>
      <c r="J162">
        <v>85.81</v>
      </c>
      <c r="K162" t="s">
        <v>30</v>
      </c>
      <c r="L162">
        <v>474.62</v>
      </c>
      <c r="M162">
        <f>VLOOKUP(K162,RatingLookup!$A$2:$C$8,2,FALSE)</f>
        <v>1.4999999999999999E-2</v>
      </c>
      <c r="N162">
        <f t="shared" si="6"/>
        <v>1.2586770182638762E-3</v>
      </c>
      <c r="O162">
        <f>VLOOKUP(K162,RatingLookup!$A$2:$C$8,3,FALSE)</f>
        <v>0.5</v>
      </c>
      <c r="P162">
        <f t="shared" si="7"/>
        <v>0.29869664320420047</v>
      </c>
      <c r="Q162" t="str">
        <f t="shared" ca="1" si="8"/>
        <v>No</v>
      </c>
    </row>
    <row r="163" spans="1:17" x14ac:dyDescent="0.45">
      <c r="A163" t="s">
        <v>27</v>
      </c>
      <c r="B163" t="s">
        <v>28</v>
      </c>
      <c r="C163" t="s">
        <v>29</v>
      </c>
      <c r="D163" t="s">
        <v>20</v>
      </c>
      <c r="E163" t="s">
        <v>21</v>
      </c>
      <c r="F163" s="1">
        <v>45078</v>
      </c>
      <c r="G163">
        <v>6.7</v>
      </c>
      <c r="H163">
        <v>84.265299999999996</v>
      </c>
      <c r="I163">
        <v>15.69</v>
      </c>
      <c r="J163">
        <v>74.760000000000005</v>
      </c>
      <c r="K163" t="s">
        <v>30</v>
      </c>
      <c r="L163">
        <v>454</v>
      </c>
      <c r="M163">
        <f>VLOOKUP(K163,RatingLookup!$A$2:$C$8,2,FALSE)</f>
        <v>1.4999999999999999E-2</v>
      </c>
      <c r="N163">
        <f t="shared" si="6"/>
        <v>1.2586770182638762E-3</v>
      </c>
      <c r="O163">
        <f>VLOOKUP(K163,RatingLookup!$A$2:$C$8,3,FALSE)</f>
        <v>0.5</v>
      </c>
      <c r="P163">
        <f t="shared" si="7"/>
        <v>0.28571968314589991</v>
      </c>
      <c r="Q163" t="str">
        <f t="shared" ca="1" si="8"/>
        <v>No</v>
      </c>
    </row>
    <row r="164" spans="1:17" x14ac:dyDescent="0.45">
      <c r="A164" t="s">
        <v>27</v>
      </c>
      <c r="B164" t="s">
        <v>28</v>
      </c>
      <c r="C164" t="s">
        <v>29</v>
      </c>
      <c r="D164" t="s">
        <v>20</v>
      </c>
      <c r="E164" t="s">
        <v>21</v>
      </c>
      <c r="F164" s="1">
        <v>45108</v>
      </c>
      <c r="G164">
        <v>5.57</v>
      </c>
      <c r="H164">
        <v>84.613699999999994</v>
      </c>
      <c r="I164">
        <v>7.03</v>
      </c>
      <c r="J164">
        <v>77.02</v>
      </c>
      <c r="K164" t="s">
        <v>30</v>
      </c>
      <c r="L164">
        <v>443.86</v>
      </c>
      <c r="M164">
        <f>VLOOKUP(K164,RatingLookup!$A$2:$C$8,2,FALSE)</f>
        <v>1.4999999999999999E-2</v>
      </c>
      <c r="N164">
        <f t="shared" si="6"/>
        <v>1.2586770182638762E-3</v>
      </c>
      <c r="O164">
        <f>VLOOKUP(K164,RatingLookup!$A$2:$C$8,3,FALSE)</f>
        <v>0.5</v>
      </c>
      <c r="P164">
        <f t="shared" si="7"/>
        <v>0.27933819066330207</v>
      </c>
      <c r="Q164" t="str">
        <f t="shared" ca="1" si="8"/>
        <v>No</v>
      </c>
    </row>
    <row r="165" spans="1:17" x14ac:dyDescent="0.45">
      <c r="A165" t="s">
        <v>27</v>
      </c>
      <c r="B165" t="s">
        <v>28</v>
      </c>
      <c r="C165" t="s">
        <v>29</v>
      </c>
      <c r="D165" t="s">
        <v>20</v>
      </c>
      <c r="E165" t="s">
        <v>21</v>
      </c>
      <c r="F165" s="1">
        <v>45139</v>
      </c>
      <c r="G165">
        <v>5.68</v>
      </c>
      <c r="H165">
        <v>83.577299999999994</v>
      </c>
      <c r="I165">
        <v>18.170000000000002</v>
      </c>
      <c r="J165">
        <v>84.4</v>
      </c>
      <c r="K165" t="s">
        <v>30</v>
      </c>
      <c r="L165">
        <v>491.76</v>
      </c>
      <c r="M165">
        <f>VLOOKUP(K165,RatingLookup!$A$2:$C$8,2,FALSE)</f>
        <v>1.4999999999999999E-2</v>
      </c>
      <c r="N165">
        <f t="shared" si="6"/>
        <v>1.2586770182638762E-3</v>
      </c>
      <c r="O165">
        <f>VLOOKUP(K165,RatingLookup!$A$2:$C$8,3,FALSE)</f>
        <v>0.5</v>
      </c>
      <c r="P165">
        <f t="shared" si="7"/>
        <v>0.30948350525072188</v>
      </c>
      <c r="Q165" t="str">
        <f t="shared" ca="1" si="8"/>
        <v>No</v>
      </c>
    </row>
    <row r="166" spans="1:17" x14ac:dyDescent="0.45">
      <c r="A166" t="s">
        <v>27</v>
      </c>
      <c r="B166" t="s">
        <v>28</v>
      </c>
      <c r="C166" t="s">
        <v>29</v>
      </c>
      <c r="D166" t="s">
        <v>20</v>
      </c>
      <c r="E166" t="s">
        <v>21</v>
      </c>
      <c r="F166" s="1">
        <v>45170</v>
      </c>
      <c r="G166">
        <v>4.55</v>
      </c>
      <c r="H166">
        <v>82.970299999999995</v>
      </c>
      <c r="I166">
        <v>20.329999999999998</v>
      </c>
      <c r="J166">
        <v>69.7</v>
      </c>
      <c r="K166" t="s">
        <v>30</v>
      </c>
      <c r="L166">
        <v>485.8</v>
      </c>
      <c r="M166">
        <f>VLOOKUP(K166,RatingLookup!$A$2:$C$8,2,FALSE)</f>
        <v>1.4999999999999999E-2</v>
      </c>
      <c r="N166">
        <f t="shared" si="6"/>
        <v>1.2586770182638762E-3</v>
      </c>
      <c r="O166">
        <f>VLOOKUP(K166,RatingLookup!$A$2:$C$8,3,FALSE)</f>
        <v>0.5</v>
      </c>
      <c r="P166">
        <f t="shared" si="7"/>
        <v>0.30573264773629555</v>
      </c>
      <c r="Q166" t="str">
        <f t="shared" ca="1" si="8"/>
        <v>No</v>
      </c>
    </row>
    <row r="167" spans="1:17" x14ac:dyDescent="0.45">
      <c r="A167" t="s">
        <v>27</v>
      </c>
      <c r="B167" t="s">
        <v>28</v>
      </c>
      <c r="C167" t="s">
        <v>29</v>
      </c>
      <c r="D167" t="s">
        <v>20</v>
      </c>
      <c r="E167" t="s">
        <v>21</v>
      </c>
      <c r="F167" s="1">
        <v>45200</v>
      </c>
      <c r="G167">
        <v>5.22</v>
      </c>
      <c r="H167">
        <v>78.758899999999997</v>
      </c>
      <c r="I167">
        <v>26.44</v>
      </c>
      <c r="J167">
        <v>90.94</v>
      </c>
      <c r="K167" t="s">
        <v>30</v>
      </c>
      <c r="L167">
        <v>424.17</v>
      </c>
      <c r="M167">
        <f>VLOOKUP(K167,RatingLookup!$A$2:$C$8,2,FALSE)</f>
        <v>1.4999999999999999E-2</v>
      </c>
      <c r="N167">
        <f t="shared" si="6"/>
        <v>1.2586770182638762E-3</v>
      </c>
      <c r="O167">
        <f>VLOOKUP(K167,RatingLookup!$A$2:$C$8,3,FALSE)</f>
        <v>0.5</v>
      </c>
      <c r="P167">
        <f t="shared" si="7"/>
        <v>0.26694651541849418</v>
      </c>
      <c r="Q167" t="str">
        <f t="shared" ca="1" si="8"/>
        <v>No</v>
      </c>
    </row>
    <row r="168" spans="1:17" x14ac:dyDescent="0.45">
      <c r="A168" t="s">
        <v>27</v>
      </c>
      <c r="B168" t="s">
        <v>28</v>
      </c>
      <c r="C168" t="s">
        <v>29</v>
      </c>
      <c r="D168" t="s">
        <v>20</v>
      </c>
      <c r="E168" t="s">
        <v>21</v>
      </c>
      <c r="F168" s="1">
        <v>45231</v>
      </c>
      <c r="G168">
        <v>6.48</v>
      </c>
      <c r="H168">
        <v>82.671800000000005</v>
      </c>
      <c r="I168">
        <v>9.94</v>
      </c>
      <c r="J168">
        <v>88.42</v>
      </c>
      <c r="K168" t="s">
        <v>30</v>
      </c>
      <c r="L168">
        <v>441.76</v>
      </c>
      <c r="M168">
        <f>VLOOKUP(K168,RatingLookup!$A$2:$C$8,2,FALSE)</f>
        <v>1.4999999999999999E-2</v>
      </c>
      <c r="N168">
        <f t="shared" si="6"/>
        <v>1.2586770182638762E-3</v>
      </c>
      <c r="O168">
        <f>VLOOKUP(K168,RatingLookup!$A$2:$C$8,3,FALSE)</f>
        <v>0.5</v>
      </c>
      <c r="P168">
        <f t="shared" si="7"/>
        <v>0.27801657979412497</v>
      </c>
      <c r="Q168" t="str">
        <f t="shared" ca="1" si="8"/>
        <v>No</v>
      </c>
    </row>
    <row r="169" spans="1:17" x14ac:dyDescent="0.45">
      <c r="A169" t="s">
        <v>27</v>
      </c>
      <c r="B169" t="s">
        <v>28</v>
      </c>
      <c r="C169" t="s">
        <v>29</v>
      </c>
      <c r="D169" t="s">
        <v>20</v>
      </c>
      <c r="E169" t="s">
        <v>21</v>
      </c>
      <c r="F169" s="1">
        <v>45261</v>
      </c>
      <c r="G169">
        <v>5.34</v>
      </c>
      <c r="H169">
        <v>81.015600000000006</v>
      </c>
      <c r="I169">
        <v>15.58</v>
      </c>
      <c r="J169">
        <v>89.07</v>
      </c>
      <c r="K169" t="s">
        <v>30</v>
      </c>
      <c r="L169">
        <v>507.65</v>
      </c>
      <c r="M169">
        <f>VLOOKUP(K169,RatingLookup!$A$2:$C$8,2,FALSE)</f>
        <v>1.4999999999999999E-2</v>
      </c>
      <c r="N169">
        <f t="shared" si="6"/>
        <v>1.2586770182638762E-3</v>
      </c>
      <c r="O169">
        <f>VLOOKUP(K169,RatingLookup!$A$2:$C$8,3,FALSE)</f>
        <v>0.5</v>
      </c>
      <c r="P169">
        <f t="shared" si="7"/>
        <v>0.31948369416082839</v>
      </c>
      <c r="Q169" t="str">
        <f t="shared" ca="1" si="8"/>
        <v>No</v>
      </c>
    </row>
    <row r="170" spans="1:17" x14ac:dyDescent="0.45">
      <c r="A170" t="s">
        <v>27</v>
      </c>
      <c r="B170" t="s">
        <v>28</v>
      </c>
      <c r="C170" t="s">
        <v>29</v>
      </c>
      <c r="D170" t="s">
        <v>20</v>
      </c>
      <c r="E170" t="s">
        <v>21</v>
      </c>
      <c r="F170" s="1">
        <v>45292</v>
      </c>
      <c r="G170">
        <v>5.0599999999999996</v>
      </c>
      <c r="H170">
        <v>81.205799999999996</v>
      </c>
      <c r="I170">
        <v>21.9</v>
      </c>
      <c r="J170">
        <v>69.52</v>
      </c>
      <c r="K170" t="s">
        <v>30</v>
      </c>
      <c r="L170">
        <v>482.34</v>
      </c>
      <c r="M170">
        <f>VLOOKUP(K170,RatingLookup!$A$2:$C$8,2,FALSE)</f>
        <v>1.4999999999999999E-2</v>
      </c>
      <c r="N170">
        <f t="shared" si="6"/>
        <v>1.2586770182638762E-3</v>
      </c>
      <c r="O170">
        <f>VLOOKUP(K170,RatingLookup!$A$2:$C$8,3,FALSE)</f>
        <v>0.5</v>
      </c>
      <c r="P170">
        <f t="shared" si="7"/>
        <v>0.30355513649469901</v>
      </c>
      <c r="Q170" t="str">
        <f t="shared" ca="1" si="8"/>
        <v>No</v>
      </c>
    </row>
    <row r="171" spans="1:17" x14ac:dyDescent="0.45">
      <c r="A171" t="s">
        <v>27</v>
      </c>
      <c r="B171" t="s">
        <v>28</v>
      </c>
      <c r="C171" t="s">
        <v>29</v>
      </c>
      <c r="D171" t="s">
        <v>20</v>
      </c>
      <c r="E171" t="s">
        <v>21</v>
      </c>
      <c r="F171" s="1">
        <v>45323</v>
      </c>
      <c r="G171">
        <v>5.94</v>
      </c>
      <c r="H171">
        <v>79.797899999999998</v>
      </c>
      <c r="I171">
        <v>27.05</v>
      </c>
      <c r="J171">
        <v>60.46</v>
      </c>
      <c r="K171" t="s">
        <v>30</v>
      </c>
      <c r="L171">
        <v>539.96</v>
      </c>
      <c r="M171">
        <f>VLOOKUP(K171,RatingLookup!$A$2:$C$8,2,FALSE)</f>
        <v>1.4999999999999999E-2</v>
      </c>
      <c r="N171">
        <f t="shared" si="6"/>
        <v>1.2586770182638762E-3</v>
      </c>
      <c r="O171">
        <f>VLOOKUP(K171,RatingLookup!$A$2:$C$8,3,FALSE)</f>
        <v>0.5</v>
      </c>
      <c r="P171">
        <f t="shared" si="7"/>
        <v>0.33981762139088134</v>
      </c>
      <c r="Q171" t="str">
        <f t="shared" ca="1" si="8"/>
        <v>No</v>
      </c>
    </row>
    <row r="172" spans="1:17" x14ac:dyDescent="0.45">
      <c r="A172" t="s">
        <v>27</v>
      </c>
      <c r="B172" t="s">
        <v>28</v>
      </c>
      <c r="C172" t="s">
        <v>29</v>
      </c>
      <c r="D172" t="s">
        <v>20</v>
      </c>
      <c r="E172" t="s">
        <v>21</v>
      </c>
      <c r="F172" s="1">
        <v>45352</v>
      </c>
      <c r="G172">
        <v>5.36</v>
      </c>
      <c r="H172">
        <v>80.383799999999994</v>
      </c>
      <c r="I172">
        <v>21.32</v>
      </c>
      <c r="J172">
        <v>93.68</v>
      </c>
      <c r="K172" t="s">
        <v>30</v>
      </c>
      <c r="L172">
        <v>449.55</v>
      </c>
      <c r="M172">
        <f>VLOOKUP(K172,RatingLookup!$A$2:$C$8,2,FALSE)</f>
        <v>1.4999999999999999E-2</v>
      </c>
      <c r="N172">
        <f t="shared" si="6"/>
        <v>1.2586770182638762E-3</v>
      </c>
      <c r="O172">
        <f>VLOOKUP(K172,RatingLookup!$A$2:$C$8,3,FALSE)</f>
        <v>0.5</v>
      </c>
      <c r="P172">
        <f t="shared" si="7"/>
        <v>0.28291912678026276</v>
      </c>
      <c r="Q172" t="str">
        <f t="shared" ca="1" si="8"/>
        <v>No</v>
      </c>
    </row>
    <row r="173" spans="1:17" x14ac:dyDescent="0.45">
      <c r="A173" t="s">
        <v>27</v>
      </c>
      <c r="B173" t="s">
        <v>28</v>
      </c>
      <c r="C173" t="s">
        <v>29</v>
      </c>
      <c r="D173" t="s">
        <v>20</v>
      </c>
      <c r="E173" t="s">
        <v>21</v>
      </c>
      <c r="F173" s="1">
        <v>45383</v>
      </c>
      <c r="G173">
        <v>5.85</v>
      </c>
      <c r="H173">
        <v>84.060599999999994</v>
      </c>
      <c r="I173">
        <v>25.48</v>
      </c>
      <c r="J173">
        <v>78.88</v>
      </c>
      <c r="K173" t="s">
        <v>30</v>
      </c>
      <c r="L173">
        <v>462.92</v>
      </c>
      <c r="M173">
        <f>VLOOKUP(K173,RatingLookup!$A$2:$C$8,2,FALSE)</f>
        <v>1.4999999999999999E-2</v>
      </c>
      <c r="N173">
        <f t="shared" si="6"/>
        <v>1.2586770182638762E-3</v>
      </c>
      <c r="O173">
        <f>VLOOKUP(K173,RatingLookup!$A$2:$C$8,3,FALSE)</f>
        <v>0.5</v>
      </c>
      <c r="P173">
        <f t="shared" si="7"/>
        <v>0.29133338264735681</v>
      </c>
      <c r="Q173" t="str">
        <f t="shared" ca="1" si="8"/>
        <v>No</v>
      </c>
    </row>
    <row r="174" spans="1:17" x14ac:dyDescent="0.45">
      <c r="A174" t="s">
        <v>27</v>
      </c>
      <c r="B174" t="s">
        <v>28</v>
      </c>
      <c r="C174" t="s">
        <v>29</v>
      </c>
      <c r="D174" t="s">
        <v>20</v>
      </c>
      <c r="E174" t="s">
        <v>21</v>
      </c>
      <c r="F174" s="1">
        <v>45413</v>
      </c>
      <c r="G174">
        <v>4.45</v>
      </c>
      <c r="H174">
        <v>83.027600000000007</v>
      </c>
      <c r="I174">
        <v>16.7</v>
      </c>
      <c r="J174">
        <v>85.74</v>
      </c>
      <c r="K174" t="s">
        <v>30</v>
      </c>
      <c r="L174">
        <v>500.33</v>
      </c>
      <c r="M174">
        <f>VLOOKUP(K174,RatingLookup!$A$2:$C$8,2,FALSE)</f>
        <v>1.4999999999999999E-2</v>
      </c>
      <c r="N174">
        <f t="shared" si="6"/>
        <v>1.2586770182638762E-3</v>
      </c>
      <c r="O174">
        <f>VLOOKUP(K174,RatingLookup!$A$2:$C$8,3,FALSE)</f>
        <v>0.5</v>
      </c>
      <c r="P174">
        <f t="shared" si="7"/>
        <v>0.31487693627398261</v>
      </c>
      <c r="Q174" t="str">
        <f t="shared" ca="1" si="8"/>
        <v>No</v>
      </c>
    </row>
    <row r="175" spans="1:17" x14ac:dyDescent="0.45">
      <c r="A175" t="s">
        <v>27</v>
      </c>
      <c r="B175" t="s">
        <v>28</v>
      </c>
      <c r="C175" t="s">
        <v>29</v>
      </c>
      <c r="D175" t="s">
        <v>20</v>
      </c>
      <c r="E175" t="s">
        <v>21</v>
      </c>
      <c r="F175" s="1">
        <v>45444</v>
      </c>
      <c r="G175">
        <v>5.82</v>
      </c>
      <c r="H175">
        <v>84.296499999999995</v>
      </c>
      <c r="I175">
        <v>18.36</v>
      </c>
      <c r="J175">
        <v>84.95</v>
      </c>
      <c r="K175" t="s">
        <v>30</v>
      </c>
      <c r="L175">
        <v>478.39</v>
      </c>
      <c r="M175">
        <f>VLOOKUP(K175,RatingLookup!$A$2:$C$8,2,FALSE)</f>
        <v>1.4999999999999999E-2</v>
      </c>
      <c r="N175">
        <f t="shared" si="6"/>
        <v>1.2586770182638762E-3</v>
      </c>
      <c r="O175">
        <f>VLOOKUP(K175,RatingLookup!$A$2:$C$8,3,FALSE)</f>
        <v>0.5</v>
      </c>
      <c r="P175">
        <f t="shared" si="7"/>
        <v>0.30106924938362789</v>
      </c>
      <c r="Q175" t="str">
        <f t="shared" ca="1" si="8"/>
        <v>No</v>
      </c>
    </row>
    <row r="176" spans="1:17" x14ac:dyDescent="0.45">
      <c r="A176" t="s">
        <v>27</v>
      </c>
      <c r="B176" t="s">
        <v>28</v>
      </c>
      <c r="C176" t="s">
        <v>29</v>
      </c>
      <c r="D176" t="s">
        <v>20</v>
      </c>
      <c r="E176" t="s">
        <v>21</v>
      </c>
      <c r="F176" s="1">
        <v>45474</v>
      </c>
      <c r="G176">
        <v>5.7</v>
      </c>
      <c r="H176">
        <v>82.663200000000003</v>
      </c>
      <c r="I176">
        <v>23.93</v>
      </c>
      <c r="J176">
        <v>73.3</v>
      </c>
      <c r="K176" t="s">
        <v>30</v>
      </c>
      <c r="L176">
        <v>474.64</v>
      </c>
      <c r="M176">
        <f>VLOOKUP(K176,RatingLookup!$A$2:$C$8,2,FALSE)</f>
        <v>1.4999999999999999E-2</v>
      </c>
      <c r="N176">
        <f t="shared" si="6"/>
        <v>1.2586770182638762E-3</v>
      </c>
      <c r="O176">
        <f>VLOOKUP(K176,RatingLookup!$A$2:$C$8,3,FALSE)</f>
        <v>0.5</v>
      </c>
      <c r="P176">
        <f t="shared" si="7"/>
        <v>0.29870922997438309</v>
      </c>
      <c r="Q176" t="str">
        <f t="shared" ca="1" si="8"/>
        <v>No</v>
      </c>
    </row>
    <row r="177" spans="1:17" x14ac:dyDescent="0.45">
      <c r="A177" t="s">
        <v>27</v>
      </c>
      <c r="B177" t="s">
        <v>28</v>
      </c>
      <c r="C177" t="s">
        <v>29</v>
      </c>
      <c r="D177" t="s">
        <v>20</v>
      </c>
      <c r="E177" t="s">
        <v>21</v>
      </c>
      <c r="F177" s="1">
        <v>45505</v>
      </c>
      <c r="G177">
        <v>6.29</v>
      </c>
      <c r="H177">
        <v>84.016099999999994</v>
      </c>
      <c r="I177">
        <v>17.559999999999999</v>
      </c>
      <c r="J177">
        <v>90.61</v>
      </c>
      <c r="K177" t="s">
        <v>30</v>
      </c>
      <c r="L177">
        <v>472.64</v>
      </c>
      <c r="M177">
        <f>VLOOKUP(K177,RatingLookup!$A$2:$C$8,2,FALSE)</f>
        <v>1.4999999999999999E-2</v>
      </c>
      <c r="N177">
        <f t="shared" si="6"/>
        <v>1.2586770182638762E-3</v>
      </c>
      <c r="O177">
        <f>VLOOKUP(K177,RatingLookup!$A$2:$C$8,3,FALSE)</f>
        <v>0.5</v>
      </c>
      <c r="P177">
        <f t="shared" si="7"/>
        <v>0.29745055295611922</v>
      </c>
      <c r="Q177" t="str">
        <f t="shared" ca="1" si="8"/>
        <v>No</v>
      </c>
    </row>
    <row r="178" spans="1:17" x14ac:dyDescent="0.45">
      <c r="A178" t="s">
        <v>27</v>
      </c>
      <c r="B178" t="s">
        <v>28</v>
      </c>
      <c r="C178" t="s">
        <v>29</v>
      </c>
      <c r="D178" t="s">
        <v>20</v>
      </c>
      <c r="E178" t="s">
        <v>21</v>
      </c>
      <c r="F178" s="1">
        <v>45536</v>
      </c>
      <c r="G178">
        <v>5.98</v>
      </c>
      <c r="H178">
        <v>86.189400000000006</v>
      </c>
      <c r="I178">
        <v>18.38</v>
      </c>
      <c r="J178">
        <v>81.540000000000006</v>
      </c>
      <c r="K178" t="s">
        <v>31</v>
      </c>
      <c r="L178">
        <v>427.39</v>
      </c>
      <c r="M178">
        <f>VLOOKUP(K178,RatingLookup!$A$2:$C$8,2,FALSE)</f>
        <v>0.04</v>
      </c>
      <c r="N178">
        <f t="shared" si="6"/>
        <v>3.3960531989175591E-3</v>
      </c>
      <c r="O178">
        <f>VLOOKUP(K178,RatingLookup!$A$2:$C$8,3,FALSE)</f>
        <v>0.6</v>
      </c>
      <c r="P178">
        <f t="shared" si="7"/>
        <v>0.87086350601122531</v>
      </c>
      <c r="Q178" t="str">
        <f t="shared" ca="1" si="8"/>
        <v>No</v>
      </c>
    </row>
    <row r="179" spans="1:17" x14ac:dyDescent="0.45">
      <c r="A179" t="s">
        <v>27</v>
      </c>
      <c r="B179" t="s">
        <v>28</v>
      </c>
      <c r="C179" t="s">
        <v>29</v>
      </c>
      <c r="D179" t="s">
        <v>20</v>
      </c>
      <c r="E179" t="s">
        <v>21</v>
      </c>
      <c r="F179" s="1">
        <v>45566</v>
      </c>
      <c r="G179">
        <v>5.17</v>
      </c>
      <c r="H179">
        <v>80.448300000000003</v>
      </c>
      <c r="I179">
        <v>8.4700000000000006</v>
      </c>
      <c r="J179">
        <v>93.25</v>
      </c>
      <c r="K179" t="s">
        <v>31</v>
      </c>
      <c r="L179">
        <v>431</v>
      </c>
      <c r="M179">
        <f>VLOOKUP(K179,RatingLookup!$A$2:$C$8,2,FALSE)</f>
        <v>0.04</v>
      </c>
      <c r="N179">
        <f t="shared" si="6"/>
        <v>3.3960531989175591E-3</v>
      </c>
      <c r="O179">
        <f>VLOOKUP(K179,RatingLookup!$A$2:$C$8,3,FALSE)</f>
        <v>0.6</v>
      </c>
      <c r="P179">
        <f t="shared" si="7"/>
        <v>0.87821935724008071</v>
      </c>
      <c r="Q179" t="str">
        <f t="shared" ca="1" si="8"/>
        <v>No</v>
      </c>
    </row>
    <row r="180" spans="1:17" x14ac:dyDescent="0.45">
      <c r="A180" t="s">
        <v>27</v>
      </c>
      <c r="B180" t="s">
        <v>28</v>
      </c>
      <c r="C180" t="s">
        <v>29</v>
      </c>
      <c r="D180" t="s">
        <v>20</v>
      </c>
      <c r="E180" t="s">
        <v>21</v>
      </c>
      <c r="F180" s="1">
        <v>45597</v>
      </c>
      <c r="G180">
        <v>5.52</v>
      </c>
      <c r="H180">
        <v>81.040099999999995</v>
      </c>
      <c r="I180">
        <v>20.2</v>
      </c>
      <c r="J180">
        <v>83.26</v>
      </c>
      <c r="K180" t="s">
        <v>31</v>
      </c>
      <c r="L180">
        <v>408.75</v>
      </c>
      <c r="M180">
        <f>VLOOKUP(K180,RatingLookup!$A$2:$C$8,2,FALSE)</f>
        <v>0.04</v>
      </c>
      <c r="N180">
        <f t="shared" si="6"/>
        <v>3.3960531989175591E-3</v>
      </c>
      <c r="O180">
        <f>VLOOKUP(K180,RatingLookup!$A$2:$C$8,3,FALSE)</f>
        <v>0.6</v>
      </c>
      <c r="P180">
        <f t="shared" si="7"/>
        <v>0.83288204703453139</v>
      </c>
      <c r="Q180" t="str">
        <f t="shared" ca="1" si="8"/>
        <v>No</v>
      </c>
    </row>
    <row r="181" spans="1:17" x14ac:dyDescent="0.45">
      <c r="A181" t="s">
        <v>27</v>
      </c>
      <c r="B181" t="s">
        <v>28</v>
      </c>
      <c r="C181" t="s">
        <v>29</v>
      </c>
      <c r="D181" t="s">
        <v>20</v>
      </c>
      <c r="E181" t="s">
        <v>21</v>
      </c>
      <c r="F181" s="1">
        <v>45627</v>
      </c>
      <c r="G181">
        <v>4.97</v>
      </c>
      <c r="H181">
        <v>82.408600000000007</v>
      </c>
      <c r="I181">
        <v>23.3</v>
      </c>
      <c r="J181">
        <v>80.17</v>
      </c>
      <c r="K181" t="s">
        <v>32</v>
      </c>
      <c r="L181">
        <v>404.36</v>
      </c>
      <c r="M181">
        <f>VLOOKUP(K181,RatingLookup!$A$2:$C$8,2,FALSE)</f>
        <v>0.12</v>
      </c>
      <c r="N181">
        <f t="shared" si="6"/>
        <v>1.0596241035318976E-2</v>
      </c>
      <c r="O181">
        <f>VLOOKUP(K181,RatingLookup!$A$2:$C$8,3,FALSE)</f>
        <v>0.7</v>
      </c>
      <c r="P181">
        <f t="shared" si="7"/>
        <v>2.999287217529107</v>
      </c>
      <c r="Q181" t="str">
        <f t="shared" ca="1" si="8"/>
        <v>No</v>
      </c>
    </row>
    <row r="182" spans="1:17" x14ac:dyDescent="0.45">
      <c r="A182" t="s">
        <v>33</v>
      </c>
      <c r="B182" t="s">
        <v>34</v>
      </c>
      <c r="C182" t="s">
        <v>35</v>
      </c>
      <c r="D182" t="s">
        <v>20</v>
      </c>
      <c r="E182" t="s">
        <v>21</v>
      </c>
      <c r="F182" s="1">
        <v>43831</v>
      </c>
      <c r="G182">
        <v>5.52</v>
      </c>
      <c r="H182">
        <v>84.073700000000002</v>
      </c>
      <c r="I182">
        <v>11.56</v>
      </c>
      <c r="J182">
        <v>78.64</v>
      </c>
      <c r="K182" t="s">
        <v>30</v>
      </c>
      <c r="L182">
        <v>1735.92</v>
      </c>
      <c r="M182">
        <f>VLOOKUP(K182,RatingLookup!$A$2:$C$8,2,FALSE)</f>
        <v>1.4999999999999999E-2</v>
      </c>
      <c r="N182">
        <f t="shared" si="6"/>
        <v>1.2586770182638762E-3</v>
      </c>
      <c r="O182">
        <f>VLOOKUP(K182,RatingLookup!$A$2:$C$8,3,FALSE)</f>
        <v>0.5</v>
      </c>
      <c r="P182">
        <f t="shared" si="7"/>
        <v>1.0924813047723141</v>
      </c>
      <c r="Q182" t="str">
        <f t="shared" ca="1" si="8"/>
        <v>No</v>
      </c>
    </row>
    <row r="183" spans="1:17" x14ac:dyDescent="0.45">
      <c r="A183" t="s">
        <v>33</v>
      </c>
      <c r="B183" t="s">
        <v>34</v>
      </c>
      <c r="C183" t="s">
        <v>35</v>
      </c>
      <c r="D183" t="s">
        <v>20</v>
      </c>
      <c r="E183" t="s">
        <v>21</v>
      </c>
      <c r="F183" s="1">
        <v>43862</v>
      </c>
      <c r="G183">
        <v>5.62</v>
      </c>
      <c r="H183">
        <v>79.233800000000002</v>
      </c>
      <c r="I183">
        <v>15.81</v>
      </c>
      <c r="J183">
        <v>78.25</v>
      </c>
      <c r="K183" t="s">
        <v>30</v>
      </c>
      <c r="L183">
        <v>1797.09</v>
      </c>
      <c r="M183">
        <f>VLOOKUP(K183,RatingLookup!$A$2:$C$8,2,FALSE)</f>
        <v>1.4999999999999999E-2</v>
      </c>
      <c r="N183">
        <f t="shared" si="6"/>
        <v>1.2586770182638762E-3</v>
      </c>
      <c r="O183">
        <f>VLOOKUP(K183,RatingLookup!$A$2:$C$8,3,FALSE)</f>
        <v>0.5</v>
      </c>
      <c r="P183">
        <f t="shared" si="7"/>
        <v>1.1309779413759147</v>
      </c>
      <c r="Q183" t="str">
        <f t="shared" ca="1" si="8"/>
        <v>No</v>
      </c>
    </row>
    <row r="184" spans="1:17" x14ac:dyDescent="0.45">
      <c r="A184" t="s">
        <v>33</v>
      </c>
      <c r="B184" t="s">
        <v>34</v>
      </c>
      <c r="C184" t="s">
        <v>35</v>
      </c>
      <c r="D184" t="s">
        <v>20</v>
      </c>
      <c r="E184" t="s">
        <v>21</v>
      </c>
      <c r="F184" s="1">
        <v>43891</v>
      </c>
      <c r="G184">
        <v>4.7699999999999996</v>
      </c>
      <c r="H184">
        <v>84.878699999999995</v>
      </c>
      <c r="I184">
        <v>15.94</v>
      </c>
      <c r="J184">
        <v>80.69</v>
      </c>
      <c r="K184" t="s">
        <v>30</v>
      </c>
      <c r="L184">
        <v>2018.66</v>
      </c>
      <c r="M184">
        <f>VLOOKUP(K184,RatingLookup!$A$2:$C$8,2,FALSE)</f>
        <v>1.4999999999999999E-2</v>
      </c>
      <c r="N184">
        <f t="shared" si="6"/>
        <v>1.2586770182638762E-3</v>
      </c>
      <c r="O184">
        <f>VLOOKUP(K184,RatingLookup!$A$2:$C$8,3,FALSE)</f>
        <v>0.5</v>
      </c>
      <c r="P184">
        <f t="shared" si="7"/>
        <v>1.2704204748442782</v>
      </c>
      <c r="Q184" t="str">
        <f t="shared" ca="1" si="8"/>
        <v>No</v>
      </c>
    </row>
    <row r="185" spans="1:17" x14ac:dyDescent="0.45">
      <c r="A185" t="s">
        <v>33</v>
      </c>
      <c r="B185" t="s">
        <v>34</v>
      </c>
      <c r="C185" t="s">
        <v>35</v>
      </c>
      <c r="D185" t="s">
        <v>20</v>
      </c>
      <c r="E185" t="s">
        <v>21</v>
      </c>
      <c r="F185" s="1">
        <v>43922</v>
      </c>
      <c r="G185">
        <v>5.91</v>
      </c>
      <c r="H185">
        <v>78.826099999999997</v>
      </c>
      <c r="I185">
        <v>19.46</v>
      </c>
      <c r="J185">
        <v>73.83</v>
      </c>
      <c r="K185" t="s">
        <v>30</v>
      </c>
      <c r="L185">
        <v>1784.71</v>
      </c>
      <c r="M185">
        <f>VLOOKUP(K185,RatingLookup!$A$2:$C$8,2,FALSE)</f>
        <v>1.4999999999999999E-2</v>
      </c>
      <c r="N185">
        <f t="shared" si="6"/>
        <v>1.2586770182638762E-3</v>
      </c>
      <c r="O185">
        <f>VLOOKUP(K185,RatingLookup!$A$2:$C$8,3,FALSE)</f>
        <v>0.5</v>
      </c>
      <c r="P185">
        <f t="shared" si="7"/>
        <v>1.1231867306328613</v>
      </c>
      <c r="Q185" t="str">
        <f t="shared" ca="1" si="8"/>
        <v>No</v>
      </c>
    </row>
    <row r="186" spans="1:17" x14ac:dyDescent="0.45">
      <c r="A186" t="s">
        <v>33</v>
      </c>
      <c r="B186" t="s">
        <v>34</v>
      </c>
      <c r="C186" t="s">
        <v>35</v>
      </c>
      <c r="D186" t="s">
        <v>20</v>
      </c>
      <c r="E186" t="s">
        <v>21</v>
      </c>
      <c r="F186" s="1">
        <v>43952</v>
      </c>
      <c r="G186">
        <v>6.54</v>
      </c>
      <c r="H186">
        <v>82.830500000000001</v>
      </c>
      <c r="I186">
        <v>20.010000000000002</v>
      </c>
      <c r="J186">
        <v>68.58</v>
      </c>
      <c r="K186" t="s">
        <v>30</v>
      </c>
      <c r="L186">
        <v>1714.58</v>
      </c>
      <c r="M186">
        <f>VLOOKUP(K186,RatingLookup!$A$2:$C$8,2,FALSE)</f>
        <v>1.4999999999999999E-2</v>
      </c>
      <c r="N186">
        <f t="shared" si="6"/>
        <v>1.2586770182638762E-3</v>
      </c>
      <c r="O186">
        <f>VLOOKUP(K186,RatingLookup!$A$2:$C$8,3,FALSE)</f>
        <v>0.5</v>
      </c>
      <c r="P186">
        <f t="shared" si="7"/>
        <v>1.0790512209874383</v>
      </c>
      <c r="Q186" t="str">
        <f t="shared" ca="1" si="8"/>
        <v>No</v>
      </c>
    </row>
    <row r="187" spans="1:17" x14ac:dyDescent="0.45">
      <c r="A187" t="s">
        <v>33</v>
      </c>
      <c r="B187" t="s">
        <v>34</v>
      </c>
      <c r="C187" t="s">
        <v>35</v>
      </c>
      <c r="D187" t="s">
        <v>20</v>
      </c>
      <c r="E187" t="s">
        <v>21</v>
      </c>
      <c r="F187" s="1">
        <v>43983</v>
      </c>
      <c r="G187">
        <v>5.48</v>
      </c>
      <c r="H187">
        <v>84.108599999999996</v>
      </c>
      <c r="I187">
        <v>23.21</v>
      </c>
      <c r="J187">
        <v>66.91</v>
      </c>
      <c r="K187" t="s">
        <v>30</v>
      </c>
      <c r="L187">
        <v>1845.33</v>
      </c>
      <c r="M187">
        <f>VLOOKUP(K187,RatingLookup!$A$2:$C$8,2,FALSE)</f>
        <v>1.4999999999999999E-2</v>
      </c>
      <c r="N187">
        <f t="shared" si="6"/>
        <v>1.2586770182638762E-3</v>
      </c>
      <c r="O187">
        <f>VLOOKUP(K187,RatingLookup!$A$2:$C$8,3,FALSE)</f>
        <v>0.5</v>
      </c>
      <c r="P187">
        <f t="shared" si="7"/>
        <v>1.1613372310564394</v>
      </c>
      <c r="Q187" t="str">
        <f t="shared" ca="1" si="8"/>
        <v>No</v>
      </c>
    </row>
    <row r="188" spans="1:17" x14ac:dyDescent="0.45">
      <c r="A188" t="s">
        <v>33</v>
      </c>
      <c r="B188" t="s">
        <v>34</v>
      </c>
      <c r="C188" t="s">
        <v>35</v>
      </c>
      <c r="D188" t="s">
        <v>20</v>
      </c>
      <c r="E188" t="s">
        <v>21</v>
      </c>
      <c r="F188" s="1">
        <v>44013</v>
      </c>
      <c r="G188">
        <v>6.1</v>
      </c>
      <c r="H188">
        <v>82.632599999999996</v>
      </c>
      <c r="I188">
        <v>10.96</v>
      </c>
      <c r="J188">
        <v>73.27</v>
      </c>
      <c r="K188" t="s">
        <v>30</v>
      </c>
      <c r="L188">
        <v>1950.9</v>
      </c>
      <c r="M188">
        <f>VLOOKUP(K188,RatingLookup!$A$2:$C$8,2,FALSE)</f>
        <v>1.4999999999999999E-2</v>
      </c>
      <c r="N188">
        <f t="shared" si="6"/>
        <v>1.2586770182638762E-3</v>
      </c>
      <c r="O188">
        <f>VLOOKUP(K188,RatingLookup!$A$2:$C$8,3,FALSE)</f>
        <v>0.5</v>
      </c>
      <c r="P188">
        <f t="shared" si="7"/>
        <v>1.2277764974654981</v>
      </c>
      <c r="Q188" t="str">
        <f t="shared" ca="1" si="8"/>
        <v>No</v>
      </c>
    </row>
    <row r="189" spans="1:17" x14ac:dyDescent="0.45">
      <c r="A189" t="s">
        <v>33</v>
      </c>
      <c r="B189" t="s">
        <v>34</v>
      </c>
      <c r="C189" t="s">
        <v>35</v>
      </c>
      <c r="D189" t="s">
        <v>20</v>
      </c>
      <c r="E189" t="s">
        <v>21</v>
      </c>
      <c r="F189" s="1">
        <v>44044</v>
      </c>
      <c r="G189">
        <v>5.65</v>
      </c>
      <c r="H189">
        <v>82.752499999999998</v>
      </c>
      <c r="I189">
        <v>16.96</v>
      </c>
      <c r="J189">
        <v>62.76</v>
      </c>
      <c r="K189" t="s">
        <v>22</v>
      </c>
      <c r="L189">
        <v>1929.64</v>
      </c>
      <c r="M189">
        <f>VLOOKUP(K189,RatingLookup!$A$2:$C$8,2,FALSE)</f>
        <v>5.0000000000000001E-3</v>
      </c>
      <c r="N189">
        <f t="shared" si="6"/>
        <v>4.1762458919303302E-4</v>
      </c>
      <c r="O189">
        <f>VLOOKUP(K189,RatingLookup!$A$2:$C$8,3,FALSE)</f>
        <v>0.45</v>
      </c>
      <c r="P189">
        <f t="shared" si="7"/>
        <v>0.36263930053069998</v>
      </c>
      <c r="Q189" t="str">
        <f t="shared" ca="1" si="8"/>
        <v>No</v>
      </c>
    </row>
    <row r="190" spans="1:17" x14ac:dyDescent="0.45">
      <c r="A190" t="s">
        <v>33</v>
      </c>
      <c r="B190" t="s">
        <v>34</v>
      </c>
      <c r="C190" t="s">
        <v>35</v>
      </c>
      <c r="D190" t="s">
        <v>20</v>
      </c>
      <c r="E190" t="s">
        <v>21</v>
      </c>
      <c r="F190" s="1">
        <v>44075</v>
      </c>
      <c r="G190">
        <v>6.43</v>
      </c>
      <c r="H190">
        <v>84.522999999999996</v>
      </c>
      <c r="I190">
        <v>22.28</v>
      </c>
      <c r="J190">
        <v>53.67</v>
      </c>
      <c r="K190" t="s">
        <v>22</v>
      </c>
      <c r="L190">
        <v>1944.03</v>
      </c>
      <c r="M190">
        <f>VLOOKUP(K190,RatingLookup!$A$2:$C$8,2,FALSE)</f>
        <v>5.0000000000000001E-3</v>
      </c>
      <c r="N190">
        <f t="shared" si="6"/>
        <v>4.1762458919303302E-4</v>
      </c>
      <c r="O190">
        <f>VLOOKUP(K190,RatingLookup!$A$2:$C$8,3,FALSE)</f>
        <v>0.45</v>
      </c>
      <c r="P190">
        <f t="shared" si="7"/>
        <v>0.36534362855801938</v>
      </c>
      <c r="Q190" t="str">
        <f t="shared" ca="1" si="8"/>
        <v>No</v>
      </c>
    </row>
    <row r="191" spans="1:17" x14ac:dyDescent="0.45">
      <c r="A191" t="s">
        <v>33</v>
      </c>
      <c r="B191" t="s">
        <v>34</v>
      </c>
      <c r="C191" t="s">
        <v>35</v>
      </c>
      <c r="D191" t="s">
        <v>20</v>
      </c>
      <c r="E191" t="s">
        <v>21</v>
      </c>
      <c r="F191" s="1">
        <v>44105</v>
      </c>
      <c r="G191">
        <v>5.55</v>
      </c>
      <c r="H191">
        <v>84.114599999999996</v>
      </c>
      <c r="I191">
        <v>24.91</v>
      </c>
      <c r="J191">
        <v>82.24</v>
      </c>
      <c r="K191" t="s">
        <v>22</v>
      </c>
      <c r="L191">
        <v>1877.92</v>
      </c>
      <c r="M191">
        <f>VLOOKUP(K191,RatingLookup!$A$2:$C$8,2,FALSE)</f>
        <v>5.0000000000000001E-3</v>
      </c>
      <c r="N191">
        <f t="shared" si="6"/>
        <v>4.1762458919303302E-4</v>
      </c>
      <c r="O191">
        <f>VLOOKUP(K191,RatingLookup!$A$2:$C$8,3,FALSE)</f>
        <v>0.45</v>
      </c>
      <c r="P191">
        <f t="shared" si="7"/>
        <v>0.3529195058418213</v>
      </c>
      <c r="Q191" t="str">
        <f t="shared" ca="1" si="8"/>
        <v>No</v>
      </c>
    </row>
    <row r="192" spans="1:17" x14ac:dyDescent="0.45">
      <c r="A192" t="s">
        <v>33</v>
      </c>
      <c r="B192" t="s">
        <v>34</v>
      </c>
      <c r="C192" t="s">
        <v>35</v>
      </c>
      <c r="D192" t="s">
        <v>20</v>
      </c>
      <c r="E192" t="s">
        <v>21</v>
      </c>
      <c r="F192" s="1">
        <v>44136</v>
      </c>
      <c r="G192">
        <v>5.33</v>
      </c>
      <c r="H192">
        <v>79.846000000000004</v>
      </c>
      <c r="I192">
        <v>25.46</v>
      </c>
      <c r="J192">
        <v>82.19</v>
      </c>
      <c r="K192" t="s">
        <v>22</v>
      </c>
      <c r="L192">
        <v>1794.94</v>
      </c>
      <c r="M192">
        <f>VLOOKUP(K192,RatingLookup!$A$2:$C$8,2,FALSE)</f>
        <v>5.0000000000000001E-3</v>
      </c>
      <c r="N192">
        <f t="shared" si="6"/>
        <v>4.1762458919303302E-4</v>
      </c>
      <c r="O192">
        <f>VLOOKUP(K192,RatingLookup!$A$2:$C$8,3,FALSE)</f>
        <v>0.45</v>
      </c>
      <c r="P192">
        <f t="shared" si="7"/>
        <v>0.33732498605676425</v>
      </c>
      <c r="Q192" t="str">
        <f t="shared" ca="1" si="8"/>
        <v>No</v>
      </c>
    </row>
    <row r="193" spans="1:17" x14ac:dyDescent="0.45">
      <c r="A193" t="s">
        <v>33</v>
      </c>
      <c r="B193" t="s">
        <v>34</v>
      </c>
      <c r="C193" t="s">
        <v>35</v>
      </c>
      <c r="D193" t="s">
        <v>20</v>
      </c>
      <c r="E193" t="s">
        <v>21</v>
      </c>
      <c r="F193" s="1">
        <v>44166</v>
      </c>
      <c r="G193">
        <v>5.29</v>
      </c>
      <c r="H193">
        <v>81.234999999999999</v>
      </c>
      <c r="I193">
        <v>15.75</v>
      </c>
      <c r="J193">
        <v>61.65</v>
      </c>
      <c r="K193" t="s">
        <v>22</v>
      </c>
      <c r="L193">
        <v>1692.64</v>
      </c>
      <c r="M193">
        <f>VLOOKUP(K193,RatingLookup!$A$2:$C$8,2,FALSE)</f>
        <v>5.0000000000000001E-3</v>
      </c>
      <c r="N193">
        <f t="shared" si="6"/>
        <v>4.1762458919303302E-4</v>
      </c>
      <c r="O193">
        <f>VLOOKUP(K193,RatingLookup!$A$2:$C$8,3,FALSE)</f>
        <v>0.45</v>
      </c>
      <c r="P193">
        <f t="shared" si="7"/>
        <v>0.31809963809326297</v>
      </c>
      <c r="Q193" t="str">
        <f t="shared" ca="1" si="8"/>
        <v>No</v>
      </c>
    </row>
    <row r="194" spans="1:17" x14ac:dyDescent="0.45">
      <c r="A194" t="s">
        <v>33</v>
      </c>
      <c r="B194" t="s">
        <v>34</v>
      </c>
      <c r="C194" t="s">
        <v>35</v>
      </c>
      <c r="D194" t="s">
        <v>20</v>
      </c>
      <c r="E194" t="s">
        <v>21</v>
      </c>
      <c r="F194" s="1">
        <v>44197</v>
      </c>
      <c r="G194">
        <v>5.18</v>
      </c>
      <c r="H194">
        <v>82.998599999999996</v>
      </c>
      <c r="I194">
        <v>22.65</v>
      </c>
      <c r="J194">
        <v>66.27</v>
      </c>
      <c r="K194" t="s">
        <v>22</v>
      </c>
      <c r="L194">
        <v>1840.12</v>
      </c>
      <c r="M194">
        <f>VLOOKUP(K194,RatingLookup!$A$2:$C$8,2,FALSE)</f>
        <v>5.0000000000000001E-3</v>
      </c>
      <c r="N194">
        <f t="shared" ref="N194:N257" si="9">1-(1-M194)^(1/12)</f>
        <v>4.1762458919303302E-4</v>
      </c>
      <c r="O194">
        <f>VLOOKUP(K194,RatingLookup!$A$2:$C$8,3,FALSE)</f>
        <v>0.45</v>
      </c>
      <c r="P194">
        <f t="shared" ref="P194:P257" si="10">L194*N194*O194</f>
        <v>0.3458157115796478</v>
      </c>
      <c r="Q194" t="str">
        <f t="shared" ref="Q194:Q257" ca="1" si="11">IF(RAND()&lt;N194,"Yes","No")</f>
        <v>No</v>
      </c>
    </row>
    <row r="195" spans="1:17" x14ac:dyDescent="0.45">
      <c r="A195" t="s">
        <v>33</v>
      </c>
      <c r="B195" t="s">
        <v>34</v>
      </c>
      <c r="C195" t="s">
        <v>35</v>
      </c>
      <c r="D195" t="s">
        <v>20</v>
      </c>
      <c r="E195" t="s">
        <v>21</v>
      </c>
      <c r="F195" s="1">
        <v>44228</v>
      </c>
      <c r="G195">
        <v>5.0999999999999996</v>
      </c>
      <c r="H195">
        <v>79.7791</v>
      </c>
      <c r="I195">
        <v>20.58</v>
      </c>
      <c r="J195">
        <v>86.98</v>
      </c>
      <c r="K195" t="s">
        <v>22</v>
      </c>
      <c r="L195">
        <v>1924.6</v>
      </c>
      <c r="M195">
        <f>VLOOKUP(K195,RatingLookup!$A$2:$C$8,2,FALSE)</f>
        <v>5.0000000000000001E-3</v>
      </c>
      <c r="N195">
        <f t="shared" si="9"/>
        <v>4.1762458919303302E-4</v>
      </c>
      <c r="O195">
        <f>VLOOKUP(K195,RatingLookup!$A$2:$C$8,3,FALSE)</f>
        <v>0.45</v>
      </c>
      <c r="P195">
        <f t="shared" si="10"/>
        <v>0.36169212796241007</v>
      </c>
      <c r="Q195" t="str">
        <f t="shared" ca="1" si="11"/>
        <v>No</v>
      </c>
    </row>
    <row r="196" spans="1:17" x14ac:dyDescent="0.45">
      <c r="A196" t="s">
        <v>33</v>
      </c>
      <c r="B196" t="s">
        <v>34</v>
      </c>
      <c r="C196" t="s">
        <v>35</v>
      </c>
      <c r="D196" t="s">
        <v>20</v>
      </c>
      <c r="E196" t="s">
        <v>21</v>
      </c>
      <c r="F196" s="1">
        <v>44256</v>
      </c>
      <c r="G196">
        <v>5.55</v>
      </c>
      <c r="H196">
        <v>85.546400000000006</v>
      </c>
      <c r="I196">
        <v>12.85</v>
      </c>
      <c r="J196">
        <v>73.37</v>
      </c>
      <c r="K196" t="s">
        <v>22</v>
      </c>
      <c r="L196">
        <v>1768.07</v>
      </c>
      <c r="M196">
        <f>VLOOKUP(K196,RatingLookup!$A$2:$C$8,2,FALSE)</f>
        <v>5.0000000000000001E-3</v>
      </c>
      <c r="N196">
        <f t="shared" si="9"/>
        <v>4.1762458919303302E-4</v>
      </c>
      <c r="O196">
        <f>VLOOKUP(K196,RatingLookup!$A$2:$C$8,3,FALSE)</f>
        <v>0.45</v>
      </c>
      <c r="P196">
        <f t="shared" si="10"/>
        <v>0.33227527833653669</v>
      </c>
      <c r="Q196" t="str">
        <f t="shared" ca="1" si="11"/>
        <v>No</v>
      </c>
    </row>
    <row r="197" spans="1:17" x14ac:dyDescent="0.45">
      <c r="A197" t="s">
        <v>33</v>
      </c>
      <c r="B197" t="s">
        <v>34</v>
      </c>
      <c r="C197" t="s">
        <v>35</v>
      </c>
      <c r="D197" t="s">
        <v>20</v>
      </c>
      <c r="E197" t="s">
        <v>21</v>
      </c>
      <c r="F197" s="1">
        <v>44287</v>
      </c>
      <c r="G197">
        <v>5.97</v>
      </c>
      <c r="H197">
        <v>83.844200000000001</v>
      </c>
      <c r="I197">
        <v>22.49</v>
      </c>
      <c r="J197">
        <v>67.430000000000007</v>
      </c>
      <c r="K197" t="s">
        <v>22</v>
      </c>
      <c r="L197">
        <v>1950.48</v>
      </c>
      <c r="M197">
        <f>VLOOKUP(K197,RatingLookup!$A$2:$C$8,2,FALSE)</f>
        <v>5.0000000000000001E-3</v>
      </c>
      <c r="N197">
        <f t="shared" si="9"/>
        <v>4.1762458919303302E-4</v>
      </c>
      <c r="O197">
        <f>VLOOKUP(K197,RatingLookup!$A$2:$C$8,3,FALSE)</f>
        <v>0.45</v>
      </c>
      <c r="P197">
        <f t="shared" si="10"/>
        <v>0.36655578392815219</v>
      </c>
      <c r="Q197" t="str">
        <f t="shared" ca="1" si="11"/>
        <v>No</v>
      </c>
    </row>
    <row r="198" spans="1:17" x14ac:dyDescent="0.45">
      <c r="A198" t="s">
        <v>33</v>
      </c>
      <c r="B198" t="s">
        <v>34</v>
      </c>
      <c r="C198" t="s">
        <v>35</v>
      </c>
      <c r="D198" t="s">
        <v>20</v>
      </c>
      <c r="E198" t="s">
        <v>21</v>
      </c>
      <c r="F198" s="1">
        <v>44317</v>
      </c>
      <c r="G198">
        <v>4.7</v>
      </c>
      <c r="H198">
        <v>82.280500000000004</v>
      </c>
      <c r="I198">
        <v>23.42</v>
      </c>
      <c r="J198">
        <v>85.36</v>
      </c>
      <c r="K198" t="s">
        <v>22</v>
      </c>
      <c r="L198">
        <v>1886.11</v>
      </c>
      <c r="M198">
        <f>VLOOKUP(K198,RatingLookup!$A$2:$C$8,2,FALSE)</f>
        <v>5.0000000000000001E-3</v>
      </c>
      <c r="N198">
        <f t="shared" si="9"/>
        <v>4.1762458919303302E-4</v>
      </c>
      <c r="O198">
        <f>VLOOKUP(K198,RatingLookup!$A$2:$C$8,3,FALSE)</f>
        <v>0.45</v>
      </c>
      <c r="P198">
        <f t="shared" si="10"/>
        <v>0.35445866126529219</v>
      </c>
      <c r="Q198" t="str">
        <f t="shared" ca="1" si="11"/>
        <v>No</v>
      </c>
    </row>
    <row r="199" spans="1:17" x14ac:dyDescent="0.45">
      <c r="A199" t="s">
        <v>33</v>
      </c>
      <c r="B199" t="s">
        <v>34</v>
      </c>
      <c r="C199" t="s">
        <v>35</v>
      </c>
      <c r="D199" t="s">
        <v>20</v>
      </c>
      <c r="E199" t="s">
        <v>21</v>
      </c>
      <c r="F199" s="1">
        <v>44348</v>
      </c>
      <c r="G199">
        <v>5.53</v>
      </c>
      <c r="H199">
        <v>86.557500000000005</v>
      </c>
      <c r="I199">
        <v>28.38</v>
      </c>
      <c r="J199">
        <v>80.989999999999995</v>
      </c>
      <c r="K199" t="s">
        <v>22</v>
      </c>
      <c r="L199">
        <v>1873.92</v>
      </c>
      <c r="M199">
        <f>VLOOKUP(K199,RatingLookup!$A$2:$C$8,2,FALSE)</f>
        <v>5.0000000000000001E-3</v>
      </c>
      <c r="N199">
        <f t="shared" si="9"/>
        <v>4.1762458919303302E-4</v>
      </c>
      <c r="O199">
        <f>VLOOKUP(K199,RatingLookup!$A$2:$C$8,3,FALSE)</f>
        <v>0.45</v>
      </c>
      <c r="P199">
        <f t="shared" si="10"/>
        <v>0.35216778158127382</v>
      </c>
      <c r="Q199" t="str">
        <f t="shared" ca="1" si="11"/>
        <v>No</v>
      </c>
    </row>
    <row r="200" spans="1:17" x14ac:dyDescent="0.45">
      <c r="A200" t="s">
        <v>33</v>
      </c>
      <c r="B200" t="s">
        <v>34</v>
      </c>
      <c r="C200" t="s">
        <v>35</v>
      </c>
      <c r="D200" t="s">
        <v>20</v>
      </c>
      <c r="E200" t="s">
        <v>21</v>
      </c>
      <c r="F200" s="1">
        <v>44378</v>
      </c>
      <c r="G200">
        <v>5.25</v>
      </c>
      <c r="H200">
        <v>83.681899999999999</v>
      </c>
      <c r="I200">
        <v>14.21</v>
      </c>
      <c r="J200">
        <v>54.56</v>
      </c>
      <c r="K200" t="s">
        <v>22</v>
      </c>
      <c r="L200">
        <v>1622.43</v>
      </c>
      <c r="M200">
        <f>VLOOKUP(K200,RatingLookup!$A$2:$C$8,2,FALSE)</f>
        <v>5.0000000000000001E-3</v>
      </c>
      <c r="N200">
        <f t="shared" si="9"/>
        <v>4.1762458919303302E-4</v>
      </c>
      <c r="O200">
        <f>VLOOKUP(K200,RatingLookup!$A$2:$C$8,3,FALSE)</f>
        <v>0.45</v>
      </c>
      <c r="P200">
        <f t="shared" si="10"/>
        <v>0.3049049980100037</v>
      </c>
      <c r="Q200" t="str">
        <f t="shared" ca="1" si="11"/>
        <v>No</v>
      </c>
    </row>
    <row r="201" spans="1:17" x14ac:dyDescent="0.45">
      <c r="A201" t="s">
        <v>33</v>
      </c>
      <c r="B201" t="s">
        <v>34</v>
      </c>
      <c r="C201" t="s">
        <v>35</v>
      </c>
      <c r="D201" t="s">
        <v>20</v>
      </c>
      <c r="E201" t="s">
        <v>21</v>
      </c>
      <c r="F201" s="1">
        <v>44409</v>
      </c>
      <c r="G201">
        <v>5.0199999999999996</v>
      </c>
      <c r="H201">
        <v>81.1631</v>
      </c>
      <c r="I201">
        <v>19.23</v>
      </c>
      <c r="J201">
        <v>74.16</v>
      </c>
      <c r="K201" t="s">
        <v>22</v>
      </c>
      <c r="L201">
        <v>1770.26</v>
      </c>
      <c r="M201">
        <f>VLOOKUP(K201,RatingLookup!$A$2:$C$8,2,FALSE)</f>
        <v>5.0000000000000001E-3</v>
      </c>
      <c r="N201">
        <f t="shared" si="9"/>
        <v>4.1762458919303302E-4</v>
      </c>
      <c r="O201">
        <f>VLOOKUP(K201,RatingLookup!$A$2:$C$8,3,FALSE)</f>
        <v>0.45</v>
      </c>
      <c r="P201">
        <f t="shared" si="10"/>
        <v>0.33268684736918641</v>
      </c>
      <c r="Q201" t="str">
        <f t="shared" ca="1" si="11"/>
        <v>No</v>
      </c>
    </row>
    <row r="202" spans="1:17" x14ac:dyDescent="0.45">
      <c r="A202" t="s">
        <v>33</v>
      </c>
      <c r="B202" t="s">
        <v>34</v>
      </c>
      <c r="C202" t="s">
        <v>35</v>
      </c>
      <c r="D202" t="s">
        <v>20</v>
      </c>
      <c r="E202" t="s">
        <v>21</v>
      </c>
      <c r="F202" s="1">
        <v>44440</v>
      </c>
      <c r="G202">
        <v>4.93</v>
      </c>
      <c r="H202">
        <v>80.016000000000005</v>
      </c>
      <c r="I202">
        <v>11.98</v>
      </c>
      <c r="J202">
        <v>57.63</v>
      </c>
      <c r="K202" t="s">
        <v>22</v>
      </c>
      <c r="L202">
        <v>1819.46</v>
      </c>
      <c r="M202">
        <f>VLOOKUP(K202,RatingLookup!$A$2:$C$8,2,FALSE)</f>
        <v>5.0000000000000001E-3</v>
      </c>
      <c r="N202">
        <f t="shared" si="9"/>
        <v>4.1762458919303302E-4</v>
      </c>
      <c r="O202">
        <f>VLOOKUP(K202,RatingLookup!$A$2:$C$8,3,FALSE)</f>
        <v>0.45</v>
      </c>
      <c r="P202">
        <f t="shared" si="10"/>
        <v>0.34193305577392014</v>
      </c>
      <c r="Q202" t="str">
        <f t="shared" ca="1" si="11"/>
        <v>No</v>
      </c>
    </row>
    <row r="203" spans="1:17" x14ac:dyDescent="0.45">
      <c r="A203" t="s">
        <v>33</v>
      </c>
      <c r="B203" t="s">
        <v>34</v>
      </c>
      <c r="C203" t="s">
        <v>35</v>
      </c>
      <c r="D203" t="s">
        <v>20</v>
      </c>
      <c r="E203" t="s">
        <v>21</v>
      </c>
      <c r="F203" s="1">
        <v>44470</v>
      </c>
      <c r="G203">
        <v>5.93</v>
      </c>
      <c r="H203">
        <v>82.742699999999999</v>
      </c>
      <c r="I203">
        <v>15.49</v>
      </c>
      <c r="J203">
        <v>57.62</v>
      </c>
      <c r="K203" t="s">
        <v>22</v>
      </c>
      <c r="L203">
        <v>1940.97</v>
      </c>
      <c r="M203">
        <f>VLOOKUP(K203,RatingLookup!$A$2:$C$8,2,FALSE)</f>
        <v>5.0000000000000001E-3</v>
      </c>
      <c r="N203">
        <f t="shared" si="9"/>
        <v>4.1762458919303302E-4</v>
      </c>
      <c r="O203">
        <f>VLOOKUP(K203,RatingLookup!$A$2:$C$8,3,FALSE)</f>
        <v>0.45</v>
      </c>
      <c r="P203">
        <f t="shared" si="10"/>
        <v>0.36476855949870063</v>
      </c>
      <c r="Q203" t="str">
        <f t="shared" ca="1" si="11"/>
        <v>No</v>
      </c>
    </row>
    <row r="204" spans="1:17" x14ac:dyDescent="0.45">
      <c r="A204" t="s">
        <v>33</v>
      </c>
      <c r="B204" t="s">
        <v>34</v>
      </c>
      <c r="C204" t="s">
        <v>35</v>
      </c>
      <c r="D204" t="s">
        <v>20</v>
      </c>
      <c r="E204" t="s">
        <v>21</v>
      </c>
      <c r="F204" s="1">
        <v>44501</v>
      </c>
      <c r="G204">
        <v>5.41</v>
      </c>
      <c r="H204">
        <v>81.847499999999997</v>
      </c>
      <c r="I204">
        <v>20.55</v>
      </c>
      <c r="J204">
        <v>94.1</v>
      </c>
      <c r="K204" t="s">
        <v>22</v>
      </c>
      <c r="L204">
        <v>1980.69</v>
      </c>
      <c r="M204">
        <f>VLOOKUP(K204,RatingLookup!$A$2:$C$8,2,FALSE)</f>
        <v>5.0000000000000001E-3</v>
      </c>
      <c r="N204">
        <f t="shared" si="9"/>
        <v>4.1762458919303302E-4</v>
      </c>
      <c r="O204">
        <f>VLOOKUP(K204,RatingLookup!$A$2:$C$8,3,FALSE)</f>
        <v>0.45</v>
      </c>
      <c r="P204">
        <f t="shared" si="10"/>
        <v>0.37223318140593686</v>
      </c>
      <c r="Q204" t="str">
        <f t="shared" ca="1" si="11"/>
        <v>No</v>
      </c>
    </row>
    <row r="205" spans="1:17" x14ac:dyDescent="0.45">
      <c r="A205" t="s">
        <v>33</v>
      </c>
      <c r="B205" t="s">
        <v>34</v>
      </c>
      <c r="C205" t="s">
        <v>35</v>
      </c>
      <c r="D205" t="s">
        <v>20</v>
      </c>
      <c r="E205" t="s">
        <v>21</v>
      </c>
      <c r="F205" s="1">
        <v>44531</v>
      </c>
      <c r="G205">
        <v>5.27</v>
      </c>
      <c r="H205">
        <v>83.480900000000005</v>
      </c>
      <c r="I205">
        <v>18.43</v>
      </c>
      <c r="J205">
        <v>81.760000000000005</v>
      </c>
      <c r="K205" t="s">
        <v>22</v>
      </c>
      <c r="L205">
        <v>1807.14</v>
      </c>
      <c r="M205">
        <f>VLOOKUP(K205,RatingLookup!$A$2:$C$8,2,FALSE)</f>
        <v>5.0000000000000001E-3</v>
      </c>
      <c r="N205">
        <f t="shared" si="9"/>
        <v>4.1762458919303302E-4</v>
      </c>
      <c r="O205">
        <f>VLOOKUP(K205,RatingLookup!$A$2:$C$8,3,FALSE)</f>
        <v>0.45</v>
      </c>
      <c r="P205">
        <f t="shared" si="10"/>
        <v>0.33961774505143399</v>
      </c>
      <c r="Q205" t="str">
        <f t="shared" ca="1" si="11"/>
        <v>No</v>
      </c>
    </row>
    <row r="206" spans="1:17" x14ac:dyDescent="0.45">
      <c r="A206" t="s">
        <v>33</v>
      </c>
      <c r="B206" t="s">
        <v>34</v>
      </c>
      <c r="C206" t="s">
        <v>35</v>
      </c>
      <c r="D206" t="s">
        <v>20</v>
      </c>
      <c r="E206" t="s">
        <v>21</v>
      </c>
      <c r="F206" s="1">
        <v>44562</v>
      </c>
      <c r="G206">
        <v>5.68</v>
      </c>
      <c r="H206">
        <v>82.151499999999999</v>
      </c>
      <c r="I206">
        <v>13.54</v>
      </c>
      <c r="J206">
        <v>75.760000000000005</v>
      </c>
      <c r="K206" t="s">
        <v>22</v>
      </c>
      <c r="L206">
        <v>1919.1</v>
      </c>
      <c r="M206">
        <f>VLOOKUP(K206,RatingLookup!$A$2:$C$8,2,FALSE)</f>
        <v>5.0000000000000001E-3</v>
      </c>
      <c r="N206">
        <f t="shared" si="9"/>
        <v>4.1762458919303302E-4</v>
      </c>
      <c r="O206">
        <f>VLOOKUP(K206,RatingLookup!$A$2:$C$8,3,FALSE)</f>
        <v>0.45</v>
      </c>
      <c r="P206">
        <f t="shared" si="10"/>
        <v>0.36065850710415737</v>
      </c>
      <c r="Q206" t="str">
        <f t="shared" ca="1" si="11"/>
        <v>No</v>
      </c>
    </row>
    <row r="207" spans="1:17" x14ac:dyDescent="0.45">
      <c r="A207" t="s">
        <v>33</v>
      </c>
      <c r="B207" t="s">
        <v>34</v>
      </c>
      <c r="C207" t="s">
        <v>35</v>
      </c>
      <c r="D207" t="s">
        <v>20</v>
      </c>
      <c r="E207" t="s">
        <v>21</v>
      </c>
      <c r="F207" s="1">
        <v>44593</v>
      </c>
      <c r="G207">
        <v>6.65</v>
      </c>
      <c r="H207">
        <v>85.030199999999994</v>
      </c>
      <c r="I207">
        <v>5</v>
      </c>
      <c r="J207">
        <v>79.89</v>
      </c>
      <c r="K207" t="s">
        <v>22</v>
      </c>
      <c r="L207">
        <v>2016.31</v>
      </c>
      <c r="M207">
        <f>VLOOKUP(K207,RatingLookup!$A$2:$C$8,2,FALSE)</f>
        <v>5.0000000000000001E-3</v>
      </c>
      <c r="N207">
        <f t="shared" si="9"/>
        <v>4.1762458919303302E-4</v>
      </c>
      <c r="O207">
        <f>VLOOKUP(K207,RatingLookup!$A$2:$C$8,3,FALSE)</f>
        <v>0.45</v>
      </c>
      <c r="P207">
        <f t="shared" si="10"/>
        <v>0.37892728594611202</v>
      </c>
      <c r="Q207" t="str">
        <f t="shared" ca="1" si="11"/>
        <v>No</v>
      </c>
    </row>
    <row r="208" spans="1:17" x14ac:dyDescent="0.45">
      <c r="A208" t="s">
        <v>33</v>
      </c>
      <c r="B208" t="s">
        <v>34</v>
      </c>
      <c r="C208" t="s">
        <v>35</v>
      </c>
      <c r="D208" t="s">
        <v>20</v>
      </c>
      <c r="E208" t="s">
        <v>21</v>
      </c>
      <c r="F208" s="1">
        <v>44621</v>
      </c>
      <c r="G208">
        <v>5.36</v>
      </c>
      <c r="H208">
        <v>85.395700000000005</v>
      </c>
      <c r="I208">
        <v>20.95</v>
      </c>
      <c r="J208">
        <v>68.760000000000005</v>
      </c>
      <c r="K208" t="s">
        <v>22</v>
      </c>
      <c r="L208">
        <v>1861.17</v>
      </c>
      <c r="M208">
        <f>VLOOKUP(K208,RatingLookup!$A$2:$C$8,2,FALSE)</f>
        <v>5.0000000000000001E-3</v>
      </c>
      <c r="N208">
        <f t="shared" si="9"/>
        <v>4.1762458919303302E-4</v>
      </c>
      <c r="O208">
        <f>VLOOKUP(K208,RatingLookup!$A$2:$C$8,3,FALSE)</f>
        <v>0.45</v>
      </c>
      <c r="P208">
        <f t="shared" si="10"/>
        <v>0.34977166050077879</v>
      </c>
      <c r="Q208" t="str">
        <f t="shared" ca="1" si="11"/>
        <v>No</v>
      </c>
    </row>
    <row r="209" spans="1:17" x14ac:dyDescent="0.45">
      <c r="A209" t="s">
        <v>33</v>
      </c>
      <c r="B209" t="s">
        <v>34</v>
      </c>
      <c r="C209" t="s">
        <v>35</v>
      </c>
      <c r="D209" t="s">
        <v>20</v>
      </c>
      <c r="E209" t="s">
        <v>21</v>
      </c>
      <c r="F209" s="1">
        <v>44652</v>
      </c>
      <c r="G209">
        <v>5.41</v>
      </c>
      <c r="H209">
        <v>80.433499999999995</v>
      </c>
      <c r="I209">
        <v>24.56</v>
      </c>
      <c r="J209">
        <v>74.680000000000007</v>
      </c>
      <c r="K209" t="s">
        <v>22</v>
      </c>
      <c r="L209">
        <v>1903.83</v>
      </c>
      <c r="M209">
        <f>VLOOKUP(K209,RatingLookup!$A$2:$C$8,2,FALSE)</f>
        <v>5.0000000000000001E-3</v>
      </c>
      <c r="N209">
        <f t="shared" si="9"/>
        <v>4.1762458919303302E-4</v>
      </c>
      <c r="O209">
        <f>VLOOKUP(K209,RatingLookup!$A$2:$C$8,3,FALSE)</f>
        <v>0.45</v>
      </c>
      <c r="P209">
        <f t="shared" si="10"/>
        <v>0.35778879973951744</v>
      </c>
      <c r="Q209" t="str">
        <f t="shared" ca="1" si="11"/>
        <v>No</v>
      </c>
    </row>
    <row r="210" spans="1:17" x14ac:dyDescent="0.45">
      <c r="A210" t="s">
        <v>33</v>
      </c>
      <c r="B210" t="s">
        <v>34</v>
      </c>
      <c r="C210" t="s">
        <v>35</v>
      </c>
      <c r="D210" t="s">
        <v>20</v>
      </c>
      <c r="E210" t="s">
        <v>21</v>
      </c>
      <c r="F210" s="1">
        <v>44682</v>
      </c>
      <c r="G210">
        <v>4.22</v>
      </c>
      <c r="H210">
        <v>82.468699999999998</v>
      </c>
      <c r="I210">
        <v>19.329999999999998</v>
      </c>
      <c r="J210">
        <v>88.46</v>
      </c>
      <c r="K210" t="s">
        <v>22</v>
      </c>
      <c r="L210">
        <v>1961.88</v>
      </c>
      <c r="M210">
        <f>VLOOKUP(K210,RatingLookup!$A$2:$C$8,2,FALSE)</f>
        <v>5.0000000000000001E-3</v>
      </c>
      <c r="N210">
        <f t="shared" si="9"/>
        <v>4.1762458919303302E-4</v>
      </c>
      <c r="O210">
        <f>VLOOKUP(K210,RatingLookup!$A$2:$C$8,3,FALSE)</f>
        <v>0.45</v>
      </c>
      <c r="P210">
        <f t="shared" si="10"/>
        <v>0.36869819807071241</v>
      </c>
      <c r="Q210" t="str">
        <f t="shared" ca="1" si="11"/>
        <v>No</v>
      </c>
    </row>
    <row r="211" spans="1:17" x14ac:dyDescent="0.45">
      <c r="A211" t="s">
        <v>33</v>
      </c>
      <c r="B211" t="s">
        <v>34</v>
      </c>
      <c r="C211" t="s">
        <v>35</v>
      </c>
      <c r="D211" t="s">
        <v>20</v>
      </c>
      <c r="E211" t="s">
        <v>21</v>
      </c>
      <c r="F211" s="1">
        <v>44713</v>
      </c>
      <c r="G211">
        <v>5.99</v>
      </c>
      <c r="H211">
        <v>80.144900000000007</v>
      </c>
      <c r="I211">
        <v>21.34</v>
      </c>
      <c r="J211">
        <v>93.73</v>
      </c>
      <c r="K211" t="s">
        <v>22</v>
      </c>
      <c r="L211">
        <v>1924.3</v>
      </c>
      <c r="M211">
        <f>VLOOKUP(K211,RatingLookup!$A$2:$C$8,2,FALSE)</f>
        <v>5.0000000000000001E-3</v>
      </c>
      <c r="N211">
        <f t="shared" si="9"/>
        <v>4.1762458919303302E-4</v>
      </c>
      <c r="O211">
        <f>VLOOKUP(K211,RatingLookup!$A$2:$C$8,3,FALSE)</f>
        <v>0.45</v>
      </c>
      <c r="P211">
        <f t="shared" si="10"/>
        <v>0.36163574864286907</v>
      </c>
      <c r="Q211" t="str">
        <f t="shared" ca="1" si="11"/>
        <v>No</v>
      </c>
    </row>
    <row r="212" spans="1:17" x14ac:dyDescent="0.45">
      <c r="A212" t="s">
        <v>33</v>
      </c>
      <c r="B212" t="s">
        <v>34</v>
      </c>
      <c r="C212" t="s">
        <v>35</v>
      </c>
      <c r="D212" t="s">
        <v>20</v>
      </c>
      <c r="E212" t="s">
        <v>21</v>
      </c>
      <c r="F212" s="1">
        <v>44743</v>
      </c>
      <c r="G212">
        <v>5.34</v>
      </c>
      <c r="H212">
        <v>80.857699999999994</v>
      </c>
      <c r="I212">
        <v>14.03</v>
      </c>
      <c r="J212">
        <v>62.84</v>
      </c>
      <c r="K212" t="s">
        <v>22</v>
      </c>
      <c r="L212">
        <v>1842.43</v>
      </c>
      <c r="M212">
        <f>VLOOKUP(K212,RatingLookup!$A$2:$C$8,2,FALSE)</f>
        <v>5.0000000000000001E-3</v>
      </c>
      <c r="N212">
        <f t="shared" si="9"/>
        <v>4.1762458919303302E-4</v>
      </c>
      <c r="O212">
        <f>VLOOKUP(K212,RatingLookup!$A$2:$C$8,3,FALSE)</f>
        <v>0.45</v>
      </c>
      <c r="P212">
        <f t="shared" si="10"/>
        <v>0.34624983234011397</v>
      </c>
      <c r="Q212" t="str">
        <f t="shared" ca="1" si="11"/>
        <v>No</v>
      </c>
    </row>
    <row r="213" spans="1:17" x14ac:dyDescent="0.45">
      <c r="A213" t="s">
        <v>33</v>
      </c>
      <c r="B213" t="s">
        <v>34</v>
      </c>
      <c r="C213" t="s">
        <v>35</v>
      </c>
      <c r="D213" t="s">
        <v>20</v>
      </c>
      <c r="E213" t="s">
        <v>21</v>
      </c>
      <c r="F213" s="1">
        <v>44774</v>
      </c>
      <c r="G213">
        <v>6.22</v>
      </c>
      <c r="H213">
        <v>82.302199999999999</v>
      </c>
      <c r="I213">
        <v>13.36</v>
      </c>
      <c r="J213">
        <v>72.83</v>
      </c>
      <c r="K213" t="s">
        <v>22</v>
      </c>
      <c r="L213">
        <v>1845.64</v>
      </c>
      <c r="M213">
        <f>VLOOKUP(K213,RatingLookup!$A$2:$C$8,2,FALSE)</f>
        <v>5.0000000000000001E-3</v>
      </c>
      <c r="N213">
        <f t="shared" si="9"/>
        <v>4.1762458919303302E-4</v>
      </c>
      <c r="O213">
        <f>VLOOKUP(K213,RatingLookup!$A$2:$C$8,3,FALSE)</f>
        <v>0.45</v>
      </c>
      <c r="P213">
        <f t="shared" si="10"/>
        <v>0.34685309105920331</v>
      </c>
      <c r="Q213" t="str">
        <f t="shared" ca="1" si="11"/>
        <v>No</v>
      </c>
    </row>
    <row r="214" spans="1:17" x14ac:dyDescent="0.45">
      <c r="A214" t="s">
        <v>33</v>
      </c>
      <c r="B214" t="s">
        <v>34</v>
      </c>
      <c r="C214" t="s">
        <v>35</v>
      </c>
      <c r="D214" t="s">
        <v>20</v>
      </c>
      <c r="E214" t="s">
        <v>21</v>
      </c>
      <c r="F214" s="1">
        <v>44805</v>
      </c>
      <c r="G214">
        <v>5.01</v>
      </c>
      <c r="H214">
        <v>84.975800000000007</v>
      </c>
      <c r="I214">
        <v>24.94</v>
      </c>
      <c r="J214">
        <v>64.39</v>
      </c>
      <c r="K214" t="s">
        <v>22</v>
      </c>
      <c r="L214">
        <v>1651.85</v>
      </c>
      <c r="M214">
        <f>VLOOKUP(K214,RatingLookup!$A$2:$C$8,2,FALSE)</f>
        <v>5.0000000000000001E-3</v>
      </c>
      <c r="N214">
        <f t="shared" si="9"/>
        <v>4.1762458919303302E-4</v>
      </c>
      <c r="O214">
        <f>VLOOKUP(K214,RatingLookup!$A$2:$C$8,3,FALSE)</f>
        <v>0.45</v>
      </c>
      <c r="P214">
        <f t="shared" si="10"/>
        <v>0.31043392994633023</v>
      </c>
      <c r="Q214" t="str">
        <f t="shared" ca="1" si="11"/>
        <v>No</v>
      </c>
    </row>
    <row r="215" spans="1:17" x14ac:dyDescent="0.45">
      <c r="A215" t="s">
        <v>33</v>
      </c>
      <c r="B215" t="s">
        <v>34</v>
      </c>
      <c r="C215" t="s">
        <v>35</v>
      </c>
      <c r="D215" t="s">
        <v>20</v>
      </c>
      <c r="E215" t="s">
        <v>21</v>
      </c>
      <c r="F215" s="1">
        <v>44835</v>
      </c>
      <c r="G215">
        <v>6.14</v>
      </c>
      <c r="H215">
        <v>78.745800000000003</v>
      </c>
      <c r="I215">
        <v>26.45</v>
      </c>
      <c r="J215">
        <v>103.74</v>
      </c>
      <c r="K215" t="s">
        <v>22</v>
      </c>
      <c r="L215">
        <v>1916.39</v>
      </c>
      <c r="M215">
        <f>VLOOKUP(K215,RatingLookup!$A$2:$C$8,2,FALSE)</f>
        <v>5.0000000000000001E-3</v>
      </c>
      <c r="N215">
        <f t="shared" si="9"/>
        <v>4.1762458919303302E-4</v>
      </c>
      <c r="O215">
        <f>VLOOKUP(K215,RatingLookup!$A$2:$C$8,3,FALSE)</f>
        <v>0.45</v>
      </c>
      <c r="P215">
        <f t="shared" si="10"/>
        <v>0.36014921391763643</v>
      </c>
      <c r="Q215" t="str">
        <f t="shared" ca="1" si="11"/>
        <v>No</v>
      </c>
    </row>
    <row r="216" spans="1:17" x14ac:dyDescent="0.45">
      <c r="A216" t="s">
        <v>33</v>
      </c>
      <c r="B216" t="s">
        <v>34</v>
      </c>
      <c r="C216" t="s">
        <v>35</v>
      </c>
      <c r="D216" t="s">
        <v>20</v>
      </c>
      <c r="E216" t="s">
        <v>21</v>
      </c>
      <c r="F216" s="1">
        <v>44866</v>
      </c>
      <c r="G216">
        <v>5.97</v>
      </c>
      <c r="H216">
        <v>84.099199999999996</v>
      </c>
      <c r="I216">
        <v>24.7</v>
      </c>
      <c r="J216">
        <v>72.12</v>
      </c>
      <c r="K216" t="s">
        <v>22</v>
      </c>
      <c r="L216">
        <v>1934.28</v>
      </c>
      <c r="M216">
        <f>VLOOKUP(K216,RatingLookup!$A$2:$C$8,2,FALSE)</f>
        <v>5.0000000000000001E-3</v>
      </c>
      <c r="N216">
        <f t="shared" si="9"/>
        <v>4.1762458919303302E-4</v>
      </c>
      <c r="O216">
        <f>VLOOKUP(K216,RatingLookup!$A$2:$C$8,3,FALSE)</f>
        <v>0.45</v>
      </c>
      <c r="P216">
        <f t="shared" si="10"/>
        <v>0.36351130067293497</v>
      </c>
      <c r="Q216" t="str">
        <f t="shared" ca="1" si="11"/>
        <v>No</v>
      </c>
    </row>
    <row r="217" spans="1:17" x14ac:dyDescent="0.45">
      <c r="A217" t="s">
        <v>33</v>
      </c>
      <c r="B217" t="s">
        <v>34</v>
      </c>
      <c r="C217" t="s">
        <v>35</v>
      </c>
      <c r="D217" t="s">
        <v>20</v>
      </c>
      <c r="E217" t="s">
        <v>21</v>
      </c>
      <c r="F217" s="1">
        <v>44896</v>
      </c>
      <c r="G217">
        <v>5.17</v>
      </c>
      <c r="H217">
        <v>83.618799999999993</v>
      </c>
      <c r="I217">
        <v>15</v>
      </c>
      <c r="J217">
        <v>82.4</v>
      </c>
      <c r="K217" t="s">
        <v>30</v>
      </c>
      <c r="L217">
        <v>1832.24</v>
      </c>
      <c r="M217">
        <f>VLOOKUP(K217,RatingLookup!$A$2:$C$8,2,FALSE)</f>
        <v>1.4999999999999999E-2</v>
      </c>
      <c r="N217">
        <f t="shared" si="9"/>
        <v>1.2586770182638762E-3</v>
      </c>
      <c r="O217">
        <f>VLOOKUP(K217,RatingLookup!$A$2:$C$8,3,FALSE)</f>
        <v>0.5</v>
      </c>
      <c r="P217">
        <f t="shared" si="10"/>
        <v>1.1530991899719023</v>
      </c>
      <c r="Q217" t="str">
        <f t="shared" ca="1" si="11"/>
        <v>No</v>
      </c>
    </row>
    <row r="218" spans="1:17" x14ac:dyDescent="0.45">
      <c r="A218" t="s">
        <v>33</v>
      </c>
      <c r="B218" t="s">
        <v>34</v>
      </c>
      <c r="C218" t="s">
        <v>35</v>
      </c>
      <c r="D218" t="s">
        <v>20</v>
      </c>
      <c r="E218" t="s">
        <v>21</v>
      </c>
      <c r="F218" s="1">
        <v>44927</v>
      </c>
      <c r="G218">
        <v>5.2</v>
      </c>
      <c r="H218">
        <v>84.116699999999994</v>
      </c>
      <c r="I218">
        <v>20.48</v>
      </c>
      <c r="J218">
        <v>77.849999999999994</v>
      </c>
      <c r="K218" t="s">
        <v>30</v>
      </c>
      <c r="L218">
        <v>1790.77</v>
      </c>
      <c r="M218">
        <f>VLOOKUP(K218,RatingLookup!$A$2:$C$8,2,FALSE)</f>
        <v>1.4999999999999999E-2</v>
      </c>
      <c r="N218">
        <f t="shared" si="9"/>
        <v>1.2586770182638762E-3</v>
      </c>
      <c r="O218">
        <f>VLOOKUP(K218,RatingLookup!$A$2:$C$8,3,FALSE)</f>
        <v>0.5</v>
      </c>
      <c r="P218">
        <f t="shared" si="10"/>
        <v>1.1270005219982009</v>
      </c>
      <c r="Q218" t="str">
        <f t="shared" ca="1" si="11"/>
        <v>No</v>
      </c>
    </row>
    <row r="219" spans="1:17" x14ac:dyDescent="0.45">
      <c r="A219" t="s">
        <v>33</v>
      </c>
      <c r="B219" t="s">
        <v>34</v>
      </c>
      <c r="C219" t="s">
        <v>35</v>
      </c>
      <c r="D219" t="s">
        <v>20</v>
      </c>
      <c r="E219" t="s">
        <v>21</v>
      </c>
      <c r="F219" s="1">
        <v>44958</v>
      </c>
      <c r="G219">
        <v>4.8899999999999997</v>
      </c>
      <c r="H219">
        <v>83.431799999999996</v>
      </c>
      <c r="I219">
        <v>23.13</v>
      </c>
      <c r="J219">
        <v>67.599999999999994</v>
      </c>
      <c r="K219" t="s">
        <v>30</v>
      </c>
      <c r="L219">
        <v>1831.28</v>
      </c>
      <c r="M219">
        <f>VLOOKUP(K219,RatingLookup!$A$2:$C$8,2,FALSE)</f>
        <v>1.4999999999999999E-2</v>
      </c>
      <c r="N219">
        <f t="shared" si="9"/>
        <v>1.2586770182638762E-3</v>
      </c>
      <c r="O219">
        <f>VLOOKUP(K219,RatingLookup!$A$2:$C$8,3,FALSE)</f>
        <v>0.5</v>
      </c>
      <c r="P219">
        <f t="shared" si="10"/>
        <v>1.1524950250031356</v>
      </c>
      <c r="Q219" t="str">
        <f t="shared" ca="1" si="11"/>
        <v>No</v>
      </c>
    </row>
    <row r="220" spans="1:17" x14ac:dyDescent="0.45">
      <c r="A220" t="s">
        <v>33</v>
      </c>
      <c r="B220" t="s">
        <v>34</v>
      </c>
      <c r="C220" t="s">
        <v>35</v>
      </c>
      <c r="D220" t="s">
        <v>20</v>
      </c>
      <c r="E220" t="s">
        <v>21</v>
      </c>
      <c r="F220" s="1">
        <v>44986</v>
      </c>
      <c r="G220">
        <v>4.53</v>
      </c>
      <c r="H220">
        <v>83.163899999999998</v>
      </c>
      <c r="I220">
        <v>15.17</v>
      </c>
      <c r="J220">
        <v>95.21</v>
      </c>
      <c r="K220" t="s">
        <v>30</v>
      </c>
      <c r="L220">
        <v>1936.5</v>
      </c>
      <c r="M220">
        <f>VLOOKUP(K220,RatingLookup!$A$2:$C$8,2,FALSE)</f>
        <v>1.4999999999999999E-2</v>
      </c>
      <c r="N220">
        <f t="shared" si="9"/>
        <v>1.2586770182638762E-3</v>
      </c>
      <c r="O220">
        <f>VLOOKUP(K220,RatingLookup!$A$2:$C$8,3,FALSE)</f>
        <v>0.5</v>
      </c>
      <c r="P220">
        <f t="shared" si="10"/>
        <v>1.2187140229339981</v>
      </c>
      <c r="Q220" t="str">
        <f t="shared" ca="1" si="11"/>
        <v>No</v>
      </c>
    </row>
    <row r="221" spans="1:17" x14ac:dyDescent="0.45">
      <c r="A221" t="s">
        <v>33</v>
      </c>
      <c r="B221" t="s">
        <v>34</v>
      </c>
      <c r="C221" t="s">
        <v>35</v>
      </c>
      <c r="D221" t="s">
        <v>20</v>
      </c>
      <c r="E221" t="s">
        <v>21</v>
      </c>
      <c r="F221" s="1">
        <v>45017</v>
      </c>
      <c r="G221">
        <v>5.75</v>
      </c>
      <c r="H221">
        <v>87.639700000000005</v>
      </c>
      <c r="I221">
        <v>9.0399999999999991</v>
      </c>
      <c r="J221">
        <v>86.86</v>
      </c>
      <c r="K221" t="s">
        <v>30</v>
      </c>
      <c r="L221">
        <v>1975.41</v>
      </c>
      <c r="M221">
        <f>VLOOKUP(K221,RatingLookup!$A$2:$C$8,2,FALSE)</f>
        <v>1.4999999999999999E-2</v>
      </c>
      <c r="N221">
        <f t="shared" si="9"/>
        <v>1.2586770182638762E-3</v>
      </c>
      <c r="O221">
        <f>VLOOKUP(K221,RatingLookup!$A$2:$C$8,3,FALSE)</f>
        <v>0.5</v>
      </c>
      <c r="P221">
        <f t="shared" si="10"/>
        <v>1.2432015843243218</v>
      </c>
      <c r="Q221" t="str">
        <f t="shared" ca="1" si="11"/>
        <v>No</v>
      </c>
    </row>
    <row r="222" spans="1:17" x14ac:dyDescent="0.45">
      <c r="A222" t="s">
        <v>33</v>
      </c>
      <c r="B222" t="s">
        <v>34</v>
      </c>
      <c r="C222" t="s">
        <v>35</v>
      </c>
      <c r="D222" t="s">
        <v>20</v>
      </c>
      <c r="E222" t="s">
        <v>21</v>
      </c>
      <c r="F222" s="1">
        <v>45047</v>
      </c>
      <c r="G222">
        <v>5.31</v>
      </c>
      <c r="H222">
        <v>81.1113</v>
      </c>
      <c r="I222">
        <v>21.62</v>
      </c>
      <c r="J222">
        <v>68.930000000000007</v>
      </c>
      <c r="K222" t="s">
        <v>30</v>
      </c>
      <c r="L222">
        <v>1896.57</v>
      </c>
      <c r="M222">
        <f>VLOOKUP(K222,RatingLookup!$A$2:$C$8,2,FALSE)</f>
        <v>1.4999999999999999E-2</v>
      </c>
      <c r="N222">
        <f t="shared" si="9"/>
        <v>1.2586770182638762E-3</v>
      </c>
      <c r="O222">
        <f>VLOOKUP(K222,RatingLookup!$A$2:$C$8,3,FALSE)</f>
        <v>0.5</v>
      </c>
      <c r="P222">
        <f t="shared" si="10"/>
        <v>1.1935845362643598</v>
      </c>
      <c r="Q222" t="str">
        <f t="shared" ca="1" si="11"/>
        <v>No</v>
      </c>
    </row>
    <row r="223" spans="1:17" x14ac:dyDescent="0.45">
      <c r="A223" t="s">
        <v>33</v>
      </c>
      <c r="B223" t="s">
        <v>34</v>
      </c>
      <c r="C223" t="s">
        <v>35</v>
      </c>
      <c r="D223" t="s">
        <v>20</v>
      </c>
      <c r="E223" t="s">
        <v>21</v>
      </c>
      <c r="F223" s="1">
        <v>45078</v>
      </c>
      <c r="G223">
        <v>5.14</v>
      </c>
      <c r="H223">
        <v>81.334100000000007</v>
      </c>
      <c r="I223">
        <v>17.670000000000002</v>
      </c>
      <c r="J223">
        <v>74.069999999999993</v>
      </c>
      <c r="K223" t="s">
        <v>30</v>
      </c>
      <c r="L223">
        <v>2064.4699999999998</v>
      </c>
      <c r="M223">
        <f>VLOOKUP(K223,RatingLookup!$A$2:$C$8,2,FALSE)</f>
        <v>1.4999999999999999E-2</v>
      </c>
      <c r="N223">
        <f t="shared" si="9"/>
        <v>1.2586770182638762E-3</v>
      </c>
      <c r="O223">
        <f>VLOOKUP(K223,RatingLookup!$A$2:$C$8,3,FALSE)</f>
        <v>0.5</v>
      </c>
      <c r="P223">
        <f t="shared" si="10"/>
        <v>1.2992504719476121</v>
      </c>
      <c r="Q223" t="str">
        <f t="shared" ca="1" si="11"/>
        <v>No</v>
      </c>
    </row>
    <row r="224" spans="1:17" x14ac:dyDescent="0.45">
      <c r="A224" t="s">
        <v>33</v>
      </c>
      <c r="B224" t="s">
        <v>34</v>
      </c>
      <c r="C224" t="s">
        <v>35</v>
      </c>
      <c r="D224" t="s">
        <v>20</v>
      </c>
      <c r="E224" t="s">
        <v>21</v>
      </c>
      <c r="F224" s="1">
        <v>45108</v>
      </c>
      <c r="G224">
        <v>5.67</v>
      </c>
      <c r="H224">
        <v>84.706400000000002</v>
      </c>
      <c r="I224">
        <v>16.559999999999999</v>
      </c>
      <c r="J224">
        <v>67.81</v>
      </c>
      <c r="K224" t="s">
        <v>22</v>
      </c>
      <c r="L224">
        <v>1801.11</v>
      </c>
      <c r="M224">
        <f>VLOOKUP(K224,RatingLookup!$A$2:$C$8,2,FALSE)</f>
        <v>5.0000000000000001E-3</v>
      </c>
      <c r="N224">
        <f t="shared" si="9"/>
        <v>4.1762458919303302E-4</v>
      </c>
      <c r="O224">
        <f>VLOOKUP(K224,RatingLookup!$A$2:$C$8,3,FALSE)</f>
        <v>0.45</v>
      </c>
      <c r="P224">
        <f t="shared" si="10"/>
        <v>0.33848452072865864</v>
      </c>
      <c r="Q224" t="str">
        <f t="shared" ca="1" si="11"/>
        <v>No</v>
      </c>
    </row>
    <row r="225" spans="1:17" x14ac:dyDescent="0.45">
      <c r="A225" t="s">
        <v>33</v>
      </c>
      <c r="B225" t="s">
        <v>34</v>
      </c>
      <c r="C225" t="s">
        <v>35</v>
      </c>
      <c r="D225" t="s">
        <v>20</v>
      </c>
      <c r="E225" t="s">
        <v>21</v>
      </c>
      <c r="F225" s="1">
        <v>45139</v>
      </c>
      <c r="G225">
        <v>5.15</v>
      </c>
      <c r="H225">
        <v>86.128900000000002</v>
      </c>
      <c r="I225">
        <v>16.600000000000001</v>
      </c>
      <c r="J225">
        <v>75.52</v>
      </c>
      <c r="K225" t="s">
        <v>22</v>
      </c>
      <c r="L225">
        <v>1924.52</v>
      </c>
      <c r="M225">
        <f>VLOOKUP(K225,RatingLookup!$A$2:$C$8,2,FALSE)</f>
        <v>5.0000000000000001E-3</v>
      </c>
      <c r="N225">
        <f t="shared" si="9"/>
        <v>4.1762458919303302E-4</v>
      </c>
      <c r="O225">
        <f>VLOOKUP(K225,RatingLookup!$A$2:$C$8,3,FALSE)</f>
        <v>0.45</v>
      </c>
      <c r="P225">
        <f t="shared" si="10"/>
        <v>0.36167709347719917</v>
      </c>
      <c r="Q225" t="str">
        <f t="shared" ca="1" si="11"/>
        <v>No</v>
      </c>
    </row>
    <row r="226" spans="1:17" x14ac:dyDescent="0.45">
      <c r="A226" t="s">
        <v>33</v>
      </c>
      <c r="B226" t="s">
        <v>34</v>
      </c>
      <c r="C226" t="s">
        <v>35</v>
      </c>
      <c r="D226" t="s">
        <v>20</v>
      </c>
      <c r="E226" t="s">
        <v>21</v>
      </c>
      <c r="F226" s="1">
        <v>45170</v>
      </c>
      <c r="G226">
        <v>5.82</v>
      </c>
      <c r="H226">
        <v>85.091899999999995</v>
      </c>
      <c r="I226">
        <v>24.9</v>
      </c>
      <c r="J226">
        <v>99.97</v>
      </c>
      <c r="K226" t="s">
        <v>22</v>
      </c>
      <c r="L226">
        <v>1984.51</v>
      </c>
      <c r="M226">
        <f>VLOOKUP(K226,RatingLookup!$A$2:$C$8,2,FALSE)</f>
        <v>5.0000000000000001E-3</v>
      </c>
      <c r="N226">
        <f t="shared" si="9"/>
        <v>4.1762458919303302E-4</v>
      </c>
      <c r="O226">
        <f>VLOOKUP(K226,RatingLookup!$A$2:$C$8,3,FALSE)</f>
        <v>0.45</v>
      </c>
      <c r="P226">
        <f t="shared" si="10"/>
        <v>0.37295107807475969</v>
      </c>
      <c r="Q226" t="str">
        <f t="shared" ca="1" si="11"/>
        <v>No</v>
      </c>
    </row>
    <row r="227" spans="1:17" x14ac:dyDescent="0.45">
      <c r="A227" t="s">
        <v>33</v>
      </c>
      <c r="B227" t="s">
        <v>34</v>
      </c>
      <c r="C227" t="s">
        <v>35</v>
      </c>
      <c r="D227" t="s">
        <v>20</v>
      </c>
      <c r="E227" t="s">
        <v>21</v>
      </c>
      <c r="F227" s="1">
        <v>45200</v>
      </c>
      <c r="G227">
        <v>6.84</v>
      </c>
      <c r="H227">
        <v>81.949100000000001</v>
      </c>
      <c r="I227">
        <v>17.21</v>
      </c>
      <c r="J227">
        <v>78.3</v>
      </c>
      <c r="K227" t="s">
        <v>22</v>
      </c>
      <c r="L227">
        <v>1910.53</v>
      </c>
      <c r="M227">
        <f>VLOOKUP(K227,RatingLookup!$A$2:$C$8,2,FALSE)</f>
        <v>5.0000000000000001E-3</v>
      </c>
      <c r="N227">
        <f t="shared" si="9"/>
        <v>4.1762458919303302E-4</v>
      </c>
      <c r="O227">
        <f>VLOOKUP(K227,RatingLookup!$A$2:$C$8,3,FALSE)</f>
        <v>0.45</v>
      </c>
      <c r="P227">
        <f t="shared" si="10"/>
        <v>0.35904793787593442</v>
      </c>
      <c r="Q227" t="str">
        <f t="shared" ca="1" si="11"/>
        <v>No</v>
      </c>
    </row>
    <row r="228" spans="1:17" x14ac:dyDescent="0.45">
      <c r="A228" t="s">
        <v>33</v>
      </c>
      <c r="B228" t="s">
        <v>34</v>
      </c>
      <c r="C228" t="s">
        <v>35</v>
      </c>
      <c r="D228" t="s">
        <v>20</v>
      </c>
      <c r="E228" t="s">
        <v>21</v>
      </c>
      <c r="F228" s="1">
        <v>45231</v>
      </c>
      <c r="G228">
        <v>6</v>
      </c>
      <c r="H228">
        <v>81.537899999999993</v>
      </c>
      <c r="I228">
        <v>22.85</v>
      </c>
      <c r="J228">
        <v>94.88</v>
      </c>
      <c r="K228" t="s">
        <v>22</v>
      </c>
      <c r="L228">
        <v>1900.01</v>
      </c>
      <c r="M228">
        <f>VLOOKUP(K228,RatingLookup!$A$2:$C$8,2,FALSE)</f>
        <v>5.0000000000000001E-3</v>
      </c>
      <c r="N228">
        <f t="shared" si="9"/>
        <v>4.1762458919303302E-4</v>
      </c>
      <c r="O228">
        <f>VLOOKUP(K228,RatingLookup!$A$2:$C$8,3,FALSE)</f>
        <v>0.45</v>
      </c>
      <c r="P228">
        <f t="shared" si="10"/>
        <v>0.35707090307069461</v>
      </c>
      <c r="Q228" t="str">
        <f t="shared" ca="1" si="11"/>
        <v>No</v>
      </c>
    </row>
    <row r="229" spans="1:17" x14ac:dyDescent="0.45">
      <c r="A229" t="s">
        <v>33</v>
      </c>
      <c r="B229" t="s">
        <v>34</v>
      </c>
      <c r="C229" t="s">
        <v>35</v>
      </c>
      <c r="D229" t="s">
        <v>20</v>
      </c>
      <c r="E229" t="s">
        <v>21</v>
      </c>
      <c r="F229" s="1">
        <v>45261</v>
      </c>
      <c r="G229">
        <v>5.98</v>
      </c>
      <c r="H229">
        <v>86.036600000000007</v>
      </c>
      <c r="I229">
        <v>19.63</v>
      </c>
      <c r="J229">
        <v>74.12</v>
      </c>
      <c r="K229" t="s">
        <v>22</v>
      </c>
      <c r="L229">
        <v>1779.82</v>
      </c>
      <c r="M229">
        <f>VLOOKUP(K229,RatingLookup!$A$2:$C$8,2,FALSE)</f>
        <v>5.0000000000000001E-3</v>
      </c>
      <c r="N229">
        <f t="shared" si="9"/>
        <v>4.1762458919303302E-4</v>
      </c>
      <c r="O229">
        <f>VLOOKUP(K229,RatingLookup!$A$2:$C$8,3,FALSE)</f>
        <v>0.45</v>
      </c>
      <c r="P229">
        <f t="shared" si="10"/>
        <v>0.3344834683518948</v>
      </c>
      <c r="Q229" t="str">
        <f t="shared" ca="1" si="11"/>
        <v>No</v>
      </c>
    </row>
    <row r="230" spans="1:17" x14ac:dyDescent="0.45">
      <c r="A230" t="s">
        <v>33</v>
      </c>
      <c r="B230" t="s">
        <v>34</v>
      </c>
      <c r="C230" t="s">
        <v>35</v>
      </c>
      <c r="D230" t="s">
        <v>20</v>
      </c>
      <c r="E230" t="s">
        <v>21</v>
      </c>
      <c r="F230" s="1">
        <v>45292</v>
      </c>
      <c r="G230">
        <v>6.62</v>
      </c>
      <c r="H230">
        <v>85.1083</v>
      </c>
      <c r="I230">
        <v>14.11</v>
      </c>
      <c r="J230">
        <v>72.650000000000006</v>
      </c>
      <c r="K230" t="s">
        <v>22</v>
      </c>
      <c r="L230">
        <v>2114.06</v>
      </c>
      <c r="M230">
        <f>VLOOKUP(K230,RatingLookup!$A$2:$C$8,2,FALSE)</f>
        <v>5.0000000000000001E-3</v>
      </c>
      <c r="N230">
        <f t="shared" si="9"/>
        <v>4.1762458919303302E-4</v>
      </c>
      <c r="O230">
        <f>VLOOKUP(K230,RatingLookup!$A$2:$C$8,3,FALSE)</f>
        <v>0.45</v>
      </c>
      <c r="P230">
        <f t="shared" si="10"/>
        <v>0.39729754756324054</v>
      </c>
      <c r="Q230" t="str">
        <f t="shared" ca="1" si="11"/>
        <v>No</v>
      </c>
    </row>
    <row r="231" spans="1:17" x14ac:dyDescent="0.45">
      <c r="A231" t="s">
        <v>33</v>
      </c>
      <c r="B231" t="s">
        <v>34</v>
      </c>
      <c r="C231" t="s">
        <v>35</v>
      </c>
      <c r="D231" t="s">
        <v>20</v>
      </c>
      <c r="E231" t="s">
        <v>21</v>
      </c>
      <c r="F231" s="1">
        <v>45323</v>
      </c>
      <c r="G231">
        <v>5.45</v>
      </c>
      <c r="H231">
        <v>81.685199999999995</v>
      </c>
      <c r="I231">
        <v>20.43</v>
      </c>
      <c r="J231">
        <v>79.14</v>
      </c>
      <c r="K231" t="s">
        <v>22</v>
      </c>
      <c r="L231">
        <v>2029.3</v>
      </c>
      <c r="M231">
        <f>VLOOKUP(K231,RatingLookup!$A$2:$C$8,2,FALSE)</f>
        <v>5.0000000000000001E-3</v>
      </c>
      <c r="N231">
        <f t="shared" si="9"/>
        <v>4.1762458919303302E-4</v>
      </c>
      <c r="O231">
        <f>VLOOKUP(K231,RatingLookup!$A$2:$C$8,3,FALSE)</f>
        <v>0.45</v>
      </c>
      <c r="P231">
        <f t="shared" si="10"/>
        <v>0.38136851048223985</v>
      </c>
      <c r="Q231" t="str">
        <f t="shared" ca="1" si="11"/>
        <v>No</v>
      </c>
    </row>
    <row r="232" spans="1:17" x14ac:dyDescent="0.45">
      <c r="A232" t="s">
        <v>33</v>
      </c>
      <c r="B232" t="s">
        <v>34</v>
      </c>
      <c r="C232" t="s">
        <v>35</v>
      </c>
      <c r="D232" t="s">
        <v>20</v>
      </c>
      <c r="E232" t="s">
        <v>21</v>
      </c>
      <c r="F232" s="1">
        <v>45352</v>
      </c>
      <c r="G232">
        <v>5.29</v>
      </c>
      <c r="H232">
        <v>82.112300000000005</v>
      </c>
      <c r="I232">
        <v>18.53</v>
      </c>
      <c r="J232">
        <v>86.35</v>
      </c>
      <c r="K232" t="s">
        <v>22</v>
      </c>
      <c r="L232">
        <v>2002.32</v>
      </c>
      <c r="M232">
        <f>VLOOKUP(K232,RatingLookup!$A$2:$C$8,2,FALSE)</f>
        <v>5.0000000000000001E-3</v>
      </c>
      <c r="N232">
        <f t="shared" si="9"/>
        <v>4.1762458919303302E-4</v>
      </c>
      <c r="O232">
        <f>VLOOKUP(K232,RatingLookup!$A$2:$C$8,3,FALSE)</f>
        <v>0.45</v>
      </c>
      <c r="P232">
        <f t="shared" si="10"/>
        <v>0.37629813034484727</v>
      </c>
      <c r="Q232" t="str">
        <f t="shared" ca="1" si="11"/>
        <v>No</v>
      </c>
    </row>
    <row r="233" spans="1:17" x14ac:dyDescent="0.45">
      <c r="A233" t="s">
        <v>33</v>
      </c>
      <c r="B233" t="s">
        <v>34</v>
      </c>
      <c r="C233" t="s">
        <v>35</v>
      </c>
      <c r="D233" t="s">
        <v>20</v>
      </c>
      <c r="E233" t="s">
        <v>21</v>
      </c>
      <c r="F233" s="1">
        <v>45383</v>
      </c>
      <c r="G233">
        <v>6.22</v>
      </c>
      <c r="H233">
        <v>84.838300000000004</v>
      </c>
      <c r="I233">
        <v>14.97</v>
      </c>
      <c r="J233">
        <v>78.02</v>
      </c>
      <c r="K233" t="s">
        <v>22</v>
      </c>
      <c r="L233">
        <v>1784.62</v>
      </c>
      <c r="M233">
        <f>VLOOKUP(K233,RatingLookup!$A$2:$C$8,2,FALSE)</f>
        <v>5.0000000000000001E-3</v>
      </c>
      <c r="N233">
        <f t="shared" si="9"/>
        <v>4.1762458919303302E-4</v>
      </c>
      <c r="O233">
        <f>VLOOKUP(K233,RatingLookup!$A$2:$C$8,3,FALSE)</f>
        <v>0.45</v>
      </c>
      <c r="P233">
        <f t="shared" si="10"/>
        <v>0.33538553746455174</v>
      </c>
      <c r="Q233" t="str">
        <f t="shared" ca="1" si="11"/>
        <v>No</v>
      </c>
    </row>
    <row r="234" spans="1:17" x14ac:dyDescent="0.45">
      <c r="A234" t="s">
        <v>33</v>
      </c>
      <c r="B234" t="s">
        <v>34</v>
      </c>
      <c r="C234" t="s">
        <v>35</v>
      </c>
      <c r="D234" t="s">
        <v>20</v>
      </c>
      <c r="E234" t="s">
        <v>21</v>
      </c>
      <c r="F234" s="1">
        <v>45413</v>
      </c>
      <c r="G234">
        <v>6.04</v>
      </c>
      <c r="H234">
        <v>82.501300000000001</v>
      </c>
      <c r="I234">
        <v>23.88</v>
      </c>
      <c r="J234">
        <v>82.26</v>
      </c>
      <c r="K234" t="s">
        <v>22</v>
      </c>
      <c r="L234">
        <v>1932.55</v>
      </c>
      <c r="M234">
        <f>VLOOKUP(K234,RatingLookup!$A$2:$C$8,2,FALSE)</f>
        <v>5.0000000000000001E-3</v>
      </c>
      <c r="N234">
        <f t="shared" si="9"/>
        <v>4.1762458919303302E-4</v>
      </c>
      <c r="O234">
        <f>VLOOKUP(K234,RatingLookup!$A$2:$C$8,3,FALSE)</f>
        <v>0.45</v>
      </c>
      <c r="P234">
        <f t="shared" si="10"/>
        <v>0.36318617993024815</v>
      </c>
      <c r="Q234" t="str">
        <f t="shared" ca="1" si="11"/>
        <v>No</v>
      </c>
    </row>
    <row r="235" spans="1:17" x14ac:dyDescent="0.45">
      <c r="A235" t="s">
        <v>33</v>
      </c>
      <c r="B235" t="s">
        <v>34</v>
      </c>
      <c r="C235" t="s">
        <v>35</v>
      </c>
      <c r="D235" t="s">
        <v>20</v>
      </c>
      <c r="E235" t="s">
        <v>21</v>
      </c>
      <c r="F235" s="1">
        <v>45444</v>
      </c>
      <c r="G235">
        <v>4.54</v>
      </c>
      <c r="H235">
        <v>81.653499999999994</v>
      </c>
      <c r="I235">
        <v>32.729999999999997</v>
      </c>
      <c r="J235">
        <v>67.42</v>
      </c>
      <c r="K235" t="s">
        <v>22</v>
      </c>
      <c r="L235">
        <v>1712.43</v>
      </c>
      <c r="M235">
        <f>VLOOKUP(K235,RatingLookup!$A$2:$C$8,2,FALSE)</f>
        <v>5.0000000000000001E-3</v>
      </c>
      <c r="N235">
        <f t="shared" si="9"/>
        <v>4.1762458919303302E-4</v>
      </c>
      <c r="O235">
        <f>VLOOKUP(K235,RatingLookup!$A$2:$C$8,3,FALSE)</f>
        <v>0.45</v>
      </c>
      <c r="P235">
        <f t="shared" si="10"/>
        <v>0.32181879387232154</v>
      </c>
      <c r="Q235" t="str">
        <f t="shared" ca="1" si="11"/>
        <v>No</v>
      </c>
    </row>
    <row r="236" spans="1:17" x14ac:dyDescent="0.45">
      <c r="A236" t="s">
        <v>33</v>
      </c>
      <c r="B236" t="s">
        <v>34</v>
      </c>
      <c r="C236" t="s">
        <v>35</v>
      </c>
      <c r="D236" t="s">
        <v>20</v>
      </c>
      <c r="E236" t="s">
        <v>21</v>
      </c>
      <c r="F236" s="1">
        <v>45474</v>
      </c>
      <c r="G236">
        <v>5.68</v>
      </c>
      <c r="H236">
        <v>83.8018</v>
      </c>
      <c r="I236">
        <v>17.22</v>
      </c>
      <c r="J236">
        <v>62.46</v>
      </c>
      <c r="K236" t="s">
        <v>22</v>
      </c>
      <c r="L236">
        <v>1819.1</v>
      </c>
      <c r="M236">
        <f>VLOOKUP(K236,RatingLookup!$A$2:$C$8,2,FALSE)</f>
        <v>5.0000000000000001E-3</v>
      </c>
      <c r="N236">
        <f t="shared" si="9"/>
        <v>4.1762458919303302E-4</v>
      </c>
      <c r="O236">
        <f>VLOOKUP(K236,RatingLookup!$A$2:$C$8,3,FALSE)</f>
        <v>0.45</v>
      </c>
      <c r="P236">
        <f t="shared" si="10"/>
        <v>0.34186540059047088</v>
      </c>
      <c r="Q236" t="str">
        <f t="shared" ca="1" si="11"/>
        <v>No</v>
      </c>
    </row>
    <row r="237" spans="1:17" x14ac:dyDescent="0.45">
      <c r="A237" t="s">
        <v>33</v>
      </c>
      <c r="B237" t="s">
        <v>34</v>
      </c>
      <c r="C237" t="s">
        <v>35</v>
      </c>
      <c r="D237" t="s">
        <v>20</v>
      </c>
      <c r="E237" t="s">
        <v>21</v>
      </c>
      <c r="F237" s="1">
        <v>45505</v>
      </c>
      <c r="G237">
        <v>5.31</v>
      </c>
      <c r="H237">
        <v>85.173299999999998</v>
      </c>
      <c r="I237">
        <v>15.61</v>
      </c>
      <c r="J237">
        <v>89</v>
      </c>
      <c r="K237" t="s">
        <v>22</v>
      </c>
      <c r="L237">
        <v>1903.13</v>
      </c>
      <c r="M237">
        <f>VLOOKUP(K237,RatingLookup!$A$2:$C$8,2,FALSE)</f>
        <v>5.0000000000000001E-3</v>
      </c>
      <c r="N237">
        <f t="shared" si="9"/>
        <v>4.1762458919303302E-4</v>
      </c>
      <c r="O237">
        <f>VLOOKUP(K237,RatingLookup!$A$2:$C$8,3,FALSE)</f>
        <v>0.45</v>
      </c>
      <c r="P237">
        <f t="shared" si="10"/>
        <v>0.35765724799392168</v>
      </c>
      <c r="Q237" t="str">
        <f t="shared" ca="1" si="11"/>
        <v>No</v>
      </c>
    </row>
    <row r="238" spans="1:17" x14ac:dyDescent="0.45">
      <c r="A238" t="s">
        <v>33</v>
      </c>
      <c r="B238" t="s">
        <v>34</v>
      </c>
      <c r="C238" t="s">
        <v>35</v>
      </c>
      <c r="D238" t="s">
        <v>20</v>
      </c>
      <c r="E238" t="s">
        <v>21</v>
      </c>
      <c r="F238" s="1">
        <v>45536</v>
      </c>
      <c r="G238">
        <v>5.24</v>
      </c>
      <c r="H238">
        <v>83.293199999999999</v>
      </c>
      <c r="I238">
        <v>17.36</v>
      </c>
      <c r="J238">
        <v>81.73</v>
      </c>
      <c r="K238" t="s">
        <v>22</v>
      </c>
      <c r="L238">
        <v>2037.15</v>
      </c>
      <c r="M238">
        <f>VLOOKUP(K238,RatingLookup!$A$2:$C$8,2,FALSE)</f>
        <v>5.0000000000000001E-3</v>
      </c>
      <c r="N238">
        <f t="shared" si="9"/>
        <v>4.1762458919303302E-4</v>
      </c>
      <c r="O238">
        <f>VLOOKUP(K238,RatingLookup!$A$2:$C$8,3,FALSE)</f>
        <v>0.45</v>
      </c>
      <c r="P238">
        <f t="shared" si="10"/>
        <v>0.38284376934356423</v>
      </c>
      <c r="Q238" t="str">
        <f t="shared" ca="1" si="11"/>
        <v>No</v>
      </c>
    </row>
    <row r="239" spans="1:17" x14ac:dyDescent="0.45">
      <c r="A239" t="s">
        <v>33</v>
      </c>
      <c r="B239" t="s">
        <v>34</v>
      </c>
      <c r="C239" t="s">
        <v>35</v>
      </c>
      <c r="D239" t="s">
        <v>20</v>
      </c>
      <c r="E239" t="s">
        <v>21</v>
      </c>
      <c r="F239" s="1">
        <v>45566</v>
      </c>
      <c r="G239">
        <v>5.45</v>
      </c>
      <c r="H239">
        <v>84.587900000000005</v>
      </c>
      <c r="I239">
        <v>21.23</v>
      </c>
      <c r="J239">
        <v>68.88</v>
      </c>
      <c r="K239" t="s">
        <v>22</v>
      </c>
      <c r="L239">
        <v>2047.88</v>
      </c>
      <c r="M239">
        <f>VLOOKUP(K239,RatingLookup!$A$2:$C$8,2,FALSE)</f>
        <v>5.0000000000000001E-3</v>
      </c>
      <c r="N239">
        <f t="shared" si="9"/>
        <v>4.1762458919303302E-4</v>
      </c>
      <c r="O239">
        <f>VLOOKUP(K239,RatingLookup!$A$2:$C$8,3,FALSE)</f>
        <v>0.45</v>
      </c>
      <c r="P239">
        <f t="shared" si="10"/>
        <v>0.38486026967248282</v>
      </c>
      <c r="Q239" t="str">
        <f t="shared" ca="1" si="11"/>
        <v>No</v>
      </c>
    </row>
    <row r="240" spans="1:17" x14ac:dyDescent="0.45">
      <c r="A240" t="s">
        <v>33</v>
      </c>
      <c r="B240" t="s">
        <v>34</v>
      </c>
      <c r="C240" t="s">
        <v>35</v>
      </c>
      <c r="D240" t="s">
        <v>20</v>
      </c>
      <c r="E240" t="s">
        <v>21</v>
      </c>
      <c r="F240" s="1">
        <v>45597</v>
      </c>
      <c r="G240">
        <v>5.91</v>
      </c>
      <c r="H240">
        <v>84.209199999999996</v>
      </c>
      <c r="I240">
        <v>16.899999999999999</v>
      </c>
      <c r="J240">
        <v>86.56</v>
      </c>
      <c r="K240" t="s">
        <v>22</v>
      </c>
      <c r="L240">
        <v>2075.56</v>
      </c>
      <c r="M240">
        <f>VLOOKUP(K240,RatingLookup!$A$2:$C$8,2,FALSE)</f>
        <v>5.0000000000000001E-3</v>
      </c>
      <c r="N240">
        <f t="shared" si="9"/>
        <v>4.1762458919303302E-4</v>
      </c>
      <c r="O240">
        <f>VLOOKUP(K240,RatingLookup!$A$2:$C$8,3,FALSE)</f>
        <v>0.45</v>
      </c>
      <c r="P240">
        <f t="shared" si="10"/>
        <v>0.39006220155547122</v>
      </c>
      <c r="Q240" t="str">
        <f t="shared" ca="1" si="11"/>
        <v>No</v>
      </c>
    </row>
    <row r="241" spans="1:17" x14ac:dyDescent="0.45">
      <c r="A241" t="s">
        <v>33</v>
      </c>
      <c r="B241" t="s">
        <v>34</v>
      </c>
      <c r="C241" t="s">
        <v>35</v>
      </c>
      <c r="D241" t="s">
        <v>20</v>
      </c>
      <c r="E241" t="s">
        <v>21</v>
      </c>
      <c r="F241" s="1">
        <v>45627</v>
      </c>
      <c r="G241">
        <v>5.86</v>
      </c>
      <c r="H241">
        <v>86.010099999999994</v>
      </c>
      <c r="I241">
        <v>32.369999999999997</v>
      </c>
      <c r="J241">
        <v>78.849999999999994</v>
      </c>
      <c r="K241" t="s">
        <v>22</v>
      </c>
      <c r="L241">
        <v>2055.84</v>
      </c>
      <c r="M241">
        <f>VLOOKUP(K241,RatingLookup!$A$2:$C$8,2,FALSE)</f>
        <v>5.0000000000000001E-3</v>
      </c>
      <c r="N241">
        <f t="shared" si="9"/>
        <v>4.1762458919303302E-4</v>
      </c>
      <c r="O241">
        <f>VLOOKUP(K241,RatingLookup!$A$2:$C$8,3,FALSE)</f>
        <v>0.45</v>
      </c>
      <c r="P241">
        <f t="shared" si="10"/>
        <v>0.38635620095097228</v>
      </c>
      <c r="Q241" t="str">
        <f t="shared" ca="1" si="11"/>
        <v>No</v>
      </c>
    </row>
    <row r="242" spans="1:17" x14ac:dyDescent="0.45">
      <c r="A242" t="s">
        <v>36</v>
      </c>
      <c r="B242" t="s">
        <v>37</v>
      </c>
      <c r="C242" t="s">
        <v>19</v>
      </c>
      <c r="D242" t="s">
        <v>20</v>
      </c>
      <c r="E242" t="s">
        <v>21</v>
      </c>
      <c r="F242" s="1">
        <v>43831</v>
      </c>
      <c r="G242">
        <v>6.57</v>
      </c>
      <c r="H242">
        <v>79.337000000000003</v>
      </c>
      <c r="I242">
        <v>22.85</v>
      </c>
      <c r="J242">
        <v>78.05</v>
      </c>
      <c r="K242" t="s">
        <v>30</v>
      </c>
      <c r="L242">
        <v>255.22</v>
      </c>
      <c r="M242">
        <f>VLOOKUP(K242,RatingLookup!$A$2:$C$8,2,FALSE)</f>
        <v>1.4999999999999999E-2</v>
      </c>
      <c r="N242">
        <f t="shared" si="9"/>
        <v>1.2586770182638762E-3</v>
      </c>
      <c r="O242">
        <f>VLOOKUP(K242,RatingLookup!$A$2:$C$8,3,FALSE)</f>
        <v>0.5</v>
      </c>
      <c r="P242">
        <f t="shared" si="10"/>
        <v>0.16061977430065325</v>
      </c>
      <c r="Q242" t="str">
        <f t="shared" ca="1" si="11"/>
        <v>No</v>
      </c>
    </row>
    <row r="243" spans="1:17" x14ac:dyDescent="0.45">
      <c r="A243" t="s">
        <v>36</v>
      </c>
      <c r="B243" t="s">
        <v>37</v>
      </c>
      <c r="C243" t="s">
        <v>19</v>
      </c>
      <c r="D243" t="s">
        <v>20</v>
      </c>
      <c r="E243" t="s">
        <v>21</v>
      </c>
      <c r="F243" s="1">
        <v>43862</v>
      </c>
      <c r="G243">
        <v>7.03</v>
      </c>
      <c r="H243">
        <v>81.266900000000007</v>
      </c>
      <c r="I243">
        <v>16.12</v>
      </c>
      <c r="J243">
        <v>88.41</v>
      </c>
      <c r="K243" t="s">
        <v>30</v>
      </c>
      <c r="L243">
        <v>264.79000000000002</v>
      </c>
      <c r="M243">
        <f>VLOOKUP(K243,RatingLookup!$A$2:$C$8,2,FALSE)</f>
        <v>1.4999999999999999E-2</v>
      </c>
      <c r="N243">
        <f t="shared" si="9"/>
        <v>1.2586770182638762E-3</v>
      </c>
      <c r="O243">
        <f>VLOOKUP(K243,RatingLookup!$A$2:$C$8,3,FALSE)</f>
        <v>0.5</v>
      </c>
      <c r="P243">
        <f t="shared" si="10"/>
        <v>0.16664254383304591</v>
      </c>
      <c r="Q243" t="str">
        <f t="shared" ca="1" si="11"/>
        <v>No</v>
      </c>
    </row>
    <row r="244" spans="1:17" x14ac:dyDescent="0.45">
      <c r="A244" t="s">
        <v>36</v>
      </c>
      <c r="B244" t="s">
        <v>37</v>
      </c>
      <c r="C244" t="s">
        <v>19</v>
      </c>
      <c r="D244" t="s">
        <v>20</v>
      </c>
      <c r="E244" t="s">
        <v>21</v>
      </c>
      <c r="F244" s="1">
        <v>43891</v>
      </c>
      <c r="G244">
        <v>5.69</v>
      </c>
      <c r="H244">
        <v>86.792299999999997</v>
      </c>
      <c r="I244">
        <v>13.02</v>
      </c>
      <c r="J244">
        <v>74.17</v>
      </c>
      <c r="K244" t="s">
        <v>30</v>
      </c>
      <c r="L244">
        <v>265.67</v>
      </c>
      <c r="M244">
        <f>VLOOKUP(K244,RatingLookup!$A$2:$C$8,2,FALSE)</f>
        <v>1.4999999999999999E-2</v>
      </c>
      <c r="N244">
        <f t="shared" si="9"/>
        <v>1.2586770182638762E-3</v>
      </c>
      <c r="O244">
        <f>VLOOKUP(K244,RatingLookup!$A$2:$C$8,3,FALSE)</f>
        <v>0.5</v>
      </c>
      <c r="P244">
        <f t="shared" si="10"/>
        <v>0.16719636172108202</v>
      </c>
      <c r="Q244" t="str">
        <f t="shared" ca="1" si="11"/>
        <v>No</v>
      </c>
    </row>
    <row r="245" spans="1:17" x14ac:dyDescent="0.45">
      <c r="A245" t="s">
        <v>36</v>
      </c>
      <c r="B245" t="s">
        <v>37</v>
      </c>
      <c r="C245" t="s">
        <v>19</v>
      </c>
      <c r="D245" t="s">
        <v>20</v>
      </c>
      <c r="E245" t="s">
        <v>21</v>
      </c>
      <c r="F245" s="1">
        <v>43922</v>
      </c>
      <c r="G245">
        <v>5.38</v>
      </c>
      <c r="H245">
        <v>85.399500000000003</v>
      </c>
      <c r="I245">
        <v>17.21</v>
      </c>
      <c r="J245">
        <v>73.61</v>
      </c>
      <c r="K245" t="s">
        <v>30</v>
      </c>
      <c r="L245">
        <v>247.51</v>
      </c>
      <c r="M245">
        <f>VLOOKUP(K245,RatingLookup!$A$2:$C$8,2,FALSE)</f>
        <v>1.4999999999999999E-2</v>
      </c>
      <c r="N245">
        <f t="shared" si="9"/>
        <v>1.2586770182638762E-3</v>
      </c>
      <c r="O245">
        <f>VLOOKUP(K245,RatingLookup!$A$2:$C$8,3,FALSE)</f>
        <v>0.5</v>
      </c>
      <c r="P245">
        <f t="shared" si="10"/>
        <v>0.15576757439524599</v>
      </c>
      <c r="Q245" t="str">
        <f t="shared" ca="1" si="11"/>
        <v>No</v>
      </c>
    </row>
    <row r="246" spans="1:17" x14ac:dyDescent="0.45">
      <c r="A246" t="s">
        <v>36</v>
      </c>
      <c r="B246" t="s">
        <v>37</v>
      </c>
      <c r="C246" t="s">
        <v>19</v>
      </c>
      <c r="D246" t="s">
        <v>20</v>
      </c>
      <c r="E246" t="s">
        <v>21</v>
      </c>
      <c r="F246" s="1">
        <v>43952</v>
      </c>
      <c r="G246">
        <v>5.55</v>
      </c>
      <c r="H246">
        <v>80.067499999999995</v>
      </c>
      <c r="I246">
        <v>19.649999999999999</v>
      </c>
      <c r="J246">
        <v>85.91</v>
      </c>
      <c r="K246" t="s">
        <v>30</v>
      </c>
      <c r="L246">
        <v>248.94</v>
      </c>
      <c r="M246">
        <f>VLOOKUP(K246,RatingLookup!$A$2:$C$8,2,FALSE)</f>
        <v>1.4999999999999999E-2</v>
      </c>
      <c r="N246">
        <f t="shared" si="9"/>
        <v>1.2586770182638762E-3</v>
      </c>
      <c r="O246">
        <f>VLOOKUP(K246,RatingLookup!$A$2:$C$8,3,FALSE)</f>
        <v>0.5</v>
      </c>
      <c r="P246">
        <f t="shared" si="10"/>
        <v>0.15666752846330467</v>
      </c>
      <c r="Q246" t="str">
        <f t="shared" ca="1" si="11"/>
        <v>No</v>
      </c>
    </row>
    <row r="247" spans="1:17" x14ac:dyDescent="0.45">
      <c r="A247" t="s">
        <v>36</v>
      </c>
      <c r="B247" t="s">
        <v>37</v>
      </c>
      <c r="C247" t="s">
        <v>19</v>
      </c>
      <c r="D247" t="s">
        <v>20</v>
      </c>
      <c r="E247" t="s">
        <v>21</v>
      </c>
      <c r="F247" s="1">
        <v>43983</v>
      </c>
      <c r="G247">
        <v>4.7</v>
      </c>
      <c r="H247">
        <v>81.202399999999997</v>
      </c>
      <c r="I247">
        <v>19.489999999999998</v>
      </c>
      <c r="J247">
        <v>72.78</v>
      </c>
      <c r="K247" t="s">
        <v>30</v>
      </c>
      <c r="L247">
        <v>255.46</v>
      </c>
      <c r="M247">
        <f>VLOOKUP(K247,RatingLookup!$A$2:$C$8,2,FALSE)</f>
        <v>1.4999999999999999E-2</v>
      </c>
      <c r="N247">
        <f t="shared" si="9"/>
        <v>1.2586770182638762E-3</v>
      </c>
      <c r="O247">
        <f>VLOOKUP(K247,RatingLookup!$A$2:$C$8,3,FALSE)</f>
        <v>0.5</v>
      </c>
      <c r="P247">
        <f t="shared" si="10"/>
        <v>0.16077081554284492</v>
      </c>
      <c r="Q247" t="str">
        <f t="shared" ca="1" si="11"/>
        <v>No</v>
      </c>
    </row>
    <row r="248" spans="1:17" x14ac:dyDescent="0.45">
      <c r="A248" t="s">
        <v>36</v>
      </c>
      <c r="B248" t="s">
        <v>37</v>
      </c>
      <c r="C248" t="s">
        <v>19</v>
      </c>
      <c r="D248" t="s">
        <v>20</v>
      </c>
      <c r="E248" t="s">
        <v>21</v>
      </c>
      <c r="F248" s="1">
        <v>44013</v>
      </c>
      <c r="G248">
        <v>4.74</v>
      </c>
      <c r="H248">
        <v>82.230599999999995</v>
      </c>
      <c r="I248">
        <v>15.69</v>
      </c>
      <c r="J248">
        <v>76.89</v>
      </c>
      <c r="K248" t="s">
        <v>30</v>
      </c>
      <c r="L248">
        <v>259.74</v>
      </c>
      <c r="M248">
        <f>VLOOKUP(K248,RatingLookup!$A$2:$C$8,2,FALSE)</f>
        <v>1.4999999999999999E-2</v>
      </c>
      <c r="N248">
        <f t="shared" si="9"/>
        <v>1.2586770182638762E-3</v>
      </c>
      <c r="O248">
        <f>VLOOKUP(K248,RatingLookup!$A$2:$C$8,3,FALSE)</f>
        <v>0.5</v>
      </c>
      <c r="P248">
        <f t="shared" si="10"/>
        <v>0.16346438436192962</v>
      </c>
      <c r="Q248" t="str">
        <f t="shared" ca="1" si="11"/>
        <v>No</v>
      </c>
    </row>
    <row r="249" spans="1:17" x14ac:dyDescent="0.45">
      <c r="A249" t="s">
        <v>36</v>
      </c>
      <c r="B249" t="s">
        <v>37</v>
      </c>
      <c r="C249" t="s">
        <v>19</v>
      </c>
      <c r="D249" t="s">
        <v>20</v>
      </c>
      <c r="E249" t="s">
        <v>21</v>
      </c>
      <c r="F249" s="1">
        <v>44044</v>
      </c>
      <c r="G249">
        <v>4.2300000000000004</v>
      </c>
      <c r="H249">
        <v>85.324100000000001</v>
      </c>
      <c r="I249">
        <v>15.15</v>
      </c>
      <c r="J249">
        <v>67.040000000000006</v>
      </c>
      <c r="K249" t="s">
        <v>30</v>
      </c>
      <c r="L249">
        <v>259.88</v>
      </c>
      <c r="M249">
        <f>VLOOKUP(K249,RatingLookup!$A$2:$C$8,2,FALSE)</f>
        <v>1.4999999999999999E-2</v>
      </c>
      <c r="N249">
        <f t="shared" si="9"/>
        <v>1.2586770182638762E-3</v>
      </c>
      <c r="O249">
        <f>VLOOKUP(K249,RatingLookup!$A$2:$C$8,3,FALSE)</f>
        <v>0.5</v>
      </c>
      <c r="P249">
        <f t="shared" si="10"/>
        <v>0.16355249175320807</v>
      </c>
      <c r="Q249" t="str">
        <f t="shared" ca="1" si="11"/>
        <v>No</v>
      </c>
    </row>
    <row r="250" spans="1:17" x14ac:dyDescent="0.45">
      <c r="A250" t="s">
        <v>36</v>
      </c>
      <c r="B250" t="s">
        <v>37</v>
      </c>
      <c r="C250" t="s">
        <v>19</v>
      </c>
      <c r="D250" t="s">
        <v>20</v>
      </c>
      <c r="E250" t="s">
        <v>21</v>
      </c>
      <c r="F250" s="1">
        <v>44075</v>
      </c>
      <c r="G250">
        <v>5.66</v>
      </c>
      <c r="H250">
        <v>85.055300000000003</v>
      </c>
      <c r="I250">
        <v>12.53</v>
      </c>
      <c r="J250">
        <v>77.22</v>
      </c>
      <c r="K250" t="s">
        <v>30</v>
      </c>
      <c r="L250">
        <v>243.6</v>
      </c>
      <c r="M250">
        <f>VLOOKUP(K250,RatingLookup!$A$2:$C$8,2,FALSE)</f>
        <v>1.4999999999999999E-2</v>
      </c>
      <c r="N250">
        <f t="shared" si="9"/>
        <v>1.2586770182638762E-3</v>
      </c>
      <c r="O250">
        <f>VLOOKUP(K250,RatingLookup!$A$2:$C$8,3,FALSE)</f>
        <v>0.5</v>
      </c>
      <c r="P250">
        <f t="shared" si="10"/>
        <v>0.15330686082454012</v>
      </c>
      <c r="Q250" t="str">
        <f t="shared" ca="1" si="11"/>
        <v>No</v>
      </c>
    </row>
    <row r="251" spans="1:17" x14ac:dyDescent="0.45">
      <c r="A251" t="s">
        <v>36</v>
      </c>
      <c r="B251" t="s">
        <v>37</v>
      </c>
      <c r="C251" t="s">
        <v>19</v>
      </c>
      <c r="D251" t="s">
        <v>20</v>
      </c>
      <c r="E251" t="s">
        <v>21</v>
      </c>
      <c r="F251" s="1">
        <v>44105</v>
      </c>
      <c r="G251">
        <v>5.56</v>
      </c>
      <c r="H251">
        <v>81.808700000000002</v>
      </c>
      <c r="I251">
        <v>22.6</v>
      </c>
      <c r="J251">
        <v>59.83</v>
      </c>
      <c r="K251" t="s">
        <v>30</v>
      </c>
      <c r="L251">
        <v>246.6</v>
      </c>
      <c r="M251">
        <f>VLOOKUP(K251,RatingLookup!$A$2:$C$8,2,FALSE)</f>
        <v>1.4999999999999999E-2</v>
      </c>
      <c r="N251">
        <f t="shared" si="9"/>
        <v>1.2586770182638762E-3</v>
      </c>
      <c r="O251">
        <f>VLOOKUP(K251,RatingLookup!$A$2:$C$8,3,FALSE)</f>
        <v>0.5</v>
      </c>
      <c r="P251">
        <f t="shared" si="10"/>
        <v>0.15519487635193593</v>
      </c>
      <c r="Q251" t="str">
        <f t="shared" ca="1" si="11"/>
        <v>No</v>
      </c>
    </row>
    <row r="252" spans="1:17" x14ac:dyDescent="0.45">
      <c r="A252" t="s">
        <v>36</v>
      </c>
      <c r="B252" t="s">
        <v>37</v>
      </c>
      <c r="C252" t="s">
        <v>19</v>
      </c>
      <c r="D252" t="s">
        <v>20</v>
      </c>
      <c r="E252" t="s">
        <v>21</v>
      </c>
      <c r="F252" s="1">
        <v>44136</v>
      </c>
      <c r="G252">
        <v>5.53</v>
      </c>
      <c r="H252">
        <v>82.072900000000004</v>
      </c>
      <c r="I252">
        <v>9.7799999999999994</v>
      </c>
      <c r="J252">
        <v>61.47</v>
      </c>
      <c r="K252" t="s">
        <v>30</v>
      </c>
      <c r="L252">
        <v>226.57</v>
      </c>
      <c r="M252">
        <f>VLOOKUP(K252,RatingLookup!$A$2:$C$8,2,FALSE)</f>
        <v>1.4999999999999999E-2</v>
      </c>
      <c r="N252">
        <f t="shared" si="9"/>
        <v>1.2586770182638762E-3</v>
      </c>
      <c r="O252">
        <f>VLOOKUP(K252,RatingLookup!$A$2:$C$8,3,FALSE)</f>
        <v>0.5</v>
      </c>
      <c r="P252">
        <f t="shared" si="10"/>
        <v>0.14258922601402321</v>
      </c>
      <c r="Q252" t="str">
        <f t="shared" ca="1" si="11"/>
        <v>No</v>
      </c>
    </row>
    <row r="253" spans="1:17" x14ac:dyDescent="0.45">
      <c r="A253" t="s">
        <v>36</v>
      </c>
      <c r="B253" t="s">
        <v>37</v>
      </c>
      <c r="C253" t="s">
        <v>19</v>
      </c>
      <c r="D253" t="s">
        <v>20</v>
      </c>
      <c r="E253" t="s">
        <v>21</v>
      </c>
      <c r="F253" s="1">
        <v>44166</v>
      </c>
      <c r="G253">
        <v>4.7699999999999996</v>
      </c>
      <c r="H253">
        <v>82.724699999999999</v>
      </c>
      <c r="I253">
        <v>13.55</v>
      </c>
      <c r="J253">
        <v>75.92</v>
      </c>
      <c r="K253" t="s">
        <v>30</v>
      </c>
      <c r="L253">
        <v>263.89999999999998</v>
      </c>
      <c r="M253">
        <f>VLOOKUP(K253,RatingLookup!$A$2:$C$8,2,FALSE)</f>
        <v>1.4999999999999999E-2</v>
      </c>
      <c r="N253">
        <f t="shared" si="9"/>
        <v>1.2586770182638762E-3</v>
      </c>
      <c r="O253">
        <f>VLOOKUP(K253,RatingLookup!$A$2:$C$8,3,FALSE)</f>
        <v>0.5</v>
      </c>
      <c r="P253">
        <f t="shared" si="10"/>
        <v>0.16608243255991845</v>
      </c>
      <c r="Q253" t="str">
        <f t="shared" ca="1" si="11"/>
        <v>No</v>
      </c>
    </row>
    <row r="254" spans="1:17" x14ac:dyDescent="0.45">
      <c r="A254" t="s">
        <v>36</v>
      </c>
      <c r="B254" t="s">
        <v>37</v>
      </c>
      <c r="C254" t="s">
        <v>19</v>
      </c>
      <c r="D254" t="s">
        <v>20</v>
      </c>
      <c r="E254" t="s">
        <v>21</v>
      </c>
      <c r="F254" s="1">
        <v>44197</v>
      </c>
      <c r="G254">
        <v>5.89</v>
      </c>
      <c r="H254">
        <v>81.013099999999994</v>
      </c>
      <c r="I254">
        <v>24.61</v>
      </c>
      <c r="J254">
        <v>71.53</v>
      </c>
      <c r="K254" t="s">
        <v>30</v>
      </c>
      <c r="L254">
        <v>248.19</v>
      </c>
      <c r="M254">
        <f>VLOOKUP(K254,RatingLookup!$A$2:$C$8,2,FALSE)</f>
        <v>1.4999999999999999E-2</v>
      </c>
      <c r="N254">
        <f t="shared" si="9"/>
        <v>1.2586770182638762E-3</v>
      </c>
      <c r="O254">
        <f>VLOOKUP(K254,RatingLookup!$A$2:$C$8,3,FALSE)</f>
        <v>0.5</v>
      </c>
      <c r="P254">
        <f t="shared" si="10"/>
        <v>0.15619552458145572</v>
      </c>
      <c r="Q254" t="str">
        <f t="shared" ca="1" si="11"/>
        <v>No</v>
      </c>
    </row>
    <row r="255" spans="1:17" x14ac:dyDescent="0.45">
      <c r="A255" t="s">
        <v>36</v>
      </c>
      <c r="B255" t="s">
        <v>37</v>
      </c>
      <c r="C255" t="s">
        <v>19</v>
      </c>
      <c r="D255" t="s">
        <v>20</v>
      </c>
      <c r="E255" t="s">
        <v>21</v>
      </c>
      <c r="F255" s="1">
        <v>44228</v>
      </c>
      <c r="G255">
        <v>5.83</v>
      </c>
      <c r="H255">
        <v>83.847300000000004</v>
      </c>
      <c r="I255">
        <v>15.21</v>
      </c>
      <c r="J255">
        <v>63.88</v>
      </c>
      <c r="K255" t="s">
        <v>30</v>
      </c>
      <c r="L255">
        <v>261.64</v>
      </c>
      <c r="M255">
        <f>VLOOKUP(K255,RatingLookup!$A$2:$C$8,2,FALSE)</f>
        <v>1.4999999999999999E-2</v>
      </c>
      <c r="N255">
        <f t="shared" si="9"/>
        <v>1.2586770182638762E-3</v>
      </c>
      <c r="O255">
        <f>VLOOKUP(K255,RatingLookup!$A$2:$C$8,3,FALSE)</f>
        <v>0.5</v>
      </c>
      <c r="P255">
        <f t="shared" si="10"/>
        <v>0.16466012752928028</v>
      </c>
      <c r="Q255" t="str">
        <f t="shared" ca="1" si="11"/>
        <v>No</v>
      </c>
    </row>
    <row r="256" spans="1:17" x14ac:dyDescent="0.45">
      <c r="A256" t="s">
        <v>36</v>
      </c>
      <c r="B256" t="s">
        <v>37</v>
      </c>
      <c r="C256" t="s">
        <v>19</v>
      </c>
      <c r="D256" t="s">
        <v>20</v>
      </c>
      <c r="E256" t="s">
        <v>21</v>
      </c>
      <c r="F256" s="1">
        <v>44256</v>
      </c>
      <c r="G256">
        <v>5.19</v>
      </c>
      <c r="H256">
        <v>83.691999999999993</v>
      </c>
      <c r="I256">
        <v>22.54</v>
      </c>
      <c r="J256">
        <v>84.95</v>
      </c>
      <c r="K256" t="s">
        <v>31</v>
      </c>
      <c r="L256">
        <v>239.82</v>
      </c>
      <c r="M256">
        <f>VLOOKUP(K256,RatingLookup!$A$2:$C$8,2,FALSE)</f>
        <v>0.04</v>
      </c>
      <c r="N256">
        <f t="shared" si="9"/>
        <v>3.3960531989175591E-3</v>
      </c>
      <c r="O256">
        <f>VLOOKUP(K256,RatingLookup!$A$2:$C$8,3,FALSE)</f>
        <v>0.6</v>
      </c>
      <c r="P256">
        <f t="shared" si="10"/>
        <v>0.4886648868986454</v>
      </c>
      <c r="Q256" t="str">
        <f t="shared" ca="1" si="11"/>
        <v>No</v>
      </c>
    </row>
    <row r="257" spans="1:17" x14ac:dyDescent="0.45">
      <c r="A257" t="s">
        <v>36</v>
      </c>
      <c r="B257" t="s">
        <v>37</v>
      </c>
      <c r="C257" t="s">
        <v>19</v>
      </c>
      <c r="D257" t="s">
        <v>20</v>
      </c>
      <c r="E257" t="s">
        <v>21</v>
      </c>
      <c r="F257" s="1">
        <v>44287</v>
      </c>
      <c r="G257">
        <v>4.78</v>
      </c>
      <c r="H257">
        <v>80.565299999999993</v>
      </c>
      <c r="I257">
        <v>21.03</v>
      </c>
      <c r="J257">
        <v>81.05</v>
      </c>
      <c r="K257" t="s">
        <v>31</v>
      </c>
      <c r="L257">
        <v>262.39</v>
      </c>
      <c r="M257">
        <f>VLOOKUP(K257,RatingLookup!$A$2:$C$8,2,FALSE)</f>
        <v>0.04</v>
      </c>
      <c r="N257">
        <f t="shared" si="9"/>
        <v>3.3960531989175591E-3</v>
      </c>
      <c r="O257">
        <f>VLOOKUP(K257,RatingLookup!$A$2:$C$8,3,FALSE)</f>
        <v>0.6</v>
      </c>
      <c r="P257">
        <f t="shared" si="10"/>
        <v>0.53465423931838696</v>
      </c>
      <c r="Q257" t="str">
        <f t="shared" ca="1" si="11"/>
        <v>No</v>
      </c>
    </row>
    <row r="258" spans="1:17" x14ac:dyDescent="0.45">
      <c r="A258" t="s">
        <v>36</v>
      </c>
      <c r="B258" t="s">
        <v>37</v>
      </c>
      <c r="C258" t="s">
        <v>19</v>
      </c>
      <c r="D258" t="s">
        <v>20</v>
      </c>
      <c r="E258" t="s">
        <v>21</v>
      </c>
      <c r="F258" s="1">
        <v>44317</v>
      </c>
      <c r="G258">
        <v>6.5</v>
      </c>
      <c r="H258">
        <v>86.224800000000002</v>
      </c>
      <c r="I258">
        <v>14.75</v>
      </c>
      <c r="J258">
        <v>55.62</v>
      </c>
      <c r="K258" t="s">
        <v>31</v>
      </c>
      <c r="L258">
        <v>244.05</v>
      </c>
      <c r="M258">
        <f>VLOOKUP(K258,RatingLookup!$A$2:$C$8,2,FALSE)</f>
        <v>0.04</v>
      </c>
      <c r="N258">
        <f t="shared" ref="N258:N321" si="12">1-(1-M258)^(1/12)</f>
        <v>3.3960531989175591E-3</v>
      </c>
      <c r="O258">
        <f>VLOOKUP(K258,RatingLookup!$A$2:$C$8,3,FALSE)</f>
        <v>0.6</v>
      </c>
      <c r="P258">
        <f t="shared" ref="P258:P321" si="13">L258*N258*O258</f>
        <v>0.49728406991749818</v>
      </c>
      <c r="Q258" t="str">
        <f t="shared" ref="Q258:Q321" ca="1" si="14">IF(RAND()&lt;N258,"Yes","No")</f>
        <v>No</v>
      </c>
    </row>
    <row r="259" spans="1:17" x14ac:dyDescent="0.45">
      <c r="A259" t="s">
        <v>36</v>
      </c>
      <c r="B259" t="s">
        <v>37</v>
      </c>
      <c r="C259" t="s">
        <v>19</v>
      </c>
      <c r="D259" t="s">
        <v>20</v>
      </c>
      <c r="E259" t="s">
        <v>21</v>
      </c>
      <c r="F259" s="1">
        <v>44348</v>
      </c>
      <c r="G259">
        <v>5.55</v>
      </c>
      <c r="H259">
        <v>82.387</v>
      </c>
      <c r="I259">
        <v>22.26</v>
      </c>
      <c r="J259">
        <v>78.87</v>
      </c>
      <c r="K259" t="s">
        <v>31</v>
      </c>
      <c r="L259">
        <v>248.01</v>
      </c>
      <c r="M259">
        <f>VLOOKUP(K259,RatingLookup!$A$2:$C$8,2,FALSE)</f>
        <v>0.04</v>
      </c>
      <c r="N259">
        <f t="shared" si="12"/>
        <v>3.3960531989175591E-3</v>
      </c>
      <c r="O259">
        <f>VLOOKUP(K259,RatingLookup!$A$2:$C$8,3,FALSE)</f>
        <v>0.6</v>
      </c>
      <c r="P259">
        <f t="shared" si="13"/>
        <v>0.5053530923181262</v>
      </c>
      <c r="Q259" t="str">
        <f t="shared" ca="1" si="14"/>
        <v>No</v>
      </c>
    </row>
    <row r="260" spans="1:17" x14ac:dyDescent="0.45">
      <c r="A260" t="s">
        <v>36</v>
      </c>
      <c r="B260" t="s">
        <v>37</v>
      </c>
      <c r="C260" t="s">
        <v>19</v>
      </c>
      <c r="D260" t="s">
        <v>20</v>
      </c>
      <c r="E260" t="s">
        <v>21</v>
      </c>
      <c r="F260" s="1">
        <v>44378</v>
      </c>
      <c r="G260">
        <v>7.45</v>
      </c>
      <c r="H260">
        <v>79.248900000000006</v>
      </c>
      <c r="I260">
        <v>7.47</v>
      </c>
      <c r="J260">
        <v>96.16</v>
      </c>
      <c r="K260" t="s">
        <v>31</v>
      </c>
      <c r="L260">
        <v>261.75</v>
      </c>
      <c r="M260">
        <f>VLOOKUP(K260,RatingLookup!$A$2:$C$8,2,FALSE)</f>
        <v>0.04</v>
      </c>
      <c r="N260">
        <f t="shared" si="12"/>
        <v>3.3960531989175591E-3</v>
      </c>
      <c r="O260">
        <f>VLOOKUP(K260,RatingLookup!$A$2:$C$8,3,FALSE)</f>
        <v>0.6</v>
      </c>
      <c r="P260">
        <f t="shared" si="13"/>
        <v>0.53335015489000259</v>
      </c>
      <c r="Q260" t="str">
        <f t="shared" ca="1" si="14"/>
        <v>No</v>
      </c>
    </row>
    <row r="261" spans="1:17" x14ac:dyDescent="0.45">
      <c r="A261" t="s">
        <v>36</v>
      </c>
      <c r="B261" t="s">
        <v>37</v>
      </c>
      <c r="C261" t="s">
        <v>19</v>
      </c>
      <c r="D261" t="s">
        <v>20</v>
      </c>
      <c r="E261" t="s">
        <v>21</v>
      </c>
      <c r="F261" s="1">
        <v>44409</v>
      </c>
      <c r="G261">
        <v>5.61</v>
      </c>
      <c r="H261">
        <v>82.113500000000002</v>
      </c>
      <c r="I261">
        <v>24.11</v>
      </c>
      <c r="J261">
        <v>98</v>
      </c>
      <c r="K261" t="s">
        <v>31</v>
      </c>
      <c r="L261">
        <v>237.79</v>
      </c>
      <c r="M261">
        <f>VLOOKUP(K261,RatingLookup!$A$2:$C$8,2,FALSE)</f>
        <v>0.04</v>
      </c>
      <c r="N261">
        <f t="shared" si="12"/>
        <v>3.3960531989175591E-3</v>
      </c>
      <c r="O261">
        <f>VLOOKUP(K261,RatingLookup!$A$2:$C$8,3,FALSE)</f>
        <v>0.6</v>
      </c>
      <c r="P261">
        <f t="shared" si="13"/>
        <v>0.48452849410236376</v>
      </c>
      <c r="Q261" t="str">
        <f t="shared" ca="1" si="14"/>
        <v>No</v>
      </c>
    </row>
    <row r="262" spans="1:17" x14ac:dyDescent="0.45">
      <c r="A262" t="s">
        <v>36</v>
      </c>
      <c r="B262" t="s">
        <v>37</v>
      </c>
      <c r="C262" t="s">
        <v>19</v>
      </c>
      <c r="D262" t="s">
        <v>20</v>
      </c>
      <c r="E262" t="s">
        <v>21</v>
      </c>
      <c r="F262" s="1">
        <v>44440</v>
      </c>
      <c r="G262">
        <v>5.6</v>
      </c>
      <c r="H262">
        <v>82.380700000000004</v>
      </c>
      <c r="I262">
        <v>10.09</v>
      </c>
      <c r="J262">
        <v>86.63</v>
      </c>
      <c r="K262" t="s">
        <v>31</v>
      </c>
      <c r="L262">
        <v>242.3</v>
      </c>
      <c r="M262">
        <f>VLOOKUP(K262,RatingLookup!$A$2:$C$8,2,FALSE)</f>
        <v>0.04</v>
      </c>
      <c r="N262">
        <f t="shared" si="12"/>
        <v>3.3960531989175591E-3</v>
      </c>
      <c r="O262">
        <f>VLOOKUP(K262,RatingLookup!$A$2:$C$8,3,FALSE)</f>
        <v>0.6</v>
      </c>
      <c r="P262">
        <f t="shared" si="13"/>
        <v>0.49371821405863475</v>
      </c>
      <c r="Q262" t="str">
        <f t="shared" ca="1" si="14"/>
        <v>No</v>
      </c>
    </row>
    <row r="263" spans="1:17" x14ac:dyDescent="0.45">
      <c r="A263" t="s">
        <v>36</v>
      </c>
      <c r="B263" t="s">
        <v>37</v>
      </c>
      <c r="C263" t="s">
        <v>19</v>
      </c>
      <c r="D263" t="s">
        <v>20</v>
      </c>
      <c r="E263" t="s">
        <v>21</v>
      </c>
      <c r="F263" s="1">
        <v>44470</v>
      </c>
      <c r="G263">
        <v>4.8499999999999996</v>
      </c>
      <c r="H263">
        <v>84.633600000000001</v>
      </c>
      <c r="I263">
        <v>23.15</v>
      </c>
      <c r="J263">
        <v>77.89</v>
      </c>
      <c r="K263" t="s">
        <v>31</v>
      </c>
      <c r="L263">
        <v>265.8</v>
      </c>
      <c r="M263">
        <f>VLOOKUP(K263,RatingLookup!$A$2:$C$8,2,FALSE)</f>
        <v>0.04</v>
      </c>
      <c r="N263">
        <f t="shared" si="12"/>
        <v>3.3960531989175591E-3</v>
      </c>
      <c r="O263">
        <f>VLOOKUP(K263,RatingLookup!$A$2:$C$8,3,FALSE)</f>
        <v>0.6</v>
      </c>
      <c r="P263">
        <f t="shared" si="13"/>
        <v>0.54160256416337227</v>
      </c>
      <c r="Q263" t="str">
        <f t="shared" ca="1" si="14"/>
        <v>No</v>
      </c>
    </row>
    <row r="264" spans="1:17" x14ac:dyDescent="0.45">
      <c r="A264" t="s">
        <v>36</v>
      </c>
      <c r="B264" t="s">
        <v>37</v>
      </c>
      <c r="C264" t="s">
        <v>19</v>
      </c>
      <c r="D264" t="s">
        <v>20</v>
      </c>
      <c r="E264" t="s">
        <v>21</v>
      </c>
      <c r="F264" s="1">
        <v>44501</v>
      </c>
      <c r="G264">
        <v>5.18</v>
      </c>
      <c r="H264">
        <v>84.975300000000004</v>
      </c>
      <c r="I264">
        <v>19.71</v>
      </c>
      <c r="J264">
        <v>94.46</v>
      </c>
      <c r="K264" t="s">
        <v>31</v>
      </c>
      <c r="L264">
        <v>250.16</v>
      </c>
      <c r="M264">
        <f>VLOOKUP(K264,RatingLookup!$A$2:$C$8,2,FALSE)</f>
        <v>0.04</v>
      </c>
      <c r="N264">
        <f t="shared" si="12"/>
        <v>3.3960531989175591E-3</v>
      </c>
      <c r="O264">
        <f>VLOOKUP(K264,RatingLookup!$A$2:$C$8,3,FALSE)</f>
        <v>0.6</v>
      </c>
      <c r="P264">
        <f t="shared" si="13"/>
        <v>0.50973400094472987</v>
      </c>
      <c r="Q264" t="str">
        <f t="shared" ca="1" si="14"/>
        <v>No</v>
      </c>
    </row>
    <row r="265" spans="1:17" x14ac:dyDescent="0.45">
      <c r="A265" t="s">
        <v>36</v>
      </c>
      <c r="B265" t="s">
        <v>37</v>
      </c>
      <c r="C265" t="s">
        <v>19</v>
      </c>
      <c r="D265" t="s">
        <v>20</v>
      </c>
      <c r="E265" t="s">
        <v>21</v>
      </c>
      <c r="F265" s="1">
        <v>44531</v>
      </c>
      <c r="G265">
        <v>5.29</v>
      </c>
      <c r="H265">
        <v>83.626800000000003</v>
      </c>
      <c r="I265">
        <v>21.38</v>
      </c>
      <c r="J265">
        <v>80.790000000000006</v>
      </c>
      <c r="K265" t="s">
        <v>31</v>
      </c>
      <c r="L265">
        <v>260.17</v>
      </c>
      <c r="M265">
        <f>VLOOKUP(K265,RatingLookup!$A$2:$C$8,2,FALSE)</f>
        <v>0.04</v>
      </c>
      <c r="N265">
        <f t="shared" si="12"/>
        <v>3.3960531989175591E-3</v>
      </c>
      <c r="O265">
        <f>VLOOKUP(K265,RatingLookup!$A$2:$C$8,3,FALSE)</f>
        <v>0.6</v>
      </c>
      <c r="P265">
        <f t="shared" si="13"/>
        <v>0.53013069645742883</v>
      </c>
      <c r="Q265" t="str">
        <f t="shared" ca="1" si="14"/>
        <v>No</v>
      </c>
    </row>
    <row r="266" spans="1:17" x14ac:dyDescent="0.45">
      <c r="A266" t="s">
        <v>36</v>
      </c>
      <c r="B266" t="s">
        <v>37</v>
      </c>
      <c r="C266" t="s">
        <v>19</v>
      </c>
      <c r="D266" t="s">
        <v>20</v>
      </c>
      <c r="E266" t="s">
        <v>21</v>
      </c>
      <c r="F266" s="1">
        <v>44562</v>
      </c>
      <c r="G266">
        <v>4.92</v>
      </c>
      <c r="H266">
        <v>84.917599999999993</v>
      </c>
      <c r="I266">
        <v>21.3</v>
      </c>
      <c r="J266">
        <v>58.84</v>
      </c>
      <c r="K266" t="s">
        <v>31</v>
      </c>
      <c r="L266">
        <v>265.63</v>
      </c>
      <c r="M266">
        <f>VLOOKUP(K266,RatingLookup!$A$2:$C$8,2,FALSE)</f>
        <v>0.04</v>
      </c>
      <c r="N266">
        <f t="shared" si="12"/>
        <v>3.3960531989175591E-3</v>
      </c>
      <c r="O266">
        <f>VLOOKUP(K266,RatingLookup!$A$2:$C$8,3,FALSE)</f>
        <v>0.6</v>
      </c>
      <c r="P266">
        <f t="shared" si="13"/>
        <v>0.54125616673708266</v>
      </c>
      <c r="Q266" t="str">
        <f t="shared" ca="1" si="14"/>
        <v>No</v>
      </c>
    </row>
    <row r="267" spans="1:17" x14ac:dyDescent="0.45">
      <c r="A267" t="s">
        <v>36</v>
      </c>
      <c r="B267" t="s">
        <v>37</v>
      </c>
      <c r="C267" t="s">
        <v>19</v>
      </c>
      <c r="D267" t="s">
        <v>20</v>
      </c>
      <c r="E267" t="s">
        <v>21</v>
      </c>
      <c r="F267" s="1">
        <v>44593</v>
      </c>
      <c r="G267">
        <v>6.63</v>
      </c>
      <c r="H267">
        <v>80.7102</v>
      </c>
      <c r="I267">
        <v>20.52</v>
      </c>
      <c r="J267">
        <v>72.77</v>
      </c>
      <c r="K267" t="s">
        <v>31</v>
      </c>
      <c r="L267">
        <v>259.35000000000002</v>
      </c>
      <c r="M267">
        <f>VLOOKUP(K267,RatingLookup!$A$2:$C$8,2,FALSE)</f>
        <v>0.04</v>
      </c>
      <c r="N267">
        <f t="shared" si="12"/>
        <v>3.3960531989175591E-3</v>
      </c>
      <c r="O267">
        <f>VLOOKUP(K267,RatingLookup!$A$2:$C$8,3,FALSE)</f>
        <v>0.6</v>
      </c>
      <c r="P267">
        <f t="shared" si="13"/>
        <v>0.52845983828356147</v>
      </c>
      <c r="Q267" t="str">
        <f t="shared" ca="1" si="14"/>
        <v>No</v>
      </c>
    </row>
    <row r="268" spans="1:17" x14ac:dyDescent="0.45">
      <c r="A268" t="s">
        <v>36</v>
      </c>
      <c r="B268" t="s">
        <v>37</v>
      </c>
      <c r="C268" t="s">
        <v>19</v>
      </c>
      <c r="D268" t="s">
        <v>20</v>
      </c>
      <c r="E268" t="s">
        <v>21</v>
      </c>
      <c r="F268" s="1">
        <v>44621</v>
      </c>
      <c r="G268">
        <v>6.09</v>
      </c>
      <c r="H268">
        <v>85.609300000000005</v>
      </c>
      <c r="I268">
        <v>21.08</v>
      </c>
      <c r="J268">
        <v>74.209999999999994</v>
      </c>
      <c r="K268" t="s">
        <v>31</v>
      </c>
      <c r="L268">
        <v>231.97</v>
      </c>
      <c r="M268">
        <f>VLOOKUP(K268,RatingLookup!$A$2:$C$8,2,FALSE)</f>
        <v>0.04</v>
      </c>
      <c r="N268">
        <f t="shared" si="12"/>
        <v>3.3960531989175591E-3</v>
      </c>
      <c r="O268">
        <f>VLOOKUP(K268,RatingLookup!$A$2:$C$8,3,FALSE)</f>
        <v>0.6</v>
      </c>
      <c r="P268">
        <f t="shared" si="13"/>
        <v>0.47266947633174367</v>
      </c>
      <c r="Q268" t="str">
        <f t="shared" ca="1" si="14"/>
        <v>No</v>
      </c>
    </row>
    <row r="269" spans="1:17" x14ac:dyDescent="0.45">
      <c r="A269" t="s">
        <v>36</v>
      </c>
      <c r="B269" t="s">
        <v>37</v>
      </c>
      <c r="C269" t="s">
        <v>19</v>
      </c>
      <c r="D269" t="s">
        <v>20</v>
      </c>
      <c r="E269" t="s">
        <v>21</v>
      </c>
      <c r="F269" s="1">
        <v>44652</v>
      </c>
      <c r="G269">
        <v>5.05</v>
      </c>
      <c r="H269">
        <v>82.688900000000004</v>
      </c>
      <c r="I269">
        <v>16.489999999999998</v>
      </c>
      <c r="J269">
        <v>79.42</v>
      </c>
      <c r="K269" t="s">
        <v>31</v>
      </c>
      <c r="L269">
        <v>266.63</v>
      </c>
      <c r="M269">
        <f>VLOOKUP(K269,RatingLookup!$A$2:$C$8,2,FALSE)</f>
        <v>0.04</v>
      </c>
      <c r="N269">
        <f t="shared" si="12"/>
        <v>3.3960531989175591E-3</v>
      </c>
      <c r="O269">
        <f>VLOOKUP(K269,RatingLookup!$A$2:$C$8,3,FALSE)</f>
        <v>0.6</v>
      </c>
      <c r="P269">
        <f t="shared" si="13"/>
        <v>0.54329379865643324</v>
      </c>
      <c r="Q269" t="str">
        <f t="shared" ca="1" si="14"/>
        <v>No</v>
      </c>
    </row>
    <row r="270" spans="1:17" x14ac:dyDescent="0.45">
      <c r="A270" t="s">
        <v>36</v>
      </c>
      <c r="B270" t="s">
        <v>37</v>
      </c>
      <c r="C270" t="s">
        <v>19</v>
      </c>
      <c r="D270" t="s">
        <v>20</v>
      </c>
      <c r="E270" t="s">
        <v>21</v>
      </c>
      <c r="F270" s="1">
        <v>44682</v>
      </c>
      <c r="G270">
        <v>5.26</v>
      </c>
      <c r="H270">
        <v>79.102800000000002</v>
      </c>
      <c r="I270">
        <v>14.35</v>
      </c>
      <c r="J270">
        <v>83.64</v>
      </c>
      <c r="K270" t="s">
        <v>31</v>
      </c>
      <c r="L270">
        <v>259.60000000000002</v>
      </c>
      <c r="M270">
        <f>VLOOKUP(K270,RatingLookup!$A$2:$C$8,2,FALSE)</f>
        <v>0.04</v>
      </c>
      <c r="N270">
        <f t="shared" si="12"/>
        <v>3.3960531989175591E-3</v>
      </c>
      <c r="O270">
        <f>VLOOKUP(K270,RatingLookup!$A$2:$C$8,3,FALSE)</f>
        <v>0.6</v>
      </c>
      <c r="P270">
        <f t="shared" si="13"/>
        <v>0.52896924626339903</v>
      </c>
      <c r="Q270" t="str">
        <f t="shared" ca="1" si="14"/>
        <v>No</v>
      </c>
    </row>
    <row r="271" spans="1:17" x14ac:dyDescent="0.45">
      <c r="A271" t="s">
        <v>36</v>
      </c>
      <c r="B271" t="s">
        <v>37</v>
      </c>
      <c r="C271" t="s">
        <v>19</v>
      </c>
      <c r="D271" t="s">
        <v>20</v>
      </c>
      <c r="E271" t="s">
        <v>21</v>
      </c>
      <c r="F271" s="1">
        <v>44713</v>
      </c>
      <c r="G271">
        <v>5.74</v>
      </c>
      <c r="H271">
        <v>87.710400000000007</v>
      </c>
      <c r="I271">
        <v>23.49</v>
      </c>
      <c r="J271">
        <v>52.67</v>
      </c>
      <c r="K271" t="s">
        <v>31</v>
      </c>
      <c r="L271">
        <v>274.45</v>
      </c>
      <c r="M271">
        <f>VLOOKUP(K271,RatingLookup!$A$2:$C$8,2,FALSE)</f>
        <v>0.04</v>
      </c>
      <c r="N271">
        <f t="shared" si="12"/>
        <v>3.3960531989175591E-3</v>
      </c>
      <c r="O271">
        <f>VLOOKUP(K271,RatingLookup!$A$2:$C$8,3,FALSE)</f>
        <v>0.6</v>
      </c>
      <c r="P271">
        <f t="shared" si="13"/>
        <v>0.55922808026575443</v>
      </c>
      <c r="Q271" t="str">
        <f t="shared" ca="1" si="14"/>
        <v>No</v>
      </c>
    </row>
    <row r="272" spans="1:17" x14ac:dyDescent="0.45">
      <c r="A272" t="s">
        <v>36</v>
      </c>
      <c r="B272" t="s">
        <v>37</v>
      </c>
      <c r="C272" t="s">
        <v>19</v>
      </c>
      <c r="D272" t="s">
        <v>20</v>
      </c>
      <c r="E272" t="s">
        <v>21</v>
      </c>
      <c r="F272" s="1">
        <v>44743</v>
      </c>
      <c r="G272">
        <v>5.81</v>
      </c>
      <c r="H272">
        <v>78.254499999999993</v>
      </c>
      <c r="I272">
        <v>14.43</v>
      </c>
      <c r="J272">
        <v>93.57</v>
      </c>
      <c r="K272" t="s">
        <v>31</v>
      </c>
      <c r="L272">
        <v>257.76</v>
      </c>
      <c r="M272">
        <f>VLOOKUP(K272,RatingLookup!$A$2:$C$8,2,FALSE)</f>
        <v>0.04</v>
      </c>
      <c r="N272">
        <f t="shared" si="12"/>
        <v>3.3960531989175591E-3</v>
      </c>
      <c r="O272">
        <f>VLOOKUP(K272,RatingLookup!$A$2:$C$8,3,FALSE)</f>
        <v>0.6</v>
      </c>
      <c r="P272">
        <f t="shared" si="13"/>
        <v>0.52522000353179399</v>
      </c>
      <c r="Q272" t="str">
        <f t="shared" ca="1" si="14"/>
        <v>No</v>
      </c>
    </row>
    <row r="273" spans="1:17" x14ac:dyDescent="0.45">
      <c r="A273" t="s">
        <v>36</v>
      </c>
      <c r="B273" t="s">
        <v>37</v>
      </c>
      <c r="C273" t="s">
        <v>19</v>
      </c>
      <c r="D273" t="s">
        <v>20</v>
      </c>
      <c r="E273" t="s">
        <v>21</v>
      </c>
      <c r="F273" s="1">
        <v>44774</v>
      </c>
      <c r="G273">
        <v>5.99</v>
      </c>
      <c r="H273">
        <v>84.387</v>
      </c>
      <c r="I273">
        <v>24.2</v>
      </c>
      <c r="J273">
        <v>86.95</v>
      </c>
      <c r="K273" t="s">
        <v>31</v>
      </c>
      <c r="L273">
        <v>253.2</v>
      </c>
      <c r="M273">
        <f>VLOOKUP(K273,RatingLookup!$A$2:$C$8,2,FALSE)</f>
        <v>0.04</v>
      </c>
      <c r="N273">
        <f t="shared" si="12"/>
        <v>3.3960531989175591E-3</v>
      </c>
      <c r="O273">
        <f>VLOOKUP(K273,RatingLookup!$A$2:$C$8,3,FALSE)</f>
        <v>0.6</v>
      </c>
      <c r="P273">
        <f t="shared" si="13"/>
        <v>0.51592840197955558</v>
      </c>
      <c r="Q273" t="str">
        <f t="shared" ca="1" si="14"/>
        <v>No</v>
      </c>
    </row>
    <row r="274" spans="1:17" x14ac:dyDescent="0.45">
      <c r="A274" t="s">
        <v>36</v>
      </c>
      <c r="B274" t="s">
        <v>37</v>
      </c>
      <c r="C274" t="s">
        <v>19</v>
      </c>
      <c r="D274" t="s">
        <v>20</v>
      </c>
      <c r="E274" t="s">
        <v>21</v>
      </c>
      <c r="F274" s="1">
        <v>44805</v>
      </c>
      <c r="G274">
        <v>5.79</v>
      </c>
      <c r="H274">
        <v>82.205299999999994</v>
      </c>
      <c r="I274">
        <v>17.62</v>
      </c>
      <c r="J274">
        <v>79.7</v>
      </c>
      <c r="K274" t="s">
        <v>31</v>
      </c>
      <c r="L274">
        <v>264.2</v>
      </c>
      <c r="M274">
        <f>VLOOKUP(K274,RatingLookup!$A$2:$C$8,2,FALSE)</f>
        <v>0.04</v>
      </c>
      <c r="N274">
        <f t="shared" si="12"/>
        <v>3.3960531989175591E-3</v>
      </c>
      <c r="O274">
        <f>VLOOKUP(K274,RatingLookup!$A$2:$C$8,3,FALSE)</f>
        <v>0.6</v>
      </c>
      <c r="P274">
        <f t="shared" si="13"/>
        <v>0.53834235309241141</v>
      </c>
      <c r="Q274" t="str">
        <f t="shared" ca="1" si="14"/>
        <v>No</v>
      </c>
    </row>
    <row r="275" spans="1:17" x14ac:dyDescent="0.45">
      <c r="A275" t="s">
        <v>36</v>
      </c>
      <c r="B275" t="s">
        <v>37</v>
      </c>
      <c r="C275" t="s">
        <v>19</v>
      </c>
      <c r="D275" t="s">
        <v>20</v>
      </c>
      <c r="E275" t="s">
        <v>21</v>
      </c>
      <c r="F275" s="1">
        <v>44835</v>
      </c>
      <c r="G275">
        <v>5.61</v>
      </c>
      <c r="H275">
        <v>77.961100000000002</v>
      </c>
      <c r="I275">
        <v>11.53</v>
      </c>
      <c r="J275">
        <v>80.150000000000006</v>
      </c>
      <c r="K275" t="s">
        <v>31</v>
      </c>
      <c r="L275">
        <v>256.14</v>
      </c>
      <c r="M275">
        <f>VLOOKUP(K275,RatingLookup!$A$2:$C$8,2,FALSE)</f>
        <v>0.04</v>
      </c>
      <c r="N275">
        <f t="shared" si="12"/>
        <v>3.3960531989175591E-3</v>
      </c>
      <c r="O275">
        <f>VLOOKUP(K275,RatingLookup!$A$2:$C$8,3,FALSE)</f>
        <v>0.6</v>
      </c>
      <c r="P275">
        <f t="shared" si="13"/>
        <v>0.52191903982244614</v>
      </c>
      <c r="Q275" t="str">
        <f t="shared" ca="1" si="14"/>
        <v>No</v>
      </c>
    </row>
    <row r="276" spans="1:17" x14ac:dyDescent="0.45">
      <c r="A276" t="s">
        <v>36</v>
      </c>
      <c r="B276" t="s">
        <v>37</v>
      </c>
      <c r="C276" t="s">
        <v>19</v>
      </c>
      <c r="D276" t="s">
        <v>20</v>
      </c>
      <c r="E276" t="s">
        <v>21</v>
      </c>
      <c r="F276" s="1">
        <v>44866</v>
      </c>
      <c r="G276">
        <v>5.94</v>
      </c>
      <c r="H276">
        <v>82.9572</v>
      </c>
      <c r="I276">
        <v>21.45</v>
      </c>
      <c r="J276">
        <v>87.43</v>
      </c>
      <c r="K276" t="s">
        <v>31</v>
      </c>
      <c r="L276">
        <v>245.05</v>
      </c>
      <c r="M276">
        <f>VLOOKUP(K276,RatingLookup!$A$2:$C$8,2,FALSE)</f>
        <v>0.04</v>
      </c>
      <c r="N276">
        <f t="shared" si="12"/>
        <v>3.3960531989175591E-3</v>
      </c>
      <c r="O276">
        <f>VLOOKUP(K276,RatingLookup!$A$2:$C$8,3,FALSE)</f>
        <v>0.6</v>
      </c>
      <c r="P276">
        <f t="shared" si="13"/>
        <v>0.49932170183684871</v>
      </c>
      <c r="Q276" t="str">
        <f t="shared" ca="1" si="14"/>
        <v>No</v>
      </c>
    </row>
    <row r="277" spans="1:17" x14ac:dyDescent="0.45">
      <c r="A277" t="s">
        <v>36</v>
      </c>
      <c r="B277" t="s">
        <v>37</v>
      </c>
      <c r="C277" t="s">
        <v>19</v>
      </c>
      <c r="D277" t="s">
        <v>20</v>
      </c>
      <c r="E277" t="s">
        <v>21</v>
      </c>
      <c r="F277" s="1">
        <v>44896</v>
      </c>
      <c r="G277">
        <v>5.13</v>
      </c>
      <c r="H277">
        <v>81.054299999999998</v>
      </c>
      <c r="I277">
        <v>16.34</v>
      </c>
      <c r="J277">
        <v>82.48</v>
      </c>
      <c r="K277" t="s">
        <v>31</v>
      </c>
      <c r="L277">
        <v>252.04</v>
      </c>
      <c r="M277">
        <f>VLOOKUP(K277,RatingLookup!$A$2:$C$8,2,FALSE)</f>
        <v>0.04</v>
      </c>
      <c r="N277">
        <f t="shared" si="12"/>
        <v>3.3960531989175591E-3</v>
      </c>
      <c r="O277">
        <f>VLOOKUP(K277,RatingLookup!$A$2:$C$8,3,FALSE)</f>
        <v>0.6</v>
      </c>
      <c r="P277">
        <f t="shared" si="13"/>
        <v>0.51356474895310888</v>
      </c>
      <c r="Q277" t="str">
        <f t="shared" ca="1" si="14"/>
        <v>No</v>
      </c>
    </row>
    <row r="278" spans="1:17" x14ac:dyDescent="0.45">
      <c r="A278" t="s">
        <v>36</v>
      </c>
      <c r="B278" t="s">
        <v>37</v>
      </c>
      <c r="C278" t="s">
        <v>19</v>
      </c>
      <c r="D278" t="s">
        <v>20</v>
      </c>
      <c r="E278" t="s">
        <v>21</v>
      </c>
      <c r="F278" s="1">
        <v>44927</v>
      </c>
      <c r="G278">
        <v>5.5</v>
      </c>
      <c r="H278">
        <v>80.295000000000002</v>
      </c>
      <c r="I278">
        <v>24.62</v>
      </c>
      <c r="J278">
        <v>75.510000000000005</v>
      </c>
      <c r="K278" t="s">
        <v>31</v>
      </c>
      <c r="L278">
        <v>237.78</v>
      </c>
      <c r="M278">
        <f>VLOOKUP(K278,RatingLookup!$A$2:$C$8,2,FALSE)</f>
        <v>0.04</v>
      </c>
      <c r="N278">
        <f t="shared" si="12"/>
        <v>3.3960531989175591E-3</v>
      </c>
      <c r="O278">
        <f>VLOOKUP(K278,RatingLookup!$A$2:$C$8,3,FALSE)</f>
        <v>0.6</v>
      </c>
      <c r="P278">
        <f t="shared" si="13"/>
        <v>0.48450811778317032</v>
      </c>
      <c r="Q278" t="str">
        <f t="shared" ca="1" si="14"/>
        <v>No</v>
      </c>
    </row>
    <row r="279" spans="1:17" x14ac:dyDescent="0.45">
      <c r="A279" t="s">
        <v>36</v>
      </c>
      <c r="B279" t="s">
        <v>37</v>
      </c>
      <c r="C279" t="s">
        <v>19</v>
      </c>
      <c r="D279" t="s">
        <v>20</v>
      </c>
      <c r="E279" t="s">
        <v>21</v>
      </c>
      <c r="F279" s="1">
        <v>44958</v>
      </c>
      <c r="G279">
        <v>5.46</v>
      </c>
      <c r="H279">
        <v>83.2898</v>
      </c>
      <c r="I279">
        <v>10.78</v>
      </c>
      <c r="J279">
        <v>94.92</v>
      </c>
      <c r="K279" t="s">
        <v>31</v>
      </c>
      <c r="L279">
        <v>242.16</v>
      </c>
      <c r="M279">
        <f>VLOOKUP(K279,RatingLookup!$A$2:$C$8,2,FALSE)</f>
        <v>0.04</v>
      </c>
      <c r="N279">
        <f t="shared" si="12"/>
        <v>3.3960531989175591E-3</v>
      </c>
      <c r="O279">
        <f>VLOOKUP(K279,RatingLookup!$A$2:$C$8,3,FALSE)</f>
        <v>0.6</v>
      </c>
      <c r="P279">
        <f t="shared" si="13"/>
        <v>0.49343294558992562</v>
      </c>
      <c r="Q279" t="str">
        <f t="shared" ca="1" si="14"/>
        <v>No</v>
      </c>
    </row>
    <row r="280" spans="1:17" x14ac:dyDescent="0.45">
      <c r="A280" t="s">
        <v>36</v>
      </c>
      <c r="B280" t="s">
        <v>37</v>
      </c>
      <c r="C280" t="s">
        <v>19</v>
      </c>
      <c r="D280" t="s">
        <v>20</v>
      </c>
      <c r="E280" t="s">
        <v>21</v>
      </c>
      <c r="F280" s="1">
        <v>44986</v>
      </c>
      <c r="G280">
        <v>6</v>
      </c>
      <c r="H280">
        <v>86.027199999999993</v>
      </c>
      <c r="I280">
        <v>22.65</v>
      </c>
      <c r="J280">
        <v>86.36</v>
      </c>
      <c r="K280" t="s">
        <v>31</v>
      </c>
      <c r="L280">
        <v>248.45</v>
      </c>
      <c r="M280">
        <f>VLOOKUP(K280,RatingLookup!$A$2:$C$8,2,FALSE)</f>
        <v>0.04</v>
      </c>
      <c r="N280">
        <f t="shared" si="12"/>
        <v>3.3960531989175591E-3</v>
      </c>
      <c r="O280">
        <f>VLOOKUP(K280,RatingLookup!$A$2:$C$8,3,FALSE)</f>
        <v>0.6</v>
      </c>
      <c r="P280">
        <f t="shared" si="13"/>
        <v>0.50624965036264047</v>
      </c>
      <c r="Q280" t="str">
        <f t="shared" ca="1" si="14"/>
        <v>No</v>
      </c>
    </row>
    <row r="281" spans="1:17" x14ac:dyDescent="0.45">
      <c r="A281" t="s">
        <v>36</v>
      </c>
      <c r="B281" t="s">
        <v>37</v>
      </c>
      <c r="C281" t="s">
        <v>19</v>
      </c>
      <c r="D281" t="s">
        <v>20</v>
      </c>
      <c r="E281" t="s">
        <v>21</v>
      </c>
      <c r="F281" s="1">
        <v>45017</v>
      </c>
      <c r="G281">
        <v>5.24</v>
      </c>
      <c r="H281">
        <v>83.125699999999995</v>
      </c>
      <c r="I281">
        <v>16.739999999999998</v>
      </c>
      <c r="J281">
        <v>103.57</v>
      </c>
      <c r="K281" t="s">
        <v>31</v>
      </c>
      <c r="L281">
        <v>237.47</v>
      </c>
      <c r="M281">
        <f>VLOOKUP(K281,RatingLookup!$A$2:$C$8,2,FALSE)</f>
        <v>0.04</v>
      </c>
      <c r="N281">
        <f t="shared" si="12"/>
        <v>3.3960531989175591E-3</v>
      </c>
      <c r="O281">
        <f>VLOOKUP(K281,RatingLookup!$A$2:$C$8,3,FALSE)</f>
        <v>0.6</v>
      </c>
      <c r="P281">
        <f t="shared" si="13"/>
        <v>0.48387645188817163</v>
      </c>
      <c r="Q281" t="str">
        <f t="shared" ca="1" si="14"/>
        <v>No</v>
      </c>
    </row>
    <row r="282" spans="1:17" x14ac:dyDescent="0.45">
      <c r="A282" t="s">
        <v>36</v>
      </c>
      <c r="B282" t="s">
        <v>37</v>
      </c>
      <c r="C282" t="s">
        <v>19</v>
      </c>
      <c r="D282" t="s">
        <v>20</v>
      </c>
      <c r="E282" t="s">
        <v>21</v>
      </c>
      <c r="F282" s="1">
        <v>45047</v>
      </c>
      <c r="G282">
        <v>6.1</v>
      </c>
      <c r="H282">
        <v>84.093000000000004</v>
      </c>
      <c r="I282">
        <v>20.18</v>
      </c>
      <c r="J282">
        <v>93.8</v>
      </c>
      <c r="K282" t="s">
        <v>31</v>
      </c>
      <c r="L282">
        <v>253.17</v>
      </c>
      <c r="M282">
        <f>VLOOKUP(K282,RatingLookup!$A$2:$C$8,2,FALSE)</f>
        <v>0.04</v>
      </c>
      <c r="N282">
        <f t="shared" si="12"/>
        <v>3.3960531989175591E-3</v>
      </c>
      <c r="O282">
        <f>VLOOKUP(K282,RatingLookup!$A$2:$C$8,3,FALSE)</f>
        <v>0.6</v>
      </c>
      <c r="P282">
        <f t="shared" si="13"/>
        <v>0.51586727302197499</v>
      </c>
      <c r="Q282" t="str">
        <f t="shared" ca="1" si="14"/>
        <v>No</v>
      </c>
    </row>
    <row r="283" spans="1:17" x14ac:dyDescent="0.45">
      <c r="A283" t="s">
        <v>36</v>
      </c>
      <c r="B283" t="s">
        <v>37</v>
      </c>
      <c r="C283" t="s">
        <v>19</v>
      </c>
      <c r="D283" t="s">
        <v>20</v>
      </c>
      <c r="E283" t="s">
        <v>21</v>
      </c>
      <c r="F283" s="1">
        <v>45078</v>
      </c>
      <c r="G283">
        <v>5.12</v>
      </c>
      <c r="H283">
        <v>83.261200000000002</v>
      </c>
      <c r="I283">
        <v>19.309999999999999</v>
      </c>
      <c r="J283">
        <v>85.69</v>
      </c>
      <c r="K283" t="s">
        <v>31</v>
      </c>
      <c r="L283">
        <v>245.88</v>
      </c>
      <c r="M283">
        <f>VLOOKUP(K283,RatingLookup!$A$2:$C$8,2,FALSE)</f>
        <v>0.04</v>
      </c>
      <c r="N283">
        <f t="shared" si="12"/>
        <v>3.3960531989175591E-3</v>
      </c>
      <c r="O283">
        <f>VLOOKUP(K283,RatingLookup!$A$2:$C$8,3,FALSE)</f>
        <v>0.6</v>
      </c>
      <c r="P283">
        <f t="shared" si="13"/>
        <v>0.50101293632990962</v>
      </c>
      <c r="Q283" t="str">
        <f t="shared" ca="1" si="14"/>
        <v>No</v>
      </c>
    </row>
    <row r="284" spans="1:17" x14ac:dyDescent="0.45">
      <c r="A284" t="s">
        <v>36</v>
      </c>
      <c r="B284" t="s">
        <v>37</v>
      </c>
      <c r="C284" t="s">
        <v>19</v>
      </c>
      <c r="D284" t="s">
        <v>20</v>
      </c>
      <c r="E284" t="s">
        <v>21</v>
      </c>
      <c r="F284" s="1">
        <v>45108</v>
      </c>
      <c r="G284">
        <v>6.35</v>
      </c>
      <c r="H284">
        <v>81.462699999999998</v>
      </c>
      <c r="I284">
        <v>8.66</v>
      </c>
      <c r="J284">
        <v>75.91</v>
      </c>
      <c r="K284" t="s">
        <v>31</v>
      </c>
      <c r="L284">
        <v>243.72</v>
      </c>
      <c r="M284">
        <f>VLOOKUP(K284,RatingLookup!$A$2:$C$8,2,FALSE)</f>
        <v>0.04</v>
      </c>
      <c r="N284">
        <f t="shared" si="12"/>
        <v>3.3960531989175591E-3</v>
      </c>
      <c r="O284">
        <f>VLOOKUP(K284,RatingLookup!$A$2:$C$8,3,FALSE)</f>
        <v>0.6</v>
      </c>
      <c r="P284">
        <f t="shared" si="13"/>
        <v>0.49661165138411251</v>
      </c>
      <c r="Q284" t="str">
        <f t="shared" ca="1" si="14"/>
        <v>No</v>
      </c>
    </row>
    <row r="285" spans="1:17" x14ac:dyDescent="0.45">
      <c r="A285" t="s">
        <v>36</v>
      </c>
      <c r="B285" t="s">
        <v>37</v>
      </c>
      <c r="C285" t="s">
        <v>19</v>
      </c>
      <c r="D285" t="s">
        <v>20</v>
      </c>
      <c r="E285" t="s">
        <v>21</v>
      </c>
      <c r="F285" s="1">
        <v>45139</v>
      </c>
      <c r="G285">
        <v>5.3</v>
      </c>
      <c r="H285">
        <v>82.380700000000004</v>
      </c>
      <c r="I285">
        <v>14.71</v>
      </c>
      <c r="J285">
        <v>68.03</v>
      </c>
      <c r="K285" t="s">
        <v>31</v>
      </c>
      <c r="L285">
        <v>243.28</v>
      </c>
      <c r="M285">
        <f>VLOOKUP(K285,RatingLookup!$A$2:$C$8,2,FALSE)</f>
        <v>0.04</v>
      </c>
      <c r="N285">
        <f t="shared" si="12"/>
        <v>3.3960531989175591E-3</v>
      </c>
      <c r="O285">
        <f>VLOOKUP(K285,RatingLookup!$A$2:$C$8,3,FALSE)</f>
        <v>0.6</v>
      </c>
      <c r="P285">
        <f t="shared" si="13"/>
        <v>0.49571509333959823</v>
      </c>
      <c r="Q285" t="str">
        <f t="shared" ca="1" si="14"/>
        <v>No</v>
      </c>
    </row>
    <row r="286" spans="1:17" x14ac:dyDescent="0.45">
      <c r="A286" t="s">
        <v>36</v>
      </c>
      <c r="B286" t="s">
        <v>37</v>
      </c>
      <c r="C286" t="s">
        <v>19</v>
      </c>
      <c r="D286" t="s">
        <v>20</v>
      </c>
      <c r="E286" t="s">
        <v>21</v>
      </c>
      <c r="F286" s="1">
        <v>45170</v>
      </c>
      <c r="G286">
        <v>6.25</v>
      </c>
      <c r="H286">
        <v>80.821600000000004</v>
      </c>
      <c r="I286">
        <v>22.65</v>
      </c>
      <c r="J286">
        <v>67.14</v>
      </c>
      <c r="K286" t="s">
        <v>31</v>
      </c>
      <c r="L286">
        <v>271.95999999999998</v>
      </c>
      <c r="M286">
        <f>VLOOKUP(K286,RatingLookup!$A$2:$C$8,2,FALSE)</f>
        <v>0.04</v>
      </c>
      <c r="N286">
        <f t="shared" si="12"/>
        <v>3.3960531989175591E-3</v>
      </c>
      <c r="O286">
        <f>VLOOKUP(K286,RatingLookup!$A$2:$C$8,3,FALSE)</f>
        <v>0.6</v>
      </c>
      <c r="P286">
        <f t="shared" si="13"/>
        <v>0.55415437678657153</v>
      </c>
      <c r="Q286" t="str">
        <f t="shared" ca="1" si="14"/>
        <v>No</v>
      </c>
    </row>
    <row r="287" spans="1:17" x14ac:dyDescent="0.45">
      <c r="A287" t="s">
        <v>36</v>
      </c>
      <c r="B287" t="s">
        <v>37</v>
      </c>
      <c r="C287" t="s">
        <v>19</v>
      </c>
      <c r="D287" t="s">
        <v>20</v>
      </c>
      <c r="E287" t="s">
        <v>21</v>
      </c>
      <c r="F287" s="1">
        <v>45200</v>
      </c>
      <c r="G287">
        <v>6.6</v>
      </c>
      <c r="H287">
        <v>83.789500000000004</v>
      </c>
      <c r="I287">
        <v>23.51</v>
      </c>
      <c r="J287">
        <v>92.12</v>
      </c>
      <c r="K287" t="s">
        <v>31</v>
      </c>
      <c r="L287">
        <v>251.03</v>
      </c>
      <c r="M287">
        <f>VLOOKUP(K287,RatingLookup!$A$2:$C$8,2,FALSE)</f>
        <v>0.04</v>
      </c>
      <c r="N287">
        <f t="shared" si="12"/>
        <v>3.3960531989175591E-3</v>
      </c>
      <c r="O287">
        <f>VLOOKUP(K287,RatingLookup!$A$2:$C$8,3,FALSE)</f>
        <v>0.6</v>
      </c>
      <c r="P287">
        <f t="shared" si="13"/>
        <v>0.51150674071456492</v>
      </c>
      <c r="Q287" t="str">
        <f t="shared" ca="1" si="14"/>
        <v>No</v>
      </c>
    </row>
    <row r="288" spans="1:17" x14ac:dyDescent="0.45">
      <c r="A288" t="s">
        <v>36</v>
      </c>
      <c r="B288" t="s">
        <v>37</v>
      </c>
      <c r="C288" t="s">
        <v>19</v>
      </c>
      <c r="D288" t="s">
        <v>20</v>
      </c>
      <c r="E288" t="s">
        <v>21</v>
      </c>
      <c r="F288" s="1">
        <v>45231</v>
      </c>
      <c r="G288">
        <v>5.22</v>
      </c>
      <c r="H288">
        <v>81.926199999999994</v>
      </c>
      <c r="I288">
        <v>20.71</v>
      </c>
      <c r="J288">
        <v>85.26</v>
      </c>
      <c r="K288" t="s">
        <v>31</v>
      </c>
      <c r="L288">
        <v>250.53</v>
      </c>
      <c r="M288">
        <f>VLOOKUP(K288,RatingLookup!$A$2:$C$8,2,FALSE)</f>
        <v>0.04</v>
      </c>
      <c r="N288">
        <f t="shared" si="12"/>
        <v>3.3960531989175591E-3</v>
      </c>
      <c r="O288">
        <f>VLOOKUP(K288,RatingLookup!$A$2:$C$8,3,FALSE)</f>
        <v>0.6</v>
      </c>
      <c r="P288">
        <f t="shared" si="13"/>
        <v>0.51048792475488958</v>
      </c>
      <c r="Q288" t="str">
        <f t="shared" ca="1" si="14"/>
        <v>No</v>
      </c>
    </row>
    <row r="289" spans="1:17" x14ac:dyDescent="0.45">
      <c r="A289" t="s">
        <v>36</v>
      </c>
      <c r="B289" t="s">
        <v>37</v>
      </c>
      <c r="C289" t="s">
        <v>19</v>
      </c>
      <c r="D289" t="s">
        <v>20</v>
      </c>
      <c r="E289" t="s">
        <v>21</v>
      </c>
      <c r="F289" s="1">
        <v>45261</v>
      </c>
      <c r="G289">
        <v>5.88</v>
      </c>
      <c r="H289">
        <v>85.062700000000007</v>
      </c>
      <c r="I289">
        <v>29.58</v>
      </c>
      <c r="J289">
        <v>100.96</v>
      </c>
      <c r="K289" t="s">
        <v>31</v>
      </c>
      <c r="L289">
        <v>253.97</v>
      </c>
      <c r="M289">
        <f>VLOOKUP(K289,RatingLookup!$A$2:$C$8,2,FALSE)</f>
        <v>0.04</v>
      </c>
      <c r="N289">
        <f t="shared" si="12"/>
        <v>3.3960531989175591E-3</v>
      </c>
      <c r="O289">
        <f>VLOOKUP(K289,RatingLookup!$A$2:$C$8,3,FALSE)</f>
        <v>0.6</v>
      </c>
      <c r="P289">
        <f t="shared" si="13"/>
        <v>0.51749737855745548</v>
      </c>
      <c r="Q289" t="str">
        <f t="shared" ca="1" si="14"/>
        <v>No</v>
      </c>
    </row>
    <row r="290" spans="1:17" x14ac:dyDescent="0.45">
      <c r="A290" t="s">
        <v>36</v>
      </c>
      <c r="B290" t="s">
        <v>37</v>
      </c>
      <c r="C290" t="s">
        <v>19</v>
      </c>
      <c r="D290" t="s">
        <v>20</v>
      </c>
      <c r="E290" t="s">
        <v>21</v>
      </c>
      <c r="F290" s="1">
        <v>45292</v>
      </c>
      <c r="G290">
        <v>5.0999999999999996</v>
      </c>
      <c r="H290">
        <v>84.534199999999998</v>
      </c>
      <c r="I290">
        <v>23.57</v>
      </c>
      <c r="J290">
        <v>94.28</v>
      </c>
      <c r="K290" t="s">
        <v>31</v>
      </c>
      <c r="L290">
        <v>234.67</v>
      </c>
      <c r="M290">
        <f>VLOOKUP(K290,RatingLookup!$A$2:$C$8,2,FALSE)</f>
        <v>0.04</v>
      </c>
      <c r="N290">
        <f t="shared" si="12"/>
        <v>3.3960531989175591E-3</v>
      </c>
      <c r="O290">
        <f>VLOOKUP(K290,RatingLookup!$A$2:$C$8,3,FALSE)</f>
        <v>0.6</v>
      </c>
      <c r="P290">
        <f t="shared" si="13"/>
        <v>0.4781710825139901</v>
      </c>
      <c r="Q290" t="str">
        <f t="shared" ca="1" si="14"/>
        <v>No</v>
      </c>
    </row>
    <row r="291" spans="1:17" x14ac:dyDescent="0.45">
      <c r="A291" t="s">
        <v>36</v>
      </c>
      <c r="B291" t="s">
        <v>37</v>
      </c>
      <c r="C291" t="s">
        <v>19</v>
      </c>
      <c r="D291" t="s">
        <v>20</v>
      </c>
      <c r="E291" t="s">
        <v>21</v>
      </c>
      <c r="F291" s="1">
        <v>45323</v>
      </c>
      <c r="G291">
        <v>4.9400000000000004</v>
      </c>
      <c r="H291">
        <v>85.787199999999999</v>
      </c>
      <c r="I291">
        <v>22.09</v>
      </c>
      <c r="J291">
        <v>78.39</v>
      </c>
      <c r="K291" t="s">
        <v>31</v>
      </c>
      <c r="L291">
        <v>253.5</v>
      </c>
      <c r="M291">
        <f>VLOOKUP(K291,RatingLookup!$A$2:$C$8,2,FALSE)</f>
        <v>0.04</v>
      </c>
      <c r="N291">
        <f t="shared" si="12"/>
        <v>3.3960531989175591E-3</v>
      </c>
      <c r="O291">
        <f>VLOOKUP(K291,RatingLookup!$A$2:$C$8,3,FALSE)</f>
        <v>0.6</v>
      </c>
      <c r="P291">
        <f t="shared" si="13"/>
        <v>0.51653969155536072</v>
      </c>
      <c r="Q291" t="str">
        <f t="shared" ca="1" si="14"/>
        <v>No</v>
      </c>
    </row>
    <row r="292" spans="1:17" x14ac:dyDescent="0.45">
      <c r="A292" t="s">
        <v>36</v>
      </c>
      <c r="B292" t="s">
        <v>37</v>
      </c>
      <c r="C292" t="s">
        <v>19</v>
      </c>
      <c r="D292" t="s">
        <v>20</v>
      </c>
      <c r="E292" t="s">
        <v>21</v>
      </c>
      <c r="F292" s="1">
        <v>45352</v>
      </c>
      <c r="G292">
        <v>5.6</v>
      </c>
      <c r="H292">
        <v>82.042299999999997</v>
      </c>
      <c r="I292">
        <v>21.7</v>
      </c>
      <c r="J292">
        <v>81.98</v>
      </c>
      <c r="K292" t="s">
        <v>31</v>
      </c>
      <c r="L292">
        <v>229.4</v>
      </c>
      <c r="M292">
        <f>VLOOKUP(K292,RatingLookup!$A$2:$C$8,2,FALSE)</f>
        <v>0.04</v>
      </c>
      <c r="N292">
        <f t="shared" si="12"/>
        <v>3.3960531989175591E-3</v>
      </c>
      <c r="O292">
        <f>VLOOKUP(K292,RatingLookup!$A$2:$C$8,3,FALSE)</f>
        <v>0.6</v>
      </c>
      <c r="P292">
        <f t="shared" si="13"/>
        <v>0.46743276229901287</v>
      </c>
      <c r="Q292" t="str">
        <f t="shared" ca="1" si="14"/>
        <v>No</v>
      </c>
    </row>
    <row r="293" spans="1:17" x14ac:dyDescent="0.45">
      <c r="A293" t="s">
        <v>36</v>
      </c>
      <c r="B293" t="s">
        <v>37</v>
      </c>
      <c r="C293" t="s">
        <v>19</v>
      </c>
      <c r="D293" t="s">
        <v>20</v>
      </c>
      <c r="E293" t="s">
        <v>21</v>
      </c>
      <c r="F293" s="1">
        <v>45383</v>
      </c>
      <c r="G293">
        <v>5.49</v>
      </c>
      <c r="H293">
        <v>85.608999999999995</v>
      </c>
      <c r="I293">
        <v>14.31</v>
      </c>
      <c r="J293">
        <v>84.66</v>
      </c>
      <c r="K293" t="s">
        <v>31</v>
      </c>
      <c r="L293">
        <v>246.19</v>
      </c>
      <c r="M293">
        <f>VLOOKUP(K293,RatingLookup!$A$2:$C$8,2,FALSE)</f>
        <v>0.04</v>
      </c>
      <c r="N293">
        <f t="shared" si="12"/>
        <v>3.3960531989175591E-3</v>
      </c>
      <c r="O293">
        <f>VLOOKUP(K293,RatingLookup!$A$2:$C$8,3,FALSE)</f>
        <v>0.6</v>
      </c>
      <c r="P293">
        <f t="shared" si="13"/>
        <v>0.50164460222490836</v>
      </c>
      <c r="Q293" t="str">
        <f t="shared" ca="1" si="14"/>
        <v>No</v>
      </c>
    </row>
    <row r="294" spans="1:17" x14ac:dyDescent="0.45">
      <c r="A294" t="s">
        <v>36</v>
      </c>
      <c r="B294" t="s">
        <v>37</v>
      </c>
      <c r="C294" t="s">
        <v>19</v>
      </c>
      <c r="D294" t="s">
        <v>20</v>
      </c>
      <c r="E294" t="s">
        <v>21</v>
      </c>
      <c r="F294" s="1">
        <v>45413</v>
      </c>
      <c r="G294">
        <v>4.72</v>
      </c>
      <c r="H294">
        <v>83.519199999999998</v>
      </c>
      <c r="I294">
        <v>32.770000000000003</v>
      </c>
      <c r="J294">
        <v>64.63</v>
      </c>
      <c r="K294" t="s">
        <v>31</v>
      </c>
      <c r="L294">
        <v>247.18</v>
      </c>
      <c r="M294">
        <f>VLOOKUP(K294,RatingLookup!$A$2:$C$8,2,FALSE)</f>
        <v>0.04</v>
      </c>
      <c r="N294">
        <f t="shared" si="12"/>
        <v>3.3960531989175591E-3</v>
      </c>
      <c r="O294">
        <f>VLOOKUP(K294,RatingLookup!$A$2:$C$8,3,FALSE)</f>
        <v>0.6</v>
      </c>
      <c r="P294">
        <f t="shared" si="13"/>
        <v>0.50366185782506534</v>
      </c>
      <c r="Q294" t="str">
        <f t="shared" ca="1" si="14"/>
        <v>No</v>
      </c>
    </row>
    <row r="295" spans="1:17" x14ac:dyDescent="0.45">
      <c r="A295" t="s">
        <v>36</v>
      </c>
      <c r="B295" t="s">
        <v>37</v>
      </c>
      <c r="C295" t="s">
        <v>19</v>
      </c>
      <c r="D295" t="s">
        <v>20</v>
      </c>
      <c r="E295" t="s">
        <v>21</v>
      </c>
      <c r="F295" s="1">
        <v>45444</v>
      </c>
      <c r="G295">
        <v>6.17</v>
      </c>
      <c r="H295">
        <v>77.120800000000003</v>
      </c>
      <c r="I295">
        <v>22.65</v>
      </c>
      <c r="J295">
        <v>72.680000000000007</v>
      </c>
      <c r="K295" t="s">
        <v>31</v>
      </c>
      <c r="L295">
        <v>251.63</v>
      </c>
      <c r="M295">
        <f>VLOOKUP(K295,RatingLookup!$A$2:$C$8,2,FALSE)</f>
        <v>0.04</v>
      </c>
      <c r="N295">
        <f t="shared" si="12"/>
        <v>3.3960531989175591E-3</v>
      </c>
      <c r="O295">
        <f>VLOOKUP(K295,RatingLookup!$A$2:$C$8,3,FALSE)</f>
        <v>0.6</v>
      </c>
      <c r="P295">
        <f t="shared" si="13"/>
        <v>0.5127293198661752</v>
      </c>
      <c r="Q295" t="str">
        <f t="shared" ca="1" si="14"/>
        <v>No</v>
      </c>
    </row>
    <row r="296" spans="1:17" x14ac:dyDescent="0.45">
      <c r="A296" t="s">
        <v>36</v>
      </c>
      <c r="B296" t="s">
        <v>37</v>
      </c>
      <c r="C296" t="s">
        <v>19</v>
      </c>
      <c r="D296" t="s">
        <v>20</v>
      </c>
      <c r="E296" t="s">
        <v>21</v>
      </c>
      <c r="F296" s="1">
        <v>45474</v>
      </c>
      <c r="G296">
        <v>5.83</v>
      </c>
      <c r="H296">
        <v>82.798400000000001</v>
      </c>
      <c r="I296">
        <v>10.02</v>
      </c>
      <c r="J296">
        <v>81.61</v>
      </c>
      <c r="K296" t="s">
        <v>31</v>
      </c>
      <c r="L296">
        <v>258.04000000000002</v>
      </c>
      <c r="M296">
        <f>VLOOKUP(K296,RatingLookup!$A$2:$C$8,2,FALSE)</f>
        <v>0.04</v>
      </c>
      <c r="N296">
        <f t="shared" si="12"/>
        <v>3.3960531989175591E-3</v>
      </c>
      <c r="O296">
        <f>VLOOKUP(K296,RatingLookup!$A$2:$C$8,3,FALSE)</f>
        <v>0.6</v>
      </c>
      <c r="P296">
        <f t="shared" si="13"/>
        <v>0.52579054046921225</v>
      </c>
      <c r="Q296" t="str">
        <f t="shared" ca="1" si="14"/>
        <v>No</v>
      </c>
    </row>
    <row r="297" spans="1:17" x14ac:dyDescent="0.45">
      <c r="A297" t="s">
        <v>36</v>
      </c>
      <c r="B297" t="s">
        <v>37</v>
      </c>
      <c r="C297" t="s">
        <v>19</v>
      </c>
      <c r="D297" t="s">
        <v>20</v>
      </c>
      <c r="E297" t="s">
        <v>21</v>
      </c>
      <c r="F297" s="1">
        <v>45505</v>
      </c>
      <c r="G297">
        <v>5.45</v>
      </c>
      <c r="H297">
        <v>84.437899999999999</v>
      </c>
      <c r="I297">
        <v>23.66</v>
      </c>
      <c r="J297">
        <v>94.11</v>
      </c>
      <c r="K297" t="s">
        <v>31</v>
      </c>
      <c r="L297">
        <v>235.5</v>
      </c>
      <c r="M297">
        <f>VLOOKUP(K297,RatingLookup!$A$2:$C$8,2,FALSE)</f>
        <v>0.04</v>
      </c>
      <c r="N297">
        <f t="shared" si="12"/>
        <v>3.3960531989175591E-3</v>
      </c>
      <c r="O297">
        <f>VLOOKUP(K297,RatingLookup!$A$2:$C$8,3,FALSE)</f>
        <v>0.6</v>
      </c>
      <c r="P297">
        <f t="shared" si="13"/>
        <v>0.47986231700705106</v>
      </c>
      <c r="Q297" t="str">
        <f t="shared" ca="1" si="14"/>
        <v>No</v>
      </c>
    </row>
    <row r="298" spans="1:17" x14ac:dyDescent="0.45">
      <c r="A298" t="s">
        <v>36</v>
      </c>
      <c r="B298" t="s">
        <v>37</v>
      </c>
      <c r="C298" t="s">
        <v>19</v>
      </c>
      <c r="D298" t="s">
        <v>20</v>
      </c>
      <c r="E298" t="s">
        <v>21</v>
      </c>
      <c r="F298" s="1">
        <v>45536</v>
      </c>
      <c r="G298">
        <v>6.13</v>
      </c>
      <c r="H298">
        <v>82.325500000000005</v>
      </c>
      <c r="I298">
        <v>14.75</v>
      </c>
      <c r="J298">
        <v>91.08</v>
      </c>
      <c r="K298" t="s">
        <v>31</v>
      </c>
      <c r="L298">
        <v>244.42</v>
      </c>
      <c r="M298">
        <f>VLOOKUP(K298,RatingLookup!$A$2:$C$8,2,FALSE)</f>
        <v>0.04</v>
      </c>
      <c r="N298">
        <f t="shared" si="12"/>
        <v>3.3960531989175591E-3</v>
      </c>
      <c r="O298">
        <f>VLOOKUP(K298,RatingLookup!$A$2:$C$8,3,FALSE)</f>
        <v>0.6</v>
      </c>
      <c r="P298">
        <f t="shared" si="13"/>
        <v>0.49803799372765784</v>
      </c>
      <c r="Q298" t="str">
        <f t="shared" ca="1" si="14"/>
        <v>No</v>
      </c>
    </row>
    <row r="299" spans="1:17" x14ac:dyDescent="0.45">
      <c r="A299" t="s">
        <v>36</v>
      </c>
      <c r="B299" t="s">
        <v>37</v>
      </c>
      <c r="C299" t="s">
        <v>19</v>
      </c>
      <c r="D299" t="s">
        <v>20</v>
      </c>
      <c r="E299" t="s">
        <v>21</v>
      </c>
      <c r="F299" s="1">
        <v>45566</v>
      </c>
      <c r="G299">
        <v>4.57</v>
      </c>
      <c r="H299">
        <v>83.905000000000001</v>
      </c>
      <c r="I299">
        <v>25.47</v>
      </c>
      <c r="J299">
        <v>85.33</v>
      </c>
      <c r="K299" t="s">
        <v>31</v>
      </c>
      <c r="L299">
        <v>254.11</v>
      </c>
      <c r="M299">
        <f>VLOOKUP(K299,RatingLookup!$A$2:$C$8,2,FALSE)</f>
        <v>0.04</v>
      </c>
      <c r="N299">
        <f t="shared" si="12"/>
        <v>3.3960531989175591E-3</v>
      </c>
      <c r="O299">
        <f>VLOOKUP(K299,RatingLookup!$A$2:$C$8,3,FALSE)</f>
        <v>0.6</v>
      </c>
      <c r="P299">
        <f t="shared" si="13"/>
        <v>0.51778264702616461</v>
      </c>
      <c r="Q299" t="str">
        <f t="shared" ca="1" si="14"/>
        <v>No</v>
      </c>
    </row>
    <row r="300" spans="1:17" x14ac:dyDescent="0.45">
      <c r="A300" t="s">
        <v>36</v>
      </c>
      <c r="B300" t="s">
        <v>37</v>
      </c>
      <c r="C300" t="s">
        <v>19</v>
      </c>
      <c r="D300" t="s">
        <v>20</v>
      </c>
      <c r="E300" t="s">
        <v>21</v>
      </c>
      <c r="F300" s="1">
        <v>45597</v>
      </c>
      <c r="G300">
        <v>5.21</v>
      </c>
      <c r="H300">
        <v>84.331500000000005</v>
      </c>
      <c r="I300">
        <v>27.49</v>
      </c>
      <c r="J300">
        <v>81.459999999999994</v>
      </c>
      <c r="K300" t="s">
        <v>31</v>
      </c>
      <c r="L300">
        <v>236.91</v>
      </c>
      <c r="M300">
        <f>VLOOKUP(K300,RatingLookup!$A$2:$C$8,2,FALSE)</f>
        <v>0.04</v>
      </c>
      <c r="N300">
        <f t="shared" si="12"/>
        <v>3.3960531989175591E-3</v>
      </c>
      <c r="O300">
        <f>VLOOKUP(K300,RatingLookup!$A$2:$C$8,3,FALSE)</f>
        <v>0.6</v>
      </c>
      <c r="P300">
        <f t="shared" si="13"/>
        <v>0.48273537801333533</v>
      </c>
      <c r="Q300" t="str">
        <f t="shared" ca="1" si="14"/>
        <v>No</v>
      </c>
    </row>
    <row r="301" spans="1:17" x14ac:dyDescent="0.45">
      <c r="A301" t="s">
        <v>36</v>
      </c>
      <c r="B301" t="s">
        <v>37</v>
      </c>
      <c r="C301" t="s">
        <v>19</v>
      </c>
      <c r="D301" t="s">
        <v>20</v>
      </c>
      <c r="E301" t="s">
        <v>21</v>
      </c>
      <c r="F301" s="1">
        <v>45627</v>
      </c>
      <c r="G301">
        <v>5.01</v>
      </c>
      <c r="H301">
        <v>91.919700000000006</v>
      </c>
      <c r="I301">
        <v>10.4</v>
      </c>
      <c r="J301">
        <v>103.47</v>
      </c>
      <c r="K301" t="s">
        <v>30</v>
      </c>
      <c r="L301">
        <v>272.81</v>
      </c>
      <c r="M301">
        <f>VLOOKUP(K301,RatingLookup!$A$2:$C$8,2,FALSE)</f>
        <v>1.4999999999999999E-2</v>
      </c>
      <c r="N301">
        <f t="shared" si="12"/>
        <v>1.2586770182638762E-3</v>
      </c>
      <c r="O301">
        <f>VLOOKUP(K301,RatingLookup!$A$2:$C$8,3,FALSE)</f>
        <v>0.5</v>
      </c>
      <c r="P301">
        <f t="shared" si="13"/>
        <v>0.17168983867628404</v>
      </c>
      <c r="Q301" t="str">
        <f t="shared" ca="1" si="14"/>
        <v>No</v>
      </c>
    </row>
    <row r="302" spans="1:17" x14ac:dyDescent="0.45">
      <c r="A302" t="s">
        <v>38</v>
      </c>
      <c r="B302" t="s">
        <v>39</v>
      </c>
      <c r="C302" t="s">
        <v>40</v>
      </c>
      <c r="D302" t="s">
        <v>20</v>
      </c>
      <c r="E302" t="s">
        <v>21</v>
      </c>
      <c r="F302" s="1">
        <v>43831</v>
      </c>
      <c r="G302">
        <v>5.45</v>
      </c>
      <c r="H302">
        <v>80.319299999999998</v>
      </c>
      <c r="I302">
        <v>22.7</v>
      </c>
      <c r="J302">
        <v>60.6</v>
      </c>
      <c r="K302" t="s">
        <v>30</v>
      </c>
      <c r="L302">
        <v>1003.17</v>
      </c>
      <c r="M302">
        <f>VLOOKUP(K302,RatingLookup!$A$2:$C$8,2,FALSE)</f>
        <v>1.4999999999999999E-2</v>
      </c>
      <c r="N302">
        <f t="shared" si="12"/>
        <v>1.2586770182638762E-3</v>
      </c>
      <c r="O302">
        <f>VLOOKUP(K302,RatingLookup!$A$2:$C$8,3,FALSE)</f>
        <v>0.5</v>
      </c>
      <c r="P302">
        <f t="shared" si="13"/>
        <v>0.63133351220588629</v>
      </c>
      <c r="Q302" t="str">
        <f t="shared" ca="1" si="14"/>
        <v>No</v>
      </c>
    </row>
    <row r="303" spans="1:17" x14ac:dyDescent="0.45">
      <c r="A303" t="s">
        <v>38</v>
      </c>
      <c r="B303" t="s">
        <v>39</v>
      </c>
      <c r="C303" t="s">
        <v>40</v>
      </c>
      <c r="D303" t="s">
        <v>20</v>
      </c>
      <c r="E303" t="s">
        <v>21</v>
      </c>
      <c r="F303" s="1">
        <v>43862</v>
      </c>
      <c r="G303">
        <v>6.47</v>
      </c>
      <c r="H303">
        <v>83.237899999999996</v>
      </c>
      <c r="I303">
        <v>21.97</v>
      </c>
      <c r="J303">
        <v>79.510000000000005</v>
      </c>
      <c r="K303" t="s">
        <v>30</v>
      </c>
      <c r="L303">
        <v>1054.8900000000001</v>
      </c>
      <c r="M303">
        <f>VLOOKUP(K303,RatingLookup!$A$2:$C$8,2,FALSE)</f>
        <v>1.4999999999999999E-2</v>
      </c>
      <c r="N303">
        <f t="shared" si="12"/>
        <v>1.2586770182638762E-3</v>
      </c>
      <c r="O303">
        <f>VLOOKUP(K303,RatingLookup!$A$2:$C$8,3,FALSE)</f>
        <v>0.5</v>
      </c>
      <c r="P303">
        <f t="shared" si="13"/>
        <v>0.66388289989819027</v>
      </c>
      <c r="Q303" t="str">
        <f t="shared" ca="1" si="14"/>
        <v>No</v>
      </c>
    </row>
    <row r="304" spans="1:17" x14ac:dyDescent="0.45">
      <c r="A304" t="s">
        <v>38</v>
      </c>
      <c r="B304" t="s">
        <v>39</v>
      </c>
      <c r="C304" t="s">
        <v>40</v>
      </c>
      <c r="D304" t="s">
        <v>20</v>
      </c>
      <c r="E304" t="s">
        <v>21</v>
      </c>
      <c r="F304" s="1">
        <v>43891</v>
      </c>
      <c r="G304">
        <v>5.8</v>
      </c>
      <c r="H304">
        <v>86.295100000000005</v>
      </c>
      <c r="I304">
        <v>7.09</v>
      </c>
      <c r="J304">
        <v>67.58</v>
      </c>
      <c r="K304" t="s">
        <v>30</v>
      </c>
      <c r="L304">
        <v>1093.18</v>
      </c>
      <c r="M304">
        <f>VLOOKUP(K304,RatingLookup!$A$2:$C$8,2,FALSE)</f>
        <v>1.4999999999999999E-2</v>
      </c>
      <c r="N304">
        <f t="shared" si="12"/>
        <v>1.2586770182638762E-3</v>
      </c>
      <c r="O304">
        <f>VLOOKUP(K304,RatingLookup!$A$2:$C$8,3,FALSE)</f>
        <v>0.5</v>
      </c>
      <c r="P304">
        <f t="shared" si="13"/>
        <v>0.68798027141285212</v>
      </c>
      <c r="Q304" t="str">
        <f t="shared" ca="1" si="14"/>
        <v>No</v>
      </c>
    </row>
    <row r="305" spans="1:17" x14ac:dyDescent="0.45">
      <c r="A305" t="s">
        <v>38</v>
      </c>
      <c r="B305" t="s">
        <v>39</v>
      </c>
      <c r="C305" t="s">
        <v>40</v>
      </c>
      <c r="D305" t="s">
        <v>20</v>
      </c>
      <c r="E305" t="s">
        <v>21</v>
      </c>
      <c r="F305" s="1">
        <v>43922</v>
      </c>
      <c r="G305">
        <v>5.6</v>
      </c>
      <c r="H305">
        <v>85.610600000000005</v>
      </c>
      <c r="I305">
        <v>14.85</v>
      </c>
      <c r="J305">
        <v>61.11</v>
      </c>
      <c r="K305" t="s">
        <v>30</v>
      </c>
      <c r="L305">
        <v>1116.67</v>
      </c>
      <c r="M305">
        <f>VLOOKUP(K305,RatingLookup!$A$2:$C$8,2,FALSE)</f>
        <v>1.4999999999999999E-2</v>
      </c>
      <c r="N305">
        <f t="shared" si="12"/>
        <v>1.2586770182638762E-3</v>
      </c>
      <c r="O305">
        <f>VLOOKUP(K305,RatingLookup!$A$2:$C$8,3,FALSE)</f>
        <v>0.5</v>
      </c>
      <c r="P305">
        <f t="shared" si="13"/>
        <v>0.70276343299236144</v>
      </c>
      <c r="Q305" t="str">
        <f t="shared" ca="1" si="14"/>
        <v>No</v>
      </c>
    </row>
    <row r="306" spans="1:17" x14ac:dyDescent="0.45">
      <c r="A306" t="s">
        <v>38</v>
      </c>
      <c r="B306" t="s">
        <v>39</v>
      </c>
      <c r="C306" t="s">
        <v>40</v>
      </c>
      <c r="D306" t="s">
        <v>20</v>
      </c>
      <c r="E306" t="s">
        <v>21</v>
      </c>
      <c r="F306" s="1">
        <v>43952</v>
      </c>
      <c r="G306">
        <v>5.24</v>
      </c>
      <c r="H306">
        <v>82.295900000000003</v>
      </c>
      <c r="I306">
        <v>9.7899999999999991</v>
      </c>
      <c r="J306">
        <v>89.25</v>
      </c>
      <c r="K306" t="s">
        <v>30</v>
      </c>
      <c r="L306">
        <v>1144.56</v>
      </c>
      <c r="M306">
        <f>VLOOKUP(K306,RatingLookup!$A$2:$C$8,2,FALSE)</f>
        <v>1.4999999999999999E-2</v>
      </c>
      <c r="N306">
        <f t="shared" si="12"/>
        <v>1.2586770182638762E-3</v>
      </c>
      <c r="O306">
        <f>VLOOKUP(K306,RatingLookup!$A$2:$C$8,3,FALSE)</f>
        <v>0.5</v>
      </c>
      <c r="P306">
        <f t="shared" si="13"/>
        <v>0.72031568401205104</v>
      </c>
      <c r="Q306" t="str">
        <f t="shared" ca="1" si="14"/>
        <v>No</v>
      </c>
    </row>
    <row r="307" spans="1:17" x14ac:dyDescent="0.45">
      <c r="A307" t="s">
        <v>38</v>
      </c>
      <c r="B307" t="s">
        <v>39</v>
      </c>
      <c r="C307" t="s">
        <v>40</v>
      </c>
      <c r="D307" t="s">
        <v>20</v>
      </c>
      <c r="E307" t="s">
        <v>21</v>
      </c>
      <c r="F307" s="1">
        <v>43983</v>
      </c>
      <c r="G307">
        <v>5.28</v>
      </c>
      <c r="H307">
        <v>84.348600000000005</v>
      </c>
      <c r="I307">
        <v>22.57</v>
      </c>
      <c r="J307">
        <v>86.09</v>
      </c>
      <c r="K307" t="s">
        <v>30</v>
      </c>
      <c r="L307">
        <v>1081.81</v>
      </c>
      <c r="M307">
        <f>VLOOKUP(K307,RatingLookup!$A$2:$C$8,2,FALSE)</f>
        <v>1.4999999999999999E-2</v>
      </c>
      <c r="N307">
        <f t="shared" si="12"/>
        <v>1.2586770182638762E-3</v>
      </c>
      <c r="O307">
        <f>VLOOKUP(K307,RatingLookup!$A$2:$C$8,3,FALSE)</f>
        <v>0.5</v>
      </c>
      <c r="P307">
        <f t="shared" si="13"/>
        <v>0.68082469256402189</v>
      </c>
      <c r="Q307" t="str">
        <f t="shared" ca="1" si="14"/>
        <v>No</v>
      </c>
    </row>
    <row r="308" spans="1:17" x14ac:dyDescent="0.45">
      <c r="A308" t="s">
        <v>38</v>
      </c>
      <c r="B308" t="s">
        <v>39</v>
      </c>
      <c r="C308" t="s">
        <v>40</v>
      </c>
      <c r="D308" t="s">
        <v>20</v>
      </c>
      <c r="E308" t="s">
        <v>21</v>
      </c>
      <c r="F308" s="1">
        <v>44013</v>
      </c>
      <c r="G308">
        <v>5.4</v>
      </c>
      <c r="H308">
        <v>83.785399999999996</v>
      </c>
      <c r="I308">
        <v>28.14</v>
      </c>
      <c r="J308">
        <v>99.94</v>
      </c>
      <c r="K308" t="s">
        <v>30</v>
      </c>
      <c r="L308">
        <v>1074.28</v>
      </c>
      <c r="M308">
        <f>VLOOKUP(K308,RatingLookup!$A$2:$C$8,2,FALSE)</f>
        <v>1.4999999999999999E-2</v>
      </c>
      <c r="N308">
        <f t="shared" si="12"/>
        <v>1.2586770182638762E-3</v>
      </c>
      <c r="O308">
        <f>VLOOKUP(K308,RatingLookup!$A$2:$C$8,3,FALSE)</f>
        <v>0.5</v>
      </c>
      <c r="P308">
        <f t="shared" si="13"/>
        <v>0.67608577359025845</v>
      </c>
      <c r="Q308" t="str">
        <f t="shared" ca="1" si="14"/>
        <v>No</v>
      </c>
    </row>
    <row r="309" spans="1:17" x14ac:dyDescent="0.45">
      <c r="A309" t="s">
        <v>38</v>
      </c>
      <c r="B309" t="s">
        <v>39</v>
      </c>
      <c r="C309" t="s">
        <v>40</v>
      </c>
      <c r="D309" t="s">
        <v>20</v>
      </c>
      <c r="E309" t="s">
        <v>21</v>
      </c>
      <c r="F309" s="1">
        <v>44044</v>
      </c>
      <c r="G309">
        <v>5.58</v>
      </c>
      <c r="H309">
        <v>80.684700000000007</v>
      </c>
      <c r="I309">
        <v>14.61</v>
      </c>
      <c r="J309">
        <v>75.42</v>
      </c>
      <c r="K309" t="s">
        <v>30</v>
      </c>
      <c r="L309">
        <v>1099.24</v>
      </c>
      <c r="M309">
        <f>VLOOKUP(K309,RatingLookup!$A$2:$C$8,2,FALSE)</f>
        <v>1.4999999999999999E-2</v>
      </c>
      <c r="N309">
        <f t="shared" si="12"/>
        <v>1.2586770182638762E-3</v>
      </c>
      <c r="O309">
        <f>VLOOKUP(K309,RatingLookup!$A$2:$C$8,3,FALSE)</f>
        <v>0.5</v>
      </c>
      <c r="P309">
        <f t="shared" si="13"/>
        <v>0.69179406277819167</v>
      </c>
      <c r="Q309" t="str">
        <f t="shared" ca="1" si="14"/>
        <v>No</v>
      </c>
    </row>
    <row r="310" spans="1:17" x14ac:dyDescent="0.45">
      <c r="A310" t="s">
        <v>38</v>
      </c>
      <c r="B310" t="s">
        <v>39</v>
      </c>
      <c r="C310" t="s">
        <v>40</v>
      </c>
      <c r="D310" t="s">
        <v>20</v>
      </c>
      <c r="E310" t="s">
        <v>21</v>
      </c>
      <c r="F310" s="1">
        <v>44075</v>
      </c>
      <c r="G310">
        <v>5.14</v>
      </c>
      <c r="H310">
        <v>79.745599999999996</v>
      </c>
      <c r="I310">
        <v>23.03</v>
      </c>
      <c r="J310">
        <v>89.18</v>
      </c>
      <c r="K310" t="s">
        <v>30</v>
      </c>
      <c r="L310">
        <v>1198.71</v>
      </c>
      <c r="M310">
        <f>VLOOKUP(K310,RatingLookup!$A$2:$C$8,2,FALSE)</f>
        <v>1.4999999999999999E-2</v>
      </c>
      <c r="N310">
        <f t="shared" si="12"/>
        <v>1.2586770182638762E-3</v>
      </c>
      <c r="O310">
        <f>VLOOKUP(K310,RatingLookup!$A$2:$C$8,3,FALSE)</f>
        <v>0.5</v>
      </c>
      <c r="P310">
        <f t="shared" si="13"/>
        <v>0.7543943642815456</v>
      </c>
      <c r="Q310" t="str">
        <f t="shared" ca="1" si="14"/>
        <v>No</v>
      </c>
    </row>
    <row r="311" spans="1:17" x14ac:dyDescent="0.45">
      <c r="A311" t="s">
        <v>38</v>
      </c>
      <c r="B311" t="s">
        <v>39</v>
      </c>
      <c r="C311" t="s">
        <v>40</v>
      </c>
      <c r="D311" t="s">
        <v>20</v>
      </c>
      <c r="E311" t="s">
        <v>21</v>
      </c>
      <c r="F311" s="1">
        <v>44105</v>
      </c>
      <c r="G311">
        <v>5.21</v>
      </c>
      <c r="H311">
        <v>80.045199999999994</v>
      </c>
      <c r="I311">
        <v>12.64</v>
      </c>
      <c r="J311">
        <v>72.31</v>
      </c>
      <c r="K311" t="s">
        <v>30</v>
      </c>
      <c r="L311">
        <v>1069.71</v>
      </c>
      <c r="M311">
        <f>VLOOKUP(K311,RatingLookup!$A$2:$C$8,2,FALSE)</f>
        <v>1.4999999999999999E-2</v>
      </c>
      <c r="N311">
        <f t="shared" si="12"/>
        <v>1.2586770182638762E-3</v>
      </c>
      <c r="O311">
        <f>VLOOKUP(K311,RatingLookup!$A$2:$C$8,3,FALSE)</f>
        <v>0.5</v>
      </c>
      <c r="P311">
        <f t="shared" si="13"/>
        <v>0.67320969660352559</v>
      </c>
      <c r="Q311" t="str">
        <f t="shared" ca="1" si="14"/>
        <v>No</v>
      </c>
    </row>
    <row r="312" spans="1:17" x14ac:dyDescent="0.45">
      <c r="A312" t="s">
        <v>38</v>
      </c>
      <c r="B312" t="s">
        <v>39</v>
      </c>
      <c r="C312" t="s">
        <v>40</v>
      </c>
      <c r="D312" t="s">
        <v>20</v>
      </c>
      <c r="E312" t="s">
        <v>21</v>
      </c>
      <c r="F312" s="1">
        <v>44136</v>
      </c>
      <c r="G312">
        <v>5.92</v>
      </c>
      <c r="H312">
        <v>80.322199999999995</v>
      </c>
      <c r="I312">
        <v>11.17</v>
      </c>
      <c r="J312">
        <v>77.42</v>
      </c>
      <c r="K312" t="s">
        <v>30</v>
      </c>
      <c r="L312">
        <v>1046.6300000000001</v>
      </c>
      <c r="M312">
        <f>VLOOKUP(K312,RatingLookup!$A$2:$C$8,2,FALSE)</f>
        <v>1.4999999999999999E-2</v>
      </c>
      <c r="N312">
        <f t="shared" si="12"/>
        <v>1.2586770182638762E-3</v>
      </c>
      <c r="O312">
        <f>VLOOKUP(K312,RatingLookup!$A$2:$C$8,3,FALSE)</f>
        <v>0.5</v>
      </c>
      <c r="P312">
        <f t="shared" si="13"/>
        <v>0.65868456381276042</v>
      </c>
      <c r="Q312" t="str">
        <f t="shared" ca="1" si="14"/>
        <v>No</v>
      </c>
    </row>
    <row r="313" spans="1:17" x14ac:dyDescent="0.45">
      <c r="A313" t="s">
        <v>38</v>
      </c>
      <c r="B313" t="s">
        <v>39</v>
      </c>
      <c r="C313" t="s">
        <v>40</v>
      </c>
      <c r="D313" t="s">
        <v>20</v>
      </c>
      <c r="E313" t="s">
        <v>21</v>
      </c>
      <c r="F313" s="1">
        <v>44166</v>
      </c>
      <c r="G313">
        <v>4.42</v>
      </c>
      <c r="H313">
        <v>82.553100000000001</v>
      </c>
      <c r="I313">
        <v>7.72</v>
      </c>
      <c r="J313">
        <v>83.85</v>
      </c>
      <c r="K313" t="s">
        <v>30</v>
      </c>
      <c r="L313">
        <v>1042.67</v>
      </c>
      <c r="M313">
        <f>VLOOKUP(K313,RatingLookup!$A$2:$C$8,2,FALSE)</f>
        <v>1.4999999999999999E-2</v>
      </c>
      <c r="N313">
        <f t="shared" si="12"/>
        <v>1.2586770182638762E-3</v>
      </c>
      <c r="O313">
        <f>VLOOKUP(K313,RatingLookup!$A$2:$C$8,3,FALSE)</f>
        <v>0.5</v>
      </c>
      <c r="P313">
        <f t="shared" si="13"/>
        <v>0.65619238331659802</v>
      </c>
      <c r="Q313" t="str">
        <f t="shared" ca="1" si="14"/>
        <v>No</v>
      </c>
    </row>
    <row r="314" spans="1:17" x14ac:dyDescent="0.45">
      <c r="A314" t="s">
        <v>38</v>
      </c>
      <c r="B314" t="s">
        <v>39</v>
      </c>
      <c r="C314" t="s">
        <v>40</v>
      </c>
      <c r="D314" t="s">
        <v>20</v>
      </c>
      <c r="E314" t="s">
        <v>21</v>
      </c>
      <c r="F314" s="1">
        <v>44197</v>
      </c>
      <c r="G314">
        <v>5.59</v>
      </c>
      <c r="H314">
        <v>83.468699999999998</v>
      </c>
      <c r="I314">
        <v>19.27</v>
      </c>
      <c r="J314">
        <v>65.61</v>
      </c>
      <c r="K314" t="s">
        <v>30</v>
      </c>
      <c r="L314">
        <v>1160.3</v>
      </c>
      <c r="M314">
        <f>VLOOKUP(K314,RatingLookup!$A$2:$C$8,2,FALSE)</f>
        <v>1.4999999999999999E-2</v>
      </c>
      <c r="N314">
        <f t="shared" si="12"/>
        <v>1.2586770182638762E-3</v>
      </c>
      <c r="O314">
        <f>VLOOKUP(K314,RatingLookup!$A$2:$C$8,3,FALSE)</f>
        <v>0.5</v>
      </c>
      <c r="P314">
        <f t="shared" si="13"/>
        <v>0.73022147214578781</v>
      </c>
      <c r="Q314" t="str">
        <f t="shared" ca="1" si="14"/>
        <v>No</v>
      </c>
    </row>
    <row r="315" spans="1:17" x14ac:dyDescent="0.45">
      <c r="A315" t="s">
        <v>38</v>
      </c>
      <c r="B315" t="s">
        <v>39</v>
      </c>
      <c r="C315" t="s">
        <v>40</v>
      </c>
      <c r="D315" t="s">
        <v>20</v>
      </c>
      <c r="E315" t="s">
        <v>21</v>
      </c>
      <c r="F315" s="1">
        <v>44228</v>
      </c>
      <c r="G315">
        <v>6.08</v>
      </c>
      <c r="H315">
        <v>81.373000000000005</v>
      </c>
      <c r="I315">
        <v>15.99</v>
      </c>
      <c r="J315">
        <v>72.12</v>
      </c>
      <c r="K315" t="s">
        <v>31</v>
      </c>
      <c r="L315">
        <v>1145.42</v>
      </c>
      <c r="M315">
        <f>VLOOKUP(K315,RatingLookup!$A$2:$C$8,2,FALSE)</f>
        <v>0.04</v>
      </c>
      <c r="N315">
        <f t="shared" si="12"/>
        <v>3.3960531989175591E-3</v>
      </c>
      <c r="O315">
        <f>VLOOKUP(K315,RatingLookup!$A$2:$C$8,3,FALSE)</f>
        <v>0.6</v>
      </c>
      <c r="P315">
        <f t="shared" si="13"/>
        <v>2.3339443530624902</v>
      </c>
      <c r="Q315" t="str">
        <f t="shared" ca="1" si="14"/>
        <v>No</v>
      </c>
    </row>
    <row r="316" spans="1:17" x14ac:dyDescent="0.45">
      <c r="A316" t="s">
        <v>38</v>
      </c>
      <c r="B316" t="s">
        <v>39</v>
      </c>
      <c r="C316" t="s">
        <v>40</v>
      </c>
      <c r="D316" t="s">
        <v>20</v>
      </c>
      <c r="E316" t="s">
        <v>21</v>
      </c>
      <c r="F316" s="1">
        <v>44256</v>
      </c>
      <c r="G316">
        <v>5.28</v>
      </c>
      <c r="H316">
        <v>81.130700000000004</v>
      </c>
      <c r="I316">
        <v>12.63</v>
      </c>
      <c r="J316">
        <v>80.94</v>
      </c>
      <c r="K316" t="s">
        <v>31</v>
      </c>
      <c r="L316">
        <v>1109.32</v>
      </c>
      <c r="M316">
        <f>VLOOKUP(K316,RatingLookup!$A$2:$C$8,2,FALSE)</f>
        <v>0.04</v>
      </c>
      <c r="N316">
        <f t="shared" si="12"/>
        <v>3.3960531989175591E-3</v>
      </c>
      <c r="O316">
        <f>VLOOKUP(K316,RatingLookup!$A$2:$C$8,3,FALSE)</f>
        <v>0.6</v>
      </c>
      <c r="P316">
        <f t="shared" si="13"/>
        <v>2.2603858407739357</v>
      </c>
      <c r="Q316" t="str">
        <f t="shared" ca="1" si="14"/>
        <v>No</v>
      </c>
    </row>
    <row r="317" spans="1:17" x14ac:dyDescent="0.45">
      <c r="A317" t="s">
        <v>38</v>
      </c>
      <c r="B317" t="s">
        <v>39</v>
      </c>
      <c r="C317" t="s">
        <v>40</v>
      </c>
      <c r="D317" t="s">
        <v>20</v>
      </c>
      <c r="E317" t="s">
        <v>21</v>
      </c>
      <c r="F317" s="1">
        <v>44287</v>
      </c>
      <c r="G317">
        <v>5.23</v>
      </c>
      <c r="H317">
        <v>77.5989</v>
      </c>
      <c r="I317">
        <v>21.26</v>
      </c>
      <c r="J317">
        <v>89.41</v>
      </c>
      <c r="K317" t="s">
        <v>31</v>
      </c>
      <c r="L317">
        <v>921.56</v>
      </c>
      <c r="M317">
        <f>VLOOKUP(K317,RatingLookup!$A$2:$C$8,2,FALSE)</f>
        <v>0.04</v>
      </c>
      <c r="N317">
        <f t="shared" si="12"/>
        <v>3.3960531989175591E-3</v>
      </c>
      <c r="O317">
        <f>VLOOKUP(K317,RatingLookup!$A$2:$C$8,3,FALSE)</f>
        <v>0.6</v>
      </c>
      <c r="P317">
        <f t="shared" si="13"/>
        <v>1.8778000715966792</v>
      </c>
      <c r="Q317" t="str">
        <f t="shared" ca="1" si="14"/>
        <v>No</v>
      </c>
    </row>
    <row r="318" spans="1:17" x14ac:dyDescent="0.45">
      <c r="A318" t="s">
        <v>38</v>
      </c>
      <c r="B318" t="s">
        <v>39</v>
      </c>
      <c r="C318" t="s">
        <v>40</v>
      </c>
      <c r="D318" t="s">
        <v>20</v>
      </c>
      <c r="E318" t="s">
        <v>21</v>
      </c>
      <c r="F318" s="1">
        <v>44317</v>
      </c>
      <c r="G318">
        <v>5.26</v>
      </c>
      <c r="H318">
        <v>83.069599999999994</v>
      </c>
      <c r="I318">
        <v>21.24</v>
      </c>
      <c r="J318">
        <v>89.08</v>
      </c>
      <c r="K318" t="s">
        <v>30</v>
      </c>
      <c r="L318">
        <v>1129.3</v>
      </c>
      <c r="M318">
        <f>VLOOKUP(K318,RatingLookup!$A$2:$C$8,2,FALSE)</f>
        <v>1.4999999999999999E-2</v>
      </c>
      <c r="N318">
        <f t="shared" si="12"/>
        <v>1.2586770182638762E-3</v>
      </c>
      <c r="O318">
        <f>VLOOKUP(K318,RatingLookup!$A$2:$C$8,3,FALSE)</f>
        <v>0.5</v>
      </c>
      <c r="P318">
        <f t="shared" si="13"/>
        <v>0.71071197836269773</v>
      </c>
      <c r="Q318" t="str">
        <f t="shared" ca="1" si="14"/>
        <v>No</v>
      </c>
    </row>
    <row r="319" spans="1:17" x14ac:dyDescent="0.45">
      <c r="A319" t="s">
        <v>38</v>
      </c>
      <c r="B319" t="s">
        <v>39</v>
      </c>
      <c r="C319" t="s">
        <v>40</v>
      </c>
      <c r="D319" t="s">
        <v>20</v>
      </c>
      <c r="E319" t="s">
        <v>21</v>
      </c>
      <c r="F319" s="1">
        <v>44348</v>
      </c>
      <c r="G319">
        <v>7.25</v>
      </c>
      <c r="H319">
        <v>76.507900000000006</v>
      </c>
      <c r="I319">
        <v>26.44</v>
      </c>
      <c r="J319">
        <v>74.89</v>
      </c>
      <c r="K319" t="s">
        <v>30</v>
      </c>
      <c r="L319">
        <v>1023.21</v>
      </c>
      <c r="M319">
        <f>VLOOKUP(K319,RatingLookup!$A$2:$C$8,2,FALSE)</f>
        <v>1.4999999999999999E-2</v>
      </c>
      <c r="N319">
        <f t="shared" si="12"/>
        <v>1.2586770182638762E-3</v>
      </c>
      <c r="O319">
        <f>VLOOKUP(K319,RatingLookup!$A$2:$C$8,3,FALSE)</f>
        <v>0.5</v>
      </c>
      <c r="P319">
        <f t="shared" si="13"/>
        <v>0.64394545592889041</v>
      </c>
      <c r="Q319" t="str">
        <f t="shared" ca="1" si="14"/>
        <v>No</v>
      </c>
    </row>
    <row r="320" spans="1:17" x14ac:dyDescent="0.45">
      <c r="A320" t="s">
        <v>38</v>
      </c>
      <c r="B320" t="s">
        <v>39</v>
      </c>
      <c r="C320" t="s">
        <v>40</v>
      </c>
      <c r="D320" t="s">
        <v>20</v>
      </c>
      <c r="E320" t="s">
        <v>21</v>
      </c>
      <c r="F320" s="1">
        <v>44378</v>
      </c>
      <c r="G320">
        <v>5.61</v>
      </c>
      <c r="H320">
        <v>82.934799999999996</v>
      </c>
      <c r="I320">
        <v>24.68</v>
      </c>
      <c r="J320">
        <v>91.74</v>
      </c>
      <c r="K320" t="s">
        <v>30</v>
      </c>
      <c r="L320">
        <v>1185.54</v>
      </c>
      <c r="M320">
        <f>VLOOKUP(K320,RatingLookup!$A$2:$C$8,2,FALSE)</f>
        <v>1.4999999999999999E-2</v>
      </c>
      <c r="N320">
        <f t="shared" si="12"/>
        <v>1.2586770182638762E-3</v>
      </c>
      <c r="O320">
        <f>VLOOKUP(K320,RatingLookup!$A$2:$C$8,3,FALSE)</f>
        <v>0.5</v>
      </c>
      <c r="P320">
        <f t="shared" si="13"/>
        <v>0.74610597611627794</v>
      </c>
      <c r="Q320" t="str">
        <f t="shared" ca="1" si="14"/>
        <v>No</v>
      </c>
    </row>
    <row r="321" spans="1:17" x14ac:dyDescent="0.45">
      <c r="A321" t="s">
        <v>38</v>
      </c>
      <c r="B321" t="s">
        <v>39</v>
      </c>
      <c r="C321" t="s">
        <v>40</v>
      </c>
      <c r="D321" t="s">
        <v>20</v>
      </c>
      <c r="E321" t="s">
        <v>21</v>
      </c>
      <c r="F321" s="1">
        <v>44409</v>
      </c>
      <c r="G321">
        <v>5.16</v>
      </c>
      <c r="H321">
        <v>83.445300000000003</v>
      </c>
      <c r="I321">
        <v>17.28</v>
      </c>
      <c r="J321">
        <v>63.45</v>
      </c>
      <c r="K321" t="s">
        <v>30</v>
      </c>
      <c r="L321">
        <v>1170.45</v>
      </c>
      <c r="M321">
        <f>VLOOKUP(K321,RatingLookup!$A$2:$C$8,2,FALSE)</f>
        <v>1.4999999999999999E-2</v>
      </c>
      <c r="N321">
        <f t="shared" si="12"/>
        <v>1.2586770182638762E-3</v>
      </c>
      <c r="O321">
        <f>VLOOKUP(K321,RatingLookup!$A$2:$C$8,3,FALSE)</f>
        <v>0.5</v>
      </c>
      <c r="P321">
        <f t="shared" si="13"/>
        <v>0.73660925801347699</v>
      </c>
      <c r="Q321" t="str">
        <f t="shared" ca="1" si="14"/>
        <v>No</v>
      </c>
    </row>
    <row r="322" spans="1:17" x14ac:dyDescent="0.45">
      <c r="A322" t="s">
        <v>38</v>
      </c>
      <c r="B322" t="s">
        <v>39</v>
      </c>
      <c r="C322" t="s">
        <v>40</v>
      </c>
      <c r="D322" t="s">
        <v>20</v>
      </c>
      <c r="E322" t="s">
        <v>21</v>
      </c>
      <c r="F322" s="1">
        <v>44440</v>
      </c>
      <c r="G322">
        <v>5.47</v>
      </c>
      <c r="H322">
        <v>81.800299999999993</v>
      </c>
      <c r="I322">
        <v>16.2</v>
      </c>
      <c r="J322">
        <v>64.2</v>
      </c>
      <c r="K322" t="s">
        <v>30</v>
      </c>
      <c r="L322">
        <v>1126.52</v>
      </c>
      <c r="M322">
        <f>VLOOKUP(K322,RatingLookup!$A$2:$C$8,2,FALSE)</f>
        <v>1.4999999999999999E-2</v>
      </c>
      <c r="N322">
        <f t="shared" ref="N322:N385" si="15">1-(1-M322)^(1/12)</f>
        <v>1.2586770182638762E-3</v>
      </c>
      <c r="O322">
        <f>VLOOKUP(K322,RatingLookup!$A$2:$C$8,3,FALSE)</f>
        <v>0.5</v>
      </c>
      <c r="P322">
        <f t="shared" ref="P322:P385" si="16">L322*N322*O322</f>
        <v>0.70896241730731091</v>
      </c>
      <c r="Q322" t="str">
        <f t="shared" ref="Q322:Q385" ca="1" si="17">IF(RAND()&lt;N322,"Yes","No")</f>
        <v>No</v>
      </c>
    </row>
    <row r="323" spans="1:17" x14ac:dyDescent="0.45">
      <c r="A323" t="s">
        <v>38</v>
      </c>
      <c r="B323" t="s">
        <v>39</v>
      </c>
      <c r="C323" t="s">
        <v>40</v>
      </c>
      <c r="D323" t="s">
        <v>20</v>
      </c>
      <c r="E323" t="s">
        <v>21</v>
      </c>
      <c r="F323" s="1">
        <v>44470</v>
      </c>
      <c r="G323">
        <v>5.92</v>
      </c>
      <c r="H323">
        <v>80.598600000000005</v>
      </c>
      <c r="I323">
        <v>10.75</v>
      </c>
      <c r="J323">
        <v>74.64</v>
      </c>
      <c r="K323" t="s">
        <v>30</v>
      </c>
      <c r="L323">
        <v>1100.19</v>
      </c>
      <c r="M323">
        <f>VLOOKUP(K323,RatingLookup!$A$2:$C$8,2,FALSE)</f>
        <v>1.4999999999999999E-2</v>
      </c>
      <c r="N323">
        <f t="shared" si="15"/>
        <v>1.2586770182638762E-3</v>
      </c>
      <c r="O323">
        <f>VLOOKUP(K323,RatingLookup!$A$2:$C$8,3,FALSE)</f>
        <v>0.5</v>
      </c>
      <c r="P323">
        <f t="shared" si="16"/>
        <v>0.69239193436186708</v>
      </c>
      <c r="Q323" t="str">
        <f t="shared" ca="1" si="17"/>
        <v>No</v>
      </c>
    </row>
    <row r="324" spans="1:17" x14ac:dyDescent="0.45">
      <c r="A324" t="s">
        <v>38</v>
      </c>
      <c r="B324" t="s">
        <v>39</v>
      </c>
      <c r="C324" t="s">
        <v>40</v>
      </c>
      <c r="D324" t="s">
        <v>20</v>
      </c>
      <c r="E324" t="s">
        <v>21</v>
      </c>
      <c r="F324" s="1">
        <v>44501</v>
      </c>
      <c r="G324">
        <v>5.2</v>
      </c>
      <c r="H324">
        <v>79.314800000000005</v>
      </c>
      <c r="I324">
        <v>15.09</v>
      </c>
      <c r="J324">
        <v>80.599999999999994</v>
      </c>
      <c r="K324" t="s">
        <v>30</v>
      </c>
      <c r="L324">
        <v>1174.95</v>
      </c>
      <c r="M324">
        <f>VLOOKUP(K324,RatingLookup!$A$2:$C$8,2,FALSE)</f>
        <v>1.4999999999999999E-2</v>
      </c>
      <c r="N324">
        <f t="shared" si="15"/>
        <v>1.2586770182638762E-3</v>
      </c>
      <c r="O324">
        <f>VLOOKUP(K324,RatingLookup!$A$2:$C$8,3,FALSE)</f>
        <v>0.5</v>
      </c>
      <c r="P324">
        <f t="shared" si="16"/>
        <v>0.73944128130457076</v>
      </c>
      <c r="Q324" t="str">
        <f t="shared" ca="1" si="17"/>
        <v>No</v>
      </c>
    </row>
    <row r="325" spans="1:17" x14ac:dyDescent="0.45">
      <c r="A325" t="s">
        <v>38</v>
      </c>
      <c r="B325" t="s">
        <v>39</v>
      </c>
      <c r="C325" t="s">
        <v>40</v>
      </c>
      <c r="D325" t="s">
        <v>20</v>
      </c>
      <c r="E325" t="s">
        <v>21</v>
      </c>
      <c r="F325" s="1">
        <v>44531</v>
      </c>
      <c r="G325">
        <v>5.9</v>
      </c>
      <c r="H325">
        <v>82.391800000000003</v>
      </c>
      <c r="I325">
        <v>16.86</v>
      </c>
      <c r="J325">
        <v>81.180000000000007</v>
      </c>
      <c r="K325" t="s">
        <v>31</v>
      </c>
      <c r="L325">
        <v>1089.32</v>
      </c>
      <c r="M325">
        <f>VLOOKUP(K325,RatingLookup!$A$2:$C$8,2,FALSE)</f>
        <v>0.04</v>
      </c>
      <c r="N325">
        <f t="shared" si="15"/>
        <v>3.3960531989175591E-3</v>
      </c>
      <c r="O325">
        <f>VLOOKUP(K325,RatingLookup!$A$2:$C$8,3,FALSE)</f>
        <v>0.6</v>
      </c>
      <c r="P325">
        <f t="shared" si="16"/>
        <v>2.219633202386925</v>
      </c>
      <c r="Q325" t="str">
        <f t="shared" ca="1" si="17"/>
        <v>No</v>
      </c>
    </row>
    <row r="326" spans="1:17" x14ac:dyDescent="0.45">
      <c r="A326" t="s">
        <v>38</v>
      </c>
      <c r="B326" t="s">
        <v>39</v>
      </c>
      <c r="C326" t="s">
        <v>40</v>
      </c>
      <c r="D326" t="s">
        <v>20</v>
      </c>
      <c r="E326" t="s">
        <v>21</v>
      </c>
      <c r="F326" s="1">
        <v>44562</v>
      </c>
      <c r="G326">
        <v>4.6900000000000004</v>
      </c>
      <c r="H326">
        <v>83.416200000000003</v>
      </c>
      <c r="I326">
        <v>13.7</v>
      </c>
      <c r="J326">
        <v>77.77</v>
      </c>
      <c r="K326" t="s">
        <v>31</v>
      </c>
      <c r="L326">
        <v>1108.0899999999999</v>
      </c>
      <c r="M326">
        <f>VLOOKUP(K326,RatingLookup!$A$2:$C$8,2,FALSE)</f>
        <v>0.04</v>
      </c>
      <c r="N326">
        <f t="shared" si="15"/>
        <v>3.3960531989175591E-3</v>
      </c>
      <c r="O326">
        <f>VLOOKUP(K326,RatingLookup!$A$2:$C$8,3,FALSE)</f>
        <v>0.6</v>
      </c>
      <c r="P326">
        <f t="shared" si="16"/>
        <v>2.2578795535131344</v>
      </c>
      <c r="Q326" t="str">
        <f t="shared" ca="1" si="17"/>
        <v>No</v>
      </c>
    </row>
    <row r="327" spans="1:17" x14ac:dyDescent="0.45">
      <c r="A327" t="s">
        <v>38</v>
      </c>
      <c r="B327" t="s">
        <v>39</v>
      </c>
      <c r="C327" t="s">
        <v>40</v>
      </c>
      <c r="D327" t="s">
        <v>20</v>
      </c>
      <c r="E327" t="s">
        <v>21</v>
      </c>
      <c r="F327" s="1">
        <v>44593</v>
      </c>
      <c r="G327">
        <v>6.97</v>
      </c>
      <c r="H327">
        <v>87.179400000000001</v>
      </c>
      <c r="I327">
        <v>21.44</v>
      </c>
      <c r="J327">
        <v>80.36</v>
      </c>
      <c r="K327" t="s">
        <v>31</v>
      </c>
      <c r="L327">
        <v>1029.7</v>
      </c>
      <c r="M327">
        <f>VLOOKUP(K327,RatingLookup!$A$2:$C$8,2,FALSE)</f>
        <v>0.04</v>
      </c>
      <c r="N327">
        <f t="shared" si="15"/>
        <v>3.3960531989175591E-3</v>
      </c>
      <c r="O327">
        <f>VLOOKUP(K327,RatingLookup!$A$2:$C$8,3,FALSE)</f>
        <v>0.6</v>
      </c>
      <c r="P327">
        <f t="shared" si="16"/>
        <v>2.0981495873552465</v>
      </c>
      <c r="Q327" t="str">
        <f t="shared" ca="1" si="17"/>
        <v>No</v>
      </c>
    </row>
    <row r="328" spans="1:17" x14ac:dyDescent="0.45">
      <c r="A328" t="s">
        <v>38</v>
      </c>
      <c r="B328" t="s">
        <v>39</v>
      </c>
      <c r="C328" t="s">
        <v>40</v>
      </c>
      <c r="D328" t="s">
        <v>20</v>
      </c>
      <c r="E328" t="s">
        <v>21</v>
      </c>
      <c r="F328" s="1">
        <v>44621</v>
      </c>
      <c r="G328">
        <v>6.56</v>
      </c>
      <c r="H328">
        <v>80.950299999999999</v>
      </c>
      <c r="I328">
        <v>13.2</v>
      </c>
      <c r="J328">
        <v>76.69</v>
      </c>
      <c r="K328" t="s">
        <v>30</v>
      </c>
      <c r="L328">
        <v>1265.8399999999999</v>
      </c>
      <c r="M328">
        <f>VLOOKUP(K328,RatingLookup!$A$2:$C$8,2,FALSE)</f>
        <v>1.4999999999999999E-2</v>
      </c>
      <c r="N328">
        <f t="shared" si="15"/>
        <v>1.2586770182638762E-3</v>
      </c>
      <c r="O328">
        <f>VLOOKUP(K328,RatingLookup!$A$2:$C$8,3,FALSE)</f>
        <v>0.5</v>
      </c>
      <c r="P328">
        <f t="shared" si="16"/>
        <v>0.79664185839957247</v>
      </c>
      <c r="Q328" t="str">
        <f t="shared" ca="1" si="17"/>
        <v>No</v>
      </c>
    </row>
    <row r="329" spans="1:17" x14ac:dyDescent="0.45">
      <c r="A329" t="s">
        <v>38</v>
      </c>
      <c r="B329" t="s">
        <v>39</v>
      </c>
      <c r="C329" t="s">
        <v>40</v>
      </c>
      <c r="D329" t="s">
        <v>20</v>
      </c>
      <c r="E329" t="s">
        <v>21</v>
      </c>
      <c r="F329" s="1">
        <v>44652</v>
      </c>
      <c r="G329">
        <v>5.96</v>
      </c>
      <c r="H329">
        <v>78.402299999999997</v>
      </c>
      <c r="I329">
        <v>31.36</v>
      </c>
      <c r="J329">
        <v>86.26</v>
      </c>
      <c r="K329" t="s">
        <v>30</v>
      </c>
      <c r="L329">
        <v>1249.9000000000001</v>
      </c>
      <c r="M329">
        <f>VLOOKUP(K329,RatingLookup!$A$2:$C$8,2,FALSE)</f>
        <v>1.4999999999999999E-2</v>
      </c>
      <c r="N329">
        <f t="shared" si="15"/>
        <v>1.2586770182638762E-3</v>
      </c>
      <c r="O329">
        <f>VLOOKUP(K329,RatingLookup!$A$2:$C$8,3,FALSE)</f>
        <v>0.5</v>
      </c>
      <c r="P329">
        <f t="shared" si="16"/>
        <v>0.78661020256400949</v>
      </c>
      <c r="Q329" t="str">
        <f t="shared" ca="1" si="17"/>
        <v>No</v>
      </c>
    </row>
    <row r="330" spans="1:17" x14ac:dyDescent="0.45">
      <c r="A330" t="s">
        <v>38</v>
      </c>
      <c r="B330" t="s">
        <v>39</v>
      </c>
      <c r="C330" t="s">
        <v>40</v>
      </c>
      <c r="D330" t="s">
        <v>20</v>
      </c>
      <c r="E330" t="s">
        <v>21</v>
      </c>
      <c r="F330" s="1">
        <v>44682</v>
      </c>
      <c r="G330">
        <v>5.42</v>
      </c>
      <c r="H330">
        <v>80.042599999999993</v>
      </c>
      <c r="I330">
        <v>10.78</v>
      </c>
      <c r="J330">
        <v>82.87</v>
      </c>
      <c r="K330" t="s">
        <v>30</v>
      </c>
      <c r="L330">
        <v>1180.82</v>
      </c>
      <c r="M330">
        <f>VLOOKUP(K330,RatingLookup!$A$2:$C$8,2,FALSE)</f>
        <v>1.4999999999999999E-2</v>
      </c>
      <c r="N330">
        <f t="shared" si="15"/>
        <v>1.2586770182638762E-3</v>
      </c>
      <c r="O330">
        <f>VLOOKUP(K330,RatingLookup!$A$2:$C$8,3,FALSE)</f>
        <v>0.5</v>
      </c>
      <c r="P330">
        <f t="shared" si="16"/>
        <v>0.74313549835317516</v>
      </c>
      <c r="Q330" t="str">
        <f t="shared" ca="1" si="17"/>
        <v>No</v>
      </c>
    </row>
    <row r="331" spans="1:17" x14ac:dyDescent="0.45">
      <c r="A331" t="s">
        <v>38</v>
      </c>
      <c r="B331" t="s">
        <v>39</v>
      </c>
      <c r="C331" t="s">
        <v>40</v>
      </c>
      <c r="D331" t="s">
        <v>20</v>
      </c>
      <c r="E331" t="s">
        <v>21</v>
      </c>
      <c r="F331" s="1">
        <v>44713</v>
      </c>
      <c r="G331">
        <v>6.28</v>
      </c>
      <c r="H331">
        <v>79.123900000000006</v>
      </c>
      <c r="I331">
        <v>27.82</v>
      </c>
      <c r="J331">
        <v>78.599999999999994</v>
      </c>
      <c r="K331" t="s">
        <v>30</v>
      </c>
      <c r="L331">
        <v>1189.93</v>
      </c>
      <c r="M331">
        <f>VLOOKUP(K331,RatingLookup!$A$2:$C$8,2,FALSE)</f>
        <v>1.4999999999999999E-2</v>
      </c>
      <c r="N331">
        <f t="shared" si="15"/>
        <v>1.2586770182638762E-3</v>
      </c>
      <c r="O331">
        <f>VLOOKUP(K331,RatingLookup!$A$2:$C$8,3,FALSE)</f>
        <v>0.5</v>
      </c>
      <c r="P331">
        <f t="shared" si="16"/>
        <v>0.74886877217136716</v>
      </c>
      <c r="Q331" t="str">
        <f t="shared" ca="1" si="17"/>
        <v>No</v>
      </c>
    </row>
    <row r="332" spans="1:17" x14ac:dyDescent="0.45">
      <c r="A332" t="s">
        <v>38</v>
      </c>
      <c r="B332" t="s">
        <v>39</v>
      </c>
      <c r="C332" t="s">
        <v>40</v>
      </c>
      <c r="D332" t="s">
        <v>20</v>
      </c>
      <c r="E332" t="s">
        <v>21</v>
      </c>
      <c r="F332" s="1">
        <v>44743</v>
      </c>
      <c r="G332">
        <v>5.95</v>
      </c>
      <c r="H332">
        <v>86.247799999999998</v>
      </c>
      <c r="I332">
        <v>13.61</v>
      </c>
      <c r="J332">
        <v>84.98</v>
      </c>
      <c r="K332" t="s">
        <v>30</v>
      </c>
      <c r="L332">
        <v>1147.92</v>
      </c>
      <c r="M332">
        <f>VLOOKUP(K332,RatingLookup!$A$2:$C$8,2,FALSE)</f>
        <v>1.4999999999999999E-2</v>
      </c>
      <c r="N332">
        <f t="shared" si="15"/>
        <v>1.2586770182638762E-3</v>
      </c>
      <c r="O332">
        <f>VLOOKUP(K332,RatingLookup!$A$2:$C$8,3,FALSE)</f>
        <v>0.5</v>
      </c>
      <c r="P332">
        <f t="shared" si="16"/>
        <v>0.72243026140273447</v>
      </c>
      <c r="Q332" t="str">
        <f t="shared" ca="1" si="17"/>
        <v>No</v>
      </c>
    </row>
    <row r="333" spans="1:17" x14ac:dyDescent="0.45">
      <c r="A333" t="s">
        <v>38</v>
      </c>
      <c r="B333" t="s">
        <v>39</v>
      </c>
      <c r="C333" t="s">
        <v>40</v>
      </c>
      <c r="D333" t="s">
        <v>20</v>
      </c>
      <c r="E333" t="s">
        <v>21</v>
      </c>
      <c r="F333" s="1">
        <v>44774</v>
      </c>
      <c r="G333">
        <v>6.76</v>
      </c>
      <c r="H333">
        <v>83.495900000000006</v>
      </c>
      <c r="I333">
        <v>20.41</v>
      </c>
      <c r="J333">
        <v>78.64</v>
      </c>
      <c r="K333" t="s">
        <v>30</v>
      </c>
      <c r="L333">
        <v>1231.17</v>
      </c>
      <c r="M333">
        <f>VLOOKUP(K333,RatingLookup!$A$2:$C$8,2,FALSE)</f>
        <v>1.4999999999999999E-2</v>
      </c>
      <c r="N333">
        <f t="shared" si="15"/>
        <v>1.2586770182638762E-3</v>
      </c>
      <c r="O333">
        <f>VLOOKUP(K333,RatingLookup!$A$2:$C$8,3,FALSE)</f>
        <v>0.5</v>
      </c>
      <c r="P333">
        <f t="shared" si="16"/>
        <v>0.7748226922879683</v>
      </c>
      <c r="Q333" t="str">
        <f t="shared" ca="1" si="17"/>
        <v>No</v>
      </c>
    </row>
    <row r="334" spans="1:17" x14ac:dyDescent="0.45">
      <c r="A334" t="s">
        <v>38</v>
      </c>
      <c r="B334" t="s">
        <v>39</v>
      </c>
      <c r="C334" t="s">
        <v>40</v>
      </c>
      <c r="D334" t="s">
        <v>20</v>
      </c>
      <c r="E334" t="s">
        <v>21</v>
      </c>
      <c r="F334" s="1">
        <v>44805</v>
      </c>
      <c r="G334">
        <v>6.68</v>
      </c>
      <c r="H334">
        <v>83.989500000000007</v>
      </c>
      <c r="I334">
        <v>12.89</v>
      </c>
      <c r="J334">
        <v>84.7</v>
      </c>
      <c r="K334" t="s">
        <v>31</v>
      </c>
      <c r="L334">
        <v>1141.1400000000001</v>
      </c>
      <c r="M334">
        <f>VLOOKUP(K334,RatingLookup!$A$2:$C$8,2,FALSE)</f>
        <v>0.04</v>
      </c>
      <c r="N334">
        <f t="shared" si="15"/>
        <v>3.3960531989175591E-3</v>
      </c>
      <c r="O334">
        <f>VLOOKUP(K334,RatingLookup!$A$2:$C$8,3,FALSE)</f>
        <v>0.6</v>
      </c>
      <c r="P334">
        <f t="shared" si="16"/>
        <v>2.32522328844767</v>
      </c>
      <c r="Q334" t="str">
        <f t="shared" ca="1" si="17"/>
        <v>No</v>
      </c>
    </row>
    <row r="335" spans="1:17" x14ac:dyDescent="0.45">
      <c r="A335" t="s">
        <v>38</v>
      </c>
      <c r="B335" t="s">
        <v>39</v>
      </c>
      <c r="C335" t="s">
        <v>40</v>
      </c>
      <c r="D335" t="s">
        <v>20</v>
      </c>
      <c r="E335" t="s">
        <v>21</v>
      </c>
      <c r="F335" s="1">
        <v>44835</v>
      </c>
      <c r="G335">
        <v>5.81</v>
      </c>
      <c r="H335">
        <v>80.227199999999996</v>
      </c>
      <c r="I335">
        <v>7.4</v>
      </c>
      <c r="J335">
        <v>82.9</v>
      </c>
      <c r="K335" t="s">
        <v>30</v>
      </c>
      <c r="L335">
        <v>1078.98</v>
      </c>
      <c r="M335">
        <f>VLOOKUP(K335,RatingLookup!$A$2:$C$8,2,FALSE)</f>
        <v>1.4999999999999999E-2</v>
      </c>
      <c r="N335">
        <f t="shared" si="15"/>
        <v>1.2586770182638762E-3</v>
      </c>
      <c r="O335">
        <f>VLOOKUP(K335,RatingLookup!$A$2:$C$8,3,FALSE)</f>
        <v>0.5</v>
      </c>
      <c r="P335">
        <f t="shared" si="16"/>
        <v>0.67904366458317855</v>
      </c>
      <c r="Q335" t="str">
        <f t="shared" ca="1" si="17"/>
        <v>No</v>
      </c>
    </row>
    <row r="336" spans="1:17" x14ac:dyDescent="0.45">
      <c r="A336" t="s">
        <v>38</v>
      </c>
      <c r="B336" t="s">
        <v>39</v>
      </c>
      <c r="C336" t="s">
        <v>40</v>
      </c>
      <c r="D336" t="s">
        <v>20</v>
      </c>
      <c r="E336" t="s">
        <v>21</v>
      </c>
      <c r="F336" s="1">
        <v>44866</v>
      </c>
      <c r="G336">
        <v>5.96</v>
      </c>
      <c r="H336">
        <v>81.847099999999998</v>
      </c>
      <c r="I336">
        <v>17.88</v>
      </c>
      <c r="J336">
        <v>54.33</v>
      </c>
      <c r="K336" t="s">
        <v>30</v>
      </c>
      <c r="L336">
        <v>1210.17</v>
      </c>
      <c r="M336">
        <f>VLOOKUP(K336,RatingLookup!$A$2:$C$8,2,FALSE)</f>
        <v>1.4999999999999999E-2</v>
      </c>
      <c r="N336">
        <f t="shared" si="15"/>
        <v>1.2586770182638762E-3</v>
      </c>
      <c r="O336">
        <f>VLOOKUP(K336,RatingLookup!$A$2:$C$8,3,FALSE)</f>
        <v>0.5</v>
      </c>
      <c r="P336">
        <f t="shared" si="16"/>
        <v>0.76160658359619759</v>
      </c>
      <c r="Q336" t="str">
        <f t="shared" ca="1" si="17"/>
        <v>No</v>
      </c>
    </row>
    <row r="337" spans="1:17" x14ac:dyDescent="0.45">
      <c r="A337" t="s">
        <v>38</v>
      </c>
      <c r="B337" t="s">
        <v>39</v>
      </c>
      <c r="C337" t="s">
        <v>40</v>
      </c>
      <c r="D337" t="s">
        <v>20</v>
      </c>
      <c r="E337" t="s">
        <v>21</v>
      </c>
      <c r="F337" s="1">
        <v>44896</v>
      </c>
      <c r="G337">
        <v>5.08</v>
      </c>
      <c r="H337">
        <v>85.143900000000002</v>
      </c>
      <c r="I337">
        <v>14.18</v>
      </c>
      <c r="J337">
        <v>64.739999999999995</v>
      </c>
      <c r="K337" t="s">
        <v>30</v>
      </c>
      <c r="L337">
        <v>1138.1099999999999</v>
      </c>
      <c r="M337">
        <f>VLOOKUP(K337,RatingLookup!$A$2:$C$8,2,FALSE)</f>
        <v>1.4999999999999999E-2</v>
      </c>
      <c r="N337">
        <f t="shared" si="15"/>
        <v>1.2586770182638762E-3</v>
      </c>
      <c r="O337">
        <f>VLOOKUP(K337,RatingLookup!$A$2:$C$8,3,FALSE)</f>
        <v>0.5</v>
      </c>
      <c r="P337">
        <f t="shared" si="16"/>
        <v>0.71625645062815002</v>
      </c>
      <c r="Q337" t="str">
        <f t="shared" ca="1" si="17"/>
        <v>No</v>
      </c>
    </row>
    <row r="338" spans="1:17" x14ac:dyDescent="0.45">
      <c r="A338" t="s">
        <v>38</v>
      </c>
      <c r="B338" t="s">
        <v>39</v>
      </c>
      <c r="C338" t="s">
        <v>40</v>
      </c>
      <c r="D338" t="s">
        <v>20</v>
      </c>
      <c r="E338" t="s">
        <v>21</v>
      </c>
      <c r="F338" s="1">
        <v>44927</v>
      </c>
      <c r="G338">
        <v>5.25</v>
      </c>
      <c r="H338">
        <v>86.126499999999993</v>
      </c>
      <c r="I338">
        <v>20.7</v>
      </c>
      <c r="J338">
        <v>87.54</v>
      </c>
      <c r="K338" t="s">
        <v>30</v>
      </c>
      <c r="L338">
        <v>1159.1300000000001</v>
      </c>
      <c r="M338">
        <f>VLOOKUP(K338,RatingLookup!$A$2:$C$8,2,FALSE)</f>
        <v>1.4999999999999999E-2</v>
      </c>
      <c r="N338">
        <f t="shared" si="15"/>
        <v>1.2586770182638762E-3</v>
      </c>
      <c r="O338">
        <f>VLOOKUP(K338,RatingLookup!$A$2:$C$8,3,FALSE)</f>
        <v>0.5</v>
      </c>
      <c r="P338">
        <f t="shared" si="16"/>
        <v>0.72948514609010351</v>
      </c>
      <c r="Q338" t="str">
        <f t="shared" ca="1" si="17"/>
        <v>No</v>
      </c>
    </row>
    <row r="339" spans="1:17" x14ac:dyDescent="0.45">
      <c r="A339" t="s">
        <v>38</v>
      </c>
      <c r="B339" t="s">
        <v>39</v>
      </c>
      <c r="C339" t="s">
        <v>40</v>
      </c>
      <c r="D339" t="s">
        <v>20</v>
      </c>
      <c r="E339" t="s">
        <v>21</v>
      </c>
      <c r="F339" s="1">
        <v>44958</v>
      </c>
      <c r="G339">
        <v>6.26</v>
      </c>
      <c r="H339">
        <v>81.748900000000006</v>
      </c>
      <c r="I339">
        <v>27.12</v>
      </c>
      <c r="J339">
        <v>93.69</v>
      </c>
      <c r="K339" t="s">
        <v>30</v>
      </c>
      <c r="L339">
        <v>1160.93</v>
      </c>
      <c r="M339">
        <f>VLOOKUP(K339,RatingLookup!$A$2:$C$8,2,FALSE)</f>
        <v>1.4999999999999999E-2</v>
      </c>
      <c r="N339">
        <f t="shared" si="15"/>
        <v>1.2586770182638762E-3</v>
      </c>
      <c r="O339">
        <f>VLOOKUP(K339,RatingLookup!$A$2:$C$8,3,FALSE)</f>
        <v>0.5</v>
      </c>
      <c r="P339">
        <f t="shared" si="16"/>
        <v>0.73061795540654095</v>
      </c>
      <c r="Q339" t="str">
        <f t="shared" ca="1" si="17"/>
        <v>No</v>
      </c>
    </row>
    <row r="340" spans="1:17" x14ac:dyDescent="0.45">
      <c r="A340" t="s">
        <v>38</v>
      </c>
      <c r="B340" t="s">
        <v>39</v>
      </c>
      <c r="C340" t="s">
        <v>40</v>
      </c>
      <c r="D340" t="s">
        <v>20</v>
      </c>
      <c r="E340" t="s">
        <v>21</v>
      </c>
      <c r="F340" s="1">
        <v>44986</v>
      </c>
      <c r="G340">
        <v>4.5</v>
      </c>
      <c r="H340">
        <v>86.825400000000002</v>
      </c>
      <c r="I340">
        <v>15.92</v>
      </c>
      <c r="J340">
        <v>78.489999999999995</v>
      </c>
      <c r="K340" t="s">
        <v>30</v>
      </c>
      <c r="L340">
        <v>1123.6400000000001</v>
      </c>
      <c r="M340">
        <f>VLOOKUP(K340,RatingLookup!$A$2:$C$8,2,FALSE)</f>
        <v>1.4999999999999999E-2</v>
      </c>
      <c r="N340">
        <f t="shared" si="15"/>
        <v>1.2586770182638762E-3</v>
      </c>
      <c r="O340">
        <f>VLOOKUP(K340,RatingLookup!$A$2:$C$8,3,FALSE)</f>
        <v>0.5</v>
      </c>
      <c r="P340">
        <f t="shared" si="16"/>
        <v>0.70714992240101104</v>
      </c>
      <c r="Q340" t="str">
        <f t="shared" ca="1" si="17"/>
        <v>No</v>
      </c>
    </row>
    <row r="341" spans="1:17" x14ac:dyDescent="0.45">
      <c r="A341" t="s">
        <v>38</v>
      </c>
      <c r="B341" t="s">
        <v>39</v>
      </c>
      <c r="C341" t="s">
        <v>40</v>
      </c>
      <c r="D341" t="s">
        <v>20</v>
      </c>
      <c r="E341" t="s">
        <v>21</v>
      </c>
      <c r="F341" s="1">
        <v>45017</v>
      </c>
      <c r="G341">
        <v>4.96</v>
      </c>
      <c r="H341">
        <v>84.623199999999997</v>
      </c>
      <c r="I341">
        <v>17.829999999999998</v>
      </c>
      <c r="J341">
        <v>79.319999999999993</v>
      </c>
      <c r="K341" t="s">
        <v>30</v>
      </c>
      <c r="L341">
        <v>1107.21</v>
      </c>
      <c r="M341">
        <f>VLOOKUP(K341,RatingLookup!$A$2:$C$8,2,FALSE)</f>
        <v>1.4999999999999999E-2</v>
      </c>
      <c r="N341">
        <f t="shared" si="15"/>
        <v>1.2586770182638762E-3</v>
      </c>
      <c r="O341">
        <f>VLOOKUP(K341,RatingLookup!$A$2:$C$8,3,FALSE)</f>
        <v>0.5</v>
      </c>
      <c r="P341">
        <f t="shared" si="16"/>
        <v>0.69680989069597321</v>
      </c>
      <c r="Q341" t="str">
        <f t="shared" ca="1" si="17"/>
        <v>No</v>
      </c>
    </row>
    <row r="342" spans="1:17" x14ac:dyDescent="0.45">
      <c r="A342" t="s">
        <v>38</v>
      </c>
      <c r="B342" t="s">
        <v>39</v>
      </c>
      <c r="C342" t="s">
        <v>40</v>
      </c>
      <c r="D342" t="s">
        <v>20</v>
      </c>
      <c r="E342" t="s">
        <v>21</v>
      </c>
      <c r="F342" s="1">
        <v>45047</v>
      </c>
      <c r="G342">
        <v>5.99</v>
      </c>
      <c r="H342">
        <v>84.166200000000003</v>
      </c>
      <c r="I342">
        <v>26.96</v>
      </c>
      <c r="J342">
        <v>76.61</v>
      </c>
      <c r="K342" t="s">
        <v>30</v>
      </c>
      <c r="L342">
        <v>1280.0899999999999</v>
      </c>
      <c r="M342">
        <f>VLOOKUP(K342,RatingLookup!$A$2:$C$8,2,FALSE)</f>
        <v>1.4999999999999999E-2</v>
      </c>
      <c r="N342">
        <f t="shared" si="15"/>
        <v>1.2586770182638762E-3</v>
      </c>
      <c r="O342">
        <f>VLOOKUP(K342,RatingLookup!$A$2:$C$8,3,FALSE)</f>
        <v>0.5</v>
      </c>
      <c r="P342">
        <f t="shared" si="16"/>
        <v>0.80560993215470267</v>
      </c>
      <c r="Q342" t="str">
        <f t="shared" ca="1" si="17"/>
        <v>No</v>
      </c>
    </row>
    <row r="343" spans="1:17" x14ac:dyDescent="0.45">
      <c r="A343" t="s">
        <v>38</v>
      </c>
      <c r="B343" t="s">
        <v>39</v>
      </c>
      <c r="C343" t="s">
        <v>40</v>
      </c>
      <c r="D343" t="s">
        <v>20</v>
      </c>
      <c r="E343" t="s">
        <v>21</v>
      </c>
      <c r="F343" s="1">
        <v>45078</v>
      </c>
      <c r="G343">
        <v>4.3099999999999996</v>
      </c>
      <c r="H343">
        <v>81.588099999999997</v>
      </c>
      <c r="I343">
        <v>22.24</v>
      </c>
      <c r="J343">
        <v>84.71</v>
      </c>
      <c r="K343" t="s">
        <v>30</v>
      </c>
      <c r="L343">
        <v>1203.44</v>
      </c>
      <c r="M343">
        <f>VLOOKUP(K343,RatingLookup!$A$2:$C$8,2,FALSE)</f>
        <v>1.4999999999999999E-2</v>
      </c>
      <c r="N343">
        <f t="shared" si="15"/>
        <v>1.2586770182638762E-3</v>
      </c>
      <c r="O343">
        <f>VLOOKUP(K343,RatingLookup!$A$2:$C$8,3,FALSE)</f>
        <v>0.5</v>
      </c>
      <c r="P343">
        <f t="shared" si="16"/>
        <v>0.75737113542973966</v>
      </c>
      <c r="Q343" t="str">
        <f t="shared" ca="1" si="17"/>
        <v>No</v>
      </c>
    </row>
    <row r="344" spans="1:17" x14ac:dyDescent="0.45">
      <c r="A344" t="s">
        <v>38</v>
      </c>
      <c r="B344" t="s">
        <v>39</v>
      </c>
      <c r="C344" t="s">
        <v>40</v>
      </c>
      <c r="D344" t="s">
        <v>20</v>
      </c>
      <c r="E344" t="s">
        <v>21</v>
      </c>
      <c r="F344" s="1">
        <v>45108</v>
      </c>
      <c r="G344">
        <v>4.96</v>
      </c>
      <c r="H344">
        <v>80.921800000000005</v>
      </c>
      <c r="I344">
        <v>22.67</v>
      </c>
      <c r="J344">
        <v>76.33</v>
      </c>
      <c r="K344" t="s">
        <v>30</v>
      </c>
      <c r="L344">
        <v>1187.31</v>
      </c>
      <c r="M344">
        <f>VLOOKUP(K344,RatingLookup!$A$2:$C$8,2,FALSE)</f>
        <v>1.4999999999999999E-2</v>
      </c>
      <c r="N344">
        <f t="shared" si="15"/>
        <v>1.2586770182638762E-3</v>
      </c>
      <c r="O344">
        <f>VLOOKUP(K344,RatingLookup!$A$2:$C$8,3,FALSE)</f>
        <v>0.5</v>
      </c>
      <c r="P344">
        <f t="shared" si="16"/>
        <v>0.74721990527744142</v>
      </c>
      <c r="Q344" t="str">
        <f t="shared" ca="1" si="17"/>
        <v>No</v>
      </c>
    </row>
    <row r="345" spans="1:17" x14ac:dyDescent="0.45">
      <c r="A345" t="s">
        <v>38</v>
      </c>
      <c r="B345" t="s">
        <v>39</v>
      </c>
      <c r="C345" t="s">
        <v>40</v>
      </c>
      <c r="D345" t="s">
        <v>20</v>
      </c>
      <c r="E345" t="s">
        <v>21</v>
      </c>
      <c r="F345" s="1">
        <v>45139</v>
      </c>
      <c r="G345">
        <v>4.21</v>
      </c>
      <c r="H345">
        <v>76.950100000000006</v>
      </c>
      <c r="I345">
        <v>12.53</v>
      </c>
      <c r="J345">
        <v>56.08</v>
      </c>
      <c r="K345" t="s">
        <v>22</v>
      </c>
      <c r="L345">
        <v>1110.05</v>
      </c>
      <c r="M345">
        <f>VLOOKUP(K345,RatingLookup!$A$2:$C$8,2,FALSE)</f>
        <v>5.0000000000000001E-3</v>
      </c>
      <c r="N345">
        <f t="shared" si="15"/>
        <v>4.1762458919303302E-4</v>
      </c>
      <c r="O345">
        <f>VLOOKUP(K345,RatingLookup!$A$2:$C$8,3,FALSE)</f>
        <v>0.45</v>
      </c>
      <c r="P345">
        <f t="shared" si="16"/>
        <v>0.20861287885517685</v>
      </c>
      <c r="Q345" t="str">
        <f t="shared" ca="1" si="17"/>
        <v>No</v>
      </c>
    </row>
    <row r="346" spans="1:17" x14ac:dyDescent="0.45">
      <c r="A346" t="s">
        <v>38</v>
      </c>
      <c r="B346" t="s">
        <v>39</v>
      </c>
      <c r="C346" t="s">
        <v>40</v>
      </c>
      <c r="D346" t="s">
        <v>20</v>
      </c>
      <c r="E346" t="s">
        <v>21</v>
      </c>
      <c r="F346" s="1">
        <v>45170</v>
      </c>
      <c r="G346">
        <v>3.84</v>
      </c>
      <c r="H346">
        <v>81.838200000000001</v>
      </c>
      <c r="I346">
        <v>22.6</v>
      </c>
      <c r="J346">
        <v>83.51</v>
      </c>
      <c r="K346" t="s">
        <v>22</v>
      </c>
      <c r="L346">
        <v>1261.3499999999999</v>
      </c>
      <c r="M346">
        <f>VLOOKUP(K346,RatingLookup!$A$2:$C$8,2,FALSE)</f>
        <v>5.0000000000000001E-3</v>
      </c>
      <c r="N346">
        <f t="shared" si="15"/>
        <v>4.1762458919303302E-4</v>
      </c>
      <c r="O346">
        <f>VLOOKUP(K346,RatingLookup!$A$2:$C$8,3,FALSE)</f>
        <v>0.45</v>
      </c>
      <c r="P346">
        <f t="shared" si="16"/>
        <v>0.23704684901038447</v>
      </c>
      <c r="Q346" t="str">
        <f t="shared" ca="1" si="17"/>
        <v>No</v>
      </c>
    </row>
    <row r="347" spans="1:17" x14ac:dyDescent="0.45">
      <c r="A347" t="s">
        <v>38</v>
      </c>
      <c r="B347" t="s">
        <v>39</v>
      </c>
      <c r="C347" t="s">
        <v>40</v>
      </c>
      <c r="D347" t="s">
        <v>20</v>
      </c>
      <c r="E347" t="s">
        <v>21</v>
      </c>
      <c r="F347" s="1">
        <v>45200</v>
      </c>
      <c r="G347">
        <v>5.6</v>
      </c>
      <c r="H347">
        <v>80.429299999999998</v>
      </c>
      <c r="I347">
        <v>8.1999999999999993</v>
      </c>
      <c r="J347">
        <v>85.23</v>
      </c>
      <c r="K347" t="s">
        <v>22</v>
      </c>
      <c r="L347">
        <v>1194.75</v>
      </c>
      <c r="M347">
        <f>VLOOKUP(K347,RatingLookup!$A$2:$C$8,2,FALSE)</f>
        <v>5.0000000000000001E-3</v>
      </c>
      <c r="N347">
        <f t="shared" si="15"/>
        <v>4.1762458919303302E-4</v>
      </c>
      <c r="O347">
        <f>VLOOKUP(K347,RatingLookup!$A$2:$C$8,3,FALSE)</f>
        <v>0.45</v>
      </c>
      <c r="P347">
        <f t="shared" si="16"/>
        <v>0.22453064007226931</v>
      </c>
      <c r="Q347" t="str">
        <f t="shared" ca="1" si="17"/>
        <v>No</v>
      </c>
    </row>
    <row r="348" spans="1:17" x14ac:dyDescent="0.45">
      <c r="A348" t="s">
        <v>38</v>
      </c>
      <c r="B348" t="s">
        <v>39</v>
      </c>
      <c r="C348" t="s">
        <v>40</v>
      </c>
      <c r="D348" t="s">
        <v>20</v>
      </c>
      <c r="E348" t="s">
        <v>21</v>
      </c>
      <c r="F348" s="1">
        <v>45231</v>
      </c>
      <c r="G348">
        <v>4.92</v>
      </c>
      <c r="H348">
        <v>83.443600000000004</v>
      </c>
      <c r="I348">
        <v>14.9</v>
      </c>
      <c r="J348">
        <v>69.400000000000006</v>
      </c>
      <c r="K348" t="s">
        <v>22</v>
      </c>
      <c r="L348">
        <v>1146.24</v>
      </c>
      <c r="M348">
        <f>VLOOKUP(K348,RatingLookup!$A$2:$C$8,2,FALSE)</f>
        <v>5.0000000000000001E-3</v>
      </c>
      <c r="N348">
        <f t="shared" si="15"/>
        <v>4.1762458919303302E-4</v>
      </c>
      <c r="O348">
        <f>VLOOKUP(K348,RatingLookup!$A$2:$C$8,3,FALSE)</f>
        <v>0.45</v>
      </c>
      <c r="P348">
        <f t="shared" si="16"/>
        <v>0.21541410410247999</v>
      </c>
      <c r="Q348" t="str">
        <f t="shared" ca="1" si="17"/>
        <v>No</v>
      </c>
    </row>
    <row r="349" spans="1:17" x14ac:dyDescent="0.45">
      <c r="A349" t="s">
        <v>38</v>
      </c>
      <c r="B349" t="s">
        <v>39</v>
      </c>
      <c r="C349" t="s">
        <v>40</v>
      </c>
      <c r="D349" t="s">
        <v>20</v>
      </c>
      <c r="E349" t="s">
        <v>21</v>
      </c>
      <c r="F349" s="1">
        <v>45261</v>
      </c>
      <c r="G349">
        <v>5.0999999999999996</v>
      </c>
      <c r="H349">
        <v>84.061700000000002</v>
      </c>
      <c r="I349">
        <v>28.28</v>
      </c>
      <c r="J349">
        <v>79.31</v>
      </c>
      <c r="K349" t="s">
        <v>22</v>
      </c>
      <c r="L349">
        <v>1190.57</v>
      </c>
      <c r="M349">
        <f>VLOOKUP(K349,RatingLookup!$A$2:$C$8,2,FALSE)</f>
        <v>5.0000000000000001E-3</v>
      </c>
      <c r="N349">
        <f t="shared" si="15"/>
        <v>4.1762458919303302E-4</v>
      </c>
      <c r="O349">
        <f>VLOOKUP(K349,RatingLookup!$A$2:$C$8,3,FALSE)</f>
        <v>0.45</v>
      </c>
      <c r="P349">
        <f t="shared" si="16"/>
        <v>0.2237450882199972</v>
      </c>
      <c r="Q349" t="str">
        <f t="shared" ca="1" si="17"/>
        <v>No</v>
      </c>
    </row>
    <row r="350" spans="1:17" x14ac:dyDescent="0.45">
      <c r="A350" t="s">
        <v>38</v>
      </c>
      <c r="B350" t="s">
        <v>39</v>
      </c>
      <c r="C350" t="s">
        <v>40</v>
      </c>
      <c r="D350" t="s">
        <v>20</v>
      </c>
      <c r="E350" t="s">
        <v>21</v>
      </c>
      <c r="F350" s="1">
        <v>45292</v>
      </c>
      <c r="G350">
        <v>4.99</v>
      </c>
      <c r="H350">
        <v>87.259600000000006</v>
      </c>
      <c r="I350">
        <v>14.42</v>
      </c>
      <c r="J350">
        <v>86.28</v>
      </c>
      <c r="K350" t="s">
        <v>22</v>
      </c>
      <c r="L350">
        <v>1210.72</v>
      </c>
      <c r="M350">
        <f>VLOOKUP(K350,RatingLookup!$A$2:$C$8,2,FALSE)</f>
        <v>5.0000000000000001E-3</v>
      </c>
      <c r="N350">
        <f t="shared" si="15"/>
        <v>4.1762458919303302E-4</v>
      </c>
      <c r="O350">
        <f>VLOOKUP(K350,RatingLookup!$A$2:$C$8,3,FALSE)</f>
        <v>0.45</v>
      </c>
      <c r="P350">
        <f t="shared" si="16"/>
        <v>0.22753189918250505</v>
      </c>
      <c r="Q350" t="str">
        <f t="shared" ca="1" si="17"/>
        <v>No</v>
      </c>
    </row>
    <row r="351" spans="1:17" x14ac:dyDescent="0.45">
      <c r="A351" t="s">
        <v>38</v>
      </c>
      <c r="B351" t="s">
        <v>39</v>
      </c>
      <c r="C351" t="s">
        <v>40</v>
      </c>
      <c r="D351" t="s">
        <v>20</v>
      </c>
      <c r="E351" t="s">
        <v>21</v>
      </c>
      <c r="F351" s="1">
        <v>45323</v>
      </c>
      <c r="G351">
        <v>4.32</v>
      </c>
      <c r="H351">
        <v>83.312899999999999</v>
      </c>
      <c r="I351">
        <v>20.79</v>
      </c>
      <c r="J351">
        <v>87.48</v>
      </c>
      <c r="K351" t="s">
        <v>22</v>
      </c>
      <c r="L351">
        <v>1180.26</v>
      </c>
      <c r="M351">
        <f>VLOOKUP(K351,RatingLookup!$A$2:$C$8,2,FALSE)</f>
        <v>5.0000000000000001E-3</v>
      </c>
      <c r="N351">
        <f t="shared" si="15"/>
        <v>4.1762458919303302E-4</v>
      </c>
      <c r="O351">
        <f>VLOOKUP(K351,RatingLookup!$A$2:$C$8,3,FALSE)</f>
        <v>0.45</v>
      </c>
      <c r="P351">
        <f t="shared" si="16"/>
        <v>0.22180751893843612</v>
      </c>
      <c r="Q351" t="str">
        <f t="shared" ca="1" si="17"/>
        <v>No</v>
      </c>
    </row>
    <row r="352" spans="1:17" x14ac:dyDescent="0.45">
      <c r="A352" t="s">
        <v>38</v>
      </c>
      <c r="B352" t="s">
        <v>39</v>
      </c>
      <c r="C352" t="s">
        <v>40</v>
      </c>
      <c r="D352" t="s">
        <v>20</v>
      </c>
      <c r="E352" t="s">
        <v>21</v>
      </c>
      <c r="F352" s="1">
        <v>45352</v>
      </c>
      <c r="G352">
        <v>5.68</v>
      </c>
      <c r="H352">
        <v>81.9375</v>
      </c>
      <c r="I352">
        <v>25.55</v>
      </c>
      <c r="J352">
        <v>87.16</v>
      </c>
      <c r="K352" t="s">
        <v>30</v>
      </c>
      <c r="L352">
        <v>1244.69</v>
      </c>
      <c r="M352">
        <f>VLOOKUP(K352,RatingLookup!$A$2:$C$8,2,FALSE)</f>
        <v>1.4999999999999999E-2</v>
      </c>
      <c r="N352">
        <f t="shared" si="15"/>
        <v>1.2586770182638762E-3</v>
      </c>
      <c r="O352">
        <f>VLOOKUP(K352,RatingLookup!$A$2:$C$8,3,FALSE)</f>
        <v>0.5</v>
      </c>
      <c r="P352">
        <f t="shared" si="16"/>
        <v>0.78333134893143208</v>
      </c>
      <c r="Q352" t="str">
        <f t="shared" ca="1" si="17"/>
        <v>No</v>
      </c>
    </row>
    <row r="353" spans="1:17" x14ac:dyDescent="0.45">
      <c r="A353" t="s">
        <v>38</v>
      </c>
      <c r="B353" t="s">
        <v>39</v>
      </c>
      <c r="C353" t="s">
        <v>40</v>
      </c>
      <c r="D353" t="s">
        <v>20</v>
      </c>
      <c r="E353" t="s">
        <v>21</v>
      </c>
      <c r="F353" s="1">
        <v>45383</v>
      </c>
      <c r="G353">
        <v>5.69</v>
      </c>
      <c r="H353">
        <v>82.363600000000005</v>
      </c>
      <c r="I353">
        <v>21.2</v>
      </c>
      <c r="J353">
        <v>86.45</v>
      </c>
      <c r="K353" t="s">
        <v>30</v>
      </c>
      <c r="L353">
        <v>1205.3499999999999</v>
      </c>
      <c r="M353">
        <f>VLOOKUP(K353,RatingLookup!$A$2:$C$8,2,FALSE)</f>
        <v>1.4999999999999999E-2</v>
      </c>
      <c r="N353">
        <f t="shared" si="15"/>
        <v>1.2586770182638762E-3</v>
      </c>
      <c r="O353">
        <f>VLOOKUP(K353,RatingLookup!$A$2:$C$8,3,FALSE)</f>
        <v>0.5</v>
      </c>
      <c r="P353">
        <f t="shared" si="16"/>
        <v>0.75857317198218155</v>
      </c>
      <c r="Q353" t="str">
        <f t="shared" ca="1" si="17"/>
        <v>No</v>
      </c>
    </row>
    <row r="354" spans="1:17" x14ac:dyDescent="0.45">
      <c r="A354" t="s">
        <v>38</v>
      </c>
      <c r="B354" t="s">
        <v>39</v>
      </c>
      <c r="C354" t="s">
        <v>40</v>
      </c>
      <c r="D354" t="s">
        <v>20</v>
      </c>
      <c r="E354" t="s">
        <v>21</v>
      </c>
      <c r="F354" s="1">
        <v>45413</v>
      </c>
      <c r="G354">
        <v>5.37</v>
      </c>
      <c r="H354">
        <v>87.103700000000003</v>
      </c>
      <c r="I354">
        <v>17.440000000000001</v>
      </c>
      <c r="J354">
        <v>83.57</v>
      </c>
      <c r="K354" t="s">
        <v>30</v>
      </c>
      <c r="L354">
        <v>1162.8900000000001</v>
      </c>
      <c r="M354">
        <f>VLOOKUP(K354,RatingLookup!$A$2:$C$8,2,FALSE)</f>
        <v>1.4999999999999999E-2</v>
      </c>
      <c r="N354">
        <f t="shared" si="15"/>
        <v>1.2586770182638762E-3</v>
      </c>
      <c r="O354">
        <f>VLOOKUP(K354,RatingLookup!$A$2:$C$8,3,FALSE)</f>
        <v>0.5</v>
      </c>
      <c r="P354">
        <f t="shared" si="16"/>
        <v>0.73185145888443959</v>
      </c>
      <c r="Q354" t="str">
        <f t="shared" ca="1" si="17"/>
        <v>No</v>
      </c>
    </row>
    <row r="355" spans="1:17" x14ac:dyDescent="0.45">
      <c r="A355" t="s">
        <v>38</v>
      </c>
      <c r="B355" t="s">
        <v>39</v>
      </c>
      <c r="C355" t="s">
        <v>40</v>
      </c>
      <c r="D355" t="s">
        <v>20</v>
      </c>
      <c r="E355" t="s">
        <v>21</v>
      </c>
      <c r="F355" s="1">
        <v>45444</v>
      </c>
      <c r="G355">
        <v>5.0999999999999996</v>
      </c>
      <c r="H355">
        <v>82.155600000000007</v>
      </c>
      <c r="I355">
        <v>26.35</v>
      </c>
      <c r="J355">
        <v>77.040000000000006</v>
      </c>
      <c r="K355" t="s">
        <v>30</v>
      </c>
      <c r="L355">
        <v>1186.68</v>
      </c>
      <c r="M355">
        <f>VLOOKUP(K355,RatingLookup!$A$2:$C$8,2,FALSE)</f>
        <v>1.4999999999999999E-2</v>
      </c>
      <c r="N355">
        <f t="shared" si="15"/>
        <v>1.2586770182638762E-3</v>
      </c>
      <c r="O355">
        <f>VLOOKUP(K355,RatingLookup!$A$2:$C$8,3,FALSE)</f>
        <v>0.5</v>
      </c>
      <c r="P355">
        <f t="shared" si="16"/>
        <v>0.74682342201668839</v>
      </c>
      <c r="Q355" t="str">
        <f t="shared" ca="1" si="17"/>
        <v>No</v>
      </c>
    </row>
    <row r="356" spans="1:17" x14ac:dyDescent="0.45">
      <c r="A356" t="s">
        <v>38</v>
      </c>
      <c r="B356" t="s">
        <v>39</v>
      </c>
      <c r="C356" t="s">
        <v>40</v>
      </c>
      <c r="D356" t="s">
        <v>20</v>
      </c>
      <c r="E356" t="s">
        <v>21</v>
      </c>
      <c r="F356" s="1">
        <v>45474</v>
      </c>
      <c r="G356">
        <v>4.7</v>
      </c>
      <c r="H356">
        <v>82.861999999999995</v>
      </c>
      <c r="I356">
        <v>23.06</v>
      </c>
      <c r="J356">
        <v>85.04</v>
      </c>
      <c r="K356" t="s">
        <v>30</v>
      </c>
      <c r="L356">
        <v>1210.58</v>
      </c>
      <c r="M356">
        <f>VLOOKUP(K356,RatingLookup!$A$2:$C$8,2,FALSE)</f>
        <v>1.4999999999999999E-2</v>
      </c>
      <c r="N356">
        <f t="shared" si="15"/>
        <v>1.2586770182638762E-3</v>
      </c>
      <c r="O356">
        <f>VLOOKUP(K356,RatingLookup!$A$2:$C$8,3,FALSE)</f>
        <v>0.5</v>
      </c>
      <c r="P356">
        <f t="shared" si="16"/>
        <v>0.76186461238494163</v>
      </c>
      <c r="Q356" t="str">
        <f t="shared" ca="1" si="17"/>
        <v>No</v>
      </c>
    </row>
    <row r="357" spans="1:17" x14ac:dyDescent="0.45">
      <c r="A357" t="s">
        <v>38</v>
      </c>
      <c r="B357" t="s">
        <v>39</v>
      </c>
      <c r="C357" t="s">
        <v>40</v>
      </c>
      <c r="D357" t="s">
        <v>20</v>
      </c>
      <c r="E357" t="s">
        <v>21</v>
      </c>
      <c r="F357" s="1">
        <v>45505</v>
      </c>
      <c r="G357">
        <v>5.52</v>
      </c>
      <c r="H357">
        <v>81.222999999999999</v>
      </c>
      <c r="I357">
        <v>18.54</v>
      </c>
      <c r="J357">
        <v>87.55</v>
      </c>
      <c r="K357" t="s">
        <v>30</v>
      </c>
      <c r="L357">
        <v>1282.67</v>
      </c>
      <c r="M357">
        <f>VLOOKUP(K357,RatingLookup!$A$2:$C$8,2,FALSE)</f>
        <v>1.4999999999999999E-2</v>
      </c>
      <c r="N357">
        <f t="shared" si="15"/>
        <v>1.2586770182638762E-3</v>
      </c>
      <c r="O357">
        <f>VLOOKUP(K357,RatingLookup!$A$2:$C$8,3,FALSE)</f>
        <v>0.5</v>
      </c>
      <c r="P357">
        <f t="shared" si="16"/>
        <v>0.80723362550826316</v>
      </c>
      <c r="Q357" t="str">
        <f t="shared" ca="1" si="17"/>
        <v>No</v>
      </c>
    </row>
    <row r="358" spans="1:17" x14ac:dyDescent="0.45">
      <c r="A358" t="s">
        <v>38</v>
      </c>
      <c r="B358" t="s">
        <v>39</v>
      </c>
      <c r="C358" t="s">
        <v>40</v>
      </c>
      <c r="D358" t="s">
        <v>20</v>
      </c>
      <c r="E358" t="s">
        <v>21</v>
      </c>
      <c r="F358" s="1">
        <v>45536</v>
      </c>
      <c r="G358">
        <v>5.23</v>
      </c>
      <c r="H358">
        <v>82.795199999999994</v>
      </c>
      <c r="I358">
        <v>22.61</v>
      </c>
      <c r="J358">
        <v>78.569999999999993</v>
      </c>
      <c r="K358" t="s">
        <v>30</v>
      </c>
      <c r="L358">
        <v>1260.3</v>
      </c>
      <c r="M358">
        <f>VLOOKUP(K358,RatingLookup!$A$2:$C$8,2,FALSE)</f>
        <v>1.4999999999999999E-2</v>
      </c>
      <c r="N358">
        <f t="shared" si="15"/>
        <v>1.2586770182638762E-3</v>
      </c>
      <c r="O358">
        <f>VLOOKUP(K358,RatingLookup!$A$2:$C$8,3,FALSE)</f>
        <v>0.5</v>
      </c>
      <c r="P358">
        <f t="shared" si="16"/>
        <v>0.79315532305898162</v>
      </c>
      <c r="Q358" t="str">
        <f t="shared" ca="1" si="17"/>
        <v>No</v>
      </c>
    </row>
    <row r="359" spans="1:17" x14ac:dyDescent="0.45">
      <c r="A359" t="s">
        <v>38</v>
      </c>
      <c r="B359" t="s">
        <v>39</v>
      </c>
      <c r="C359" t="s">
        <v>40</v>
      </c>
      <c r="D359" t="s">
        <v>20</v>
      </c>
      <c r="E359" t="s">
        <v>21</v>
      </c>
      <c r="F359" s="1">
        <v>45566</v>
      </c>
      <c r="G359">
        <v>5.26</v>
      </c>
      <c r="H359">
        <v>81.232200000000006</v>
      </c>
      <c r="I359">
        <v>20.63</v>
      </c>
      <c r="J359">
        <v>64.099999999999994</v>
      </c>
      <c r="K359" t="s">
        <v>30</v>
      </c>
      <c r="L359">
        <v>1307.6199999999999</v>
      </c>
      <c r="M359">
        <f>VLOOKUP(K359,RatingLookup!$A$2:$C$8,2,FALSE)</f>
        <v>1.4999999999999999E-2</v>
      </c>
      <c r="N359">
        <f t="shared" si="15"/>
        <v>1.2586770182638762E-3</v>
      </c>
      <c r="O359">
        <f>VLOOKUP(K359,RatingLookup!$A$2:$C$8,3,FALSE)</f>
        <v>0.5</v>
      </c>
      <c r="P359">
        <f t="shared" si="16"/>
        <v>0.82293562131110487</v>
      </c>
      <c r="Q359" t="str">
        <f t="shared" ca="1" si="17"/>
        <v>No</v>
      </c>
    </row>
    <row r="360" spans="1:17" x14ac:dyDescent="0.45">
      <c r="A360" t="s">
        <v>38</v>
      </c>
      <c r="B360" t="s">
        <v>39</v>
      </c>
      <c r="C360" t="s">
        <v>40</v>
      </c>
      <c r="D360" t="s">
        <v>20</v>
      </c>
      <c r="E360" t="s">
        <v>21</v>
      </c>
      <c r="F360" s="1">
        <v>45597</v>
      </c>
      <c r="G360">
        <v>6.3</v>
      </c>
      <c r="H360">
        <v>80.335899999999995</v>
      </c>
      <c r="I360">
        <v>23.17</v>
      </c>
      <c r="J360">
        <v>71.62</v>
      </c>
      <c r="K360" t="s">
        <v>30</v>
      </c>
      <c r="L360">
        <v>1293.7</v>
      </c>
      <c r="M360">
        <f>VLOOKUP(K360,RatingLookup!$A$2:$C$8,2,FALSE)</f>
        <v>1.4999999999999999E-2</v>
      </c>
      <c r="N360">
        <f t="shared" si="15"/>
        <v>1.2586770182638762E-3</v>
      </c>
      <c r="O360">
        <f>VLOOKUP(K360,RatingLookup!$A$2:$C$8,3,FALSE)</f>
        <v>0.5</v>
      </c>
      <c r="P360">
        <f t="shared" si="16"/>
        <v>0.81417522926398833</v>
      </c>
      <c r="Q360" t="str">
        <f t="shared" ca="1" si="17"/>
        <v>No</v>
      </c>
    </row>
    <row r="361" spans="1:17" x14ac:dyDescent="0.45">
      <c r="A361" t="s">
        <v>38</v>
      </c>
      <c r="B361" t="s">
        <v>39</v>
      </c>
      <c r="C361" t="s">
        <v>40</v>
      </c>
      <c r="D361" t="s">
        <v>20</v>
      </c>
      <c r="E361" t="s">
        <v>21</v>
      </c>
      <c r="F361" s="1">
        <v>45627</v>
      </c>
      <c r="G361">
        <v>4.84</v>
      </c>
      <c r="H361">
        <v>81.959100000000007</v>
      </c>
      <c r="I361">
        <v>15.04</v>
      </c>
      <c r="J361">
        <v>68.28</v>
      </c>
      <c r="K361" t="s">
        <v>30</v>
      </c>
      <c r="L361">
        <v>1322.43</v>
      </c>
      <c r="M361">
        <f>VLOOKUP(K361,RatingLookup!$A$2:$C$8,2,FALSE)</f>
        <v>1.4999999999999999E-2</v>
      </c>
      <c r="N361">
        <f t="shared" si="15"/>
        <v>1.2586770182638762E-3</v>
      </c>
      <c r="O361">
        <f>VLOOKUP(K361,RatingLookup!$A$2:$C$8,3,FALSE)</f>
        <v>0.5</v>
      </c>
      <c r="P361">
        <f t="shared" si="16"/>
        <v>0.83225612463134901</v>
      </c>
      <c r="Q361" t="str">
        <f t="shared" ca="1" si="17"/>
        <v>No</v>
      </c>
    </row>
    <row r="362" spans="1:17" x14ac:dyDescent="0.45">
      <c r="A362" t="s">
        <v>41</v>
      </c>
      <c r="B362" t="s">
        <v>42</v>
      </c>
      <c r="C362" t="s">
        <v>43</v>
      </c>
      <c r="D362" t="s">
        <v>20</v>
      </c>
      <c r="E362" t="s">
        <v>21</v>
      </c>
      <c r="F362" s="1">
        <v>43831</v>
      </c>
      <c r="G362">
        <v>6.45</v>
      </c>
      <c r="H362">
        <v>82.640600000000006</v>
      </c>
      <c r="I362">
        <v>13.51</v>
      </c>
      <c r="J362">
        <v>58</v>
      </c>
      <c r="K362" t="s">
        <v>22</v>
      </c>
      <c r="L362">
        <v>2138.5700000000002</v>
      </c>
      <c r="M362">
        <f>VLOOKUP(K362,RatingLookup!$A$2:$C$8,2,FALSE)</f>
        <v>5.0000000000000001E-3</v>
      </c>
      <c r="N362">
        <f t="shared" si="15"/>
        <v>4.1762458919303302E-4</v>
      </c>
      <c r="O362">
        <f>VLOOKUP(K362,RatingLookup!$A$2:$C$8,3,FALSE)</f>
        <v>0.45</v>
      </c>
      <c r="P362">
        <f t="shared" si="16"/>
        <v>0.4019037379697451</v>
      </c>
      <c r="Q362" t="str">
        <f t="shared" ca="1" si="17"/>
        <v>No</v>
      </c>
    </row>
    <row r="363" spans="1:17" x14ac:dyDescent="0.45">
      <c r="A363" t="s">
        <v>41</v>
      </c>
      <c r="B363" t="s">
        <v>42</v>
      </c>
      <c r="C363" t="s">
        <v>43</v>
      </c>
      <c r="D363" t="s">
        <v>20</v>
      </c>
      <c r="E363" t="s">
        <v>21</v>
      </c>
      <c r="F363" s="1">
        <v>43862</v>
      </c>
      <c r="G363">
        <v>6.4</v>
      </c>
      <c r="H363">
        <v>84.604799999999997</v>
      </c>
      <c r="I363">
        <v>19.73</v>
      </c>
      <c r="J363">
        <v>79.09</v>
      </c>
      <c r="K363" t="s">
        <v>22</v>
      </c>
      <c r="L363">
        <v>2304.0500000000002</v>
      </c>
      <c r="M363">
        <f>VLOOKUP(K363,RatingLookup!$A$2:$C$8,2,FALSE)</f>
        <v>5.0000000000000001E-3</v>
      </c>
      <c r="N363">
        <f t="shared" si="15"/>
        <v>4.1762458919303302E-4</v>
      </c>
      <c r="O363">
        <f>VLOOKUP(K363,RatingLookup!$A$2:$C$8,3,FALSE)</f>
        <v>0.45</v>
      </c>
      <c r="P363">
        <f t="shared" si="16"/>
        <v>0.43300257062859354</v>
      </c>
      <c r="Q363" t="str">
        <f t="shared" ca="1" si="17"/>
        <v>No</v>
      </c>
    </row>
    <row r="364" spans="1:17" x14ac:dyDescent="0.45">
      <c r="A364" t="s">
        <v>41</v>
      </c>
      <c r="B364" t="s">
        <v>42</v>
      </c>
      <c r="C364" t="s">
        <v>43</v>
      </c>
      <c r="D364" t="s">
        <v>20</v>
      </c>
      <c r="E364" t="s">
        <v>21</v>
      </c>
      <c r="F364" s="1">
        <v>43891</v>
      </c>
      <c r="G364">
        <v>4.88</v>
      </c>
      <c r="H364">
        <v>82.641099999999994</v>
      </c>
      <c r="I364">
        <v>7.13</v>
      </c>
      <c r="J364">
        <v>54.46</v>
      </c>
      <c r="K364" t="s">
        <v>22</v>
      </c>
      <c r="L364">
        <v>2223.9899999999998</v>
      </c>
      <c r="M364">
        <f>VLOOKUP(K364,RatingLookup!$A$2:$C$8,2,FALSE)</f>
        <v>5.0000000000000001E-3</v>
      </c>
      <c r="N364">
        <f t="shared" si="15"/>
        <v>4.1762458919303302E-4</v>
      </c>
      <c r="O364">
        <f>VLOOKUP(K364,RatingLookup!$A$2:$C$8,3,FALSE)</f>
        <v>0.45</v>
      </c>
      <c r="P364">
        <f t="shared" si="16"/>
        <v>0.41795680955373604</v>
      </c>
      <c r="Q364" t="str">
        <f t="shared" ca="1" si="17"/>
        <v>No</v>
      </c>
    </row>
    <row r="365" spans="1:17" x14ac:dyDescent="0.45">
      <c r="A365" t="s">
        <v>41</v>
      </c>
      <c r="B365" t="s">
        <v>42</v>
      </c>
      <c r="C365" t="s">
        <v>43</v>
      </c>
      <c r="D365" t="s">
        <v>20</v>
      </c>
      <c r="E365" t="s">
        <v>21</v>
      </c>
      <c r="F365" s="1">
        <v>43922</v>
      </c>
      <c r="G365">
        <v>5.83</v>
      </c>
      <c r="H365">
        <v>85.359700000000004</v>
      </c>
      <c r="I365">
        <v>22.42</v>
      </c>
      <c r="J365">
        <v>76.900000000000006</v>
      </c>
      <c r="K365" t="s">
        <v>22</v>
      </c>
      <c r="L365">
        <v>2071.6</v>
      </c>
      <c r="M365">
        <f>VLOOKUP(K365,RatingLookup!$A$2:$C$8,2,FALSE)</f>
        <v>5.0000000000000001E-3</v>
      </c>
      <c r="N365">
        <f t="shared" si="15"/>
        <v>4.1762458919303302E-4</v>
      </c>
      <c r="O365">
        <f>VLOOKUP(K365,RatingLookup!$A$2:$C$8,3,FALSE)</f>
        <v>0.45</v>
      </c>
      <c r="P365">
        <f t="shared" si="16"/>
        <v>0.38931799453752924</v>
      </c>
      <c r="Q365" t="str">
        <f t="shared" ca="1" si="17"/>
        <v>No</v>
      </c>
    </row>
    <row r="366" spans="1:17" x14ac:dyDescent="0.45">
      <c r="A366" t="s">
        <v>41</v>
      </c>
      <c r="B366" t="s">
        <v>42</v>
      </c>
      <c r="C366" t="s">
        <v>43</v>
      </c>
      <c r="D366" t="s">
        <v>20</v>
      </c>
      <c r="E366" t="s">
        <v>21</v>
      </c>
      <c r="F366" s="1">
        <v>43952</v>
      </c>
      <c r="G366">
        <v>6.04</v>
      </c>
      <c r="H366">
        <v>78.864199999999997</v>
      </c>
      <c r="I366">
        <v>21.76</v>
      </c>
      <c r="J366">
        <v>80.680000000000007</v>
      </c>
      <c r="K366" t="s">
        <v>22</v>
      </c>
      <c r="L366">
        <v>2279.3000000000002</v>
      </c>
      <c r="M366">
        <f>VLOOKUP(K366,RatingLookup!$A$2:$C$8,2,FALSE)</f>
        <v>5.0000000000000001E-3</v>
      </c>
      <c r="N366">
        <f t="shared" si="15"/>
        <v>4.1762458919303302E-4</v>
      </c>
      <c r="O366">
        <f>VLOOKUP(K366,RatingLookup!$A$2:$C$8,3,FALSE)</f>
        <v>0.45</v>
      </c>
      <c r="P366">
        <f t="shared" si="16"/>
        <v>0.42835127676645612</v>
      </c>
      <c r="Q366" t="str">
        <f t="shared" ca="1" si="17"/>
        <v>No</v>
      </c>
    </row>
    <row r="367" spans="1:17" x14ac:dyDescent="0.45">
      <c r="A367" t="s">
        <v>41</v>
      </c>
      <c r="B367" t="s">
        <v>42</v>
      </c>
      <c r="C367" t="s">
        <v>43</v>
      </c>
      <c r="D367" t="s">
        <v>20</v>
      </c>
      <c r="E367" t="s">
        <v>21</v>
      </c>
      <c r="F367" s="1">
        <v>43983</v>
      </c>
      <c r="G367">
        <v>5.48</v>
      </c>
      <c r="H367">
        <v>80.496399999999994</v>
      </c>
      <c r="I367">
        <v>20.83</v>
      </c>
      <c r="J367">
        <v>73.61</v>
      </c>
      <c r="K367" t="s">
        <v>22</v>
      </c>
      <c r="L367">
        <v>2082.36</v>
      </c>
      <c r="M367">
        <f>VLOOKUP(K367,RatingLookup!$A$2:$C$8,2,FALSE)</f>
        <v>5.0000000000000001E-3</v>
      </c>
      <c r="N367">
        <f t="shared" si="15"/>
        <v>4.1762458919303302E-4</v>
      </c>
      <c r="O367">
        <f>VLOOKUP(K367,RatingLookup!$A$2:$C$8,3,FALSE)</f>
        <v>0.45</v>
      </c>
      <c r="P367">
        <f t="shared" si="16"/>
        <v>0.39134013279840191</v>
      </c>
      <c r="Q367" t="str">
        <f t="shared" ca="1" si="17"/>
        <v>No</v>
      </c>
    </row>
    <row r="368" spans="1:17" x14ac:dyDescent="0.45">
      <c r="A368" t="s">
        <v>41</v>
      </c>
      <c r="B368" t="s">
        <v>42</v>
      </c>
      <c r="C368" t="s">
        <v>43</v>
      </c>
      <c r="D368" t="s">
        <v>20</v>
      </c>
      <c r="E368" t="s">
        <v>21</v>
      </c>
      <c r="F368" s="1">
        <v>44013</v>
      </c>
      <c r="G368">
        <v>6.09</v>
      </c>
      <c r="H368">
        <v>83.009699999999995</v>
      </c>
      <c r="I368">
        <v>15.99</v>
      </c>
      <c r="J368">
        <v>89.81</v>
      </c>
      <c r="K368" t="s">
        <v>22</v>
      </c>
      <c r="L368">
        <v>2254.1</v>
      </c>
      <c r="M368">
        <f>VLOOKUP(K368,RatingLookup!$A$2:$C$8,2,FALSE)</f>
        <v>5.0000000000000001E-3</v>
      </c>
      <c r="N368">
        <f t="shared" si="15"/>
        <v>4.1762458919303302E-4</v>
      </c>
      <c r="O368">
        <f>VLOOKUP(K368,RatingLookup!$A$2:$C$8,3,FALSE)</f>
        <v>0.45</v>
      </c>
      <c r="P368">
        <f t="shared" si="16"/>
        <v>0.42361541392500707</v>
      </c>
      <c r="Q368" t="str">
        <f t="shared" ca="1" si="17"/>
        <v>No</v>
      </c>
    </row>
    <row r="369" spans="1:17" x14ac:dyDescent="0.45">
      <c r="A369" t="s">
        <v>41</v>
      </c>
      <c r="B369" t="s">
        <v>42</v>
      </c>
      <c r="C369" t="s">
        <v>43</v>
      </c>
      <c r="D369" t="s">
        <v>20</v>
      </c>
      <c r="E369" t="s">
        <v>21</v>
      </c>
      <c r="F369" s="1">
        <v>44044</v>
      </c>
      <c r="G369">
        <v>4.6399999999999997</v>
      </c>
      <c r="H369">
        <v>80.466300000000004</v>
      </c>
      <c r="I369">
        <v>19.79</v>
      </c>
      <c r="J369">
        <v>83.14</v>
      </c>
      <c r="K369" t="s">
        <v>22</v>
      </c>
      <c r="L369">
        <v>2317.14</v>
      </c>
      <c r="M369">
        <f>VLOOKUP(K369,RatingLookup!$A$2:$C$8,2,FALSE)</f>
        <v>5.0000000000000001E-3</v>
      </c>
      <c r="N369">
        <f t="shared" si="15"/>
        <v>4.1762458919303302E-4</v>
      </c>
      <c r="O369">
        <f>VLOOKUP(K369,RatingLookup!$A$2:$C$8,3,FALSE)</f>
        <v>0.45</v>
      </c>
      <c r="P369">
        <f t="shared" si="16"/>
        <v>0.43546258827123502</v>
      </c>
      <c r="Q369" t="str">
        <f t="shared" ca="1" si="17"/>
        <v>No</v>
      </c>
    </row>
    <row r="370" spans="1:17" x14ac:dyDescent="0.45">
      <c r="A370" t="s">
        <v>41</v>
      </c>
      <c r="B370" t="s">
        <v>42</v>
      </c>
      <c r="C370" t="s">
        <v>43</v>
      </c>
      <c r="D370" t="s">
        <v>20</v>
      </c>
      <c r="E370" t="s">
        <v>21</v>
      </c>
      <c r="F370" s="1">
        <v>44075</v>
      </c>
      <c r="G370">
        <v>5.86</v>
      </c>
      <c r="H370">
        <v>84.764600000000002</v>
      </c>
      <c r="I370">
        <v>18.079999999999998</v>
      </c>
      <c r="J370">
        <v>73.89</v>
      </c>
      <c r="K370" t="s">
        <v>22</v>
      </c>
      <c r="L370">
        <v>2063.5100000000002</v>
      </c>
      <c r="M370">
        <f>VLOOKUP(K370,RatingLookup!$A$2:$C$8,2,FALSE)</f>
        <v>5.0000000000000001E-3</v>
      </c>
      <c r="N370">
        <f t="shared" si="15"/>
        <v>4.1762458919303302E-4</v>
      </c>
      <c r="O370">
        <f>VLOOKUP(K370,RatingLookup!$A$2:$C$8,3,FALSE)</f>
        <v>0.45</v>
      </c>
      <c r="P370">
        <f t="shared" si="16"/>
        <v>0.38779763222057206</v>
      </c>
      <c r="Q370" t="str">
        <f t="shared" ca="1" si="17"/>
        <v>No</v>
      </c>
    </row>
    <row r="371" spans="1:17" x14ac:dyDescent="0.45">
      <c r="A371" t="s">
        <v>41</v>
      </c>
      <c r="B371" t="s">
        <v>42</v>
      </c>
      <c r="C371" t="s">
        <v>43</v>
      </c>
      <c r="D371" t="s">
        <v>20</v>
      </c>
      <c r="E371" t="s">
        <v>21</v>
      </c>
      <c r="F371" s="1">
        <v>44105</v>
      </c>
      <c r="G371">
        <v>5.88</v>
      </c>
      <c r="H371">
        <v>81.440200000000004</v>
      </c>
      <c r="I371">
        <v>24.78</v>
      </c>
      <c r="J371">
        <v>65.58</v>
      </c>
      <c r="K371" t="s">
        <v>22</v>
      </c>
      <c r="L371">
        <v>2385.64</v>
      </c>
      <c r="M371">
        <f>VLOOKUP(K371,RatingLookup!$A$2:$C$8,2,FALSE)</f>
        <v>5.0000000000000001E-3</v>
      </c>
      <c r="N371">
        <f t="shared" si="15"/>
        <v>4.1762458919303302E-4</v>
      </c>
      <c r="O371">
        <f>VLOOKUP(K371,RatingLookup!$A$2:$C$8,3,FALSE)</f>
        <v>0.45</v>
      </c>
      <c r="P371">
        <f t="shared" si="16"/>
        <v>0.44833586623311028</v>
      </c>
      <c r="Q371" t="str">
        <f t="shared" ca="1" si="17"/>
        <v>No</v>
      </c>
    </row>
    <row r="372" spans="1:17" x14ac:dyDescent="0.45">
      <c r="A372" t="s">
        <v>41</v>
      </c>
      <c r="B372" t="s">
        <v>42</v>
      </c>
      <c r="C372" t="s">
        <v>43</v>
      </c>
      <c r="D372" t="s">
        <v>20</v>
      </c>
      <c r="E372" t="s">
        <v>21</v>
      </c>
      <c r="F372" s="1">
        <v>44136</v>
      </c>
      <c r="G372">
        <v>4.45</v>
      </c>
      <c r="H372">
        <v>78.381100000000004</v>
      </c>
      <c r="I372">
        <v>14.2</v>
      </c>
      <c r="J372">
        <v>74.31</v>
      </c>
      <c r="K372" t="s">
        <v>22</v>
      </c>
      <c r="L372">
        <v>2417.13</v>
      </c>
      <c r="M372">
        <f>VLOOKUP(K372,RatingLookup!$A$2:$C$8,2,FALSE)</f>
        <v>5.0000000000000001E-3</v>
      </c>
      <c r="N372">
        <f t="shared" si="15"/>
        <v>4.1762458919303302E-4</v>
      </c>
      <c r="O372">
        <f>VLOOKUP(K372,RatingLookup!$A$2:$C$8,3,FALSE)</f>
        <v>0.45</v>
      </c>
      <c r="P372">
        <f t="shared" si="16"/>
        <v>0.45425381547427018</v>
      </c>
      <c r="Q372" t="str">
        <f t="shared" ca="1" si="17"/>
        <v>No</v>
      </c>
    </row>
    <row r="373" spans="1:17" x14ac:dyDescent="0.45">
      <c r="A373" t="s">
        <v>41</v>
      </c>
      <c r="B373" t="s">
        <v>42</v>
      </c>
      <c r="C373" t="s">
        <v>43</v>
      </c>
      <c r="D373" t="s">
        <v>20</v>
      </c>
      <c r="E373" t="s">
        <v>21</v>
      </c>
      <c r="F373" s="1">
        <v>44166</v>
      </c>
      <c r="G373">
        <v>5.98</v>
      </c>
      <c r="H373">
        <v>86.3489</v>
      </c>
      <c r="I373">
        <v>29.46</v>
      </c>
      <c r="J373">
        <v>72.959999999999994</v>
      </c>
      <c r="K373" t="s">
        <v>22</v>
      </c>
      <c r="L373">
        <v>2374.2199999999998</v>
      </c>
      <c r="M373">
        <f>VLOOKUP(K373,RatingLookup!$A$2:$C$8,2,FALSE)</f>
        <v>5.0000000000000001E-3</v>
      </c>
      <c r="N373">
        <f t="shared" si="15"/>
        <v>4.1762458919303302E-4</v>
      </c>
      <c r="O373">
        <f>VLOOKUP(K373,RatingLookup!$A$2:$C$8,3,FALSE)</f>
        <v>0.45</v>
      </c>
      <c r="P373">
        <f t="shared" si="16"/>
        <v>0.44618969346924725</v>
      </c>
      <c r="Q373" t="str">
        <f t="shared" ca="1" si="17"/>
        <v>No</v>
      </c>
    </row>
    <row r="374" spans="1:17" x14ac:dyDescent="0.45">
      <c r="A374" t="s">
        <v>41</v>
      </c>
      <c r="B374" t="s">
        <v>42</v>
      </c>
      <c r="C374" t="s">
        <v>43</v>
      </c>
      <c r="D374" t="s">
        <v>20</v>
      </c>
      <c r="E374" t="s">
        <v>21</v>
      </c>
      <c r="F374" s="1">
        <v>44197</v>
      </c>
      <c r="G374">
        <v>5.19</v>
      </c>
      <c r="H374">
        <v>87.79</v>
      </c>
      <c r="I374">
        <v>16.43</v>
      </c>
      <c r="J374">
        <v>46.91</v>
      </c>
      <c r="K374" t="s">
        <v>22</v>
      </c>
      <c r="L374">
        <v>2252.8200000000002</v>
      </c>
      <c r="M374">
        <f>VLOOKUP(K374,RatingLookup!$A$2:$C$8,2,FALSE)</f>
        <v>5.0000000000000001E-3</v>
      </c>
      <c r="N374">
        <f t="shared" si="15"/>
        <v>4.1762458919303302E-4</v>
      </c>
      <c r="O374">
        <f>VLOOKUP(K374,RatingLookup!$A$2:$C$8,3,FALSE)</f>
        <v>0.45</v>
      </c>
      <c r="P374">
        <f t="shared" si="16"/>
        <v>0.42337486216163195</v>
      </c>
      <c r="Q374" t="str">
        <f t="shared" ca="1" si="17"/>
        <v>No</v>
      </c>
    </row>
    <row r="375" spans="1:17" x14ac:dyDescent="0.45">
      <c r="A375" t="s">
        <v>41</v>
      </c>
      <c r="B375" t="s">
        <v>42</v>
      </c>
      <c r="C375" t="s">
        <v>43</v>
      </c>
      <c r="D375" t="s">
        <v>20</v>
      </c>
      <c r="E375" t="s">
        <v>21</v>
      </c>
      <c r="F375" s="1">
        <v>44228</v>
      </c>
      <c r="G375">
        <v>6.17</v>
      </c>
      <c r="H375">
        <v>84.605599999999995</v>
      </c>
      <c r="I375">
        <v>16.13</v>
      </c>
      <c r="J375">
        <v>71.11</v>
      </c>
      <c r="K375" t="s">
        <v>22</v>
      </c>
      <c r="L375">
        <v>2287.31</v>
      </c>
      <c r="M375">
        <f>VLOOKUP(K375,RatingLookup!$A$2:$C$8,2,FALSE)</f>
        <v>5.0000000000000001E-3</v>
      </c>
      <c r="N375">
        <f t="shared" si="15"/>
        <v>4.1762458919303302E-4</v>
      </c>
      <c r="O375">
        <f>VLOOKUP(K375,RatingLookup!$A$2:$C$8,3,FALSE)</f>
        <v>0.45</v>
      </c>
      <c r="P375">
        <f t="shared" si="16"/>
        <v>0.42985660459820241</v>
      </c>
      <c r="Q375" t="str">
        <f t="shared" ca="1" si="17"/>
        <v>No</v>
      </c>
    </row>
    <row r="376" spans="1:17" x14ac:dyDescent="0.45">
      <c r="A376" t="s">
        <v>41</v>
      </c>
      <c r="B376" t="s">
        <v>42</v>
      </c>
      <c r="C376" t="s">
        <v>43</v>
      </c>
      <c r="D376" t="s">
        <v>20</v>
      </c>
      <c r="E376" t="s">
        <v>21</v>
      </c>
      <c r="F376" s="1">
        <v>44256</v>
      </c>
      <c r="G376">
        <v>6.47</v>
      </c>
      <c r="H376">
        <v>83.167400000000001</v>
      </c>
      <c r="I376">
        <v>16.149999999999999</v>
      </c>
      <c r="J376">
        <v>89.18</v>
      </c>
      <c r="K376" t="s">
        <v>30</v>
      </c>
      <c r="L376">
        <v>2127.89</v>
      </c>
      <c r="M376">
        <f>VLOOKUP(K376,RatingLookup!$A$2:$C$8,2,FALSE)</f>
        <v>1.4999999999999999E-2</v>
      </c>
      <c r="N376">
        <f t="shared" si="15"/>
        <v>1.2586770182638762E-3</v>
      </c>
      <c r="O376">
        <f>VLOOKUP(K376,RatingLookup!$A$2:$C$8,3,FALSE)</f>
        <v>0.5</v>
      </c>
      <c r="P376">
        <f t="shared" si="16"/>
        <v>1.3391631201967598</v>
      </c>
      <c r="Q376" t="str">
        <f t="shared" ca="1" si="17"/>
        <v>No</v>
      </c>
    </row>
    <row r="377" spans="1:17" x14ac:dyDescent="0.45">
      <c r="A377" t="s">
        <v>41</v>
      </c>
      <c r="B377" t="s">
        <v>42</v>
      </c>
      <c r="C377" t="s">
        <v>43</v>
      </c>
      <c r="D377" t="s">
        <v>20</v>
      </c>
      <c r="E377" t="s">
        <v>21</v>
      </c>
      <c r="F377" s="1">
        <v>44287</v>
      </c>
      <c r="G377">
        <v>6.84</v>
      </c>
      <c r="H377">
        <v>81.852099999999993</v>
      </c>
      <c r="I377">
        <v>10.69</v>
      </c>
      <c r="J377">
        <v>95.56</v>
      </c>
      <c r="K377" t="s">
        <v>30</v>
      </c>
      <c r="L377">
        <v>2224.39</v>
      </c>
      <c r="M377">
        <f>VLOOKUP(K377,RatingLookup!$A$2:$C$8,2,FALSE)</f>
        <v>1.4999999999999999E-2</v>
      </c>
      <c r="N377">
        <f t="shared" si="15"/>
        <v>1.2586770182638762E-3</v>
      </c>
      <c r="O377">
        <f>VLOOKUP(K377,RatingLookup!$A$2:$C$8,3,FALSE)</f>
        <v>0.5</v>
      </c>
      <c r="P377">
        <f t="shared" si="16"/>
        <v>1.3998942863279917</v>
      </c>
      <c r="Q377" t="str">
        <f t="shared" ca="1" si="17"/>
        <v>No</v>
      </c>
    </row>
    <row r="378" spans="1:17" x14ac:dyDescent="0.45">
      <c r="A378" t="s">
        <v>41</v>
      </c>
      <c r="B378" t="s">
        <v>42</v>
      </c>
      <c r="C378" t="s">
        <v>43</v>
      </c>
      <c r="D378" t="s">
        <v>20</v>
      </c>
      <c r="E378" t="s">
        <v>21</v>
      </c>
      <c r="F378" s="1">
        <v>44317</v>
      </c>
      <c r="G378">
        <v>6.21</v>
      </c>
      <c r="H378">
        <v>83.069400000000002</v>
      </c>
      <c r="I378">
        <v>14.44</v>
      </c>
      <c r="J378">
        <v>78.790000000000006</v>
      </c>
      <c r="K378" t="s">
        <v>30</v>
      </c>
      <c r="L378">
        <v>2232.54</v>
      </c>
      <c r="M378">
        <f>VLOOKUP(K378,RatingLookup!$A$2:$C$8,2,FALSE)</f>
        <v>1.4999999999999999E-2</v>
      </c>
      <c r="N378">
        <f t="shared" si="15"/>
        <v>1.2586770182638762E-3</v>
      </c>
      <c r="O378">
        <f>VLOOKUP(K378,RatingLookup!$A$2:$C$8,3,FALSE)</f>
        <v>0.5</v>
      </c>
      <c r="P378">
        <f t="shared" si="16"/>
        <v>1.4050233951774171</v>
      </c>
      <c r="Q378" t="str">
        <f t="shared" ca="1" si="17"/>
        <v>No</v>
      </c>
    </row>
    <row r="379" spans="1:17" x14ac:dyDescent="0.45">
      <c r="A379" t="s">
        <v>41</v>
      </c>
      <c r="B379" t="s">
        <v>42</v>
      </c>
      <c r="C379" t="s">
        <v>43</v>
      </c>
      <c r="D379" t="s">
        <v>20</v>
      </c>
      <c r="E379" t="s">
        <v>21</v>
      </c>
      <c r="F379" s="1">
        <v>44348</v>
      </c>
      <c r="G379">
        <v>5.65</v>
      </c>
      <c r="H379">
        <v>82.8566</v>
      </c>
      <c r="I379">
        <v>22.77</v>
      </c>
      <c r="J379">
        <v>84.8</v>
      </c>
      <c r="K379" t="s">
        <v>30</v>
      </c>
      <c r="L379">
        <v>2163.39</v>
      </c>
      <c r="M379">
        <f>VLOOKUP(K379,RatingLookup!$A$2:$C$8,2,FALSE)</f>
        <v>1.4999999999999999E-2</v>
      </c>
      <c r="N379">
        <f t="shared" si="15"/>
        <v>1.2586770182638762E-3</v>
      </c>
      <c r="O379">
        <f>VLOOKUP(K379,RatingLookup!$A$2:$C$8,3,FALSE)</f>
        <v>0.5</v>
      </c>
      <c r="P379">
        <f t="shared" si="16"/>
        <v>1.3615046372709436</v>
      </c>
      <c r="Q379" t="str">
        <f t="shared" ca="1" si="17"/>
        <v>No</v>
      </c>
    </row>
    <row r="380" spans="1:17" x14ac:dyDescent="0.45">
      <c r="A380" t="s">
        <v>41</v>
      </c>
      <c r="B380" t="s">
        <v>42</v>
      </c>
      <c r="C380" t="s">
        <v>43</v>
      </c>
      <c r="D380" t="s">
        <v>20</v>
      </c>
      <c r="E380" t="s">
        <v>21</v>
      </c>
      <c r="F380" s="1">
        <v>44378</v>
      </c>
      <c r="G380">
        <v>6.23</v>
      </c>
      <c r="H380">
        <v>81.101399999999998</v>
      </c>
      <c r="I380">
        <v>14.74</v>
      </c>
      <c r="J380">
        <v>70.430000000000007</v>
      </c>
      <c r="K380" t="s">
        <v>30</v>
      </c>
      <c r="L380">
        <v>2387.7399999999998</v>
      </c>
      <c r="M380">
        <f>VLOOKUP(K380,RatingLookup!$A$2:$C$8,2,FALSE)</f>
        <v>1.4999999999999999E-2</v>
      </c>
      <c r="N380">
        <f t="shared" si="15"/>
        <v>1.2586770182638762E-3</v>
      </c>
      <c r="O380">
        <f>VLOOKUP(K380,RatingLookup!$A$2:$C$8,3,FALSE)</f>
        <v>0.5</v>
      </c>
      <c r="P380">
        <f t="shared" si="16"/>
        <v>1.5026967317946938</v>
      </c>
      <c r="Q380" t="str">
        <f t="shared" ca="1" si="17"/>
        <v>No</v>
      </c>
    </row>
    <row r="381" spans="1:17" x14ac:dyDescent="0.45">
      <c r="A381" t="s">
        <v>41</v>
      </c>
      <c r="B381" t="s">
        <v>42</v>
      </c>
      <c r="C381" t="s">
        <v>43</v>
      </c>
      <c r="D381" t="s">
        <v>20</v>
      </c>
      <c r="E381" t="s">
        <v>21</v>
      </c>
      <c r="F381" s="1">
        <v>44409</v>
      </c>
      <c r="G381">
        <v>6.46</v>
      </c>
      <c r="H381">
        <v>81.494799999999998</v>
      </c>
      <c r="I381">
        <v>13.2</v>
      </c>
      <c r="J381">
        <v>56.75</v>
      </c>
      <c r="K381" t="s">
        <v>30</v>
      </c>
      <c r="L381">
        <v>2150.9699999999998</v>
      </c>
      <c r="M381">
        <f>VLOOKUP(K381,RatingLookup!$A$2:$C$8,2,FALSE)</f>
        <v>1.4999999999999999E-2</v>
      </c>
      <c r="N381">
        <f t="shared" si="15"/>
        <v>1.2586770182638762E-3</v>
      </c>
      <c r="O381">
        <f>VLOOKUP(K381,RatingLookup!$A$2:$C$8,3,FALSE)</f>
        <v>0.5</v>
      </c>
      <c r="P381">
        <f t="shared" si="16"/>
        <v>1.3536882529875247</v>
      </c>
      <c r="Q381" t="str">
        <f t="shared" ca="1" si="17"/>
        <v>No</v>
      </c>
    </row>
    <row r="382" spans="1:17" x14ac:dyDescent="0.45">
      <c r="A382" t="s">
        <v>41</v>
      </c>
      <c r="B382" t="s">
        <v>42</v>
      </c>
      <c r="C382" t="s">
        <v>43</v>
      </c>
      <c r="D382" t="s">
        <v>20</v>
      </c>
      <c r="E382" t="s">
        <v>21</v>
      </c>
      <c r="F382" s="1">
        <v>44440</v>
      </c>
      <c r="G382">
        <v>6.36</v>
      </c>
      <c r="H382">
        <v>83.0428</v>
      </c>
      <c r="I382">
        <v>11.24</v>
      </c>
      <c r="J382">
        <v>73.989999999999995</v>
      </c>
      <c r="K382" t="s">
        <v>22</v>
      </c>
      <c r="L382">
        <v>2216.71</v>
      </c>
      <c r="M382">
        <f>VLOOKUP(K382,RatingLookup!$A$2:$C$8,2,FALSE)</f>
        <v>5.0000000000000001E-3</v>
      </c>
      <c r="N382">
        <f t="shared" si="15"/>
        <v>4.1762458919303302E-4</v>
      </c>
      <c r="O382">
        <f>VLOOKUP(K382,RatingLookup!$A$2:$C$8,3,FALSE)</f>
        <v>0.45</v>
      </c>
      <c r="P382">
        <f t="shared" si="16"/>
        <v>0.4165886713995397</v>
      </c>
      <c r="Q382" t="str">
        <f t="shared" ca="1" si="17"/>
        <v>No</v>
      </c>
    </row>
    <row r="383" spans="1:17" x14ac:dyDescent="0.45">
      <c r="A383" t="s">
        <v>41</v>
      </c>
      <c r="B383" t="s">
        <v>42</v>
      </c>
      <c r="C383" t="s">
        <v>43</v>
      </c>
      <c r="D383" t="s">
        <v>20</v>
      </c>
      <c r="E383" t="s">
        <v>21</v>
      </c>
      <c r="F383" s="1">
        <v>44470</v>
      </c>
      <c r="G383">
        <v>5.48</v>
      </c>
      <c r="H383">
        <v>85.5</v>
      </c>
      <c r="I383">
        <v>5</v>
      </c>
      <c r="J383">
        <v>72.989999999999995</v>
      </c>
      <c r="K383" t="s">
        <v>22</v>
      </c>
      <c r="L383">
        <v>2241.63</v>
      </c>
      <c r="M383">
        <f>VLOOKUP(K383,RatingLookup!$A$2:$C$8,2,FALSE)</f>
        <v>5.0000000000000001E-3</v>
      </c>
      <c r="N383">
        <f t="shared" si="15"/>
        <v>4.1762458919303302E-4</v>
      </c>
      <c r="O383">
        <f>VLOOKUP(K383,RatingLookup!$A$2:$C$8,3,FALSE)</f>
        <v>0.45</v>
      </c>
      <c r="P383">
        <f t="shared" si="16"/>
        <v>0.4212719135427504</v>
      </c>
      <c r="Q383" t="str">
        <f t="shared" ca="1" si="17"/>
        <v>No</v>
      </c>
    </row>
    <row r="384" spans="1:17" x14ac:dyDescent="0.45">
      <c r="A384" t="s">
        <v>41</v>
      </c>
      <c r="B384" t="s">
        <v>42</v>
      </c>
      <c r="C384" t="s">
        <v>43</v>
      </c>
      <c r="D384" t="s">
        <v>20</v>
      </c>
      <c r="E384" t="s">
        <v>21</v>
      </c>
      <c r="F384" s="1">
        <v>44501</v>
      </c>
      <c r="G384">
        <v>4.6500000000000004</v>
      </c>
      <c r="H384">
        <v>79.190299999999993</v>
      </c>
      <c r="I384">
        <v>23.55</v>
      </c>
      <c r="J384">
        <v>92.21</v>
      </c>
      <c r="K384" t="s">
        <v>22</v>
      </c>
      <c r="L384">
        <v>2291.15</v>
      </c>
      <c r="M384">
        <f>VLOOKUP(K384,RatingLookup!$A$2:$C$8,2,FALSE)</f>
        <v>5.0000000000000001E-3</v>
      </c>
      <c r="N384">
        <f t="shared" si="15"/>
        <v>4.1762458919303302E-4</v>
      </c>
      <c r="O384">
        <f>VLOOKUP(K384,RatingLookup!$A$2:$C$8,3,FALSE)</f>
        <v>0.45</v>
      </c>
      <c r="P384">
        <f t="shared" si="16"/>
        <v>0.43057825988832793</v>
      </c>
      <c r="Q384" t="str">
        <f t="shared" ca="1" si="17"/>
        <v>No</v>
      </c>
    </row>
    <row r="385" spans="1:17" x14ac:dyDescent="0.45">
      <c r="A385" t="s">
        <v>41</v>
      </c>
      <c r="B385" t="s">
        <v>42</v>
      </c>
      <c r="C385" t="s">
        <v>43</v>
      </c>
      <c r="D385" t="s">
        <v>20</v>
      </c>
      <c r="E385" t="s">
        <v>21</v>
      </c>
      <c r="F385" s="1">
        <v>44531</v>
      </c>
      <c r="G385">
        <v>4.7699999999999996</v>
      </c>
      <c r="H385">
        <v>82.751099999999994</v>
      </c>
      <c r="I385">
        <v>17.850000000000001</v>
      </c>
      <c r="J385">
        <v>80.430000000000007</v>
      </c>
      <c r="K385" t="s">
        <v>22</v>
      </c>
      <c r="L385">
        <v>2298.89</v>
      </c>
      <c r="M385">
        <f>VLOOKUP(K385,RatingLookup!$A$2:$C$8,2,FALSE)</f>
        <v>5.0000000000000001E-3</v>
      </c>
      <c r="N385">
        <f t="shared" si="15"/>
        <v>4.1762458919303302E-4</v>
      </c>
      <c r="O385">
        <f>VLOOKUP(K385,RatingLookup!$A$2:$C$8,3,FALSE)</f>
        <v>0.45</v>
      </c>
      <c r="P385">
        <f t="shared" si="16"/>
        <v>0.43203284633248723</v>
      </c>
      <c r="Q385" t="str">
        <f t="shared" ca="1" si="17"/>
        <v>No</v>
      </c>
    </row>
    <row r="386" spans="1:17" x14ac:dyDescent="0.45">
      <c r="A386" t="s">
        <v>41</v>
      </c>
      <c r="B386" t="s">
        <v>42</v>
      </c>
      <c r="C386" t="s">
        <v>43</v>
      </c>
      <c r="D386" t="s">
        <v>20</v>
      </c>
      <c r="E386" t="s">
        <v>21</v>
      </c>
      <c r="F386" s="1">
        <v>44562</v>
      </c>
      <c r="G386">
        <v>4.9800000000000004</v>
      </c>
      <c r="H386">
        <v>79.0214</v>
      </c>
      <c r="I386">
        <v>15.24</v>
      </c>
      <c r="J386">
        <v>66.48</v>
      </c>
      <c r="K386" t="s">
        <v>22</v>
      </c>
      <c r="L386">
        <v>2331.85</v>
      </c>
      <c r="M386">
        <f>VLOOKUP(K386,RatingLookup!$A$2:$C$8,2,FALSE)</f>
        <v>5.0000000000000001E-3</v>
      </c>
      <c r="N386">
        <f t="shared" ref="N386:N449" si="18">1-(1-M386)^(1/12)</f>
        <v>4.1762458919303302E-4</v>
      </c>
      <c r="O386">
        <f>VLOOKUP(K386,RatingLookup!$A$2:$C$8,3,FALSE)</f>
        <v>0.45</v>
      </c>
      <c r="P386">
        <f t="shared" ref="P386:P449" si="19">L386*N386*O386</f>
        <v>0.43822705423939834</v>
      </c>
      <c r="Q386" t="str">
        <f t="shared" ref="Q386:Q449" ca="1" si="20">IF(RAND()&lt;N386,"Yes","No")</f>
        <v>No</v>
      </c>
    </row>
    <row r="387" spans="1:17" x14ac:dyDescent="0.45">
      <c r="A387" t="s">
        <v>41</v>
      </c>
      <c r="B387" t="s">
        <v>42</v>
      </c>
      <c r="C387" t="s">
        <v>43</v>
      </c>
      <c r="D387" t="s">
        <v>20</v>
      </c>
      <c r="E387" t="s">
        <v>21</v>
      </c>
      <c r="F387" s="1">
        <v>44593</v>
      </c>
      <c r="G387">
        <v>5.51</v>
      </c>
      <c r="H387">
        <v>86.292000000000002</v>
      </c>
      <c r="I387">
        <v>20.65</v>
      </c>
      <c r="J387">
        <v>52.07</v>
      </c>
      <c r="K387" t="s">
        <v>22</v>
      </c>
      <c r="L387">
        <v>2551.19</v>
      </c>
      <c r="M387">
        <f>VLOOKUP(K387,RatingLookup!$A$2:$C$8,2,FALSE)</f>
        <v>5.0000000000000001E-3</v>
      </c>
      <c r="N387">
        <f t="shared" si="18"/>
        <v>4.1762458919303302E-4</v>
      </c>
      <c r="O387">
        <f>VLOOKUP(K387,RatingLookup!$A$2:$C$8,3,FALSE)</f>
        <v>0.45</v>
      </c>
      <c r="P387">
        <f t="shared" si="19"/>
        <v>0.4794478540665183</v>
      </c>
      <c r="Q387" t="str">
        <f t="shared" ca="1" si="20"/>
        <v>No</v>
      </c>
    </row>
    <row r="388" spans="1:17" x14ac:dyDescent="0.45">
      <c r="A388" t="s">
        <v>41</v>
      </c>
      <c r="B388" t="s">
        <v>42</v>
      </c>
      <c r="C388" t="s">
        <v>43</v>
      </c>
      <c r="D388" t="s">
        <v>20</v>
      </c>
      <c r="E388" t="s">
        <v>21</v>
      </c>
      <c r="F388" s="1">
        <v>44621</v>
      </c>
      <c r="G388">
        <v>6.15</v>
      </c>
      <c r="H388">
        <v>85.746300000000005</v>
      </c>
      <c r="I388">
        <v>19.75</v>
      </c>
      <c r="J388">
        <v>74.98</v>
      </c>
      <c r="K388" t="s">
        <v>22</v>
      </c>
      <c r="L388">
        <v>2356.84</v>
      </c>
      <c r="M388">
        <f>VLOOKUP(K388,RatingLookup!$A$2:$C$8,2,FALSE)</f>
        <v>5.0000000000000001E-3</v>
      </c>
      <c r="N388">
        <f t="shared" si="18"/>
        <v>4.1762458919303302E-4</v>
      </c>
      <c r="O388">
        <f>VLOOKUP(K388,RatingLookup!$A$2:$C$8,3,FALSE)</f>
        <v>0.45</v>
      </c>
      <c r="P388">
        <f t="shared" si="19"/>
        <v>0.44292345155716861</v>
      </c>
      <c r="Q388" t="str">
        <f t="shared" ca="1" si="20"/>
        <v>No</v>
      </c>
    </row>
    <row r="389" spans="1:17" x14ac:dyDescent="0.45">
      <c r="A389" t="s">
        <v>41</v>
      </c>
      <c r="B389" t="s">
        <v>42</v>
      </c>
      <c r="C389" t="s">
        <v>43</v>
      </c>
      <c r="D389" t="s">
        <v>20</v>
      </c>
      <c r="E389" t="s">
        <v>21</v>
      </c>
      <c r="F389" s="1">
        <v>44652</v>
      </c>
      <c r="G389">
        <v>5.07</v>
      </c>
      <c r="H389">
        <v>82.647300000000001</v>
      </c>
      <c r="I389">
        <v>26.61</v>
      </c>
      <c r="J389">
        <v>78.64</v>
      </c>
      <c r="K389" t="s">
        <v>22</v>
      </c>
      <c r="L389">
        <v>2525.5700000000002</v>
      </c>
      <c r="M389">
        <f>VLOOKUP(K389,RatingLookup!$A$2:$C$8,2,FALSE)</f>
        <v>5.0000000000000001E-3</v>
      </c>
      <c r="N389">
        <f t="shared" si="18"/>
        <v>4.1762458919303302E-4</v>
      </c>
      <c r="O389">
        <f>VLOOKUP(K389,RatingLookup!$A$2:$C$8,3,FALSE)</f>
        <v>0.45</v>
      </c>
      <c r="P389">
        <f t="shared" si="19"/>
        <v>0.47463306017771184</v>
      </c>
      <c r="Q389" t="str">
        <f t="shared" ca="1" si="20"/>
        <v>No</v>
      </c>
    </row>
    <row r="390" spans="1:17" x14ac:dyDescent="0.45">
      <c r="A390" t="s">
        <v>41</v>
      </c>
      <c r="B390" t="s">
        <v>42</v>
      </c>
      <c r="C390" t="s">
        <v>43</v>
      </c>
      <c r="D390" t="s">
        <v>20</v>
      </c>
      <c r="E390" t="s">
        <v>21</v>
      </c>
      <c r="F390" s="1">
        <v>44682</v>
      </c>
      <c r="G390">
        <v>4.97</v>
      </c>
      <c r="H390">
        <v>84.9649</v>
      </c>
      <c r="I390">
        <v>19.96</v>
      </c>
      <c r="J390">
        <v>75.599999999999994</v>
      </c>
      <c r="K390" t="s">
        <v>22</v>
      </c>
      <c r="L390">
        <v>2039.77</v>
      </c>
      <c r="M390">
        <f>VLOOKUP(K390,RatingLookup!$A$2:$C$8,2,FALSE)</f>
        <v>5.0000000000000001E-3</v>
      </c>
      <c r="N390">
        <f t="shared" si="18"/>
        <v>4.1762458919303302E-4</v>
      </c>
      <c r="O390">
        <f>VLOOKUP(K390,RatingLookup!$A$2:$C$8,3,FALSE)</f>
        <v>0.45</v>
      </c>
      <c r="P390">
        <f t="shared" si="19"/>
        <v>0.38333614873422289</v>
      </c>
      <c r="Q390" t="str">
        <f t="shared" ca="1" si="20"/>
        <v>No</v>
      </c>
    </row>
    <row r="391" spans="1:17" x14ac:dyDescent="0.45">
      <c r="A391" t="s">
        <v>41</v>
      </c>
      <c r="B391" t="s">
        <v>42</v>
      </c>
      <c r="C391" t="s">
        <v>43</v>
      </c>
      <c r="D391" t="s">
        <v>20</v>
      </c>
      <c r="E391" t="s">
        <v>21</v>
      </c>
      <c r="F391" s="1">
        <v>44713</v>
      </c>
      <c r="G391">
        <v>5.35</v>
      </c>
      <c r="H391">
        <v>86.482399999999998</v>
      </c>
      <c r="I391">
        <v>30.79</v>
      </c>
      <c r="J391">
        <v>90.36</v>
      </c>
      <c r="K391" t="s">
        <v>22</v>
      </c>
      <c r="L391">
        <v>2258.87</v>
      </c>
      <c r="M391">
        <f>VLOOKUP(K391,RatingLookup!$A$2:$C$8,2,FALSE)</f>
        <v>5.0000000000000001E-3</v>
      </c>
      <c r="N391">
        <f t="shared" si="18"/>
        <v>4.1762458919303302E-4</v>
      </c>
      <c r="O391">
        <f>VLOOKUP(K391,RatingLookup!$A$2:$C$8,3,FALSE)</f>
        <v>0.45</v>
      </c>
      <c r="P391">
        <f t="shared" si="19"/>
        <v>0.42451184510570988</v>
      </c>
      <c r="Q391" t="str">
        <f t="shared" ca="1" si="20"/>
        <v>No</v>
      </c>
    </row>
    <row r="392" spans="1:17" x14ac:dyDescent="0.45">
      <c r="A392" t="s">
        <v>41</v>
      </c>
      <c r="B392" t="s">
        <v>42</v>
      </c>
      <c r="C392" t="s">
        <v>43</v>
      </c>
      <c r="D392" t="s">
        <v>20</v>
      </c>
      <c r="E392" t="s">
        <v>21</v>
      </c>
      <c r="F392" s="1">
        <v>44743</v>
      </c>
      <c r="G392">
        <v>6.24</v>
      </c>
      <c r="H392">
        <v>80.407499999999999</v>
      </c>
      <c r="I392">
        <v>7.49</v>
      </c>
      <c r="J392">
        <v>86.35</v>
      </c>
      <c r="K392" t="s">
        <v>22</v>
      </c>
      <c r="L392">
        <v>2342.4</v>
      </c>
      <c r="M392">
        <f>VLOOKUP(K392,RatingLookup!$A$2:$C$8,2,FALSE)</f>
        <v>5.0000000000000001E-3</v>
      </c>
      <c r="N392">
        <f t="shared" si="18"/>
        <v>4.1762458919303302E-4</v>
      </c>
      <c r="O392">
        <f>VLOOKUP(K392,RatingLookup!$A$2:$C$8,3,FALSE)</f>
        <v>0.45</v>
      </c>
      <c r="P392">
        <f t="shared" si="19"/>
        <v>0.44020972697659227</v>
      </c>
      <c r="Q392" t="str">
        <f t="shared" ca="1" si="20"/>
        <v>No</v>
      </c>
    </row>
    <row r="393" spans="1:17" x14ac:dyDescent="0.45">
      <c r="A393" t="s">
        <v>41</v>
      </c>
      <c r="B393" t="s">
        <v>42</v>
      </c>
      <c r="C393" t="s">
        <v>43</v>
      </c>
      <c r="D393" t="s">
        <v>20</v>
      </c>
      <c r="E393" t="s">
        <v>21</v>
      </c>
      <c r="F393" s="1">
        <v>44774</v>
      </c>
      <c r="G393">
        <v>4.5</v>
      </c>
      <c r="H393">
        <v>84.295299999999997</v>
      </c>
      <c r="I393">
        <v>26.81</v>
      </c>
      <c r="J393">
        <v>72.290000000000006</v>
      </c>
      <c r="K393" t="s">
        <v>22</v>
      </c>
      <c r="L393">
        <v>2345.19</v>
      </c>
      <c r="M393">
        <f>VLOOKUP(K393,RatingLookup!$A$2:$C$8,2,FALSE)</f>
        <v>5.0000000000000001E-3</v>
      </c>
      <c r="N393">
        <f t="shared" si="18"/>
        <v>4.1762458919303302E-4</v>
      </c>
      <c r="O393">
        <f>VLOOKUP(K393,RatingLookup!$A$2:$C$8,3,FALSE)</f>
        <v>0.45</v>
      </c>
      <c r="P393">
        <f t="shared" si="19"/>
        <v>0.4407340546483241</v>
      </c>
      <c r="Q393" t="str">
        <f t="shared" ca="1" si="20"/>
        <v>No</v>
      </c>
    </row>
    <row r="394" spans="1:17" x14ac:dyDescent="0.45">
      <c r="A394" t="s">
        <v>41</v>
      </c>
      <c r="B394" t="s">
        <v>42</v>
      </c>
      <c r="C394" t="s">
        <v>43</v>
      </c>
      <c r="D394" t="s">
        <v>20</v>
      </c>
      <c r="E394" t="s">
        <v>21</v>
      </c>
      <c r="F394" s="1">
        <v>44805</v>
      </c>
      <c r="G394">
        <v>5.73</v>
      </c>
      <c r="H394">
        <v>78.476799999999997</v>
      </c>
      <c r="I394">
        <v>14.82</v>
      </c>
      <c r="J394">
        <v>68.92</v>
      </c>
      <c r="K394" t="s">
        <v>22</v>
      </c>
      <c r="L394">
        <v>2349.91</v>
      </c>
      <c r="M394">
        <f>VLOOKUP(K394,RatingLookup!$A$2:$C$8,2,FALSE)</f>
        <v>5.0000000000000001E-3</v>
      </c>
      <c r="N394">
        <f t="shared" si="18"/>
        <v>4.1762458919303302E-4</v>
      </c>
      <c r="O394">
        <f>VLOOKUP(K394,RatingLookup!$A$2:$C$8,3,FALSE)</f>
        <v>0.45</v>
      </c>
      <c r="P394">
        <f t="shared" si="19"/>
        <v>0.4416210892757701</v>
      </c>
      <c r="Q394" t="str">
        <f t="shared" ca="1" si="20"/>
        <v>No</v>
      </c>
    </row>
    <row r="395" spans="1:17" x14ac:dyDescent="0.45">
      <c r="A395" t="s">
        <v>41</v>
      </c>
      <c r="B395" t="s">
        <v>42</v>
      </c>
      <c r="C395" t="s">
        <v>43</v>
      </c>
      <c r="D395" t="s">
        <v>20</v>
      </c>
      <c r="E395" t="s">
        <v>21</v>
      </c>
      <c r="F395" s="1">
        <v>44835</v>
      </c>
      <c r="G395">
        <v>5.84</v>
      </c>
      <c r="H395">
        <v>84.5154</v>
      </c>
      <c r="I395">
        <v>24.65</v>
      </c>
      <c r="J395">
        <v>92.02</v>
      </c>
      <c r="K395" t="s">
        <v>22</v>
      </c>
      <c r="L395">
        <v>2408.65</v>
      </c>
      <c r="M395">
        <f>VLOOKUP(K395,RatingLookup!$A$2:$C$8,2,FALSE)</f>
        <v>5.0000000000000001E-3</v>
      </c>
      <c r="N395">
        <f t="shared" si="18"/>
        <v>4.1762458919303302E-4</v>
      </c>
      <c r="O395">
        <f>VLOOKUP(K395,RatingLookup!$A$2:$C$8,3,FALSE)</f>
        <v>0.45</v>
      </c>
      <c r="P395">
        <f t="shared" si="19"/>
        <v>0.45266016004190957</v>
      </c>
      <c r="Q395" t="str">
        <f t="shared" ca="1" si="20"/>
        <v>No</v>
      </c>
    </row>
    <row r="396" spans="1:17" x14ac:dyDescent="0.45">
      <c r="A396" t="s">
        <v>41</v>
      </c>
      <c r="B396" t="s">
        <v>42</v>
      </c>
      <c r="C396" t="s">
        <v>43</v>
      </c>
      <c r="D396" t="s">
        <v>20</v>
      </c>
      <c r="E396" t="s">
        <v>21</v>
      </c>
      <c r="F396" s="1">
        <v>44866</v>
      </c>
      <c r="G396">
        <v>5.4</v>
      </c>
      <c r="H396">
        <v>84.198300000000003</v>
      </c>
      <c r="I396">
        <v>17.38</v>
      </c>
      <c r="J396">
        <v>96.93</v>
      </c>
      <c r="K396" t="s">
        <v>22</v>
      </c>
      <c r="L396">
        <v>2476.09</v>
      </c>
      <c r="M396">
        <f>VLOOKUP(K396,RatingLookup!$A$2:$C$8,2,FALSE)</f>
        <v>5.0000000000000001E-3</v>
      </c>
      <c r="N396">
        <f t="shared" si="18"/>
        <v>4.1762458919303302E-4</v>
      </c>
      <c r="O396">
        <f>VLOOKUP(K396,RatingLookup!$A$2:$C$8,3,FALSE)</f>
        <v>0.45</v>
      </c>
      <c r="P396">
        <f t="shared" si="19"/>
        <v>0.46533423107473981</v>
      </c>
      <c r="Q396" t="str">
        <f t="shared" ca="1" si="20"/>
        <v>No</v>
      </c>
    </row>
    <row r="397" spans="1:17" x14ac:dyDescent="0.45">
      <c r="A397" t="s">
        <v>41</v>
      </c>
      <c r="B397" t="s">
        <v>42</v>
      </c>
      <c r="C397" t="s">
        <v>43</v>
      </c>
      <c r="D397" t="s">
        <v>20</v>
      </c>
      <c r="E397" t="s">
        <v>21</v>
      </c>
      <c r="F397" s="1">
        <v>44896</v>
      </c>
      <c r="G397">
        <v>5.95</v>
      </c>
      <c r="H397">
        <v>84.453299999999999</v>
      </c>
      <c r="I397">
        <v>11.94</v>
      </c>
      <c r="J397">
        <v>93.84</v>
      </c>
      <c r="K397" t="s">
        <v>22</v>
      </c>
      <c r="L397">
        <v>2322.58</v>
      </c>
      <c r="M397">
        <f>VLOOKUP(K397,RatingLookup!$A$2:$C$8,2,FALSE)</f>
        <v>5.0000000000000001E-3</v>
      </c>
      <c r="N397">
        <f t="shared" si="18"/>
        <v>4.1762458919303302E-4</v>
      </c>
      <c r="O397">
        <f>VLOOKUP(K397,RatingLookup!$A$2:$C$8,3,FALSE)</f>
        <v>0.45</v>
      </c>
      <c r="P397">
        <f t="shared" si="19"/>
        <v>0.43648493326557963</v>
      </c>
      <c r="Q397" t="str">
        <f t="shared" ca="1" si="20"/>
        <v>No</v>
      </c>
    </row>
    <row r="398" spans="1:17" x14ac:dyDescent="0.45">
      <c r="A398" t="s">
        <v>41</v>
      </c>
      <c r="B398" t="s">
        <v>42</v>
      </c>
      <c r="C398" t="s">
        <v>43</v>
      </c>
      <c r="D398" t="s">
        <v>20</v>
      </c>
      <c r="E398" t="s">
        <v>21</v>
      </c>
      <c r="F398" s="1">
        <v>44927</v>
      </c>
      <c r="G398">
        <v>5.93</v>
      </c>
      <c r="H398">
        <v>81.585599999999999</v>
      </c>
      <c r="I398">
        <v>22.62</v>
      </c>
      <c r="J398">
        <v>86.17</v>
      </c>
      <c r="K398" t="s">
        <v>22</v>
      </c>
      <c r="L398">
        <v>2271.87</v>
      </c>
      <c r="M398">
        <f>VLOOKUP(K398,RatingLookup!$A$2:$C$8,2,FALSE)</f>
        <v>5.0000000000000001E-3</v>
      </c>
      <c r="N398">
        <f t="shared" si="18"/>
        <v>4.1762458919303302E-4</v>
      </c>
      <c r="O398">
        <f>VLOOKUP(K398,RatingLookup!$A$2:$C$8,3,FALSE)</f>
        <v>0.45</v>
      </c>
      <c r="P398">
        <f t="shared" si="19"/>
        <v>0.42695494895248914</v>
      </c>
      <c r="Q398" t="str">
        <f t="shared" ca="1" si="20"/>
        <v>No</v>
      </c>
    </row>
    <row r="399" spans="1:17" x14ac:dyDescent="0.45">
      <c r="A399" t="s">
        <v>41</v>
      </c>
      <c r="B399" t="s">
        <v>42</v>
      </c>
      <c r="C399" t="s">
        <v>43</v>
      </c>
      <c r="D399" t="s">
        <v>20</v>
      </c>
      <c r="E399" t="s">
        <v>21</v>
      </c>
      <c r="F399" s="1">
        <v>44958</v>
      </c>
      <c r="G399">
        <v>4.83</v>
      </c>
      <c r="H399">
        <v>83.302099999999996</v>
      </c>
      <c r="I399">
        <v>21.65</v>
      </c>
      <c r="J399">
        <v>66.16</v>
      </c>
      <c r="K399" t="s">
        <v>22</v>
      </c>
      <c r="L399">
        <v>2404.9699999999998</v>
      </c>
      <c r="M399">
        <f>VLOOKUP(K399,RatingLookup!$A$2:$C$8,2,FALSE)</f>
        <v>5.0000000000000001E-3</v>
      </c>
      <c r="N399">
        <f t="shared" si="18"/>
        <v>4.1762458919303302E-4</v>
      </c>
      <c r="O399">
        <f>VLOOKUP(K399,RatingLookup!$A$2:$C$8,3,FALSE)</f>
        <v>0.45</v>
      </c>
      <c r="P399">
        <f t="shared" si="19"/>
        <v>0.45196857372220584</v>
      </c>
      <c r="Q399" t="str">
        <f t="shared" ca="1" si="20"/>
        <v>No</v>
      </c>
    </row>
    <row r="400" spans="1:17" x14ac:dyDescent="0.45">
      <c r="A400" t="s">
        <v>41</v>
      </c>
      <c r="B400" t="s">
        <v>42</v>
      </c>
      <c r="C400" t="s">
        <v>43</v>
      </c>
      <c r="D400" t="s">
        <v>20</v>
      </c>
      <c r="E400" t="s">
        <v>21</v>
      </c>
      <c r="F400" s="1">
        <v>44986</v>
      </c>
      <c r="G400">
        <v>4.8099999999999996</v>
      </c>
      <c r="H400">
        <v>84.274699999999996</v>
      </c>
      <c r="I400">
        <v>25.53</v>
      </c>
      <c r="J400">
        <v>80.59</v>
      </c>
      <c r="K400" t="s">
        <v>22</v>
      </c>
      <c r="L400">
        <v>2190.44</v>
      </c>
      <c r="M400">
        <f>VLOOKUP(K400,RatingLookup!$A$2:$C$8,2,FALSE)</f>
        <v>5.0000000000000001E-3</v>
      </c>
      <c r="N400">
        <f t="shared" si="18"/>
        <v>4.1762458919303302E-4</v>
      </c>
      <c r="O400">
        <f>VLOOKUP(K400,RatingLookup!$A$2:$C$8,3,FALSE)</f>
        <v>0.45</v>
      </c>
      <c r="P400">
        <f t="shared" si="19"/>
        <v>0.41165172231839425</v>
      </c>
      <c r="Q400" t="str">
        <f t="shared" ca="1" si="20"/>
        <v>No</v>
      </c>
    </row>
    <row r="401" spans="1:17" x14ac:dyDescent="0.45">
      <c r="A401" t="s">
        <v>41</v>
      </c>
      <c r="B401" t="s">
        <v>42</v>
      </c>
      <c r="C401" t="s">
        <v>43</v>
      </c>
      <c r="D401" t="s">
        <v>20</v>
      </c>
      <c r="E401" t="s">
        <v>21</v>
      </c>
      <c r="F401" s="1">
        <v>45017</v>
      </c>
      <c r="G401">
        <v>4.87</v>
      </c>
      <c r="H401">
        <v>82.1631</v>
      </c>
      <c r="I401">
        <v>15.97</v>
      </c>
      <c r="J401">
        <v>62.17</v>
      </c>
      <c r="K401" t="s">
        <v>22</v>
      </c>
      <c r="L401">
        <v>2280.5300000000002</v>
      </c>
      <c r="M401">
        <f>VLOOKUP(K401,RatingLookup!$A$2:$C$8,2,FALSE)</f>
        <v>5.0000000000000001E-3</v>
      </c>
      <c r="N401">
        <f t="shared" si="18"/>
        <v>4.1762458919303302E-4</v>
      </c>
      <c r="O401">
        <f>VLOOKUP(K401,RatingLookup!$A$2:$C$8,3,FALSE)</f>
        <v>0.45</v>
      </c>
      <c r="P401">
        <f t="shared" si="19"/>
        <v>0.42858243197657442</v>
      </c>
      <c r="Q401" t="str">
        <f t="shared" ca="1" si="20"/>
        <v>No</v>
      </c>
    </row>
    <row r="402" spans="1:17" x14ac:dyDescent="0.45">
      <c r="A402" t="s">
        <v>41</v>
      </c>
      <c r="B402" t="s">
        <v>42</v>
      </c>
      <c r="C402" t="s">
        <v>43</v>
      </c>
      <c r="D402" t="s">
        <v>20</v>
      </c>
      <c r="E402" t="s">
        <v>21</v>
      </c>
      <c r="F402" s="1">
        <v>45047</v>
      </c>
      <c r="G402">
        <v>5.57</v>
      </c>
      <c r="H402">
        <v>81.7971</v>
      </c>
      <c r="I402">
        <v>29</v>
      </c>
      <c r="J402">
        <v>89.78</v>
      </c>
      <c r="K402" t="s">
        <v>22</v>
      </c>
      <c r="L402">
        <v>2289.23</v>
      </c>
      <c r="M402">
        <f>VLOOKUP(K402,RatingLookup!$A$2:$C$8,2,FALSE)</f>
        <v>5.0000000000000001E-3</v>
      </c>
      <c r="N402">
        <f t="shared" si="18"/>
        <v>4.1762458919303302E-4</v>
      </c>
      <c r="O402">
        <f>VLOOKUP(K402,RatingLookup!$A$2:$C$8,3,FALSE)</f>
        <v>0.45</v>
      </c>
      <c r="P402">
        <f t="shared" si="19"/>
        <v>0.43021743224326514</v>
      </c>
      <c r="Q402" t="str">
        <f t="shared" ca="1" si="20"/>
        <v>No</v>
      </c>
    </row>
    <row r="403" spans="1:17" x14ac:dyDescent="0.45">
      <c r="A403" t="s">
        <v>41</v>
      </c>
      <c r="B403" t="s">
        <v>42</v>
      </c>
      <c r="C403" t="s">
        <v>43</v>
      </c>
      <c r="D403" t="s">
        <v>20</v>
      </c>
      <c r="E403" t="s">
        <v>21</v>
      </c>
      <c r="F403" s="1">
        <v>45078</v>
      </c>
      <c r="G403">
        <v>4.95</v>
      </c>
      <c r="H403">
        <v>77.334400000000002</v>
      </c>
      <c r="I403">
        <v>19.38</v>
      </c>
      <c r="J403">
        <v>76.58</v>
      </c>
      <c r="K403" t="s">
        <v>22</v>
      </c>
      <c r="L403">
        <v>2441.3000000000002</v>
      </c>
      <c r="M403">
        <f>VLOOKUP(K403,RatingLookup!$A$2:$C$8,2,FALSE)</f>
        <v>5.0000000000000001E-3</v>
      </c>
      <c r="N403">
        <f t="shared" si="18"/>
        <v>4.1762458919303302E-4</v>
      </c>
      <c r="O403">
        <f>VLOOKUP(K403,RatingLookup!$A$2:$C$8,3,FALSE)</f>
        <v>0.45</v>
      </c>
      <c r="P403">
        <f t="shared" si="19"/>
        <v>0.45879610931862824</v>
      </c>
      <c r="Q403" t="str">
        <f t="shared" ca="1" si="20"/>
        <v>No</v>
      </c>
    </row>
    <row r="404" spans="1:17" x14ac:dyDescent="0.45">
      <c r="A404" t="s">
        <v>41</v>
      </c>
      <c r="B404" t="s">
        <v>42</v>
      </c>
      <c r="C404" t="s">
        <v>43</v>
      </c>
      <c r="D404" t="s">
        <v>20</v>
      </c>
      <c r="E404" t="s">
        <v>21</v>
      </c>
      <c r="F404" s="1">
        <v>45108</v>
      </c>
      <c r="G404">
        <v>4.26</v>
      </c>
      <c r="H404">
        <v>84.287499999999994</v>
      </c>
      <c r="I404">
        <v>27.18</v>
      </c>
      <c r="J404">
        <v>76.16</v>
      </c>
      <c r="K404" t="s">
        <v>22</v>
      </c>
      <c r="L404">
        <v>2284.6999999999998</v>
      </c>
      <c r="M404">
        <f>VLOOKUP(K404,RatingLookup!$A$2:$C$8,2,FALSE)</f>
        <v>5.0000000000000001E-3</v>
      </c>
      <c r="N404">
        <f t="shared" si="18"/>
        <v>4.1762458919303302E-4</v>
      </c>
      <c r="O404">
        <f>VLOOKUP(K404,RatingLookup!$A$2:$C$8,3,FALSE)</f>
        <v>0.45</v>
      </c>
      <c r="P404">
        <f t="shared" si="19"/>
        <v>0.42936610451819512</v>
      </c>
      <c r="Q404" t="str">
        <f t="shared" ca="1" si="20"/>
        <v>No</v>
      </c>
    </row>
    <row r="405" spans="1:17" x14ac:dyDescent="0.45">
      <c r="A405" t="s">
        <v>41</v>
      </c>
      <c r="B405" t="s">
        <v>42</v>
      </c>
      <c r="C405" t="s">
        <v>43</v>
      </c>
      <c r="D405" t="s">
        <v>20</v>
      </c>
      <c r="E405" t="s">
        <v>21</v>
      </c>
      <c r="F405" s="1">
        <v>45139</v>
      </c>
      <c r="G405">
        <v>5.24</v>
      </c>
      <c r="H405">
        <v>83.681899999999999</v>
      </c>
      <c r="I405">
        <v>19.03</v>
      </c>
      <c r="J405">
        <v>78.55</v>
      </c>
      <c r="K405" t="s">
        <v>22</v>
      </c>
      <c r="L405">
        <v>2454.59</v>
      </c>
      <c r="M405">
        <f>VLOOKUP(K405,RatingLookup!$A$2:$C$8,2,FALSE)</f>
        <v>5.0000000000000001E-3</v>
      </c>
      <c r="N405">
        <f t="shared" si="18"/>
        <v>4.1762458919303302E-4</v>
      </c>
      <c r="O405">
        <f>VLOOKUP(K405,RatingLookup!$A$2:$C$8,3,FALSE)</f>
        <v>0.45</v>
      </c>
      <c r="P405">
        <f t="shared" si="19"/>
        <v>0.46129371317429718</v>
      </c>
      <c r="Q405" t="str">
        <f t="shared" ca="1" si="20"/>
        <v>No</v>
      </c>
    </row>
    <row r="406" spans="1:17" x14ac:dyDescent="0.45">
      <c r="A406" t="s">
        <v>41</v>
      </c>
      <c r="B406" t="s">
        <v>42</v>
      </c>
      <c r="C406" t="s">
        <v>43</v>
      </c>
      <c r="D406" t="s">
        <v>20</v>
      </c>
      <c r="E406" t="s">
        <v>21</v>
      </c>
      <c r="F406" s="1">
        <v>45170</v>
      </c>
      <c r="G406">
        <v>5.98</v>
      </c>
      <c r="H406">
        <v>80.412700000000001</v>
      </c>
      <c r="I406">
        <v>13.6</v>
      </c>
      <c r="J406">
        <v>66.8</v>
      </c>
      <c r="K406" t="s">
        <v>22</v>
      </c>
      <c r="L406">
        <v>2476.27</v>
      </c>
      <c r="M406">
        <f>VLOOKUP(K406,RatingLookup!$A$2:$C$8,2,FALSE)</f>
        <v>5.0000000000000001E-3</v>
      </c>
      <c r="N406">
        <f t="shared" si="18"/>
        <v>4.1762458919303302E-4</v>
      </c>
      <c r="O406">
        <f>VLOOKUP(K406,RatingLookup!$A$2:$C$8,3,FALSE)</f>
        <v>0.45</v>
      </c>
      <c r="P406">
        <f t="shared" si="19"/>
        <v>0.46536805866646436</v>
      </c>
      <c r="Q406" t="str">
        <f t="shared" ca="1" si="20"/>
        <v>No</v>
      </c>
    </row>
    <row r="407" spans="1:17" x14ac:dyDescent="0.45">
      <c r="A407" t="s">
        <v>41</v>
      </c>
      <c r="B407" t="s">
        <v>42</v>
      </c>
      <c r="C407" t="s">
        <v>43</v>
      </c>
      <c r="D407" t="s">
        <v>20</v>
      </c>
      <c r="E407" t="s">
        <v>21</v>
      </c>
      <c r="F407" s="1">
        <v>45200</v>
      </c>
      <c r="G407">
        <v>5.44</v>
      </c>
      <c r="H407">
        <v>79.616</v>
      </c>
      <c r="I407">
        <v>24.02</v>
      </c>
      <c r="J407">
        <v>73.94</v>
      </c>
      <c r="K407" t="s">
        <v>22</v>
      </c>
      <c r="L407">
        <v>2275.33</v>
      </c>
      <c r="M407">
        <f>VLOOKUP(K407,RatingLookup!$A$2:$C$8,2,FALSE)</f>
        <v>5.0000000000000001E-3</v>
      </c>
      <c r="N407">
        <f t="shared" si="18"/>
        <v>4.1762458919303302E-4</v>
      </c>
      <c r="O407">
        <f>VLOOKUP(K407,RatingLookup!$A$2:$C$8,3,FALSE)</f>
        <v>0.45</v>
      </c>
      <c r="P407">
        <f t="shared" si="19"/>
        <v>0.42760519043786271</v>
      </c>
      <c r="Q407" t="str">
        <f t="shared" ca="1" si="20"/>
        <v>No</v>
      </c>
    </row>
    <row r="408" spans="1:17" x14ac:dyDescent="0.45">
      <c r="A408" t="s">
        <v>41</v>
      </c>
      <c r="B408" t="s">
        <v>42</v>
      </c>
      <c r="C408" t="s">
        <v>43</v>
      </c>
      <c r="D408" t="s">
        <v>20</v>
      </c>
      <c r="E408" t="s">
        <v>21</v>
      </c>
      <c r="F408" s="1">
        <v>45231</v>
      </c>
      <c r="G408">
        <v>6.16</v>
      </c>
      <c r="H408">
        <v>82.634900000000002</v>
      </c>
      <c r="I408">
        <v>23.96</v>
      </c>
      <c r="J408">
        <v>69.91</v>
      </c>
      <c r="K408" t="s">
        <v>22</v>
      </c>
      <c r="L408">
        <v>2334.81</v>
      </c>
      <c r="M408">
        <f>VLOOKUP(K408,RatingLookup!$A$2:$C$8,2,FALSE)</f>
        <v>5.0000000000000001E-3</v>
      </c>
      <c r="N408">
        <f t="shared" si="18"/>
        <v>4.1762458919303302E-4</v>
      </c>
      <c r="O408">
        <f>VLOOKUP(K408,RatingLookup!$A$2:$C$8,3,FALSE)</f>
        <v>0.45</v>
      </c>
      <c r="P408">
        <f t="shared" si="19"/>
        <v>0.43878333019220345</v>
      </c>
      <c r="Q408" t="str">
        <f t="shared" ca="1" si="20"/>
        <v>No</v>
      </c>
    </row>
    <row r="409" spans="1:17" x14ac:dyDescent="0.45">
      <c r="A409" t="s">
        <v>41</v>
      </c>
      <c r="B409" t="s">
        <v>42</v>
      </c>
      <c r="C409" t="s">
        <v>43</v>
      </c>
      <c r="D409" t="s">
        <v>20</v>
      </c>
      <c r="E409" t="s">
        <v>21</v>
      </c>
      <c r="F409" s="1">
        <v>45261</v>
      </c>
      <c r="G409">
        <v>6.07</v>
      </c>
      <c r="H409">
        <v>81.369</v>
      </c>
      <c r="I409">
        <v>17.010000000000002</v>
      </c>
      <c r="J409">
        <v>96.4</v>
      </c>
      <c r="K409" t="s">
        <v>22</v>
      </c>
      <c r="L409">
        <v>2332</v>
      </c>
      <c r="M409">
        <f>VLOOKUP(K409,RatingLookup!$A$2:$C$8,2,FALSE)</f>
        <v>5.0000000000000001E-3</v>
      </c>
      <c r="N409">
        <f t="shared" si="18"/>
        <v>4.1762458919303302E-4</v>
      </c>
      <c r="O409">
        <f>VLOOKUP(K409,RatingLookup!$A$2:$C$8,3,FALSE)</f>
        <v>0.45</v>
      </c>
      <c r="P409">
        <f t="shared" si="19"/>
        <v>0.43825524389916887</v>
      </c>
      <c r="Q409" t="str">
        <f t="shared" ca="1" si="20"/>
        <v>No</v>
      </c>
    </row>
    <row r="410" spans="1:17" x14ac:dyDescent="0.45">
      <c r="A410" t="s">
        <v>41</v>
      </c>
      <c r="B410" t="s">
        <v>42</v>
      </c>
      <c r="C410" t="s">
        <v>43</v>
      </c>
      <c r="D410" t="s">
        <v>20</v>
      </c>
      <c r="E410" t="s">
        <v>21</v>
      </c>
      <c r="F410" s="1">
        <v>45292</v>
      </c>
      <c r="G410">
        <v>5.64</v>
      </c>
      <c r="H410">
        <v>83.5976</v>
      </c>
      <c r="I410">
        <v>18.62</v>
      </c>
      <c r="J410">
        <v>66.78</v>
      </c>
      <c r="K410" t="s">
        <v>22</v>
      </c>
      <c r="L410">
        <v>2428.64</v>
      </c>
      <c r="M410">
        <f>VLOOKUP(K410,RatingLookup!$A$2:$C$8,2,FALSE)</f>
        <v>5.0000000000000001E-3</v>
      </c>
      <c r="N410">
        <f t="shared" si="18"/>
        <v>4.1762458919303302E-4</v>
      </c>
      <c r="O410">
        <f>VLOOKUP(K410,RatingLookup!$A$2:$C$8,3,FALSE)</f>
        <v>0.45</v>
      </c>
      <c r="P410">
        <f t="shared" si="19"/>
        <v>0.45641690203399549</v>
      </c>
      <c r="Q410" t="str">
        <f t="shared" ca="1" si="20"/>
        <v>No</v>
      </c>
    </row>
    <row r="411" spans="1:17" x14ac:dyDescent="0.45">
      <c r="A411" t="s">
        <v>41</v>
      </c>
      <c r="B411" t="s">
        <v>42</v>
      </c>
      <c r="C411" t="s">
        <v>43</v>
      </c>
      <c r="D411" t="s">
        <v>20</v>
      </c>
      <c r="E411" t="s">
        <v>21</v>
      </c>
      <c r="F411" s="1">
        <v>45323</v>
      </c>
      <c r="G411">
        <v>5.0599999999999996</v>
      </c>
      <c r="H411">
        <v>84.919399999999996</v>
      </c>
      <c r="I411">
        <v>27.21</v>
      </c>
      <c r="J411">
        <v>61.84</v>
      </c>
      <c r="K411" t="s">
        <v>22</v>
      </c>
      <c r="L411">
        <v>2559.9899999999998</v>
      </c>
      <c r="M411">
        <f>VLOOKUP(K411,RatingLookup!$A$2:$C$8,2,FALSE)</f>
        <v>5.0000000000000001E-3</v>
      </c>
      <c r="N411">
        <f t="shared" si="18"/>
        <v>4.1762458919303302E-4</v>
      </c>
      <c r="O411">
        <f>VLOOKUP(K411,RatingLookup!$A$2:$C$8,3,FALSE)</f>
        <v>0.45</v>
      </c>
      <c r="P411">
        <f t="shared" si="19"/>
        <v>0.48110164743972267</v>
      </c>
      <c r="Q411" t="str">
        <f t="shared" ca="1" si="20"/>
        <v>No</v>
      </c>
    </row>
    <row r="412" spans="1:17" x14ac:dyDescent="0.45">
      <c r="A412" t="s">
        <v>41</v>
      </c>
      <c r="B412" t="s">
        <v>42</v>
      </c>
      <c r="C412" t="s">
        <v>43</v>
      </c>
      <c r="D412" t="s">
        <v>20</v>
      </c>
      <c r="E412" t="s">
        <v>21</v>
      </c>
      <c r="F412" s="1">
        <v>45352</v>
      </c>
      <c r="G412">
        <v>4.95</v>
      </c>
      <c r="H412">
        <v>83.471199999999996</v>
      </c>
      <c r="I412">
        <v>19.399999999999999</v>
      </c>
      <c r="J412">
        <v>90.77</v>
      </c>
      <c r="K412" t="s">
        <v>22</v>
      </c>
      <c r="L412">
        <v>2306.29</v>
      </c>
      <c r="M412">
        <f>VLOOKUP(K412,RatingLookup!$A$2:$C$8,2,FALSE)</f>
        <v>5.0000000000000001E-3</v>
      </c>
      <c r="N412">
        <f t="shared" si="18"/>
        <v>4.1762458919303302E-4</v>
      </c>
      <c r="O412">
        <f>VLOOKUP(K412,RatingLookup!$A$2:$C$8,3,FALSE)</f>
        <v>0.45</v>
      </c>
      <c r="P412">
        <f t="shared" si="19"/>
        <v>0.43342353621450008</v>
      </c>
      <c r="Q412" t="str">
        <f t="shared" ca="1" si="20"/>
        <v>No</v>
      </c>
    </row>
    <row r="413" spans="1:17" x14ac:dyDescent="0.45">
      <c r="A413" t="s">
        <v>41</v>
      </c>
      <c r="B413" t="s">
        <v>42</v>
      </c>
      <c r="C413" t="s">
        <v>43</v>
      </c>
      <c r="D413" t="s">
        <v>20</v>
      </c>
      <c r="E413" t="s">
        <v>21</v>
      </c>
      <c r="F413" s="1">
        <v>45383</v>
      </c>
      <c r="G413">
        <v>6.5</v>
      </c>
      <c r="H413">
        <v>85.055400000000006</v>
      </c>
      <c r="I413">
        <v>14.73</v>
      </c>
      <c r="J413">
        <v>72.78</v>
      </c>
      <c r="K413" t="s">
        <v>30</v>
      </c>
      <c r="L413">
        <v>2367.15</v>
      </c>
      <c r="M413">
        <f>VLOOKUP(K413,RatingLookup!$A$2:$C$8,2,FALSE)</f>
        <v>1.4999999999999999E-2</v>
      </c>
      <c r="N413">
        <f t="shared" si="18"/>
        <v>1.2586770182638762E-3</v>
      </c>
      <c r="O413">
        <f>VLOOKUP(K413,RatingLookup!$A$2:$C$8,3,FALSE)</f>
        <v>0.5</v>
      </c>
      <c r="P413">
        <f t="shared" si="19"/>
        <v>1.4897386518916673</v>
      </c>
      <c r="Q413" t="str">
        <f t="shared" ca="1" si="20"/>
        <v>No</v>
      </c>
    </row>
    <row r="414" spans="1:17" x14ac:dyDescent="0.45">
      <c r="A414" t="s">
        <v>41</v>
      </c>
      <c r="B414" t="s">
        <v>42</v>
      </c>
      <c r="C414" t="s">
        <v>43</v>
      </c>
      <c r="D414" t="s">
        <v>20</v>
      </c>
      <c r="E414" t="s">
        <v>21</v>
      </c>
      <c r="F414" s="1">
        <v>45413</v>
      </c>
      <c r="G414">
        <v>5.61</v>
      </c>
      <c r="H414">
        <v>83.705500000000001</v>
      </c>
      <c r="I414">
        <v>24.36</v>
      </c>
      <c r="J414">
        <v>95.35</v>
      </c>
      <c r="K414" t="s">
        <v>30</v>
      </c>
      <c r="L414">
        <v>2356.8200000000002</v>
      </c>
      <c r="M414">
        <f>VLOOKUP(K414,RatingLookup!$A$2:$C$8,2,FALSE)</f>
        <v>1.4999999999999999E-2</v>
      </c>
      <c r="N414">
        <f t="shared" si="18"/>
        <v>1.2586770182638762E-3</v>
      </c>
      <c r="O414">
        <f>VLOOKUP(K414,RatingLookup!$A$2:$C$8,3,FALSE)</f>
        <v>0.5</v>
      </c>
      <c r="P414">
        <f t="shared" si="19"/>
        <v>1.4832375850923345</v>
      </c>
      <c r="Q414" t="str">
        <f t="shared" ca="1" si="20"/>
        <v>No</v>
      </c>
    </row>
    <row r="415" spans="1:17" x14ac:dyDescent="0.45">
      <c r="A415" t="s">
        <v>41</v>
      </c>
      <c r="B415" t="s">
        <v>42</v>
      </c>
      <c r="C415" t="s">
        <v>43</v>
      </c>
      <c r="D415" t="s">
        <v>20</v>
      </c>
      <c r="E415" t="s">
        <v>21</v>
      </c>
      <c r="F415" s="1">
        <v>45444</v>
      </c>
      <c r="G415">
        <v>5.79</v>
      </c>
      <c r="H415">
        <v>84.041499999999999</v>
      </c>
      <c r="I415">
        <v>28.6</v>
      </c>
      <c r="J415">
        <v>75.7</v>
      </c>
      <c r="K415" t="s">
        <v>30</v>
      </c>
      <c r="L415">
        <v>2226.88</v>
      </c>
      <c r="M415">
        <f>VLOOKUP(K415,RatingLookup!$A$2:$C$8,2,FALSE)</f>
        <v>1.4999999999999999E-2</v>
      </c>
      <c r="N415">
        <f t="shared" si="18"/>
        <v>1.2586770182638762E-3</v>
      </c>
      <c r="O415">
        <f>VLOOKUP(K415,RatingLookup!$A$2:$C$8,3,FALSE)</f>
        <v>0.5</v>
      </c>
      <c r="P415">
        <f t="shared" si="19"/>
        <v>1.4014613392157305</v>
      </c>
      <c r="Q415" t="str">
        <f t="shared" ca="1" si="20"/>
        <v>No</v>
      </c>
    </row>
    <row r="416" spans="1:17" x14ac:dyDescent="0.45">
      <c r="A416" t="s">
        <v>41</v>
      </c>
      <c r="B416" t="s">
        <v>42</v>
      </c>
      <c r="C416" t="s">
        <v>43</v>
      </c>
      <c r="D416" t="s">
        <v>20</v>
      </c>
      <c r="E416" t="s">
        <v>21</v>
      </c>
      <c r="F416" s="1">
        <v>45474</v>
      </c>
      <c r="G416">
        <v>5.08</v>
      </c>
      <c r="H416">
        <v>84.973200000000006</v>
      </c>
      <c r="I416">
        <v>19.22</v>
      </c>
      <c r="J416">
        <v>75.72</v>
      </c>
      <c r="K416" t="s">
        <v>30</v>
      </c>
      <c r="L416">
        <v>2280.63</v>
      </c>
      <c r="M416">
        <f>VLOOKUP(K416,RatingLookup!$A$2:$C$8,2,FALSE)</f>
        <v>1.4999999999999999E-2</v>
      </c>
      <c r="N416">
        <f t="shared" si="18"/>
        <v>1.2586770182638762E-3</v>
      </c>
      <c r="O416">
        <f>VLOOKUP(K416,RatingLookup!$A$2:$C$8,3,FALSE)</f>
        <v>0.5</v>
      </c>
      <c r="P416">
        <f t="shared" si="19"/>
        <v>1.4352882840815722</v>
      </c>
      <c r="Q416" t="str">
        <f t="shared" ca="1" si="20"/>
        <v>No</v>
      </c>
    </row>
    <row r="417" spans="1:17" x14ac:dyDescent="0.45">
      <c r="A417" t="s">
        <v>41</v>
      </c>
      <c r="B417" t="s">
        <v>42</v>
      </c>
      <c r="C417" t="s">
        <v>43</v>
      </c>
      <c r="D417" t="s">
        <v>20</v>
      </c>
      <c r="E417" t="s">
        <v>21</v>
      </c>
      <c r="F417" s="1">
        <v>45505</v>
      </c>
      <c r="G417">
        <v>5.63</v>
      </c>
      <c r="H417">
        <v>81.879000000000005</v>
      </c>
      <c r="I417">
        <v>21.62</v>
      </c>
      <c r="J417">
        <v>81.31</v>
      </c>
      <c r="K417" t="s">
        <v>30</v>
      </c>
      <c r="L417">
        <v>2335.2199999999998</v>
      </c>
      <c r="M417">
        <f>VLOOKUP(K417,RatingLookup!$A$2:$C$8,2,FALSE)</f>
        <v>1.4999999999999999E-2</v>
      </c>
      <c r="N417">
        <f t="shared" si="18"/>
        <v>1.2586770182638762E-3</v>
      </c>
      <c r="O417">
        <f>VLOOKUP(K417,RatingLookup!$A$2:$C$8,3,FALSE)</f>
        <v>0.5</v>
      </c>
      <c r="P417">
        <f t="shared" si="19"/>
        <v>1.4696438732950845</v>
      </c>
      <c r="Q417" t="str">
        <f t="shared" ca="1" si="20"/>
        <v>No</v>
      </c>
    </row>
    <row r="418" spans="1:17" x14ac:dyDescent="0.45">
      <c r="A418" t="s">
        <v>41</v>
      </c>
      <c r="B418" t="s">
        <v>42</v>
      </c>
      <c r="C418" t="s">
        <v>43</v>
      </c>
      <c r="D418" t="s">
        <v>20</v>
      </c>
      <c r="E418" t="s">
        <v>21</v>
      </c>
      <c r="F418" s="1">
        <v>45536</v>
      </c>
      <c r="G418">
        <v>5.92</v>
      </c>
      <c r="H418">
        <v>82.522099999999995</v>
      </c>
      <c r="I418">
        <v>11.38</v>
      </c>
      <c r="J418">
        <v>83.27</v>
      </c>
      <c r="K418" t="s">
        <v>30</v>
      </c>
      <c r="L418">
        <v>2441.27</v>
      </c>
      <c r="M418">
        <f>VLOOKUP(K418,RatingLookup!$A$2:$C$8,2,FALSE)</f>
        <v>1.4999999999999999E-2</v>
      </c>
      <c r="N418">
        <f t="shared" si="18"/>
        <v>1.2586770182638762E-3</v>
      </c>
      <c r="O418">
        <f>VLOOKUP(K418,RatingLookup!$A$2:$C$8,3,FALSE)</f>
        <v>0.5</v>
      </c>
      <c r="P418">
        <f t="shared" si="19"/>
        <v>1.5363852221885266</v>
      </c>
      <c r="Q418" t="str">
        <f t="shared" ca="1" si="20"/>
        <v>No</v>
      </c>
    </row>
    <row r="419" spans="1:17" x14ac:dyDescent="0.45">
      <c r="A419" t="s">
        <v>41</v>
      </c>
      <c r="B419" t="s">
        <v>42</v>
      </c>
      <c r="C419" t="s">
        <v>43</v>
      </c>
      <c r="D419" t="s">
        <v>20</v>
      </c>
      <c r="E419" t="s">
        <v>21</v>
      </c>
      <c r="F419" s="1">
        <v>45566</v>
      </c>
      <c r="G419">
        <v>4.8499999999999996</v>
      </c>
      <c r="H419">
        <v>80.965000000000003</v>
      </c>
      <c r="I419">
        <v>15.18</v>
      </c>
      <c r="J419">
        <v>79.28</v>
      </c>
      <c r="K419" t="s">
        <v>30</v>
      </c>
      <c r="L419">
        <v>2326.79</v>
      </c>
      <c r="M419">
        <f>VLOOKUP(K419,RatingLookup!$A$2:$C$8,2,FALSE)</f>
        <v>1.4999999999999999E-2</v>
      </c>
      <c r="N419">
        <f t="shared" si="18"/>
        <v>1.2586770182638762E-3</v>
      </c>
      <c r="O419">
        <f>VLOOKUP(K419,RatingLookup!$A$2:$C$8,3,FALSE)</f>
        <v>0.5</v>
      </c>
      <c r="P419">
        <f t="shared" si="19"/>
        <v>1.4643385496631023</v>
      </c>
      <c r="Q419" t="str">
        <f t="shared" ca="1" si="20"/>
        <v>No</v>
      </c>
    </row>
    <row r="420" spans="1:17" x14ac:dyDescent="0.45">
      <c r="A420" t="s">
        <v>41</v>
      </c>
      <c r="B420" t="s">
        <v>42</v>
      </c>
      <c r="C420" t="s">
        <v>43</v>
      </c>
      <c r="D420" t="s">
        <v>20</v>
      </c>
      <c r="E420" t="s">
        <v>21</v>
      </c>
      <c r="F420" s="1">
        <v>45597</v>
      </c>
      <c r="G420">
        <v>5.96</v>
      </c>
      <c r="H420">
        <v>80.056899999999999</v>
      </c>
      <c r="I420">
        <v>9.9499999999999993</v>
      </c>
      <c r="J420">
        <v>91.71</v>
      </c>
      <c r="K420" t="s">
        <v>22</v>
      </c>
      <c r="L420">
        <v>2334.48</v>
      </c>
      <c r="M420">
        <f>VLOOKUP(K420,RatingLookup!$A$2:$C$8,2,FALSE)</f>
        <v>5.0000000000000001E-3</v>
      </c>
      <c r="N420">
        <f t="shared" si="18"/>
        <v>4.1762458919303302E-4</v>
      </c>
      <c r="O420">
        <f>VLOOKUP(K420,RatingLookup!$A$2:$C$8,3,FALSE)</f>
        <v>0.45</v>
      </c>
      <c r="P420">
        <f t="shared" si="19"/>
        <v>0.43872131294070832</v>
      </c>
      <c r="Q420" t="str">
        <f t="shared" ca="1" si="20"/>
        <v>No</v>
      </c>
    </row>
    <row r="421" spans="1:17" x14ac:dyDescent="0.45">
      <c r="A421" t="s">
        <v>41</v>
      </c>
      <c r="B421" t="s">
        <v>42</v>
      </c>
      <c r="C421" t="s">
        <v>43</v>
      </c>
      <c r="D421" t="s">
        <v>20</v>
      </c>
      <c r="E421" t="s">
        <v>21</v>
      </c>
      <c r="F421" s="1">
        <v>45627</v>
      </c>
      <c r="G421">
        <v>5.04</v>
      </c>
      <c r="H421">
        <v>83.370599999999996</v>
      </c>
      <c r="I421">
        <v>18.100000000000001</v>
      </c>
      <c r="J421">
        <v>68.66</v>
      </c>
      <c r="K421" t="s">
        <v>22</v>
      </c>
      <c r="L421">
        <v>2506.7199999999998</v>
      </c>
      <c r="M421">
        <f>VLOOKUP(K421,RatingLookup!$A$2:$C$8,2,FALSE)</f>
        <v>5.0000000000000001E-3</v>
      </c>
      <c r="N421">
        <f t="shared" si="18"/>
        <v>4.1762458919303302E-4</v>
      </c>
      <c r="O421">
        <f>VLOOKUP(K421,RatingLookup!$A$2:$C$8,3,FALSE)</f>
        <v>0.45</v>
      </c>
      <c r="P421">
        <f t="shared" si="19"/>
        <v>0.47109055959988183</v>
      </c>
      <c r="Q421" t="str">
        <f t="shared" ca="1" si="20"/>
        <v>No</v>
      </c>
    </row>
    <row r="422" spans="1:17" x14ac:dyDescent="0.45">
      <c r="A422" t="s">
        <v>44</v>
      </c>
      <c r="B422" t="s">
        <v>45</v>
      </c>
      <c r="C422" t="s">
        <v>19</v>
      </c>
      <c r="D422" t="s">
        <v>20</v>
      </c>
      <c r="E422" t="s">
        <v>21</v>
      </c>
      <c r="F422" s="1">
        <v>43831</v>
      </c>
      <c r="G422">
        <v>5.12</v>
      </c>
      <c r="H422">
        <v>77.355699999999999</v>
      </c>
      <c r="I422">
        <v>27.58</v>
      </c>
      <c r="J422">
        <v>71.430000000000007</v>
      </c>
      <c r="K422" t="s">
        <v>31</v>
      </c>
      <c r="L422">
        <v>1269.47</v>
      </c>
      <c r="M422">
        <f>VLOOKUP(K422,RatingLookup!$A$2:$C$8,2,FALSE)</f>
        <v>0.04</v>
      </c>
      <c r="N422">
        <f t="shared" si="18"/>
        <v>3.3960531989175591E-3</v>
      </c>
      <c r="O422">
        <f>VLOOKUP(K422,RatingLookup!$A$2:$C$8,3,FALSE)</f>
        <v>0.6</v>
      </c>
      <c r="P422">
        <f t="shared" si="19"/>
        <v>2.5867125926579244</v>
      </c>
      <c r="Q422" t="str">
        <f t="shared" ca="1" si="20"/>
        <v>No</v>
      </c>
    </row>
    <row r="423" spans="1:17" x14ac:dyDescent="0.45">
      <c r="A423" t="s">
        <v>44</v>
      </c>
      <c r="B423" t="s">
        <v>45</v>
      </c>
      <c r="C423" t="s">
        <v>19</v>
      </c>
      <c r="D423" t="s">
        <v>20</v>
      </c>
      <c r="E423" t="s">
        <v>21</v>
      </c>
      <c r="F423" s="1">
        <v>43862</v>
      </c>
      <c r="G423">
        <v>6.67</v>
      </c>
      <c r="H423">
        <v>83.185500000000005</v>
      </c>
      <c r="I423">
        <v>7.49</v>
      </c>
      <c r="J423">
        <v>70.72</v>
      </c>
      <c r="K423" t="s">
        <v>31</v>
      </c>
      <c r="L423">
        <v>1099.1400000000001</v>
      </c>
      <c r="M423">
        <f>VLOOKUP(K423,RatingLookup!$A$2:$C$8,2,FALSE)</f>
        <v>0.04</v>
      </c>
      <c r="N423">
        <f t="shared" si="18"/>
        <v>3.3960531989175591E-3</v>
      </c>
      <c r="O423">
        <f>VLOOKUP(K423,RatingLookup!$A$2:$C$8,3,FALSE)</f>
        <v>0.6</v>
      </c>
      <c r="P423">
        <f t="shared" si="19"/>
        <v>2.2396427478349477</v>
      </c>
      <c r="Q423" t="str">
        <f t="shared" ca="1" si="20"/>
        <v>No</v>
      </c>
    </row>
    <row r="424" spans="1:17" x14ac:dyDescent="0.45">
      <c r="A424" t="s">
        <v>44</v>
      </c>
      <c r="B424" t="s">
        <v>45</v>
      </c>
      <c r="C424" t="s">
        <v>19</v>
      </c>
      <c r="D424" t="s">
        <v>20</v>
      </c>
      <c r="E424" t="s">
        <v>21</v>
      </c>
      <c r="F424" s="1">
        <v>43891</v>
      </c>
      <c r="G424">
        <v>5.33</v>
      </c>
      <c r="H424">
        <v>80.461299999999994</v>
      </c>
      <c r="I424">
        <v>23.4</v>
      </c>
      <c r="J424">
        <v>70.23</v>
      </c>
      <c r="K424" t="s">
        <v>31</v>
      </c>
      <c r="L424">
        <v>1125.72</v>
      </c>
      <c r="M424">
        <f>VLOOKUP(K424,RatingLookup!$A$2:$C$8,2,FALSE)</f>
        <v>0.04</v>
      </c>
      <c r="N424">
        <f t="shared" si="18"/>
        <v>3.3960531989175591E-3</v>
      </c>
      <c r="O424">
        <f>VLOOKUP(K424,RatingLookup!$A$2:$C$8,3,FALSE)</f>
        <v>0.6</v>
      </c>
      <c r="P424">
        <f t="shared" si="19"/>
        <v>2.2938030042512847</v>
      </c>
      <c r="Q424" t="str">
        <f t="shared" ca="1" si="20"/>
        <v>No</v>
      </c>
    </row>
    <row r="425" spans="1:17" x14ac:dyDescent="0.45">
      <c r="A425" t="s">
        <v>44</v>
      </c>
      <c r="B425" t="s">
        <v>45</v>
      </c>
      <c r="C425" t="s">
        <v>19</v>
      </c>
      <c r="D425" t="s">
        <v>20</v>
      </c>
      <c r="E425" t="s">
        <v>21</v>
      </c>
      <c r="F425" s="1">
        <v>43922</v>
      </c>
      <c r="G425">
        <v>5.12</v>
      </c>
      <c r="H425">
        <v>80.805099999999996</v>
      </c>
      <c r="I425">
        <v>16.48</v>
      </c>
      <c r="J425">
        <v>73.11</v>
      </c>
      <c r="K425" t="s">
        <v>31</v>
      </c>
      <c r="L425">
        <v>1122.98</v>
      </c>
      <c r="M425">
        <f>VLOOKUP(K425,RatingLookup!$A$2:$C$8,2,FALSE)</f>
        <v>0.04</v>
      </c>
      <c r="N425">
        <f t="shared" si="18"/>
        <v>3.3960531989175591E-3</v>
      </c>
      <c r="O425">
        <f>VLOOKUP(K425,RatingLookup!$A$2:$C$8,3,FALSE)</f>
        <v>0.6</v>
      </c>
      <c r="P425">
        <f t="shared" si="19"/>
        <v>2.2882198927922643</v>
      </c>
      <c r="Q425" t="str">
        <f t="shared" ca="1" si="20"/>
        <v>No</v>
      </c>
    </row>
    <row r="426" spans="1:17" x14ac:dyDescent="0.45">
      <c r="A426" t="s">
        <v>44</v>
      </c>
      <c r="B426" t="s">
        <v>45</v>
      </c>
      <c r="C426" t="s">
        <v>19</v>
      </c>
      <c r="D426" t="s">
        <v>20</v>
      </c>
      <c r="E426" t="s">
        <v>21</v>
      </c>
      <c r="F426" s="1">
        <v>43952</v>
      </c>
      <c r="G426">
        <v>6.07</v>
      </c>
      <c r="H426">
        <v>81.742199999999997</v>
      </c>
      <c r="I426">
        <v>19.61</v>
      </c>
      <c r="J426">
        <v>71.680000000000007</v>
      </c>
      <c r="K426" t="s">
        <v>31</v>
      </c>
      <c r="L426">
        <v>978</v>
      </c>
      <c r="M426">
        <f>VLOOKUP(K426,RatingLookup!$A$2:$C$8,2,FALSE)</f>
        <v>0.04</v>
      </c>
      <c r="N426">
        <f t="shared" si="18"/>
        <v>3.3960531989175591E-3</v>
      </c>
      <c r="O426">
        <f>VLOOKUP(K426,RatingLookup!$A$2:$C$8,3,FALSE)</f>
        <v>0.6</v>
      </c>
      <c r="P426">
        <f t="shared" si="19"/>
        <v>1.9928040171248238</v>
      </c>
      <c r="Q426" t="str">
        <f t="shared" ca="1" si="20"/>
        <v>No</v>
      </c>
    </row>
    <row r="427" spans="1:17" x14ac:dyDescent="0.45">
      <c r="A427" t="s">
        <v>44</v>
      </c>
      <c r="B427" t="s">
        <v>45</v>
      </c>
      <c r="C427" t="s">
        <v>19</v>
      </c>
      <c r="D427" t="s">
        <v>20</v>
      </c>
      <c r="E427" t="s">
        <v>21</v>
      </c>
      <c r="F427" s="1">
        <v>43983</v>
      </c>
      <c r="G427">
        <v>5.51</v>
      </c>
      <c r="H427">
        <v>83.348500000000001</v>
      </c>
      <c r="I427">
        <v>16.420000000000002</v>
      </c>
      <c r="J427">
        <v>78.88</v>
      </c>
      <c r="K427" t="s">
        <v>31</v>
      </c>
      <c r="L427">
        <v>1112.8399999999999</v>
      </c>
      <c r="M427">
        <f>VLOOKUP(K427,RatingLookup!$A$2:$C$8,2,FALSE)</f>
        <v>0.04</v>
      </c>
      <c r="N427">
        <f t="shared" si="18"/>
        <v>3.3960531989175591E-3</v>
      </c>
      <c r="O427">
        <f>VLOOKUP(K427,RatingLookup!$A$2:$C$8,3,FALSE)</f>
        <v>0.6</v>
      </c>
      <c r="P427">
        <f t="shared" si="19"/>
        <v>2.2675583051300494</v>
      </c>
      <c r="Q427" t="str">
        <f t="shared" ca="1" si="20"/>
        <v>No</v>
      </c>
    </row>
    <row r="428" spans="1:17" x14ac:dyDescent="0.45">
      <c r="A428" t="s">
        <v>44</v>
      </c>
      <c r="B428" t="s">
        <v>45</v>
      </c>
      <c r="C428" t="s">
        <v>19</v>
      </c>
      <c r="D428" t="s">
        <v>20</v>
      </c>
      <c r="E428" t="s">
        <v>21</v>
      </c>
      <c r="F428" s="1">
        <v>44013</v>
      </c>
      <c r="G428">
        <v>6.1</v>
      </c>
      <c r="H428">
        <v>84.831800000000001</v>
      </c>
      <c r="I428">
        <v>11.4</v>
      </c>
      <c r="J428">
        <v>68.209999999999994</v>
      </c>
      <c r="K428" t="s">
        <v>31</v>
      </c>
      <c r="L428">
        <v>1152.01</v>
      </c>
      <c r="M428">
        <f>VLOOKUP(K428,RatingLookup!$A$2:$C$8,2,FALSE)</f>
        <v>0.04</v>
      </c>
      <c r="N428">
        <f t="shared" si="18"/>
        <v>3.3960531989175591E-3</v>
      </c>
      <c r="O428">
        <f>VLOOKUP(K428,RatingLookup!$A$2:$C$8,3,FALSE)</f>
        <v>0.6</v>
      </c>
      <c r="P428">
        <f t="shared" si="19"/>
        <v>2.3473723474110102</v>
      </c>
      <c r="Q428" t="str">
        <f t="shared" ca="1" si="20"/>
        <v>No</v>
      </c>
    </row>
    <row r="429" spans="1:17" x14ac:dyDescent="0.45">
      <c r="A429" t="s">
        <v>44</v>
      </c>
      <c r="B429" t="s">
        <v>45</v>
      </c>
      <c r="C429" t="s">
        <v>19</v>
      </c>
      <c r="D429" t="s">
        <v>20</v>
      </c>
      <c r="E429" t="s">
        <v>21</v>
      </c>
      <c r="F429" s="1">
        <v>44044</v>
      </c>
      <c r="G429">
        <v>5.28</v>
      </c>
      <c r="H429">
        <v>81.364099999999993</v>
      </c>
      <c r="I429">
        <v>12.33</v>
      </c>
      <c r="J429">
        <v>67.36</v>
      </c>
      <c r="K429" t="s">
        <v>31</v>
      </c>
      <c r="L429">
        <v>1255.52</v>
      </c>
      <c r="M429">
        <f>VLOOKUP(K429,RatingLookup!$A$2:$C$8,2,FALSE)</f>
        <v>0.04</v>
      </c>
      <c r="N429">
        <f t="shared" si="18"/>
        <v>3.3960531989175591E-3</v>
      </c>
      <c r="O429">
        <f>VLOOKUP(K429,RatingLookup!$A$2:$C$8,3,FALSE)</f>
        <v>0.6</v>
      </c>
      <c r="P429">
        <f t="shared" si="19"/>
        <v>2.5582876273829842</v>
      </c>
      <c r="Q429" t="str">
        <f t="shared" ca="1" si="20"/>
        <v>No</v>
      </c>
    </row>
    <row r="430" spans="1:17" x14ac:dyDescent="0.45">
      <c r="A430" t="s">
        <v>44</v>
      </c>
      <c r="B430" t="s">
        <v>45</v>
      </c>
      <c r="C430" t="s">
        <v>19</v>
      </c>
      <c r="D430" t="s">
        <v>20</v>
      </c>
      <c r="E430" t="s">
        <v>21</v>
      </c>
      <c r="F430" s="1">
        <v>44075</v>
      </c>
      <c r="G430">
        <v>4.0999999999999996</v>
      </c>
      <c r="H430">
        <v>78.743200000000002</v>
      </c>
      <c r="I430">
        <v>12.38</v>
      </c>
      <c r="J430">
        <v>69.56</v>
      </c>
      <c r="K430" t="s">
        <v>32</v>
      </c>
      <c r="L430">
        <v>1119.29</v>
      </c>
      <c r="M430">
        <f>VLOOKUP(K430,RatingLookup!$A$2:$C$8,2,FALSE)</f>
        <v>0.12</v>
      </c>
      <c r="N430">
        <f t="shared" si="18"/>
        <v>1.0596241035318976E-2</v>
      </c>
      <c r="O430">
        <f>VLOOKUP(K430,RatingLookup!$A$2:$C$8,3,FALSE)</f>
        <v>0.7</v>
      </c>
      <c r="P430">
        <f t="shared" si="19"/>
        <v>8.3021866398955222</v>
      </c>
      <c r="Q430" t="str">
        <f t="shared" ca="1" si="20"/>
        <v>No</v>
      </c>
    </row>
    <row r="431" spans="1:17" x14ac:dyDescent="0.45">
      <c r="A431" t="s">
        <v>44</v>
      </c>
      <c r="B431" t="s">
        <v>45</v>
      </c>
      <c r="C431" t="s">
        <v>19</v>
      </c>
      <c r="D431" t="s">
        <v>20</v>
      </c>
      <c r="E431" t="s">
        <v>21</v>
      </c>
      <c r="F431" s="1">
        <v>44105</v>
      </c>
      <c r="G431">
        <v>3.88</v>
      </c>
      <c r="H431">
        <v>82.647000000000006</v>
      </c>
      <c r="I431">
        <v>11.85</v>
      </c>
      <c r="J431">
        <v>89.81</v>
      </c>
      <c r="K431" t="s">
        <v>32</v>
      </c>
      <c r="L431">
        <v>1109.51</v>
      </c>
      <c r="M431">
        <f>VLOOKUP(K431,RatingLookup!$A$2:$C$8,2,FALSE)</f>
        <v>0.12</v>
      </c>
      <c r="N431">
        <f t="shared" si="18"/>
        <v>1.0596241035318976E-2</v>
      </c>
      <c r="O431">
        <f>VLOOKUP(K431,RatingLookup!$A$2:$C$8,3,FALSE)</f>
        <v>0.7</v>
      </c>
      <c r="P431">
        <f t="shared" si="19"/>
        <v>8.2296447737677294</v>
      </c>
      <c r="Q431" t="str">
        <f t="shared" ca="1" si="20"/>
        <v>No</v>
      </c>
    </row>
    <row r="432" spans="1:17" x14ac:dyDescent="0.45">
      <c r="A432" t="s">
        <v>44</v>
      </c>
      <c r="B432" t="s">
        <v>45</v>
      </c>
      <c r="C432" t="s">
        <v>19</v>
      </c>
      <c r="D432" t="s">
        <v>20</v>
      </c>
      <c r="E432" t="s">
        <v>21</v>
      </c>
      <c r="F432" s="1">
        <v>44136</v>
      </c>
      <c r="G432">
        <v>6.15</v>
      </c>
      <c r="H432">
        <v>80.784000000000006</v>
      </c>
      <c r="I432">
        <v>14.72</v>
      </c>
      <c r="J432">
        <v>73.75</v>
      </c>
      <c r="K432" t="s">
        <v>32</v>
      </c>
      <c r="L432">
        <v>1160.3599999999999</v>
      </c>
      <c r="M432">
        <f>VLOOKUP(K432,RatingLookup!$A$2:$C$8,2,FALSE)</f>
        <v>0.12</v>
      </c>
      <c r="N432">
        <f t="shared" si="18"/>
        <v>1.0596241035318976E-2</v>
      </c>
      <c r="O432">
        <f>VLOOKUP(K432,RatingLookup!$A$2:$C$8,3,FALSE)</f>
        <v>0.7</v>
      </c>
      <c r="P432">
        <f t="shared" si="19"/>
        <v>8.6068179734199077</v>
      </c>
      <c r="Q432" t="str">
        <f t="shared" ca="1" si="20"/>
        <v>No</v>
      </c>
    </row>
    <row r="433" spans="1:17" x14ac:dyDescent="0.45">
      <c r="A433" t="s">
        <v>44</v>
      </c>
      <c r="B433" t="s">
        <v>45</v>
      </c>
      <c r="C433" t="s">
        <v>19</v>
      </c>
      <c r="D433" t="s">
        <v>20</v>
      </c>
      <c r="E433" t="s">
        <v>21</v>
      </c>
      <c r="F433" s="1">
        <v>44166</v>
      </c>
      <c r="G433">
        <v>5.19</v>
      </c>
      <c r="H433">
        <v>79.957800000000006</v>
      </c>
      <c r="I433">
        <v>12.41</v>
      </c>
      <c r="J433">
        <v>74.52</v>
      </c>
      <c r="K433" t="s">
        <v>32</v>
      </c>
      <c r="L433">
        <v>1122.02</v>
      </c>
      <c r="M433">
        <f>VLOOKUP(K433,RatingLookup!$A$2:$C$8,2,FALSE)</f>
        <v>0.12</v>
      </c>
      <c r="N433">
        <f t="shared" si="18"/>
        <v>1.0596241035318976E-2</v>
      </c>
      <c r="O433">
        <f>VLOOKUP(K433,RatingLookup!$A$2:$C$8,3,FALSE)</f>
        <v>0.7</v>
      </c>
      <c r="P433">
        <f t="shared" si="19"/>
        <v>8.3224360565140181</v>
      </c>
      <c r="Q433" t="str">
        <f t="shared" ca="1" si="20"/>
        <v>No</v>
      </c>
    </row>
    <row r="434" spans="1:17" x14ac:dyDescent="0.45">
      <c r="A434" t="s">
        <v>44</v>
      </c>
      <c r="B434" t="s">
        <v>45</v>
      </c>
      <c r="C434" t="s">
        <v>19</v>
      </c>
      <c r="D434" t="s">
        <v>20</v>
      </c>
      <c r="E434" t="s">
        <v>21</v>
      </c>
      <c r="F434" s="1">
        <v>44197</v>
      </c>
      <c r="G434">
        <v>4.84</v>
      </c>
      <c r="H434">
        <v>80.209800000000001</v>
      </c>
      <c r="I434">
        <v>12.42</v>
      </c>
      <c r="J434">
        <v>90.32</v>
      </c>
      <c r="K434" t="s">
        <v>32</v>
      </c>
      <c r="L434">
        <v>1116.17</v>
      </c>
      <c r="M434">
        <f>VLOOKUP(K434,RatingLookup!$A$2:$C$8,2,FALSE)</f>
        <v>0.12</v>
      </c>
      <c r="N434">
        <f t="shared" si="18"/>
        <v>1.0596241035318976E-2</v>
      </c>
      <c r="O434">
        <f>VLOOKUP(K434,RatingLookup!$A$2:$C$8,3,FALSE)</f>
        <v>0.7</v>
      </c>
      <c r="P434">
        <f t="shared" si="19"/>
        <v>8.2790444494743873</v>
      </c>
      <c r="Q434" t="str">
        <f t="shared" ca="1" si="20"/>
        <v>No</v>
      </c>
    </row>
    <row r="435" spans="1:17" x14ac:dyDescent="0.45">
      <c r="A435" t="s">
        <v>44</v>
      </c>
      <c r="B435" t="s">
        <v>45</v>
      </c>
      <c r="C435" t="s">
        <v>19</v>
      </c>
      <c r="D435" t="s">
        <v>20</v>
      </c>
      <c r="E435" t="s">
        <v>21</v>
      </c>
      <c r="F435" s="1">
        <v>44228</v>
      </c>
      <c r="G435">
        <v>5.51</v>
      </c>
      <c r="H435">
        <v>86.170699999999997</v>
      </c>
      <c r="I435">
        <v>20.73</v>
      </c>
      <c r="J435">
        <v>76.7</v>
      </c>
      <c r="K435" t="s">
        <v>32</v>
      </c>
      <c r="L435">
        <v>1062</v>
      </c>
      <c r="M435">
        <f>VLOOKUP(K435,RatingLookup!$A$2:$C$8,2,FALSE)</f>
        <v>0.12</v>
      </c>
      <c r="N435">
        <f t="shared" si="18"/>
        <v>1.0596241035318976E-2</v>
      </c>
      <c r="O435">
        <f>VLOOKUP(K435,RatingLookup!$A$2:$C$8,3,FALSE)</f>
        <v>0.7</v>
      </c>
      <c r="P435">
        <f t="shared" si="19"/>
        <v>7.8772455856561265</v>
      </c>
      <c r="Q435" t="str">
        <f t="shared" ca="1" si="20"/>
        <v>No</v>
      </c>
    </row>
    <row r="436" spans="1:17" x14ac:dyDescent="0.45">
      <c r="A436" t="s">
        <v>44</v>
      </c>
      <c r="B436" t="s">
        <v>45</v>
      </c>
      <c r="C436" t="s">
        <v>19</v>
      </c>
      <c r="D436" t="s">
        <v>20</v>
      </c>
      <c r="E436" t="s">
        <v>21</v>
      </c>
      <c r="F436" s="1">
        <v>44256</v>
      </c>
      <c r="G436">
        <v>4.8</v>
      </c>
      <c r="H436">
        <v>81.5077</v>
      </c>
      <c r="I436">
        <v>14.08</v>
      </c>
      <c r="J436">
        <v>65.73</v>
      </c>
      <c r="K436" t="s">
        <v>32</v>
      </c>
      <c r="L436">
        <v>1101.1600000000001</v>
      </c>
      <c r="M436">
        <f>VLOOKUP(K436,RatingLookup!$A$2:$C$8,2,FALSE)</f>
        <v>0.12</v>
      </c>
      <c r="N436">
        <f t="shared" si="18"/>
        <v>1.0596241035318976E-2</v>
      </c>
      <c r="O436">
        <f>VLOOKUP(K436,RatingLookup!$A$2:$C$8,3,FALSE)</f>
        <v>0.7</v>
      </c>
      <c r="P436">
        <f t="shared" si="19"/>
        <v>8.1677097449162908</v>
      </c>
      <c r="Q436" t="str">
        <f t="shared" ca="1" si="20"/>
        <v>No</v>
      </c>
    </row>
    <row r="437" spans="1:17" x14ac:dyDescent="0.45">
      <c r="A437" t="s">
        <v>44</v>
      </c>
      <c r="B437" t="s">
        <v>45</v>
      </c>
      <c r="C437" t="s">
        <v>19</v>
      </c>
      <c r="D437" t="s">
        <v>20</v>
      </c>
      <c r="E437" t="s">
        <v>21</v>
      </c>
      <c r="F437" s="1">
        <v>44287</v>
      </c>
      <c r="G437">
        <v>5.37</v>
      </c>
      <c r="H437">
        <v>82.654499999999999</v>
      </c>
      <c r="I437">
        <v>15.28</v>
      </c>
      <c r="J437">
        <v>66.42</v>
      </c>
      <c r="K437" t="s">
        <v>32</v>
      </c>
      <c r="L437">
        <v>1067.97</v>
      </c>
      <c r="M437">
        <f>VLOOKUP(K437,RatingLookup!$A$2:$C$8,2,FALSE)</f>
        <v>0.12</v>
      </c>
      <c r="N437">
        <f t="shared" si="18"/>
        <v>1.0596241035318976E-2</v>
      </c>
      <c r="O437">
        <f>VLOOKUP(K437,RatingLookup!$A$2:$C$8,3,FALSE)</f>
        <v>0.7</v>
      </c>
      <c r="P437">
        <f t="shared" si="19"/>
        <v>7.921527276942725</v>
      </c>
      <c r="Q437" t="str">
        <f t="shared" ca="1" si="20"/>
        <v>No</v>
      </c>
    </row>
    <row r="438" spans="1:17" x14ac:dyDescent="0.45">
      <c r="A438" t="s">
        <v>44</v>
      </c>
      <c r="B438" t="s">
        <v>45</v>
      </c>
      <c r="C438" t="s">
        <v>19</v>
      </c>
      <c r="D438" t="s">
        <v>20</v>
      </c>
      <c r="E438" t="s">
        <v>21</v>
      </c>
      <c r="F438" s="1">
        <v>44317</v>
      </c>
      <c r="G438">
        <v>5.72</v>
      </c>
      <c r="H438">
        <v>83.618899999999996</v>
      </c>
      <c r="I438">
        <v>17.59</v>
      </c>
      <c r="J438">
        <v>94.28</v>
      </c>
      <c r="K438" t="s">
        <v>32</v>
      </c>
      <c r="L438">
        <v>1149.1099999999999</v>
      </c>
      <c r="M438">
        <f>VLOOKUP(K438,RatingLookup!$A$2:$C$8,2,FALSE)</f>
        <v>0.12</v>
      </c>
      <c r="N438">
        <f t="shared" si="18"/>
        <v>1.0596241035318976E-2</v>
      </c>
      <c r="O438">
        <f>VLOOKUP(K438,RatingLookup!$A$2:$C$8,3,FALSE)</f>
        <v>0.7</v>
      </c>
      <c r="P438">
        <f t="shared" si="19"/>
        <v>8.5233725752667713</v>
      </c>
      <c r="Q438" t="str">
        <f t="shared" ca="1" si="20"/>
        <v>No</v>
      </c>
    </row>
    <row r="439" spans="1:17" x14ac:dyDescent="0.45">
      <c r="A439" t="s">
        <v>44</v>
      </c>
      <c r="B439" t="s">
        <v>45</v>
      </c>
      <c r="C439" t="s">
        <v>19</v>
      </c>
      <c r="D439" t="s">
        <v>20</v>
      </c>
      <c r="E439" t="s">
        <v>21</v>
      </c>
      <c r="F439" s="1">
        <v>44348</v>
      </c>
      <c r="G439">
        <v>6.61</v>
      </c>
      <c r="H439">
        <v>83.658799999999999</v>
      </c>
      <c r="I439">
        <v>16.77</v>
      </c>
      <c r="J439">
        <v>93.56</v>
      </c>
      <c r="K439" t="s">
        <v>32</v>
      </c>
      <c r="L439">
        <v>1139.3800000000001</v>
      </c>
      <c r="M439">
        <f>VLOOKUP(K439,RatingLookup!$A$2:$C$8,2,FALSE)</f>
        <v>0.12</v>
      </c>
      <c r="N439">
        <f t="shared" si="18"/>
        <v>1.0596241035318976E-2</v>
      </c>
      <c r="O439">
        <f>VLOOKUP(K439,RatingLookup!$A$2:$C$8,3,FALSE)</f>
        <v>0.7</v>
      </c>
      <c r="P439">
        <f t="shared" si="19"/>
        <v>8.4512015775752154</v>
      </c>
      <c r="Q439" t="str">
        <f t="shared" ca="1" si="20"/>
        <v>No</v>
      </c>
    </row>
    <row r="440" spans="1:17" x14ac:dyDescent="0.45">
      <c r="A440" t="s">
        <v>44</v>
      </c>
      <c r="B440" t="s">
        <v>45</v>
      </c>
      <c r="C440" t="s">
        <v>19</v>
      </c>
      <c r="D440" t="s">
        <v>20</v>
      </c>
      <c r="E440" t="s">
        <v>21</v>
      </c>
      <c r="F440" s="1">
        <v>44378</v>
      </c>
      <c r="G440">
        <v>5.45</v>
      </c>
      <c r="H440">
        <v>82.137200000000007</v>
      </c>
      <c r="I440">
        <v>20.239999999999998</v>
      </c>
      <c r="J440">
        <v>88.91</v>
      </c>
      <c r="K440" t="s">
        <v>32</v>
      </c>
      <c r="L440">
        <v>1181.58</v>
      </c>
      <c r="M440">
        <f>VLOOKUP(K440,RatingLookup!$A$2:$C$8,2,FALSE)</f>
        <v>0.12</v>
      </c>
      <c r="N440">
        <f t="shared" si="18"/>
        <v>1.0596241035318976E-2</v>
      </c>
      <c r="O440">
        <f>VLOOKUP(K440,RatingLookup!$A$2:$C$8,3,FALSE)</f>
        <v>0.7</v>
      </c>
      <c r="P440">
        <f t="shared" si="19"/>
        <v>8.7642145377585354</v>
      </c>
      <c r="Q440" t="str">
        <f t="shared" ca="1" si="20"/>
        <v>No</v>
      </c>
    </row>
    <row r="441" spans="1:17" x14ac:dyDescent="0.45">
      <c r="A441" t="s">
        <v>44</v>
      </c>
      <c r="B441" t="s">
        <v>45</v>
      </c>
      <c r="C441" t="s">
        <v>19</v>
      </c>
      <c r="D441" t="s">
        <v>20</v>
      </c>
      <c r="E441" t="s">
        <v>21</v>
      </c>
      <c r="F441" s="1">
        <v>44409</v>
      </c>
      <c r="G441">
        <v>5.15</v>
      </c>
      <c r="H441">
        <v>79.145499999999998</v>
      </c>
      <c r="I441">
        <v>10.98</v>
      </c>
      <c r="J441">
        <v>69.53</v>
      </c>
      <c r="K441" t="s">
        <v>32</v>
      </c>
      <c r="L441">
        <v>1098.6199999999999</v>
      </c>
      <c r="M441">
        <f>VLOOKUP(K441,RatingLookup!$A$2:$C$8,2,FALSE)</f>
        <v>0.12</v>
      </c>
      <c r="N441">
        <f t="shared" si="18"/>
        <v>1.0596241035318976E-2</v>
      </c>
      <c r="O441">
        <f>VLOOKUP(K441,RatingLookup!$A$2:$C$8,3,FALSE)</f>
        <v>0.7</v>
      </c>
      <c r="P441">
        <f t="shared" si="19"/>
        <v>8.1488696283554916</v>
      </c>
      <c r="Q441" t="str">
        <f t="shared" ca="1" si="20"/>
        <v>No</v>
      </c>
    </row>
    <row r="442" spans="1:17" x14ac:dyDescent="0.45">
      <c r="A442" t="s">
        <v>44</v>
      </c>
      <c r="B442" t="s">
        <v>45</v>
      </c>
      <c r="C442" t="s">
        <v>19</v>
      </c>
      <c r="D442" t="s">
        <v>20</v>
      </c>
      <c r="E442" t="s">
        <v>21</v>
      </c>
      <c r="F442" s="1">
        <v>44440</v>
      </c>
      <c r="G442">
        <v>5.67</v>
      </c>
      <c r="H442">
        <v>83.305099999999996</v>
      </c>
      <c r="I442">
        <v>19.260000000000002</v>
      </c>
      <c r="J442">
        <v>65.709999999999994</v>
      </c>
      <c r="K442" t="s">
        <v>32</v>
      </c>
      <c r="L442">
        <v>1144.8499999999999</v>
      </c>
      <c r="M442">
        <f>VLOOKUP(K442,RatingLookup!$A$2:$C$8,2,FALSE)</f>
        <v>0.12</v>
      </c>
      <c r="N442">
        <f t="shared" si="18"/>
        <v>1.0596241035318976E-2</v>
      </c>
      <c r="O442">
        <f>VLOOKUP(K442,RatingLookup!$A$2:$C$8,3,FALSE)</f>
        <v>0.7</v>
      </c>
      <c r="P442">
        <f t="shared" si="19"/>
        <v>8.4917745844994492</v>
      </c>
      <c r="Q442" t="str">
        <f t="shared" ca="1" si="20"/>
        <v>No</v>
      </c>
    </row>
    <row r="443" spans="1:17" x14ac:dyDescent="0.45">
      <c r="A443" t="s">
        <v>44</v>
      </c>
      <c r="B443" t="s">
        <v>45</v>
      </c>
      <c r="C443" t="s">
        <v>19</v>
      </c>
      <c r="D443" t="s">
        <v>20</v>
      </c>
      <c r="E443" t="s">
        <v>21</v>
      </c>
      <c r="F443" s="1">
        <v>44470</v>
      </c>
      <c r="G443">
        <v>6.75</v>
      </c>
      <c r="H443">
        <v>83.034700000000001</v>
      </c>
      <c r="I443">
        <v>5</v>
      </c>
      <c r="J443">
        <v>89.51</v>
      </c>
      <c r="K443" t="s">
        <v>32</v>
      </c>
      <c r="L443">
        <v>1079.22</v>
      </c>
      <c r="M443">
        <f>VLOOKUP(K443,RatingLookup!$A$2:$C$8,2,FALSE)</f>
        <v>0.12</v>
      </c>
      <c r="N443">
        <f t="shared" si="18"/>
        <v>1.0596241035318976E-2</v>
      </c>
      <c r="O443">
        <f>VLOOKUP(K443,RatingLookup!$A$2:$C$8,3,FALSE)</f>
        <v>0.7</v>
      </c>
      <c r="P443">
        <f t="shared" si="19"/>
        <v>8.0049726750958623</v>
      </c>
      <c r="Q443" t="str">
        <f t="shared" ca="1" si="20"/>
        <v>No</v>
      </c>
    </row>
    <row r="444" spans="1:17" x14ac:dyDescent="0.45">
      <c r="A444" t="s">
        <v>44</v>
      </c>
      <c r="B444" t="s">
        <v>45</v>
      </c>
      <c r="C444" t="s">
        <v>19</v>
      </c>
      <c r="D444" t="s">
        <v>20</v>
      </c>
      <c r="E444" t="s">
        <v>21</v>
      </c>
      <c r="F444" s="1">
        <v>44501</v>
      </c>
      <c r="G444">
        <v>4.49</v>
      </c>
      <c r="H444">
        <v>77.278300000000002</v>
      </c>
      <c r="I444">
        <v>27.68</v>
      </c>
      <c r="J444">
        <v>88.26</v>
      </c>
      <c r="K444" t="s">
        <v>32</v>
      </c>
      <c r="L444">
        <v>1248.79</v>
      </c>
      <c r="M444">
        <f>VLOOKUP(K444,RatingLookup!$A$2:$C$8,2,FALSE)</f>
        <v>0.12</v>
      </c>
      <c r="N444">
        <f t="shared" si="18"/>
        <v>1.0596241035318976E-2</v>
      </c>
      <c r="O444">
        <f>VLOOKUP(K444,RatingLookup!$A$2:$C$8,3,FALSE)</f>
        <v>0.7</v>
      </c>
      <c r="P444">
        <f t="shared" si="19"/>
        <v>9.2627358897471872</v>
      </c>
      <c r="Q444" t="str">
        <f t="shared" ca="1" si="20"/>
        <v>No</v>
      </c>
    </row>
    <row r="445" spans="1:17" x14ac:dyDescent="0.45">
      <c r="A445" t="s">
        <v>44</v>
      </c>
      <c r="B445" t="s">
        <v>45</v>
      </c>
      <c r="C445" t="s">
        <v>19</v>
      </c>
      <c r="D445" t="s">
        <v>20</v>
      </c>
      <c r="E445" t="s">
        <v>21</v>
      </c>
      <c r="F445" s="1">
        <v>44531</v>
      </c>
      <c r="G445">
        <v>5.51</v>
      </c>
      <c r="H445">
        <v>80.814300000000003</v>
      </c>
      <c r="I445">
        <v>16.11</v>
      </c>
      <c r="J445">
        <v>79.47</v>
      </c>
      <c r="K445" t="s">
        <v>32</v>
      </c>
      <c r="L445">
        <v>1070.55</v>
      </c>
      <c r="M445">
        <f>VLOOKUP(K445,RatingLookup!$A$2:$C$8,2,FALSE)</f>
        <v>0.12</v>
      </c>
      <c r="N445">
        <f t="shared" si="18"/>
        <v>1.0596241035318976E-2</v>
      </c>
      <c r="O445">
        <f>VLOOKUP(K445,RatingLookup!$A$2:$C$8,3,FALSE)</f>
        <v>0.7</v>
      </c>
      <c r="P445">
        <f t="shared" si="19"/>
        <v>7.9406640882525101</v>
      </c>
      <c r="Q445" t="str">
        <f t="shared" ca="1" si="20"/>
        <v>No</v>
      </c>
    </row>
    <row r="446" spans="1:17" x14ac:dyDescent="0.45">
      <c r="A446" t="s">
        <v>44</v>
      </c>
      <c r="B446" t="s">
        <v>45</v>
      </c>
      <c r="C446" t="s">
        <v>19</v>
      </c>
      <c r="D446" t="s">
        <v>20</v>
      </c>
      <c r="E446" t="s">
        <v>21</v>
      </c>
      <c r="F446" s="1">
        <v>44562</v>
      </c>
      <c r="G446">
        <v>4.9800000000000004</v>
      </c>
      <c r="H446">
        <v>74.381399999999999</v>
      </c>
      <c r="I446">
        <v>21.8</v>
      </c>
      <c r="J446">
        <v>66.319999999999993</v>
      </c>
      <c r="K446" t="s">
        <v>32</v>
      </c>
      <c r="L446">
        <v>1153.67</v>
      </c>
      <c r="M446">
        <f>VLOOKUP(K446,RatingLookup!$A$2:$C$8,2,FALSE)</f>
        <v>0.12</v>
      </c>
      <c r="N446">
        <f t="shared" si="18"/>
        <v>1.0596241035318976E-2</v>
      </c>
      <c r="O446">
        <f>VLOOKUP(K446,RatingLookup!$A$2:$C$8,3,FALSE)</f>
        <v>0.7</v>
      </c>
      <c r="P446">
        <f t="shared" si="19"/>
        <v>8.5571957766515112</v>
      </c>
      <c r="Q446" t="str">
        <f t="shared" ca="1" si="20"/>
        <v>No</v>
      </c>
    </row>
    <row r="447" spans="1:17" x14ac:dyDescent="0.45">
      <c r="A447" t="s">
        <v>44</v>
      </c>
      <c r="B447" t="s">
        <v>45</v>
      </c>
      <c r="C447" t="s">
        <v>19</v>
      </c>
      <c r="D447" t="s">
        <v>20</v>
      </c>
      <c r="E447" t="s">
        <v>21</v>
      </c>
      <c r="F447" s="1">
        <v>44593</v>
      </c>
      <c r="G447">
        <v>5.88</v>
      </c>
      <c r="H447">
        <v>82.154899999999998</v>
      </c>
      <c r="I447">
        <v>16.79</v>
      </c>
      <c r="J447">
        <v>84.34</v>
      </c>
      <c r="K447" t="s">
        <v>32</v>
      </c>
      <c r="L447">
        <v>1112.47</v>
      </c>
      <c r="M447">
        <f>VLOOKUP(K447,RatingLookup!$A$2:$C$8,2,FALSE)</f>
        <v>0.12</v>
      </c>
      <c r="N447">
        <f t="shared" si="18"/>
        <v>1.0596241035318976E-2</v>
      </c>
      <c r="O447">
        <f>VLOOKUP(K447,RatingLookup!$A$2:$C$8,3,FALSE)</f>
        <v>0.7</v>
      </c>
      <c r="P447">
        <f t="shared" si="19"/>
        <v>8.2516001851929097</v>
      </c>
      <c r="Q447" t="str">
        <f t="shared" ca="1" si="20"/>
        <v>No</v>
      </c>
    </row>
    <row r="448" spans="1:17" x14ac:dyDescent="0.45">
      <c r="A448" t="s">
        <v>44</v>
      </c>
      <c r="B448" t="s">
        <v>45</v>
      </c>
      <c r="C448" t="s">
        <v>19</v>
      </c>
      <c r="D448" t="s">
        <v>20</v>
      </c>
      <c r="E448" t="s">
        <v>21</v>
      </c>
      <c r="F448" s="1">
        <v>44621</v>
      </c>
      <c r="G448">
        <v>4.75</v>
      </c>
      <c r="H448">
        <v>84.4345</v>
      </c>
      <c r="I448">
        <v>11.53</v>
      </c>
      <c r="J448">
        <v>83.69</v>
      </c>
      <c r="K448" t="s">
        <v>32</v>
      </c>
      <c r="L448">
        <v>1135.81</v>
      </c>
      <c r="M448">
        <f>VLOOKUP(K448,RatingLookup!$A$2:$C$8,2,FALSE)</f>
        <v>0.12</v>
      </c>
      <c r="N448">
        <f t="shared" si="18"/>
        <v>1.0596241035318976E-2</v>
      </c>
      <c r="O448">
        <f>VLOOKUP(K448,RatingLookup!$A$2:$C$8,3,FALSE)</f>
        <v>0.7</v>
      </c>
      <c r="P448">
        <f t="shared" si="19"/>
        <v>8.424721571227952</v>
      </c>
      <c r="Q448" t="str">
        <f t="shared" ca="1" si="20"/>
        <v>No</v>
      </c>
    </row>
    <row r="449" spans="1:17" x14ac:dyDescent="0.45">
      <c r="A449" t="s">
        <v>44</v>
      </c>
      <c r="B449" t="s">
        <v>45</v>
      </c>
      <c r="C449" t="s">
        <v>19</v>
      </c>
      <c r="D449" t="s">
        <v>20</v>
      </c>
      <c r="E449" t="s">
        <v>21</v>
      </c>
      <c r="F449" s="1">
        <v>44652</v>
      </c>
      <c r="G449">
        <v>5.08</v>
      </c>
      <c r="H449">
        <v>83.457899999999995</v>
      </c>
      <c r="I449">
        <v>11.13</v>
      </c>
      <c r="J449">
        <v>67.7</v>
      </c>
      <c r="K449" t="s">
        <v>32</v>
      </c>
      <c r="L449">
        <v>1101.29</v>
      </c>
      <c r="M449">
        <f>VLOOKUP(K449,RatingLookup!$A$2:$C$8,2,FALSE)</f>
        <v>0.12</v>
      </c>
      <c r="N449">
        <f t="shared" si="18"/>
        <v>1.0596241035318976E-2</v>
      </c>
      <c r="O449">
        <f>VLOOKUP(K449,RatingLookup!$A$2:$C$8,3,FALSE)</f>
        <v>0.7</v>
      </c>
      <c r="P449">
        <f t="shared" si="19"/>
        <v>8.1686740028505049</v>
      </c>
      <c r="Q449" t="str">
        <f t="shared" ca="1" si="20"/>
        <v>No</v>
      </c>
    </row>
    <row r="450" spans="1:17" x14ac:dyDescent="0.45">
      <c r="A450" t="s">
        <v>44</v>
      </c>
      <c r="B450" t="s">
        <v>45</v>
      </c>
      <c r="C450" t="s">
        <v>19</v>
      </c>
      <c r="D450" t="s">
        <v>20</v>
      </c>
      <c r="E450" t="s">
        <v>21</v>
      </c>
      <c r="F450" s="1">
        <v>44682</v>
      </c>
      <c r="G450">
        <v>5.76</v>
      </c>
      <c r="H450">
        <v>83.531199999999998</v>
      </c>
      <c r="I450">
        <v>27.74</v>
      </c>
      <c r="J450">
        <v>76.849999999999994</v>
      </c>
      <c r="K450" t="s">
        <v>32</v>
      </c>
      <c r="L450">
        <v>1182.42</v>
      </c>
      <c r="M450">
        <f>VLOOKUP(K450,RatingLookup!$A$2:$C$8,2,FALSE)</f>
        <v>0.12</v>
      </c>
      <c r="N450">
        <f t="shared" ref="N450:N513" si="21">1-(1-M450)^(1/12)</f>
        <v>1.0596241035318976E-2</v>
      </c>
      <c r="O450">
        <f>VLOOKUP(K450,RatingLookup!$A$2:$C$8,3,FALSE)</f>
        <v>0.7</v>
      </c>
      <c r="P450">
        <f t="shared" ref="P450:P513" si="22">L450*N450*O450</f>
        <v>8.7704451274873048</v>
      </c>
      <c r="Q450" t="str">
        <f t="shared" ref="Q450:Q513" ca="1" si="23">IF(RAND()&lt;N450,"Yes","No")</f>
        <v>No</v>
      </c>
    </row>
    <row r="451" spans="1:17" x14ac:dyDescent="0.45">
      <c r="A451" t="s">
        <v>44</v>
      </c>
      <c r="B451" t="s">
        <v>45</v>
      </c>
      <c r="C451" t="s">
        <v>19</v>
      </c>
      <c r="D451" t="s">
        <v>20</v>
      </c>
      <c r="E451" t="s">
        <v>21</v>
      </c>
      <c r="F451" s="1">
        <v>44713</v>
      </c>
      <c r="G451">
        <v>6.05</v>
      </c>
      <c r="H451">
        <v>81.5291</v>
      </c>
      <c r="I451">
        <v>26.13</v>
      </c>
      <c r="J451">
        <v>81.75</v>
      </c>
      <c r="K451" t="s">
        <v>32</v>
      </c>
      <c r="L451">
        <v>1186.98</v>
      </c>
      <c r="M451">
        <f>VLOOKUP(K451,RatingLookup!$A$2:$C$8,2,FALSE)</f>
        <v>0.12</v>
      </c>
      <c r="N451">
        <f t="shared" si="21"/>
        <v>1.0596241035318976E-2</v>
      </c>
      <c r="O451">
        <f>VLOOKUP(K451,RatingLookup!$A$2:$C$8,3,FALSE)</f>
        <v>0.7</v>
      </c>
      <c r="P451">
        <f t="shared" si="22"/>
        <v>8.8042683288720429</v>
      </c>
      <c r="Q451" t="str">
        <f t="shared" ca="1" si="23"/>
        <v>No</v>
      </c>
    </row>
    <row r="452" spans="1:17" x14ac:dyDescent="0.45">
      <c r="A452" t="s">
        <v>44</v>
      </c>
      <c r="B452" t="s">
        <v>45</v>
      </c>
      <c r="C452" t="s">
        <v>19</v>
      </c>
      <c r="D452" t="s">
        <v>20</v>
      </c>
      <c r="E452" t="s">
        <v>21</v>
      </c>
      <c r="F452" s="1">
        <v>44743</v>
      </c>
      <c r="G452">
        <v>5.93</v>
      </c>
      <c r="H452">
        <v>77.333100000000002</v>
      </c>
      <c r="I452">
        <v>20.86</v>
      </c>
      <c r="J452">
        <v>81.11</v>
      </c>
      <c r="K452" t="s">
        <v>32</v>
      </c>
      <c r="L452">
        <v>1120.17</v>
      </c>
      <c r="M452">
        <f>VLOOKUP(K452,RatingLookup!$A$2:$C$8,2,FALSE)</f>
        <v>0.12</v>
      </c>
      <c r="N452">
        <f t="shared" si="21"/>
        <v>1.0596241035318976E-2</v>
      </c>
      <c r="O452">
        <f>VLOOKUP(K452,RatingLookup!$A$2:$C$8,3,FALSE)</f>
        <v>0.7</v>
      </c>
      <c r="P452">
        <f t="shared" si="22"/>
        <v>8.308713924373281</v>
      </c>
      <c r="Q452" t="str">
        <f t="shared" ca="1" si="23"/>
        <v>No</v>
      </c>
    </row>
    <row r="453" spans="1:17" x14ac:dyDescent="0.45">
      <c r="A453" t="s">
        <v>44</v>
      </c>
      <c r="B453" t="s">
        <v>45</v>
      </c>
      <c r="C453" t="s">
        <v>19</v>
      </c>
      <c r="D453" t="s">
        <v>20</v>
      </c>
      <c r="E453" t="s">
        <v>21</v>
      </c>
      <c r="F453" s="1">
        <v>44774</v>
      </c>
      <c r="G453">
        <v>5.42</v>
      </c>
      <c r="H453">
        <v>78.639600000000002</v>
      </c>
      <c r="I453">
        <v>23.87</v>
      </c>
      <c r="J453">
        <v>81.84</v>
      </c>
      <c r="K453" t="s">
        <v>32</v>
      </c>
      <c r="L453">
        <v>1175.17</v>
      </c>
      <c r="M453">
        <f>VLOOKUP(K453,RatingLookup!$A$2:$C$8,2,FALSE)</f>
        <v>0.12</v>
      </c>
      <c r="N453">
        <f t="shared" si="21"/>
        <v>1.0596241035318976E-2</v>
      </c>
      <c r="O453">
        <f>VLOOKUP(K453,RatingLookup!$A$2:$C$8,3,FALSE)</f>
        <v>0.7</v>
      </c>
      <c r="P453">
        <f t="shared" si="22"/>
        <v>8.716669204233062</v>
      </c>
      <c r="Q453" t="str">
        <f t="shared" ca="1" si="23"/>
        <v>No</v>
      </c>
    </row>
    <row r="454" spans="1:17" x14ac:dyDescent="0.45">
      <c r="A454" t="s">
        <v>44</v>
      </c>
      <c r="B454" t="s">
        <v>45</v>
      </c>
      <c r="C454" t="s">
        <v>19</v>
      </c>
      <c r="D454" t="s">
        <v>20</v>
      </c>
      <c r="E454" t="s">
        <v>21</v>
      </c>
      <c r="F454" s="1">
        <v>44805</v>
      </c>
      <c r="G454">
        <v>5.36</v>
      </c>
      <c r="H454">
        <v>82.999499999999998</v>
      </c>
      <c r="I454">
        <v>17.3</v>
      </c>
      <c r="J454">
        <v>83.64</v>
      </c>
      <c r="K454" t="s">
        <v>32</v>
      </c>
      <c r="L454">
        <v>1102.5899999999999</v>
      </c>
      <c r="M454">
        <f>VLOOKUP(K454,RatingLookup!$A$2:$C$8,2,FALSE)</f>
        <v>0.12</v>
      </c>
      <c r="N454">
        <f t="shared" si="21"/>
        <v>1.0596241035318976E-2</v>
      </c>
      <c r="O454">
        <f>VLOOKUP(K454,RatingLookup!$A$2:$C$8,3,FALSE)</f>
        <v>0.7</v>
      </c>
      <c r="P454">
        <f t="shared" si="22"/>
        <v>8.1783165821926431</v>
      </c>
      <c r="Q454" t="str">
        <f t="shared" ca="1" si="23"/>
        <v>No</v>
      </c>
    </row>
    <row r="455" spans="1:17" x14ac:dyDescent="0.45">
      <c r="A455" t="s">
        <v>44</v>
      </c>
      <c r="B455" t="s">
        <v>45</v>
      </c>
      <c r="C455" t="s">
        <v>19</v>
      </c>
      <c r="D455" t="s">
        <v>20</v>
      </c>
      <c r="E455" t="s">
        <v>21</v>
      </c>
      <c r="F455" s="1">
        <v>44835</v>
      </c>
      <c r="G455">
        <v>4.87</v>
      </c>
      <c r="H455">
        <v>82.451499999999996</v>
      </c>
      <c r="I455">
        <v>5</v>
      </c>
      <c r="J455">
        <v>85.13</v>
      </c>
      <c r="K455" t="s">
        <v>32</v>
      </c>
      <c r="L455">
        <v>1093.7</v>
      </c>
      <c r="M455">
        <f>VLOOKUP(K455,RatingLookup!$A$2:$C$8,2,FALSE)</f>
        <v>0.12</v>
      </c>
      <c r="N455">
        <f t="shared" si="21"/>
        <v>1.0596241035318976E-2</v>
      </c>
      <c r="O455">
        <f>VLOOKUP(K455,RatingLookup!$A$2:$C$8,3,FALSE)</f>
        <v>0.7</v>
      </c>
      <c r="P455">
        <f t="shared" si="22"/>
        <v>8.1123761742298548</v>
      </c>
      <c r="Q455" t="str">
        <f t="shared" ca="1" si="23"/>
        <v>No</v>
      </c>
    </row>
    <row r="456" spans="1:17" x14ac:dyDescent="0.45">
      <c r="A456" t="s">
        <v>44</v>
      </c>
      <c r="B456" t="s">
        <v>45</v>
      </c>
      <c r="C456" t="s">
        <v>19</v>
      </c>
      <c r="D456" t="s">
        <v>20</v>
      </c>
      <c r="E456" t="s">
        <v>21</v>
      </c>
      <c r="F456" s="1">
        <v>44866</v>
      </c>
      <c r="G456">
        <v>5.88</v>
      </c>
      <c r="H456">
        <v>81.861699999999999</v>
      </c>
      <c r="I456">
        <v>11.77</v>
      </c>
      <c r="J456">
        <v>80.180000000000007</v>
      </c>
      <c r="K456" t="s">
        <v>32</v>
      </c>
      <c r="L456">
        <v>1117.33</v>
      </c>
      <c r="M456">
        <f>VLOOKUP(K456,RatingLookup!$A$2:$C$8,2,FALSE)</f>
        <v>0.12</v>
      </c>
      <c r="N456">
        <f t="shared" si="21"/>
        <v>1.0596241035318976E-2</v>
      </c>
      <c r="O456">
        <f>VLOOKUP(K456,RatingLookup!$A$2:$C$8,3,FALSE)</f>
        <v>0.7</v>
      </c>
      <c r="P456">
        <f t="shared" si="22"/>
        <v>8.287648597195064</v>
      </c>
      <c r="Q456" t="str">
        <f t="shared" ca="1" si="23"/>
        <v>No</v>
      </c>
    </row>
    <row r="457" spans="1:17" x14ac:dyDescent="0.45">
      <c r="A457" t="s">
        <v>44</v>
      </c>
      <c r="B457" t="s">
        <v>45</v>
      </c>
      <c r="C457" t="s">
        <v>19</v>
      </c>
      <c r="D457" t="s">
        <v>20</v>
      </c>
      <c r="E457" t="s">
        <v>21</v>
      </c>
      <c r="F457" s="1">
        <v>44896</v>
      </c>
      <c r="G457">
        <v>6.05</v>
      </c>
      <c r="H457">
        <v>81.349400000000003</v>
      </c>
      <c r="I457">
        <v>10.63</v>
      </c>
      <c r="J457">
        <v>67.180000000000007</v>
      </c>
      <c r="K457" t="s">
        <v>32</v>
      </c>
      <c r="L457">
        <v>1106.45</v>
      </c>
      <c r="M457">
        <f>VLOOKUP(K457,RatingLookup!$A$2:$C$8,2,FALSE)</f>
        <v>0.12</v>
      </c>
      <c r="N457">
        <f t="shared" si="21"/>
        <v>1.0596241035318976E-2</v>
      </c>
      <c r="O457">
        <f>VLOOKUP(K457,RatingLookup!$A$2:$C$8,3,FALSE)</f>
        <v>0.7</v>
      </c>
      <c r="P457">
        <f t="shared" si="22"/>
        <v>8.2069476254700771</v>
      </c>
      <c r="Q457" t="str">
        <f t="shared" ca="1" si="23"/>
        <v>No</v>
      </c>
    </row>
    <row r="458" spans="1:17" x14ac:dyDescent="0.45">
      <c r="A458" t="s">
        <v>44</v>
      </c>
      <c r="B458" t="s">
        <v>45</v>
      </c>
      <c r="C458" t="s">
        <v>19</v>
      </c>
      <c r="D458" t="s">
        <v>20</v>
      </c>
      <c r="E458" t="s">
        <v>21</v>
      </c>
      <c r="F458" s="1">
        <v>44927</v>
      </c>
      <c r="G458">
        <v>5.46</v>
      </c>
      <c r="H458">
        <v>83.539699999999996</v>
      </c>
      <c r="I458">
        <v>18.18</v>
      </c>
      <c r="J458">
        <v>88.37</v>
      </c>
      <c r="K458" t="s">
        <v>32</v>
      </c>
      <c r="L458">
        <v>1094.96</v>
      </c>
      <c r="M458">
        <f>VLOOKUP(K458,RatingLookup!$A$2:$C$8,2,FALSE)</f>
        <v>0.12</v>
      </c>
      <c r="N458">
        <f t="shared" si="21"/>
        <v>1.0596241035318976E-2</v>
      </c>
      <c r="O458">
        <f>VLOOKUP(K458,RatingLookup!$A$2:$C$8,3,FALSE)</f>
        <v>0.7</v>
      </c>
      <c r="P458">
        <f t="shared" si="22"/>
        <v>8.121722058823007</v>
      </c>
      <c r="Q458" t="str">
        <f t="shared" ca="1" si="23"/>
        <v>No</v>
      </c>
    </row>
    <row r="459" spans="1:17" x14ac:dyDescent="0.45">
      <c r="A459" t="s">
        <v>44</v>
      </c>
      <c r="B459" t="s">
        <v>45</v>
      </c>
      <c r="C459" t="s">
        <v>19</v>
      </c>
      <c r="D459" t="s">
        <v>20</v>
      </c>
      <c r="E459" t="s">
        <v>21</v>
      </c>
      <c r="F459" s="1">
        <v>44958</v>
      </c>
      <c r="G459">
        <v>4.3</v>
      </c>
      <c r="H459">
        <v>83.418499999999995</v>
      </c>
      <c r="I459">
        <v>25.08</v>
      </c>
      <c r="J459">
        <v>68.84</v>
      </c>
      <c r="K459" t="s">
        <v>32</v>
      </c>
      <c r="L459">
        <v>1190.28</v>
      </c>
      <c r="M459">
        <f>VLOOKUP(K459,RatingLookup!$A$2:$C$8,2,FALSE)</f>
        <v>0.12</v>
      </c>
      <c r="N459">
        <f t="shared" si="21"/>
        <v>1.0596241035318976E-2</v>
      </c>
      <c r="O459">
        <f>VLOOKUP(K459,RatingLookup!$A$2:$C$8,3,FALSE)</f>
        <v>0.7</v>
      </c>
      <c r="P459">
        <f t="shared" si="22"/>
        <v>8.8287456456636288</v>
      </c>
      <c r="Q459" t="str">
        <f t="shared" ca="1" si="23"/>
        <v>No</v>
      </c>
    </row>
    <row r="460" spans="1:17" x14ac:dyDescent="0.45">
      <c r="A460" t="s">
        <v>44</v>
      </c>
      <c r="B460" t="s">
        <v>45</v>
      </c>
      <c r="C460" t="s">
        <v>19</v>
      </c>
      <c r="D460" t="s">
        <v>20</v>
      </c>
      <c r="E460" t="s">
        <v>21</v>
      </c>
      <c r="F460" s="1">
        <v>44986</v>
      </c>
      <c r="G460">
        <v>5.61</v>
      </c>
      <c r="H460">
        <v>80.278099999999995</v>
      </c>
      <c r="I460">
        <v>23.44</v>
      </c>
      <c r="J460">
        <v>72.55</v>
      </c>
      <c r="K460" t="s">
        <v>32</v>
      </c>
      <c r="L460">
        <v>1114.77</v>
      </c>
      <c r="M460">
        <f>VLOOKUP(K460,RatingLookup!$A$2:$C$8,2,FALSE)</f>
        <v>0.12</v>
      </c>
      <c r="N460">
        <f t="shared" si="21"/>
        <v>1.0596241035318976E-2</v>
      </c>
      <c r="O460">
        <f>VLOOKUP(K460,RatingLookup!$A$2:$C$8,3,FALSE)</f>
        <v>0.7</v>
      </c>
      <c r="P460">
        <f t="shared" si="22"/>
        <v>8.2686601332597736</v>
      </c>
      <c r="Q460" t="str">
        <f t="shared" ca="1" si="23"/>
        <v>No</v>
      </c>
    </row>
    <row r="461" spans="1:17" x14ac:dyDescent="0.45">
      <c r="A461" t="s">
        <v>44</v>
      </c>
      <c r="B461" t="s">
        <v>45</v>
      </c>
      <c r="C461" t="s">
        <v>19</v>
      </c>
      <c r="D461" t="s">
        <v>20</v>
      </c>
      <c r="E461" t="s">
        <v>21</v>
      </c>
      <c r="F461" s="1">
        <v>45017</v>
      </c>
      <c r="G461">
        <v>5.4</v>
      </c>
      <c r="H461">
        <v>82.578599999999994</v>
      </c>
      <c r="I461">
        <v>7.07</v>
      </c>
      <c r="J461">
        <v>72.55</v>
      </c>
      <c r="K461" t="s">
        <v>32</v>
      </c>
      <c r="L461">
        <v>1147.3499999999999</v>
      </c>
      <c r="M461">
        <f>VLOOKUP(K461,RatingLookup!$A$2:$C$8,2,FALSE)</f>
        <v>0.12</v>
      </c>
      <c r="N461">
        <f t="shared" si="21"/>
        <v>1.0596241035318976E-2</v>
      </c>
      <c r="O461">
        <f>VLOOKUP(K461,RatingLookup!$A$2:$C$8,3,FALSE)</f>
        <v>0.7</v>
      </c>
      <c r="P461">
        <f t="shared" si="22"/>
        <v>8.5103180063112571</v>
      </c>
      <c r="Q461" t="str">
        <f t="shared" ca="1" si="23"/>
        <v>No</v>
      </c>
    </row>
    <row r="462" spans="1:17" x14ac:dyDescent="0.45">
      <c r="A462" t="s">
        <v>44</v>
      </c>
      <c r="B462" t="s">
        <v>45</v>
      </c>
      <c r="C462" t="s">
        <v>19</v>
      </c>
      <c r="D462" t="s">
        <v>20</v>
      </c>
      <c r="E462" t="s">
        <v>21</v>
      </c>
      <c r="F462" s="1">
        <v>45047</v>
      </c>
      <c r="G462">
        <v>4.42</v>
      </c>
      <c r="H462">
        <v>83.288799999999995</v>
      </c>
      <c r="I462">
        <v>12.46</v>
      </c>
      <c r="J462">
        <v>69.39</v>
      </c>
      <c r="K462" t="s">
        <v>32</v>
      </c>
      <c r="L462">
        <v>1144.95</v>
      </c>
      <c r="M462">
        <f>VLOOKUP(K462,RatingLookup!$A$2:$C$8,2,FALSE)</f>
        <v>0.12</v>
      </c>
      <c r="N462">
        <f t="shared" si="21"/>
        <v>1.0596241035318976E-2</v>
      </c>
      <c r="O462">
        <f>VLOOKUP(K462,RatingLookup!$A$2:$C$8,3,FALSE)</f>
        <v>0.7</v>
      </c>
      <c r="P462">
        <f t="shared" si="22"/>
        <v>8.492516321371923</v>
      </c>
      <c r="Q462" t="str">
        <f t="shared" ca="1" si="23"/>
        <v>No</v>
      </c>
    </row>
    <row r="463" spans="1:17" x14ac:dyDescent="0.45">
      <c r="A463" t="s">
        <v>44</v>
      </c>
      <c r="B463" t="s">
        <v>45</v>
      </c>
      <c r="C463" t="s">
        <v>19</v>
      </c>
      <c r="D463" t="s">
        <v>20</v>
      </c>
      <c r="E463" t="s">
        <v>21</v>
      </c>
      <c r="F463" s="1">
        <v>45078</v>
      </c>
      <c r="G463">
        <v>6.22</v>
      </c>
      <c r="H463">
        <v>80.943200000000004</v>
      </c>
      <c r="I463">
        <v>18.55</v>
      </c>
      <c r="J463">
        <v>78.36</v>
      </c>
      <c r="K463" t="s">
        <v>32</v>
      </c>
      <c r="L463">
        <v>1097.47</v>
      </c>
      <c r="M463">
        <f>VLOOKUP(K463,RatingLookup!$A$2:$C$8,2,FALSE)</f>
        <v>0.12</v>
      </c>
      <c r="N463">
        <f t="shared" si="21"/>
        <v>1.0596241035318976E-2</v>
      </c>
      <c r="O463">
        <f>VLOOKUP(K463,RatingLookup!$A$2:$C$8,3,FALSE)</f>
        <v>0.7</v>
      </c>
      <c r="P463">
        <f t="shared" si="22"/>
        <v>8.1403396543220605</v>
      </c>
      <c r="Q463" t="str">
        <f t="shared" ca="1" si="23"/>
        <v>No</v>
      </c>
    </row>
    <row r="464" spans="1:17" x14ac:dyDescent="0.45">
      <c r="A464" t="s">
        <v>44</v>
      </c>
      <c r="B464" t="s">
        <v>45</v>
      </c>
      <c r="C464" t="s">
        <v>19</v>
      </c>
      <c r="D464" t="s">
        <v>20</v>
      </c>
      <c r="E464" t="s">
        <v>21</v>
      </c>
      <c r="F464" s="1">
        <v>45108</v>
      </c>
      <c r="G464">
        <v>5.0999999999999996</v>
      </c>
      <c r="H464">
        <v>79.026799999999994</v>
      </c>
      <c r="I464">
        <v>28.98</v>
      </c>
      <c r="J464">
        <v>90.09</v>
      </c>
      <c r="K464" t="s">
        <v>32</v>
      </c>
      <c r="L464">
        <v>1046.58</v>
      </c>
      <c r="M464">
        <f>VLOOKUP(K464,RatingLookup!$A$2:$C$8,2,FALSE)</f>
        <v>0.12</v>
      </c>
      <c r="N464">
        <f t="shared" si="21"/>
        <v>1.0596241035318976E-2</v>
      </c>
      <c r="O464">
        <f>VLOOKUP(K464,RatingLookup!$A$2:$C$8,3,FALSE)</f>
        <v>0.7</v>
      </c>
      <c r="P464">
        <f t="shared" si="22"/>
        <v>7.7628697599208927</v>
      </c>
      <c r="Q464" t="str">
        <f t="shared" ca="1" si="23"/>
        <v>No</v>
      </c>
    </row>
    <row r="465" spans="1:17" x14ac:dyDescent="0.45">
      <c r="A465" t="s">
        <v>44</v>
      </c>
      <c r="B465" t="s">
        <v>45</v>
      </c>
      <c r="C465" t="s">
        <v>19</v>
      </c>
      <c r="D465" t="s">
        <v>20</v>
      </c>
      <c r="E465" t="s">
        <v>21</v>
      </c>
      <c r="F465" s="1">
        <v>45139</v>
      </c>
      <c r="G465">
        <v>5.58</v>
      </c>
      <c r="H465">
        <v>85.386799999999994</v>
      </c>
      <c r="I465">
        <v>23.35</v>
      </c>
      <c r="J465">
        <v>83.92</v>
      </c>
      <c r="K465" t="s">
        <v>32</v>
      </c>
      <c r="L465">
        <v>1096.02</v>
      </c>
      <c r="M465">
        <f>VLOOKUP(K465,RatingLookup!$A$2:$C$8,2,FALSE)</f>
        <v>0.12</v>
      </c>
      <c r="N465">
        <f t="shared" si="21"/>
        <v>1.0596241035318976E-2</v>
      </c>
      <c r="O465">
        <f>VLOOKUP(K465,RatingLookup!$A$2:$C$8,3,FALSE)</f>
        <v>0.7</v>
      </c>
      <c r="P465">
        <f t="shared" si="22"/>
        <v>8.1295844696712134</v>
      </c>
      <c r="Q465" t="str">
        <f t="shared" ca="1" si="23"/>
        <v>No</v>
      </c>
    </row>
    <row r="466" spans="1:17" x14ac:dyDescent="0.45">
      <c r="A466" t="s">
        <v>44</v>
      </c>
      <c r="B466" t="s">
        <v>45</v>
      </c>
      <c r="C466" t="s">
        <v>19</v>
      </c>
      <c r="D466" t="s">
        <v>20</v>
      </c>
      <c r="E466" t="s">
        <v>21</v>
      </c>
      <c r="F466" s="1">
        <v>45170</v>
      </c>
      <c r="G466">
        <v>5.19</v>
      </c>
      <c r="H466">
        <v>85.057699999999997</v>
      </c>
      <c r="I466">
        <v>19.46</v>
      </c>
      <c r="J466">
        <v>82.9</v>
      </c>
      <c r="K466" t="s">
        <v>32</v>
      </c>
      <c r="L466">
        <v>1116.1099999999999</v>
      </c>
      <c r="M466">
        <f>VLOOKUP(K466,RatingLookup!$A$2:$C$8,2,FALSE)</f>
        <v>0.12</v>
      </c>
      <c r="N466">
        <f t="shared" si="21"/>
        <v>1.0596241035318976E-2</v>
      </c>
      <c r="O466">
        <f>VLOOKUP(K466,RatingLookup!$A$2:$C$8,3,FALSE)</f>
        <v>0.7</v>
      </c>
      <c r="P466">
        <f t="shared" si="22"/>
        <v>8.278599407350903</v>
      </c>
      <c r="Q466" t="str">
        <f t="shared" ca="1" si="23"/>
        <v>No</v>
      </c>
    </row>
    <row r="467" spans="1:17" x14ac:dyDescent="0.45">
      <c r="A467" t="s">
        <v>44</v>
      </c>
      <c r="B467" t="s">
        <v>45</v>
      </c>
      <c r="C467" t="s">
        <v>19</v>
      </c>
      <c r="D467" t="s">
        <v>20</v>
      </c>
      <c r="E467" t="s">
        <v>21</v>
      </c>
      <c r="F467" s="1">
        <v>45200</v>
      </c>
      <c r="G467">
        <v>5.8</v>
      </c>
      <c r="H467">
        <v>86.485299999999995</v>
      </c>
      <c r="I467">
        <v>20.399999999999999</v>
      </c>
      <c r="J467">
        <v>87.21</v>
      </c>
      <c r="K467" t="s">
        <v>32</v>
      </c>
      <c r="L467">
        <v>1011.25</v>
      </c>
      <c r="M467">
        <f>VLOOKUP(K467,RatingLookup!$A$2:$C$8,2,FALSE)</f>
        <v>0.12</v>
      </c>
      <c r="N467">
        <f t="shared" si="21"/>
        <v>1.0596241035318976E-2</v>
      </c>
      <c r="O467">
        <f>VLOOKUP(K467,RatingLookup!$A$2:$C$8,3,FALSE)</f>
        <v>0.7</v>
      </c>
      <c r="P467">
        <f t="shared" si="22"/>
        <v>7.5008141228764202</v>
      </c>
      <c r="Q467" t="str">
        <f t="shared" ca="1" si="23"/>
        <v>No</v>
      </c>
    </row>
    <row r="468" spans="1:17" x14ac:dyDescent="0.45">
      <c r="A468" t="s">
        <v>44</v>
      </c>
      <c r="B468" t="s">
        <v>45</v>
      </c>
      <c r="C468" t="s">
        <v>19</v>
      </c>
      <c r="D468" t="s">
        <v>20</v>
      </c>
      <c r="E468" t="s">
        <v>21</v>
      </c>
      <c r="F468" s="1">
        <v>45231</v>
      </c>
      <c r="G468">
        <v>5.0199999999999996</v>
      </c>
      <c r="H468">
        <v>82.761600000000001</v>
      </c>
      <c r="I468">
        <v>13.05</v>
      </c>
      <c r="J468">
        <v>79.58</v>
      </c>
      <c r="K468" t="s">
        <v>32</v>
      </c>
      <c r="L468">
        <v>1096.2</v>
      </c>
      <c r="M468">
        <f>VLOOKUP(K468,RatingLookup!$A$2:$C$8,2,FALSE)</f>
        <v>0.12</v>
      </c>
      <c r="N468">
        <f t="shared" si="21"/>
        <v>1.0596241035318976E-2</v>
      </c>
      <c r="O468">
        <f>VLOOKUP(K468,RatingLookup!$A$2:$C$8,3,FALSE)</f>
        <v>0.7</v>
      </c>
      <c r="P468">
        <f t="shared" si="22"/>
        <v>8.1309195960416645</v>
      </c>
      <c r="Q468" t="str">
        <f t="shared" ca="1" si="23"/>
        <v>No</v>
      </c>
    </row>
    <row r="469" spans="1:17" x14ac:dyDescent="0.45">
      <c r="A469" t="s">
        <v>44</v>
      </c>
      <c r="B469" t="s">
        <v>45</v>
      </c>
      <c r="C469" t="s">
        <v>19</v>
      </c>
      <c r="D469" t="s">
        <v>20</v>
      </c>
      <c r="E469" t="s">
        <v>21</v>
      </c>
      <c r="F469" s="1">
        <v>45261</v>
      </c>
      <c r="G469">
        <v>6.14</v>
      </c>
      <c r="H469">
        <v>86.723399999999998</v>
      </c>
      <c r="I469">
        <v>27.83</v>
      </c>
      <c r="J469">
        <v>57.05</v>
      </c>
      <c r="K469" t="s">
        <v>32</v>
      </c>
      <c r="L469">
        <v>1052.74</v>
      </c>
      <c r="M469">
        <f>VLOOKUP(K469,RatingLookup!$A$2:$C$8,2,FALSE)</f>
        <v>0.12</v>
      </c>
      <c r="N469">
        <f t="shared" si="21"/>
        <v>1.0596241035318976E-2</v>
      </c>
      <c r="O469">
        <f>VLOOKUP(K469,RatingLookup!$A$2:$C$8,3,FALSE)</f>
        <v>0.7</v>
      </c>
      <c r="P469">
        <f t="shared" si="22"/>
        <v>7.8085607512651887</v>
      </c>
      <c r="Q469" t="str">
        <f t="shared" ca="1" si="23"/>
        <v>No</v>
      </c>
    </row>
    <row r="470" spans="1:17" x14ac:dyDescent="0.45">
      <c r="A470" t="s">
        <v>44</v>
      </c>
      <c r="B470" t="s">
        <v>45</v>
      </c>
      <c r="C470" t="s">
        <v>19</v>
      </c>
      <c r="D470" t="s">
        <v>20</v>
      </c>
      <c r="E470" t="s">
        <v>21</v>
      </c>
      <c r="F470" s="1">
        <v>45292</v>
      </c>
      <c r="G470">
        <v>5.1100000000000003</v>
      </c>
      <c r="H470">
        <v>83.986400000000003</v>
      </c>
      <c r="I470">
        <v>15.84</v>
      </c>
      <c r="J470">
        <v>74.88</v>
      </c>
      <c r="K470" t="s">
        <v>32</v>
      </c>
      <c r="L470">
        <v>1112.6300000000001</v>
      </c>
      <c r="M470">
        <f>VLOOKUP(K470,RatingLookup!$A$2:$C$8,2,FALSE)</f>
        <v>0.12</v>
      </c>
      <c r="N470">
        <f t="shared" si="21"/>
        <v>1.0596241035318976E-2</v>
      </c>
      <c r="O470">
        <f>VLOOKUP(K470,RatingLookup!$A$2:$C$8,3,FALSE)</f>
        <v>0.7</v>
      </c>
      <c r="P470">
        <f t="shared" si="22"/>
        <v>8.2527869641888678</v>
      </c>
      <c r="Q470" t="str">
        <f t="shared" ca="1" si="23"/>
        <v>No</v>
      </c>
    </row>
    <row r="471" spans="1:17" x14ac:dyDescent="0.45">
      <c r="A471" t="s">
        <v>44</v>
      </c>
      <c r="B471" t="s">
        <v>45</v>
      </c>
      <c r="C471" t="s">
        <v>19</v>
      </c>
      <c r="D471" t="s">
        <v>20</v>
      </c>
      <c r="E471" t="s">
        <v>21</v>
      </c>
      <c r="F471" s="1">
        <v>45323</v>
      </c>
      <c r="G471">
        <v>4.47</v>
      </c>
      <c r="H471">
        <v>80.883499999999998</v>
      </c>
      <c r="I471">
        <v>15.96</v>
      </c>
      <c r="J471">
        <v>77.88</v>
      </c>
      <c r="K471" t="s">
        <v>32</v>
      </c>
      <c r="L471">
        <v>1106.25</v>
      </c>
      <c r="M471">
        <f>VLOOKUP(K471,RatingLookup!$A$2:$C$8,2,FALSE)</f>
        <v>0.12</v>
      </c>
      <c r="N471">
        <f t="shared" si="21"/>
        <v>1.0596241035318976E-2</v>
      </c>
      <c r="O471">
        <f>VLOOKUP(K471,RatingLookup!$A$2:$C$8,3,FALSE)</f>
        <v>0.7</v>
      </c>
      <c r="P471">
        <f t="shared" si="22"/>
        <v>8.2054641517251312</v>
      </c>
      <c r="Q471" t="str">
        <f t="shared" ca="1" si="23"/>
        <v>No</v>
      </c>
    </row>
    <row r="472" spans="1:17" x14ac:dyDescent="0.45">
      <c r="A472" t="s">
        <v>44</v>
      </c>
      <c r="B472" t="s">
        <v>45</v>
      </c>
      <c r="C472" t="s">
        <v>19</v>
      </c>
      <c r="D472" t="s">
        <v>20</v>
      </c>
      <c r="E472" t="s">
        <v>21</v>
      </c>
      <c r="F472" s="1">
        <v>45352</v>
      </c>
      <c r="G472">
        <v>5.04</v>
      </c>
      <c r="H472">
        <v>82.346699999999998</v>
      </c>
      <c r="I472">
        <v>17.02</v>
      </c>
      <c r="J472">
        <v>74.86</v>
      </c>
      <c r="K472" t="s">
        <v>32</v>
      </c>
      <c r="L472">
        <v>1116.55</v>
      </c>
      <c r="M472">
        <f>VLOOKUP(K472,RatingLookup!$A$2:$C$8,2,FALSE)</f>
        <v>0.12</v>
      </c>
      <c r="N472">
        <f t="shared" si="21"/>
        <v>1.0596241035318976E-2</v>
      </c>
      <c r="O472">
        <f>VLOOKUP(K472,RatingLookup!$A$2:$C$8,3,FALSE)</f>
        <v>0.7</v>
      </c>
      <c r="P472">
        <f t="shared" si="22"/>
        <v>8.2818630495897807</v>
      </c>
      <c r="Q472" t="str">
        <f t="shared" ca="1" si="23"/>
        <v>No</v>
      </c>
    </row>
    <row r="473" spans="1:17" x14ac:dyDescent="0.45">
      <c r="A473" t="s">
        <v>44</v>
      </c>
      <c r="B473" t="s">
        <v>45</v>
      </c>
      <c r="C473" t="s">
        <v>19</v>
      </c>
      <c r="D473" t="s">
        <v>20</v>
      </c>
      <c r="E473" t="s">
        <v>21</v>
      </c>
      <c r="F473" s="1">
        <v>45383</v>
      </c>
      <c r="G473">
        <v>4.38</v>
      </c>
      <c r="H473">
        <v>82.345399999999998</v>
      </c>
      <c r="I473">
        <v>17.28</v>
      </c>
      <c r="J473">
        <v>81.67</v>
      </c>
      <c r="K473" t="s">
        <v>32</v>
      </c>
      <c r="L473">
        <v>1158.44</v>
      </c>
      <c r="M473">
        <f>VLOOKUP(K473,RatingLookup!$A$2:$C$8,2,FALSE)</f>
        <v>0.12</v>
      </c>
      <c r="N473">
        <f t="shared" si="21"/>
        <v>1.0596241035318976E-2</v>
      </c>
      <c r="O473">
        <f>VLOOKUP(K473,RatingLookup!$A$2:$C$8,3,FALSE)</f>
        <v>0.7</v>
      </c>
      <c r="P473">
        <f t="shared" si="22"/>
        <v>8.5925766254684408</v>
      </c>
      <c r="Q473" t="str">
        <f t="shared" ca="1" si="23"/>
        <v>No</v>
      </c>
    </row>
    <row r="474" spans="1:17" x14ac:dyDescent="0.45">
      <c r="A474" t="s">
        <v>44</v>
      </c>
      <c r="B474" t="s">
        <v>45</v>
      </c>
      <c r="C474" t="s">
        <v>19</v>
      </c>
      <c r="D474" t="s">
        <v>20</v>
      </c>
      <c r="E474" t="s">
        <v>21</v>
      </c>
      <c r="F474" s="1">
        <v>45413</v>
      </c>
      <c r="G474">
        <v>5.79</v>
      </c>
      <c r="H474">
        <v>88.944000000000003</v>
      </c>
      <c r="I474">
        <v>17.07</v>
      </c>
      <c r="J474">
        <v>60.44</v>
      </c>
      <c r="K474" t="s">
        <v>32</v>
      </c>
      <c r="L474">
        <v>1024.23</v>
      </c>
      <c r="M474">
        <f>VLOOKUP(K474,RatingLookup!$A$2:$C$8,2,FALSE)</f>
        <v>0.12</v>
      </c>
      <c r="N474">
        <f t="shared" si="21"/>
        <v>1.0596241035318976E-2</v>
      </c>
      <c r="O474">
        <f>VLOOKUP(K474,RatingLookup!$A$2:$C$8,3,FALSE)</f>
        <v>0.7</v>
      </c>
      <c r="P474">
        <f t="shared" si="22"/>
        <v>7.5970915689233278</v>
      </c>
      <c r="Q474" t="str">
        <f t="shared" ca="1" si="23"/>
        <v>No</v>
      </c>
    </row>
    <row r="475" spans="1:17" x14ac:dyDescent="0.45">
      <c r="A475" t="s">
        <v>44</v>
      </c>
      <c r="B475" t="s">
        <v>45</v>
      </c>
      <c r="C475" t="s">
        <v>19</v>
      </c>
      <c r="D475" t="s">
        <v>20</v>
      </c>
      <c r="E475" t="s">
        <v>21</v>
      </c>
      <c r="F475" s="1">
        <v>45444</v>
      </c>
      <c r="G475">
        <v>5.51</v>
      </c>
      <c r="H475">
        <v>82.482699999999994</v>
      </c>
      <c r="I475">
        <v>23.17</v>
      </c>
      <c r="J475">
        <v>70.650000000000006</v>
      </c>
      <c r="K475" t="s">
        <v>32</v>
      </c>
      <c r="L475">
        <v>1066.6400000000001</v>
      </c>
      <c r="M475">
        <f>VLOOKUP(K475,RatingLookup!$A$2:$C$8,2,FALSE)</f>
        <v>0.12</v>
      </c>
      <c r="N475">
        <f t="shared" si="21"/>
        <v>1.0596241035318976E-2</v>
      </c>
      <c r="O475">
        <f>VLOOKUP(K475,RatingLookup!$A$2:$C$8,3,FALSE)</f>
        <v>0.7</v>
      </c>
      <c r="P475">
        <f t="shared" si="22"/>
        <v>7.9116621765388428</v>
      </c>
      <c r="Q475" t="str">
        <f t="shared" ca="1" si="23"/>
        <v>No</v>
      </c>
    </row>
    <row r="476" spans="1:17" x14ac:dyDescent="0.45">
      <c r="A476" t="s">
        <v>44</v>
      </c>
      <c r="B476" t="s">
        <v>45</v>
      </c>
      <c r="C476" t="s">
        <v>19</v>
      </c>
      <c r="D476" t="s">
        <v>20</v>
      </c>
      <c r="E476" t="s">
        <v>21</v>
      </c>
      <c r="F476" s="1">
        <v>45474</v>
      </c>
      <c r="G476">
        <v>6.43</v>
      </c>
      <c r="H476">
        <v>79.131500000000003</v>
      </c>
      <c r="I476">
        <v>18.23</v>
      </c>
      <c r="J476">
        <v>94.47</v>
      </c>
      <c r="K476" t="s">
        <v>32</v>
      </c>
      <c r="L476">
        <v>1121.31</v>
      </c>
      <c r="M476">
        <f>VLOOKUP(K476,RatingLookup!$A$2:$C$8,2,FALSE)</f>
        <v>0.12</v>
      </c>
      <c r="N476">
        <f t="shared" si="21"/>
        <v>1.0596241035318976E-2</v>
      </c>
      <c r="O476">
        <f>VLOOKUP(K476,RatingLookup!$A$2:$C$8,3,FALSE)</f>
        <v>0.7</v>
      </c>
      <c r="P476">
        <f t="shared" si="22"/>
        <v>8.3171697247194629</v>
      </c>
      <c r="Q476" t="str">
        <f t="shared" ca="1" si="23"/>
        <v>No</v>
      </c>
    </row>
    <row r="477" spans="1:17" x14ac:dyDescent="0.45">
      <c r="A477" t="s">
        <v>44</v>
      </c>
      <c r="B477" t="s">
        <v>45</v>
      </c>
      <c r="C477" t="s">
        <v>19</v>
      </c>
      <c r="D477" t="s">
        <v>20</v>
      </c>
      <c r="E477" t="s">
        <v>21</v>
      </c>
      <c r="F477" s="1">
        <v>45505</v>
      </c>
      <c r="G477">
        <v>5.21</v>
      </c>
      <c r="H477">
        <v>84.001300000000001</v>
      </c>
      <c r="I477">
        <v>10.26</v>
      </c>
      <c r="J477">
        <v>92.4</v>
      </c>
      <c r="K477" t="s">
        <v>32</v>
      </c>
      <c r="L477">
        <v>1014.13</v>
      </c>
      <c r="M477">
        <f>VLOOKUP(K477,RatingLookup!$A$2:$C$8,2,FALSE)</f>
        <v>0.12</v>
      </c>
      <c r="N477">
        <f t="shared" si="21"/>
        <v>1.0596241035318976E-2</v>
      </c>
      <c r="O477">
        <f>VLOOKUP(K477,RatingLookup!$A$2:$C$8,3,FALSE)</f>
        <v>0.7</v>
      </c>
      <c r="P477">
        <f t="shared" si="22"/>
        <v>7.5221761448036224</v>
      </c>
      <c r="Q477" t="str">
        <f t="shared" ca="1" si="23"/>
        <v>No</v>
      </c>
    </row>
    <row r="478" spans="1:17" x14ac:dyDescent="0.45">
      <c r="A478" t="s">
        <v>44</v>
      </c>
      <c r="B478" t="s">
        <v>45</v>
      </c>
      <c r="C478" t="s">
        <v>19</v>
      </c>
      <c r="D478" t="s">
        <v>20</v>
      </c>
      <c r="E478" t="s">
        <v>21</v>
      </c>
      <c r="F478" s="1">
        <v>45536</v>
      </c>
      <c r="G478">
        <v>5.37</v>
      </c>
      <c r="H478">
        <v>82.458500000000001</v>
      </c>
      <c r="I478">
        <v>28.83</v>
      </c>
      <c r="J478">
        <v>77.989999999999995</v>
      </c>
      <c r="K478" t="s">
        <v>32</v>
      </c>
      <c r="L478">
        <v>1083.6199999999999</v>
      </c>
      <c r="M478">
        <f>VLOOKUP(K478,RatingLookup!$A$2:$C$8,2,FALSE)</f>
        <v>0.12</v>
      </c>
      <c r="N478">
        <f t="shared" si="21"/>
        <v>1.0596241035318976E-2</v>
      </c>
      <c r="O478">
        <f>VLOOKUP(K478,RatingLookup!$A$2:$C$8,3,FALSE)</f>
        <v>0.7</v>
      </c>
      <c r="P478">
        <f t="shared" si="22"/>
        <v>8.0376090974846424</v>
      </c>
      <c r="Q478" t="str">
        <f t="shared" ca="1" si="23"/>
        <v>No</v>
      </c>
    </row>
    <row r="479" spans="1:17" x14ac:dyDescent="0.45">
      <c r="A479" t="s">
        <v>44</v>
      </c>
      <c r="B479" t="s">
        <v>45</v>
      </c>
      <c r="C479" t="s">
        <v>19</v>
      </c>
      <c r="D479" t="s">
        <v>20</v>
      </c>
      <c r="E479" t="s">
        <v>21</v>
      </c>
      <c r="F479" s="1">
        <v>45566</v>
      </c>
      <c r="G479">
        <v>4.68</v>
      </c>
      <c r="H479">
        <v>81.226900000000001</v>
      </c>
      <c r="I479">
        <v>19.18</v>
      </c>
      <c r="J479">
        <v>56.36</v>
      </c>
      <c r="K479" t="s">
        <v>32</v>
      </c>
      <c r="L479">
        <v>1017.66</v>
      </c>
      <c r="M479">
        <f>VLOOKUP(K479,RatingLookup!$A$2:$C$8,2,FALSE)</f>
        <v>0.12</v>
      </c>
      <c r="N479">
        <f t="shared" si="21"/>
        <v>1.0596241035318976E-2</v>
      </c>
      <c r="O479">
        <f>VLOOKUP(K479,RatingLookup!$A$2:$C$8,3,FALSE)</f>
        <v>0.7</v>
      </c>
      <c r="P479">
        <f t="shared" si="22"/>
        <v>7.5483594564018963</v>
      </c>
      <c r="Q479" t="str">
        <f t="shared" ca="1" si="23"/>
        <v>No</v>
      </c>
    </row>
    <row r="480" spans="1:17" x14ac:dyDescent="0.45">
      <c r="A480" t="s">
        <v>44</v>
      </c>
      <c r="B480" t="s">
        <v>45</v>
      </c>
      <c r="C480" t="s">
        <v>19</v>
      </c>
      <c r="D480" t="s">
        <v>20</v>
      </c>
      <c r="E480" t="s">
        <v>21</v>
      </c>
      <c r="F480" s="1">
        <v>45597</v>
      </c>
      <c r="G480">
        <v>5.43</v>
      </c>
      <c r="H480">
        <v>83.463099999999997</v>
      </c>
      <c r="I480">
        <v>17.760000000000002</v>
      </c>
      <c r="J480">
        <v>80.39</v>
      </c>
      <c r="K480" t="s">
        <v>32</v>
      </c>
      <c r="L480">
        <v>1074.71</v>
      </c>
      <c r="M480">
        <f>VLOOKUP(K480,RatingLookup!$A$2:$C$8,2,FALSE)</f>
        <v>0.12</v>
      </c>
      <c r="N480">
        <f t="shared" si="21"/>
        <v>1.0596241035318976E-2</v>
      </c>
      <c r="O480">
        <f>VLOOKUP(K480,RatingLookup!$A$2:$C$8,3,FALSE)</f>
        <v>0.7</v>
      </c>
      <c r="P480">
        <f t="shared" si="22"/>
        <v>7.9715203421473593</v>
      </c>
      <c r="Q480" t="str">
        <f t="shared" ca="1" si="23"/>
        <v>No</v>
      </c>
    </row>
    <row r="481" spans="1:17" x14ac:dyDescent="0.45">
      <c r="A481" t="s">
        <v>44</v>
      </c>
      <c r="B481" t="s">
        <v>45</v>
      </c>
      <c r="C481" t="s">
        <v>19</v>
      </c>
      <c r="D481" t="s">
        <v>20</v>
      </c>
      <c r="E481" t="s">
        <v>21</v>
      </c>
      <c r="F481" s="1">
        <v>45627</v>
      </c>
      <c r="G481">
        <v>5.49</v>
      </c>
      <c r="H481">
        <v>81.457599999999999</v>
      </c>
      <c r="I481">
        <v>24.67</v>
      </c>
      <c r="J481">
        <v>82.47</v>
      </c>
      <c r="K481" t="s">
        <v>32</v>
      </c>
      <c r="L481">
        <v>1166.03</v>
      </c>
      <c r="M481">
        <f>VLOOKUP(K481,RatingLookup!$A$2:$C$8,2,FALSE)</f>
        <v>0.12</v>
      </c>
      <c r="N481">
        <f t="shared" si="21"/>
        <v>1.0596241035318976E-2</v>
      </c>
      <c r="O481">
        <f>VLOOKUP(K481,RatingLookup!$A$2:$C$8,3,FALSE)</f>
        <v>0.7</v>
      </c>
      <c r="P481">
        <f t="shared" si="22"/>
        <v>8.6488744540890892</v>
      </c>
      <c r="Q481" t="str">
        <f t="shared" ca="1" si="23"/>
        <v>No</v>
      </c>
    </row>
    <row r="482" spans="1:17" x14ac:dyDescent="0.45">
      <c r="A482" t="s">
        <v>46</v>
      </c>
      <c r="B482" t="s">
        <v>47</v>
      </c>
      <c r="C482" t="s">
        <v>29</v>
      </c>
      <c r="D482" t="s">
        <v>20</v>
      </c>
      <c r="E482" t="s">
        <v>21</v>
      </c>
      <c r="F482" s="1">
        <v>43831</v>
      </c>
      <c r="G482">
        <v>4.9800000000000004</v>
      </c>
      <c r="H482">
        <v>84.033900000000003</v>
      </c>
      <c r="I482">
        <v>8.01</v>
      </c>
      <c r="J482">
        <v>89.2</v>
      </c>
      <c r="K482" t="s">
        <v>22</v>
      </c>
      <c r="L482">
        <v>607.54999999999995</v>
      </c>
      <c r="M482">
        <f>VLOOKUP(K482,RatingLookup!$A$2:$C$8,2,FALSE)</f>
        <v>5.0000000000000001E-3</v>
      </c>
      <c r="N482">
        <f t="shared" si="21"/>
        <v>4.1762458919303302E-4</v>
      </c>
      <c r="O482">
        <f>VLOOKUP(K482,RatingLookup!$A$2:$C$8,3,FALSE)</f>
        <v>0.45</v>
      </c>
      <c r="P482">
        <f t="shared" si="22"/>
        <v>0.11417751862390224</v>
      </c>
      <c r="Q482" t="str">
        <f t="shared" ca="1" si="23"/>
        <v>No</v>
      </c>
    </row>
    <row r="483" spans="1:17" x14ac:dyDescent="0.45">
      <c r="A483" t="s">
        <v>46</v>
      </c>
      <c r="B483" t="s">
        <v>47</v>
      </c>
      <c r="C483" t="s">
        <v>29</v>
      </c>
      <c r="D483" t="s">
        <v>20</v>
      </c>
      <c r="E483" t="s">
        <v>21</v>
      </c>
      <c r="F483" s="1">
        <v>43862</v>
      </c>
      <c r="G483">
        <v>5.85</v>
      </c>
      <c r="H483">
        <v>84.658900000000003</v>
      </c>
      <c r="I483">
        <v>34.520000000000003</v>
      </c>
      <c r="J483">
        <v>69.95</v>
      </c>
      <c r="K483" t="s">
        <v>22</v>
      </c>
      <c r="L483">
        <v>609.12</v>
      </c>
      <c r="M483">
        <f>VLOOKUP(K483,RatingLookup!$A$2:$C$8,2,FALSE)</f>
        <v>5.0000000000000001E-3</v>
      </c>
      <c r="N483">
        <f t="shared" si="21"/>
        <v>4.1762458919303302E-4</v>
      </c>
      <c r="O483">
        <f>VLOOKUP(K483,RatingLookup!$A$2:$C$8,3,FALSE)</f>
        <v>0.45</v>
      </c>
      <c r="P483">
        <f t="shared" si="22"/>
        <v>0.11447257039616714</v>
      </c>
      <c r="Q483" t="str">
        <f t="shared" ca="1" si="23"/>
        <v>No</v>
      </c>
    </row>
    <row r="484" spans="1:17" x14ac:dyDescent="0.45">
      <c r="A484" t="s">
        <v>46</v>
      </c>
      <c r="B484" t="s">
        <v>47</v>
      </c>
      <c r="C484" t="s">
        <v>29</v>
      </c>
      <c r="D484" t="s">
        <v>20</v>
      </c>
      <c r="E484" t="s">
        <v>21</v>
      </c>
      <c r="F484" s="1">
        <v>43891</v>
      </c>
      <c r="G484">
        <v>3.91</v>
      </c>
      <c r="H484">
        <v>85.418800000000005</v>
      </c>
      <c r="I484">
        <v>23.51</v>
      </c>
      <c r="J484">
        <v>57.87</v>
      </c>
      <c r="K484" t="s">
        <v>22</v>
      </c>
      <c r="L484">
        <v>559.13</v>
      </c>
      <c r="M484">
        <f>VLOOKUP(K484,RatingLookup!$A$2:$C$8,2,FALSE)</f>
        <v>5.0000000000000001E-3</v>
      </c>
      <c r="N484">
        <f t="shared" si="21"/>
        <v>4.1762458919303302E-4</v>
      </c>
      <c r="O484">
        <f>VLOOKUP(K484,RatingLookup!$A$2:$C$8,3,FALSE)</f>
        <v>0.45</v>
      </c>
      <c r="P484">
        <f t="shared" si="22"/>
        <v>0.10507789644997524</v>
      </c>
      <c r="Q484" t="str">
        <f t="shared" ca="1" si="23"/>
        <v>No</v>
      </c>
    </row>
    <row r="485" spans="1:17" x14ac:dyDescent="0.45">
      <c r="A485" t="s">
        <v>46</v>
      </c>
      <c r="B485" t="s">
        <v>47</v>
      </c>
      <c r="C485" t="s">
        <v>29</v>
      </c>
      <c r="D485" t="s">
        <v>20</v>
      </c>
      <c r="E485" t="s">
        <v>21</v>
      </c>
      <c r="F485" s="1">
        <v>43922</v>
      </c>
      <c r="G485">
        <v>4.33</v>
      </c>
      <c r="H485">
        <v>84.022499999999994</v>
      </c>
      <c r="I485">
        <v>24.76</v>
      </c>
      <c r="J485">
        <v>86.36</v>
      </c>
      <c r="K485" t="s">
        <v>22</v>
      </c>
      <c r="L485">
        <v>650.15</v>
      </c>
      <c r="M485">
        <f>VLOOKUP(K485,RatingLookup!$A$2:$C$8,2,FALSE)</f>
        <v>5.0000000000000001E-3</v>
      </c>
      <c r="N485">
        <f t="shared" si="21"/>
        <v>4.1762458919303302E-4</v>
      </c>
      <c r="O485">
        <f>VLOOKUP(K485,RatingLookup!$A$2:$C$8,3,FALSE)</f>
        <v>0.45</v>
      </c>
      <c r="P485">
        <f t="shared" si="22"/>
        <v>0.12218338199873269</v>
      </c>
      <c r="Q485" t="str">
        <f t="shared" ca="1" si="23"/>
        <v>No</v>
      </c>
    </row>
    <row r="486" spans="1:17" x14ac:dyDescent="0.45">
      <c r="A486" t="s">
        <v>46</v>
      </c>
      <c r="B486" t="s">
        <v>47</v>
      </c>
      <c r="C486" t="s">
        <v>29</v>
      </c>
      <c r="D486" t="s">
        <v>20</v>
      </c>
      <c r="E486" t="s">
        <v>21</v>
      </c>
      <c r="F486" s="1">
        <v>43952</v>
      </c>
      <c r="G486">
        <v>6.08</v>
      </c>
      <c r="H486">
        <v>79.067700000000002</v>
      </c>
      <c r="I486">
        <v>24.97</v>
      </c>
      <c r="J486">
        <v>68.11</v>
      </c>
      <c r="K486" t="s">
        <v>23</v>
      </c>
      <c r="L486">
        <v>679.73</v>
      </c>
      <c r="M486">
        <f>VLOOKUP(K486,RatingLookup!$A$2:$C$8,2,FALSE)</f>
        <v>1E-3</v>
      </c>
      <c r="N486">
        <f t="shared" si="21"/>
        <v>8.3371552197619714E-5</v>
      </c>
      <c r="O486">
        <f>VLOOKUP(K486,RatingLookup!$A$2:$C$8,3,FALSE)</f>
        <v>0.3</v>
      </c>
      <c r="P486">
        <f t="shared" si="22"/>
        <v>1.7001043552586415E-2</v>
      </c>
      <c r="Q486" t="str">
        <f t="shared" ca="1" si="23"/>
        <v>No</v>
      </c>
    </row>
    <row r="487" spans="1:17" x14ac:dyDescent="0.45">
      <c r="A487" t="s">
        <v>46</v>
      </c>
      <c r="B487" t="s">
        <v>47</v>
      </c>
      <c r="C487" t="s">
        <v>29</v>
      </c>
      <c r="D487" t="s">
        <v>20</v>
      </c>
      <c r="E487" t="s">
        <v>21</v>
      </c>
      <c r="F487" s="1">
        <v>43983</v>
      </c>
      <c r="G487">
        <v>4.9000000000000004</v>
      </c>
      <c r="H487">
        <v>82.230800000000002</v>
      </c>
      <c r="I487">
        <v>21.04</v>
      </c>
      <c r="J487">
        <v>62.64</v>
      </c>
      <c r="K487" t="s">
        <v>23</v>
      </c>
      <c r="L487">
        <v>621.55999999999995</v>
      </c>
      <c r="M487">
        <f>VLOOKUP(K487,RatingLookup!$A$2:$C$8,2,FALSE)</f>
        <v>1E-3</v>
      </c>
      <c r="N487">
        <f t="shared" si="21"/>
        <v>8.3371552197619714E-5</v>
      </c>
      <c r="O487">
        <f>VLOOKUP(K487,RatingLookup!$A$2:$C$8,3,FALSE)</f>
        <v>0.3</v>
      </c>
      <c r="P487">
        <f t="shared" si="22"/>
        <v>1.5546126595185752E-2</v>
      </c>
      <c r="Q487" t="str">
        <f t="shared" ca="1" si="23"/>
        <v>No</v>
      </c>
    </row>
    <row r="488" spans="1:17" x14ac:dyDescent="0.45">
      <c r="A488" t="s">
        <v>46</v>
      </c>
      <c r="B488" t="s">
        <v>47</v>
      </c>
      <c r="C488" t="s">
        <v>29</v>
      </c>
      <c r="D488" t="s">
        <v>20</v>
      </c>
      <c r="E488" t="s">
        <v>21</v>
      </c>
      <c r="F488" s="1">
        <v>44013</v>
      </c>
      <c r="G488">
        <v>5.74</v>
      </c>
      <c r="H488">
        <v>78.754099999999994</v>
      </c>
      <c r="I488">
        <v>16.16</v>
      </c>
      <c r="J488">
        <v>68.069999999999993</v>
      </c>
      <c r="K488" t="s">
        <v>23</v>
      </c>
      <c r="L488">
        <v>613.65</v>
      </c>
      <c r="M488">
        <f>VLOOKUP(K488,RatingLookup!$A$2:$C$8,2,FALSE)</f>
        <v>1E-3</v>
      </c>
      <c r="N488">
        <f t="shared" si="21"/>
        <v>8.3371552197619714E-5</v>
      </c>
      <c r="O488">
        <f>VLOOKUP(K488,RatingLookup!$A$2:$C$8,3,FALSE)</f>
        <v>0.3</v>
      </c>
      <c r="P488">
        <f t="shared" si="22"/>
        <v>1.53482859018208E-2</v>
      </c>
      <c r="Q488" t="str">
        <f t="shared" ca="1" si="23"/>
        <v>No</v>
      </c>
    </row>
    <row r="489" spans="1:17" x14ac:dyDescent="0.45">
      <c r="A489" t="s">
        <v>46</v>
      </c>
      <c r="B489" t="s">
        <v>47</v>
      </c>
      <c r="C489" t="s">
        <v>29</v>
      </c>
      <c r="D489" t="s">
        <v>20</v>
      </c>
      <c r="E489" t="s">
        <v>21</v>
      </c>
      <c r="F489" s="1">
        <v>44044</v>
      </c>
      <c r="G489">
        <v>6.37</v>
      </c>
      <c r="H489">
        <v>80.984399999999994</v>
      </c>
      <c r="I489">
        <v>23.59</v>
      </c>
      <c r="J489">
        <v>76.819999999999993</v>
      </c>
      <c r="K489" t="s">
        <v>23</v>
      </c>
      <c r="L489">
        <v>626.01</v>
      </c>
      <c r="M489">
        <f>VLOOKUP(K489,RatingLookup!$A$2:$C$8,2,FALSE)</f>
        <v>1E-3</v>
      </c>
      <c r="N489">
        <f t="shared" si="21"/>
        <v>8.3371552197619714E-5</v>
      </c>
      <c r="O489">
        <f>VLOOKUP(K489,RatingLookup!$A$2:$C$8,3,FALSE)</f>
        <v>0.3</v>
      </c>
      <c r="P489">
        <f t="shared" si="22"/>
        <v>1.5657427617369574E-2</v>
      </c>
      <c r="Q489" t="str">
        <f t="shared" ca="1" si="23"/>
        <v>No</v>
      </c>
    </row>
    <row r="490" spans="1:17" x14ac:dyDescent="0.45">
      <c r="A490" t="s">
        <v>46</v>
      </c>
      <c r="B490" t="s">
        <v>47</v>
      </c>
      <c r="C490" t="s">
        <v>29</v>
      </c>
      <c r="D490" t="s">
        <v>20</v>
      </c>
      <c r="E490" t="s">
        <v>21</v>
      </c>
      <c r="F490" s="1">
        <v>44075</v>
      </c>
      <c r="G490">
        <v>6.32</v>
      </c>
      <c r="H490">
        <v>84.022199999999998</v>
      </c>
      <c r="I490">
        <v>17.14</v>
      </c>
      <c r="J490">
        <v>76.2</v>
      </c>
      <c r="K490" t="s">
        <v>23</v>
      </c>
      <c r="L490">
        <v>642.32000000000005</v>
      </c>
      <c r="M490">
        <f>VLOOKUP(K490,RatingLookup!$A$2:$C$8,2,FALSE)</f>
        <v>1E-3</v>
      </c>
      <c r="N490">
        <f t="shared" si="21"/>
        <v>8.3371552197619714E-5</v>
      </c>
      <c r="O490">
        <f>VLOOKUP(K490,RatingLookup!$A$2:$C$8,3,FALSE)</f>
        <v>0.3</v>
      </c>
      <c r="P490">
        <f t="shared" si="22"/>
        <v>1.6065364622272527E-2</v>
      </c>
      <c r="Q490" t="str">
        <f t="shared" ca="1" si="23"/>
        <v>No</v>
      </c>
    </row>
    <row r="491" spans="1:17" x14ac:dyDescent="0.45">
      <c r="A491" t="s">
        <v>46</v>
      </c>
      <c r="B491" t="s">
        <v>47</v>
      </c>
      <c r="C491" t="s">
        <v>29</v>
      </c>
      <c r="D491" t="s">
        <v>20</v>
      </c>
      <c r="E491" t="s">
        <v>21</v>
      </c>
      <c r="F491" s="1">
        <v>44105</v>
      </c>
      <c r="G491">
        <v>5.19</v>
      </c>
      <c r="H491">
        <v>83.159599999999998</v>
      </c>
      <c r="I491">
        <v>5</v>
      </c>
      <c r="J491">
        <v>70.39</v>
      </c>
      <c r="K491" t="s">
        <v>23</v>
      </c>
      <c r="L491">
        <v>695.01</v>
      </c>
      <c r="M491">
        <f>VLOOKUP(K491,RatingLookup!$A$2:$C$8,2,FALSE)</f>
        <v>1E-3</v>
      </c>
      <c r="N491">
        <f t="shared" si="21"/>
        <v>8.3371552197619714E-5</v>
      </c>
      <c r="O491">
        <f>VLOOKUP(K491,RatingLookup!$A$2:$C$8,3,FALSE)</f>
        <v>0.3</v>
      </c>
      <c r="P491">
        <f t="shared" si="22"/>
        <v>1.73832187478603E-2</v>
      </c>
      <c r="Q491" t="str">
        <f t="shared" ca="1" si="23"/>
        <v>No</v>
      </c>
    </row>
    <row r="492" spans="1:17" x14ac:dyDescent="0.45">
      <c r="A492" t="s">
        <v>46</v>
      </c>
      <c r="B492" t="s">
        <v>47</v>
      </c>
      <c r="C492" t="s">
        <v>29</v>
      </c>
      <c r="D492" t="s">
        <v>20</v>
      </c>
      <c r="E492" t="s">
        <v>21</v>
      </c>
      <c r="F492" s="1">
        <v>44136</v>
      </c>
      <c r="G492">
        <v>5.0999999999999996</v>
      </c>
      <c r="H492">
        <v>82.459400000000002</v>
      </c>
      <c r="I492">
        <v>25.89</v>
      </c>
      <c r="J492">
        <v>82.33</v>
      </c>
      <c r="K492" t="s">
        <v>23</v>
      </c>
      <c r="L492">
        <v>643.52</v>
      </c>
      <c r="M492">
        <f>VLOOKUP(K492,RatingLookup!$A$2:$C$8,2,FALSE)</f>
        <v>1E-3</v>
      </c>
      <c r="N492">
        <f t="shared" si="21"/>
        <v>8.3371552197619714E-5</v>
      </c>
      <c r="O492">
        <f>VLOOKUP(K492,RatingLookup!$A$2:$C$8,3,FALSE)</f>
        <v>0.3</v>
      </c>
      <c r="P492">
        <f t="shared" si="22"/>
        <v>1.6095378381063671E-2</v>
      </c>
      <c r="Q492" t="str">
        <f t="shared" ca="1" si="23"/>
        <v>No</v>
      </c>
    </row>
    <row r="493" spans="1:17" x14ac:dyDescent="0.45">
      <c r="A493" t="s">
        <v>46</v>
      </c>
      <c r="B493" t="s">
        <v>47</v>
      </c>
      <c r="C493" t="s">
        <v>29</v>
      </c>
      <c r="D493" t="s">
        <v>20</v>
      </c>
      <c r="E493" t="s">
        <v>21</v>
      </c>
      <c r="F493" s="1">
        <v>44166</v>
      </c>
      <c r="G493">
        <v>6.48</v>
      </c>
      <c r="H493">
        <v>77.834800000000001</v>
      </c>
      <c r="I493">
        <v>11.65</v>
      </c>
      <c r="J493">
        <v>86.84</v>
      </c>
      <c r="K493" t="s">
        <v>23</v>
      </c>
      <c r="L493">
        <v>600.12</v>
      </c>
      <c r="M493">
        <f>VLOOKUP(K493,RatingLookup!$A$2:$C$8,2,FALSE)</f>
        <v>1E-3</v>
      </c>
      <c r="N493">
        <f t="shared" si="21"/>
        <v>8.3371552197619714E-5</v>
      </c>
      <c r="O493">
        <f>VLOOKUP(K493,RatingLookup!$A$2:$C$8,3,FALSE)</f>
        <v>0.3</v>
      </c>
      <c r="P493">
        <f t="shared" si="22"/>
        <v>1.5009880771450662E-2</v>
      </c>
      <c r="Q493" t="str">
        <f t="shared" ca="1" si="23"/>
        <v>No</v>
      </c>
    </row>
    <row r="494" spans="1:17" x14ac:dyDescent="0.45">
      <c r="A494" t="s">
        <v>46</v>
      </c>
      <c r="B494" t="s">
        <v>47</v>
      </c>
      <c r="C494" t="s">
        <v>29</v>
      </c>
      <c r="D494" t="s">
        <v>20</v>
      </c>
      <c r="E494" t="s">
        <v>21</v>
      </c>
      <c r="F494" s="1">
        <v>44197</v>
      </c>
      <c r="G494">
        <v>5.39</v>
      </c>
      <c r="H494">
        <v>83.539699999999996</v>
      </c>
      <c r="I494">
        <v>22.7</v>
      </c>
      <c r="J494">
        <v>63.99</v>
      </c>
      <c r="K494" t="s">
        <v>23</v>
      </c>
      <c r="L494">
        <v>610.12</v>
      </c>
      <c r="M494">
        <f>VLOOKUP(K494,RatingLookup!$A$2:$C$8,2,FALSE)</f>
        <v>1E-3</v>
      </c>
      <c r="N494">
        <f t="shared" si="21"/>
        <v>8.3371552197619714E-5</v>
      </c>
      <c r="O494">
        <f>VLOOKUP(K494,RatingLookup!$A$2:$C$8,3,FALSE)</f>
        <v>0.3</v>
      </c>
      <c r="P494">
        <f t="shared" si="22"/>
        <v>1.5259995428043521E-2</v>
      </c>
      <c r="Q494" t="str">
        <f t="shared" ca="1" si="23"/>
        <v>No</v>
      </c>
    </row>
    <row r="495" spans="1:17" x14ac:dyDescent="0.45">
      <c r="A495" t="s">
        <v>46</v>
      </c>
      <c r="B495" t="s">
        <v>47</v>
      </c>
      <c r="C495" t="s">
        <v>29</v>
      </c>
      <c r="D495" t="s">
        <v>20</v>
      </c>
      <c r="E495" t="s">
        <v>21</v>
      </c>
      <c r="F495" s="1">
        <v>44228</v>
      </c>
      <c r="G495">
        <v>4.9000000000000004</v>
      </c>
      <c r="H495">
        <v>80.918199999999999</v>
      </c>
      <c r="I495">
        <v>22.56</v>
      </c>
      <c r="J495">
        <v>70.349999999999994</v>
      </c>
      <c r="K495" t="s">
        <v>23</v>
      </c>
      <c r="L495">
        <v>629.04</v>
      </c>
      <c r="M495">
        <f>VLOOKUP(K495,RatingLookup!$A$2:$C$8,2,FALSE)</f>
        <v>1E-3</v>
      </c>
      <c r="N495">
        <f t="shared" si="21"/>
        <v>8.3371552197619714E-5</v>
      </c>
      <c r="O495">
        <f>VLOOKUP(K495,RatingLookup!$A$2:$C$8,3,FALSE)</f>
        <v>0.3</v>
      </c>
      <c r="P495">
        <f t="shared" si="22"/>
        <v>1.5733212358317209E-2</v>
      </c>
      <c r="Q495" t="str">
        <f t="shared" ca="1" si="23"/>
        <v>No</v>
      </c>
    </row>
    <row r="496" spans="1:17" x14ac:dyDescent="0.45">
      <c r="A496" t="s">
        <v>46</v>
      </c>
      <c r="B496" t="s">
        <v>47</v>
      </c>
      <c r="C496" t="s">
        <v>29</v>
      </c>
      <c r="D496" t="s">
        <v>20</v>
      </c>
      <c r="E496" t="s">
        <v>21</v>
      </c>
      <c r="F496" s="1">
        <v>44256</v>
      </c>
      <c r="G496">
        <v>5.17</v>
      </c>
      <c r="H496">
        <v>86.087500000000006</v>
      </c>
      <c r="I496">
        <v>18.649999999999999</v>
      </c>
      <c r="J496">
        <v>62.33</v>
      </c>
      <c r="K496" t="s">
        <v>23</v>
      </c>
      <c r="L496">
        <v>625.70000000000005</v>
      </c>
      <c r="M496">
        <f>VLOOKUP(K496,RatingLookup!$A$2:$C$8,2,FALSE)</f>
        <v>1E-3</v>
      </c>
      <c r="N496">
        <f t="shared" si="21"/>
        <v>8.3371552197619714E-5</v>
      </c>
      <c r="O496">
        <f>VLOOKUP(K496,RatingLookup!$A$2:$C$8,3,FALSE)</f>
        <v>0.3</v>
      </c>
      <c r="P496">
        <f t="shared" si="22"/>
        <v>1.5649674063015196E-2</v>
      </c>
      <c r="Q496" t="str">
        <f t="shared" ca="1" si="23"/>
        <v>No</v>
      </c>
    </row>
    <row r="497" spans="1:17" x14ac:dyDescent="0.45">
      <c r="A497" t="s">
        <v>46</v>
      </c>
      <c r="B497" t="s">
        <v>47</v>
      </c>
      <c r="C497" t="s">
        <v>29</v>
      </c>
      <c r="D497" t="s">
        <v>20</v>
      </c>
      <c r="E497" t="s">
        <v>21</v>
      </c>
      <c r="F497" s="1">
        <v>44287</v>
      </c>
      <c r="G497">
        <v>4.8600000000000003</v>
      </c>
      <c r="H497">
        <v>79.979100000000003</v>
      </c>
      <c r="I497">
        <v>21.71</v>
      </c>
      <c r="J497">
        <v>68.39</v>
      </c>
      <c r="K497" t="s">
        <v>48</v>
      </c>
      <c r="L497">
        <v>579.45000000000005</v>
      </c>
      <c r="M497">
        <f>VLOOKUP(K497,RatingLookup!$A$2:$C$8,2,FALSE)</f>
        <v>5.0000000000000001E-4</v>
      </c>
      <c r="N497">
        <f t="shared" si="21"/>
        <v>4.167621832917856E-5</v>
      </c>
      <c r="O497">
        <f>VLOOKUP(K497,RatingLookup!$A$2:$C$8,3,FALSE)</f>
        <v>0.25</v>
      </c>
      <c r="P497">
        <f t="shared" si="22"/>
        <v>6.0373211777106301E-3</v>
      </c>
      <c r="Q497" t="str">
        <f t="shared" ca="1" si="23"/>
        <v>No</v>
      </c>
    </row>
    <row r="498" spans="1:17" x14ac:dyDescent="0.45">
      <c r="A498" t="s">
        <v>46</v>
      </c>
      <c r="B498" t="s">
        <v>47</v>
      </c>
      <c r="C498" t="s">
        <v>29</v>
      </c>
      <c r="D498" t="s">
        <v>20</v>
      </c>
      <c r="E498" t="s">
        <v>21</v>
      </c>
      <c r="F498" s="1">
        <v>44317</v>
      </c>
      <c r="G498">
        <v>5.34</v>
      </c>
      <c r="H498">
        <v>80.791700000000006</v>
      </c>
      <c r="I498">
        <v>14.29</v>
      </c>
      <c r="J498">
        <v>77.73</v>
      </c>
      <c r="K498" t="s">
        <v>48</v>
      </c>
      <c r="L498">
        <v>605.39</v>
      </c>
      <c r="M498">
        <f>VLOOKUP(K498,RatingLookup!$A$2:$C$8,2,FALSE)</f>
        <v>5.0000000000000001E-4</v>
      </c>
      <c r="N498">
        <f t="shared" si="21"/>
        <v>4.167621832917856E-5</v>
      </c>
      <c r="O498">
        <f>VLOOKUP(K498,RatingLookup!$A$2:$C$8,3,FALSE)</f>
        <v>0.25</v>
      </c>
      <c r="P498">
        <f t="shared" si="22"/>
        <v>6.3075914535753522E-3</v>
      </c>
      <c r="Q498" t="str">
        <f t="shared" ca="1" si="23"/>
        <v>No</v>
      </c>
    </row>
    <row r="499" spans="1:17" x14ac:dyDescent="0.45">
      <c r="A499" t="s">
        <v>46</v>
      </c>
      <c r="B499" t="s">
        <v>47</v>
      </c>
      <c r="C499" t="s">
        <v>29</v>
      </c>
      <c r="D499" t="s">
        <v>20</v>
      </c>
      <c r="E499" t="s">
        <v>21</v>
      </c>
      <c r="F499" s="1">
        <v>44348</v>
      </c>
      <c r="G499">
        <v>5.3</v>
      </c>
      <c r="H499">
        <v>82.230800000000002</v>
      </c>
      <c r="I499">
        <v>7.61</v>
      </c>
      <c r="J499">
        <v>78.98</v>
      </c>
      <c r="K499" t="s">
        <v>48</v>
      </c>
      <c r="L499">
        <v>603.58000000000004</v>
      </c>
      <c r="M499">
        <f>VLOOKUP(K499,RatingLookup!$A$2:$C$8,2,FALSE)</f>
        <v>5.0000000000000001E-4</v>
      </c>
      <c r="N499">
        <f t="shared" si="21"/>
        <v>4.167621832917856E-5</v>
      </c>
      <c r="O499">
        <f>VLOOKUP(K499,RatingLookup!$A$2:$C$8,3,FALSE)</f>
        <v>0.25</v>
      </c>
      <c r="P499">
        <f t="shared" si="22"/>
        <v>6.2887329647813989E-3</v>
      </c>
      <c r="Q499" t="str">
        <f t="shared" ca="1" si="23"/>
        <v>No</v>
      </c>
    </row>
    <row r="500" spans="1:17" x14ac:dyDescent="0.45">
      <c r="A500" t="s">
        <v>46</v>
      </c>
      <c r="B500" t="s">
        <v>47</v>
      </c>
      <c r="C500" t="s">
        <v>29</v>
      </c>
      <c r="D500" t="s">
        <v>20</v>
      </c>
      <c r="E500" t="s">
        <v>21</v>
      </c>
      <c r="F500" s="1">
        <v>44378</v>
      </c>
      <c r="G500">
        <v>5.77</v>
      </c>
      <c r="H500">
        <v>85.412800000000004</v>
      </c>
      <c r="I500">
        <v>12.18</v>
      </c>
      <c r="J500">
        <v>68.180000000000007</v>
      </c>
      <c r="K500" t="s">
        <v>48</v>
      </c>
      <c r="L500">
        <v>605.51</v>
      </c>
      <c r="M500">
        <f>VLOOKUP(K500,RatingLookup!$A$2:$C$8,2,FALSE)</f>
        <v>5.0000000000000001E-4</v>
      </c>
      <c r="N500">
        <f t="shared" si="21"/>
        <v>4.167621832917856E-5</v>
      </c>
      <c r="O500">
        <f>VLOOKUP(K500,RatingLookup!$A$2:$C$8,3,FALSE)</f>
        <v>0.25</v>
      </c>
      <c r="P500">
        <f t="shared" si="22"/>
        <v>6.3088417401252275E-3</v>
      </c>
      <c r="Q500" t="str">
        <f t="shared" ca="1" si="23"/>
        <v>No</v>
      </c>
    </row>
    <row r="501" spans="1:17" x14ac:dyDescent="0.45">
      <c r="A501" t="s">
        <v>46</v>
      </c>
      <c r="B501" t="s">
        <v>47</v>
      </c>
      <c r="C501" t="s">
        <v>29</v>
      </c>
      <c r="D501" t="s">
        <v>20</v>
      </c>
      <c r="E501" t="s">
        <v>21</v>
      </c>
      <c r="F501" s="1">
        <v>44409</v>
      </c>
      <c r="G501">
        <v>5.21</v>
      </c>
      <c r="H501">
        <v>79.577600000000004</v>
      </c>
      <c r="I501">
        <v>6.27</v>
      </c>
      <c r="J501">
        <v>92.92</v>
      </c>
      <c r="K501" t="s">
        <v>48</v>
      </c>
      <c r="L501">
        <v>691.43</v>
      </c>
      <c r="M501">
        <f>VLOOKUP(K501,RatingLookup!$A$2:$C$8,2,FALSE)</f>
        <v>5.0000000000000001E-4</v>
      </c>
      <c r="N501">
        <f t="shared" si="21"/>
        <v>4.167621832917856E-5</v>
      </c>
      <c r="O501">
        <f>VLOOKUP(K501,RatingLookup!$A$2:$C$8,3,FALSE)</f>
        <v>0.25</v>
      </c>
      <c r="P501">
        <f t="shared" si="22"/>
        <v>7.2040469098359821E-3</v>
      </c>
      <c r="Q501" t="str">
        <f t="shared" ca="1" si="23"/>
        <v>No</v>
      </c>
    </row>
    <row r="502" spans="1:17" x14ac:dyDescent="0.45">
      <c r="A502" t="s">
        <v>46</v>
      </c>
      <c r="B502" t="s">
        <v>47</v>
      </c>
      <c r="C502" t="s">
        <v>29</v>
      </c>
      <c r="D502" t="s">
        <v>20</v>
      </c>
      <c r="E502" t="s">
        <v>21</v>
      </c>
      <c r="F502" s="1">
        <v>44440</v>
      </c>
      <c r="G502">
        <v>5.84</v>
      </c>
      <c r="H502">
        <v>80.373999999999995</v>
      </c>
      <c r="I502">
        <v>22.89</v>
      </c>
      <c r="J502">
        <v>86.49</v>
      </c>
      <c r="K502" t="s">
        <v>48</v>
      </c>
      <c r="L502">
        <v>628.59</v>
      </c>
      <c r="M502">
        <f>VLOOKUP(K502,RatingLookup!$A$2:$C$8,2,FALSE)</f>
        <v>5.0000000000000001E-4</v>
      </c>
      <c r="N502">
        <f t="shared" si="21"/>
        <v>4.167621832917856E-5</v>
      </c>
      <c r="O502">
        <f>VLOOKUP(K502,RatingLookup!$A$2:$C$8,3,FALSE)</f>
        <v>0.25</v>
      </c>
      <c r="P502">
        <f t="shared" si="22"/>
        <v>6.5493135198845878E-3</v>
      </c>
      <c r="Q502" t="str">
        <f t="shared" ca="1" si="23"/>
        <v>No</v>
      </c>
    </row>
    <row r="503" spans="1:17" x14ac:dyDescent="0.45">
      <c r="A503" t="s">
        <v>46</v>
      </c>
      <c r="B503" t="s">
        <v>47</v>
      </c>
      <c r="C503" t="s">
        <v>29</v>
      </c>
      <c r="D503" t="s">
        <v>20</v>
      </c>
      <c r="E503" t="s">
        <v>21</v>
      </c>
      <c r="F503" s="1">
        <v>44470</v>
      </c>
      <c r="G503">
        <v>5.52</v>
      </c>
      <c r="H503">
        <v>84.9161</v>
      </c>
      <c r="I503">
        <v>16.57</v>
      </c>
      <c r="J503">
        <v>65.97</v>
      </c>
      <c r="K503" t="s">
        <v>48</v>
      </c>
      <c r="L503">
        <v>605.54999999999995</v>
      </c>
      <c r="M503">
        <f>VLOOKUP(K503,RatingLookup!$A$2:$C$8,2,FALSE)</f>
        <v>5.0000000000000001E-4</v>
      </c>
      <c r="N503">
        <f t="shared" si="21"/>
        <v>4.167621832917856E-5</v>
      </c>
      <c r="O503">
        <f>VLOOKUP(K503,RatingLookup!$A$2:$C$8,3,FALSE)</f>
        <v>0.25</v>
      </c>
      <c r="P503">
        <f t="shared" si="22"/>
        <v>6.3092585023085184E-3</v>
      </c>
      <c r="Q503" t="str">
        <f t="shared" ca="1" si="23"/>
        <v>No</v>
      </c>
    </row>
    <row r="504" spans="1:17" x14ac:dyDescent="0.45">
      <c r="A504" t="s">
        <v>46</v>
      </c>
      <c r="B504" t="s">
        <v>47</v>
      </c>
      <c r="C504" t="s">
        <v>29</v>
      </c>
      <c r="D504" t="s">
        <v>20</v>
      </c>
      <c r="E504" t="s">
        <v>21</v>
      </c>
      <c r="F504" s="1">
        <v>44501</v>
      </c>
      <c r="G504">
        <v>6.56</v>
      </c>
      <c r="H504">
        <v>83.668000000000006</v>
      </c>
      <c r="I504">
        <v>24.83</v>
      </c>
      <c r="J504">
        <v>82.82</v>
      </c>
      <c r="K504" t="s">
        <v>48</v>
      </c>
      <c r="L504">
        <v>640.44000000000005</v>
      </c>
      <c r="M504">
        <f>VLOOKUP(K504,RatingLookup!$A$2:$C$8,2,FALSE)</f>
        <v>5.0000000000000001E-4</v>
      </c>
      <c r="N504">
        <f t="shared" si="21"/>
        <v>4.167621832917856E-5</v>
      </c>
      <c r="O504">
        <f>VLOOKUP(K504,RatingLookup!$A$2:$C$8,3,FALSE)</f>
        <v>0.25</v>
      </c>
      <c r="P504">
        <f t="shared" si="22"/>
        <v>6.6727793166847802E-3</v>
      </c>
      <c r="Q504" t="str">
        <f t="shared" ca="1" si="23"/>
        <v>No</v>
      </c>
    </row>
    <row r="505" spans="1:17" x14ac:dyDescent="0.45">
      <c r="A505" t="s">
        <v>46</v>
      </c>
      <c r="B505" t="s">
        <v>47</v>
      </c>
      <c r="C505" t="s">
        <v>29</v>
      </c>
      <c r="D505" t="s">
        <v>20</v>
      </c>
      <c r="E505" t="s">
        <v>21</v>
      </c>
      <c r="F505" s="1">
        <v>44531</v>
      </c>
      <c r="G505">
        <v>5.54</v>
      </c>
      <c r="H505">
        <v>81.466200000000001</v>
      </c>
      <c r="I505">
        <v>16.57</v>
      </c>
      <c r="J505">
        <v>63.22</v>
      </c>
      <c r="K505" t="s">
        <v>48</v>
      </c>
      <c r="L505">
        <v>674.95</v>
      </c>
      <c r="M505">
        <f>VLOOKUP(K505,RatingLookup!$A$2:$C$8,2,FALSE)</f>
        <v>5.0000000000000001E-4</v>
      </c>
      <c r="N505">
        <f t="shared" si="21"/>
        <v>4.167621832917856E-5</v>
      </c>
      <c r="O505">
        <f>VLOOKUP(K505,RatingLookup!$A$2:$C$8,3,FALSE)</f>
        <v>0.25</v>
      </c>
      <c r="P505">
        <f t="shared" si="22"/>
        <v>7.0323408903197682E-3</v>
      </c>
      <c r="Q505" t="str">
        <f t="shared" ca="1" si="23"/>
        <v>No</v>
      </c>
    </row>
    <row r="506" spans="1:17" x14ac:dyDescent="0.45">
      <c r="A506" t="s">
        <v>46</v>
      </c>
      <c r="B506" t="s">
        <v>47</v>
      </c>
      <c r="C506" t="s">
        <v>29</v>
      </c>
      <c r="D506" t="s">
        <v>20</v>
      </c>
      <c r="E506" t="s">
        <v>21</v>
      </c>
      <c r="F506" s="1">
        <v>44562</v>
      </c>
      <c r="G506">
        <v>4.41</v>
      </c>
      <c r="H506">
        <v>79.833500000000001</v>
      </c>
      <c r="I506">
        <v>30.55</v>
      </c>
      <c r="J506">
        <v>78.760000000000005</v>
      </c>
      <c r="K506" t="s">
        <v>48</v>
      </c>
      <c r="L506">
        <v>646.05999999999995</v>
      </c>
      <c r="M506">
        <f>VLOOKUP(K506,RatingLookup!$A$2:$C$8,2,FALSE)</f>
        <v>5.0000000000000001E-4</v>
      </c>
      <c r="N506">
        <f t="shared" si="21"/>
        <v>4.167621832917856E-5</v>
      </c>
      <c r="O506">
        <f>VLOOKUP(K506,RatingLookup!$A$2:$C$8,3,FALSE)</f>
        <v>0.25</v>
      </c>
      <c r="P506">
        <f t="shared" si="22"/>
        <v>6.7313344034372743E-3</v>
      </c>
      <c r="Q506" t="str">
        <f t="shared" ca="1" si="23"/>
        <v>No</v>
      </c>
    </row>
    <row r="507" spans="1:17" x14ac:dyDescent="0.45">
      <c r="A507" t="s">
        <v>46</v>
      </c>
      <c r="B507" t="s">
        <v>47</v>
      </c>
      <c r="C507" t="s">
        <v>29</v>
      </c>
      <c r="D507" t="s">
        <v>20</v>
      </c>
      <c r="E507" t="s">
        <v>21</v>
      </c>
      <c r="F507" s="1">
        <v>44593</v>
      </c>
      <c r="G507">
        <v>5.88</v>
      </c>
      <c r="H507">
        <v>78.649199999999993</v>
      </c>
      <c r="I507">
        <v>10.14</v>
      </c>
      <c r="J507">
        <v>73.05</v>
      </c>
      <c r="K507" t="s">
        <v>48</v>
      </c>
      <c r="L507">
        <v>612.95000000000005</v>
      </c>
      <c r="M507">
        <f>VLOOKUP(K507,RatingLookup!$A$2:$C$8,2,FALSE)</f>
        <v>5.0000000000000001E-4</v>
      </c>
      <c r="N507">
        <f t="shared" si="21"/>
        <v>4.167621832917856E-5</v>
      </c>
      <c r="O507">
        <f>VLOOKUP(K507,RatingLookup!$A$2:$C$8,3,FALSE)</f>
        <v>0.25</v>
      </c>
      <c r="P507">
        <f t="shared" si="22"/>
        <v>6.3863595062175005E-3</v>
      </c>
      <c r="Q507" t="str">
        <f t="shared" ca="1" si="23"/>
        <v>No</v>
      </c>
    </row>
    <row r="508" spans="1:17" x14ac:dyDescent="0.45">
      <c r="A508" t="s">
        <v>46</v>
      </c>
      <c r="B508" t="s">
        <v>47</v>
      </c>
      <c r="C508" t="s">
        <v>29</v>
      </c>
      <c r="D508" t="s">
        <v>20</v>
      </c>
      <c r="E508" t="s">
        <v>21</v>
      </c>
      <c r="F508" s="1">
        <v>44621</v>
      </c>
      <c r="G508">
        <v>5.46</v>
      </c>
      <c r="H508">
        <v>83.733900000000006</v>
      </c>
      <c r="I508">
        <v>26.85</v>
      </c>
      <c r="J508">
        <v>85.71</v>
      </c>
      <c r="K508" t="s">
        <v>48</v>
      </c>
      <c r="L508">
        <v>611.04999999999995</v>
      </c>
      <c r="M508">
        <f>VLOOKUP(K508,RatingLookup!$A$2:$C$8,2,FALSE)</f>
        <v>5.0000000000000001E-4</v>
      </c>
      <c r="N508">
        <f t="shared" si="21"/>
        <v>4.167621832917856E-5</v>
      </c>
      <c r="O508">
        <f>VLOOKUP(K508,RatingLookup!$A$2:$C$8,3,FALSE)</f>
        <v>0.25</v>
      </c>
      <c r="P508">
        <f t="shared" si="22"/>
        <v>6.366563302511139E-3</v>
      </c>
      <c r="Q508" t="str">
        <f t="shared" ca="1" si="23"/>
        <v>No</v>
      </c>
    </row>
    <row r="509" spans="1:17" x14ac:dyDescent="0.45">
      <c r="A509" t="s">
        <v>46</v>
      </c>
      <c r="B509" t="s">
        <v>47</v>
      </c>
      <c r="C509" t="s">
        <v>29</v>
      </c>
      <c r="D509" t="s">
        <v>20</v>
      </c>
      <c r="E509" t="s">
        <v>21</v>
      </c>
      <c r="F509" s="1">
        <v>44652</v>
      </c>
      <c r="G509">
        <v>5.28</v>
      </c>
      <c r="H509">
        <v>79.429599999999994</v>
      </c>
      <c r="I509">
        <v>28.53</v>
      </c>
      <c r="J509">
        <v>77.81</v>
      </c>
      <c r="K509" t="s">
        <v>48</v>
      </c>
      <c r="L509">
        <v>635.95000000000005</v>
      </c>
      <c r="M509">
        <f>VLOOKUP(K509,RatingLookup!$A$2:$C$8,2,FALSE)</f>
        <v>5.0000000000000001E-4</v>
      </c>
      <c r="N509">
        <f t="shared" si="21"/>
        <v>4.167621832917856E-5</v>
      </c>
      <c r="O509">
        <f>VLOOKUP(K509,RatingLookup!$A$2:$C$8,3,FALSE)</f>
        <v>0.25</v>
      </c>
      <c r="P509">
        <f t="shared" si="22"/>
        <v>6.6259977616102772E-3</v>
      </c>
      <c r="Q509" t="str">
        <f t="shared" ca="1" si="23"/>
        <v>No</v>
      </c>
    </row>
    <row r="510" spans="1:17" x14ac:dyDescent="0.45">
      <c r="A510" t="s">
        <v>46</v>
      </c>
      <c r="B510" t="s">
        <v>47</v>
      </c>
      <c r="C510" t="s">
        <v>29</v>
      </c>
      <c r="D510" t="s">
        <v>20</v>
      </c>
      <c r="E510" t="s">
        <v>21</v>
      </c>
      <c r="F510" s="1">
        <v>44682</v>
      </c>
      <c r="G510">
        <v>5.79</v>
      </c>
      <c r="H510">
        <v>83.894400000000005</v>
      </c>
      <c r="I510">
        <v>25.27</v>
      </c>
      <c r="J510">
        <v>70.36</v>
      </c>
      <c r="K510" t="s">
        <v>48</v>
      </c>
      <c r="L510">
        <v>657.15</v>
      </c>
      <c r="M510">
        <f>VLOOKUP(K510,RatingLookup!$A$2:$C$8,2,FALSE)</f>
        <v>5.0000000000000001E-4</v>
      </c>
      <c r="N510">
        <f t="shared" si="21"/>
        <v>4.167621832917856E-5</v>
      </c>
      <c r="O510">
        <f>VLOOKUP(K510,RatingLookup!$A$2:$C$8,3,FALSE)</f>
        <v>0.25</v>
      </c>
      <c r="P510">
        <f t="shared" si="22"/>
        <v>6.8468817187549227E-3</v>
      </c>
      <c r="Q510" t="str">
        <f t="shared" ca="1" si="23"/>
        <v>No</v>
      </c>
    </row>
    <row r="511" spans="1:17" x14ac:dyDescent="0.45">
      <c r="A511" t="s">
        <v>46</v>
      </c>
      <c r="B511" t="s">
        <v>47</v>
      </c>
      <c r="C511" t="s">
        <v>29</v>
      </c>
      <c r="D511" t="s">
        <v>20</v>
      </c>
      <c r="E511" t="s">
        <v>21</v>
      </c>
      <c r="F511" s="1">
        <v>44713</v>
      </c>
      <c r="G511">
        <v>4.95</v>
      </c>
      <c r="H511">
        <v>82.966200000000001</v>
      </c>
      <c r="I511">
        <v>19.239999999999998</v>
      </c>
      <c r="J511">
        <v>85.92</v>
      </c>
      <c r="K511" t="s">
        <v>48</v>
      </c>
      <c r="L511">
        <v>626.01</v>
      </c>
      <c r="M511">
        <f>VLOOKUP(K511,RatingLookup!$A$2:$C$8,2,FALSE)</f>
        <v>5.0000000000000001E-4</v>
      </c>
      <c r="N511">
        <f t="shared" si="21"/>
        <v>4.167621832917856E-5</v>
      </c>
      <c r="O511">
        <f>VLOOKUP(K511,RatingLookup!$A$2:$C$8,3,FALSE)</f>
        <v>0.25</v>
      </c>
      <c r="P511">
        <f t="shared" si="22"/>
        <v>6.5224323590622676E-3</v>
      </c>
      <c r="Q511" t="str">
        <f t="shared" ca="1" si="23"/>
        <v>No</v>
      </c>
    </row>
    <row r="512" spans="1:17" x14ac:dyDescent="0.45">
      <c r="A512" t="s">
        <v>46</v>
      </c>
      <c r="B512" t="s">
        <v>47</v>
      </c>
      <c r="C512" t="s">
        <v>29</v>
      </c>
      <c r="D512" t="s">
        <v>20</v>
      </c>
      <c r="E512" t="s">
        <v>21</v>
      </c>
      <c r="F512" s="1">
        <v>44743</v>
      </c>
      <c r="G512">
        <v>7.25</v>
      </c>
      <c r="H512">
        <v>80.317800000000005</v>
      </c>
      <c r="I512">
        <v>14.4</v>
      </c>
      <c r="J512">
        <v>86.83</v>
      </c>
      <c r="K512" t="s">
        <v>48</v>
      </c>
      <c r="L512">
        <v>632.17999999999995</v>
      </c>
      <c r="M512">
        <f>VLOOKUP(K512,RatingLookup!$A$2:$C$8,2,FALSE)</f>
        <v>5.0000000000000001E-4</v>
      </c>
      <c r="N512">
        <f t="shared" si="21"/>
        <v>4.167621832917856E-5</v>
      </c>
      <c r="O512">
        <f>VLOOKUP(K512,RatingLookup!$A$2:$C$8,3,FALSE)</f>
        <v>0.25</v>
      </c>
      <c r="P512">
        <f t="shared" si="22"/>
        <v>6.5867179258350247E-3</v>
      </c>
      <c r="Q512" t="str">
        <f t="shared" ca="1" si="23"/>
        <v>No</v>
      </c>
    </row>
    <row r="513" spans="1:17" x14ac:dyDescent="0.45">
      <c r="A513" t="s">
        <v>46</v>
      </c>
      <c r="B513" t="s">
        <v>47</v>
      </c>
      <c r="C513" t="s">
        <v>29</v>
      </c>
      <c r="D513" t="s">
        <v>20</v>
      </c>
      <c r="E513" t="s">
        <v>21</v>
      </c>
      <c r="F513" s="1">
        <v>44774</v>
      </c>
      <c r="G513">
        <v>6.03</v>
      </c>
      <c r="H513">
        <v>80.738100000000003</v>
      </c>
      <c r="I513">
        <v>13.89</v>
      </c>
      <c r="J513">
        <v>74.180000000000007</v>
      </c>
      <c r="K513" t="s">
        <v>48</v>
      </c>
      <c r="L513">
        <v>641.22</v>
      </c>
      <c r="M513">
        <f>VLOOKUP(K513,RatingLookup!$A$2:$C$8,2,FALSE)</f>
        <v>5.0000000000000001E-4</v>
      </c>
      <c r="N513">
        <f t="shared" si="21"/>
        <v>4.167621832917856E-5</v>
      </c>
      <c r="O513">
        <f>VLOOKUP(K513,RatingLookup!$A$2:$C$8,3,FALSE)</f>
        <v>0.25</v>
      </c>
      <c r="P513">
        <f t="shared" si="22"/>
        <v>6.6809061792589691E-3</v>
      </c>
      <c r="Q513" t="str">
        <f t="shared" ca="1" si="23"/>
        <v>No</v>
      </c>
    </row>
    <row r="514" spans="1:17" x14ac:dyDescent="0.45">
      <c r="A514" t="s">
        <v>46</v>
      </c>
      <c r="B514" t="s">
        <v>47</v>
      </c>
      <c r="C514" t="s">
        <v>29</v>
      </c>
      <c r="D514" t="s">
        <v>20</v>
      </c>
      <c r="E514" t="s">
        <v>21</v>
      </c>
      <c r="F514" s="1">
        <v>44805</v>
      </c>
      <c r="G514">
        <v>5</v>
      </c>
      <c r="H514">
        <v>82.366900000000001</v>
      </c>
      <c r="I514">
        <v>12.08</v>
      </c>
      <c r="J514">
        <v>85.76</v>
      </c>
      <c r="K514" t="s">
        <v>48</v>
      </c>
      <c r="L514">
        <v>679.18</v>
      </c>
      <c r="M514">
        <f>VLOOKUP(K514,RatingLookup!$A$2:$C$8,2,FALSE)</f>
        <v>5.0000000000000001E-4</v>
      </c>
      <c r="N514">
        <f t="shared" ref="N514:N577" si="24">1-(1-M514)^(1/12)</f>
        <v>4.167621832917856E-5</v>
      </c>
      <c r="O514">
        <f>VLOOKUP(K514,RatingLookup!$A$2:$C$8,3,FALSE)</f>
        <v>0.25</v>
      </c>
      <c r="P514">
        <f t="shared" ref="P514:P577" si="25">L514*N514*O514</f>
        <v>7.0764134912028728E-3</v>
      </c>
      <c r="Q514" t="str">
        <f t="shared" ref="Q514:Q577" ca="1" si="26">IF(RAND()&lt;N514,"Yes","No")</f>
        <v>No</v>
      </c>
    </row>
    <row r="515" spans="1:17" x14ac:dyDescent="0.45">
      <c r="A515" t="s">
        <v>46</v>
      </c>
      <c r="B515" t="s">
        <v>47</v>
      </c>
      <c r="C515" t="s">
        <v>29</v>
      </c>
      <c r="D515" t="s">
        <v>20</v>
      </c>
      <c r="E515" t="s">
        <v>21</v>
      </c>
      <c r="F515" s="1">
        <v>44835</v>
      </c>
      <c r="G515">
        <v>5.08</v>
      </c>
      <c r="H515">
        <v>83.236099999999993</v>
      </c>
      <c r="I515">
        <v>14.72</v>
      </c>
      <c r="J515">
        <v>93.04</v>
      </c>
      <c r="K515" t="s">
        <v>23</v>
      </c>
      <c r="L515">
        <v>693.34</v>
      </c>
      <c r="M515">
        <f>VLOOKUP(K515,RatingLookup!$A$2:$C$8,2,FALSE)</f>
        <v>1E-3</v>
      </c>
      <c r="N515">
        <f t="shared" si="24"/>
        <v>8.3371552197619714E-5</v>
      </c>
      <c r="O515">
        <f>VLOOKUP(K515,RatingLookup!$A$2:$C$8,3,FALSE)</f>
        <v>0.3</v>
      </c>
      <c r="P515">
        <f t="shared" si="25"/>
        <v>1.7341449600209297E-2</v>
      </c>
      <c r="Q515" t="str">
        <f t="shared" ca="1" si="26"/>
        <v>No</v>
      </c>
    </row>
    <row r="516" spans="1:17" x14ac:dyDescent="0.45">
      <c r="A516" t="s">
        <v>46</v>
      </c>
      <c r="B516" t="s">
        <v>47</v>
      </c>
      <c r="C516" t="s">
        <v>29</v>
      </c>
      <c r="D516" t="s">
        <v>20</v>
      </c>
      <c r="E516" t="s">
        <v>21</v>
      </c>
      <c r="F516" s="1">
        <v>44866</v>
      </c>
      <c r="G516">
        <v>5.82</v>
      </c>
      <c r="H516">
        <v>85.125900000000001</v>
      </c>
      <c r="I516">
        <v>11.34</v>
      </c>
      <c r="J516">
        <v>95.35</v>
      </c>
      <c r="K516" t="s">
        <v>23</v>
      </c>
      <c r="L516">
        <v>595.5</v>
      </c>
      <c r="M516">
        <f>VLOOKUP(K516,RatingLookup!$A$2:$C$8,2,FALSE)</f>
        <v>1E-3</v>
      </c>
      <c r="N516">
        <f t="shared" si="24"/>
        <v>8.3371552197619714E-5</v>
      </c>
      <c r="O516">
        <f>VLOOKUP(K516,RatingLookup!$A$2:$C$8,3,FALSE)</f>
        <v>0.3</v>
      </c>
      <c r="P516">
        <f t="shared" si="25"/>
        <v>1.4894327800104761E-2</v>
      </c>
      <c r="Q516" t="str">
        <f t="shared" ca="1" si="26"/>
        <v>No</v>
      </c>
    </row>
    <row r="517" spans="1:17" x14ac:dyDescent="0.45">
      <c r="A517" t="s">
        <v>46</v>
      </c>
      <c r="B517" t="s">
        <v>47</v>
      </c>
      <c r="C517" t="s">
        <v>29</v>
      </c>
      <c r="D517" t="s">
        <v>20</v>
      </c>
      <c r="E517" t="s">
        <v>21</v>
      </c>
      <c r="F517" s="1">
        <v>44896</v>
      </c>
      <c r="G517">
        <v>5.92</v>
      </c>
      <c r="H517">
        <v>82.323800000000006</v>
      </c>
      <c r="I517">
        <v>22.71</v>
      </c>
      <c r="J517">
        <v>97.02</v>
      </c>
      <c r="K517" t="s">
        <v>23</v>
      </c>
      <c r="L517">
        <v>641.46</v>
      </c>
      <c r="M517">
        <f>VLOOKUP(K517,RatingLookup!$A$2:$C$8,2,FALSE)</f>
        <v>1E-3</v>
      </c>
      <c r="N517">
        <f t="shared" si="24"/>
        <v>8.3371552197619714E-5</v>
      </c>
      <c r="O517">
        <f>VLOOKUP(K517,RatingLookup!$A$2:$C$8,3,FALSE)</f>
        <v>0.3</v>
      </c>
      <c r="P517">
        <f t="shared" si="25"/>
        <v>1.6043854761805542E-2</v>
      </c>
      <c r="Q517" t="str">
        <f t="shared" ca="1" si="26"/>
        <v>No</v>
      </c>
    </row>
    <row r="518" spans="1:17" x14ac:dyDescent="0.45">
      <c r="A518" t="s">
        <v>46</v>
      </c>
      <c r="B518" t="s">
        <v>47</v>
      </c>
      <c r="C518" t="s">
        <v>29</v>
      </c>
      <c r="D518" t="s">
        <v>20</v>
      </c>
      <c r="E518" t="s">
        <v>21</v>
      </c>
      <c r="F518" s="1">
        <v>44927</v>
      </c>
      <c r="G518">
        <v>5.03</v>
      </c>
      <c r="H518">
        <v>81.660600000000002</v>
      </c>
      <c r="I518">
        <v>9.4</v>
      </c>
      <c r="J518">
        <v>87.58</v>
      </c>
      <c r="K518" t="s">
        <v>23</v>
      </c>
      <c r="L518">
        <v>634.92999999999995</v>
      </c>
      <c r="M518">
        <f>VLOOKUP(K518,RatingLookup!$A$2:$C$8,2,FALSE)</f>
        <v>1E-3</v>
      </c>
      <c r="N518">
        <f t="shared" si="24"/>
        <v>8.3371552197619714E-5</v>
      </c>
      <c r="O518">
        <f>VLOOKUP(K518,RatingLookup!$A$2:$C$8,3,FALSE)</f>
        <v>0.3</v>
      </c>
      <c r="P518">
        <f t="shared" si="25"/>
        <v>1.5880529891050404E-2</v>
      </c>
      <c r="Q518" t="str">
        <f t="shared" ca="1" si="26"/>
        <v>No</v>
      </c>
    </row>
    <row r="519" spans="1:17" x14ac:dyDescent="0.45">
      <c r="A519" t="s">
        <v>46</v>
      </c>
      <c r="B519" t="s">
        <v>47</v>
      </c>
      <c r="C519" t="s">
        <v>29</v>
      </c>
      <c r="D519" t="s">
        <v>20</v>
      </c>
      <c r="E519" t="s">
        <v>21</v>
      </c>
      <c r="F519" s="1">
        <v>44958</v>
      </c>
      <c r="G519">
        <v>5.37</v>
      </c>
      <c r="H519">
        <v>84.637699999999995</v>
      </c>
      <c r="I519">
        <v>12.51</v>
      </c>
      <c r="J519">
        <v>88.29</v>
      </c>
      <c r="K519" t="s">
        <v>23</v>
      </c>
      <c r="L519">
        <v>663.64</v>
      </c>
      <c r="M519">
        <f>VLOOKUP(K519,RatingLookup!$A$2:$C$8,2,FALSE)</f>
        <v>1E-3</v>
      </c>
      <c r="N519">
        <f t="shared" si="24"/>
        <v>8.3371552197619714E-5</v>
      </c>
      <c r="O519">
        <f>VLOOKUP(K519,RatingLookup!$A$2:$C$8,3,FALSE)</f>
        <v>0.3</v>
      </c>
      <c r="P519">
        <f t="shared" si="25"/>
        <v>1.6598609070128504E-2</v>
      </c>
      <c r="Q519" t="str">
        <f t="shared" ca="1" si="26"/>
        <v>No</v>
      </c>
    </row>
    <row r="520" spans="1:17" x14ac:dyDescent="0.45">
      <c r="A520" t="s">
        <v>46</v>
      </c>
      <c r="B520" t="s">
        <v>47</v>
      </c>
      <c r="C520" t="s">
        <v>29</v>
      </c>
      <c r="D520" t="s">
        <v>20</v>
      </c>
      <c r="E520" t="s">
        <v>21</v>
      </c>
      <c r="F520" s="1">
        <v>44986</v>
      </c>
      <c r="G520">
        <v>5.61</v>
      </c>
      <c r="H520">
        <v>78.5745</v>
      </c>
      <c r="I520">
        <v>16.54</v>
      </c>
      <c r="J520">
        <v>75.150000000000006</v>
      </c>
      <c r="K520" t="s">
        <v>22</v>
      </c>
      <c r="L520">
        <v>636.85</v>
      </c>
      <c r="M520">
        <f>VLOOKUP(K520,RatingLookup!$A$2:$C$8,2,FALSE)</f>
        <v>5.0000000000000001E-3</v>
      </c>
      <c r="N520">
        <f t="shared" si="24"/>
        <v>4.1762458919303302E-4</v>
      </c>
      <c r="O520">
        <f>VLOOKUP(K520,RatingLookup!$A$2:$C$8,3,FALSE)</f>
        <v>0.45</v>
      </c>
      <c r="P520">
        <f t="shared" si="25"/>
        <v>0.1196838988324124</v>
      </c>
      <c r="Q520" t="str">
        <f t="shared" ca="1" si="26"/>
        <v>No</v>
      </c>
    </row>
    <row r="521" spans="1:17" x14ac:dyDescent="0.45">
      <c r="A521" t="s">
        <v>46</v>
      </c>
      <c r="B521" t="s">
        <v>47</v>
      </c>
      <c r="C521" t="s">
        <v>29</v>
      </c>
      <c r="D521" t="s">
        <v>20</v>
      </c>
      <c r="E521" t="s">
        <v>21</v>
      </c>
      <c r="F521" s="1">
        <v>45017</v>
      </c>
      <c r="G521">
        <v>5.48</v>
      </c>
      <c r="H521">
        <v>82.4024</v>
      </c>
      <c r="I521">
        <v>14.95</v>
      </c>
      <c r="J521">
        <v>52.71</v>
      </c>
      <c r="K521" t="s">
        <v>22</v>
      </c>
      <c r="L521">
        <v>610.11</v>
      </c>
      <c r="M521">
        <f>VLOOKUP(K521,RatingLookup!$A$2:$C$8,2,FALSE)</f>
        <v>5.0000000000000001E-3</v>
      </c>
      <c r="N521">
        <f t="shared" si="24"/>
        <v>4.1762458919303302E-4</v>
      </c>
      <c r="O521">
        <f>VLOOKUP(K521,RatingLookup!$A$2:$C$8,3,FALSE)</f>
        <v>0.45</v>
      </c>
      <c r="P521">
        <f t="shared" si="25"/>
        <v>0.11465862215065262</v>
      </c>
      <c r="Q521" t="str">
        <f t="shared" ca="1" si="26"/>
        <v>No</v>
      </c>
    </row>
    <row r="522" spans="1:17" x14ac:dyDescent="0.45">
      <c r="A522" t="s">
        <v>46</v>
      </c>
      <c r="B522" t="s">
        <v>47</v>
      </c>
      <c r="C522" t="s">
        <v>29</v>
      </c>
      <c r="D522" t="s">
        <v>20</v>
      </c>
      <c r="E522" t="s">
        <v>21</v>
      </c>
      <c r="F522" s="1">
        <v>45047</v>
      </c>
      <c r="G522">
        <v>4.04</v>
      </c>
      <c r="H522">
        <v>80.623999999999995</v>
      </c>
      <c r="I522">
        <v>21.39</v>
      </c>
      <c r="J522">
        <v>87.78</v>
      </c>
      <c r="K522" t="s">
        <v>22</v>
      </c>
      <c r="L522">
        <v>641.55999999999995</v>
      </c>
      <c r="M522">
        <f>VLOOKUP(K522,RatingLookup!$A$2:$C$8,2,FALSE)</f>
        <v>5.0000000000000001E-3</v>
      </c>
      <c r="N522">
        <f t="shared" si="24"/>
        <v>4.1762458919303302E-4</v>
      </c>
      <c r="O522">
        <f>VLOOKUP(K522,RatingLookup!$A$2:$C$8,3,FALSE)</f>
        <v>0.45</v>
      </c>
      <c r="P522">
        <f t="shared" si="25"/>
        <v>0.12056905414920703</v>
      </c>
      <c r="Q522" t="str">
        <f t="shared" ca="1" si="26"/>
        <v>No</v>
      </c>
    </row>
    <row r="523" spans="1:17" x14ac:dyDescent="0.45">
      <c r="A523" t="s">
        <v>46</v>
      </c>
      <c r="B523" t="s">
        <v>47</v>
      </c>
      <c r="C523" t="s">
        <v>29</v>
      </c>
      <c r="D523" t="s">
        <v>20</v>
      </c>
      <c r="E523" t="s">
        <v>21</v>
      </c>
      <c r="F523" s="1">
        <v>45078</v>
      </c>
      <c r="G523">
        <v>5.09</v>
      </c>
      <c r="H523">
        <v>80.7209</v>
      </c>
      <c r="I523">
        <v>25.41</v>
      </c>
      <c r="J523">
        <v>74.37</v>
      </c>
      <c r="K523" t="s">
        <v>22</v>
      </c>
      <c r="L523">
        <v>678.82</v>
      </c>
      <c r="M523">
        <f>VLOOKUP(K523,RatingLookup!$A$2:$C$8,2,FALSE)</f>
        <v>5.0000000000000001E-3</v>
      </c>
      <c r="N523">
        <f t="shared" si="24"/>
        <v>4.1762458919303302E-4</v>
      </c>
      <c r="O523">
        <f>VLOOKUP(K523,RatingLookup!$A$2:$C$8,3,FALSE)</f>
        <v>0.45</v>
      </c>
      <c r="P523">
        <f t="shared" si="25"/>
        <v>0.12757136563620664</v>
      </c>
      <c r="Q523" t="str">
        <f t="shared" ca="1" si="26"/>
        <v>No</v>
      </c>
    </row>
    <row r="524" spans="1:17" x14ac:dyDescent="0.45">
      <c r="A524" t="s">
        <v>46</v>
      </c>
      <c r="B524" t="s">
        <v>47</v>
      </c>
      <c r="C524" t="s">
        <v>29</v>
      </c>
      <c r="D524" t="s">
        <v>20</v>
      </c>
      <c r="E524" t="s">
        <v>21</v>
      </c>
      <c r="F524" s="1">
        <v>45108</v>
      </c>
      <c r="G524">
        <v>5.0199999999999996</v>
      </c>
      <c r="H524">
        <v>89.460400000000007</v>
      </c>
      <c r="I524">
        <v>23.01</v>
      </c>
      <c r="J524">
        <v>108.04</v>
      </c>
      <c r="K524" t="s">
        <v>22</v>
      </c>
      <c r="L524">
        <v>684.79</v>
      </c>
      <c r="M524">
        <f>VLOOKUP(K524,RatingLookup!$A$2:$C$8,2,FALSE)</f>
        <v>5.0000000000000001E-3</v>
      </c>
      <c r="N524">
        <f t="shared" si="24"/>
        <v>4.1762458919303302E-4</v>
      </c>
      <c r="O524">
        <f>VLOOKUP(K524,RatingLookup!$A$2:$C$8,3,FALSE)</f>
        <v>0.45</v>
      </c>
      <c r="P524">
        <f t="shared" si="25"/>
        <v>0.1286933140950737</v>
      </c>
      <c r="Q524" t="str">
        <f t="shared" ca="1" si="26"/>
        <v>No</v>
      </c>
    </row>
    <row r="525" spans="1:17" x14ac:dyDescent="0.45">
      <c r="A525" t="s">
        <v>46</v>
      </c>
      <c r="B525" t="s">
        <v>47</v>
      </c>
      <c r="C525" t="s">
        <v>29</v>
      </c>
      <c r="D525" t="s">
        <v>20</v>
      </c>
      <c r="E525" t="s">
        <v>21</v>
      </c>
      <c r="F525" s="1">
        <v>45139</v>
      </c>
      <c r="G525">
        <v>5.16</v>
      </c>
      <c r="H525">
        <v>83.793300000000002</v>
      </c>
      <c r="I525">
        <v>22.64</v>
      </c>
      <c r="J525">
        <v>86.92</v>
      </c>
      <c r="K525" t="s">
        <v>22</v>
      </c>
      <c r="L525">
        <v>626.07000000000005</v>
      </c>
      <c r="M525">
        <f>VLOOKUP(K525,RatingLookup!$A$2:$C$8,2,FALSE)</f>
        <v>5.0000000000000001E-3</v>
      </c>
      <c r="N525">
        <f t="shared" si="24"/>
        <v>4.1762458919303302E-4</v>
      </c>
      <c r="O525">
        <f>VLOOKUP(K525,RatingLookup!$A$2:$C$8,3,FALSE)</f>
        <v>0.45</v>
      </c>
      <c r="P525">
        <f t="shared" si="25"/>
        <v>0.117658001950237</v>
      </c>
      <c r="Q525" t="str">
        <f t="shared" ca="1" si="26"/>
        <v>No</v>
      </c>
    </row>
    <row r="526" spans="1:17" x14ac:dyDescent="0.45">
      <c r="A526" t="s">
        <v>46</v>
      </c>
      <c r="B526" t="s">
        <v>47</v>
      </c>
      <c r="C526" t="s">
        <v>29</v>
      </c>
      <c r="D526" t="s">
        <v>20</v>
      </c>
      <c r="E526" t="s">
        <v>21</v>
      </c>
      <c r="F526" s="1">
        <v>45170</v>
      </c>
      <c r="G526">
        <v>5.58</v>
      </c>
      <c r="H526">
        <v>82.322100000000006</v>
      </c>
      <c r="I526">
        <v>13.03</v>
      </c>
      <c r="J526">
        <v>87.15</v>
      </c>
      <c r="K526" t="s">
        <v>22</v>
      </c>
      <c r="L526">
        <v>668.27</v>
      </c>
      <c r="M526">
        <f>VLOOKUP(K526,RatingLookup!$A$2:$C$8,2,FALSE)</f>
        <v>5.0000000000000001E-3</v>
      </c>
      <c r="N526">
        <f t="shared" si="24"/>
        <v>4.1762458919303302E-4</v>
      </c>
      <c r="O526">
        <f>VLOOKUP(K526,RatingLookup!$A$2:$C$8,3,FALSE)</f>
        <v>0.45</v>
      </c>
      <c r="P526">
        <f t="shared" si="25"/>
        <v>0.12558869289901267</v>
      </c>
      <c r="Q526" t="str">
        <f t="shared" ca="1" si="26"/>
        <v>No</v>
      </c>
    </row>
    <row r="527" spans="1:17" x14ac:dyDescent="0.45">
      <c r="A527" t="s">
        <v>46</v>
      </c>
      <c r="B527" t="s">
        <v>47</v>
      </c>
      <c r="C527" t="s">
        <v>29</v>
      </c>
      <c r="D527" t="s">
        <v>20</v>
      </c>
      <c r="E527" t="s">
        <v>21</v>
      </c>
      <c r="F527" s="1">
        <v>45200</v>
      </c>
      <c r="G527">
        <v>5.6</v>
      </c>
      <c r="H527">
        <v>80.796700000000001</v>
      </c>
      <c r="I527">
        <v>24.5</v>
      </c>
      <c r="J527">
        <v>72.47</v>
      </c>
      <c r="K527" t="s">
        <v>22</v>
      </c>
      <c r="L527">
        <v>666.76</v>
      </c>
      <c r="M527">
        <f>VLOOKUP(K527,RatingLookup!$A$2:$C$8,2,FALSE)</f>
        <v>5.0000000000000001E-3</v>
      </c>
      <c r="N527">
        <f t="shared" si="24"/>
        <v>4.1762458919303302E-4</v>
      </c>
      <c r="O527">
        <f>VLOOKUP(K527,RatingLookup!$A$2:$C$8,3,FALSE)</f>
        <v>0.45</v>
      </c>
      <c r="P527">
        <f t="shared" si="25"/>
        <v>0.12530491699065602</v>
      </c>
      <c r="Q527" t="str">
        <f t="shared" ca="1" si="26"/>
        <v>No</v>
      </c>
    </row>
    <row r="528" spans="1:17" x14ac:dyDescent="0.45">
      <c r="A528" t="s">
        <v>46</v>
      </c>
      <c r="B528" t="s">
        <v>47</v>
      </c>
      <c r="C528" t="s">
        <v>29</v>
      </c>
      <c r="D528" t="s">
        <v>20</v>
      </c>
      <c r="E528" t="s">
        <v>21</v>
      </c>
      <c r="F528" s="1">
        <v>45231</v>
      </c>
      <c r="G528">
        <v>6.08</v>
      </c>
      <c r="H528">
        <v>84.341800000000006</v>
      </c>
      <c r="I528">
        <v>20.79</v>
      </c>
      <c r="J528">
        <v>83.9</v>
      </c>
      <c r="K528" t="s">
        <v>22</v>
      </c>
      <c r="L528">
        <v>657.61</v>
      </c>
      <c r="M528">
        <f>VLOOKUP(K528,RatingLookup!$A$2:$C$8,2,FALSE)</f>
        <v>5.0000000000000001E-3</v>
      </c>
      <c r="N528">
        <f t="shared" si="24"/>
        <v>4.1762458919303302E-4</v>
      </c>
      <c r="O528">
        <f>VLOOKUP(K528,RatingLookup!$A$2:$C$8,3,FALSE)</f>
        <v>0.45</v>
      </c>
      <c r="P528">
        <f t="shared" si="25"/>
        <v>0.1235853477446537</v>
      </c>
      <c r="Q528" t="str">
        <f t="shared" ca="1" si="26"/>
        <v>No</v>
      </c>
    </row>
    <row r="529" spans="1:17" x14ac:dyDescent="0.45">
      <c r="A529" t="s">
        <v>46</v>
      </c>
      <c r="B529" t="s">
        <v>47</v>
      </c>
      <c r="C529" t="s">
        <v>29</v>
      </c>
      <c r="D529" t="s">
        <v>20</v>
      </c>
      <c r="E529" t="s">
        <v>21</v>
      </c>
      <c r="F529" s="1">
        <v>45261</v>
      </c>
      <c r="G529">
        <v>5.52</v>
      </c>
      <c r="H529">
        <v>81.476900000000001</v>
      </c>
      <c r="I529">
        <v>24.97</v>
      </c>
      <c r="J529">
        <v>62.71</v>
      </c>
      <c r="K529" t="s">
        <v>22</v>
      </c>
      <c r="L529">
        <v>677.77</v>
      </c>
      <c r="M529">
        <f>VLOOKUP(K529,RatingLookup!$A$2:$C$8,2,FALSE)</f>
        <v>5.0000000000000001E-3</v>
      </c>
      <c r="N529">
        <f t="shared" si="24"/>
        <v>4.1762458919303302E-4</v>
      </c>
      <c r="O529">
        <f>VLOOKUP(K529,RatingLookup!$A$2:$C$8,3,FALSE)</f>
        <v>0.45</v>
      </c>
      <c r="P529">
        <f t="shared" si="25"/>
        <v>0.12737403801781289</v>
      </c>
      <c r="Q529" t="str">
        <f t="shared" ca="1" si="26"/>
        <v>No</v>
      </c>
    </row>
    <row r="530" spans="1:17" x14ac:dyDescent="0.45">
      <c r="A530" t="s">
        <v>46</v>
      </c>
      <c r="B530" t="s">
        <v>47</v>
      </c>
      <c r="C530" t="s">
        <v>29</v>
      </c>
      <c r="D530" t="s">
        <v>20</v>
      </c>
      <c r="E530" t="s">
        <v>21</v>
      </c>
      <c r="F530" s="1">
        <v>45292</v>
      </c>
      <c r="G530">
        <v>5.25</v>
      </c>
      <c r="H530">
        <v>84.578500000000005</v>
      </c>
      <c r="I530">
        <v>25.79</v>
      </c>
      <c r="J530">
        <v>80.900000000000006</v>
      </c>
      <c r="K530" t="s">
        <v>23</v>
      </c>
      <c r="L530">
        <v>672.99</v>
      </c>
      <c r="M530">
        <f>VLOOKUP(K530,RatingLookup!$A$2:$C$8,2,FALSE)</f>
        <v>1E-3</v>
      </c>
      <c r="N530">
        <f t="shared" si="24"/>
        <v>8.3371552197619714E-5</v>
      </c>
      <c r="O530">
        <f>VLOOKUP(K530,RatingLookup!$A$2:$C$8,3,FALSE)</f>
        <v>0.3</v>
      </c>
      <c r="P530">
        <f t="shared" si="25"/>
        <v>1.6832466274042827E-2</v>
      </c>
      <c r="Q530" t="str">
        <f t="shared" ca="1" si="26"/>
        <v>No</v>
      </c>
    </row>
    <row r="531" spans="1:17" x14ac:dyDescent="0.45">
      <c r="A531" t="s">
        <v>46</v>
      </c>
      <c r="B531" t="s">
        <v>47</v>
      </c>
      <c r="C531" t="s">
        <v>29</v>
      </c>
      <c r="D531" t="s">
        <v>20</v>
      </c>
      <c r="E531" t="s">
        <v>21</v>
      </c>
      <c r="F531" s="1">
        <v>45323</v>
      </c>
      <c r="G531">
        <v>5.43</v>
      </c>
      <c r="H531">
        <v>83.269000000000005</v>
      </c>
      <c r="I531">
        <v>12.28</v>
      </c>
      <c r="J531">
        <v>76.959999999999994</v>
      </c>
      <c r="K531" t="s">
        <v>23</v>
      </c>
      <c r="L531">
        <v>622.13</v>
      </c>
      <c r="M531">
        <f>VLOOKUP(K531,RatingLookup!$A$2:$C$8,2,FALSE)</f>
        <v>1E-3</v>
      </c>
      <c r="N531">
        <f t="shared" si="24"/>
        <v>8.3371552197619714E-5</v>
      </c>
      <c r="O531">
        <f>VLOOKUP(K531,RatingLookup!$A$2:$C$8,3,FALSE)</f>
        <v>0.3</v>
      </c>
      <c r="P531">
        <f t="shared" si="25"/>
        <v>1.5560383130611546E-2</v>
      </c>
      <c r="Q531" t="str">
        <f t="shared" ca="1" si="26"/>
        <v>No</v>
      </c>
    </row>
    <row r="532" spans="1:17" x14ac:dyDescent="0.45">
      <c r="A532" t="s">
        <v>46</v>
      </c>
      <c r="B532" t="s">
        <v>47</v>
      </c>
      <c r="C532" t="s">
        <v>29</v>
      </c>
      <c r="D532" t="s">
        <v>20</v>
      </c>
      <c r="E532" t="s">
        <v>21</v>
      </c>
      <c r="F532" s="1">
        <v>45352</v>
      </c>
      <c r="G532">
        <v>4.96</v>
      </c>
      <c r="H532">
        <v>77.992599999999996</v>
      </c>
      <c r="I532">
        <v>20.58</v>
      </c>
      <c r="J532">
        <v>96.92</v>
      </c>
      <c r="K532" t="s">
        <v>23</v>
      </c>
      <c r="L532">
        <v>649.47</v>
      </c>
      <c r="M532">
        <f>VLOOKUP(K532,RatingLookup!$A$2:$C$8,2,FALSE)</f>
        <v>1E-3</v>
      </c>
      <c r="N532">
        <f t="shared" si="24"/>
        <v>8.3371552197619714E-5</v>
      </c>
      <c r="O532">
        <f>VLOOKUP(K532,RatingLookup!$A$2:$C$8,3,FALSE)</f>
        <v>0.3</v>
      </c>
      <c r="P532">
        <f t="shared" si="25"/>
        <v>1.6244196601736424E-2</v>
      </c>
      <c r="Q532" t="str">
        <f t="shared" ca="1" si="26"/>
        <v>No</v>
      </c>
    </row>
    <row r="533" spans="1:17" x14ac:dyDescent="0.45">
      <c r="A533" t="s">
        <v>46</v>
      </c>
      <c r="B533" t="s">
        <v>47</v>
      </c>
      <c r="C533" t="s">
        <v>29</v>
      </c>
      <c r="D533" t="s">
        <v>20</v>
      </c>
      <c r="E533" t="s">
        <v>21</v>
      </c>
      <c r="F533" s="1">
        <v>45383</v>
      </c>
      <c r="G533">
        <v>6.08</v>
      </c>
      <c r="H533">
        <v>85.292400000000001</v>
      </c>
      <c r="I533">
        <v>21.78</v>
      </c>
      <c r="J533">
        <v>82.43</v>
      </c>
      <c r="K533" t="s">
        <v>22</v>
      </c>
      <c r="L533">
        <v>680.34</v>
      </c>
      <c r="M533">
        <f>VLOOKUP(K533,RatingLookup!$A$2:$C$8,2,FALSE)</f>
        <v>5.0000000000000001E-3</v>
      </c>
      <c r="N533">
        <f t="shared" si="24"/>
        <v>4.1762458919303302E-4</v>
      </c>
      <c r="O533">
        <f>VLOOKUP(K533,RatingLookup!$A$2:$C$8,3,FALSE)</f>
        <v>0.45</v>
      </c>
      <c r="P533">
        <f t="shared" si="25"/>
        <v>0.12785702085521464</v>
      </c>
      <c r="Q533" t="str">
        <f t="shared" ca="1" si="26"/>
        <v>No</v>
      </c>
    </row>
    <row r="534" spans="1:17" x14ac:dyDescent="0.45">
      <c r="A534" t="s">
        <v>46</v>
      </c>
      <c r="B534" t="s">
        <v>47</v>
      </c>
      <c r="C534" t="s">
        <v>29</v>
      </c>
      <c r="D534" t="s">
        <v>20</v>
      </c>
      <c r="E534" t="s">
        <v>21</v>
      </c>
      <c r="F534" s="1">
        <v>45413</v>
      </c>
      <c r="G534">
        <v>6.53</v>
      </c>
      <c r="H534">
        <v>82.618200000000002</v>
      </c>
      <c r="I534">
        <v>17.940000000000001</v>
      </c>
      <c r="J534">
        <v>69.180000000000007</v>
      </c>
      <c r="K534" t="s">
        <v>22</v>
      </c>
      <c r="L534">
        <v>618.72</v>
      </c>
      <c r="M534">
        <f>VLOOKUP(K534,RatingLookup!$A$2:$C$8,2,FALSE)</f>
        <v>5.0000000000000001E-3</v>
      </c>
      <c r="N534">
        <f t="shared" si="24"/>
        <v>4.1762458919303302E-4</v>
      </c>
      <c r="O534">
        <f>VLOOKUP(K534,RatingLookup!$A$2:$C$8,3,FALSE)</f>
        <v>0.45</v>
      </c>
      <c r="P534">
        <f t="shared" si="25"/>
        <v>0.11627670862148103</v>
      </c>
      <c r="Q534" t="str">
        <f t="shared" ca="1" si="26"/>
        <v>No</v>
      </c>
    </row>
    <row r="535" spans="1:17" x14ac:dyDescent="0.45">
      <c r="A535" t="s">
        <v>46</v>
      </c>
      <c r="B535" t="s">
        <v>47</v>
      </c>
      <c r="C535" t="s">
        <v>29</v>
      </c>
      <c r="D535" t="s">
        <v>20</v>
      </c>
      <c r="E535" t="s">
        <v>21</v>
      </c>
      <c r="F535" s="1">
        <v>45444</v>
      </c>
      <c r="G535">
        <v>5.45</v>
      </c>
      <c r="H535">
        <v>82.206000000000003</v>
      </c>
      <c r="I535">
        <v>19.07</v>
      </c>
      <c r="J535">
        <v>81.17</v>
      </c>
      <c r="K535" t="s">
        <v>22</v>
      </c>
      <c r="L535">
        <v>755.67</v>
      </c>
      <c r="M535">
        <f>VLOOKUP(K535,RatingLookup!$A$2:$C$8,2,FALSE)</f>
        <v>5.0000000000000001E-3</v>
      </c>
      <c r="N535">
        <f t="shared" si="24"/>
        <v>4.1762458919303302E-4</v>
      </c>
      <c r="O535">
        <f>VLOOKUP(K535,RatingLookup!$A$2:$C$8,3,FALSE)</f>
        <v>0.45</v>
      </c>
      <c r="P535">
        <f t="shared" si="25"/>
        <v>0.14201386799197468</v>
      </c>
      <c r="Q535" t="str">
        <f t="shared" ca="1" si="26"/>
        <v>No</v>
      </c>
    </row>
    <row r="536" spans="1:17" x14ac:dyDescent="0.45">
      <c r="A536" t="s">
        <v>46</v>
      </c>
      <c r="B536" t="s">
        <v>47</v>
      </c>
      <c r="C536" t="s">
        <v>29</v>
      </c>
      <c r="D536" t="s">
        <v>20</v>
      </c>
      <c r="E536" t="s">
        <v>21</v>
      </c>
      <c r="F536" s="1">
        <v>45474</v>
      </c>
      <c r="G536">
        <v>6.78</v>
      </c>
      <c r="H536">
        <v>79.920699999999997</v>
      </c>
      <c r="I536">
        <v>13.48</v>
      </c>
      <c r="J536">
        <v>86.54</v>
      </c>
      <c r="K536" t="s">
        <v>22</v>
      </c>
      <c r="L536">
        <v>711.4</v>
      </c>
      <c r="M536">
        <f>VLOOKUP(K536,RatingLookup!$A$2:$C$8,2,FALSE)</f>
        <v>5.0000000000000001E-3</v>
      </c>
      <c r="N536">
        <f t="shared" si="24"/>
        <v>4.1762458919303302E-4</v>
      </c>
      <c r="O536">
        <f>VLOOKUP(K536,RatingLookup!$A$2:$C$8,3,FALSE)</f>
        <v>0.45</v>
      </c>
      <c r="P536">
        <f t="shared" si="25"/>
        <v>0.13369415973836568</v>
      </c>
      <c r="Q536" t="str">
        <f t="shared" ca="1" si="26"/>
        <v>No</v>
      </c>
    </row>
    <row r="537" spans="1:17" x14ac:dyDescent="0.45">
      <c r="A537" t="s">
        <v>46</v>
      </c>
      <c r="B537" t="s">
        <v>47</v>
      </c>
      <c r="C537" t="s">
        <v>29</v>
      </c>
      <c r="D537" t="s">
        <v>20</v>
      </c>
      <c r="E537" t="s">
        <v>21</v>
      </c>
      <c r="F537" s="1">
        <v>45505</v>
      </c>
      <c r="G537">
        <v>5.38</v>
      </c>
      <c r="H537">
        <v>81.119100000000003</v>
      </c>
      <c r="I537">
        <v>21.13</v>
      </c>
      <c r="J537">
        <v>93.64</v>
      </c>
      <c r="K537" t="s">
        <v>22</v>
      </c>
      <c r="L537">
        <v>654.47</v>
      </c>
      <c r="M537">
        <f>VLOOKUP(K537,RatingLookup!$A$2:$C$8,2,FALSE)</f>
        <v>5.0000000000000001E-3</v>
      </c>
      <c r="N537">
        <f t="shared" si="24"/>
        <v>4.1762458919303302E-4</v>
      </c>
      <c r="O537">
        <f>VLOOKUP(K537,RatingLookup!$A$2:$C$8,3,FALSE)</f>
        <v>0.45</v>
      </c>
      <c r="P537">
        <f t="shared" si="25"/>
        <v>0.12299524420012396</v>
      </c>
      <c r="Q537" t="str">
        <f t="shared" ca="1" si="26"/>
        <v>No</v>
      </c>
    </row>
    <row r="538" spans="1:17" x14ac:dyDescent="0.45">
      <c r="A538" t="s">
        <v>46</v>
      </c>
      <c r="B538" t="s">
        <v>47</v>
      </c>
      <c r="C538" t="s">
        <v>29</v>
      </c>
      <c r="D538" t="s">
        <v>20</v>
      </c>
      <c r="E538" t="s">
        <v>21</v>
      </c>
      <c r="F538" s="1">
        <v>45536</v>
      </c>
      <c r="G538">
        <v>6.04</v>
      </c>
      <c r="H538">
        <v>85.770399999999995</v>
      </c>
      <c r="I538">
        <v>19.32</v>
      </c>
      <c r="J538">
        <v>99.43</v>
      </c>
      <c r="K538" t="s">
        <v>22</v>
      </c>
      <c r="L538">
        <v>671.08</v>
      </c>
      <c r="M538">
        <f>VLOOKUP(K538,RatingLookup!$A$2:$C$8,2,FALSE)</f>
        <v>5.0000000000000001E-3</v>
      </c>
      <c r="N538">
        <f t="shared" si="24"/>
        <v>4.1762458919303302E-4</v>
      </c>
      <c r="O538">
        <f>VLOOKUP(K538,RatingLookup!$A$2:$C$8,3,FALSE)</f>
        <v>0.45</v>
      </c>
      <c r="P538">
        <f t="shared" si="25"/>
        <v>0.12611677919204728</v>
      </c>
      <c r="Q538" t="str">
        <f t="shared" ca="1" si="26"/>
        <v>No</v>
      </c>
    </row>
    <row r="539" spans="1:17" x14ac:dyDescent="0.45">
      <c r="A539" t="s">
        <v>46</v>
      </c>
      <c r="B539" t="s">
        <v>47</v>
      </c>
      <c r="C539" t="s">
        <v>29</v>
      </c>
      <c r="D539" t="s">
        <v>20</v>
      </c>
      <c r="E539" t="s">
        <v>21</v>
      </c>
      <c r="F539" s="1">
        <v>45566</v>
      </c>
      <c r="G539">
        <v>6.28</v>
      </c>
      <c r="H539">
        <v>87.065299999999993</v>
      </c>
      <c r="I539">
        <v>18.37</v>
      </c>
      <c r="J539">
        <v>95.05</v>
      </c>
      <c r="K539" t="s">
        <v>22</v>
      </c>
      <c r="L539">
        <v>719.01</v>
      </c>
      <c r="M539">
        <f>VLOOKUP(K539,RatingLookup!$A$2:$C$8,2,FALSE)</f>
        <v>5.0000000000000001E-3</v>
      </c>
      <c r="N539">
        <f t="shared" si="24"/>
        <v>4.1762458919303302E-4</v>
      </c>
      <c r="O539">
        <f>VLOOKUP(K539,RatingLookup!$A$2:$C$8,3,FALSE)</f>
        <v>0.45</v>
      </c>
      <c r="P539">
        <f t="shared" si="25"/>
        <v>0.13512431514405721</v>
      </c>
      <c r="Q539" t="str">
        <f t="shared" ca="1" si="26"/>
        <v>No</v>
      </c>
    </row>
    <row r="540" spans="1:17" x14ac:dyDescent="0.45">
      <c r="A540" t="s">
        <v>46</v>
      </c>
      <c r="B540" t="s">
        <v>47</v>
      </c>
      <c r="C540" t="s">
        <v>29</v>
      </c>
      <c r="D540" t="s">
        <v>20</v>
      </c>
      <c r="E540" t="s">
        <v>21</v>
      </c>
      <c r="F540" s="1">
        <v>45597</v>
      </c>
      <c r="G540">
        <v>5.93</v>
      </c>
      <c r="H540">
        <v>84.515699999999995</v>
      </c>
      <c r="I540">
        <v>21.99</v>
      </c>
      <c r="J540">
        <v>82.98</v>
      </c>
      <c r="K540" t="s">
        <v>22</v>
      </c>
      <c r="L540">
        <v>680.24</v>
      </c>
      <c r="M540">
        <f>VLOOKUP(K540,RatingLookup!$A$2:$C$8,2,FALSE)</f>
        <v>5.0000000000000001E-3</v>
      </c>
      <c r="N540">
        <f t="shared" si="24"/>
        <v>4.1762458919303302E-4</v>
      </c>
      <c r="O540">
        <f>VLOOKUP(K540,RatingLookup!$A$2:$C$8,3,FALSE)</f>
        <v>0.45</v>
      </c>
      <c r="P540">
        <f t="shared" si="25"/>
        <v>0.12783822774870096</v>
      </c>
      <c r="Q540" t="str">
        <f t="shared" ca="1" si="26"/>
        <v>No</v>
      </c>
    </row>
    <row r="541" spans="1:17" x14ac:dyDescent="0.45">
      <c r="A541" t="s">
        <v>46</v>
      </c>
      <c r="B541" t="s">
        <v>47</v>
      </c>
      <c r="C541" t="s">
        <v>29</v>
      </c>
      <c r="D541" t="s">
        <v>20</v>
      </c>
      <c r="E541" t="s">
        <v>21</v>
      </c>
      <c r="F541" s="1">
        <v>45627</v>
      </c>
      <c r="G541">
        <v>6.27</v>
      </c>
      <c r="H541">
        <v>84.523399999999995</v>
      </c>
      <c r="I541">
        <v>24.73</v>
      </c>
      <c r="J541">
        <v>65.2</v>
      </c>
      <c r="K541" t="s">
        <v>22</v>
      </c>
      <c r="L541">
        <v>683.5</v>
      </c>
      <c r="M541">
        <f>VLOOKUP(K541,RatingLookup!$A$2:$C$8,2,FALSE)</f>
        <v>5.0000000000000001E-3</v>
      </c>
      <c r="N541">
        <f t="shared" si="24"/>
        <v>4.1762458919303302E-4</v>
      </c>
      <c r="O541">
        <f>VLOOKUP(K541,RatingLookup!$A$2:$C$8,3,FALSE)</f>
        <v>0.45</v>
      </c>
      <c r="P541">
        <f t="shared" si="25"/>
        <v>0.12845088302104712</v>
      </c>
      <c r="Q541" t="str">
        <f t="shared" ca="1" si="26"/>
        <v>No</v>
      </c>
    </row>
    <row r="542" spans="1:17" x14ac:dyDescent="0.45">
      <c r="A542" t="s">
        <v>49</v>
      </c>
      <c r="B542" t="s">
        <v>50</v>
      </c>
      <c r="C542" t="s">
        <v>35</v>
      </c>
      <c r="D542" t="s">
        <v>20</v>
      </c>
      <c r="E542" t="s">
        <v>21</v>
      </c>
      <c r="F542" s="1">
        <v>43831</v>
      </c>
      <c r="G542">
        <v>5.97</v>
      </c>
      <c r="H542">
        <v>86.802899999999994</v>
      </c>
      <c r="I542">
        <v>18.829999999999998</v>
      </c>
      <c r="J542">
        <v>81.92</v>
      </c>
      <c r="K542" t="s">
        <v>32</v>
      </c>
      <c r="L542">
        <v>550.47</v>
      </c>
      <c r="M542">
        <f>VLOOKUP(K542,RatingLookup!$A$2:$C$8,2,FALSE)</f>
        <v>0.12</v>
      </c>
      <c r="N542">
        <f t="shared" si="24"/>
        <v>1.0596241035318976E-2</v>
      </c>
      <c r="O542">
        <f>VLOOKUP(K542,RatingLookup!$A$2:$C$8,3,FALSE)</f>
        <v>0.7</v>
      </c>
      <c r="P542">
        <f t="shared" si="25"/>
        <v>4.0830389618984251</v>
      </c>
      <c r="Q542" t="str">
        <f t="shared" ca="1" si="26"/>
        <v>No</v>
      </c>
    </row>
    <row r="543" spans="1:17" x14ac:dyDescent="0.45">
      <c r="A543" t="s">
        <v>49</v>
      </c>
      <c r="B543" t="s">
        <v>50</v>
      </c>
      <c r="C543" t="s">
        <v>35</v>
      </c>
      <c r="D543" t="s">
        <v>20</v>
      </c>
      <c r="E543" t="s">
        <v>21</v>
      </c>
      <c r="F543" s="1">
        <v>43862</v>
      </c>
      <c r="G543">
        <v>5.6</v>
      </c>
      <c r="H543">
        <v>76.515799999999999</v>
      </c>
      <c r="I543">
        <v>5</v>
      </c>
      <c r="J543">
        <v>78.430000000000007</v>
      </c>
      <c r="K543" t="s">
        <v>32</v>
      </c>
      <c r="L543">
        <v>451.56</v>
      </c>
      <c r="M543">
        <f>VLOOKUP(K543,RatingLookup!$A$2:$C$8,2,FALSE)</f>
        <v>0.12</v>
      </c>
      <c r="N543">
        <f t="shared" si="24"/>
        <v>1.0596241035318976E-2</v>
      </c>
      <c r="O543">
        <f>VLOOKUP(K543,RatingLookup!$A$2:$C$8,3,FALSE)</f>
        <v>0.7</v>
      </c>
      <c r="P543">
        <f t="shared" si="25"/>
        <v>3.3493870213360459</v>
      </c>
      <c r="Q543" t="str">
        <f t="shared" ca="1" si="26"/>
        <v>No</v>
      </c>
    </row>
    <row r="544" spans="1:17" x14ac:dyDescent="0.45">
      <c r="A544" t="s">
        <v>49</v>
      </c>
      <c r="B544" t="s">
        <v>50</v>
      </c>
      <c r="C544" t="s">
        <v>35</v>
      </c>
      <c r="D544" t="s">
        <v>20</v>
      </c>
      <c r="E544" t="s">
        <v>21</v>
      </c>
      <c r="F544" s="1">
        <v>43891</v>
      </c>
      <c r="G544">
        <v>5.07</v>
      </c>
      <c r="H544">
        <v>81.670500000000004</v>
      </c>
      <c r="I544">
        <v>24.72</v>
      </c>
      <c r="J544">
        <v>77.58</v>
      </c>
      <c r="K544" t="s">
        <v>32</v>
      </c>
      <c r="L544">
        <v>486.63</v>
      </c>
      <c r="M544">
        <f>VLOOKUP(K544,RatingLookup!$A$2:$C$8,2,FALSE)</f>
        <v>0.12</v>
      </c>
      <c r="N544">
        <f t="shared" si="24"/>
        <v>1.0596241035318976E-2</v>
      </c>
      <c r="O544">
        <f>VLOOKUP(K544,RatingLookup!$A$2:$C$8,3,FALSE)</f>
        <v>0.7</v>
      </c>
      <c r="P544">
        <f t="shared" si="25"/>
        <v>3.6095141425120914</v>
      </c>
      <c r="Q544" t="str">
        <f t="shared" ca="1" si="26"/>
        <v>No</v>
      </c>
    </row>
    <row r="545" spans="1:17" x14ac:dyDescent="0.45">
      <c r="A545" t="s">
        <v>49</v>
      </c>
      <c r="B545" t="s">
        <v>50</v>
      </c>
      <c r="C545" t="s">
        <v>35</v>
      </c>
      <c r="D545" t="s">
        <v>20</v>
      </c>
      <c r="E545" t="s">
        <v>21</v>
      </c>
      <c r="F545" s="1">
        <v>43922</v>
      </c>
      <c r="G545">
        <v>6.31</v>
      </c>
      <c r="H545">
        <v>78.487899999999996</v>
      </c>
      <c r="I545">
        <v>19.39</v>
      </c>
      <c r="J545">
        <v>59.9</v>
      </c>
      <c r="K545" t="s">
        <v>32</v>
      </c>
      <c r="L545">
        <v>513.66999999999996</v>
      </c>
      <c r="M545">
        <f>VLOOKUP(K545,RatingLookup!$A$2:$C$8,2,FALSE)</f>
        <v>0.12</v>
      </c>
      <c r="N545">
        <f t="shared" si="24"/>
        <v>1.0596241035318976E-2</v>
      </c>
      <c r="O545">
        <f>VLOOKUP(K545,RatingLookup!$A$2:$C$8,3,FALSE)</f>
        <v>0.7</v>
      </c>
      <c r="P545">
        <f t="shared" si="25"/>
        <v>3.8100797928286085</v>
      </c>
      <c r="Q545" t="str">
        <f t="shared" ca="1" si="26"/>
        <v>No</v>
      </c>
    </row>
    <row r="546" spans="1:17" x14ac:dyDescent="0.45">
      <c r="A546" t="s">
        <v>49</v>
      </c>
      <c r="B546" t="s">
        <v>50</v>
      </c>
      <c r="C546" t="s">
        <v>35</v>
      </c>
      <c r="D546" t="s">
        <v>20</v>
      </c>
      <c r="E546" t="s">
        <v>21</v>
      </c>
      <c r="F546" s="1">
        <v>43952</v>
      </c>
      <c r="G546">
        <v>5.93</v>
      </c>
      <c r="H546">
        <v>80.612200000000001</v>
      </c>
      <c r="I546">
        <v>13.41</v>
      </c>
      <c r="J546">
        <v>72.25</v>
      </c>
      <c r="K546" t="s">
        <v>32</v>
      </c>
      <c r="L546">
        <v>556.82000000000005</v>
      </c>
      <c r="M546">
        <f>VLOOKUP(K546,RatingLookup!$A$2:$C$8,2,FALSE)</f>
        <v>0.12</v>
      </c>
      <c r="N546">
        <f t="shared" si="24"/>
        <v>1.0596241035318976E-2</v>
      </c>
      <c r="O546">
        <f>VLOOKUP(K546,RatingLookup!$A$2:$C$8,3,FALSE)</f>
        <v>0.7</v>
      </c>
      <c r="P546">
        <f t="shared" si="25"/>
        <v>4.1301392533004186</v>
      </c>
      <c r="Q546" t="str">
        <f t="shared" ca="1" si="26"/>
        <v>No</v>
      </c>
    </row>
    <row r="547" spans="1:17" x14ac:dyDescent="0.45">
      <c r="A547" t="s">
        <v>49</v>
      </c>
      <c r="B547" t="s">
        <v>50</v>
      </c>
      <c r="C547" t="s">
        <v>35</v>
      </c>
      <c r="D547" t="s">
        <v>20</v>
      </c>
      <c r="E547" t="s">
        <v>21</v>
      </c>
      <c r="F547" s="1">
        <v>43983</v>
      </c>
      <c r="G547">
        <v>6.47</v>
      </c>
      <c r="H547">
        <v>77.7714</v>
      </c>
      <c r="I547">
        <v>15.42</v>
      </c>
      <c r="J547">
        <v>66.22</v>
      </c>
      <c r="K547" t="s">
        <v>32</v>
      </c>
      <c r="L547">
        <v>534.54999999999995</v>
      </c>
      <c r="M547">
        <f>VLOOKUP(K547,RatingLookup!$A$2:$C$8,2,FALSE)</f>
        <v>0.12</v>
      </c>
      <c r="N547">
        <f t="shared" si="24"/>
        <v>1.0596241035318976E-2</v>
      </c>
      <c r="O547">
        <f>VLOOKUP(K547,RatingLookup!$A$2:$C$8,3,FALSE)</f>
        <v>0.7</v>
      </c>
      <c r="P547">
        <f t="shared" si="25"/>
        <v>3.9649544518008302</v>
      </c>
      <c r="Q547" t="str">
        <f t="shared" ca="1" si="26"/>
        <v>No</v>
      </c>
    </row>
    <row r="548" spans="1:17" x14ac:dyDescent="0.45">
      <c r="A548" t="s">
        <v>49</v>
      </c>
      <c r="B548" t="s">
        <v>50</v>
      </c>
      <c r="C548" t="s">
        <v>35</v>
      </c>
      <c r="D548" t="s">
        <v>20</v>
      </c>
      <c r="E548" t="s">
        <v>21</v>
      </c>
      <c r="F548" s="1">
        <v>44013</v>
      </c>
      <c r="G548">
        <v>5.5</v>
      </c>
      <c r="H548">
        <v>81.681399999999996</v>
      </c>
      <c r="I548">
        <v>28.15</v>
      </c>
      <c r="J548">
        <v>93.2</v>
      </c>
      <c r="K548" t="s">
        <v>32</v>
      </c>
      <c r="L548">
        <v>502.82</v>
      </c>
      <c r="M548">
        <f>VLOOKUP(K548,RatingLookup!$A$2:$C$8,2,FALSE)</f>
        <v>0.12</v>
      </c>
      <c r="N548">
        <f t="shared" si="24"/>
        <v>1.0596241035318976E-2</v>
      </c>
      <c r="O548">
        <f>VLOOKUP(K548,RatingLookup!$A$2:$C$8,3,FALSE)</f>
        <v>0.7</v>
      </c>
      <c r="P548">
        <f t="shared" si="25"/>
        <v>3.7296013421653611</v>
      </c>
      <c r="Q548" t="str">
        <f t="shared" ca="1" si="26"/>
        <v>No</v>
      </c>
    </row>
    <row r="549" spans="1:17" x14ac:dyDescent="0.45">
      <c r="A549" t="s">
        <v>49</v>
      </c>
      <c r="B549" t="s">
        <v>50</v>
      </c>
      <c r="C549" t="s">
        <v>35</v>
      </c>
      <c r="D549" t="s">
        <v>20</v>
      </c>
      <c r="E549" t="s">
        <v>21</v>
      </c>
      <c r="F549" s="1">
        <v>44044</v>
      </c>
      <c r="G549">
        <v>5.29</v>
      </c>
      <c r="H549">
        <v>87.023300000000006</v>
      </c>
      <c r="I549">
        <v>17.37</v>
      </c>
      <c r="J549">
        <v>82.99</v>
      </c>
      <c r="K549" t="s">
        <v>32</v>
      </c>
      <c r="L549">
        <v>472.05</v>
      </c>
      <c r="M549">
        <f>VLOOKUP(K549,RatingLookup!$A$2:$C$8,2,FALSE)</f>
        <v>0.12</v>
      </c>
      <c r="N549">
        <f t="shared" si="24"/>
        <v>1.0596241035318976E-2</v>
      </c>
      <c r="O549">
        <f>VLOOKUP(K549,RatingLookup!$A$2:$C$8,3,FALSE)</f>
        <v>0.7</v>
      </c>
      <c r="P549">
        <f t="shared" si="25"/>
        <v>3.5013689065056259</v>
      </c>
      <c r="Q549" t="str">
        <f t="shared" ca="1" si="26"/>
        <v>No</v>
      </c>
    </row>
    <row r="550" spans="1:17" x14ac:dyDescent="0.45">
      <c r="A550" t="s">
        <v>49</v>
      </c>
      <c r="B550" t="s">
        <v>50</v>
      </c>
      <c r="C550" t="s">
        <v>35</v>
      </c>
      <c r="D550" t="s">
        <v>20</v>
      </c>
      <c r="E550" t="s">
        <v>21</v>
      </c>
      <c r="F550" s="1">
        <v>44075</v>
      </c>
      <c r="G550">
        <v>5.56</v>
      </c>
      <c r="H550">
        <v>84.221699999999998</v>
      </c>
      <c r="I550">
        <v>14.54</v>
      </c>
      <c r="J550">
        <v>58.3</v>
      </c>
      <c r="K550" t="s">
        <v>32</v>
      </c>
      <c r="L550">
        <v>535.16</v>
      </c>
      <c r="M550">
        <f>VLOOKUP(K550,RatingLookup!$A$2:$C$8,2,FALSE)</f>
        <v>0.12</v>
      </c>
      <c r="N550">
        <f t="shared" si="24"/>
        <v>1.0596241035318976E-2</v>
      </c>
      <c r="O550">
        <f>VLOOKUP(K550,RatingLookup!$A$2:$C$8,3,FALSE)</f>
        <v>0.7</v>
      </c>
      <c r="P550">
        <f t="shared" si="25"/>
        <v>3.969479046722912</v>
      </c>
      <c r="Q550" t="str">
        <f t="shared" ca="1" si="26"/>
        <v>No</v>
      </c>
    </row>
    <row r="551" spans="1:17" x14ac:dyDescent="0.45">
      <c r="A551" t="s">
        <v>49</v>
      </c>
      <c r="B551" t="s">
        <v>50</v>
      </c>
      <c r="C551" t="s">
        <v>35</v>
      </c>
      <c r="D551" t="s">
        <v>20</v>
      </c>
      <c r="E551" t="s">
        <v>21</v>
      </c>
      <c r="F551" s="1">
        <v>44105</v>
      </c>
      <c r="G551">
        <v>4.9400000000000004</v>
      </c>
      <c r="H551">
        <v>78.020600000000002</v>
      </c>
      <c r="I551">
        <v>24.47</v>
      </c>
      <c r="J551">
        <v>70.23</v>
      </c>
      <c r="K551" t="s">
        <v>32</v>
      </c>
      <c r="L551">
        <v>507.1</v>
      </c>
      <c r="M551">
        <f>VLOOKUP(K551,RatingLookup!$A$2:$C$8,2,FALSE)</f>
        <v>0.12</v>
      </c>
      <c r="N551">
        <f t="shared" si="24"/>
        <v>1.0596241035318976E-2</v>
      </c>
      <c r="O551">
        <f>VLOOKUP(K551,RatingLookup!$A$2:$C$8,3,FALSE)</f>
        <v>0.7</v>
      </c>
      <c r="P551">
        <f t="shared" si="25"/>
        <v>3.761347680307177</v>
      </c>
      <c r="Q551" t="str">
        <f t="shared" ca="1" si="26"/>
        <v>No</v>
      </c>
    </row>
    <row r="552" spans="1:17" x14ac:dyDescent="0.45">
      <c r="A552" t="s">
        <v>49</v>
      </c>
      <c r="B552" t="s">
        <v>50</v>
      </c>
      <c r="C552" t="s">
        <v>35</v>
      </c>
      <c r="D552" t="s">
        <v>20</v>
      </c>
      <c r="E552" t="s">
        <v>21</v>
      </c>
      <c r="F552" s="1">
        <v>44136</v>
      </c>
      <c r="G552">
        <v>6.31</v>
      </c>
      <c r="H552">
        <v>77.669200000000004</v>
      </c>
      <c r="I552">
        <v>31.75</v>
      </c>
      <c r="J552">
        <v>69.22</v>
      </c>
      <c r="K552" t="s">
        <v>32</v>
      </c>
      <c r="L552">
        <v>561.48</v>
      </c>
      <c r="M552">
        <f>VLOOKUP(K552,RatingLookup!$A$2:$C$8,2,FALSE)</f>
        <v>0.12</v>
      </c>
      <c r="N552">
        <f t="shared" si="24"/>
        <v>1.0596241035318976E-2</v>
      </c>
      <c r="O552">
        <f>VLOOKUP(K552,RatingLookup!$A$2:$C$8,3,FALSE)</f>
        <v>0.7</v>
      </c>
      <c r="P552">
        <f t="shared" si="25"/>
        <v>4.1647041915576288</v>
      </c>
      <c r="Q552" t="str">
        <f t="shared" ca="1" si="26"/>
        <v>No</v>
      </c>
    </row>
    <row r="553" spans="1:17" x14ac:dyDescent="0.45">
      <c r="A553" t="s">
        <v>49</v>
      </c>
      <c r="B553" t="s">
        <v>50</v>
      </c>
      <c r="C553" t="s">
        <v>35</v>
      </c>
      <c r="D553" t="s">
        <v>20</v>
      </c>
      <c r="E553" t="s">
        <v>21</v>
      </c>
      <c r="F553" s="1">
        <v>44166</v>
      </c>
      <c r="G553">
        <v>5.35</v>
      </c>
      <c r="H553">
        <v>81.218000000000004</v>
      </c>
      <c r="I553">
        <v>33.369999999999997</v>
      </c>
      <c r="J553">
        <v>75.34</v>
      </c>
      <c r="K553" t="s">
        <v>32</v>
      </c>
      <c r="L553">
        <v>497.62</v>
      </c>
      <c r="M553">
        <f>VLOOKUP(K553,RatingLookup!$A$2:$C$8,2,FALSE)</f>
        <v>0.12</v>
      </c>
      <c r="N553">
        <f t="shared" si="24"/>
        <v>1.0596241035318976E-2</v>
      </c>
      <c r="O553">
        <f>VLOOKUP(K553,RatingLookup!$A$2:$C$8,3,FALSE)</f>
        <v>0.7</v>
      </c>
      <c r="P553">
        <f t="shared" si="25"/>
        <v>3.6910310247967999</v>
      </c>
      <c r="Q553" t="str">
        <f t="shared" ca="1" si="26"/>
        <v>No</v>
      </c>
    </row>
    <row r="554" spans="1:17" x14ac:dyDescent="0.45">
      <c r="A554" t="s">
        <v>49</v>
      </c>
      <c r="B554" t="s">
        <v>50</v>
      </c>
      <c r="C554" t="s">
        <v>35</v>
      </c>
      <c r="D554" t="s">
        <v>20</v>
      </c>
      <c r="E554" t="s">
        <v>21</v>
      </c>
      <c r="F554" s="1">
        <v>44197</v>
      </c>
      <c r="G554">
        <v>6.46</v>
      </c>
      <c r="H554">
        <v>78.562299999999993</v>
      </c>
      <c r="I554">
        <v>14.56</v>
      </c>
      <c r="J554">
        <v>85.57</v>
      </c>
      <c r="K554" t="s">
        <v>32</v>
      </c>
      <c r="L554">
        <v>506.01</v>
      </c>
      <c r="M554">
        <f>VLOOKUP(K554,RatingLookup!$A$2:$C$8,2,FALSE)</f>
        <v>0.12</v>
      </c>
      <c r="N554">
        <f t="shared" si="24"/>
        <v>1.0596241035318976E-2</v>
      </c>
      <c r="O554">
        <f>VLOOKUP(K554,RatingLookup!$A$2:$C$8,3,FALSE)</f>
        <v>0.7</v>
      </c>
      <c r="P554">
        <f t="shared" si="25"/>
        <v>3.7532627483972285</v>
      </c>
      <c r="Q554" t="str">
        <f t="shared" ca="1" si="26"/>
        <v>No</v>
      </c>
    </row>
    <row r="555" spans="1:17" x14ac:dyDescent="0.45">
      <c r="A555" t="s">
        <v>49</v>
      </c>
      <c r="B555" t="s">
        <v>50</v>
      </c>
      <c r="C555" t="s">
        <v>35</v>
      </c>
      <c r="D555" t="s">
        <v>20</v>
      </c>
      <c r="E555" t="s">
        <v>21</v>
      </c>
      <c r="F555" s="1">
        <v>44228</v>
      </c>
      <c r="G555">
        <v>5.83</v>
      </c>
      <c r="H555">
        <v>82.603700000000003</v>
      </c>
      <c r="I555">
        <v>30.8</v>
      </c>
      <c r="J555">
        <v>70.02</v>
      </c>
      <c r="K555" t="s">
        <v>32</v>
      </c>
      <c r="L555">
        <v>502.16</v>
      </c>
      <c r="M555">
        <f>VLOOKUP(K555,RatingLookup!$A$2:$C$8,2,FALSE)</f>
        <v>0.12</v>
      </c>
      <c r="N555">
        <f t="shared" si="24"/>
        <v>1.0596241035318976E-2</v>
      </c>
      <c r="O555">
        <f>VLOOKUP(K555,RatingLookup!$A$2:$C$8,3,FALSE)</f>
        <v>0.7</v>
      </c>
      <c r="P555">
        <f t="shared" si="25"/>
        <v>3.7247058788070442</v>
      </c>
      <c r="Q555" t="str">
        <f t="shared" ca="1" si="26"/>
        <v>No</v>
      </c>
    </row>
    <row r="556" spans="1:17" x14ac:dyDescent="0.45">
      <c r="A556" t="s">
        <v>49</v>
      </c>
      <c r="B556" t="s">
        <v>50</v>
      </c>
      <c r="C556" t="s">
        <v>35</v>
      </c>
      <c r="D556" t="s">
        <v>20</v>
      </c>
      <c r="E556" t="s">
        <v>21</v>
      </c>
      <c r="F556" s="1">
        <v>44256</v>
      </c>
      <c r="G556">
        <v>4.8600000000000003</v>
      </c>
      <c r="H556">
        <v>78.320899999999995</v>
      </c>
      <c r="I556">
        <v>20.78</v>
      </c>
      <c r="J556">
        <v>70.069999999999993</v>
      </c>
      <c r="K556" t="s">
        <v>32</v>
      </c>
      <c r="L556">
        <v>554.91999999999996</v>
      </c>
      <c r="M556">
        <f>VLOOKUP(K556,RatingLookup!$A$2:$C$8,2,FALSE)</f>
        <v>0.12</v>
      </c>
      <c r="N556">
        <f t="shared" si="24"/>
        <v>1.0596241035318976E-2</v>
      </c>
      <c r="O556">
        <f>VLOOKUP(K556,RatingLookup!$A$2:$C$8,3,FALSE)</f>
        <v>0.7</v>
      </c>
      <c r="P556">
        <f t="shared" si="25"/>
        <v>4.1160462527234438</v>
      </c>
      <c r="Q556" t="str">
        <f t="shared" ca="1" si="26"/>
        <v>No</v>
      </c>
    </row>
    <row r="557" spans="1:17" x14ac:dyDescent="0.45">
      <c r="A557" t="s">
        <v>49</v>
      </c>
      <c r="B557" t="s">
        <v>50</v>
      </c>
      <c r="C557" t="s">
        <v>35</v>
      </c>
      <c r="D557" t="s">
        <v>20</v>
      </c>
      <c r="E557" t="s">
        <v>21</v>
      </c>
      <c r="F557" s="1">
        <v>44287</v>
      </c>
      <c r="G557">
        <v>5.46</v>
      </c>
      <c r="H557">
        <v>83.305499999999995</v>
      </c>
      <c r="I557">
        <v>17.25</v>
      </c>
      <c r="J557">
        <v>70.09</v>
      </c>
      <c r="K557" t="s">
        <v>32</v>
      </c>
      <c r="L557">
        <v>605.36</v>
      </c>
      <c r="M557">
        <f>VLOOKUP(K557,RatingLookup!$A$2:$C$8,2,FALSE)</f>
        <v>0.12</v>
      </c>
      <c r="N557">
        <f t="shared" si="24"/>
        <v>1.0596241035318976E-2</v>
      </c>
      <c r="O557">
        <f>VLOOKUP(K557,RatingLookup!$A$2:$C$8,3,FALSE)</f>
        <v>0.7</v>
      </c>
      <c r="P557">
        <f t="shared" si="25"/>
        <v>4.4901783311984866</v>
      </c>
      <c r="Q557" t="str">
        <f t="shared" ca="1" si="26"/>
        <v>No</v>
      </c>
    </row>
    <row r="558" spans="1:17" x14ac:dyDescent="0.45">
      <c r="A558" t="s">
        <v>49</v>
      </c>
      <c r="B558" t="s">
        <v>50</v>
      </c>
      <c r="C558" t="s">
        <v>35</v>
      </c>
      <c r="D558" t="s">
        <v>20</v>
      </c>
      <c r="E558" t="s">
        <v>21</v>
      </c>
      <c r="F558" s="1">
        <v>44317</v>
      </c>
      <c r="G558">
        <v>5.72</v>
      </c>
      <c r="H558">
        <v>85.031099999999995</v>
      </c>
      <c r="I558">
        <v>12.18</v>
      </c>
      <c r="J558">
        <v>70.819999999999993</v>
      </c>
      <c r="K558" t="s">
        <v>32</v>
      </c>
      <c r="L558">
        <v>560.05999999999995</v>
      </c>
      <c r="M558">
        <f>VLOOKUP(K558,RatingLookup!$A$2:$C$8,2,FALSE)</f>
        <v>0.12</v>
      </c>
      <c r="N558">
        <f t="shared" si="24"/>
        <v>1.0596241035318976E-2</v>
      </c>
      <c r="O558">
        <f>VLOOKUP(K558,RatingLookup!$A$2:$C$8,3,FALSE)</f>
        <v>0.7</v>
      </c>
      <c r="P558">
        <f t="shared" si="25"/>
        <v>4.1541715279685212</v>
      </c>
      <c r="Q558" t="str">
        <f t="shared" ca="1" si="26"/>
        <v>No</v>
      </c>
    </row>
    <row r="559" spans="1:17" x14ac:dyDescent="0.45">
      <c r="A559" t="s">
        <v>49</v>
      </c>
      <c r="B559" t="s">
        <v>50</v>
      </c>
      <c r="C559" t="s">
        <v>35</v>
      </c>
      <c r="D559" t="s">
        <v>20</v>
      </c>
      <c r="E559" t="s">
        <v>21</v>
      </c>
      <c r="F559" s="1">
        <v>44348</v>
      </c>
      <c r="G559">
        <v>6.34</v>
      </c>
      <c r="H559">
        <v>81.754900000000006</v>
      </c>
      <c r="I559">
        <v>14.28</v>
      </c>
      <c r="J559">
        <v>65.13</v>
      </c>
      <c r="K559" t="s">
        <v>32</v>
      </c>
      <c r="L559">
        <v>527.48</v>
      </c>
      <c r="M559">
        <f>VLOOKUP(K559,RatingLookup!$A$2:$C$8,2,FALSE)</f>
        <v>0.12</v>
      </c>
      <c r="N559">
        <f t="shared" si="24"/>
        <v>1.0596241035318976E-2</v>
      </c>
      <c r="O559">
        <f>VLOOKUP(K559,RatingLookup!$A$2:$C$8,3,FALSE)</f>
        <v>0.7</v>
      </c>
      <c r="P559">
        <f t="shared" si="25"/>
        <v>3.9125136549170372</v>
      </c>
      <c r="Q559" t="str">
        <f t="shared" ca="1" si="26"/>
        <v>No</v>
      </c>
    </row>
    <row r="560" spans="1:17" x14ac:dyDescent="0.45">
      <c r="A560" t="s">
        <v>49</v>
      </c>
      <c r="B560" t="s">
        <v>50</v>
      </c>
      <c r="C560" t="s">
        <v>35</v>
      </c>
      <c r="D560" t="s">
        <v>20</v>
      </c>
      <c r="E560" t="s">
        <v>21</v>
      </c>
      <c r="F560" s="1">
        <v>44378</v>
      </c>
      <c r="G560">
        <v>5.3</v>
      </c>
      <c r="H560">
        <v>82.999099999999999</v>
      </c>
      <c r="I560">
        <v>15.77</v>
      </c>
      <c r="J560">
        <v>69.53</v>
      </c>
      <c r="K560" t="s">
        <v>32</v>
      </c>
      <c r="L560">
        <v>547.17999999999995</v>
      </c>
      <c r="M560">
        <f>VLOOKUP(K560,RatingLookup!$A$2:$C$8,2,FALSE)</f>
        <v>0.12</v>
      </c>
      <c r="N560">
        <f t="shared" si="24"/>
        <v>1.0596241035318976E-2</v>
      </c>
      <c r="O560">
        <f>VLOOKUP(K560,RatingLookup!$A$2:$C$8,3,FALSE)</f>
        <v>0.7</v>
      </c>
      <c r="P560">
        <f t="shared" si="25"/>
        <v>4.0586358187940856</v>
      </c>
      <c r="Q560" t="str">
        <f t="shared" ca="1" si="26"/>
        <v>No</v>
      </c>
    </row>
    <row r="561" spans="1:17" x14ac:dyDescent="0.45">
      <c r="A561" t="s">
        <v>49</v>
      </c>
      <c r="B561" t="s">
        <v>50</v>
      </c>
      <c r="C561" t="s">
        <v>35</v>
      </c>
      <c r="D561" t="s">
        <v>20</v>
      </c>
      <c r="E561" t="s">
        <v>21</v>
      </c>
      <c r="F561" s="1">
        <v>44409</v>
      </c>
      <c r="G561">
        <v>5.57</v>
      </c>
      <c r="H561">
        <v>82.715100000000007</v>
      </c>
      <c r="I561">
        <v>19.82</v>
      </c>
      <c r="J561">
        <v>66.03</v>
      </c>
      <c r="K561" t="s">
        <v>32</v>
      </c>
      <c r="L561">
        <v>481.12</v>
      </c>
      <c r="M561">
        <f>VLOOKUP(K561,RatingLookup!$A$2:$C$8,2,FALSE)</f>
        <v>0.12</v>
      </c>
      <c r="N561">
        <f t="shared" si="24"/>
        <v>1.0596241035318976E-2</v>
      </c>
      <c r="O561">
        <f>VLOOKUP(K561,RatingLookup!$A$2:$C$8,3,FALSE)</f>
        <v>0.7</v>
      </c>
      <c r="P561">
        <f t="shared" si="25"/>
        <v>3.5686444408388658</v>
      </c>
      <c r="Q561" t="str">
        <f t="shared" ca="1" si="26"/>
        <v>No</v>
      </c>
    </row>
    <row r="562" spans="1:17" x14ac:dyDescent="0.45">
      <c r="A562" t="s">
        <v>49</v>
      </c>
      <c r="B562" t="s">
        <v>50</v>
      </c>
      <c r="C562" t="s">
        <v>35</v>
      </c>
      <c r="D562" t="s">
        <v>20</v>
      </c>
      <c r="E562" t="s">
        <v>21</v>
      </c>
      <c r="F562" s="1">
        <v>44440</v>
      </c>
      <c r="G562">
        <v>5.54</v>
      </c>
      <c r="H562">
        <v>80.159899999999993</v>
      </c>
      <c r="I562">
        <v>21.88</v>
      </c>
      <c r="J562">
        <v>82.43</v>
      </c>
      <c r="K562" t="s">
        <v>32</v>
      </c>
      <c r="L562">
        <v>485.73</v>
      </c>
      <c r="M562">
        <f>VLOOKUP(K562,RatingLookup!$A$2:$C$8,2,FALSE)</f>
        <v>0.12</v>
      </c>
      <c r="N562">
        <f t="shared" si="24"/>
        <v>1.0596241035318976E-2</v>
      </c>
      <c r="O562">
        <f>VLOOKUP(K562,RatingLookup!$A$2:$C$8,3,FALSE)</f>
        <v>0.7</v>
      </c>
      <c r="P562">
        <f t="shared" si="25"/>
        <v>3.6028385106598404</v>
      </c>
      <c r="Q562" t="str">
        <f t="shared" ca="1" si="26"/>
        <v>No</v>
      </c>
    </row>
    <row r="563" spans="1:17" x14ac:dyDescent="0.45">
      <c r="A563" t="s">
        <v>49</v>
      </c>
      <c r="B563" t="s">
        <v>50</v>
      </c>
      <c r="C563" t="s">
        <v>35</v>
      </c>
      <c r="D563" t="s">
        <v>20</v>
      </c>
      <c r="E563" t="s">
        <v>21</v>
      </c>
      <c r="F563" s="1">
        <v>44470</v>
      </c>
      <c r="G563">
        <v>5.48</v>
      </c>
      <c r="H563">
        <v>83.835599999999999</v>
      </c>
      <c r="I563">
        <v>20.23</v>
      </c>
      <c r="J563">
        <v>67.11</v>
      </c>
      <c r="K563" t="s">
        <v>32</v>
      </c>
      <c r="L563">
        <v>508.21</v>
      </c>
      <c r="M563">
        <f>VLOOKUP(K563,RatingLookup!$A$2:$C$8,2,FALSE)</f>
        <v>0.12</v>
      </c>
      <c r="N563">
        <f t="shared" si="24"/>
        <v>1.0596241035318976E-2</v>
      </c>
      <c r="O563">
        <f>VLOOKUP(K563,RatingLookup!$A$2:$C$8,3,FALSE)</f>
        <v>0.7</v>
      </c>
      <c r="P563">
        <f t="shared" si="25"/>
        <v>3.7695809595916194</v>
      </c>
      <c r="Q563" t="str">
        <f t="shared" ca="1" si="26"/>
        <v>No</v>
      </c>
    </row>
    <row r="564" spans="1:17" x14ac:dyDescent="0.45">
      <c r="A564" t="s">
        <v>49</v>
      </c>
      <c r="B564" t="s">
        <v>50</v>
      </c>
      <c r="C564" t="s">
        <v>35</v>
      </c>
      <c r="D564" t="s">
        <v>20</v>
      </c>
      <c r="E564" t="s">
        <v>21</v>
      </c>
      <c r="F564" s="1">
        <v>44501</v>
      </c>
      <c r="G564">
        <v>5.17</v>
      </c>
      <c r="H564">
        <v>79.918999999999997</v>
      </c>
      <c r="I564">
        <v>15.75</v>
      </c>
      <c r="J564">
        <v>77.08</v>
      </c>
      <c r="K564" t="s">
        <v>32</v>
      </c>
      <c r="L564">
        <v>488.91</v>
      </c>
      <c r="M564">
        <f>VLOOKUP(K564,RatingLookup!$A$2:$C$8,2,FALSE)</f>
        <v>0.12</v>
      </c>
      <c r="N564">
        <f t="shared" si="24"/>
        <v>1.0596241035318976E-2</v>
      </c>
      <c r="O564">
        <f>VLOOKUP(K564,RatingLookup!$A$2:$C$8,3,FALSE)</f>
        <v>0.7</v>
      </c>
      <c r="P564">
        <f t="shared" si="25"/>
        <v>3.6264257432044604</v>
      </c>
      <c r="Q564" t="str">
        <f t="shared" ca="1" si="26"/>
        <v>No</v>
      </c>
    </row>
    <row r="565" spans="1:17" x14ac:dyDescent="0.45">
      <c r="A565" t="s">
        <v>49</v>
      </c>
      <c r="B565" t="s">
        <v>50</v>
      </c>
      <c r="C565" t="s">
        <v>35</v>
      </c>
      <c r="D565" t="s">
        <v>20</v>
      </c>
      <c r="E565" t="s">
        <v>21</v>
      </c>
      <c r="F565" s="1">
        <v>44531</v>
      </c>
      <c r="G565">
        <v>4.6100000000000003</v>
      </c>
      <c r="H565">
        <v>84.502099999999999</v>
      </c>
      <c r="I565">
        <v>22.03</v>
      </c>
      <c r="J565">
        <v>85.66</v>
      </c>
      <c r="K565" t="s">
        <v>32</v>
      </c>
      <c r="L565">
        <v>483.93</v>
      </c>
      <c r="M565">
        <f>VLOOKUP(K565,RatingLookup!$A$2:$C$8,2,FALSE)</f>
        <v>0.12</v>
      </c>
      <c r="N565">
        <f t="shared" si="24"/>
        <v>1.0596241035318976E-2</v>
      </c>
      <c r="O565">
        <f>VLOOKUP(K565,RatingLookup!$A$2:$C$8,3,FALSE)</f>
        <v>0.7</v>
      </c>
      <c r="P565">
        <f t="shared" si="25"/>
        <v>3.5894872469553381</v>
      </c>
      <c r="Q565" t="str">
        <f t="shared" ca="1" si="26"/>
        <v>No</v>
      </c>
    </row>
    <row r="566" spans="1:17" x14ac:dyDescent="0.45">
      <c r="A566" t="s">
        <v>49</v>
      </c>
      <c r="B566" t="s">
        <v>50</v>
      </c>
      <c r="C566" t="s">
        <v>35</v>
      </c>
      <c r="D566" t="s">
        <v>20</v>
      </c>
      <c r="E566" t="s">
        <v>21</v>
      </c>
      <c r="F566" s="1">
        <v>44562</v>
      </c>
      <c r="G566">
        <v>5.76</v>
      </c>
      <c r="H566">
        <v>84.007199999999997</v>
      </c>
      <c r="I566">
        <v>16.37</v>
      </c>
      <c r="J566">
        <v>80.349999999999994</v>
      </c>
      <c r="K566" t="s">
        <v>32</v>
      </c>
      <c r="L566">
        <v>465.28</v>
      </c>
      <c r="M566">
        <f>VLOOKUP(K566,RatingLookup!$A$2:$C$8,2,FALSE)</f>
        <v>0.12</v>
      </c>
      <c r="N566">
        <f t="shared" si="24"/>
        <v>1.0596241035318976E-2</v>
      </c>
      <c r="O566">
        <f>VLOOKUP(K566,RatingLookup!$A$2:$C$8,3,FALSE)</f>
        <v>0.7</v>
      </c>
      <c r="P566">
        <f t="shared" si="25"/>
        <v>3.451153320239249</v>
      </c>
      <c r="Q566" t="str">
        <f t="shared" ca="1" si="26"/>
        <v>No</v>
      </c>
    </row>
    <row r="567" spans="1:17" x14ac:dyDescent="0.45">
      <c r="A567" t="s">
        <v>49</v>
      </c>
      <c r="B567" t="s">
        <v>50</v>
      </c>
      <c r="C567" t="s">
        <v>35</v>
      </c>
      <c r="D567" t="s">
        <v>20</v>
      </c>
      <c r="E567" t="s">
        <v>21</v>
      </c>
      <c r="F567" s="1">
        <v>44593</v>
      </c>
      <c r="G567">
        <v>5.0199999999999996</v>
      </c>
      <c r="H567">
        <v>81.470399999999998</v>
      </c>
      <c r="I567">
        <v>23.37</v>
      </c>
      <c r="J567">
        <v>78.88</v>
      </c>
      <c r="K567" t="s">
        <v>32</v>
      </c>
      <c r="L567">
        <v>489.15</v>
      </c>
      <c r="M567">
        <f>VLOOKUP(K567,RatingLookup!$A$2:$C$8,2,FALSE)</f>
        <v>0.12</v>
      </c>
      <c r="N567">
        <f t="shared" si="24"/>
        <v>1.0596241035318976E-2</v>
      </c>
      <c r="O567">
        <f>VLOOKUP(K567,RatingLookup!$A$2:$C$8,3,FALSE)</f>
        <v>0.7</v>
      </c>
      <c r="P567">
        <f t="shared" si="25"/>
        <v>3.6282059116983931</v>
      </c>
      <c r="Q567" t="str">
        <f t="shared" ca="1" si="26"/>
        <v>No</v>
      </c>
    </row>
    <row r="568" spans="1:17" x14ac:dyDescent="0.45">
      <c r="A568" t="s">
        <v>49</v>
      </c>
      <c r="B568" t="s">
        <v>50</v>
      </c>
      <c r="C568" t="s">
        <v>35</v>
      </c>
      <c r="D568" t="s">
        <v>20</v>
      </c>
      <c r="E568" t="s">
        <v>21</v>
      </c>
      <c r="F568" s="1">
        <v>44621</v>
      </c>
      <c r="G568">
        <v>4.79</v>
      </c>
      <c r="H568">
        <v>85.661699999999996</v>
      </c>
      <c r="I568">
        <v>15.11</v>
      </c>
      <c r="J568">
        <v>69.28</v>
      </c>
      <c r="K568" t="s">
        <v>32</v>
      </c>
      <c r="L568">
        <v>464.48</v>
      </c>
      <c r="M568">
        <f>VLOOKUP(K568,RatingLookup!$A$2:$C$8,2,FALSE)</f>
        <v>0.12</v>
      </c>
      <c r="N568">
        <f t="shared" si="24"/>
        <v>1.0596241035318976E-2</v>
      </c>
      <c r="O568">
        <f>VLOOKUP(K568,RatingLookup!$A$2:$C$8,3,FALSE)</f>
        <v>0.7</v>
      </c>
      <c r="P568">
        <f t="shared" si="25"/>
        <v>3.4452194252594706</v>
      </c>
      <c r="Q568" t="str">
        <f t="shared" ca="1" si="26"/>
        <v>No</v>
      </c>
    </row>
    <row r="569" spans="1:17" x14ac:dyDescent="0.45">
      <c r="A569" t="s">
        <v>49</v>
      </c>
      <c r="B569" t="s">
        <v>50</v>
      </c>
      <c r="C569" t="s">
        <v>35</v>
      </c>
      <c r="D569" t="s">
        <v>20</v>
      </c>
      <c r="E569" t="s">
        <v>21</v>
      </c>
      <c r="F569" s="1">
        <v>44652</v>
      </c>
      <c r="G569">
        <v>3.92</v>
      </c>
      <c r="H569">
        <v>85.522599999999997</v>
      </c>
      <c r="I569">
        <v>17.649999999999999</v>
      </c>
      <c r="J569">
        <v>74.48</v>
      </c>
      <c r="K569" t="s">
        <v>32</v>
      </c>
      <c r="L569">
        <v>488.57</v>
      </c>
      <c r="M569">
        <f>VLOOKUP(K569,RatingLookup!$A$2:$C$8,2,FALSE)</f>
        <v>0.12</v>
      </c>
      <c r="N569">
        <f t="shared" si="24"/>
        <v>1.0596241035318976E-2</v>
      </c>
      <c r="O569">
        <f>VLOOKUP(K569,RatingLookup!$A$2:$C$8,3,FALSE)</f>
        <v>0.7</v>
      </c>
      <c r="P569">
        <f t="shared" si="25"/>
        <v>3.6239038378380544</v>
      </c>
      <c r="Q569" t="str">
        <f t="shared" ca="1" si="26"/>
        <v>No</v>
      </c>
    </row>
    <row r="570" spans="1:17" x14ac:dyDescent="0.45">
      <c r="A570" t="s">
        <v>49</v>
      </c>
      <c r="B570" t="s">
        <v>50</v>
      </c>
      <c r="C570" t="s">
        <v>35</v>
      </c>
      <c r="D570" t="s">
        <v>20</v>
      </c>
      <c r="E570" t="s">
        <v>21</v>
      </c>
      <c r="F570" s="1">
        <v>44682</v>
      </c>
      <c r="G570">
        <v>5.48</v>
      </c>
      <c r="H570">
        <v>83.505200000000002</v>
      </c>
      <c r="I570">
        <v>15.91</v>
      </c>
      <c r="J570">
        <v>91.01</v>
      </c>
      <c r="K570" t="s">
        <v>32</v>
      </c>
      <c r="L570">
        <v>455.38</v>
      </c>
      <c r="M570">
        <f>VLOOKUP(K570,RatingLookup!$A$2:$C$8,2,FALSE)</f>
        <v>0.12</v>
      </c>
      <c r="N570">
        <f t="shared" si="24"/>
        <v>1.0596241035318976E-2</v>
      </c>
      <c r="O570">
        <f>VLOOKUP(K570,RatingLookup!$A$2:$C$8,3,FALSE)</f>
        <v>0.7</v>
      </c>
      <c r="P570">
        <f t="shared" si="25"/>
        <v>3.3777213698644881</v>
      </c>
      <c r="Q570" t="str">
        <f t="shared" ca="1" si="26"/>
        <v>No</v>
      </c>
    </row>
    <row r="571" spans="1:17" x14ac:dyDescent="0.45">
      <c r="A571" t="s">
        <v>49</v>
      </c>
      <c r="B571" t="s">
        <v>50</v>
      </c>
      <c r="C571" t="s">
        <v>35</v>
      </c>
      <c r="D571" t="s">
        <v>20</v>
      </c>
      <c r="E571" t="s">
        <v>21</v>
      </c>
      <c r="F571" s="1">
        <v>44713</v>
      </c>
      <c r="G571">
        <v>4.7699999999999996</v>
      </c>
      <c r="H571">
        <v>82.017200000000003</v>
      </c>
      <c r="I571">
        <v>13.53</v>
      </c>
      <c r="J571">
        <v>87.91</v>
      </c>
      <c r="K571" t="s">
        <v>32</v>
      </c>
      <c r="L571">
        <v>508.79</v>
      </c>
      <c r="M571">
        <f>VLOOKUP(K571,RatingLookup!$A$2:$C$8,2,FALSE)</f>
        <v>0.12</v>
      </c>
      <c r="N571">
        <f t="shared" si="24"/>
        <v>1.0596241035318976E-2</v>
      </c>
      <c r="O571">
        <f>VLOOKUP(K571,RatingLookup!$A$2:$C$8,3,FALSE)</f>
        <v>0.7</v>
      </c>
      <c r="P571">
        <f t="shared" si="25"/>
        <v>3.7738830334519591</v>
      </c>
      <c r="Q571" t="str">
        <f t="shared" ca="1" si="26"/>
        <v>No</v>
      </c>
    </row>
    <row r="572" spans="1:17" x14ac:dyDescent="0.45">
      <c r="A572" t="s">
        <v>49</v>
      </c>
      <c r="B572" t="s">
        <v>50</v>
      </c>
      <c r="C572" t="s">
        <v>35</v>
      </c>
      <c r="D572" t="s">
        <v>20</v>
      </c>
      <c r="E572" t="s">
        <v>21</v>
      </c>
      <c r="F572" s="1">
        <v>44743</v>
      </c>
      <c r="G572">
        <v>6.23</v>
      </c>
      <c r="H572">
        <v>78.728899999999996</v>
      </c>
      <c r="I572">
        <v>16.87</v>
      </c>
      <c r="J572">
        <v>82.13</v>
      </c>
      <c r="K572" t="s">
        <v>32</v>
      </c>
      <c r="L572">
        <v>505.05</v>
      </c>
      <c r="M572">
        <f>VLOOKUP(K572,RatingLookup!$A$2:$C$8,2,FALSE)</f>
        <v>0.12</v>
      </c>
      <c r="N572">
        <f t="shared" si="24"/>
        <v>1.0596241035318976E-2</v>
      </c>
      <c r="O572">
        <f>VLOOKUP(K572,RatingLookup!$A$2:$C$8,3,FALSE)</f>
        <v>0.7</v>
      </c>
      <c r="P572">
        <f t="shared" si="25"/>
        <v>3.7461420744214942</v>
      </c>
      <c r="Q572" t="str">
        <f t="shared" ca="1" si="26"/>
        <v>No</v>
      </c>
    </row>
    <row r="573" spans="1:17" x14ac:dyDescent="0.45">
      <c r="A573" t="s">
        <v>49</v>
      </c>
      <c r="B573" t="s">
        <v>50</v>
      </c>
      <c r="C573" t="s">
        <v>35</v>
      </c>
      <c r="D573" t="s">
        <v>20</v>
      </c>
      <c r="E573" t="s">
        <v>21</v>
      </c>
      <c r="F573" s="1">
        <v>44774</v>
      </c>
      <c r="G573">
        <v>6.14</v>
      </c>
      <c r="H573">
        <v>85.619100000000003</v>
      </c>
      <c r="I573">
        <v>18.98</v>
      </c>
      <c r="J573">
        <v>66.680000000000007</v>
      </c>
      <c r="K573" t="s">
        <v>32</v>
      </c>
      <c r="L573">
        <v>525.96</v>
      </c>
      <c r="M573">
        <f>VLOOKUP(K573,RatingLookup!$A$2:$C$8,2,FALSE)</f>
        <v>0.12</v>
      </c>
      <c r="N573">
        <f t="shared" si="24"/>
        <v>1.0596241035318976E-2</v>
      </c>
      <c r="O573">
        <f>VLOOKUP(K573,RatingLookup!$A$2:$C$8,3,FALSE)</f>
        <v>0.7</v>
      </c>
      <c r="P573">
        <f t="shared" si="25"/>
        <v>3.9012392544554579</v>
      </c>
      <c r="Q573" t="str">
        <f t="shared" ca="1" si="26"/>
        <v>No</v>
      </c>
    </row>
    <row r="574" spans="1:17" x14ac:dyDescent="0.45">
      <c r="A574" t="s">
        <v>49</v>
      </c>
      <c r="B574" t="s">
        <v>50</v>
      </c>
      <c r="C574" t="s">
        <v>35</v>
      </c>
      <c r="D574" t="s">
        <v>20</v>
      </c>
      <c r="E574" t="s">
        <v>21</v>
      </c>
      <c r="F574" s="1">
        <v>44805</v>
      </c>
      <c r="G574">
        <v>4.93</v>
      </c>
      <c r="H574">
        <v>82.143299999999996</v>
      </c>
      <c r="I574">
        <v>19.739999999999998</v>
      </c>
      <c r="J574">
        <v>65.510000000000005</v>
      </c>
      <c r="K574" t="s">
        <v>32</v>
      </c>
      <c r="L574">
        <v>473.97</v>
      </c>
      <c r="M574">
        <f>VLOOKUP(K574,RatingLookup!$A$2:$C$8,2,FALSE)</f>
        <v>0.12</v>
      </c>
      <c r="N574">
        <f t="shared" si="24"/>
        <v>1.0596241035318976E-2</v>
      </c>
      <c r="O574">
        <f>VLOOKUP(K574,RatingLookup!$A$2:$C$8,3,FALSE)</f>
        <v>0.7</v>
      </c>
      <c r="P574">
        <f t="shared" si="25"/>
        <v>3.5156102544570946</v>
      </c>
      <c r="Q574" t="str">
        <f t="shared" ca="1" si="26"/>
        <v>No</v>
      </c>
    </row>
    <row r="575" spans="1:17" x14ac:dyDescent="0.45">
      <c r="A575" t="s">
        <v>49</v>
      </c>
      <c r="B575" t="s">
        <v>50</v>
      </c>
      <c r="C575" t="s">
        <v>35</v>
      </c>
      <c r="D575" t="s">
        <v>20</v>
      </c>
      <c r="E575" t="s">
        <v>21</v>
      </c>
      <c r="F575" s="1">
        <v>44835</v>
      </c>
      <c r="G575">
        <v>5.08</v>
      </c>
      <c r="H575">
        <v>83.563100000000006</v>
      </c>
      <c r="I575">
        <v>20</v>
      </c>
      <c r="J575">
        <v>80.55</v>
      </c>
      <c r="K575" t="s">
        <v>32</v>
      </c>
      <c r="L575">
        <v>543.14</v>
      </c>
      <c r="M575">
        <f>VLOOKUP(K575,RatingLookup!$A$2:$C$8,2,FALSE)</f>
        <v>0.12</v>
      </c>
      <c r="N575">
        <f t="shared" si="24"/>
        <v>1.0596241035318976E-2</v>
      </c>
      <c r="O575">
        <f>VLOOKUP(K575,RatingLookup!$A$2:$C$8,3,FALSE)</f>
        <v>0.7</v>
      </c>
      <c r="P575">
        <f t="shared" si="25"/>
        <v>4.0286696491462042</v>
      </c>
      <c r="Q575" t="str">
        <f t="shared" ca="1" si="26"/>
        <v>No</v>
      </c>
    </row>
    <row r="576" spans="1:17" x14ac:dyDescent="0.45">
      <c r="A576" t="s">
        <v>49</v>
      </c>
      <c r="B576" t="s">
        <v>50</v>
      </c>
      <c r="C576" t="s">
        <v>35</v>
      </c>
      <c r="D576" t="s">
        <v>20</v>
      </c>
      <c r="E576" t="s">
        <v>21</v>
      </c>
      <c r="F576" s="1">
        <v>44866</v>
      </c>
      <c r="G576">
        <v>5.25</v>
      </c>
      <c r="H576">
        <v>85.04</v>
      </c>
      <c r="I576">
        <v>15.91</v>
      </c>
      <c r="J576">
        <v>82.51</v>
      </c>
      <c r="K576" t="s">
        <v>32</v>
      </c>
      <c r="L576">
        <v>466.26</v>
      </c>
      <c r="M576">
        <f>VLOOKUP(K576,RatingLookup!$A$2:$C$8,2,FALSE)</f>
        <v>0.12</v>
      </c>
      <c r="N576">
        <f t="shared" si="24"/>
        <v>1.0596241035318976E-2</v>
      </c>
      <c r="O576">
        <f>VLOOKUP(K576,RatingLookup!$A$2:$C$8,3,FALSE)</f>
        <v>0.7</v>
      </c>
      <c r="P576">
        <f t="shared" si="25"/>
        <v>3.4584223415894781</v>
      </c>
      <c r="Q576" t="str">
        <f t="shared" ca="1" si="26"/>
        <v>No</v>
      </c>
    </row>
    <row r="577" spans="1:17" x14ac:dyDescent="0.45">
      <c r="A577" t="s">
        <v>49</v>
      </c>
      <c r="B577" t="s">
        <v>50</v>
      </c>
      <c r="C577" t="s">
        <v>35</v>
      </c>
      <c r="D577" t="s">
        <v>20</v>
      </c>
      <c r="E577" t="s">
        <v>21</v>
      </c>
      <c r="F577" s="1">
        <v>44896</v>
      </c>
      <c r="G577">
        <v>5.6</v>
      </c>
      <c r="H577">
        <v>84.889700000000005</v>
      </c>
      <c r="I577">
        <v>15.9</v>
      </c>
      <c r="J577">
        <v>99</v>
      </c>
      <c r="K577" t="s">
        <v>32</v>
      </c>
      <c r="L577">
        <v>492.02</v>
      </c>
      <c r="M577">
        <f>VLOOKUP(K577,RatingLookup!$A$2:$C$8,2,FALSE)</f>
        <v>0.12</v>
      </c>
      <c r="N577">
        <f t="shared" si="24"/>
        <v>1.0596241035318976E-2</v>
      </c>
      <c r="O577">
        <f>VLOOKUP(K577,RatingLookup!$A$2:$C$8,3,FALSE)</f>
        <v>0.7</v>
      </c>
      <c r="P577">
        <f t="shared" si="25"/>
        <v>3.6494937599383492</v>
      </c>
      <c r="Q577" t="str">
        <f t="shared" ca="1" si="26"/>
        <v>No</v>
      </c>
    </row>
    <row r="578" spans="1:17" x14ac:dyDescent="0.45">
      <c r="A578" t="s">
        <v>49</v>
      </c>
      <c r="B578" t="s">
        <v>50</v>
      </c>
      <c r="C578" t="s">
        <v>35</v>
      </c>
      <c r="D578" t="s">
        <v>20</v>
      </c>
      <c r="E578" t="s">
        <v>21</v>
      </c>
      <c r="F578" s="1">
        <v>44927</v>
      </c>
      <c r="G578">
        <v>4.87</v>
      </c>
      <c r="H578">
        <v>83.668999999999997</v>
      </c>
      <c r="I578">
        <v>11.31</v>
      </c>
      <c r="J578">
        <v>73.209999999999994</v>
      </c>
      <c r="K578" t="s">
        <v>32</v>
      </c>
      <c r="L578">
        <v>506.75</v>
      </c>
      <c r="M578">
        <f>VLOOKUP(K578,RatingLookup!$A$2:$C$8,2,FALSE)</f>
        <v>0.12</v>
      </c>
      <c r="N578">
        <f t="shared" ref="N578:N641" si="27">1-(1-M578)^(1/12)</f>
        <v>1.0596241035318976E-2</v>
      </c>
      <c r="O578">
        <f>VLOOKUP(K578,RatingLookup!$A$2:$C$8,3,FALSE)</f>
        <v>0.7</v>
      </c>
      <c r="P578">
        <f t="shared" ref="P578:P641" si="28">L578*N578*O578</f>
        <v>3.7587516012535236</v>
      </c>
      <c r="Q578" t="str">
        <f t="shared" ref="Q578:Q641" ca="1" si="29">IF(RAND()&lt;N578,"Yes","No")</f>
        <v>No</v>
      </c>
    </row>
    <row r="579" spans="1:17" x14ac:dyDescent="0.45">
      <c r="A579" t="s">
        <v>49</v>
      </c>
      <c r="B579" t="s">
        <v>50</v>
      </c>
      <c r="C579" t="s">
        <v>35</v>
      </c>
      <c r="D579" t="s">
        <v>20</v>
      </c>
      <c r="E579" t="s">
        <v>21</v>
      </c>
      <c r="F579" s="1">
        <v>44958</v>
      </c>
      <c r="G579">
        <v>5.58</v>
      </c>
      <c r="H579">
        <v>81.813699999999997</v>
      </c>
      <c r="I579">
        <v>9.1199999999999992</v>
      </c>
      <c r="J579">
        <v>74.73</v>
      </c>
      <c r="K579" t="s">
        <v>32</v>
      </c>
      <c r="L579">
        <v>510.42</v>
      </c>
      <c r="M579">
        <f>VLOOKUP(K579,RatingLookup!$A$2:$C$8,2,FALSE)</f>
        <v>0.12</v>
      </c>
      <c r="N579">
        <f t="shared" si="27"/>
        <v>1.0596241035318976E-2</v>
      </c>
      <c r="O579">
        <f>VLOOKUP(K579,RatingLookup!$A$2:$C$8,3,FALSE)</f>
        <v>0.7</v>
      </c>
      <c r="P579">
        <f t="shared" si="28"/>
        <v>3.7859733444732582</v>
      </c>
      <c r="Q579" t="str">
        <f t="shared" ca="1" si="29"/>
        <v>No</v>
      </c>
    </row>
    <row r="580" spans="1:17" x14ac:dyDescent="0.45">
      <c r="A580" t="s">
        <v>49</v>
      </c>
      <c r="B580" t="s">
        <v>50</v>
      </c>
      <c r="C580" t="s">
        <v>35</v>
      </c>
      <c r="D580" t="s">
        <v>20</v>
      </c>
      <c r="E580" t="s">
        <v>21</v>
      </c>
      <c r="F580" s="1">
        <v>44986</v>
      </c>
      <c r="G580">
        <v>5.15</v>
      </c>
      <c r="H580">
        <v>85.245800000000003</v>
      </c>
      <c r="I580">
        <v>5</v>
      </c>
      <c r="J580">
        <v>80.209999999999994</v>
      </c>
      <c r="K580" t="s">
        <v>32</v>
      </c>
      <c r="L580">
        <v>533.11</v>
      </c>
      <c r="M580">
        <f>VLOOKUP(K580,RatingLookup!$A$2:$C$8,2,FALSE)</f>
        <v>0.12</v>
      </c>
      <c r="N580">
        <f t="shared" si="27"/>
        <v>1.0596241035318976E-2</v>
      </c>
      <c r="O580">
        <f>VLOOKUP(K580,RatingLookup!$A$2:$C$8,3,FALSE)</f>
        <v>0.7</v>
      </c>
      <c r="P580">
        <f t="shared" si="28"/>
        <v>3.9542734408372295</v>
      </c>
      <c r="Q580" t="str">
        <f t="shared" ca="1" si="29"/>
        <v>No</v>
      </c>
    </row>
    <row r="581" spans="1:17" x14ac:dyDescent="0.45">
      <c r="A581" t="s">
        <v>49</v>
      </c>
      <c r="B581" t="s">
        <v>50</v>
      </c>
      <c r="C581" t="s">
        <v>35</v>
      </c>
      <c r="D581" t="s">
        <v>20</v>
      </c>
      <c r="E581" t="s">
        <v>21</v>
      </c>
      <c r="F581" s="1">
        <v>45017</v>
      </c>
      <c r="G581">
        <v>6.4</v>
      </c>
      <c r="H581">
        <v>82.200400000000002</v>
      </c>
      <c r="I581">
        <v>10.82</v>
      </c>
      <c r="J581">
        <v>92.56</v>
      </c>
      <c r="K581" t="s">
        <v>32</v>
      </c>
      <c r="L581">
        <v>496.79</v>
      </c>
      <c r="M581">
        <f>VLOOKUP(K581,RatingLookup!$A$2:$C$8,2,FALSE)</f>
        <v>0.12</v>
      </c>
      <c r="N581">
        <f t="shared" si="27"/>
        <v>1.0596241035318976E-2</v>
      </c>
      <c r="O581">
        <f>VLOOKUP(K581,RatingLookup!$A$2:$C$8,3,FALSE)</f>
        <v>0.7</v>
      </c>
      <c r="P581">
        <f t="shared" si="28"/>
        <v>3.6848746087552797</v>
      </c>
      <c r="Q581" t="str">
        <f t="shared" ca="1" si="29"/>
        <v>No</v>
      </c>
    </row>
    <row r="582" spans="1:17" x14ac:dyDescent="0.45">
      <c r="A582" t="s">
        <v>49</v>
      </c>
      <c r="B582" t="s">
        <v>50</v>
      </c>
      <c r="C582" t="s">
        <v>35</v>
      </c>
      <c r="D582" t="s">
        <v>20</v>
      </c>
      <c r="E582" t="s">
        <v>21</v>
      </c>
      <c r="F582" s="1">
        <v>45047</v>
      </c>
      <c r="G582">
        <v>4.75</v>
      </c>
      <c r="H582">
        <v>84.209699999999998</v>
      </c>
      <c r="I582">
        <v>22.82</v>
      </c>
      <c r="J582">
        <v>81.02</v>
      </c>
      <c r="K582" t="s">
        <v>32</v>
      </c>
      <c r="L582">
        <v>479.17</v>
      </c>
      <c r="M582">
        <f>VLOOKUP(K582,RatingLookup!$A$2:$C$8,2,FALSE)</f>
        <v>0.12</v>
      </c>
      <c r="N582">
        <f t="shared" si="27"/>
        <v>1.0596241035318976E-2</v>
      </c>
      <c r="O582">
        <f>VLOOKUP(K582,RatingLookup!$A$2:$C$8,3,FALSE)</f>
        <v>0.7</v>
      </c>
      <c r="P582">
        <f t="shared" si="28"/>
        <v>3.5541805718256558</v>
      </c>
      <c r="Q582" t="str">
        <f t="shared" ca="1" si="29"/>
        <v>No</v>
      </c>
    </row>
    <row r="583" spans="1:17" x14ac:dyDescent="0.45">
      <c r="A583" t="s">
        <v>49</v>
      </c>
      <c r="B583" t="s">
        <v>50</v>
      </c>
      <c r="C583" t="s">
        <v>35</v>
      </c>
      <c r="D583" t="s">
        <v>20</v>
      </c>
      <c r="E583" t="s">
        <v>21</v>
      </c>
      <c r="F583" s="1">
        <v>45078</v>
      </c>
      <c r="G583">
        <v>4.8600000000000003</v>
      </c>
      <c r="H583">
        <v>80.305400000000006</v>
      </c>
      <c r="I583">
        <v>8.56</v>
      </c>
      <c r="J583">
        <v>85.61</v>
      </c>
      <c r="K583" t="s">
        <v>32</v>
      </c>
      <c r="L583">
        <v>465.82</v>
      </c>
      <c r="M583">
        <f>VLOOKUP(K583,RatingLookup!$A$2:$C$8,2,FALSE)</f>
        <v>0.12</v>
      </c>
      <c r="N583">
        <f t="shared" si="27"/>
        <v>1.0596241035318976E-2</v>
      </c>
      <c r="O583">
        <f>VLOOKUP(K583,RatingLookup!$A$2:$C$8,3,FALSE)</f>
        <v>0.7</v>
      </c>
      <c r="P583">
        <f t="shared" si="28"/>
        <v>3.4551586993506</v>
      </c>
      <c r="Q583" t="str">
        <f t="shared" ca="1" si="29"/>
        <v>No</v>
      </c>
    </row>
    <row r="584" spans="1:17" x14ac:dyDescent="0.45">
      <c r="A584" t="s">
        <v>49</v>
      </c>
      <c r="B584" t="s">
        <v>50</v>
      </c>
      <c r="C584" t="s">
        <v>35</v>
      </c>
      <c r="D584" t="s">
        <v>20</v>
      </c>
      <c r="E584" t="s">
        <v>21</v>
      </c>
      <c r="F584" s="1">
        <v>45108</v>
      </c>
      <c r="G584">
        <v>5.68</v>
      </c>
      <c r="H584">
        <v>87.003299999999996</v>
      </c>
      <c r="I584">
        <v>11.13</v>
      </c>
      <c r="J584">
        <v>87.94</v>
      </c>
      <c r="K584" t="s">
        <v>32</v>
      </c>
      <c r="L584">
        <v>489.98</v>
      </c>
      <c r="M584">
        <f>VLOOKUP(K584,RatingLookup!$A$2:$C$8,2,FALSE)</f>
        <v>0.12</v>
      </c>
      <c r="N584">
        <f t="shared" si="27"/>
        <v>1.0596241035318976E-2</v>
      </c>
      <c r="O584">
        <f>VLOOKUP(K584,RatingLookup!$A$2:$C$8,3,FALSE)</f>
        <v>0.7</v>
      </c>
      <c r="P584">
        <f t="shared" si="28"/>
        <v>3.6343623277399146</v>
      </c>
      <c r="Q584" t="str">
        <f t="shared" ca="1" si="29"/>
        <v>No</v>
      </c>
    </row>
    <row r="585" spans="1:17" x14ac:dyDescent="0.45">
      <c r="A585" t="s">
        <v>49</v>
      </c>
      <c r="B585" t="s">
        <v>50</v>
      </c>
      <c r="C585" t="s">
        <v>35</v>
      </c>
      <c r="D585" t="s">
        <v>20</v>
      </c>
      <c r="E585" t="s">
        <v>21</v>
      </c>
      <c r="F585" s="1">
        <v>45139</v>
      </c>
      <c r="G585">
        <v>7.04</v>
      </c>
      <c r="H585">
        <v>83.9238</v>
      </c>
      <c r="I585">
        <v>17.61</v>
      </c>
      <c r="J585">
        <v>71.72</v>
      </c>
      <c r="K585" t="s">
        <v>32</v>
      </c>
      <c r="L585">
        <v>473.53</v>
      </c>
      <c r="M585">
        <f>VLOOKUP(K585,RatingLookup!$A$2:$C$8,2,FALSE)</f>
        <v>0.12</v>
      </c>
      <c r="N585">
        <f t="shared" si="27"/>
        <v>1.0596241035318976E-2</v>
      </c>
      <c r="O585">
        <f>VLOOKUP(K585,RatingLookup!$A$2:$C$8,3,FALSE)</f>
        <v>0.7</v>
      </c>
      <c r="P585">
        <f t="shared" si="28"/>
        <v>3.5123466122182161</v>
      </c>
      <c r="Q585" t="str">
        <f t="shared" ca="1" si="29"/>
        <v>No</v>
      </c>
    </row>
    <row r="586" spans="1:17" x14ac:dyDescent="0.45">
      <c r="A586" t="s">
        <v>49</v>
      </c>
      <c r="B586" t="s">
        <v>50</v>
      </c>
      <c r="C586" t="s">
        <v>35</v>
      </c>
      <c r="D586" t="s">
        <v>20</v>
      </c>
      <c r="E586" t="s">
        <v>21</v>
      </c>
      <c r="F586" s="1">
        <v>45170</v>
      </c>
      <c r="G586">
        <v>5.63</v>
      </c>
      <c r="H586">
        <v>85.520499999999998</v>
      </c>
      <c r="I586">
        <v>25.51</v>
      </c>
      <c r="J586">
        <v>73.38</v>
      </c>
      <c r="K586" t="s">
        <v>32</v>
      </c>
      <c r="L586">
        <v>491.72</v>
      </c>
      <c r="M586">
        <f>VLOOKUP(K586,RatingLookup!$A$2:$C$8,2,FALSE)</f>
        <v>0.12</v>
      </c>
      <c r="N586">
        <f t="shared" si="27"/>
        <v>1.0596241035318976E-2</v>
      </c>
      <c r="O586">
        <f>VLOOKUP(K586,RatingLookup!$A$2:$C$8,3,FALSE)</f>
        <v>0.7</v>
      </c>
      <c r="P586">
        <f t="shared" si="28"/>
        <v>3.6472685493209327</v>
      </c>
      <c r="Q586" t="str">
        <f t="shared" ca="1" si="29"/>
        <v>No</v>
      </c>
    </row>
    <row r="587" spans="1:17" x14ac:dyDescent="0.45">
      <c r="A587" t="s">
        <v>49</v>
      </c>
      <c r="B587" t="s">
        <v>50</v>
      </c>
      <c r="C587" t="s">
        <v>35</v>
      </c>
      <c r="D587" t="s">
        <v>20</v>
      </c>
      <c r="E587" t="s">
        <v>21</v>
      </c>
      <c r="F587" s="1">
        <v>45200</v>
      </c>
      <c r="G587">
        <v>5.26</v>
      </c>
      <c r="H587">
        <v>82.996300000000005</v>
      </c>
      <c r="I587">
        <v>27.54</v>
      </c>
      <c r="J587">
        <v>71.27</v>
      </c>
      <c r="K587" t="s">
        <v>32</v>
      </c>
      <c r="L587">
        <v>524.34</v>
      </c>
      <c r="M587">
        <f>VLOOKUP(K587,RatingLookup!$A$2:$C$8,2,FALSE)</f>
        <v>0.12</v>
      </c>
      <c r="N587">
        <f t="shared" si="27"/>
        <v>1.0596241035318976E-2</v>
      </c>
      <c r="O587">
        <f>VLOOKUP(K587,RatingLookup!$A$2:$C$8,3,FALSE)</f>
        <v>0.7</v>
      </c>
      <c r="P587">
        <f t="shared" si="28"/>
        <v>3.8892231171214062</v>
      </c>
      <c r="Q587" t="str">
        <f t="shared" ca="1" si="29"/>
        <v>No</v>
      </c>
    </row>
    <row r="588" spans="1:17" x14ac:dyDescent="0.45">
      <c r="A588" t="s">
        <v>49</v>
      </c>
      <c r="B588" t="s">
        <v>50</v>
      </c>
      <c r="C588" t="s">
        <v>35</v>
      </c>
      <c r="D588" t="s">
        <v>20</v>
      </c>
      <c r="E588" t="s">
        <v>21</v>
      </c>
      <c r="F588" s="1">
        <v>45231</v>
      </c>
      <c r="G588">
        <v>4.2</v>
      </c>
      <c r="H588">
        <v>81.638599999999997</v>
      </c>
      <c r="I588">
        <v>29.64</v>
      </c>
      <c r="J588">
        <v>82.57</v>
      </c>
      <c r="K588" t="s">
        <v>32</v>
      </c>
      <c r="L588">
        <v>513.80999999999995</v>
      </c>
      <c r="M588">
        <f>VLOOKUP(K588,RatingLookup!$A$2:$C$8,2,FALSE)</f>
        <v>0.12</v>
      </c>
      <c r="N588">
        <f t="shared" si="27"/>
        <v>1.0596241035318976E-2</v>
      </c>
      <c r="O588">
        <f>VLOOKUP(K588,RatingLookup!$A$2:$C$8,3,FALSE)</f>
        <v>0.7</v>
      </c>
      <c r="P588">
        <f t="shared" si="28"/>
        <v>3.8111182244500696</v>
      </c>
      <c r="Q588" t="str">
        <f t="shared" ca="1" si="29"/>
        <v>No</v>
      </c>
    </row>
    <row r="589" spans="1:17" x14ac:dyDescent="0.45">
      <c r="A589" t="s">
        <v>49</v>
      </c>
      <c r="B589" t="s">
        <v>50</v>
      </c>
      <c r="C589" t="s">
        <v>35</v>
      </c>
      <c r="D589" t="s">
        <v>20</v>
      </c>
      <c r="E589" t="s">
        <v>21</v>
      </c>
      <c r="F589" s="1">
        <v>45261</v>
      </c>
      <c r="G589">
        <v>5.45</v>
      </c>
      <c r="H589">
        <v>84.9268</v>
      </c>
      <c r="I589">
        <v>25.42</v>
      </c>
      <c r="J589">
        <v>70.19</v>
      </c>
      <c r="K589" t="s">
        <v>32</v>
      </c>
      <c r="L589">
        <v>491.64</v>
      </c>
      <c r="M589">
        <f>VLOOKUP(K589,RatingLookup!$A$2:$C$8,2,FALSE)</f>
        <v>0.12</v>
      </c>
      <c r="N589">
        <f t="shared" si="27"/>
        <v>1.0596241035318976E-2</v>
      </c>
      <c r="O589">
        <f>VLOOKUP(K589,RatingLookup!$A$2:$C$8,3,FALSE)</f>
        <v>0.7</v>
      </c>
      <c r="P589">
        <f t="shared" si="28"/>
        <v>3.6466751598229545</v>
      </c>
      <c r="Q589" t="str">
        <f t="shared" ca="1" si="29"/>
        <v>No</v>
      </c>
    </row>
    <row r="590" spans="1:17" x14ac:dyDescent="0.45">
      <c r="A590" t="s">
        <v>49</v>
      </c>
      <c r="B590" t="s">
        <v>50</v>
      </c>
      <c r="C590" t="s">
        <v>35</v>
      </c>
      <c r="D590" t="s">
        <v>20</v>
      </c>
      <c r="E590" t="s">
        <v>21</v>
      </c>
      <c r="F590" s="1">
        <v>45292</v>
      </c>
      <c r="G590">
        <v>5.31</v>
      </c>
      <c r="H590">
        <v>84.010400000000004</v>
      </c>
      <c r="I590">
        <v>15.69</v>
      </c>
      <c r="J590">
        <v>89.11</v>
      </c>
      <c r="K590" t="s">
        <v>32</v>
      </c>
      <c r="L590">
        <v>497.57</v>
      </c>
      <c r="M590">
        <f>VLOOKUP(K590,RatingLookup!$A$2:$C$8,2,FALSE)</f>
        <v>0.12</v>
      </c>
      <c r="N590">
        <f t="shared" si="27"/>
        <v>1.0596241035318976E-2</v>
      </c>
      <c r="O590">
        <f>VLOOKUP(K590,RatingLookup!$A$2:$C$8,3,FALSE)</f>
        <v>0.7</v>
      </c>
      <c r="P590">
        <f t="shared" si="28"/>
        <v>3.6906601563605639</v>
      </c>
      <c r="Q590" t="str">
        <f t="shared" ca="1" si="29"/>
        <v>No</v>
      </c>
    </row>
    <row r="591" spans="1:17" x14ac:dyDescent="0.45">
      <c r="A591" t="s">
        <v>49</v>
      </c>
      <c r="B591" t="s">
        <v>50</v>
      </c>
      <c r="C591" t="s">
        <v>35</v>
      </c>
      <c r="D591" t="s">
        <v>20</v>
      </c>
      <c r="E591" t="s">
        <v>21</v>
      </c>
      <c r="F591" s="1">
        <v>45323</v>
      </c>
      <c r="G591">
        <v>3.97</v>
      </c>
      <c r="H591">
        <v>80.099800000000002</v>
      </c>
      <c r="I591">
        <v>21.43</v>
      </c>
      <c r="J591">
        <v>98.2</v>
      </c>
      <c r="K591" t="s">
        <v>32</v>
      </c>
      <c r="L591">
        <v>498.33</v>
      </c>
      <c r="M591">
        <f>VLOOKUP(K591,RatingLookup!$A$2:$C$8,2,FALSE)</f>
        <v>0.12</v>
      </c>
      <c r="N591">
        <f t="shared" si="27"/>
        <v>1.0596241035318976E-2</v>
      </c>
      <c r="O591">
        <f>VLOOKUP(K591,RatingLookup!$A$2:$C$8,3,FALSE)</f>
        <v>0.7</v>
      </c>
      <c r="P591">
        <f t="shared" si="28"/>
        <v>3.6962973565913537</v>
      </c>
      <c r="Q591" t="str">
        <f t="shared" ca="1" si="29"/>
        <v>No</v>
      </c>
    </row>
    <row r="592" spans="1:17" x14ac:dyDescent="0.45">
      <c r="A592" t="s">
        <v>49</v>
      </c>
      <c r="B592" t="s">
        <v>50</v>
      </c>
      <c r="C592" t="s">
        <v>35</v>
      </c>
      <c r="D592" t="s">
        <v>20</v>
      </c>
      <c r="E592" t="s">
        <v>21</v>
      </c>
      <c r="F592" s="1">
        <v>45352</v>
      </c>
      <c r="G592">
        <v>6.18</v>
      </c>
      <c r="H592">
        <v>81.894599999999997</v>
      </c>
      <c r="I592">
        <v>18.89</v>
      </c>
      <c r="J592">
        <v>77.95</v>
      </c>
      <c r="K592" t="s">
        <v>32</v>
      </c>
      <c r="L592">
        <v>485.8</v>
      </c>
      <c r="M592">
        <f>VLOOKUP(K592,RatingLookup!$A$2:$C$8,2,FALSE)</f>
        <v>0.12</v>
      </c>
      <c r="N592">
        <f t="shared" si="27"/>
        <v>1.0596241035318976E-2</v>
      </c>
      <c r="O592">
        <f>VLOOKUP(K592,RatingLookup!$A$2:$C$8,3,FALSE)</f>
        <v>0.7</v>
      </c>
      <c r="P592">
        <f t="shared" si="28"/>
        <v>3.6033577264705707</v>
      </c>
      <c r="Q592" t="str">
        <f t="shared" ca="1" si="29"/>
        <v>No</v>
      </c>
    </row>
    <row r="593" spans="1:17" x14ac:dyDescent="0.45">
      <c r="A593" t="s">
        <v>49</v>
      </c>
      <c r="B593" t="s">
        <v>50</v>
      </c>
      <c r="C593" t="s">
        <v>35</v>
      </c>
      <c r="D593" t="s">
        <v>20</v>
      </c>
      <c r="E593" t="s">
        <v>21</v>
      </c>
      <c r="F593" s="1">
        <v>45383</v>
      </c>
      <c r="G593">
        <v>5.41</v>
      </c>
      <c r="H593">
        <v>86.364500000000007</v>
      </c>
      <c r="I593">
        <v>13.24</v>
      </c>
      <c r="J593">
        <v>69.44</v>
      </c>
      <c r="K593" t="s">
        <v>32</v>
      </c>
      <c r="L593">
        <v>496.55</v>
      </c>
      <c r="M593">
        <f>VLOOKUP(K593,RatingLookup!$A$2:$C$8,2,FALSE)</f>
        <v>0.12</v>
      </c>
      <c r="N593">
        <f t="shared" si="27"/>
        <v>1.0596241035318976E-2</v>
      </c>
      <c r="O593">
        <f>VLOOKUP(K593,RatingLookup!$A$2:$C$8,3,FALSE)</f>
        <v>0.7</v>
      </c>
      <c r="P593">
        <f t="shared" si="28"/>
        <v>3.6830944402613461</v>
      </c>
      <c r="Q593" t="str">
        <f t="shared" ca="1" si="29"/>
        <v>No</v>
      </c>
    </row>
    <row r="594" spans="1:17" x14ac:dyDescent="0.45">
      <c r="A594" t="s">
        <v>49</v>
      </c>
      <c r="B594" t="s">
        <v>50</v>
      </c>
      <c r="C594" t="s">
        <v>35</v>
      </c>
      <c r="D594" t="s">
        <v>20</v>
      </c>
      <c r="E594" t="s">
        <v>21</v>
      </c>
      <c r="F594" s="1">
        <v>45413</v>
      </c>
      <c r="G594">
        <v>5.43</v>
      </c>
      <c r="H594">
        <v>83.219700000000003</v>
      </c>
      <c r="I594">
        <v>16.93</v>
      </c>
      <c r="J594">
        <v>67.44</v>
      </c>
      <c r="K594" t="s">
        <v>32</v>
      </c>
      <c r="L594">
        <v>493.02</v>
      </c>
      <c r="M594">
        <f>VLOOKUP(K594,RatingLookup!$A$2:$C$8,2,FALSE)</f>
        <v>0.12</v>
      </c>
      <c r="N594">
        <f t="shared" si="27"/>
        <v>1.0596241035318976E-2</v>
      </c>
      <c r="O594">
        <f>VLOOKUP(K594,RatingLookup!$A$2:$C$8,3,FALSE)</f>
        <v>0.7</v>
      </c>
      <c r="P594">
        <f t="shared" si="28"/>
        <v>3.6569111286630727</v>
      </c>
      <c r="Q594" t="str">
        <f t="shared" ca="1" si="29"/>
        <v>No</v>
      </c>
    </row>
    <row r="595" spans="1:17" x14ac:dyDescent="0.45">
      <c r="A595" t="s">
        <v>49</v>
      </c>
      <c r="B595" t="s">
        <v>50</v>
      </c>
      <c r="C595" t="s">
        <v>35</v>
      </c>
      <c r="D595" t="s">
        <v>20</v>
      </c>
      <c r="E595" t="s">
        <v>21</v>
      </c>
      <c r="F595" s="1">
        <v>45444</v>
      </c>
      <c r="G595">
        <v>5.93</v>
      </c>
      <c r="H595">
        <v>83.689800000000005</v>
      </c>
      <c r="I595">
        <v>13.7</v>
      </c>
      <c r="J595">
        <v>94.22</v>
      </c>
      <c r="K595" t="s">
        <v>32</v>
      </c>
      <c r="L595">
        <v>502.66</v>
      </c>
      <c r="M595">
        <f>VLOOKUP(K595,RatingLookup!$A$2:$C$8,2,FALSE)</f>
        <v>0.12</v>
      </c>
      <c r="N595">
        <f t="shared" si="27"/>
        <v>1.0596241035318976E-2</v>
      </c>
      <c r="O595">
        <f>VLOOKUP(K595,RatingLookup!$A$2:$C$8,3,FALSE)</f>
        <v>0.7</v>
      </c>
      <c r="P595">
        <f t="shared" si="28"/>
        <v>3.7284145631694052</v>
      </c>
      <c r="Q595" t="str">
        <f t="shared" ca="1" si="29"/>
        <v>No</v>
      </c>
    </row>
    <row r="596" spans="1:17" x14ac:dyDescent="0.45">
      <c r="A596" t="s">
        <v>49</v>
      </c>
      <c r="B596" t="s">
        <v>50</v>
      </c>
      <c r="C596" t="s">
        <v>35</v>
      </c>
      <c r="D596" t="s">
        <v>20</v>
      </c>
      <c r="E596" t="s">
        <v>21</v>
      </c>
      <c r="F596" s="1">
        <v>45474</v>
      </c>
      <c r="G596">
        <v>6.04</v>
      </c>
      <c r="H596">
        <v>83.132900000000006</v>
      </c>
      <c r="I596">
        <v>18.68</v>
      </c>
      <c r="J596">
        <v>95.36</v>
      </c>
      <c r="K596" t="s">
        <v>32</v>
      </c>
      <c r="L596">
        <v>518.91</v>
      </c>
      <c r="M596">
        <f>VLOOKUP(K596,RatingLookup!$A$2:$C$8,2,FALSE)</f>
        <v>0.12</v>
      </c>
      <c r="N596">
        <f t="shared" si="27"/>
        <v>1.0596241035318976E-2</v>
      </c>
      <c r="O596">
        <f>VLOOKUP(K596,RatingLookup!$A$2:$C$8,3,FALSE)</f>
        <v>0.7</v>
      </c>
      <c r="P596">
        <f t="shared" si="28"/>
        <v>3.8489468049461588</v>
      </c>
      <c r="Q596" t="str">
        <f t="shared" ca="1" si="29"/>
        <v>No</v>
      </c>
    </row>
    <row r="597" spans="1:17" x14ac:dyDescent="0.45">
      <c r="A597" t="s">
        <v>49</v>
      </c>
      <c r="B597" t="s">
        <v>50</v>
      </c>
      <c r="C597" t="s">
        <v>35</v>
      </c>
      <c r="D597" t="s">
        <v>20</v>
      </c>
      <c r="E597" t="s">
        <v>21</v>
      </c>
      <c r="F597" s="1">
        <v>45505</v>
      </c>
      <c r="G597">
        <v>5.57</v>
      </c>
      <c r="H597">
        <v>83.9114</v>
      </c>
      <c r="I597">
        <v>18.34</v>
      </c>
      <c r="J597">
        <v>86.04</v>
      </c>
      <c r="K597" t="s">
        <v>32</v>
      </c>
      <c r="L597">
        <v>515.66999999999996</v>
      </c>
      <c r="M597">
        <f>VLOOKUP(K597,RatingLookup!$A$2:$C$8,2,FALSE)</f>
        <v>0.12</v>
      </c>
      <c r="N597">
        <f t="shared" si="27"/>
        <v>1.0596241035318976E-2</v>
      </c>
      <c r="O597">
        <f>VLOOKUP(K597,RatingLookup!$A$2:$C$8,3,FALSE)</f>
        <v>0.7</v>
      </c>
      <c r="P597">
        <f t="shared" si="28"/>
        <v>3.8249145302780549</v>
      </c>
      <c r="Q597" t="str">
        <f t="shared" ca="1" si="29"/>
        <v>No</v>
      </c>
    </row>
    <row r="598" spans="1:17" x14ac:dyDescent="0.45">
      <c r="A598" t="s">
        <v>49</v>
      </c>
      <c r="B598" t="s">
        <v>50</v>
      </c>
      <c r="C598" t="s">
        <v>35</v>
      </c>
      <c r="D598" t="s">
        <v>20</v>
      </c>
      <c r="E598" t="s">
        <v>21</v>
      </c>
      <c r="F598" s="1">
        <v>45536</v>
      </c>
      <c r="G598">
        <v>4.87</v>
      </c>
      <c r="H598">
        <v>77.746700000000004</v>
      </c>
      <c r="I598">
        <v>14.17</v>
      </c>
      <c r="J598">
        <v>93.93</v>
      </c>
      <c r="K598" t="s">
        <v>32</v>
      </c>
      <c r="L598">
        <v>540.9</v>
      </c>
      <c r="M598">
        <f>VLOOKUP(K598,RatingLookup!$A$2:$C$8,2,FALSE)</f>
        <v>0.12</v>
      </c>
      <c r="N598">
        <f t="shared" si="27"/>
        <v>1.0596241035318976E-2</v>
      </c>
      <c r="O598">
        <f>VLOOKUP(K598,RatingLookup!$A$2:$C$8,3,FALSE)</f>
        <v>0.7</v>
      </c>
      <c r="P598">
        <f t="shared" si="28"/>
        <v>4.0120547432028237</v>
      </c>
      <c r="Q598" t="str">
        <f t="shared" ca="1" si="29"/>
        <v>No</v>
      </c>
    </row>
    <row r="599" spans="1:17" x14ac:dyDescent="0.45">
      <c r="A599" t="s">
        <v>49</v>
      </c>
      <c r="B599" t="s">
        <v>50</v>
      </c>
      <c r="C599" t="s">
        <v>35</v>
      </c>
      <c r="D599" t="s">
        <v>20</v>
      </c>
      <c r="E599" t="s">
        <v>21</v>
      </c>
      <c r="F599" s="1">
        <v>45566</v>
      </c>
      <c r="G599">
        <v>5.36</v>
      </c>
      <c r="H599">
        <v>85.984499999999997</v>
      </c>
      <c r="I599">
        <v>15.59</v>
      </c>
      <c r="J599">
        <v>86.59</v>
      </c>
      <c r="K599" t="s">
        <v>32</v>
      </c>
      <c r="L599">
        <v>497.69</v>
      </c>
      <c r="M599">
        <f>VLOOKUP(K599,RatingLookup!$A$2:$C$8,2,FALSE)</f>
        <v>0.12</v>
      </c>
      <c r="N599">
        <f t="shared" si="27"/>
        <v>1.0596241035318976E-2</v>
      </c>
      <c r="O599">
        <f>VLOOKUP(K599,RatingLookup!$A$2:$C$8,3,FALSE)</f>
        <v>0.7</v>
      </c>
      <c r="P599">
        <f t="shared" si="28"/>
        <v>3.6915502406075302</v>
      </c>
      <c r="Q599" t="str">
        <f t="shared" ca="1" si="29"/>
        <v>No</v>
      </c>
    </row>
    <row r="600" spans="1:17" x14ac:dyDescent="0.45">
      <c r="A600" t="s">
        <v>49</v>
      </c>
      <c r="B600" t="s">
        <v>50</v>
      </c>
      <c r="C600" t="s">
        <v>35</v>
      </c>
      <c r="D600" t="s">
        <v>20</v>
      </c>
      <c r="E600" t="s">
        <v>21</v>
      </c>
      <c r="F600" s="1">
        <v>45597</v>
      </c>
      <c r="G600">
        <v>5.85</v>
      </c>
      <c r="H600">
        <v>83.527299999999997</v>
      </c>
      <c r="I600">
        <v>30.73</v>
      </c>
      <c r="J600">
        <v>84.3</v>
      </c>
      <c r="K600" t="s">
        <v>32</v>
      </c>
      <c r="L600">
        <v>474.08</v>
      </c>
      <c r="M600">
        <f>VLOOKUP(K600,RatingLookup!$A$2:$C$8,2,FALSE)</f>
        <v>0.12</v>
      </c>
      <c r="N600">
        <f t="shared" si="27"/>
        <v>1.0596241035318976E-2</v>
      </c>
      <c r="O600">
        <f>VLOOKUP(K600,RatingLookup!$A$2:$C$8,3,FALSE)</f>
        <v>0.7</v>
      </c>
      <c r="P600">
        <f t="shared" si="28"/>
        <v>3.516426165016814</v>
      </c>
      <c r="Q600" t="str">
        <f t="shared" ca="1" si="29"/>
        <v>No</v>
      </c>
    </row>
    <row r="601" spans="1:17" x14ac:dyDescent="0.45">
      <c r="A601" t="s">
        <v>49</v>
      </c>
      <c r="B601" t="s">
        <v>50</v>
      </c>
      <c r="C601" t="s">
        <v>35</v>
      </c>
      <c r="D601" t="s">
        <v>20</v>
      </c>
      <c r="E601" t="s">
        <v>21</v>
      </c>
      <c r="F601" s="1">
        <v>45627</v>
      </c>
      <c r="G601">
        <v>5.91</v>
      </c>
      <c r="H601">
        <v>84.298599999999993</v>
      </c>
      <c r="I601">
        <v>17.329999999999998</v>
      </c>
      <c r="J601">
        <v>75.72</v>
      </c>
      <c r="K601" t="s">
        <v>32</v>
      </c>
      <c r="L601">
        <v>485.71</v>
      </c>
      <c r="M601">
        <f>VLOOKUP(K601,RatingLookup!$A$2:$C$8,2,FALSE)</f>
        <v>0.12</v>
      </c>
      <c r="N601">
        <f t="shared" si="27"/>
        <v>1.0596241035318976E-2</v>
      </c>
      <c r="O601">
        <f>VLOOKUP(K601,RatingLookup!$A$2:$C$8,3,FALSE)</f>
        <v>0.7</v>
      </c>
      <c r="P601">
        <f t="shared" si="28"/>
        <v>3.6026901632853456</v>
      </c>
      <c r="Q601" t="str">
        <f t="shared" ca="1" si="29"/>
        <v>No</v>
      </c>
    </row>
    <row r="602" spans="1:17" x14ac:dyDescent="0.45">
      <c r="A602" t="s">
        <v>51</v>
      </c>
      <c r="B602" t="s">
        <v>52</v>
      </c>
      <c r="C602" t="s">
        <v>26</v>
      </c>
      <c r="D602" t="s">
        <v>20</v>
      </c>
      <c r="E602" t="s">
        <v>21</v>
      </c>
      <c r="F602" s="1">
        <v>43831</v>
      </c>
      <c r="G602">
        <v>4.99</v>
      </c>
      <c r="H602">
        <v>82.965400000000002</v>
      </c>
      <c r="I602">
        <v>19.87</v>
      </c>
      <c r="J602">
        <v>78.45</v>
      </c>
      <c r="K602" t="s">
        <v>31</v>
      </c>
      <c r="L602">
        <v>1915.17</v>
      </c>
      <c r="M602">
        <f>VLOOKUP(K602,RatingLookup!$A$2:$C$8,2,FALSE)</f>
        <v>0.04</v>
      </c>
      <c r="N602">
        <f t="shared" si="27"/>
        <v>3.3960531989175591E-3</v>
      </c>
      <c r="O602">
        <f>VLOOKUP(K602,RatingLookup!$A$2:$C$8,3,FALSE)</f>
        <v>0.6</v>
      </c>
      <c r="P602">
        <f t="shared" si="28"/>
        <v>3.9024115229825651</v>
      </c>
      <c r="Q602" t="str">
        <f t="shared" ca="1" si="29"/>
        <v>No</v>
      </c>
    </row>
    <row r="603" spans="1:17" x14ac:dyDescent="0.45">
      <c r="A603" t="s">
        <v>51</v>
      </c>
      <c r="B603" t="s">
        <v>52</v>
      </c>
      <c r="C603" t="s">
        <v>26</v>
      </c>
      <c r="D603" t="s">
        <v>20</v>
      </c>
      <c r="E603" t="s">
        <v>21</v>
      </c>
      <c r="F603" s="1">
        <v>43862</v>
      </c>
      <c r="G603">
        <v>5.39</v>
      </c>
      <c r="H603">
        <v>85.179400000000001</v>
      </c>
      <c r="I603">
        <v>12.04</v>
      </c>
      <c r="J603">
        <v>80.989999999999995</v>
      </c>
      <c r="K603" t="s">
        <v>31</v>
      </c>
      <c r="L603">
        <v>1852.78</v>
      </c>
      <c r="M603">
        <f>VLOOKUP(K603,RatingLookup!$A$2:$C$8,2,FALSE)</f>
        <v>0.04</v>
      </c>
      <c r="N603">
        <f t="shared" si="27"/>
        <v>3.3960531989175591E-3</v>
      </c>
      <c r="O603">
        <f>VLOOKUP(K603,RatingLookup!$A$2:$C$8,3,FALSE)</f>
        <v>0.6</v>
      </c>
      <c r="P603">
        <f t="shared" si="28"/>
        <v>3.7752836675342851</v>
      </c>
      <c r="Q603" t="str">
        <f t="shared" ca="1" si="29"/>
        <v>No</v>
      </c>
    </row>
    <row r="604" spans="1:17" x14ac:dyDescent="0.45">
      <c r="A604" t="s">
        <v>51</v>
      </c>
      <c r="B604" t="s">
        <v>52</v>
      </c>
      <c r="C604" t="s">
        <v>26</v>
      </c>
      <c r="D604" t="s">
        <v>20</v>
      </c>
      <c r="E604" t="s">
        <v>21</v>
      </c>
      <c r="F604" s="1">
        <v>43891</v>
      </c>
      <c r="G604">
        <v>5.22</v>
      </c>
      <c r="H604">
        <v>80.866</v>
      </c>
      <c r="I604">
        <v>25.34</v>
      </c>
      <c r="J604">
        <v>75.650000000000006</v>
      </c>
      <c r="K604" t="s">
        <v>31</v>
      </c>
      <c r="L604">
        <v>1944.83</v>
      </c>
      <c r="M604">
        <f>VLOOKUP(K604,RatingLookup!$A$2:$C$8,2,FALSE)</f>
        <v>0.04</v>
      </c>
      <c r="N604">
        <f t="shared" si="27"/>
        <v>3.3960531989175591E-3</v>
      </c>
      <c r="O604">
        <f>VLOOKUP(K604,RatingLookup!$A$2:$C$8,3,FALSE)</f>
        <v>0.6</v>
      </c>
      <c r="P604">
        <f t="shared" si="28"/>
        <v>3.9628476857105017</v>
      </c>
      <c r="Q604" t="str">
        <f t="shared" ca="1" si="29"/>
        <v>No</v>
      </c>
    </row>
    <row r="605" spans="1:17" x14ac:dyDescent="0.45">
      <c r="A605" t="s">
        <v>51</v>
      </c>
      <c r="B605" t="s">
        <v>52</v>
      </c>
      <c r="C605" t="s">
        <v>26</v>
      </c>
      <c r="D605" t="s">
        <v>20</v>
      </c>
      <c r="E605" t="s">
        <v>21</v>
      </c>
      <c r="F605" s="1">
        <v>43922</v>
      </c>
      <c r="G605">
        <v>5.23</v>
      </c>
      <c r="H605">
        <v>81.287700000000001</v>
      </c>
      <c r="I605">
        <v>8.5500000000000007</v>
      </c>
      <c r="J605">
        <v>77.459999999999994</v>
      </c>
      <c r="K605" t="s">
        <v>31</v>
      </c>
      <c r="L605">
        <v>1980.22</v>
      </c>
      <c r="M605">
        <f>VLOOKUP(K605,RatingLookup!$A$2:$C$8,2,FALSE)</f>
        <v>0.04</v>
      </c>
      <c r="N605">
        <f t="shared" si="27"/>
        <v>3.3960531989175591E-3</v>
      </c>
      <c r="O605">
        <f>VLOOKUP(K605,RatingLookup!$A$2:$C$8,3,FALSE)</f>
        <v>0.6</v>
      </c>
      <c r="P605">
        <f t="shared" si="28"/>
        <v>4.034959479336317</v>
      </c>
      <c r="Q605" t="str">
        <f t="shared" ca="1" si="29"/>
        <v>No</v>
      </c>
    </row>
    <row r="606" spans="1:17" x14ac:dyDescent="0.45">
      <c r="A606" t="s">
        <v>51</v>
      </c>
      <c r="B606" t="s">
        <v>52</v>
      </c>
      <c r="C606" t="s">
        <v>26</v>
      </c>
      <c r="D606" t="s">
        <v>20</v>
      </c>
      <c r="E606" t="s">
        <v>21</v>
      </c>
      <c r="F606" s="1">
        <v>43952</v>
      </c>
      <c r="G606">
        <v>5.82</v>
      </c>
      <c r="H606">
        <v>78.152699999999996</v>
      </c>
      <c r="I606">
        <v>14.19</v>
      </c>
      <c r="J606">
        <v>79.17</v>
      </c>
      <c r="K606" t="s">
        <v>31</v>
      </c>
      <c r="L606">
        <v>2034.34</v>
      </c>
      <c r="M606">
        <f>VLOOKUP(K606,RatingLookup!$A$2:$C$8,2,FALSE)</f>
        <v>0.04</v>
      </c>
      <c r="N606">
        <f t="shared" si="27"/>
        <v>3.3960531989175591E-3</v>
      </c>
      <c r="O606">
        <f>VLOOKUP(K606,RatingLookup!$A$2:$C$8,3,FALSE)</f>
        <v>0.6</v>
      </c>
      <c r="P606">
        <f t="shared" si="28"/>
        <v>4.1452361188115674</v>
      </c>
      <c r="Q606" t="str">
        <f t="shared" ca="1" si="29"/>
        <v>No</v>
      </c>
    </row>
    <row r="607" spans="1:17" x14ac:dyDescent="0.45">
      <c r="A607" t="s">
        <v>51</v>
      </c>
      <c r="B607" t="s">
        <v>52</v>
      </c>
      <c r="C607" t="s">
        <v>26</v>
      </c>
      <c r="D607" t="s">
        <v>20</v>
      </c>
      <c r="E607" t="s">
        <v>21</v>
      </c>
      <c r="F607" s="1">
        <v>43983</v>
      </c>
      <c r="G607">
        <v>6.81</v>
      </c>
      <c r="H607">
        <v>80.889399999999995</v>
      </c>
      <c r="I607">
        <v>23.64</v>
      </c>
      <c r="J607">
        <v>70.06</v>
      </c>
      <c r="K607" t="s">
        <v>31</v>
      </c>
      <c r="L607">
        <v>1853.95</v>
      </c>
      <c r="M607">
        <f>VLOOKUP(K607,RatingLookup!$A$2:$C$8,2,FALSE)</f>
        <v>0.04</v>
      </c>
      <c r="N607">
        <f t="shared" si="27"/>
        <v>3.3960531989175591E-3</v>
      </c>
      <c r="O607">
        <f>VLOOKUP(K607,RatingLookup!$A$2:$C$8,3,FALSE)</f>
        <v>0.6</v>
      </c>
      <c r="P607">
        <f t="shared" si="28"/>
        <v>3.7776676968799254</v>
      </c>
      <c r="Q607" t="str">
        <f t="shared" ca="1" si="29"/>
        <v>No</v>
      </c>
    </row>
    <row r="608" spans="1:17" x14ac:dyDescent="0.45">
      <c r="A608" t="s">
        <v>51</v>
      </c>
      <c r="B608" t="s">
        <v>52</v>
      </c>
      <c r="C608" t="s">
        <v>26</v>
      </c>
      <c r="D608" t="s">
        <v>20</v>
      </c>
      <c r="E608" t="s">
        <v>21</v>
      </c>
      <c r="F608" s="1">
        <v>44013</v>
      </c>
      <c r="G608">
        <v>5.75</v>
      </c>
      <c r="H608">
        <v>80.614000000000004</v>
      </c>
      <c r="I608">
        <v>18.63</v>
      </c>
      <c r="J608">
        <v>91.55</v>
      </c>
      <c r="K608" t="s">
        <v>31</v>
      </c>
      <c r="L608">
        <v>1938.72</v>
      </c>
      <c r="M608">
        <f>VLOOKUP(K608,RatingLookup!$A$2:$C$8,2,FALSE)</f>
        <v>0.04</v>
      </c>
      <c r="N608">
        <f t="shared" si="27"/>
        <v>3.3960531989175591E-3</v>
      </c>
      <c r="O608">
        <f>VLOOKUP(K608,RatingLookup!$A$2:$C$8,3,FALSE)</f>
        <v>0.6</v>
      </c>
      <c r="P608">
        <f t="shared" si="28"/>
        <v>3.9503977546832698</v>
      </c>
      <c r="Q608" t="str">
        <f t="shared" ca="1" si="29"/>
        <v>No</v>
      </c>
    </row>
    <row r="609" spans="1:17" x14ac:dyDescent="0.45">
      <c r="A609" t="s">
        <v>51</v>
      </c>
      <c r="B609" t="s">
        <v>52</v>
      </c>
      <c r="C609" t="s">
        <v>26</v>
      </c>
      <c r="D609" t="s">
        <v>20</v>
      </c>
      <c r="E609" t="s">
        <v>21</v>
      </c>
      <c r="F609" s="1">
        <v>44044</v>
      </c>
      <c r="G609">
        <v>6.41</v>
      </c>
      <c r="H609">
        <v>81.254599999999996</v>
      </c>
      <c r="I609">
        <v>24.38</v>
      </c>
      <c r="J609">
        <v>73.2</v>
      </c>
      <c r="K609" t="s">
        <v>31</v>
      </c>
      <c r="L609">
        <v>1927.68</v>
      </c>
      <c r="M609">
        <f>VLOOKUP(K609,RatingLookup!$A$2:$C$8,2,FALSE)</f>
        <v>0.04</v>
      </c>
      <c r="N609">
        <f t="shared" si="27"/>
        <v>3.3960531989175591E-3</v>
      </c>
      <c r="O609">
        <f>VLOOKUP(K609,RatingLookup!$A$2:$C$8,3,FALSE)</f>
        <v>0.6</v>
      </c>
      <c r="P609">
        <f t="shared" si="28"/>
        <v>3.92790229829364</v>
      </c>
      <c r="Q609" t="str">
        <f t="shared" ca="1" si="29"/>
        <v>No</v>
      </c>
    </row>
    <row r="610" spans="1:17" x14ac:dyDescent="0.45">
      <c r="A610" t="s">
        <v>51</v>
      </c>
      <c r="B610" t="s">
        <v>52</v>
      </c>
      <c r="C610" t="s">
        <v>26</v>
      </c>
      <c r="D610" t="s">
        <v>20</v>
      </c>
      <c r="E610" t="s">
        <v>21</v>
      </c>
      <c r="F610" s="1">
        <v>44075</v>
      </c>
      <c r="G610">
        <v>6.46</v>
      </c>
      <c r="H610">
        <v>79.9161</v>
      </c>
      <c r="I610">
        <v>16.16</v>
      </c>
      <c r="J610">
        <v>88.48</v>
      </c>
      <c r="K610" t="s">
        <v>32</v>
      </c>
      <c r="L610">
        <v>1967.25</v>
      </c>
      <c r="M610">
        <f>VLOOKUP(K610,RatingLookup!$A$2:$C$8,2,FALSE)</f>
        <v>0.12</v>
      </c>
      <c r="N610">
        <f t="shared" si="27"/>
        <v>1.0596241035318976E-2</v>
      </c>
      <c r="O610">
        <f>VLOOKUP(K610,RatingLookup!$A$2:$C$8,3,FALSE)</f>
        <v>0.7</v>
      </c>
      <c r="P610">
        <f t="shared" si="28"/>
        <v>14.591818623711879</v>
      </c>
      <c r="Q610" t="str">
        <f t="shared" ca="1" si="29"/>
        <v>No</v>
      </c>
    </row>
    <row r="611" spans="1:17" x14ac:dyDescent="0.45">
      <c r="A611" t="s">
        <v>51</v>
      </c>
      <c r="B611" t="s">
        <v>52</v>
      </c>
      <c r="C611" t="s">
        <v>26</v>
      </c>
      <c r="D611" t="s">
        <v>20</v>
      </c>
      <c r="E611" t="s">
        <v>21</v>
      </c>
      <c r="F611" s="1">
        <v>44105</v>
      </c>
      <c r="G611">
        <v>5.4</v>
      </c>
      <c r="H611">
        <v>82.106700000000004</v>
      </c>
      <c r="I611">
        <v>13.57</v>
      </c>
      <c r="J611">
        <v>68.739999999999995</v>
      </c>
      <c r="K611" t="s">
        <v>32</v>
      </c>
      <c r="L611">
        <v>1852.79</v>
      </c>
      <c r="M611">
        <f>VLOOKUP(K611,RatingLookup!$A$2:$C$8,2,FALSE)</f>
        <v>0.12</v>
      </c>
      <c r="N611">
        <f t="shared" si="27"/>
        <v>1.0596241035318976E-2</v>
      </c>
      <c r="O611">
        <f>VLOOKUP(K611,RatingLookup!$A$2:$C$8,3,FALSE)</f>
        <v>0.7</v>
      </c>
      <c r="P611">
        <f t="shared" si="28"/>
        <v>13.74282659948005</v>
      </c>
      <c r="Q611" t="str">
        <f t="shared" ca="1" si="29"/>
        <v>No</v>
      </c>
    </row>
    <row r="612" spans="1:17" x14ac:dyDescent="0.45">
      <c r="A612" t="s">
        <v>51</v>
      </c>
      <c r="B612" t="s">
        <v>52</v>
      </c>
      <c r="C612" t="s">
        <v>26</v>
      </c>
      <c r="D612" t="s">
        <v>20</v>
      </c>
      <c r="E612" t="s">
        <v>21</v>
      </c>
      <c r="F612" s="1">
        <v>44136</v>
      </c>
      <c r="G612">
        <v>4.9000000000000004</v>
      </c>
      <c r="H612">
        <v>84.5351</v>
      </c>
      <c r="I612">
        <v>23</v>
      </c>
      <c r="J612">
        <v>85.36</v>
      </c>
      <c r="K612" t="s">
        <v>32</v>
      </c>
      <c r="L612">
        <v>1931.19</v>
      </c>
      <c r="M612">
        <f>VLOOKUP(K612,RatingLookup!$A$2:$C$8,2,FALSE)</f>
        <v>0.12</v>
      </c>
      <c r="N612">
        <f t="shared" si="27"/>
        <v>1.0596241035318976E-2</v>
      </c>
      <c r="O612">
        <f>VLOOKUP(K612,RatingLookup!$A$2:$C$8,3,FALSE)</f>
        <v>0.7</v>
      </c>
      <c r="P612">
        <f t="shared" si="28"/>
        <v>14.324348307498356</v>
      </c>
      <c r="Q612" t="str">
        <f t="shared" ca="1" si="29"/>
        <v>No</v>
      </c>
    </row>
    <row r="613" spans="1:17" x14ac:dyDescent="0.45">
      <c r="A613" t="s">
        <v>51</v>
      </c>
      <c r="B613" t="s">
        <v>52</v>
      </c>
      <c r="C613" t="s">
        <v>26</v>
      </c>
      <c r="D613" t="s">
        <v>20</v>
      </c>
      <c r="E613" t="s">
        <v>21</v>
      </c>
      <c r="F613" s="1">
        <v>44166</v>
      </c>
      <c r="G613">
        <v>5.35</v>
      </c>
      <c r="H613">
        <v>81.659000000000006</v>
      </c>
      <c r="I613">
        <v>24.35</v>
      </c>
      <c r="J613">
        <v>57.9</v>
      </c>
      <c r="K613" t="s">
        <v>32</v>
      </c>
      <c r="L613">
        <v>1882.66</v>
      </c>
      <c r="M613">
        <f>VLOOKUP(K613,RatingLookup!$A$2:$C$8,2,FALSE)</f>
        <v>0.12</v>
      </c>
      <c r="N613">
        <f t="shared" si="27"/>
        <v>1.0596241035318976E-2</v>
      </c>
      <c r="O613">
        <f>VLOOKUP(K613,RatingLookup!$A$2:$C$8,3,FALSE)</f>
        <v>0.7</v>
      </c>
      <c r="P613">
        <f t="shared" si="28"/>
        <v>13.964383403287536</v>
      </c>
      <c r="Q613" t="str">
        <f t="shared" ca="1" si="29"/>
        <v>No</v>
      </c>
    </row>
    <row r="614" spans="1:17" x14ac:dyDescent="0.45">
      <c r="A614" t="s">
        <v>51</v>
      </c>
      <c r="B614" t="s">
        <v>52</v>
      </c>
      <c r="C614" t="s">
        <v>26</v>
      </c>
      <c r="D614" t="s">
        <v>20</v>
      </c>
      <c r="E614" t="s">
        <v>21</v>
      </c>
      <c r="F614" s="1">
        <v>44197</v>
      </c>
      <c r="G614">
        <v>5.21</v>
      </c>
      <c r="H614">
        <v>78.150000000000006</v>
      </c>
      <c r="I614">
        <v>19.579999999999998</v>
      </c>
      <c r="J614">
        <v>72.5</v>
      </c>
      <c r="K614" t="s">
        <v>32</v>
      </c>
      <c r="L614">
        <v>1879.6</v>
      </c>
      <c r="M614">
        <f>VLOOKUP(K614,RatingLookup!$A$2:$C$8,2,FALSE)</f>
        <v>0.12</v>
      </c>
      <c r="N614">
        <f t="shared" si="27"/>
        <v>1.0596241035318976E-2</v>
      </c>
      <c r="O614">
        <f>VLOOKUP(K614,RatingLookup!$A$2:$C$8,3,FALSE)</f>
        <v>0.7</v>
      </c>
      <c r="P614">
        <f t="shared" si="28"/>
        <v>13.941686254989882</v>
      </c>
      <c r="Q614" t="str">
        <f t="shared" ca="1" si="29"/>
        <v>No</v>
      </c>
    </row>
    <row r="615" spans="1:17" x14ac:dyDescent="0.45">
      <c r="A615" t="s">
        <v>51</v>
      </c>
      <c r="B615" t="s">
        <v>52</v>
      </c>
      <c r="C615" t="s">
        <v>26</v>
      </c>
      <c r="D615" t="s">
        <v>20</v>
      </c>
      <c r="E615" t="s">
        <v>21</v>
      </c>
      <c r="F615" s="1">
        <v>44228</v>
      </c>
      <c r="G615">
        <v>5.0999999999999996</v>
      </c>
      <c r="H615">
        <v>80.511300000000006</v>
      </c>
      <c r="I615">
        <v>22.51</v>
      </c>
      <c r="J615">
        <v>78.540000000000006</v>
      </c>
      <c r="K615" t="s">
        <v>32</v>
      </c>
      <c r="L615">
        <v>1914.59</v>
      </c>
      <c r="M615">
        <f>VLOOKUP(K615,RatingLookup!$A$2:$C$8,2,FALSE)</f>
        <v>0.12</v>
      </c>
      <c r="N615">
        <f t="shared" si="27"/>
        <v>1.0596241035318976E-2</v>
      </c>
      <c r="O615">
        <f>VLOOKUP(K615,RatingLookup!$A$2:$C$8,3,FALSE)</f>
        <v>0.7</v>
      </c>
      <c r="P615">
        <f t="shared" si="28"/>
        <v>14.201219986667949</v>
      </c>
      <c r="Q615" t="str">
        <f t="shared" ca="1" si="29"/>
        <v>No</v>
      </c>
    </row>
    <row r="616" spans="1:17" x14ac:dyDescent="0.45">
      <c r="A616" t="s">
        <v>51</v>
      </c>
      <c r="B616" t="s">
        <v>52</v>
      </c>
      <c r="C616" t="s">
        <v>26</v>
      </c>
      <c r="D616" t="s">
        <v>20</v>
      </c>
      <c r="E616" t="s">
        <v>21</v>
      </c>
      <c r="F616" s="1">
        <v>44256</v>
      </c>
      <c r="G616">
        <v>5.66</v>
      </c>
      <c r="H616">
        <v>83.026600000000002</v>
      </c>
      <c r="I616">
        <v>19.25</v>
      </c>
      <c r="J616">
        <v>67.17</v>
      </c>
      <c r="K616" t="s">
        <v>32</v>
      </c>
      <c r="L616">
        <v>1715.56</v>
      </c>
      <c r="M616">
        <f>VLOOKUP(K616,RatingLookup!$A$2:$C$8,2,FALSE)</f>
        <v>0.12</v>
      </c>
      <c r="N616">
        <f t="shared" si="27"/>
        <v>1.0596241035318976E-2</v>
      </c>
      <c r="O616">
        <f>VLOOKUP(K616,RatingLookup!$A$2:$C$8,3,FALSE)</f>
        <v>0.7</v>
      </c>
      <c r="P616">
        <f t="shared" si="28"/>
        <v>12.724941089386276</v>
      </c>
      <c r="Q616" t="str">
        <f t="shared" ca="1" si="29"/>
        <v>No</v>
      </c>
    </row>
    <row r="617" spans="1:17" x14ac:dyDescent="0.45">
      <c r="A617" t="s">
        <v>51</v>
      </c>
      <c r="B617" t="s">
        <v>52</v>
      </c>
      <c r="C617" t="s">
        <v>26</v>
      </c>
      <c r="D617" t="s">
        <v>20</v>
      </c>
      <c r="E617" t="s">
        <v>21</v>
      </c>
      <c r="F617" s="1">
        <v>44287</v>
      </c>
      <c r="G617">
        <v>6.58</v>
      </c>
      <c r="H617">
        <v>82.626300000000001</v>
      </c>
      <c r="I617">
        <v>8.0500000000000007</v>
      </c>
      <c r="J617">
        <v>68.45</v>
      </c>
      <c r="K617" t="s">
        <v>32</v>
      </c>
      <c r="L617">
        <v>1989.41</v>
      </c>
      <c r="M617">
        <f>VLOOKUP(K617,RatingLookup!$A$2:$C$8,2,FALSE)</f>
        <v>0.12</v>
      </c>
      <c r="N617">
        <f t="shared" si="27"/>
        <v>1.0596241035318976E-2</v>
      </c>
      <c r="O617">
        <f>VLOOKUP(K617,RatingLookup!$A$2:$C$8,3,FALSE)</f>
        <v>0.7</v>
      </c>
      <c r="P617">
        <f t="shared" si="28"/>
        <v>14.756187514651748</v>
      </c>
      <c r="Q617" t="str">
        <f t="shared" ca="1" si="29"/>
        <v>No</v>
      </c>
    </row>
    <row r="618" spans="1:17" x14ac:dyDescent="0.45">
      <c r="A618" t="s">
        <v>51</v>
      </c>
      <c r="B618" t="s">
        <v>52</v>
      </c>
      <c r="C618" t="s">
        <v>26</v>
      </c>
      <c r="D618" t="s">
        <v>20</v>
      </c>
      <c r="E618" t="s">
        <v>21</v>
      </c>
      <c r="F618" s="1">
        <v>44317</v>
      </c>
      <c r="G618">
        <v>5.24</v>
      </c>
      <c r="H618">
        <v>82.191500000000005</v>
      </c>
      <c r="I618">
        <v>7.47</v>
      </c>
      <c r="J618">
        <v>72.09</v>
      </c>
      <c r="K618" t="s">
        <v>32</v>
      </c>
      <c r="L618">
        <v>1893.45</v>
      </c>
      <c r="M618">
        <f>VLOOKUP(K618,RatingLookup!$A$2:$C$8,2,FALSE)</f>
        <v>0.12</v>
      </c>
      <c r="N618">
        <f t="shared" si="27"/>
        <v>1.0596241035318976E-2</v>
      </c>
      <c r="O618">
        <f>VLOOKUP(K618,RatingLookup!$A$2:$C$8,3,FALSE)</f>
        <v>0.7</v>
      </c>
      <c r="P618">
        <f t="shared" si="28"/>
        <v>14.044416811827299</v>
      </c>
      <c r="Q618" t="str">
        <f t="shared" ca="1" si="29"/>
        <v>No</v>
      </c>
    </row>
    <row r="619" spans="1:17" x14ac:dyDescent="0.45">
      <c r="A619" t="s">
        <v>51</v>
      </c>
      <c r="B619" t="s">
        <v>52</v>
      </c>
      <c r="C619" t="s">
        <v>26</v>
      </c>
      <c r="D619" t="s">
        <v>20</v>
      </c>
      <c r="E619" t="s">
        <v>21</v>
      </c>
      <c r="F619" s="1">
        <v>44348</v>
      </c>
      <c r="G619">
        <v>5.59</v>
      </c>
      <c r="H619">
        <v>81.320800000000006</v>
      </c>
      <c r="I619">
        <v>7.34</v>
      </c>
      <c r="J619">
        <v>71.67</v>
      </c>
      <c r="K619" t="s">
        <v>32</v>
      </c>
      <c r="L619">
        <v>1855.51</v>
      </c>
      <c r="M619">
        <f>VLOOKUP(K619,RatingLookup!$A$2:$C$8,2,FALSE)</f>
        <v>0.12</v>
      </c>
      <c r="N619">
        <f t="shared" si="27"/>
        <v>1.0596241035318976E-2</v>
      </c>
      <c r="O619">
        <f>VLOOKUP(K619,RatingLookup!$A$2:$C$8,3,FALSE)</f>
        <v>0.7</v>
      </c>
      <c r="P619">
        <f t="shared" si="28"/>
        <v>13.763001842411299</v>
      </c>
      <c r="Q619" t="str">
        <f t="shared" ca="1" si="29"/>
        <v>No</v>
      </c>
    </row>
    <row r="620" spans="1:17" x14ac:dyDescent="0.45">
      <c r="A620" t="s">
        <v>51</v>
      </c>
      <c r="B620" t="s">
        <v>52</v>
      </c>
      <c r="C620" t="s">
        <v>26</v>
      </c>
      <c r="D620" t="s">
        <v>20</v>
      </c>
      <c r="E620" t="s">
        <v>21</v>
      </c>
      <c r="F620" s="1">
        <v>44378</v>
      </c>
      <c r="G620">
        <v>5.65</v>
      </c>
      <c r="H620">
        <v>84.349599999999995</v>
      </c>
      <c r="I620">
        <v>15.17</v>
      </c>
      <c r="J620">
        <v>76.09</v>
      </c>
      <c r="K620" t="s">
        <v>32</v>
      </c>
      <c r="L620">
        <v>2099.3200000000002</v>
      </c>
      <c r="M620">
        <f>VLOOKUP(K620,RatingLookup!$A$2:$C$8,2,FALSE)</f>
        <v>0.12</v>
      </c>
      <c r="N620">
        <f t="shared" si="27"/>
        <v>1.0596241035318976E-2</v>
      </c>
      <c r="O620">
        <f>VLOOKUP(K620,RatingLookup!$A$2:$C$8,3,FALSE)</f>
        <v>0.7</v>
      </c>
      <c r="P620">
        <f t="shared" si="28"/>
        <v>15.571430511186085</v>
      </c>
      <c r="Q620" t="str">
        <f t="shared" ca="1" si="29"/>
        <v>No</v>
      </c>
    </row>
    <row r="621" spans="1:17" x14ac:dyDescent="0.45">
      <c r="A621" t="s">
        <v>51</v>
      </c>
      <c r="B621" t="s">
        <v>52</v>
      </c>
      <c r="C621" t="s">
        <v>26</v>
      </c>
      <c r="D621" t="s">
        <v>20</v>
      </c>
      <c r="E621" t="s">
        <v>21</v>
      </c>
      <c r="F621" s="1">
        <v>44409</v>
      </c>
      <c r="G621">
        <v>5.5</v>
      </c>
      <c r="H621">
        <v>84.17</v>
      </c>
      <c r="I621">
        <v>15.09</v>
      </c>
      <c r="J621">
        <v>57.94</v>
      </c>
      <c r="K621" t="s">
        <v>32</v>
      </c>
      <c r="L621">
        <v>1938.67</v>
      </c>
      <c r="M621">
        <f>VLOOKUP(K621,RatingLookup!$A$2:$C$8,2,FALSE)</f>
        <v>0.12</v>
      </c>
      <c r="N621">
        <f t="shared" si="27"/>
        <v>1.0596241035318976E-2</v>
      </c>
      <c r="O621">
        <f>VLOOKUP(K621,RatingLookup!$A$2:$C$8,3,FALSE)</f>
        <v>0.7</v>
      </c>
      <c r="P621">
        <f t="shared" si="28"/>
        <v>14.379830225559287</v>
      </c>
      <c r="Q621" t="str">
        <f t="shared" ca="1" si="29"/>
        <v>No</v>
      </c>
    </row>
    <row r="622" spans="1:17" x14ac:dyDescent="0.45">
      <c r="A622" t="s">
        <v>51</v>
      </c>
      <c r="B622" t="s">
        <v>52</v>
      </c>
      <c r="C622" t="s">
        <v>26</v>
      </c>
      <c r="D622" t="s">
        <v>20</v>
      </c>
      <c r="E622" t="s">
        <v>21</v>
      </c>
      <c r="F622" s="1">
        <v>44440</v>
      </c>
      <c r="G622">
        <v>5.61</v>
      </c>
      <c r="H622">
        <v>80.166200000000003</v>
      </c>
      <c r="I622">
        <v>36.96</v>
      </c>
      <c r="J622">
        <v>62.36</v>
      </c>
      <c r="K622" t="s">
        <v>32</v>
      </c>
      <c r="L622">
        <v>1826.18</v>
      </c>
      <c r="M622">
        <f>VLOOKUP(K622,RatingLookup!$A$2:$C$8,2,FALSE)</f>
        <v>0.12</v>
      </c>
      <c r="N622">
        <f t="shared" si="27"/>
        <v>1.0596241035318976E-2</v>
      </c>
      <c r="O622">
        <f>VLOOKUP(K622,RatingLookup!$A$2:$C$8,3,FALSE)</f>
        <v>0.7</v>
      </c>
      <c r="P622">
        <f t="shared" si="28"/>
        <v>13.545450417715166</v>
      </c>
      <c r="Q622" t="str">
        <f t="shared" ca="1" si="29"/>
        <v>No</v>
      </c>
    </row>
    <row r="623" spans="1:17" x14ac:dyDescent="0.45">
      <c r="A623" t="s">
        <v>51</v>
      </c>
      <c r="B623" t="s">
        <v>52</v>
      </c>
      <c r="C623" t="s">
        <v>26</v>
      </c>
      <c r="D623" t="s">
        <v>20</v>
      </c>
      <c r="E623" t="s">
        <v>21</v>
      </c>
      <c r="F623" s="1">
        <v>44470</v>
      </c>
      <c r="G623">
        <v>6.02</v>
      </c>
      <c r="H623">
        <v>83.370999999999995</v>
      </c>
      <c r="I623">
        <v>14.93</v>
      </c>
      <c r="J623">
        <v>63.31</v>
      </c>
      <c r="K623" t="s">
        <v>32</v>
      </c>
      <c r="L623">
        <v>2048.12</v>
      </c>
      <c r="M623">
        <f>VLOOKUP(K623,RatingLookup!$A$2:$C$8,2,FALSE)</f>
        <v>0.12</v>
      </c>
      <c r="N623">
        <f t="shared" si="27"/>
        <v>1.0596241035318976E-2</v>
      </c>
      <c r="O623">
        <f>VLOOKUP(K623,RatingLookup!$A$2:$C$8,3,FALSE)</f>
        <v>0.7</v>
      </c>
      <c r="P623">
        <f t="shared" si="28"/>
        <v>15.191661232480248</v>
      </c>
      <c r="Q623" t="str">
        <f t="shared" ca="1" si="29"/>
        <v>No</v>
      </c>
    </row>
    <row r="624" spans="1:17" x14ac:dyDescent="0.45">
      <c r="A624" t="s">
        <v>51</v>
      </c>
      <c r="B624" t="s">
        <v>52</v>
      </c>
      <c r="C624" t="s">
        <v>26</v>
      </c>
      <c r="D624" t="s">
        <v>20</v>
      </c>
      <c r="E624" t="s">
        <v>21</v>
      </c>
      <c r="F624" s="1">
        <v>44501</v>
      </c>
      <c r="G624">
        <v>6.05</v>
      </c>
      <c r="H624">
        <v>82.122699999999995</v>
      </c>
      <c r="I624">
        <v>16.62</v>
      </c>
      <c r="J624">
        <v>67.36</v>
      </c>
      <c r="K624" t="s">
        <v>32</v>
      </c>
      <c r="L624">
        <v>1987.75</v>
      </c>
      <c r="M624">
        <f>VLOOKUP(K624,RatingLookup!$A$2:$C$8,2,FALSE)</f>
        <v>0.12</v>
      </c>
      <c r="N624">
        <f t="shared" si="27"/>
        <v>1.0596241035318976E-2</v>
      </c>
      <c r="O624">
        <f>VLOOKUP(K624,RatingLookup!$A$2:$C$8,3,FALSE)</f>
        <v>0.7</v>
      </c>
      <c r="P624">
        <f t="shared" si="28"/>
        <v>14.743874682568704</v>
      </c>
      <c r="Q624" t="str">
        <f t="shared" ca="1" si="29"/>
        <v>No</v>
      </c>
    </row>
    <row r="625" spans="1:17" x14ac:dyDescent="0.45">
      <c r="A625" t="s">
        <v>51</v>
      </c>
      <c r="B625" t="s">
        <v>52</v>
      </c>
      <c r="C625" t="s">
        <v>26</v>
      </c>
      <c r="D625" t="s">
        <v>20</v>
      </c>
      <c r="E625" t="s">
        <v>21</v>
      </c>
      <c r="F625" s="1">
        <v>44531</v>
      </c>
      <c r="G625">
        <v>3.67</v>
      </c>
      <c r="H625">
        <v>81.8643</v>
      </c>
      <c r="I625">
        <v>11.01</v>
      </c>
      <c r="J625">
        <v>91.89</v>
      </c>
      <c r="K625" t="s">
        <v>32</v>
      </c>
      <c r="L625">
        <v>1925.67</v>
      </c>
      <c r="M625">
        <f>VLOOKUP(K625,RatingLookup!$A$2:$C$8,2,FALSE)</f>
        <v>0.12</v>
      </c>
      <c r="N625">
        <f t="shared" si="27"/>
        <v>1.0596241035318976E-2</v>
      </c>
      <c r="O625">
        <f>VLOOKUP(K625,RatingLookup!$A$2:$C$8,3,FALSE)</f>
        <v>0.7</v>
      </c>
      <c r="P625">
        <f t="shared" si="28"/>
        <v>14.283404432137884</v>
      </c>
      <c r="Q625" t="str">
        <f t="shared" ca="1" si="29"/>
        <v>No</v>
      </c>
    </row>
    <row r="626" spans="1:17" x14ac:dyDescent="0.45">
      <c r="A626" t="s">
        <v>51</v>
      </c>
      <c r="B626" t="s">
        <v>52</v>
      </c>
      <c r="C626" t="s">
        <v>26</v>
      </c>
      <c r="D626" t="s">
        <v>20</v>
      </c>
      <c r="E626" t="s">
        <v>21</v>
      </c>
      <c r="F626" s="1">
        <v>44562</v>
      </c>
      <c r="G626">
        <v>5.22</v>
      </c>
      <c r="H626">
        <v>78.999300000000005</v>
      </c>
      <c r="I626">
        <v>20.12</v>
      </c>
      <c r="J626">
        <v>71.25</v>
      </c>
      <c r="K626" t="s">
        <v>32</v>
      </c>
      <c r="L626">
        <v>1948.03</v>
      </c>
      <c r="M626">
        <f>VLOOKUP(K626,RatingLookup!$A$2:$C$8,2,FALSE)</f>
        <v>0.12</v>
      </c>
      <c r="N626">
        <f t="shared" si="27"/>
        <v>1.0596241035318976E-2</v>
      </c>
      <c r="O626">
        <f>VLOOKUP(K626,RatingLookup!$A$2:$C$8,3,FALSE)</f>
        <v>0.7</v>
      </c>
      <c r="P626">
        <f t="shared" si="28"/>
        <v>14.449256796822695</v>
      </c>
      <c r="Q626" t="str">
        <f t="shared" ca="1" si="29"/>
        <v>No</v>
      </c>
    </row>
    <row r="627" spans="1:17" x14ac:dyDescent="0.45">
      <c r="A627" t="s">
        <v>51</v>
      </c>
      <c r="B627" t="s">
        <v>52</v>
      </c>
      <c r="C627" t="s">
        <v>26</v>
      </c>
      <c r="D627" t="s">
        <v>20</v>
      </c>
      <c r="E627" t="s">
        <v>21</v>
      </c>
      <c r="F627" s="1">
        <v>44593</v>
      </c>
      <c r="G627">
        <v>6.13</v>
      </c>
      <c r="H627">
        <v>84.399000000000001</v>
      </c>
      <c r="I627">
        <v>23.35</v>
      </c>
      <c r="J627">
        <v>63.86</v>
      </c>
      <c r="K627" t="s">
        <v>32</v>
      </c>
      <c r="L627">
        <v>1986.38</v>
      </c>
      <c r="M627">
        <f>VLOOKUP(K627,RatingLookup!$A$2:$C$8,2,FALSE)</f>
        <v>0.12</v>
      </c>
      <c r="N627">
        <f t="shared" si="27"/>
        <v>1.0596241035318976E-2</v>
      </c>
      <c r="O627">
        <f>VLOOKUP(K627,RatingLookup!$A$2:$C$8,3,FALSE)</f>
        <v>0.7</v>
      </c>
      <c r="P627">
        <f t="shared" si="28"/>
        <v>14.733712887415836</v>
      </c>
      <c r="Q627" t="str">
        <f t="shared" ca="1" si="29"/>
        <v>No</v>
      </c>
    </row>
    <row r="628" spans="1:17" x14ac:dyDescent="0.45">
      <c r="A628" t="s">
        <v>51</v>
      </c>
      <c r="B628" t="s">
        <v>52</v>
      </c>
      <c r="C628" t="s">
        <v>26</v>
      </c>
      <c r="D628" t="s">
        <v>20</v>
      </c>
      <c r="E628" t="s">
        <v>21</v>
      </c>
      <c r="F628" s="1">
        <v>44621</v>
      </c>
      <c r="G628">
        <v>6.22</v>
      </c>
      <c r="H628">
        <v>83.378100000000003</v>
      </c>
      <c r="I628">
        <v>17.829999999999998</v>
      </c>
      <c r="J628">
        <v>89</v>
      </c>
      <c r="K628" t="s">
        <v>32</v>
      </c>
      <c r="L628">
        <v>1879.72</v>
      </c>
      <c r="M628">
        <f>VLOOKUP(K628,RatingLookup!$A$2:$C$8,2,FALSE)</f>
        <v>0.12</v>
      </c>
      <c r="N628">
        <f t="shared" si="27"/>
        <v>1.0596241035318976E-2</v>
      </c>
      <c r="O628">
        <f>VLOOKUP(K628,RatingLookup!$A$2:$C$8,3,FALSE)</f>
        <v>0.7</v>
      </c>
      <c r="P628">
        <f t="shared" si="28"/>
        <v>13.942576339236849</v>
      </c>
      <c r="Q628" t="str">
        <f t="shared" ca="1" si="29"/>
        <v>No</v>
      </c>
    </row>
    <row r="629" spans="1:17" x14ac:dyDescent="0.45">
      <c r="A629" t="s">
        <v>51</v>
      </c>
      <c r="B629" t="s">
        <v>52</v>
      </c>
      <c r="C629" t="s">
        <v>26</v>
      </c>
      <c r="D629" t="s">
        <v>20</v>
      </c>
      <c r="E629" t="s">
        <v>21</v>
      </c>
      <c r="F629" s="1">
        <v>44652</v>
      </c>
      <c r="G629">
        <v>4.58</v>
      </c>
      <c r="H629">
        <v>85.137299999999996</v>
      </c>
      <c r="I629">
        <v>21.72</v>
      </c>
      <c r="J629">
        <v>86.06</v>
      </c>
      <c r="K629" t="s">
        <v>32</v>
      </c>
      <c r="L629">
        <v>2051.56</v>
      </c>
      <c r="M629">
        <f>VLOOKUP(K629,RatingLookup!$A$2:$C$8,2,FALSE)</f>
        <v>0.12</v>
      </c>
      <c r="N629">
        <f t="shared" si="27"/>
        <v>1.0596241035318976E-2</v>
      </c>
      <c r="O629">
        <f>VLOOKUP(K629,RatingLookup!$A$2:$C$8,3,FALSE)</f>
        <v>0.7</v>
      </c>
      <c r="P629">
        <f t="shared" si="28"/>
        <v>15.217176980893298</v>
      </c>
      <c r="Q629" t="str">
        <f t="shared" ca="1" si="29"/>
        <v>No</v>
      </c>
    </row>
    <row r="630" spans="1:17" x14ac:dyDescent="0.45">
      <c r="A630" t="s">
        <v>51</v>
      </c>
      <c r="B630" t="s">
        <v>52</v>
      </c>
      <c r="C630" t="s">
        <v>26</v>
      </c>
      <c r="D630" t="s">
        <v>20</v>
      </c>
      <c r="E630" t="s">
        <v>21</v>
      </c>
      <c r="F630" s="1">
        <v>44682</v>
      </c>
      <c r="G630">
        <v>6.27</v>
      </c>
      <c r="H630">
        <v>79.534599999999998</v>
      </c>
      <c r="I630">
        <v>21.13</v>
      </c>
      <c r="J630">
        <v>70.63</v>
      </c>
      <c r="K630" t="s">
        <v>32</v>
      </c>
      <c r="L630">
        <v>2058.2199999999998</v>
      </c>
      <c r="M630">
        <f>VLOOKUP(K630,RatingLookup!$A$2:$C$8,2,FALSE)</f>
        <v>0.12</v>
      </c>
      <c r="N630">
        <f t="shared" si="27"/>
        <v>1.0596241035318976E-2</v>
      </c>
      <c r="O630">
        <f>VLOOKUP(K630,RatingLookup!$A$2:$C$8,3,FALSE)</f>
        <v>0.7</v>
      </c>
      <c r="P630">
        <f t="shared" si="28"/>
        <v>15.266576656599955</v>
      </c>
      <c r="Q630" t="str">
        <f t="shared" ca="1" si="29"/>
        <v>No</v>
      </c>
    </row>
    <row r="631" spans="1:17" x14ac:dyDescent="0.45">
      <c r="A631" t="s">
        <v>51</v>
      </c>
      <c r="B631" t="s">
        <v>52</v>
      </c>
      <c r="C631" t="s">
        <v>26</v>
      </c>
      <c r="D631" t="s">
        <v>20</v>
      </c>
      <c r="E631" t="s">
        <v>21</v>
      </c>
      <c r="F631" s="1">
        <v>44713</v>
      </c>
      <c r="G631">
        <v>5.49</v>
      </c>
      <c r="H631">
        <v>79.889899999999997</v>
      </c>
      <c r="I631">
        <v>19.87</v>
      </c>
      <c r="J631">
        <v>76.099999999999994</v>
      </c>
      <c r="K631" t="s">
        <v>32</v>
      </c>
      <c r="L631">
        <v>2001.59</v>
      </c>
      <c r="M631">
        <f>VLOOKUP(K631,RatingLookup!$A$2:$C$8,2,FALSE)</f>
        <v>0.12</v>
      </c>
      <c r="N631">
        <f t="shared" si="27"/>
        <v>1.0596241035318976E-2</v>
      </c>
      <c r="O631">
        <f>VLOOKUP(K631,RatingLookup!$A$2:$C$8,3,FALSE)</f>
        <v>0.7</v>
      </c>
      <c r="P631">
        <f t="shared" si="28"/>
        <v>14.846531065718874</v>
      </c>
      <c r="Q631" t="str">
        <f t="shared" ca="1" si="29"/>
        <v>No</v>
      </c>
    </row>
    <row r="632" spans="1:17" x14ac:dyDescent="0.45">
      <c r="A632" t="s">
        <v>51</v>
      </c>
      <c r="B632" t="s">
        <v>52</v>
      </c>
      <c r="C632" t="s">
        <v>26</v>
      </c>
      <c r="D632" t="s">
        <v>20</v>
      </c>
      <c r="E632" t="s">
        <v>21</v>
      </c>
      <c r="F632" s="1">
        <v>44743</v>
      </c>
      <c r="G632">
        <v>4.78</v>
      </c>
      <c r="H632">
        <v>80.576700000000002</v>
      </c>
      <c r="I632">
        <v>17.2</v>
      </c>
      <c r="J632">
        <v>78.64</v>
      </c>
      <c r="K632" t="s">
        <v>32</v>
      </c>
      <c r="L632">
        <v>1961.17</v>
      </c>
      <c r="M632">
        <f>VLOOKUP(K632,RatingLookup!$A$2:$C$8,2,FALSE)</f>
        <v>0.12</v>
      </c>
      <c r="N632">
        <f t="shared" si="27"/>
        <v>1.0596241035318976E-2</v>
      </c>
      <c r="O632">
        <f>VLOOKUP(K632,RatingLookup!$A$2:$C$8,3,FALSE)</f>
        <v>0.7</v>
      </c>
      <c r="P632">
        <f t="shared" si="28"/>
        <v>14.546721021865562</v>
      </c>
      <c r="Q632" t="str">
        <f t="shared" ca="1" si="29"/>
        <v>No</v>
      </c>
    </row>
    <row r="633" spans="1:17" x14ac:dyDescent="0.45">
      <c r="A633" t="s">
        <v>51</v>
      </c>
      <c r="B633" t="s">
        <v>52</v>
      </c>
      <c r="C633" t="s">
        <v>26</v>
      </c>
      <c r="D633" t="s">
        <v>20</v>
      </c>
      <c r="E633" t="s">
        <v>21</v>
      </c>
      <c r="F633" s="1">
        <v>44774</v>
      </c>
      <c r="G633">
        <v>6.58</v>
      </c>
      <c r="H633">
        <v>88.906099999999995</v>
      </c>
      <c r="I633">
        <v>23.56</v>
      </c>
      <c r="J633">
        <v>89.18</v>
      </c>
      <c r="K633" t="s">
        <v>32</v>
      </c>
      <c r="L633">
        <v>2031.03</v>
      </c>
      <c r="M633">
        <f>VLOOKUP(K633,RatingLookup!$A$2:$C$8,2,FALSE)</f>
        <v>0.12</v>
      </c>
      <c r="N633">
        <f t="shared" si="27"/>
        <v>1.0596241035318976E-2</v>
      </c>
      <c r="O633">
        <f>VLOOKUP(K633,RatingLookup!$A$2:$C$8,3,FALSE)</f>
        <v>0.7</v>
      </c>
      <c r="P633">
        <f t="shared" si="28"/>
        <v>15.06489840097473</v>
      </c>
      <c r="Q633" t="str">
        <f t="shared" ca="1" si="29"/>
        <v>No</v>
      </c>
    </row>
    <row r="634" spans="1:17" x14ac:dyDescent="0.45">
      <c r="A634" t="s">
        <v>51</v>
      </c>
      <c r="B634" t="s">
        <v>52</v>
      </c>
      <c r="C634" t="s">
        <v>26</v>
      </c>
      <c r="D634" t="s">
        <v>20</v>
      </c>
      <c r="E634" t="s">
        <v>21</v>
      </c>
      <c r="F634" s="1">
        <v>44805</v>
      </c>
      <c r="G634">
        <v>5.26</v>
      </c>
      <c r="H634">
        <v>79.523099999999999</v>
      </c>
      <c r="I634">
        <v>17.86</v>
      </c>
      <c r="J634">
        <v>83.86</v>
      </c>
      <c r="K634" t="s">
        <v>32</v>
      </c>
      <c r="L634">
        <v>1958.95</v>
      </c>
      <c r="M634">
        <f>VLOOKUP(K634,RatingLookup!$A$2:$C$8,2,FALSE)</f>
        <v>0.12</v>
      </c>
      <c r="N634">
        <f t="shared" si="27"/>
        <v>1.0596241035318976E-2</v>
      </c>
      <c r="O634">
        <f>VLOOKUP(K634,RatingLookup!$A$2:$C$8,3,FALSE)</f>
        <v>0.7</v>
      </c>
      <c r="P634">
        <f t="shared" si="28"/>
        <v>14.530254463296677</v>
      </c>
      <c r="Q634" t="str">
        <f t="shared" ca="1" si="29"/>
        <v>No</v>
      </c>
    </row>
    <row r="635" spans="1:17" x14ac:dyDescent="0.45">
      <c r="A635" t="s">
        <v>51</v>
      </c>
      <c r="B635" t="s">
        <v>52</v>
      </c>
      <c r="C635" t="s">
        <v>26</v>
      </c>
      <c r="D635" t="s">
        <v>20</v>
      </c>
      <c r="E635" t="s">
        <v>21</v>
      </c>
      <c r="F635" s="1">
        <v>44835</v>
      </c>
      <c r="G635">
        <v>4.8600000000000003</v>
      </c>
      <c r="H635">
        <v>82.504099999999994</v>
      </c>
      <c r="I635">
        <v>21.61</v>
      </c>
      <c r="J635">
        <v>85.36</v>
      </c>
      <c r="K635" t="s">
        <v>32</v>
      </c>
      <c r="L635">
        <v>1904.63</v>
      </c>
      <c r="M635">
        <f>VLOOKUP(K635,RatingLookup!$A$2:$C$8,2,FALSE)</f>
        <v>0.12</v>
      </c>
      <c r="N635">
        <f t="shared" si="27"/>
        <v>1.0596241035318976E-2</v>
      </c>
      <c r="O635">
        <f>VLOOKUP(K635,RatingLookup!$A$2:$C$8,3,FALSE)</f>
        <v>0.7</v>
      </c>
      <c r="P635">
        <f t="shared" si="28"/>
        <v>14.127342994169707</v>
      </c>
      <c r="Q635" t="str">
        <f t="shared" ca="1" si="29"/>
        <v>No</v>
      </c>
    </row>
    <row r="636" spans="1:17" x14ac:dyDescent="0.45">
      <c r="A636" t="s">
        <v>51</v>
      </c>
      <c r="B636" t="s">
        <v>52</v>
      </c>
      <c r="C636" t="s">
        <v>26</v>
      </c>
      <c r="D636" t="s">
        <v>20</v>
      </c>
      <c r="E636" t="s">
        <v>21</v>
      </c>
      <c r="F636" s="1">
        <v>44866</v>
      </c>
      <c r="G636">
        <v>5.69</v>
      </c>
      <c r="H636">
        <v>84.341899999999995</v>
      </c>
      <c r="I636">
        <v>24.59</v>
      </c>
      <c r="J636">
        <v>67.42</v>
      </c>
      <c r="K636" t="s">
        <v>32</v>
      </c>
      <c r="L636">
        <v>2059.61</v>
      </c>
      <c r="M636">
        <f>VLOOKUP(K636,RatingLookup!$A$2:$C$8,2,FALSE)</f>
        <v>0.12</v>
      </c>
      <c r="N636">
        <f t="shared" si="27"/>
        <v>1.0596241035318976E-2</v>
      </c>
      <c r="O636">
        <f>VLOOKUP(K636,RatingLookup!$A$2:$C$8,3,FALSE)</f>
        <v>0.7</v>
      </c>
      <c r="P636">
        <f t="shared" si="28"/>
        <v>15.276886799127322</v>
      </c>
      <c r="Q636" t="str">
        <f t="shared" ca="1" si="29"/>
        <v>No</v>
      </c>
    </row>
    <row r="637" spans="1:17" x14ac:dyDescent="0.45">
      <c r="A637" t="s">
        <v>51</v>
      </c>
      <c r="B637" t="s">
        <v>52</v>
      </c>
      <c r="C637" t="s">
        <v>26</v>
      </c>
      <c r="D637" t="s">
        <v>20</v>
      </c>
      <c r="E637" t="s">
        <v>21</v>
      </c>
      <c r="F637" s="1">
        <v>44896</v>
      </c>
      <c r="G637">
        <v>5.03</v>
      </c>
      <c r="H637">
        <v>77.3399</v>
      </c>
      <c r="I637">
        <v>19.75</v>
      </c>
      <c r="J637">
        <v>88.32</v>
      </c>
      <c r="K637" t="s">
        <v>32</v>
      </c>
      <c r="L637">
        <v>1800.34</v>
      </c>
      <c r="M637">
        <f>VLOOKUP(K637,RatingLookup!$A$2:$C$8,2,FALSE)</f>
        <v>0.12</v>
      </c>
      <c r="N637">
        <f t="shared" si="27"/>
        <v>1.0596241035318976E-2</v>
      </c>
      <c r="O637">
        <f>VLOOKUP(K637,RatingLookup!$A$2:$C$8,3,FALSE)</f>
        <v>0.7</v>
      </c>
      <c r="P637">
        <f t="shared" si="28"/>
        <v>13.353785609868316</v>
      </c>
      <c r="Q637" t="str">
        <f t="shared" ca="1" si="29"/>
        <v>No</v>
      </c>
    </row>
    <row r="638" spans="1:17" x14ac:dyDescent="0.45">
      <c r="A638" t="s">
        <v>51</v>
      </c>
      <c r="B638" t="s">
        <v>52</v>
      </c>
      <c r="C638" t="s">
        <v>26</v>
      </c>
      <c r="D638" t="s">
        <v>20</v>
      </c>
      <c r="E638" t="s">
        <v>21</v>
      </c>
      <c r="F638" s="1">
        <v>44927</v>
      </c>
      <c r="G638">
        <v>5.62</v>
      </c>
      <c r="H638">
        <v>81.336100000000002</v>
      </c>
      <c r="I638">
        <v>22.16</v>
      </c>
      <c r="J638">
        <v>88.85</v>
      </c>
      <c r="K638" t="s">
        <v>32</v>
      </c>
      <c r="L638">
        <v>2020.03</v>
      </c>
      <c r="M638">
        <f>VLOOKUP(K638,RatingLookup!$A$2:$C$8,2,FALSE)</f>
        <v>0.12</v>
      </c>
      <c r="N638">
        <f t="shared" si="27"/>
        <v>1.0596241035318976E-2</v>
      </c>
      <c r="O638">
        <f>VLOOKUP(K638,RatingLookup!$A$2:$C$8,3,FALSE)</f>
        <v>0.7</v>
      </c>
      <c r="P638">
        <f t="shared" si="28"/>
        <v>14.983307345002773</v>
      </c>
      <c r="Q638" t="str">
        <f t="shared" ca="1" si="29"/>
        <v>No</v>
      </c>
    </row>
    <row r="639" spans="1:17" x14ac:dyDescent="0.45">
      <c r="A639" t="s">
        <v>51</v>
      </c>
      <c r="B639" t="s">
        <v>52</v>
      </c>
      <c r="C639" t="s">
        <v>26</v>
      </c>
      <c r="D639" t="s">
        <v>20</v>
      </c>
      <c r="E639" t="s">
        <v>21</v>
      </c>
      <c r="F639" s="1">
        <v>44958</v>
      </c>
      <c r="G639">
        <v>5.5</v>
      </c>
      <c r="H639">
        <v>81.550399999999996</v>
      </c>
      <c r="I639">
        <v>18.32</v>
      </c>
      <c r="J639">
        <v>85.26</v>
      </c>
      <c r="K639" t="s">
        <v>32</v>
      </c>
      <c r="L639">
        <v>2025.4</v>
      </c>
      <c r="M639">
        <f>VLOOKUP(K639,RatingLookup!$A$2:$C$8,2,FALSE)</f>
        <v>0.12</v>
      </c>
      <c r="N639">
        <f t="shared" si="27"/>
        <v>1.0596241035318976E-2</v>
      </c>
      <c r="O639">
        <f>VLOOKUP(K639,RatingLookup!$A$2:$C$8,3,FALSE)</f>
        <v>0.7</v>
      </c>
      <c r="P639">
        <f t="shared" si="28"/>
        <v>15.023138615054537</v>
      </c>
      <c r="Q639" t="str">
        <f t="shared" ca="1" si="29"/>
        <v>No</v>
      </c>
    </row>
    <row r="640" spans="1:17" x14ac:dyDescent="0.45">
      <c r="A640" t="s">
        <v>51</v>
      </c>
      <c r="B640" t="s">
        <v>52</v>
      </c>
      <c r="C640" t="s">
        <v>26</v>
      </c>
      <c r="D640" t="s">
        <v>20</v>
      </c>
      <c r="E640" t="s">
        <v>21</v>
      </c>
      <c r="F640" s="1">
        <v>44986</v>
      </c>
      <c r="G640">
        <v>5.49</v>
      </c>
      <c r="H640">
        <v>81.176400000000001</v>
      </c>
      <c r="I640">
        <v>22.75</v>
      </c>
      <c r="J640">
        <v>71.150000000000006</v>
      </c>
      <c r="K640" t="s">
        <v>32</v>
      </c>
      <c r="L640">
        <v>2002.4</v>
      </c>
      <c r="M640">
        <f>VLOOKUP(K640,RatingLookup!$A$2:$C$8,2,FALSE)</f>
        <v>0.12</v>
      </c>
      <c r="N640">
        <f t="shared" si="27"/>
        <v>1.0596241035318976E-2</v>
      </c>
      <c r="O640">
        <f>VLOOKUP(K640,RatingLookup!$A$2:$C$8,3,FALSE)</f>
        <v>0.7</v>
      </c>
      <c r="P640">
        <f t="shared" si="28"/>
        <v>14.852539134385902</v>
      </c>
      <c r="Q640" t="str">
        <f t="shared" ca="1" si="29"/>
        <v>No</v>
      </c>
    </row>
    <row r="641" spans="1:17" x14ac:dyDescent="0.45">
      <c r="A641" t="s">
        <v>51</v>
      </c>
      <c r="B641" t="s">
        <v>52</v>
      </c>
      <c r="C641" t="s">
        <v>26</v>
      </c>
      <c r="D641" t="s">
        <v>20</v>
      </c>
      <c r="E641" t="s">
        <v>21</v>
      </c>
      <c r="F641" s="1">
        <v>45017</v>
      </c>
      <c r="G641">
        <v>5.33</v>
      </c>
      <c r="H641">
        <v>82.716800000000006</v>
      </c>
      <c r="I641">
        <v>26.44</v>
      </c>
      <c r="J641">
        <v>62.25</v>
      </c>
      <c r="K641" t="s">
        <v>32</v>
      </c>
      <c r="L641">
        <v>1930.27</v>
      </c>
      <c r="M641">
        <f>VLOOKUP(K641,RatingLookup!$A$2:$C$8,2,FALSE)</f>
        <v>0.12</v>
      </c>
      <c r="N641">
        <f t="shared" si="27"/>
        <v>1.0596241035318976E-2</v>
      </c>
      <c r="O641">
        <f>VLOOKUP(K641,RatingLookup!$A$2:$C$8,3,FALSE)</f>
        <v>0.7</v>
      </c>
      <c r="P641">
        <f t="shared" si="28"/>
        <v>14.317524328271611</v>
      </c>
      <c r="Q641" t="str">
        <f t="shared" ca="1" si="29"/>
        <v>No</v>
      </c>
    </row>
    <row r="642" spans="1:17" x14ac:dyDescent="0.45">
      <c r="A642" t="s">
        <v>51</v>
      </c>
      <c r="B642" t="s">
        <v>52</v>
      </c>
      <c r="C642" t="s">
        <v>26</v>
      </c>
      <c r="D642" t="s">
        <v>20</v>
      </c>
      <c r="E642" t="s">
        <v>21</v>
      </c>
      <c r="F642" s="1">
        <v>45047</v>
      </c>
      <c r="G642">
        <v>4.7</v>
      </c>
      <c r="H642">
        <v>84.1601</v>
      </c>
      <c r="I642">
        <v>30.27</v>
      </c>
      <c r="J642">
        <v>83.75</v>
      </c>
      <c r="K642" t="s">
        <v>32</v>
      </c>
      <c r="L642">
        <v>1968.69</v>
      </c>
      <c r="M642">
        <f>VLOOKUP(K642,RatingLookup!$A$2:$C$8,2,FALSE)</f>
        <v>0.12</v>
      </c>
      <c r="N642">
        <f t="shared" ref="N642:N705" si="30">1-(1-M642)^(1/12)</f>
        <v>1.0596241035318976E-2</v>
      </c>
      <c r="O642">
        <f>VLOOKUP(K642,RatingLookup!$A$2:$C$8,3,FALSE)</f>
        <v>0.7</v>
      </c>
      <c r="P642">
        <f t="shared" ref="P642:P705" si="31">L642*N642*O642</f>
        <v>14.60249963467548</v>
      </c>
      <c r="Q642" t="str">
        <f t="shared" ref="Q642:Q705" ca="1" si="32">IF(RAND()&lt;N642,"Yes","No")</f>
        <v>No</v>
      </c>
    </row>
    <row r="643" spans="1:17" x14ac:dyDescent="0.45">
      <c r="A643" t="s">
        <v>51</v>
      </c>
      <c r="B643" t="s">
        <v>52</v>
      </c>
      <c r="C643" t="s">
        <v>26</v>
      </c>
      <c r="D643" t="s">
        <v>20</v>
      </c>
      <c r="E643" t="s">
        <v>21</v>
      </c>
      <c r="F643" s="1">
        <v>45078</v>
      </c>
      <c r="G643">
        <v>4.67</v>
      </c>
      <c r="H643">
        <v>81.495599999999996</v>
      </c>
      <c r="I643">
        <v>24.98</v>
      </c>
      <c r="J643">
        <v>84.44</v>
      </c>
      <c r="K643" t="s">
        <v>32</v>
      </c>
      <c r="L643">
        <v>2243.0500000000002</v>
      </c>
      <c r="M643">
        <f>VLOOKUP(K643,RatingLookup!$A$2:$C$8,2,FALSE)</f>
        <v>0.12</v>
      </c>
      <c r="N643">
        <f t="shared" si="30"/>
        <v>1.0596241035318976E-2</v>
      </c>
      <c r="O643">
        <f>VLOOKUP(K643,RatingLookup!$A$2:$C$8,3,FALSE)</f>
        <v>0.7</v>
      </c>
      <c r="P643">
        <f t="shared" si="31"/>
        <v>16.637528917990561</v>
      </c>
      <c r="Q643" t="str">
        <f t="shared" ca="1" si="32"/>
        <v>No</v>
      </c>
    </row>
    <row r="644" spans="1:17" x14ac:dyDescent="0.45">
      <c r="A644" t="s">
        <v>51</v>
      </c>
      <c r="B644" t="s">
        <v>52</v>
      </c>
      <c r="C644" t="s">
        <v>26</v>
      </c>
      <c r="D644" t="s">
        <v>20</v>
      </c>
      <c r="E644" t="s">
        <v>21</v>
      </c>
      <c r="F644" s="1">
        <v>45108</v>
      </c>
      <c r="G644">
        <v>4.67</v>
      </c>
      <c r="H644">
        <v>77.283900000000003</v>
      </c>
      <c r="I644">
        <v>23.18</v>
      </c>
      <c r="J644">
        <v>84.17</v>
      </c>
      <c r="K644" t="s">
        <v>32</v>
      </c>
      <c r="L644">
        <v>1879.45</v>
      </c>
      <c r="M644">
        <f>VLOOKUP(K644,RatingLookup!$A$2:$C$8,2,FALSE)</f>
        <v>0.12</v>
      </c>
      <c r="N644">
        <f t="shared" si="30"/>
        <v>1.0596241035318976E-2</v>
      </c>
      <c r="O644">
        <f>VLOOKUP(K644,RatingLookup!$A$2:$C$8,3,FALSE)</f>
        <v>0.7</v>
      </c>
      <c r="P644">
        <f t="shared" si="31"/>
        <v>13.940573649681175</v>
      </c>
      <c r="Q644" t="str">
        <f t="shared" ca="1" si="32"/>
        <v>No</v>
      </c>
    </row>
    <row r="645" spans="1:17" x14ac:dyDescent="0.45">
      <c r="A645" t="s">
        <v>51</v>
      </c>
      <c r="B645" t="s">
        <v>52</v>
      </c>
      <c r="C645" t="s">
        <v>26</v>
      </c>
      <c r="D645" t="s">
        <v>20</v>
      </c>
      <c r="E645" t="s">
        <v>21</v>
      </c>
      <c r="F645" s="1">
        <v>45139</v>
      </c>
      <c r="G645">
        <v>5.56</v>
      </c>
      <c r="H645">
        <v>82.059299999999993</v>
      </c>
      <c r="I645">
        <v>13.48</v>
      </c>
      <c r="J645">
        <v>72.13</v>
      </c>
      <c r="K645" t="s">
        <v>32</v>
      </c>
      <c r="L645">
        <v>1896.05</v>
      </c>
      <c r="M645">
        <f>VLOOKUP(K645,RatingLookup!$A$2:$C$8,2,FALSE)</f>
        <v>0.12</v>
      </c>
      <c r="N645">
        <f t="shared" si="30"/>
        <v>1.0596241035318976E-2</v>
      </c>
      <c r="O645">
        <f>VLOOKUP(K645,RatingLookup!$A$2:$C$8,3,FALSE)</f>
        <v>0.7</v>
      </c>
      <c r="P645">
        <f t="shared" si="31"/>
        <v>14.06370197051158</v>
      </c>
      <c r="Q645" t="str">
        <f t="shared" ca="1" si="32"/>
        <v>No</v>
      </c>
    </row>
    <row r="646" spans="1:17" x14ac:dyDescent="0.45">
      <c r="A646" t="s">
        <v>51</v>
      </c>
      <c r="B646" t="s">
        <v>52</v>
      </c>
      <c r="C646" t="s">
        <v>26</v>
      </c>
      <c r="D646" t="s">
        <v>20</v>
      </c>
      <c r="E646" t="s">
        <v>21</v>
      </c>
      <c r="F646" s="1">
        <v>45170</v>
      </c>
      <c r="G646">
        <v>5.75</v>
      </c>
      <c r="H646">
        <v>75.944400000000002</v>
      </c>
      <c r="I646">
        <v>17.510000000000002</v>
      </c>
      <c r="J646">
        <v>68.52</v>
      </c>
      <c r="K646" t="s">
        <v>32</v>
      </c>
      <c r="L646">
        <v>1862.85</v>
      </c>
      <c r="M646">
        <f>VLOOKUP(K646,RatingLookup!$A$2:$C$8,2,FALSE)</f>
        <v>0.12</v>
      </c>
      <c r="N646">
        <f t="shared" si="30"/>
        <v>1.0596241035318976E-2</v>
      </c>
      <c r="O646">
        <f>VLOOKUP(K646,RatingLookup!$A$2:$C$8,3,FALSE)</f>
        <v>0.7</v>
      </c>
      <c r="P646">
        <f t="shared" si="31"/>
        <v>13.817445328850768</v>
      </c>
      <c r="Q646" t="str">
        <f t="shared" ca="1" si="32"/>
        <v>No</v>
      </c>
    </row>
    <row r="647" spans="1:17" x14ac:dyDescent="0.45">
      <c r="A647" t="s">
        <v>51</v>
      </c>
      <c r="B647" t="s">
        <v>52</v>
      </c>
      <c r="C647" t="s">
        <v>26</v>
      </c>
      <c r="D647" t="s">
        <v>20</v>
      </c>
      <c r="E647" t="s">
        <v>21</v>
      </c>
      <c r="F647" s="1">
        <v>45200</v>
      </c>
      <c r="G647">
        <v>5.18</v>
      </c>
      <c r="H647">
        <v>80.239800000000002</v>
      </c>
      <c r="I647">
        <v>23.23</v>
      </c>
      <c r="J647">
        <v>70.47</v>
      </c>
      <c r="K647" t="s">
        <v>32</v>
      </c>
      <c r="L647">
        <v>1893.52</v>
      </c>
      <c r="M647">
        <f>VLOOKUP(K647,RatingLookup!$A$2:$C$8,2,FALSE)</f>
        <v>0.12</v>
      </c>
      <c r="N647">
        <f t="shared" si="30"/>
        <v>1.0596241035318976E-2</v>
      </c>
      <c r="O647">
        <f>VLOOKUP(K647,RatingLookup!$A$2:$C$8,3,FALSE)</f>
        <v>0.7</v>
      </c>
      <c r="P647">
        <f t="shared" si="31"/>
        <v>14.04493602763803</v>
      </c>
      <c r="Q647" t="str">
        <f t="shared" ca="1" si="32"/>
        <v>No</v>
      </c>
    </row>
    <row r="648" spans="1:17" x14ac:dyDescent="0.45">
      <c r="A648" t="s">
        <v>51</v>
      </c>
      <c r="B648" t="s">
        <v>52</v>
      </c>
      <c r="C648" t="s">
        <v>26</v>
      </c>
      <c r="D648" t="s">
        <v>20</v>
      </c>
      <c r="E648" t="s">
        <v>21</v>
      </c>
      <c r="F648" s="1">
        <v>45231</v>
      </c>
      <c r="G648">
        <v>5.13</v>
      </c>
      <c r="H648">
        <v>75.579599999999999</v>
      </c>
      <c r="I648">
        <v>13.61</v>
      </c>
      <c r="J648">
        <v>81.22</v>
      </c>
      <c r="K648" t="s">
        <v>32</v>
      </c>
      <c r="L648">
        <v>2034.18</v>
      </c>
      <c r="M648">
        <f>VLOOKUP(K648,RatingLookup!$A$2:$C$8,2,FALSE)</f>
        <v>0.12</v>
      </c>
      <c r="N648">
        <f t="shared" si="30"/>
        <v>1.0596241035318976E-2</v>
      </c>
      <c r="O648">
        <f>VLOOKUP(K648,RatingLookup!$A$2:$C$8,3,FALSE)</f>
        <v>0.7</v>
      </c>
      <c r="P648">
        <f t="shared" si="31"/>
        <v>15.088263112457607</v>
      </c>
      <c r="Q648" t="str">
        <f t="shared" ca="1" si="32"/>
        <v>No</v>
      </c>
    </row>
    <row r="649" spans="1:17" x14ac:dyDescent="0.45">
      <c r="A649" t="s">
        <v>51</v>
      </c>
      <c r="B649" t="s">
        <v>52</v>
      </c>
      <c r="C649" t="s">
        <v>26</v>
      </c>
      <c r="D649" t="s">
        <v>20</v>
      </c>
      <c r="E649" t="s">
        <v>21</v>
      </c>
      <c r="F649" s="1">
        <v>45261</v>
      </c>
      <c r="G649">
        <v>5.45</v>
      </c>
      <c r="H649">
        <v>81.742500000000007</v>
      </c>
      <c r="I649">
        <v>32.700000000000003</v>
      </c>
      <c r="J649">
        <v>75.98</v>
      </c>
      <c r="K649" t="s">
        <v>32</v>
      </c>
      <c r="L649">
        <v>2027.42</v>
      </c>
      <c r="M649">
        <f>VLOOKUP(K649,RatingLookup!$A$2:$C$8,2,FALSE)</f>
        <v>0.12</v>
      </c>
      <c r="N649">
        <f t="shared" si="30"/>
        <v>1.0596241035318976E-2</v>
      </c>
      <c r="O649">
        <f>VLOOKUP(K649,RatingLookup!$A$2:$C$8,3,FALSE)</f>
        <v>0.7</v>
      </c>
      <c r="P649">
        <f t="shared" si="31"/>
        <v>15.038121699878479</v>
      </c>
      <c r="Q649" t="str">
        <f t="shared" ca="1" si="32"/>
        <v>No</v>
      </c>
    </row>
    <row r="650" spans="1:17" x14ac:dyDescent="0.45">
      <c r="A650" t="s">
        <v>51</v>
      </c>
      <c r="B650" t="s">
        <v>52</v>
      </c>
      <c r="C650" t="s">
        <v>26</v>
      </c>
      <c r="D650" t="s">
        <v>20</v>
      </c>
      <c r="E650" t="s">
        <v>21</v>
      </c>
      <c r="F650" s="1">
        <v>45292</v>
      </c>
      <c r="G650">
        <v>4.7</v>
      </c>
      <c r="H650">
        <v>80.2346</v>
      </c>
      <c r="I650">
        <v>22.84</v>
      </c>
      <c r="J650">
        <v>90.25</v>
      </c>
      <c r="K650" t="s">
        <v>32</v>
      </c>
      <c r="L650">
        <v>1929.29</v>
      </c>
      <c r="M650">
        <f>VLOOKUP(K650,RatingLookup!$A$2:$C$8,2,FALSE)</f>
        <v>0.12</v>
      </c>
      <c r="N650">
        <f t="shared" si="30"/>
        <v>1.0596241035318976E-2</v>
      </c>
      <c r="O650">
        <f>VLOOKUP(K650,RatingLookup!$A$2:$C$8,3,FALSE)</f>
        <v>0.7</v>
      </c>
      <c r="P650">
        <f t="shared" si="31"/>
        <v>14.310255306921382</v>
      </c>
      <c r="Q650" t="str">
        <f t="shared" ca="1" si="32"/>
        <v>No</v>
      </c>
    </row>
    <row r="651" spans="1:17" x14ac:dyDescent="0.45">
      <c r="A651" t="s">
        <v>51</v>
      </c>
      <c r="B651" t="s">
        <v>52</v>
      </c>
      <c r="C651" t="s">
        <v>26</v>
      </c>
      <c r="D651" t="s">
        <v>20</v>
      </c>
      <c r="E651" t="s">
        <v>21</v>
      </c>
      <c r="F651" s="1">
        <v>45323</v>
      </c>
      <c r="G651">
        <v>4.3899999999999997</v>
      </c>
      <c r="H651">
        <v>85.027000000000001</v>
      </c>
      <c r="I651">
        <v>19.93</v>
      </c>
      <c r="J651">
        <v>97.21</v>
      </c>
      <c r="K651" t="s">
        <v>32</v>
      </c>
      <c r="L651">
        <v>1887.74</v>
      </c>
      <c r="M651">
        <f>VLOOKUP(K651,RatingLookup!$A$2:$C$8,2,FALSE)</f>
        <v>0.12</v>
      </c>
      <c r="N651">
        <f t="shared" si="30"/>
        <v>1.0596241035318976E-2</v>
      </c>
      <c r="O651">
        <f>VLOOKUP(K651,RatingLookup!$A$2:$C$8,3,FALSE)</f>
        <v>0.7</v>
      </c>
      <c r="P651">
        <f t="shared" si="31"/>
        <v>14.00206363640913</v>
      </c>
      <c r="Q651" t="str">
        <f t="shared" ca="1" si="32"/>
        <v>No</v>
      </c>
    </row>
    <row r="652" spans="1:17" x14ac:dyDescent="0.45">
      <c r="A652" t="s">
        <v>51</v>
      </c>
      <c r="B652" t="s">
        <v>52</v>
      </c>
      <c r="C652" t="s">
        <v>26</v>
      </c>
      <c r="D652" t="s">
        <v>20</v>
      </c>
      <c r="E652" t="s">
        <v>21</v>
      </c>
      <c r="F652" s="1">
        <v>45352</v>
      </c>
      <c r="G652">
        <v>5.87</v>
      </c>
      <c r="H652">
        <v>86.221599999999995</v>
      </c>
      <c r="I652">
        <v>19.440000000000001</v>
      </c>
      <c r="J652">
        <v>78.62</v>
      </c>
      <c r="K652" t="s">
        <v>32</v>
      </c>
      <c r="L652">
        <v>1828.45</v>
      </c>
      <c r="M652">
        <f>VLOOKUP(K652,RatingLookup!$A$2:$C$8,2,FALSE)</f>
        <v>0.12</v>
      </c>
      <c r="N652">
        <f t="shared" si="30"/>
        <v>1.0596241035318976E-2</v>
      </c>
      <c r="O652">
        <f>VLOOKUP(K652,RatingLookup!$A$2:$C$8,3,FALSE)</f>
        <v>0.7</v>
      </c>
      <c r="P652">
        <f t="shared" si="31"/>
        <v>13.562287844720286</v>
      </c>
      <c r="Q652" t="str">
        <f t="shared" ca="1" si="32"/>
        <v>No</v>
      </c>
    </row>
    <row r="653" spans="1:17" x14ac:dyDescent="0.45">
      <c r="A653" t="s">
        <v>51</v>
      </c>
      <c r="B653" t="s">
        <v>52</v>
      </c>
      <c r="C653" t="s">
        <v>26</v>
      </c>
      <c r="D653" t="s">
        <v>20</v>
      </c>
      <c r="E653" t="s">
        <v>21</v>
      </c>
      <c r="F653" s="1">
        <v>45383</v>
      </c>
      <c r="G653">
        <v>5.57</v>
      </c>
      <c r="H653">
        <v>81.995800000000003</v>
      </c>
      <c r="I653">
        <v>17.579999999999998</v>
      </c>
      <c r="J653">
        <v>65.5</v>
      </c>
      <c r="K653" t="s">
        <v>32</v>
      </c>
      <c r="L653">
        <v>1799.54</v>
      </c>
      <c r="M653">
        <f>VLOOKUP(K653,RatingLookup!$A$2:$C$8,2,FALSE)</f>
        <v>0.12</v>
      </c>
      <c r="N653">
        <f t="shared" si="30"/>
        <v>1.0596241035318976E-2</v>
      </c>
      <c r="O653">
        <f>VLOOKUP(K653,RatingLookup!$A$2:$C$8,3,FALSE)</f>
        <v>0.7</v>
      </c>
      <c r="P653">
        <f t="shared" si="31"/>
        <v>13.347851714888536</v>
      </c>
      <c r="Q653" t="str">
        <f t="shared" ca="1" si="32"/>
        <v>No</v>
      </c>
    </row>
    <row r="654" spans="1:17" x14ac:dyDescent="0.45">
      <c r="A654" t="s">
        <v>51</v>
      </c>
      <c r="B654" t="s">
        <v>52</v>
      </c>
      <c r="C654" t="s">
        <v>26</v>
      </c>
      <c r="D654" t="s">
        <v>20</v>
      </c>
      <c r="E654" t="s">
        <v>21</v>
      </c>
      <c r="F654" s="1">
        <v>45413</v>
      </c>
      <c r="G654">
        <v>5.74</v>
      </c>
      <c r="H654">
        <v>80.759299999999996</v>
      </c>
      <c r="I654">
        <v>24.29</v>
      </c>
      <c r="J654">
        <v>87.15</v>
      </c>
      <c r="K654" t="s">
        <v>32</v>
      </c>
      <c r="L654">
        <v>1893.58</v>
      </c>
      <c r="M654">
        <f>VLOOKUP(K654,RatingLookup!$A$2:$C$8,2,FALSE)</f>
        <v>0.12</v>
      </c>
      <c r="N654">
        <f t="shared" si="30"/>
        <v>1.0596241035318976E-2</v>
      </c>
      <c r="O654">
        <f>VLOOKUP(K654,RatingLookup!$A$2:$C$8,3,FALSE)</f>
        <v>0.7</v>
      </c>
      <c r="P654">
        <f t="shared" si="31"/>
        <v>14.045381069761515</v>
      </c>
      <c r="Q654" t="str">
        <f t="shared" ca="1" si="32"/>
        <v>No</v>
      </c>
    </row>
    <row r="655" spans="1:17" x14ac:dyDescent="0.45">
      <c r="A655" t="s">
        <v>51</v>
      </c>
      <c r="B655" t="s">
        <v>52</v>
      </c>
      <c r="C655" t="s">
        <v>26</v>
      </c>
      <c r="D655" t="s">
        <v>20</v>
      </c>
      <c r="E655" t="s">
        <v>21</v>
      </c>
      <c r="F655" s="1">
        <v>45444</v>
      </c>
      <c r="G655">
        <v>4.8600000000000003</v>
      </c>
      <c r="H655">
        <v>83.477800000000002</v>
      </c>
      <c r="I655">
        <v>19.29</v>
      </c>
      <c r="J655">
        <v>93.29</v>
      </c>
      <c r="K655" t="s">
        <v>32</v>
      </c>
      <c r="L655">
        <v>1902.81</v>
      </c>
      <c r="M655">
        <f>VLOOKUP(K655,RatingLookup!$A$2:$C$8,2,FALSE)</f>
        <v>0.12</v>
      </c>
      <c r="N655">
        <f t="shared" si="30"/>
        <v>1.0596241035318976E-2</v>
      </c>
      <c r="O655">
        <f>VLOOKUP(K655,RatingLookup!$A$2:$C$8,3,FALSE)</f>
        <v>0.7</v>
      </c>
      <c r="P655">
        <f t="shared" si="31"/>
        <v>14.113843383090709</v>
      </c>
      <c r="Q655" t="str">
        <f t="shared" ca="1" si="32"/>
        <v>No</v>
      </c>
    </row>
    <row r="656" spans="1:17" x14ac:dyDescent="0.45">
      <c r="A656" t="s">
        <v>51</v>
      </c>
      <c r="B656" t="s">
        <v>52</v>
      </c>
      <c r="C656" t="s">
        <v>26</v>
      </c>
      <c r="D656" t="s">
        <v>20</v>
      </c>
      <c r="E656" t="s">
        <v>21</v>
      </c>
      <c r="F656" s="1">
        <v>45474</v>
      </c>
      <c r="G656">
        <v>4.4800000000000004</v>
      </c>
      <c r="H656">
        <v>84.819299999999998</v>
      </c>
      <c r="I656">
        <v>19.670000000000002</v>
      </c>
      <c r="J656">
        <v>77.02</v>
      </c>
      <c r="K656" t="s">
        <v>32</v>
      </c>
      <c r="L656">
        <v>1934.58</v>
      </c>
      <c r="M656">
        <f>VLOOKUP(K656,RatingLookup!$A$2:$C$8,2,FALSE)</f>
        <v>0.12</v>
      </c>
      <c r="N656">
        <f t="shared" si="30"/>
        <v>1.0596241035318976E-2</v>
      </c>
      <c r="O656">
        <f>VLOOKUP(K656,RatingLookup!$A$2:$C$8,3,FALSE)</f>
        <v>0.7</v>
      </c>
      <c r="P656">
        <f t="shared" si="31"/>
        <v>14.349493187475169</v>
      </c>
      <c r="Q656" t="str">
        <f t="shared" ca="1" si="32"/>
        <v>Yes</v>
      </c>
    </row>
    <row r="657" spans="1:17" x14ac:dyDescent="0.45">
      <c r="A657" t="s">
        <v>51</v>
      </c>
      <c r="B657" t="s">
        <v>52</v>
      </c>
      <c r="C657" t="s">
        <v>26</v>
      </c>
      <c r="D657" t="s">
        <v>20</v>
      </c>
      <c r="E657" t="s">
        <v>21</v>
      </c>
      <c r="F657" s="1">
        <v>45505</v>
      </c>
      <c r="G657">
        <v>6.05</v>
      </c>
      <c r="H657">
        <v>80.656700000000001</v>
      </c>
      <c r="I657">
        <v>24.12</v>
      </c>
      <c r="J657">
        <v>77.48</v>
      </c>
      <c r="K657" t="s">
        <v>32</v>
      </c>
      <c r="L657">
        <v>1982.01</v>
      </c>
      <c r="M657">
        <f>VLOOKUP(K657,RatingLookup!$A$2:$C$8,2,FALSE)</f>
        <v>0.12</v>
      </c>
      <c r="N657">
        <f t="shared" si="30"/>
        <v>1.0596241035318976E-2</v>
      </c>
      <c r="O657">
        <f>VLOOKUP(K657,RatingLookup!$A$2:$C$8,3,FALSE)</f>
        <v>0.7</v>
      </c>
      <c r="P657">
        <f t="shared" si="31"/>
        <v>14.701298986088794</v>
      </c>
      <c r="Q657" t="str">
        <f t="shared" ca="1" si="32"/>
        <v>No</v>
      </c>
    </row>
    <row r="658" spans="1:17" x14ac:dyDescent="0.45">
      <c r="A658" t="s">
        <v>51</v>
      </c>
      <c r="B658" t="s">
        <v>52</v>
      </c>
      <c r="C658" t="s">
        <v>26</v>
      </c>
      <c r="D658" t="s">
        <v>20</v>
      </c>
      <c r="E658" t="s">
        <v>21</v>
      </c>
      <c r="F658" s="1">
        <v>45536</v>
      </c>
      <c r="G658">
        <v>4.29</v>
      </c>
      <c r="H658">
        <v>81.4816</v>
      </c>
      <c r="I658">
        <v>21.63</v>
      </c>
      <c r="J658">
        <v>69.37</v>
      </c>
      <c r="K658" t="s">
        <v>32</v>
      </c>
      <c r="L658">
        <v>2036.53</v>
      </c>
      <c r="M658">
        <f>VLOOKUP(K658,RatingLookup!$A$2:$C$8,2,FALSE)</f>
        <v>0.12</v>
      </c>
      <c r="N658">
        <f t="shared" si="30"/>
        <v>1.0596241035318976E-2</v>
      </c>
      <c r="O658">
        <f>VLOOKUP(K658,RatingLookup!$A$2:$C$8,3,FALSE)</f>
        <v>0.7</v>
      </c>
      <c r="P658">
        <f t="shared" si="31"/>
        <v>15.105693928960708</v>
      </c>
      <c r="Q658" t="str">
        <f t="shared" ca="1" si="32"/>
        <v>No</v>
      </c>
    </row>
    <row r="659" spans="1:17" x14ac:dyDescent="0.45">
      <c r="A659" t="s">
        <v>51</v>
      </c>
      <c r="B659" t="s">
        <v>52</v>
      </c>
      <c r="C659" t="s">
        <v>26</v>
      </c>
      <c r="D659" t="s">
        <v>20</v>
      </c>
      <c r="E659" t="s">
        <v>21</v>
      </c>
      <c r="F659" s="1">
        <v>45566</v>
      </c>
      <c r="G659">
        <v>4.9800000000000004</v>
      </c>
      <c r="H659">
        <v>83.524799999999999</v>
      </c>
      <c r="I659">
        <v>22.25</v>
      </c>
      <c r="J659">
        <v>90.88</v>
      </c>
      <c r="K659" t="s">
        <v>32</v>
      </c>
      <c r="L659">
        <v>1733.36</v>
      </c>
      <c r="M659">
        <f>VLOOKUP(K659,RatingLookup!$A$2:$C$8,2,FALSE)</f>
        <v>0.12</v>
      </c>
      <c r="N659">
        <f t="shared" si="30"/>
        <v>1.0596241035318976E-2</v>
      </c>
      <c r="O659">
        <f>VLOOKUP(K659,RatingLookup!$A$2:$C$8,3,FALSE)</f>
        <v>0.7</v>
      </c>
      <c r="P659">
        <f t="shared" si="31"/>
        <v>12.856970252686351</v>
      </c>
      <c r="Q659" t="str">
        <f t="shared" ca="1" si="32"/>
        <v>No</v>
      </c>
    </row>
    <row r="660" spans="1:17" x14ac:dyDescent="0.45">
      <c r="A660" t="s">
        <v>51</v>
      </c>
      <c r="B660" t="s">
        <v>52</v>
      </c>
      <c r="C660" t="s">
        <v>26</v>
      </c>
      <c r="D660" t="s">
        <v>20</v>
      </c>
      <c r="E660" t="s">
        <v>21</v>
      </c>
      <c r="F660" s="1">
        <v>45597</v>
      </c>
      <c r="G660">
        <v>5.12</v>
      </c>
      <c r="H660">
        <v>84.253600000000006</v>
      </c>
      <c r="I660">
        <v>16.98</v>
      </c>
      <c r="J660">
        <v>86.75</v>
      </c>
      <c r="K660" t="s">
        <v>32</v>
      </c>
      <c r="L660">
        <v>1972.83</v>
      </c>
      <c r="M660">
        <f>VLOOKUP(K660,RatingLookup!$A$2:$C$8,2,FALSE)</f>
        <v>0.12</v>
      </c>
      <c r="N660">
        <f t="shared" si="30"/>
        <v>1.0596241035318976E-2</v>
      </c>
      <c r="O660">
        <f>VLOOKUP(K660,RatingLookup!$A$2:$C$8,3,FALSE)</f>
        <v>0.7</v>
      </c>
      <c r="P660">
        <f t="shared" si="31"/>
        <v>14.633207541195835</v>
      </c>
      <c r="Q660" t="str">
        <f t="shared" ca="1" si="32"/>
        <v>No</v>
      </c>
    </row>
    <row r="661" spans="1:17" x14ac:dyDescent="0.45">
      <c r="A661" t="s">
        <v>51</v>
      </c>
      <c r="B661" t="s">
        <v>52</v>
      </c>
      <c r="C661" t="s">
        <v>26</v>
      </c>
      <c r="D661" t="s">
        <v>20</v>
      </c>
      <c r="E661" t="s">
        <v>21</v>
      </c>
      <c r="F661" s="1">
        <v>45627</v>
      </c>
      <c r="G661">
        <v>5.6</v>
      </c>
      <c r="H661">
        <v>81.3292</v>
      </c>
      <c r="I661">
        <v>18.559999999999999</v>
      </c>
      <c r="J661">
        <v>99.27</v>
      </c>
      <c r="K661" t="s">
        <v>32</v>
      </c>
      <c r="L661">
        <v>2128.87</v>
      </c>
      <c r="M661">
        <f>VLOOKUP(K661,RatingLookup!$A$2:$C$8,2,FALSE)</f>
        <v>0.12</v>
      </c>
      <c r="N661">
        <f t="shared" si="30"/>
        <v>1.0596241035318976E-2</v>
      </c>
      <c r="O661">
        <f>VLOOKUP(K661,RatingLookup!$A$2:$C$8,3,FALSE)</f>
        <v>0.7</v>
      </c>
      <c r="P661">
        <f t="shared" si="31"/>
        <v>15.790613757001653</v>
      </c>
      <c r="Q661" t="str">
        <f t="shared" ca="1" si="32"/>
        <v>No</v>
      </c>
    </row>
    <row r="662" spans="1:17" x14ac:dyDescent="0.45">
      <c r="A662" t="s">
        <v>53</v>
      </c>
      <c r="B662" t="s">
        <v>54</v>
      </c>
      <c r="C662" t="s">
        <v>29</v>
      </c>
      <c r="D662" t="s">
        <v>20</v>
      </c>
      <c r="E662" t="s">
        <v>21</v>
      </c>
      <c r="F662" s="1">
        <v>43831</v>
      </c>
      <c r="G662">
        <v>5.1100000000000003</v>
      </c>
      <c r="H662">
        <v>82.150599999999997</v>
      </c>
      <c r="I662">
        <v>16.27</v>
      </c>
      <c r="J662">
        <v>76.3</v>
      </c>
      <c r="K662" t="s">
        <v>31</v>
      </c>
      <c r="L662">
        <v>1477.44</v>
      </c>
      <c r="M662">
        <f>VLOOKUP(K662,RatingLookup!$A$2:$C$8,2,FALSE)</f>
        <v>0.04</v>
      </c>
      <c r="N662">
        <f t="shared" si="30"/>
        <v>3.3960531989175591E-3</v>
      </c>
      <c r="O662">
        <f>VLOOKUP(K662,RatingLookup!$A$2:$C$8,3,FALSE)</f>
        <v>0.6</v>
      </c>
      <c r="P662">
        <f t="shared" si="31"/>
        <v>3.010478902925255</v>
      </c>
      <c r="Q662" t="str">
        <f t="shared" ca="1" si="32"/>
        <v>No</v>
      </c>
    </row>
    <row r="663" spans="1:17" x14ac:dyDescent="0.45">
      <c r="A663" t="s">
        <v>53</v>
      </c>
      <c r="B663" t="s">
        <v>54</v>
      </c>
      <c r="C663" t="s">
        <v>29</v>
      </c>
      <c r="D663" t="s">
        <v>20</v>
      </c>
      <c r="E663" t="s">
        <v>21</v>
      </c>
      <c r="F663" s="1">
        <v>43862</v>
      </c>
      <c r="G663">
        <v>5.82</v>
      </c>
      <c r="H663">
        <v>81.0227</v>
      </c>
      <c r="I663">
        <v>13.79</v>
      </c>
      <c r="J663">
        <v>83.04</v>
      </c>
      <c r="K663" t="s">
        <v>31</v>
      </c>
      <c r="L663">
        <v>1568.64</v>
      </c>
      <c r="M663">
        <f>VLOOKUP(K663,RatingLookup!$A$2:$C$8,2,FALSE)</f>
        <v>0.04</v>
      </c>
      <c r="N663">
        <f t="shared" si="30"/>
        <v>3.3960531989175591E-3</v>
      </c>
      <c r="O663">
        <f>VLOOKUP(K663,RatingLookup!$A$2:$C$8,3,FALSE)</f>
        <v>0.6</v>
      </c>
      <c r="P663">
        <f t="shared" si="31"/>
        <v>3.196310933970024</v>
      </c>
      <c r="Q663" t="str">
        <f t="shared" ca="1" si="32"/>
        <v>No</v>
      </c>
    </row>
    <row r="664" spans="1:17" x14ac:dyDescent="0.45">
      <c r="A664" t="s">
        <v>53</v>
      </c>
      <c r="B664" t="s">
        <v>54</v>
      </c>
      <c r="C664" t="s">
        <v>29</v>
      </c>
      <c r="D664" t="s">
        <v>20</v>
      </c>
      <c r="E664" t="s">
        <v>21</v>
      </c>
      <c r="F664" s="1">
        <v>43891</v>
      </c>
      <c r="G664">
        <v>5.91</v>
      </c>
      <c r="H664">
        <v>80.743600000000001</v>
      </c>
      <c r="I664">
        <v>11.58</v>
      </c>
      <c r="J664">
        <v>45.14</v>
      </c>
      <c r="K664" t="s">
        <v>31</v>
      </c>
      <c r="L664">
        <v>1470.34</v>
      </c>
      <c r="M664">
        <f>VLOOKUP(K664,RatingLookup!$A$2:$C$8,2,FALSE)</f>
        <v>0.04</v>
      </c>
      <c r="N664">
        <f t="shared" si="30"/>
        <v>3.3960531989175591E-3</v>
      </c>
      <c r="O664">
        <f>VLOOKUP(K664,RatingLookup!$A$2:$C$8,3,FALSE)</f>
        <v>0.6</v>
      </c>
      <c r="P664">
        <f t="shared" si="31"/>
        <v>2.9960117162978661</v>
      </c>
      <c r="Q664" t="str">
        <f t="shared" ca="1" si="32"/>
        <v>No</v>
      </c>
    </row>
    <row r="665" spans="1:17" x14ac:dyDescent="0.45">
      <c r="A665" t="s">
        <v>53</v>
      </c>
      <c r="B665" t="s">
        <v>54</v>
      </c>
      <c r="C665" t="s">
        <v>29</v>
      </c>
      <c r="D665" t="s">
        <v>20</v>
      </c>
      <c r="E665" t="s">
        <v>21</v>
      </c>
      <c r="F665" s="1">
        <v>43922</v>
      </c>
      <c r="G665">
        <v>5.85</v>
      </c>
      <c r="H665">
        <v>78.759500000000003</v>
      </c>
      <c r="I665">
        <v>17.03</v>
      </c>
      <c r="J665">
        <v>72.8</v>
      </c>
      <c r="K665" t="s">
        <v>31</v>
      </c>
      <c r="L665">
        <v>1448.26</v>
      </c>
      <c r="M665">
        <f>VLOOKUP(K665,RatingLookup!$A$2:$C$8,2,FALSE)</f>
        <v>0.04</v>
      </c>
      <c r="N665">
        <f t="shared" si="30"/>
        <v>3.3960531989175591E-3</v>
      </c>
      <c r="O665">
        <f>VLOOKUP(K665,RatingLookup!$A$2:$C$8,3,FALSE)</f>
        <v>0.6</v>
      </c>
      <c r="P665">
        <f t="shared" si="31"/>
        <v>2.9510208035186061</v>
      </c>
      <c r="Q665" t="str">
        <f t="shared" ca="1" si="32"/>
        <v>No</v>
      </c>
    </row>
    <row r="666" spans="1:17" x14ac:dyDescent="0.45">
      <c r="A666" t="s">
        <v>53</v>
      </c>
      <c r="B666" t="s">
        <v>54</v>
      </c>
      <c r="C666" t="s">
        <v>29</v>
      </c>
      <c r="D666" t="s">
        <v>20</v>
      </c>
      <c r="E666" t="s">
        <v>21</v>
      </c>
      <c r="F666" s="1">
        <v>43952</v>
      </c>
      <c r="G666">
        <v>5.32</v>
      </c>
      <c r="H666">
        <v>79.738299999999995</v>
      </c>
      <c r="I666">
        <v>26.05</v>
      </c>
      <c r="J666">
        <v>61.09</v>
      </c>
      <c r="K666" t="s">
        <v>31</v>
      </c>
      <c r="L666">
        <v>1415.83</v>
      </c>
      <c r="M666">
        <f>VLOOKUP(K666,RatingLookup!$A$2:$C$8,2,FALSE)</f>
        <v>0.04</v>
      </c>
      <c r="N666">
        <f t="shared" si="30"/>
        <v>3.3960531989175591E-3</v>
      </c>
      <c r="O666">
        <f>VLOOKUP(K666,RatingLookup!$A$2:$C$8,3,FALSE)</f>
        <v>0.6</v>
      </c>
      <c r="P666">
        <f t="shared" si="31"/>
        <v>2.8849404003740684</v>
      </c>
      <c r="Q666" t="str">
        <f t="shared" ca="1" si="32"/>
        <v>No</v>
      </c>
    </row>
    <row r="667" spans="1:17" x14ac:dyDescent="0.45">
      <c r="A667" t="s">
        <v>53</v>
      </c>
      <c r="B667" t="s">
        <v>54</v>
      </c>
      <c r="C667" t="s">
        <v>29</v>
      </c>
      <c r="D667" t="s">
        <v>20</v>
      </c>
      <c r="E667" t="s">
        <v>21</v>
      </c>
      <c r="F667" s="1">
        <v>43983</v>
      </c>
      <c r="G667">
        <v>6.52</v>
      </c>
      <c r="H667">
        <v>81.653400000000005</v>
      </c>
      <c r="I667">
        <v>7.02</v>
      </c>
      <c r="J667">
        <v>66.739999999999995</v>
      </c>
      <c r="K667" t="s">
        <v>31</v>
      </c>
      <c r="L667">
        <v>1440.94</v>
      </c>
      <c r="M667">
        <f>VLOOKUP(K667,RatingLookup!$A$2:$C$8,2,FALSE)</f>
        <v>0.04</v>
      </c>
      <c r="N667">
        <f t="shared" si="30"/>
        <v>3.3960531989175591E-3</v>
      </c>
      <c r="O667">
        <f>VLOOKUP(K667,RatingLookup!$A$2:$C$8,3,FALSE)</f>
        <v>0.6</v>
      </c>
      <c r="P667">
        <f t="shared" si="31"/>
        <v>2.9361053378689603</v>
      </c>
      <c r="Q667" t="str">
        <f t="shared" ca="1" si="32"/>
        <v>No</v>
      </c>
    </row>
    <row r="668" spans="1:17" x14ac:dyDescent="0.45">
      <c r="A668" t="s">
        <v>53</v>
      </c>
      <c r="B668" t="s">
        <v>54</v>
      </c>
      <c r="C668" t="s">
        <v>29</v>
      </c>
      <c r="D668" t="s">
        <v>20</v>
      </c>
      <c r="E668" t="s">
        <v>21</v>
      </c>
      <c r="F668" s="1">
        <v>44013</v>
      </c>
      <c r="G668">
        <v>4.67</v>
      </c>
      <c r="H668">
        <v>80.969300000000004</v>
      </c>
      <c r="I668">
        <v>19.03</v>
      </c>
      <c r="J668">
        <v>75.7</v>
      </c>
      <c r="K668" t="s">
        <v>31</v>
      </c>
      <c r="L668">
        <v>1486.92</v>
      </c>
      <c r="M668">
        <f>VLOOKUP(K668,RatingLookup!$A$2:$C$8,2,FALSE)</f>
        <v>0.04</v>
      </c>
      <c r="N668">
        <f t="shared" si="30"/>
        <v>3.3960531989175591E-3</v>
      </c>
      <c r="O668">
        <f>VLOOKUP(K668,RatingLookup!$A$2:$C$8,3,FALSE)</f>
        <v>0.6</v>
      </c>
      <c r="P668">
        <f t="shared" si="31"/>
        <v>3.0297956535206985</v>
      </c>
      <c r="Q668" t="str">
        <f t="shared" ca="1" si="32"/>
        <v>No</v>
      </c>
    </row>
    <row r="669" spans="1:17" x14ac:dyDescent="0.45">
      <c r="A669" t="s">
        <v>53</v>
      </c>
      <c r="B669" t="s">
        <v>54</v>
      </c>
      <c r="C669" t="s">
        <v>29</v>
      </c>
      <c r="D669" t="s">
        <v>20</v>
      </c>
      <c r="E669" t="s">
        <v>21</v>
      </c>
      <c r="F669" s="1">
        <v>44044</v>
      </c>
      <c r="G669">
        <v>5.73</v>
      </c>
      <c r="H669">
        <v>80.14</v>
      </c>
      <c r="I669">
        <v>16.52</v>
      </c>
      <c r="J669">
        <v>65.14</v>
      </c>
      <c r="K669" t="s">
        <v>31</v>
      </c>
      <c r="L669">
        <v>1532.86</v>
      </c>
      <c r="M669">
        <f>VLOOKUP(K669,RatingLookup!$A$2:$C$8,2,FALSE)</f>
        <v>0.04</v>
      </c>
      <c r="N669">
        <f t="shared" si="30"/>
        <v>3.3960531989175591E-3</v>
      </c>
      <c r="O669">
        <f>VLOOKUP(K669,RatingLookup!$A$2:$C$8,3,FALSE)</f>
        <v>0.6</v>
      </c>
      <c r="P669">
        <f t="shared" si="31"/>
        <v>3.1234044638956617</v>
      </c>
      <c r="Q669" t="str">
        <f t="shared" ca="1" si="32"/>
        <v>No</v>
      </c>
    </row>
    <row r="670" spans="1:17" x14ac:dyDescent="0.45">
      <c r="A670" t="s">
        <v>53</v>
      </c>
      <c r="B670" t="s">
        <v>54</v>
      </c>
      <c r="C670" t="s">
        <v>29</v>
      </c>
      <c r="D670" t="s">
        <v>20</v>
      </c>
      <c r="E670" t="s">
        <v>21</v>
      </c>
      <c r="F670" s="1">
        <v>44075</v>
      </c>
      <c r="G670">
        <v>5.68</v>
      </c>
      <c r="H670">
        <v>82.019599999999997</v>
      </c>
      <c r="I670">
        <v>25.81</v>
      </c>
      <c r="J670">
        <v>83.71</v>
      </c>
      <c r="K670" t="s">
        <v>31</v>
      </c>
      <c r="L670">
        <v>1511.04</v>
      </c>
      <c r="M670">
        <f>VLOOKUP(K670,RatingLookup!$A$2:$C$8,2,FALSE)</f>
        <v>0.04</v>
      </c>
      <c r="N670">
        <f t="shared" si="30"/>
        <v>3.3960531989175591E-3</v>
      </c>
      <c r="O670">
        <f>VLOOKUP(K670,RatingLookup!$A$2:$C$8,3,FALSE)</f>
        <v>0.6</v>
      </c>
      <c r="P670">
        <f t="shared" si="31"/>
        <v>3.078943335415433</v>
      </c>
      <c r="Q670" t="str">
        <f t="shared" ca="1" si="32"/>
        <v>No</v>
      </c>
    </row>
    <row r="671" spans="1:17" x14ac:dyDescent="0.45">
      <c r="A671" t="s">
        <v>53</v>
      </c>
      <c r="B671" t="s">
        <v>54</v>
      </c>
      <c r="C671" t="s">
        <v>29</v>
      </c>
      <c r="D671" t="s">
        <v>20</v>
      </c>
      <c r="E671" t="s">
        <v>21</v>
      </c>
      <c r="F671" s="1">
        <v>44105</v>
      </c>
      <c r="G671">
        <v>5.66</v>
      </c>
      <c r="H671">
        <v>82.339600000000004</v>
      </c>
      <c r="I671">
        <v>11.35</v>
      </c>
      <c r="J671">
        <v>88</v>
      </c>
      <c r="K671" t="s">
        <v>31</v>
      </c>
      <c r="L671">
        <v>1534.14</v>
      </c>
      <c r="M671">
        <f>VLOOKUP(K671,RatingLookup!$A$2:$C$8,2,FALSE)</f>
        <v>0.04</v>
      </c>
      <c r="N671">
        <f t="shared" si="30"/>
        <v>3.3960531989175591E-3</v>
      </c>
      <c r="O671">
        <f>VLOOKUP(K671,RatingLookup!$A$2:$C$8,3,FALSE)</f>
        <v>0.6</v>
      </c>
      <c r="P671">
        <f t="shared" si="31"/>
        <v>3.1260126327524307</v>
      </c>
      <c r="Q671" t="str">
        <f t="shared" ca="1" si="32"/>
        <v>No</v>
      </c>
    </row>
    <row r="672" spans="1:17" x14ac:dyDescent="0.45">
      <c r="A672" t="s">
        <v>53</v>
      </c>
      <c r="B672" t="s">
        <v>54</v>
      </c>
      <c r="C672" t="s">
        <v>29</v>
      </c>
      <c r="D672" t="s">
        <v>20</v>
      </c>
      <c r="E672" t="s">
        <v>21</v>
      </c>
      <c r="F672" s="1">
        <v>44136</v>
      </c>
      <c r="G672">
        <v>5.17</v>
      </c>
      <c r="H672">
        <v>83.724599999999995</v>
      </c>
      <c r="I672">
        <v>21.17</v>
      </c>
      <c r="J672">
        <v>76.44</v>
      </c>
      <c r="K672" t="s">
        <v>31</v>
      </c>
      <c r="L672">
        <v>1471.15</v>
      </c>
      <c r="M672">
        <f>VLOOKUP(K672,RatingLookup!$A$2:$C$8,2,FALSE)</f>
        <v>0.04</v>
      </c>
      <c r="N672">
        <f t="shared" si="30"/>
        <v>3.3960531989175591E-3</v>
      </c>
      <c r="O672">
        <f>VLOOKUP(K672,RatingLookup!$A$2:$C$8,3,FALSE)</f>
        <v>0.6</v>
      </c>
      <c r="P672">
        <f t="shared" si="31"/>
        <v>2.9976621981525406</v>
      </c>
      <c r="Q672" t="str">
        <f t="shared" ca="1" si="32"/>
        <v>No</v>
      </c>
    </row>
    <row r="673" spans="1:17" x14ac:dyDescent="0.45">
      <c r="A673" t="s">
        <v>53</v>
      </c>
      <c r="B673" t="s">
        <v>54</v>
      </c>
      <c r="C673" t="s">
        <v>29</v>
      </c>
      <c r="D673" t="s">
        <v>20</v>
      </c>
      <c r="E673" t="s">
        <v>21</v>
      </c>
      <c r="F673" s="1">
        <v>44166</v>
      </c>
      <c r="G673">
        <v>4.7300000000000004</v>
      </c>
      <c r="H673">
        <v>82.793899999999994</v>
      </c>
      <c r="I673">
        <v>17.93</v>
      </c>
      <c r="J673">
        <v>78.430000000000007</v>
      </c>
      <c r="K673" t="s">
        <v>32</v>
      </c>
      <c r="L673">
        <v>1704.31</v>
      </c>
      <c r="M673">
        <f>VLOOKUP(K673,RatingLookup!$A$2:$C$8,2,FALSE)</f>
        <v>0.12</v>
      </c>
      <c r="N673">
        <f t="shared" si="30"/>
        <v>1.0596241035318976E-2</v>
      </c>
      <c r="O673">
        <f>VLOOKUP(K673,RatingLookup!$A$2:$C$8,3,FALSE)</f>
        <v>0.7</v>
      </c>
      <c r="P673">
        <f t="shared" si="31"/>
        <v>12.641495691233139</v>
      </c>
      <c r="Q673" t="str">
        <f t="shared" ca="1" si="32"/>
        <v>No</v>
      </c>
    </row>
    <row r="674" spans="1:17" x14ac:dyDescent="0.45">
      <c r="A674" t="s">
        <v>53</v>
      </c>
      <c r="B674" t="s">
        <v>54</v>
      </c>
      <c r="C674" t="s">
        <v>29</v>
      </c>
      <c r="D674" t="s">
        <v>20</v>
      </c>
      <c r="E674" t="s">
        <v>21</v>
      </c>
      <c r="F674" s="1">
        <v>44197</v>
      </c>
      <c r="G674">
        <v>4.49</v>
      </c>
      <c r="H674">
        <v>84.876300000000001</v>
      </c>
      <c r="I674">
        <v>23.38</v>
      </c>
      <c r="J674">
        <v>81.95</v>
      </c>
      <c r="K674" t="s">
        <v>32</v>
      </c>
      <c r="L674">
        <v>1391.95</v>
      </c>
      <c r="M674">
        <f>VLOOKUP(K674,RatingLookup!$A$2:$C$8,2,FALSE)</f>
        <v>0.12</v>
      </c>
      <c r="N674">
        <f t="shared" si="30"/>
        <v>1.0596241035318976E-2</v>
      </c>
      <c r="O674">
        <f>VLOOKUP(K674,RatingLookup!$A$2:$C$8,3,FALSE)</f>
        <v>0.7</v>
      </c>
      <c r="P674">
        <f t="shared" si="31"/>
        <v>10.324606396378574</v>
      </c>
      <c r="Q674" t="str">
        <f t="shared" ca="1" si="32"/>
        <v>No</v>
      </c>
    </row>
    <row r="675" spans="1:17" x14ac:dyDescent="0.45">
      <c r="A675" t="s">
        <v>53</v>
      </c>
      <c r="B675" t="s">
        <v>54</v>
      </c>
      <c r="C675" t="s">
        <v>29</v>
      </c>
      <c r="D675" t="s">
        <v>20</v>
      </c>
      <c r="E675" t="s">
        <v>21</v>
      </c>
      <c r="F675" s="1">
        <v>44228</v>
      </c>
      <c r="G675">
        <v>5.72</v>
      </c>
      <c r="H675">
        <v>84.7166</v>
      </c>
      <c r="I675">
        <v>15</v>
      </c>
      <c r="J675">
        <v>87.62</v>
      </c>
      <c r="K675" t="s">
        <v>32</v>
      </c>
      <c r="L675">
        <v>1457.3</v>
      </c>
      <c r="M675">
        <f>VLOOKUP(K675,RatingLookup!$A$2:$C$8,2,FALSE)</f>
        <v>0.12</v>
      </c>
      <c r="N675">
        <f t="shared" si="30"/>
        <v>1.0596241035318976E-2</v>
      </c>
      <c r="O675">
        <f>VLOOKUP(K675,RatingLookup!$A$2:$C$8,3,FALSE)</f>
        <v>0.7</v>
      </c>
      <c r="P675">
        <f t="shared" si="31"/>
        <v>10.809331442539241</v>
      </c>
      <c r="Q675" t="str">
        <f t="shared" ca="1" si="32"/>
        <v>No</v>
      </c>
    </row>
    <row r="676" spans="1:17" x14ac:dyDescent="0.45">
      <c r="A676" t="s">
        <v>53</v>
      </c>
      <c r="B676" t="s">
        <v>54</v>
      </c>
      <c r="C676" t="s">
        <v>29</v>
      </c>
      <c r="D676" t="s">
        <v>20</v>
      </c>
      <c r="E676" t="s">
        <v>21</v>
      </c>
      <c r="F676" s="1">
        <v>44256</v>
      </c>
      <c r="G676">
        <v>5.64</v>
      </c>
      <c r="H676">
        <v>80.590999999999994</v>
      </c>
      <c r="I676">
        <v>21.13</v>
      </c>
      <c r="J676">
        <v>91.07</v>
      </c>
      <c r="K676" t="s">
        <v>32</v>
      </c>
      <c r="L676">
        <v>1469.35</v>
      </c>
      <c r="M676">
        <f>VLOOKUP(K676,RatingLookup!$A$2:$C$8,2,FALSE)</f>
        <v>0.12</v>
      </c>
      <c r="N676">
        <f t="shared" si="30"/>
        <v>1.0596241035318976E-2</v>
      </c>
      <c r="O676">
        <f>VLOOKUP(K676,RatingLookup!$A$2:$C$8,3,FALSE)</f>
        <v>0.7</v>
      </c>
      <c r="P676">
        <f t="shared" si="31"/>
        <v>10.898710735672156</v>
      </c>
      <c r="Q676" t="str">
        <f t="shared" ca="1" si="32"/>
        <v>No</v>
      </c>
    </row>
    <row r="677" spans="1:17" x14ac:dyDescent="0.45">
      <c r="A677" t="s">
        <v>53</v>
      </c>
      <c r="B677" t="s">
        <v>54</v>
      </c>
      <c r="C677" t="s">
        <v>29</v>
      </c>
      <c r="D677" t="s">
        <v>20</v>
      </c>
      <c r="E677" t="s">
        <v>21</v>
      </c>
      <c r="F677" s="1">
        <v>44287</v>
      </c>
      <c r="G677">
        <v>4.96</v>
      </c>
      <c r="H677">
        <v>83.866200000000006</v>
      </c>
      <c r="I677">
        <v>20.71</v>
      </c>
      <c r="J677">
        <v>97.09</v>
      </c>
      <c r="K677" t="s">
        <v>32</v>
      </c>
      <c r="L677">
        <v>1466</v>
      </c>
      <c r="M677">
        <f>VLOOKUP(K677,RatingLookup!$A$2:$C$8,2,FALSE)</f>
        <v>0.12</v>
      </c>
      <c r="N677">
        <f t="shared" si="30"/>
        <v>1.0596241035318976E-2</v>
      </c>
      <c r="O677">
        <f>VLOOKUP(K677,RatingLookup!$A$2:$C$8,3,FALSE)</f>
        <v>0.7</v>
      </c>
      <c r="P677">
        <f t="shared" si="31"/>
        <v>10.873862550444333</v>
      </c>
      <c r="Q677" t="str">
        <f t="shared" ca="1" si="32"/>
        <v>No</v>
      </c>
    </row>
    <row r="678" spans="1:17" x14ac:dyDescent="0.45">
      <c r="A678" t="s">
        <v>53</v>
      </c>
      <c r="B678" t="s">
        <v>54</v>
      </c>
      <c r="C678" t="s">
        <v>29</v>
      </c>
      <c r="D678" t="s">
        <v>20</v>
      </c>
      <c r="E678" t="s">
        <v>21</v>
      </c>
      <c r="F678" s="1">
        <v>44317</v>
      </c>
      <c r="G678">
        <v>5.42</v>
      </c>
      <c r="H678">
        <v>82.520600000000002</v>
      </c>
      <c r="I678">
        <v>12.75</v>
      </c>
      <c r="J678">
        <v>75.38</v>
      </c>
      <c r="K678" t="s">
        <v>32</v>
      </c>
      <c r="L678">
        <v>1449</v>
      </c>
      <c r="M678">
        <f>VLOOKUP(K678,RatingLookup!$A$2:$C$8,2,FALSE)</f>
        <v>0.12</v>
      </c>
      <c r="N678">
        <f t="shared" si="30"/>
        <v>1.0596241035318976E-2</v>
      </c>
      <c r="O678">
        <f>VLOOKUP(K678,RatingLookup!$A$2:$C$8,3,FALSE)</f>
        <v>0.7</v>
      </c>
      <c r="P678">
        <f t="shared" si="31"/>
        <v>10.747767282124036</v>
      </c>
      <c r="Q678" t="str">
        <f t="shared" ca="1" si="32"/>
        <v>No</v>
      </c>
    </row>
    <row r="679" spans="1:17" x14ac:dyDescent="0.45">
      <c r="A679" t="s">
        <v>53</v>
      </c>
      <c r="B679" t="s">
        <v>54</v>
      </c>
      <c r="C679" t="s">
        <v>29</v>
      </c>
      <c r="D679" t="s">
        <v>20</v>
      </c>
      <c r="E679" t="s">
        <v>21</v>
      </c>
      <c r="F679" s="1">
        <v>44348</v>
      </c>
      <c r="G679">
        <v>5.42</v>
      </c>
      <c r="H679">
        <v>81.655900000000003</v>
      </c>
      <c r="I679">
        <v>15.41</v>
      </c>
      <c r="J679">
        <v>87.78</v>
      </c>
      <c r="K679" t="s">
        <v>32</v>
      </c>
      <c r="L679">
        <v>1392.31</v>
      </c>
      <c r="M679">
        <f>VLOOKUP(K679,RatingLookup!$A$2:$C$8,2,FALSE)</f>
        <v>0.12</v>
      </c>
      <c r="N679">
        <f t="shared" si="30"/>
        <v>1.0596241035318976E-2</v>
      </c>
      <c r="O679">
        <f>VLOOKUP(K679,RatingLookup!$A$2:$C$8,3,FALSE)</f>
        <v>0.7</v>
      </c>
      <c r="P679">
        <f t="shared" si="31"/>
        <v>10.327276649119474</v>
      </c>
      <c r="Q679" t="str">
        <f t="shared" ca="1" si="32"/>
        <v>No</v>
      </c>
    </row>
    <row r="680" spans="1:17" x14ac:dyDescent="0.45">
      <c r="A680" t="s">
        <v>53</v>
      </c>
      <c r="B680" t="s">
        <v>54</v>
      </c>
      <c r="C680" t="s">
        <v>29</v>
      </c>
      <c r="D680" t="s">
        <v>20</v>
      </c>
      <c r="E680" t="s">
        <v>21</v>
      </c>
      <c r="F680" s="1">
        <v>44378</v>
      </c>
      <c r="G680">
        <v>5.17</v>
      </c>
      <c r="H680">
        <v>82.113500000000002</v>
      </c>
      <c r="I680">
        <v>15.89</v>
      </c>
      <c r="J680">
        <v>58.97</v>
      </c>
      <c r="K680" t="s">
        <v>32</v>
      </c>
      <c r="L680">
        <v>1436.43</v>
      </c>
      <c r="M680">
        <f>VLOOKUP(K680,RatingLookup!$A$2:$C$8,2,FALSE)</f>
        <v>0.12</v>
      </c>
      <c r="N680">
        <f t="shared" si="30"/>
        <v>1.0596241035318976E-2</v>
      </c>
      <c r="O680">
        <f>VLOOKUP(K680,RatingLookup!$A$2:$C$8,3,FALSE)</f>
        <v>0.7</v>
      </c>
      <c r="P680">
        <f t="shared" si="31"/>
        <v>10.654530957254266</v>
      </c>
      <c r="Q680" t="str">
        <f t="shared" ca="1" si="32"/>
        <v>No</v>
      </c>
    </row>
    <row r="681" spans="1:17" x14ac:dyDescent="0.45">
      <c r="A681" t="s">
        <v>53</v>
      </c>
      <c r="B681" t="s">
        <v>54</v>
      </c>
      <c r="C681" t="s">
        <v>29</v>
      </c>
      <c r="D681" t="s">
        <v>20</v>
      </c>
      <c r="E681" t="s">
        <v>21</v>
      </c>
      <c r="F681" s="1">
        <v>44409</v>
      </c>
      <c r="G681">
        <v>4.8899999999999997</v>
      </c>
      <c r="H681">
        <v>76.8446</v>
      </c>
      <c r="I681">
        <v>15.94</v>
      </c>
      <c r="J681">
        <v>81.42</v>
      </c>
      <c r="K681" t="s">
        <v>32</v>
      </c>
      <c r="L681">
        <v>1295.19</v>
      </c>
      <c r="M681">
        <f>VLOOKUP(K681,RatingLookup!$A$2:$C$8,2,FALSE)</f>
        <v>0.12</v>
      </c>
      <c r="N681">
        <f t="shared" si="30"/>
        <v>1.0596241035318976E-2</v>
      </c>
      <c r="O681">
        <f>VLOOKUP(K681,RatingLookup!$A$2:$C$8,3,FALSE)</f>
        <v>0.7</v>
      </c>
      <c r="P681">
        <f t="shared" si="31"/>
        <v>9.6069017985743503</v>
      </c>
      <c r="Q681" t="str">
        <f t="shared" ca="1" si="32"/>
        <v>No</v>
      </c>
    </row>
    <row r="682" spans="1:17" x14ac:dyDescent="0.45">
      <c r="A682" t="s">
        <v>53</v>
      </c>
      <c r="B682" t="s">
        <v>54</v>
      </c>
      <c r="C682" t="s">
        <v>29</v>
      </c>
      <c r="D682" t="s">
        <v>20</v>
      </c>
      <c r="E682" t="s">
        <v>21</v>
      </c>
      <c r="F682" s="1">
        <v>44440</v>
      </c>
      <c r="G682">
        <v>6.15</v>
      </c>
      <c r="H682">
        <v>80.990099999999998</v>
      </c>
      <c r="I682">
        <v>15.74</v>
      </c>
      <c r="J682">
        <v>75.39</v>
      </c>
      <c r="K682" t="s">
        <v>32</v>
      </c>
      <c r="L682">
        <v>1606.77</v>
      </c>
      <c r="M682">
        <f>VLOOKUP(K682,RatingLookup!$A$2:$C$8,2,FALSE)</f>
        <v>0.12</v>
      </c>
      <c r="N682">
        <f t="shared" si="30"/>
        <v>1.0596241035318976E-2</v>
      </c>
      <c r="O682">
        <f>VLOOKUP(K682,RatingLookup!$A$2:$C$8,3,FALSE)</f>
        <v>0.7</v>
      </c>
      <c r="P682">
        <f t="shared" si="31"/>
        <v>11.918005545823629</v>
      </c>
      <c r="Q682" t="str">
        <f t="shared" ca="1" si="32"/>
        <v>No</v>
      </c>
    </row>
    <row r="683" spans="1:17" x14ac:dyDescent="0.45">
      <c r="A683" t="s">
        <v>53</v>
      </c>
      <c r="B683" t="s">
        <v>54</v>
      </c>
      <c r="C683" t="s">
        <v>29</v>
      </c>
      <c r="D683" t="s">
        <v>20</v>
      </c>
      <c r="E683" t="s">
        <v>21</v>
      </c>
      <c r="F683" s="1">
        <v>44470</v>
      </c>
      <c r="G683">
        <v>6.29</v>
      </c>
      <c r="H683">
        <v>84.007300000000001</v>
      </c>
      <c r="I683">
        <v>32.770000000000003</v>
      </c>
      <c r="J683">
        <v>80.930000000000007</v>
      </c>
      <c r="K683" t="s">
        <v>32</v>
      </c>
      <c r="L683">
        <v>1446.45</v>
      </c>
      <c r="M683">
        <f>VLOOKUP(K683,RatingLookup!$A$2:$C$8,2,FALSE)</f>
        <v>0.12</v>
      </c>
      <c r="N683">
        <f t="shared" si="30"/>
        <v>1.0596241035318976E-2</v>
      </c>
      <c r="O683">
        <f>VLOOKUP(K683,RatingLookup!$A$2:$C$8,3,FALSE)</f>
        <v>0.7</v>
      </c>
      <c r="P683">
        <f t="shared" si="31"/>
        <v>10.728852991875993</v>
      </c>
      <c r="Q683" t="str">
        <f t="shared" ca="1" si="32"/>
        <v>No</v>
      </c>
    </row>
    <row r="684" spans="1:17" x14ac:dyDescent="0.45">
      <c r="A684" t="s">
        <v>53</v>
      </c>
      <c r="B684" t="s">
        <v>54</v>
      </c>
      <c r="C684" t="s">
        <v>29</v>
      </c>
      <c r="D684" t="s">
        <v>20</v>
      </c>
      <c r="E684" t="s">
        <v>21</v>
      </c>
      <c r="F684" s="1">
        <v>44501</v>
      </c>
      <c r="G684">
        <v>5.15</v>
      </c>
      <c r="H684">
        <v>83.680199999999999</v>
      </c>
      <c r="I684">
        <v>9.84</v>
      </c>
      <c r="J684">
        <v>74.59</v>
      </c>
      <c r="K684" t="s">
        <v>32</v>
      </c>
      <c r="L684">
        <v>1496.36</v>
      </c>
      <c r="M684">
        <f>VLOOKUP(K684,RatingLookup!$A$2:$C$8,2,FALSE)</f>
        <v>0.12</v>
      </c>
      <c r="N684">
        <f t="shared" si="30"/>
        <v>1.0596241035318976E-2</v>
      </c>
      <c r="O684">
        <f>VLOOKUP(K684,RatingLookup!$A$2:$C$8,3,FALSE)</f>
        <v>0.7</v>
      </c>
      <c r="P684">
        <f t="shared" si="31"/>
        <v>11.09905386492693</v>
      </c>
      <c r="Q684" t="str">
        <f t="shared" ca="1" si="32"/>
        <v>No</v>
      </c>
    </row>
    <row r="685" spans="1:17" x14ac:dyDescent="0.45">
      <c r="A685" t="s">
        <v>53</v>
      </c>
      <c r="B685" t="s">
        <v>54</v>
      </c>
      <c r="C685" t="s">
        <v>29</v>
      </c>
      <c r="D685" t="s">
        <v>20</v>
      </c>
      <c r="E685" t="s">
        <v>21</v>
      </c>
      <c r="F685" s="1">
        <v>44531</v>
      </c>
      <c r="G685">
        <v>5.72</v>
      </c>
      <c r="H685">
        <v>85.048299999999998</v>
      </c>
      <c r="I685">
        <v>11.2</v>
      </c>
      <c r="J685">
        <v>65.25</v>
      </c>
      <c r="K685" t="s">
        <v>32</v>
      </c>
      <c r="L685">
        <v>1376.19</v>
      </c>
      <c r="M685">
        <f>VLOOKUP(K685,RatingLookup!$A$2:$C$8,2,FALSE)</f>
        <v>0.12</v>
      </c>
      <c r="N685">
        <f t="shared" si="30"/>
        <v>1.0596241035318976E-2</v>
      </c>
      <c r="O685">
        <f>VLOOKUP(K685,RatingLookup!$A$2:$C$8,3,FALSE)</f>
        <v>0.7</v>
      </c>
      <c r="P685">
        <f t="shared" si="31"/>
        <v>10.207708665276934</v>
      </c>
      <c r="Q685" t="str">
        <f t="shared" ca="1" si="32"/>
        <v>Yes</v>
      </c>
    </row>
    <row r="686" spans="1:17" x14ac:dyDescent="0.45">
      <c r="A686" t="s">
        <v>53</v>
      </c>
      <c r="B686" t="s">
        <v>54</v>
      </c>
      <c r="C686" t="s">
        <v>29</v>
      </c>
      <c r="D686" t="s">
        <v>20</v>
      </c>
      <c r="E686" t="s">
        <v>21</v>
      </c>
      <c r="F686" s="1">
        <v>44562</v>
      </c>
      <c r="G686">
        <v>6.07</v>
      </c>
      <c r="H686">
        <v>80.169300000000007</v>
      </c>
      <c r="I686">
        <v>19.829999999999998</v>
      </c>
      <c r="J686">
        <v>71.61</v>
      </c>
      <c r="K686" t="s">
        <v>32</v>
      </c>
      <c r="L686">
        <v>1436.23</v>
      </c>
      <c r="M686">
        <f>VLOOKUP(K686,RatingLookup!$A$2:$C$8,2,FALSE)</f>
        <v>0.12</v>
      </c>
      <c r="N686">
        <f t="shared" si="30"/>
        <v>1.0596241035318976E-2</v>
      </c>
      <c r="O686">
        <f>VLOOKUP(K686,RatingLookup!$A$2:$C$8,3,FALSE)</f>
        <v>0.7</v>
      </c>
      <c r="P686">
        <f t="shared" si="31"/>
        <v>10.653047483509321</v>
      </c>
      <c r="Q686" t="str">
        <f t="shared" ca="1" si="32"/>
        <v>No</v>
      </c>
    </row>
    <row r="687" spans="1:17" x14ac:dyDescent="0.45">
      <c r="A687" t="s">
        <v>53</v>
      </c>
      <c r="B687" t="s">
        <v>54</v>
      </c>
      <c r="C687" t="s">
        <v>29</v>
      </c>
      <c r="D687" t="s">
        <v>20</v>
      </c>
      <c r="E687" t="s">
        <v>21</v>
      </c>
      <c r="F687" s="1">
        <v>44593</v>
      </c>
      <c r="G687">
        <v>4.54</v>
      </c>
      <c r="H687">
        <v>79.834500000000006</v>
      </c>
      <c r="I687">
        <v>32.770000000000003</v>
      </c>
      <c r="J687">
        <v>83.04</v>
      </c>
      <c r="K687" t="s">
        <v>32</v>
      </c>
      <c r="L687">
        <v>1511.21</v>
      </c>
      <c r="M687">
        <f>VLOOKUP(K687,RatingLookup!$A$2:$C$8,2,FALSE)</f>
        <v>0.12</v>
      </c>
      <c r="N687">
        <f t="shared" si="30"/>
        <v>1.0596241035318976E-2</v>
      </c>
      <c r="O687">
        <f>VLOOKUP(K687,RatingLookup!$A$2:$C$8,3,FALSE)</f>
        <v>0.7</v>
      </c>
      <c r="P687">
        <f t="shared" si="31"/>
        <v>11.209201790489072</v>
      </c>
      <c r="Q687" t="str">
        <f t="shared" ca="1" si="32"/>
        <v>No</v>
      </c>
    </row>
    <row r="688" spans="1:17" x14ac:dyDescent="0.45">
      <c r="A688" t="s">
        <v>53</v>
      </c>
      <c r="B688" t="s">
        <v>54</v>
      </c>
      <c r="C688" t="s">
        <v>29</v>
      </c>
      <c r="D688" t="s">
        <v>20</v>
      </c>
      <c r="E688" t="s">
        <v>21</v>
      </c>
      <c r="F688" s="1">
        <v>44621</v>
      </c>
      <c r="G688">
        <v>4.72</v>
      </c>
      <c r="H688">
        <v>81.772900000000007</v>
      </c>
      <c r="I688">
        <v>12.65</v>
      </c>
      <c r="J688">
        <v>68.42</v>
      </c>
      <c r="K688" t="s">
        <v>32</v>
      </c>
      <c r="L688">
        <v>1329.93</v>
      </c>
      <c r="M688">
        <f>VLOOKUP(K688,RatingLookup!$A$2:$C$8,2,FALSE)</f>
        <v>0.12</v>
      </c>
      <c r="N688">
        <f t="shared" si="30"/>
        <v>1.0596241035318976E-2</v>
      </c>
      <c r="O688">
        <f>VLOOKUP(K688,RatingLookup!$A$2:$C$8,3,FALSE)</f>
        <v>0.7</v>
      </c>
      <c r="P688">
        <f t="shared" si="31"/>
        <v>9.8645811880712362</v>
      </c>
      <c r="Q688" t="str">
        <f t="shared" ca="1" si="32"/>
        <v>No</v>
      </c>
    </row>
    <row r="689" spans="1:17" x14ac:dyDescent="0.45">
      <c r="A689" t="s">
        <v>53</v>
      </c>
      <c r="B689" t="s">
        <v>54</v>
      </c>
      <c r="C689" t="s">
        <v>29</v>
      </c>
      <c r="D689" t="s">
        <v>20</v>
      </c>
      <c r="E689" t="s">
        <v>21</v>
      </c>
      <c r="F689" s="1">
        <v>44652</v>
      </c>
      <c r="G689">
        <v>5.57</v>
      </c>
      <c r="H689">
        <v>86.473500000000001</v>
      </c>
      <c r="I689">
        <v>21.89</v>
      </c>
      <c r="J689">
        <v>76.64</v>
      </c>
      <c r="K689" t="s">
        <v>32</v>
      </c>
      <c r="L689">
        <v>1435.84</v>
      </c>
      <c r="M689">
        <f>VLOOKUP(K689,RatingLookup!$A$2:$C$8,2,FALSE)</f>
        <v>0.12</v>
      </c>
      <c r="N689">
        <f t="shared" si="30"/>
        <v>1.0596241035318976E-2</v>
      </c>
      <c r="O689">
        <f>VLOOKUP(K689,RatingLookup!$A$2:$C$8,3,FALSE)</f>
        <v>0.7</v>
      </c>
      <c r="P689">
        <f t="shared" si="31"/>
        <v>10.650154709706678</v>
      </c>
      <c r="Q689" t="str">
        <f t="shared" ca="1" si="32"/>
        <v>No</v>
      </c>
    </row>
    <row r="690" spans="1:17" x14ac:dyDescent="0.45">
      <c r="A690" t="s">
        <v>53</v>
      </c>
      <c r="B690" t="s">
        <v>54</v>
      </c>
      <c r="C690" t="s">
        <v>29</v>
      </c>
      <c r="D690" t="s">
        <v>20</v>
      </c>
      <c r="E690" t="s">
        <v>21</v>
      </c>
      <c r="F690" s="1">
        <v>44682</v>
      </c>
      <c r="G690">
        <v>5.17</v>
      </c>
      <c r="H690">
        <v>82.423900000000003</v>
      </c>
      <c r="I690">
        <v>19.850000000000001</v>
      </c>
      <c r="J690">
        <v>95.28</v>
      </c>
      <c r="K690" t="s">
        <v>31</v>
      </c>
      <c r="L690">
        <v>1422.46</v>
      </c>
      <c r="M690">
        <f>VLOOKUP(K690,RatingLookup!$A$2:$C$8,2,FALSE)</f>
        <v>0.04</v>
      </c>
      <c r="N690">
        <f t="shared" si="30"/>
        <v>3.3960531989175591E-3</v>
      </c>
      <c r="O690">
        <f>VLOOKUP(K690,RatingLookup!$A$2:$C$8,3,FALSE)</f>
        <v>0.6</v>
      </c>
      <c r="P690">
        <f t="shared" si="31"/>
        <v>2.8984498999993629</v>
      </c>
      <c r="Q690" t="str">
        <f t="shared" ca="1" si="32"/>
        <v>No</v>
      </c>
    </row>
    <row r="691" spans="1:17" x14ac:dyDescent="0.45">
      <c r="A691" t="s">
        <v>53</v>
      </c>
      <c r="B691" t="s">
        <v>54</v>
      </c>
      <c r="C691" t="s">
        <v>29</v>
      </c>
      <c r="D691" t="s">
        <v>20</v>
      </c>
      <c r="E691" t="s">
        <v>21</v>
      </c>
      <c r="F691" s="1">
        <v>44713</v>
      </c>
      <c r="G691">
        <v>5.4</v>
      </c>
      <c r="H691">
        <v>83.291600000000003</v>
      </c>
      <c r="I691">
        <v>24.65</v>
      </c>
      <c r="J691">
        <v>72.14</v>
      </c>
      <c r="K691" t="s">
        <v>31</v>
      </c>
      <c r="L691">
        <v>1461.97</v>
      </c>
      <c r="M691">
        <f>VLOOKUP(K691,RatingLookup!$A$2:$C$8,2,FALSE)</f>
        <v>0.04</v>
      </c>
      <c r="N691">
        <f t="shared" si="30"/>
        <v>3.3960531989175591E-3</v>
      </c>
      <c r="O691">
        <f>VLOOKUP(K691,RatingLookup!$A$2:$C$8,3,FALSE)</f>
        <v>0.6</v>
      </c>
      <c r="P691">
        <f t="shared" si="31"/>
        <v>2.9789567371329024</v>
      </c>
      <c r="Q691" t="str">
        <f t="shared" ca="1" si="32"/>
        <v>No</v>
      </c>
    </row>
    <row r="692" spans="1:17" x14ac:dyDescent="0.45">
      <c r="A692" t="s">
        <v>53</v>
      </c>
      <c r="B692" t="s">
        <v>54</v>
      </c>
      <c r="C692" t="s">
        <v>29</v>
      </c>
      <c r="D692" t="s">
        <v>20</v>
      </c>
      <c r="E692" t="s">
        <v>21</v>
      </c>
      <c r="F692" s="1">
        <v>44743</v>
      </c>
      <c r="G692">
        <v>5.67</v>
      </c>
      <c r="H692">
        <v>82.039199999999994</v>
      </c>
      <c r="I692">
        <v>14.97</v>
      </c>
      <c r="J692">
        <v>68.12</v>
      </c>
      <c r="K692" t="s">
        <v>31</v>
      </c>
      <c r="L692">
        <v>1549.19</v>
      </c>
      <c r="M692">
        <f>VLOOKUP(K692,RatingLookup!$A$2:$C$8,2,FALSE)</f>
        <v>0.04</v>
      </c>
      <c r="N692">
        <f t="shared" si="30"/>
        <v>3.3960531989175591E-3</v>
      </c>
      <c r="O692">
        <f>VLOOKUP(K692,RatingLookup!$A$2:$C$8,3,FALSE)</f>
        <v>0.6</v>
      </c>
      <c r="P692">
        <f t="shared" si="31"/>
        <v>3.1566789931386556</v>
      </c>
      <c r="Q692" t="str">
        <f t="shared" ca="1" si="32"/>
        <v>No</v>
      </c>
    </row>
    <row r="693" spans="1:17" x14ac:dyDescent="0.45">
      <c r="A693" t="s">
        <v>53</v>
      </c>
      <c r="B693" t="s">
        <v>54</v>
      </c>
      <c r="C693" t="s">
        <v>29</v>
      </c>
      <c r="D693" t="s">
        <v>20</v>
      </c>
      <c r="E693" t="s">
        <v>21</v>
      </c>
      <c r="F693" s="1">
        <v>44774</v>
      </c>
      <c r="G693">
        <v>6.29</v>
      </c>
      <c r="H693">
        <v>82.898300000000006</v>
      </c>
      <c r="I693">
        <v>25.73</v>
      </c>
      <c r="J693">
        <v>81.93</v>
      </c>
      <c r="K693" t="s">
        <v>31</v>
      </c>
      <c r="L693">
        <v>1434.2</v>
      </c>
      <c r="M693">
        <f>VLOOKUP(K693,RatingLookup!$A$2:$C$8,2,FALSE)</f>
        <v>0.04</v>
      </c>
      <c r="N693">
        <f t="shared" si="30"/>
        <v>3.3960531989175591E-3</v>
      </c>
      <c r="O693">
        <f>VLOOKUP(K693,RatingLookup!$A$2:$C$8,3,FALSE)</f>
        <v>0.6</v>
      </c>
      <c r="P693">
        <f t="shared" si="31"/>
        <v>2.9223716987325381</v>
      </c>
      <c r="Q693" t="str">
        <f t="shared" ca="1" si="32"/>
        <v>No</v>
      </c>
    </row>
    <row r="694" spans="1:17" x14ac:dyDescent="0.45">
      <c r="A694" t="s">
        <v>53</v>
      </c>
      <c r="B694" t="s">
        <v>54</v>
      </c>
      <c r="C694" t="s">
        <v>29</v>
      </c>
      <c r="D694" t="s">
        <v>20</v>
      </c>
      <c r="E694" t="s">
        <v>21</v>
      </c>
      <c r="F694" s="1">
        <v>44805</v>
      </c>
      <c r="G694">
        <v>5.29</v>
      </c>
      <c r="H694">
        <v>83.191699999999997</v>
      </c>
      <c r="I694">
        <v>18.18</v>
      </c>
      <c r="J694">
        <v>74.48</v>
      </c>
      <c r="K694" t="s">
        <v>31</v>
      </c>
      <c r="L694">
        <v>1366.98</v>
      </c>
      <c r="M694">
        <f>VLOOKUP(K694,RatingLookup!$A$2:$C$8,2,FALSE)</f>
        <v>0.04</v>
      </c>
      <c r="N694">
        <f t="shared" si="30"/>
        <v>3.3960531989175591E-3</v>
      </c>
      <c r="O694">
        <f>VLOOKUP(K694,RatingLookup!$A$2:$C$8,3,FALSE)</f>
        <v>0.6</v>
      </c>
      <c r="P694">
        <f t="shared" si="31"/>
        <v>2.7854020811137947</v>
      </c>
      <c r="Q694" t="str">
        <f t="shared" ca="1" si="32"/>
        <v>No</v>
      </c>
    </row>
    <row r="695" spans="1:17" x14ac:dyDescent="0.45">
      <c r="A695" t="s">
        <v>53</v>
      </c>
      <c r="B695" t="s">
        <v>54</v>
      </c>
      <c r="C695" t="s">
        <v>29</v>
      </c>
      <c r="D695" t="s">
        <v>20</v>
      </c>
      <c r="E695" t="s">
        <v>21</v>
      </c>
      <c r="F695" s="1">
        <v>44835</v>
      </c>
      <c r="G695">
        <v>5.81</v>
      </c>
      <c r="H695">
        <v>80.079099999999997</v>
      </c>
      <c r="I695">
        <v>22.41</v>
      </c>
      <c r="J695">
        <v>77.47</v>
      </c>
      <c r="K695" t="s">
        <v>31</v>
      </c>
      <c r="L695">
        <v>1593.16</v>
      </c>
      <c r="M695">
        <f>VLOOKUP(K695,RatingLookup!$A$2:$C$8,2,FALSE)</f>
        <v>0.04</v>
      </c>
      <c r="N695">
        <f t="shared" si="30"/>
        <v>3.3960531989175591E-3</v>
      </c>
      <c r="O695">
        <f>VLOOKUP(K695,RatingLookup!$A$2:$C$8,3,FALSE)</f>
        <v>0.6</v>
      </c>
      <c r="P695">
        <f t="shared" si="31"/>
        <v>3.2462736686324991</v>
      </c>
      <c r="Q695" t="str">
        <f t="shared" ca="1" si="32"/>
        <v>No</v>
      </c>
    </row>
    <row r="696" spans="1:17" x14ac:dyDescent="0.45">
      <c r="A696" t="s">
        <v>53</v>
      </c>
      <c r="B696" t="s">
        <v>54</v>
      </c>
      <c r="C696" t="s">
        <v>29</v>
      </c>
      <c r="D696" t="s">
        <v>20</v>
      </c>
      <c r="E696" t="s">
        <v>21</v>
      </c>
      <c r="F696" s="1">
        <v>44866</v>
      </c>
      <c r="G696">
        <v>5.83</v>
      </c>
      <c r="H696">
        <v>83.491699999999994</v>
      </c>
      <c r="I696">
        <v>18.2</v>
      </c>
      <c r="J696">
        <v>71.37</v>
      </c>
      <c r="K696" t="s">
        <v>31</v>
      </c>
      <c r="L696">
        <v>1456.14</v>
      </c>
      <c r="M696">
        <f>VLOOKUP(K696,RatingLookup!$A$2:$C$8,2,FALSE)</f>
        <v>0.04</v>
      </c>
      <c r="N696">
        <f t="shared" si="30"/>
        <v>3.3960531989175591E-3</v>
      </c>
      <c r="O696">
        <f>VLOOKUP(K696,RatingLookup!$A$2:$C$8,3,FALSE)</f>
        <v>0.6</v>
      </c>
      <c r="P696">
        <f t="shared" si="31"/>
        <v>2.9670773430430892</v>
      </c>
      <c r="Q696" t="str">
        <f t="shared" ca="1" si="32"/>
        <v>No</v>
      </c>
    </row>
    <row r="697" spans="1:17" x14ac:dyDescent="0.45">
      <c r="A697" t="s">
        <v>53</v>
      </c>
      <c r="B697" t="s">
        <v>54</v>
      </c>
      <c r="C697" t="s">
        <v>29</v>
      </c>
      <c r="D697" t="s">
        <v>20</v>
      </c>
      <c r="E697" t="s">
        <v>21</v>
      </c>
      <c r="F697" s="1">
        <v>44896</v>
      </c>
      <c r="G697">
        <v>4.67</v>
      </c>
      <c r="H697">
        <v>78.294700000000006</v>
      </c>
      <c r="I697">
        <v>16.78</v>
      </c>
      <c r="J697">
        <v>68.010000000000005</v>
      </c>
      <c r="K697" t="s">
        <v>31</v>
      </c>
      <c r="L697">
        <v>1404.37</v>
      </c>
      <c r="M697">
        <f>VLOOKUP(K697,RatingLookup!$A$2:$C$8,2,FALSE)</f>
        <v>0.04</v>
      </c>
      <c r="N697">
        <f t="shared" si="30"/>
        <v>3.3960531989175591E-3</v>
      </c>
      <c r="O697">
        <f>VLOOKUP(K697,RatingLookup!$A$2:$C$8,3,FALSE)</f>
        <v>0.6</v>
      </c>
      <c r="P697">
        <f t="shared" si="31"/>
        <v>2.8615891385783114</v>
      </c>
      <c r="Q697" t="str">
        <f t="shared" ca="1" si="32"/>
        <v>No</v>
      </c>
    </row>
    <row r="698" spans="1:17" x14ac:dyDescent="0.45">
      <c r="A698" t="s">
        <v>53</v>
      </c>
      <c r="B698" t="s">
        <v>54</v>
      </c>
      <c r="C698" t="s">
        <v>29</v>
      </c>
      <c r="D698" t="s">
        <v>20</v>
      </c>
      <c r="E698" t="s">
        <v>21</v>
      </c>
      <c r="F698" s="1">
        <v>44927</v>
      </c>
      <c r="G698">
        <v>5.61</v>
      </c>
      <c r="H698">
        <v>85.181399999999996</v>
      </c>
      <c r="I698">
        <v>26.03</v>
      </c>
      <c r="J698">
        <v>69.41</v>
      </c>
      <c r="K698" t="s">
        <v>31</v>
      </c>
      <c r="L698">
        <v>1399.21</v>
      </c>
      <c r="M698">
        <f>VLOOKUP(K698,RatingLookup!$A$2:$C$8,2,FALSE)</f>
        <v>0.04</v>
      </c>
      <c r="N698">
        <f t="shared" si="30"/>
        <v>3.3960531989175591E-3</v>
      </c>
      <c r="O698">
        <f>VLOOKUP(K698,RatingLookup!$A$2:$C$8,3,FALSE)</f>
        <v>0.6</v>
      </c>
      <c r="P698">
        <f t="shared" si="31"/>
        <v>2.8510749578744625</v>
      </c>
      <c r="Q698" t="str">
        <f t="shared" ca="1" si="32"/>
        <v>No</v>
      </c>
    </row>
    <row r="699" spans="1:17" x14ac:dyDescent="0.45">
      <c r="A699" t="s">
        <v>53</v>
      </c>
      <c r="B699" t="s">
        <v>54</v>
      </c>
      <c r="C699" t="s">
        <v>29</v>
      </c>
      <c r="D699" t="s">
        <v>20</v>
      </c>
      <c r="E699" t="s">
        <v>21</v>
      </c>
      <c r="F699" s="1">
        <v>44958</v>
      </c>
      <c r="G699">
        <v>7.93</v>
      </c>
      <c r="H699">
        <v>80.950500000000005</v>
      </c>
      <c r="I699">
        <v>17.28</v>
      </c>
      <c r="J699">
        <v>74.77</v>
      </c>
      <c r="K699" t="s">
        <v>31</v>
      </c>
      <c r="L699">
        <v>1414.78</v>
      </c>
      <c r="M699">
        <f>VLOOKUP(K699,RatingLookup!$A$2:$C$8,2,FALSE)</f>
        <v>0.04</v>
      </c>
      <c r="N699">
        <f t="shared" si="30"/>
        <v>3.3960531989175591E-3</v>
      </c>
      <c r="O699">
        <f>VLOOKUP(K699,RatingLookup!$A$2:$C$8,3,FALSE)</f>
        <v>0.6</v>
      </c>
      <c r="P699">
        <f t="shared" si="31"/>
        <v>2.88280088685875</v>
      </c>
      <c r="Q699" t="str">
        <f t="shared" ca="1" si="32"/>
        <v>No</v>
      </c>
    </row>
    <row r="700" spans="1:17" x14ac:dyDescent="0.45">
      <c r="A700" t="s">
        <v>53</v>
      </c>
      <c r="B700" t="s">
        <v>54</v>
      </c>
      <c r="C700" t="s">
        <v>29</v>
      </c>
      <c r="D700" t="s">
        <v>20</v>
      </c>
      <c r="E700" t="s">
        <v>21</v>
      </c>
      <c r="F700" s="1">
        <v>44986</v>
      </c>
      <c r="G700">
        <v>4.93</v>
      </c>
      <c r="H700">
        <v>83.683300000000003</v>
      </c>
      <c r="I700">
        <v>19.489999999999998</v>
      </c>
      <c r="J700">
        <v>83.77</v>
      </c>
      <c r="K700" t="s">
        <v>31</v>
      </c>
      <c r="L700">
        <v>1313.19</v>
      </c>
      <c r="M700">
        <f>VLOOKUP(K700,RatingLookup!$A$2:$C$8,2,FALSE)</f>
        <v>0.04</v>
      </c>
      <c r="N700">
        <f t="shared" si="30"/>
        <v>3.3960531989175591E-3</v>
      </c>
      <c r="O700">
        <f>VLOOKUP(K700,RatingLookup!$A$2:$C$8,3,FALSE)</f>
        <v>0.6</v>
      </c>
      <c r="P700">
        <f t="shared" si="31"/>
        <v>2.6757978601719299</v>
      </c>
      <c r="Q700" t="str">
        <f t="shared" ca="1" si="32"/>
        <v>No</v>
      </c>
    </row>
    <row r="701" spans="1:17" x14ac:dyDescent="0.45">
      <c r="A701" t="s">
        <v>53</v>
      </c>
      <c r="B701" t="s">
        <v>54</v>
      </c>
      <c r="C701" t="s">
        <v>29</v>
      </c>
      <c r="D701" t="s">
        <v>20</v>
      </c>
      <c r="E701" t="s">
        <v>21</v>
      </c>
      <c r="F701" s="1">
        <v>45017</v>
      </c>
      <c r="G701">
        <v>5.59</v>
      </c>
      <c r="H701">
        <v>85.369299999999996</v>
      </c>
      <c r="I701">
        <v>14.81</v>
      </c>
      <c r="J701">
        <v>85.98</v>
      </c>
      <c r="K701" t="s">
        <v>30</v>
      </c>
      <c r="L701">
        <v>1569.53</v>
      </c>
      <c r="M701">
        <f>VLOOKUP(K701,RatingLookup!$A$2:$C$8,2,FALSE)</f>
        <v>1.4999999999999999E-2</v>
      </c>
      <c r="N701">
        <f t="shared" si="30"/>
        <v>1.2586770182638762E-3</v>
      </c>
      <c r="O701">
        <f>VLOOKUP(K701,RatingLookup!$A$2:$C$8,3,FALSE)</f>
        <v>0.5</v>
      </c>
      <c r="P701">
        <f t="shared" si="31"/>
        <v>0.98776567023785078</v>
      </c>
      <c r="Q701" t="str">
        <f t="shared" ca="1" si="32"/>
        <v>No</v>
      </c>
    </row>
    <row r="702" spans="1:17" x14ac:dyDescent="0.45">
      <c r="A702" t="s">
        <v>53</v>
      </c>
      <c r="B702" t="s">
        <v>54</v>
      </c>
      <c r="C702" t="s">
        <v>29</v>
      </c>
      <c r="D702" t="s">
        <v>20</v>
      </c>
      <c r="E702" t="s">
        <v>21</v>
      </c>
      <c r="F702" s="1">
        <v>45047</v>
      </c>
      <c r="G702">
        <v>5.59</v>
      </c>
      <c r="H702">
        <v>78.4465</v>
      </c>
      <c r="I702">
        <v>17.04</v>
      </c>
      <c r="J702">
        <v>79.400000000000006</v>
      </c>
      <c r="K702" t="s">
        <v>30</v>
      </c>
      <c r="L702">
        <v>1499.82</v>
      </c>
      <c r="M702">
        <f>VLOOKUP(K702,RatingLookup!$A$2:$C$8,2,FALSE)</f>
        <v>1.4999999999999999E-2</v>
      </c>
      <c r="N702">
        <f t="shared" si="30"/>
        <v>1.2586770182638762E-3</v>
      </c>
      <c r="O702">
        <f>VLOOKUP(K702,RatingLookup!$A$2:$C$8,3,FALSE)</f>
        <v>0.5</v>
      </c>
      <c r="P702">
        <f t="shared" si="31"/>
        <v>0.94389448276626342</v>
      </c>
      <c r="Q702" t="str">
        <f t="shared" ca="1" si="32"/>
        <v>No</v>
      </c>
    </row>
    <row r="703" spans="1:17" x14ac:dyDescent="0.45">
      <c r="A703" t="s">
        <v>53</v>
      </c>
      <c r="B703" t="s">
        <v>54</v>
      </c>
      <c r="C703" t="s">
        <v>29</v>
      </c>
      <c r="D703" t="s">
        <v>20</v>
      </c>
      <c r="E703" t="s">
        <v>21</v>
      </c>
      <c r="F703" s="1">
        <v>45078</v>
      </c>
      <c r="G703">
        <v>6.24</v>
      </c>
      <c r="H703">
        <v>81.589399999999998</v>
      </c>
      <c r="I703">
        <v>18.03</v>
      </c>
      <c r="J703">
        <v>77.099999999999994</v>
      </c>
      <c r="K703" t="s">
        <v>30</v>
      </c>
      <c r="L703">
        <v>1502.94</v>
      </c>
      <c r="M703">
        <f>VLOOKUP(K703,RatingLookup!$A$2:$C$8,2,FALSE)</f>
        <v>1.4999999999999999E-2</v>
      </c>
      <c r="N703">
        <f t="shared" si="30"/>
        <v>1.2586770182638762E-3</v>
      </c>
      <c r="O703">
        <f>VLOOKUP(K703,RatingLookup!$A$2:$C$8,3,FALSE)</f>
        <v>0.5</v>
      </c>
      <c r="P703">
        <f t="shared" si="31"/>
        <v>0.94585801891475507</v>
      </c>
      <c r="Q703" t="str">
        <f t="shared" ca="1" si="32"/>
        <v>No</v>
      </c>
    </row>
    <row r="704" spans="1:17" x14ac:dyDescent="0.45">
      <c r="A704" t="s">
        <v>53</v>
      </c>
      <c r="B704" t="s">
        <v>54</v>
      </c>
      <c r="C704" t="s">
        <v>29</v>
      </c>
      <c r="D704" t="s">
        <v>20</v>
      </c>
      <c r="E704" t="s">
        <v>21</v>
      </c>
      <c r="F704" s="1">
        <v>45108</v>
      </c>
      <c r="G704">
        <v>5.5</v>
      </c>
      <c r="H704">
        <v>82.394199999999998</v>
      </c>
      <c r="I704">
        <v>20.79</v>
      </c>
      <c r="J704">
        <v>78.400000000000006</v>
      </c>
      <c r="K704" t="s">
        <v>30</v>
      </c>
      <c r="L704">
        <v>1517.32</v>
      </c>
      <c r="M704">
        <f>VLOOKUP(K704,RatingLookup!$A$2:$C$8,2,FALSE)</f>
        <v>1.4999999999999999E-2</v>
      </c>
      <c r="N704">
        <f t="shared" si="30"/>
        <v>1.2586770182638762E-3</v>
      </c>
      <c r="O704">
        <f>VLOOKUP(K704,RatingLookup!$A$2:$C$8,3,FALSE)</f>
        <v>0.5</v>
      </c>
      <c r="P704">
        <f t="shared" si="31"/>
        <v>0.95490790667607228</v>
      </c>
      <c r="Q704" t="str">
        <f t="shared" ca="1" si="32"/>
        <v>No</v>
      </c>
    </row>
    <row r="705" spans="1:17" x14ac:dyDescent="0.45">
      <c r="A705" t="s">
        <v>53</v>
      </c>
      <c r="B705" t="s">
        <v>54</v>
      </c>
      <c r="C705" t="s">
        <v>29</v>
      </c>
      <c r="D705" t="s">
        <v>20</v>
      </c>
      <c r="E705" t="s">
        <v>21</v>
      </c>
      <c r="F705" s="1">
        <v>45139</v>
      </c>
      <c r="G705">
        <v>4.9000000000000004</v>
      </c>
      <c r="H705">
        <v>80.068299999999994</v>
      </c>
      <c r="I705">
        <v>22.77</v>
      </c>
      <c r="J705">
        <v>86.55</v>
      </c>
      <c r="K705" t="s">
        <v>30</v>
      </c>
      <c r="L705">
        <v>1485.55</v>
      </c>
      <c r="M705">
        <f>VLOOKUP(K705,RatingLookup!$A$2:$C$8,2,FALSE)</f>
        <v>1.4999999999999999E-2</v>
      </c>
      <c r="N705">
        <f t="shared" si="30"/>
        <v>1.2586770182638762E-3</v>
      </c>
      <c r="O705">
        <f>VLOOKUP(K705,RatingLookup!$A$2:$C$8,3,FALSE)</f>
        <v>0.5</v>
      </c>
      <c r="P705">
        <f t="shared" si="31"/>
        <v>0.93491382224095065</v>
      </c>
      <c r="Q705" t="str">
        <f t="shared" ca="1" si="32"/>
        <v>No</v>
      </c>
    </row>
    <row r="706" spans="1:17" x14ac:dyDescent="0.45">
      <c r="A706" t="s">
        <v>53</v>
      </c>
      <c r="B706" t="s">
        <v>54</v>
      </c>
      <c r="C706" t="s">
        <v>29</v>
      </c>
      <c r="D706" t="s">
        <v>20</v>
      </c>
      <c r="E706" t="s">
        <v>21</v>
      </c>
      <c r="F706" s="1">
        <v>45170</v>
      </c>
      <c r="G706">
        <v>5.25</v>
      </c>
      <c r="H706">
        <v>81.764300000000006</v>
      </c>
      <c r="I706">
        <v>24.62</v>
      </c>
      <c r="J706">
        <v>80.790000000000006</v>
      </c>
      <c r="K706" t="s">
        <v>30</v>
      </c>
      <c r="L706">
        <v>1480.62</v>
      </c>
      <c r="M706">
        <f>VLOOKUP(K706,RatingLookup!$A$2:$C$8,2,FALSE)</f>
        <v>1.4999999999999999E-2</v>
      </c>
      <c r="N706">
        <f t="shared" ref="N706:N769" si="33">1-(1-M706)^(1/12)</f>
        <v>1.2586770182638762E-3</v>
      </c>
      <c r="O706">
        <f>VLOOKUP(K706,RatingLookup!$A$2:$C$8,3,FALSE)</f>
        <v>0.5</v>
      </c>
      <c r="P706">
        <f t="shared" ref="P706:P769" si="34">L706*N706*O706</f>
        <v>0.93181118339093016</v>
      </c>
      <c r="Q706" t="str">
        <f t="shared" ref="Q706:Q769" ca="1" si="35">IF(RAND()&lt;N706,"Yes","No")</f>
        <v>No</v>
      </c>
    </row>
    <row r="707" spans="1:17" x14ac:dyDescent="0.45">
      <c r="A707" t="s">
        <v>53</v>
      </c>
      <c r="B707" t="s">
        <v>54</v>
      </c>
      <c r="C707" t="s">
        <v>29</v>
      </c>
      <c r="D707" t="s">
        <v>20</v>
      </c>
      <c r="E707" t="s">
        <v>21</v>
      </c>
      <c r="F707" s="1">
        <v>45200</v>
      </c>
      <c r="G707">
        <v>4.78</v>
      </c>
      <c r="H707">
        <v>82.718999999999994</v>
      </c>
      <c r="I707">
        <v>25.06</v>
      </c>
      <c r="J707">
        <v>65.7</v>
      </c>
      <c r="K707" t="s">
        <v>30</v>
      </c>
      <c r="L707">
        <v>1563.73</v>
      </c>
      <c r="M707">
        <f>VLOOKUP(K707,RatingLookup!$A$2:$C$8,2,FALSE)</f>
        <v>1.4999999999999999E-2</v>
      </c>
      <c r="N707">
        <f t="shared" si="33"/>
        <v>1.2586770182638762E-3</v>
      </c>
      <c r="O707">
        <f>VLOOKUP(K707,RatingLookup!$A$2:$C$8,3,FALSE)</f>
        <v>0.5</v>
      </c>
      <c r="P707">
        <f t="shared" si="34"/>
        <v>0.98411550688488558</v>
      </c>
      <c r="Q707" t="str">
        <f t="shared" ca="1" si="35"/>
        <v>No</v>
      </c>
    </row>
    <row r="708" spans="1:17" x14ac:dyDescent="0.45">
      <c r="A708" t="s">
        <v>53</v>
      </c>
      <c r="B708" t="s">
        <v>54</v>
      </c>
      <c r="C708" t="s">
        <v>29</v>
      </c>
      <c r="D708" t="s">
        <v>20</v>
      </c>
      <c r="E708" t="s">
        <v>21</v>
      </c>
      <c r="F708" s="1">
        <v>45231</v>
      </c>
      <c r="G708">
        <v>5.27</v>
      </c>
      <c r="H708">
        <v>85.122200000000007</v>
      </c>
      <c r="I708">
        <v>26.11</v>
      </c>
      <c r="J708">
        <v>92.05</v>
      </c>
      <c r="K708" t="s">
        <v>22</v>
      </c>
      <c r="L708">
        <v>1658.4</v>
      </c>
      <c r="M708">
        <f>VLOOKUP(K708,RatingLookup!$A$2:$C$8,2,FALSE)</f>
        <v>5.0000000000000001E-3</v>
      </c>
      <c r="N708">
        <f t="shared" si="33"/>
        <v>4.1762458919303302E-4</v>
      </c>
      <c r="O708">
        <f>VLOOKUP(K708,RatingLookup!$A$2:$C$8,3,FALSE)</f>
        <v>0.45</v>
      </c>
      <c r="P708">
        <f t="shared" si="34"/>
        <v>0.31166487842297674</v>
      </c>
      <c r="Q708" t="str">
        <f t="shared" ca="1" si="35"/>
        <v>No</v>
      </c>
    </row>
    <row r="709" spans="1:17" x14ac:dyDescent="0.45">
      <c r="A709" t="s">
        <v>53</v>
      </c>
      <c r="B709" t="s">
        <v>54</v>
      </c>
      <c r="C709" t="s">
        <v>29</v>
      </c>
      <c r="D709" t="s">
        <v>20</v>
      </c>
      <c r="E709" t="s">
        <v>21</v>
      </c>
      <c r="F709" s="1">
        <v>45261</v>
      </c>
      <c r="G709">
        <v>5.4</v>
      </c>
      <c r="H709">
        <v>86.436300000000003</v>
      </c>
      <c r="I709">
        <v>28.52</v>
      </c>
      <c r="J709">
        <v>81.09</v>
      </c>
      <c r="K709" t="s">
        <v>22</v>
      </c>
      <c r="L709">
        <v>1655.92</v>
      </c>
      <c r="M709">
        <f>VLOOKUP(K709,RatingLookup!$A$2:$C$8,2,FALSE)</f>
        <v>5.0000000000000001E-3</v>
      </c>
      <c r="N709">
        <f t="shared" si="33"/>
        <v>4.1762458919303302E-4</v>
      </c>
      <c r="O709">
        <f>VLOOKUP(K709,RatingLookup!$A$2:$C$8,3,FALSE)</f>
        <v>0.45</v>
      </c>
      <c r="P709">
        <f t="shared" si="34"/>
        <v>0.31119880938143729</v>
      </c>
      <c r="Q709" t="str">
        <f t="shared" ca="1" si="35"/>
        <v>No</v>
      </c>
    </row>
    <row r="710" spans="1:17" x14ac:dyDescent="0.45">
      <c r="A710" t="s">
        <v>53</v>
      </c>
      <c r="B710" t="s">
        <v>54</v>
      </c>
      <c r="C710" t="s">
        <v>29</v>
      </c>
      <c r="D710" t="s">
        <v>20</v>
      </c>
      <c r="E710" t="s">
        <v>21</v>
      </c>
      <c r="F710" s="1">
        <v>45292</v>
      </c>
      <c r="G710">
        <v>5.4</v>
      </c>
      <c r="H710">
        <v>81.436199999999999</v>
      </c>
      <c r="I710">
        <v>12.24</v>
      </c>
      <c r="J710">
        <v>78.06</v>
      </c>
      <c r="K710" t="s">
        <v>22</v>
      </c>
      <c r="L710">
        <v>1570.06</v>
      </c>
      <c r="M710">
        <f>VLOOKUP(K710,RatingLookup!$A$2:$C$8,2,FALSE)</f>
        <v>5.0000000000000001E-3</v>
      </c>
      <c r="N710">
        <f t="shared" si="33"/>
        <v>4.1762458919303302E-4</v>
      </c>
      <c r="O710">
        <f>VLOOKUP(K710,RatingLookup!$A$2:$C$8,3,FALSE)</f>
        <v>0.45</v>
      </c>
      <c r="P710">
        <f t="shared" si="34"/>
        <v>0.29506304812878603</v>
      </c>
      <c r="Q710" t="str">
        <f t="shared" ca="1" si="35"/>
        <v>No</v>
      </c>
    </row>
    <row r="711" spans="1:17" x14ac:dyDescent="0.45">
      <c r="A711" t="s">
        <v>53</v>
      </c>
      <c r="B711" t="s">
        <v>54</v>
      </c>
      <c r="C711" t="s">
        <v>29</v>
      </c>
      <c r="D711" t="s">
        <v>20</v>
      </c>
      <c r="E711" t="s">
        <v>21</v>
      </c>
      <c r="F711" s="1">
        <v>45323</v>
      </c>
      <c r="G711">
        <v>4.93</v>
      </c>
      <c r="H711">
        <v>80.287599999999998</v>
      </c>
      <c r="I711">
        <v>25.2</v>
      </c>
      <c r="J711">
        <v>92.02</v>
      </c>
      <c r="K711" t="s">
        <v>22</v>
      </c>
      <c r="L711">
        <v>1648.5</v>
      </c>
      <c r="M711">
        <f>VLOOKUP(K711,RatingLookup!$A$2:$C$8,2,FALSE)</f>
        <v>5.0000000000000001E-3</v>
      </c>
      <c r="N711">
        <f t="shared" si="33"/>
        <v>4.1762458919303302E-4</v>
      </c>
      <c r="O711">
        <f>VLOOKUP(K711,RatingLookup!$A$2:$C$8,3,FALSE)</f>
        <v>0.45</v>
      </c>
      <c r="P711">
        <f t="shared" si="34"/>
        <v>0.30980436087812169</v>
      </c>
      <c r="Q711" t="str">
        <f t="shared" ca="1" si="35"/>
        <v>No</v>
      </c>
    </row>
    <row r="712" spans="1:17" x14ac:dyDescent="0.45">
      <c r="A712" t="s">
        <v>53</v>
      </c>
      <c r="B712" t="s">
        <v>54</v>
      </c>
      <c r="C712" t="s">
        <v>29</v>
      </c>
      <c r="D712" t="s">
        <v>20</v>
      </c>
      <c r="E712" t="s">
        <v>21</v>
      </c>
      <c r="F712" s="1">
        <v>45352</v>
      </c>
      <c r="G712">
        <v>4.8600000000000003</v>
      </c>
      <c r="H712">
        <v>84.036600000000007</v>
      </c>
      <c r="I712">
        <v>20.02</v>
      </c>
      <c r="J712">
        <v>108.44</v>
      </c>
      <c r="K712" t="s">
        <v>22</v>
      </c>
      <c r="L712">
        <v>1655.4</v>
      </c>
      <c r="M712">
        <f>VLOOKUP(K712,RatingLookup!$A$2:$C$8,2,FALSE)</f>
        <v>5.0000000000000001E-3</v>
      </c>
      <c r="N712">
        <f t="shared" si="33"/>
        <v>4.1762458919303302E-4</v>
      </c>
      <c r="O712">
        <f>VLOOKUP(K712,RatingLookup!$A$2:$C$8,3,FALSE)</f>
        <v>0.45</v>
      </c>
      <c r="P712">
        <f t="shared" si="34"/>
        <v>0.31110108522756613</v>
      </c>
      <c r="Q712" t="str">
        <f t="shared" ca="1" si="35"/>
        <v>No</v>
      </c>
    </row>
    <row r="713" spans="1:17" x14ac:dyDescent="0.45">
      <c r="A713" t="s">
        <v>53</v>
      </c>
      <c r="B713" t="s">
        <v>54</v>
      </c>
      <c r="C713" t="s">
        <v>29</v>
      </c>
      <c r="D713" t="s">
        <v>20</v>
      </c>
      <c r="E713" t="s">
        <v>21</v>
      </c>
      <c r="F713" s="1">
        <v>45383</v>
      </c>
      <c r="G713">
        <v>5.69</v>
      </c>
      <c r="H713">
        <v>80.730699999999999</v>
      </c>
      <c r="I713">
        <v>25.86</v>
      </c>
      <c r="J713">
        <v>69.23</v>
      </c>
      <c r="K713" t="s">
        <v>22</v>
      </c>
      <c r="L713">
        <v>1526.54</v>
      </c>
      <c r="M713">
        <f>VLOOKUP(K713,RatingLookup!$A$2:$C$8,2,FALSE)</f>
        <v>5.0000000000000001E-3</v>
      </c>
      <c r="N713">
        <f t="shared" si="33"/>
        <v>4.1762458919303302E-4</v>
      </c>
      <c r="O713">
        <f>VLOOKUP(K713,RatingLookup!$A$2:$C$8,3,FALSE)</f>
        <v>0.45</v>
      </c>
      <c r="P713">
        <f t="shared" si="34"/>
        <v>0.28688428817402967</v>
      </c>
      <c r="Q713" t="str">
        <f t="shared" ca="1" si="35"/>
        <v>No</v>
      </c>
    </row>
    <row r="714" spans="1:17" x14ac:dyDescent="0.45">
      <c r="A714" t="s">
        <v>53</v>
      </c>
      <c r="B714" t="s">
        <v>54</v>
      </c>
      <c r="C714" t="s">
        <v>29</v>
      </c>
      <c r="D714" t="s">
        <v>20</v>
      </c>
      <c r="E714" t="s">
        <v>21</v>
      </c>
      <c r="F714" s="1">
        <v>45413</v>
      </c>
      <c r="G714">
        <v>5.65</v>
      </c>
      <c r="H714">
        <v>81.636300000000006</v>
      </c>
      <c r="I714">
        <v>13.47</v>
      </c>
      <c r="J714">
        <v>93.99</v>
      </c>
      <c r="K714" t="s">
        <v>22</v>
      </c>
      <c r="L714">
        <v>1561.73</v>
      </c>
      <c r="M714">
        <f>VLOOKUP(K714,RatingLookup!$A$2:$C$8,2,FALSE)</f>
        <v>5.0000000000000001E-3</v>
      </c>
      <c r="N714">
        <f t="shared" si="33"/>
        <v>4.1762458919303302E-4</v>
      </c>
      <c r="O714">
        <f>VLOOKUP(K714,RatingLookup!$A$2:$C$8,3,FALSE)</f>
        <v>0.45</v>
      </c>
      <c r="P714">
        <f t="shared" si="34"/>
        <v>0.293497582356196</v>
      </c>
      <c r="Q714" t="str">
        <f t="shared" ca="1" si="35"/>
        <v>No</v>
      </c>
    </row>
    <row r="715" spans="1:17" x14ac:dyDescent="0.45">
      <c r="A715" t="s">
        <v>53</v>
      </c>
      <c r="B715" t="s">
        <v>54</v>
      </c>
      <c r="C715" t="s">
        <v>29</v>
      </c>
      <c r="D715" t="s">
        <v>20</v>
      </c>
      <c r="E715" t="s">
        <v>21</v>
      </c>
      <c r="F715" s="1">
        <v>45444</v>
      </c>
      <c r="G715">
        <v>5.04</v>
      </c>
      <c r="H715">
        <v>85.906499999999994</v>
      </c>
      <c r="I715">
        <v>12.15</v>
      </c>
      <c r="J715">
        <v>76.75</v>
      </c>
      <c r="K715" t="s">
        <v>22</v>
      </c>
      <c r="L715">
        <v>1614.43</v>
      </c>
      <c r="M715">
        <f>VLOOKUP(K715,RatingLookup!$A$2:$C$8,2,FALSE)</f>
        <v>5.0000000000000001E-3</v>
      </c>
      <c r="N715">
        <f t="shared" si="33"/>
        <v>4.1762458919303302E-4</v>
      </c>
      <c r="O715">
        <f>VLOOKUP(K715,RatingLookup!$A$2:$C$8,3,FALSE)</f>
        <v>0.45</v>
      </c>
      <c r="P715">
        <f t="shared" si="34"/>
        <v>0.30340154948890874</v>
      </c>
      <c r="Q715" t="str">
        <f t="shared" ca="1" si="35"/>
        <v>No</v>
      </c>
    </row>
    <row r="716" spans="1:17" x14ac:dyDescent="0.45">
      <c r="A716" t="s">
        <v>53</v>
      </c>
      <c r="B716" t="s">
        <v>54</v>
      </c>
      <c r="C716" t="s">
        <v>29</v>
      </c>
      <c r="D716" t="s">
        <v>20</v>
      </c>
      <c r="E716" t="s">
        <v>21</v>
      </c>
      <c r="F716" s="1">
        <v>45474</v>
      </c>
      <c r="G716">
        <v>5.18</v>
      </c>
      <c r="H716">
        <v>79.085499999999996</v>
      </c>
      <c r="I716">
        <v>27.87</v>
      </c>
      <c r="J716">
        <v>75.62</v>
      </c>
      <c r="K716" t="s">
        <v>22</v>
      </c>
      <c r="L716">
        <v>1599.52</v>
      </c>
      <c r="M716">
        <f>VLOOKUP(K716,RatingLookup!$A$2:$C$8,2,FALSE)</f>
        <v>5.0000000000000001E-3</v>
      </c>
      <c r="N716">
        <f t="shared" si="33"/>
        <v>4.1762458919303302E-4</v>
      </c>
      <c r="O716">
        <f>VLOOKUP(K716,RatingLookup!$A$2:$C$8,3,FALSE)</f>
        <v>0.45</v>
      </c>
      <c r="P716">
        <f t="shared" si="34"/>
        <v>0.30059949730771807</v>
      </c>
      <c r="Q716" t="str">
        <f t="shared" ca="1" si="35"/>
        <v>No</v>
      </c>
    </row>
    <row r="717" spans="1:17" x14ac:dyDescent="0.45">
      <c r="A717" t="s">
        <v>53</v>
      </c>
      <c r="B717" t="s">
        <v>54</v>
      </c>
      <c r="C717" t="s">
        <v>29</v>
      </c>
      <c r="D717" t="s">
        <v>20</v>
      </c>
      <c r="E717" t="s">
        <v>21</v>
      </c>
      <c r="F717" s="1">
        <v>45505</v>
      </c>
      <c r="G717">
        <v>5.92</v>
      </c>
      <c r="H717">
        <v>85.999399999999994</v>
      </c>
      <c r="I717">
        <v>22.18</v>
      </c>
      <c r="J717">
        <v>82.49</v>
      </c>
      <c r="K717" t="s">
        <v>22</v>
      </c>
      <c r="L717">
        <v>1592.68</v>
      </c>
      <c r="M717">
        <f>VLOOKUP(K717,RatingLookup!$A$2:$C$8,2,FALSE)</f>
        <v>5.0000000000000001E-3</v>
      </c>
      <c r="N717">
        <f t="shared" si="33"/>
        <v>4.1762458919303302E-4</v>
      </c>
      <c r="O717">
        <f>VLOOKUP(K717,RatingLookup!$A$2:$C$8,3,FALSE)</f>
        <v>0.45</v>
      </c>
      <c r="P717">
        <f t="shared" si="34"/>
        <v>0.29931404882218193</v>
      </c>
      <c r="Q717" t="str">
        <f t="shared" ca="1" si="35"/>
        <v>No</v>
      </c>
    </row>
    <row r="718" spans="1:17" x14ac:dyDescent="0.45">
      <c r="A718" t="s">
        <v>53</v>
      </c>
      <c r="B718" t="s">
        <v>54</v>
      </c>
      <c r="C718" t="s">
        <v>29</v>
      </c>
      <c r="D718" t="s">
        <v>20</v>
      </c>
      <c r="E718" t="s">
        <v>21</v>
      </c>
      <c r="F718" s="1">
        <v>45536</v>
      </c>
      <c r="G718">
        <v>5.75</v>
      </c>
      <c r="H718">
        <v>81.798400000000001</v>
      </c>
      <c r="I718">
        <v>7.5</v>
      </c>
      <c r="J718">
        <v>60.97</v>
      </c>
      <c r="K718" t="s">
        <v>22</v>
      </c>
      <c r="L718">
        <v>1502.75</v>
      </c>
      <c r="M718">
        <f>VLOOKUP(K718,RatingLookup!$A$2:$C$8,2,FALSE)</f>
        <v>5.0000000000000001E-3</v>
      </c>
      <c r="N718">
        <f t="shared" si="33"/>
        <v>4.1762458919303302E-4</v>
      </c>
      <c r="O718">
        <f>VLOOKUP(K718,RatingLookup!$A$2:$C$8,3,FALSE)</f>
        <v>0.45</v>
      </c>
      <c r="P718">
        <f t="shared" si="34"/>
        <v>0.28241340813442367</v>
      </c>
      <c r="Q718" t="str">
        <f t="shared" ca="1" si="35"/>
        <v>No</v>
      </c>
    </row>
    <row r="719" spans="1:17" x14ac:dyDescent="0.45">
      <c r="A719" t="s">
        <v>53</v>
      </c>
      <c r="B719" t="s">
        <v>54</v>
      </c>
      <c r="C719" t="s">
        <v>29</v>
      </c>
      <c r="D719" t="s">
        <v>20</v>
      </c>
      <c r="E719" t="s">
        <v>21</v>
      </c>
      <c r="F719" s="1">
        <v>45566</v>
      </c>
      <c r="G719">
        <v>5.0999999999999996</v>
      </c>
      <c r="H719">
        <v>79.7316</v>
      </c>
      <c r="I719">
        <v>23.5</v>
      </c>
      <c r="J719">
        <v>85.91</v>
      </c>
      <c r="K719" t="s">
        <v>22</v>
      </c>
      <c r="L719">
        <v>1679.91</v>
      </c>
      <c r="M719">
        <f>VLOOKUP(K719,RatingLookup!$A$2:$C$8,2,FALSE)</f>
        <v>5.0000000000000001E-3</v>
      </c>
      <c r="N719">
        <f t="shared" si="33"/>
        <v>4.1762458919303302E-4</v>
      </c>
      <c r="O719">
        <f>VLOOKUP(K719,RatingLookup!$A$2:$C$8,3,FALSE)</f>
        <v>0.45</v>
      </c>
      <c r="P719">
        <f t="shared" si="34"/>
        <v>0.31570727563407069</v>
      </c>
      <c r="Q719" t="str">
        <f t="shared" ca="1" si="35"/>
        <v>No</v>
      </c>
    </row>
    <row r="720" spans="1:17" x14ac:dyDescent="0.45">
      <c r="A720" t="s">
        <v>53</v>
      </c>
      <c r="B720" t="s">
        <v>54</v>
      </c>
      <c r="C720" t="s">
        <v>29</v>
      </c>
      <c r="D720" t="s">
        <v>20</v>
      </c>
      <c r="E720" t="s">
        <v>21</v>
      </c>
      <c r="F720" s="1">
        <v>45597</v>
      </c>
      <c r="G720">
        <v>5.62</v>
      </c>
      <c r="H720">
        <v>85.007000000000005</v>
      </c>
      <c r="I720">
        <v>21.73</v>
      </c>
      <c r="J720">
        <v>68.400000000000006</v>
      </c>
      <c r="K720" t="s">
        <v>22</v>
      </c>
      <c r="L720">
        <v>1608.56</v>
      </c>
      <c r="M720">
        <f>VLOOKUP(K720,RatingLookup!$A$2:$C$8,2,FALSE)</f>
        <v>5.0000000000000001E-3</v>
      </c>
      <c r="N720">
        <f t="shared" si="33"/>
        <v>4.1762458919303302E-4</v>
      </c>
      <c r="O720">
        <f>VLOOKUP(K720,RatingLookup!$A$2:$C$8,3,FALSE)</f>
        <v>0.45</v>
      </c>
      <c r="P720">
        <f t="shared" si="34"/>
        <v>0.30229839413655535</v>
      </c>
      <c r="Q720" t="str">
        <f t="shared" ca="1" si="35"/>
        <v>No</v>
      </c>
    </row>
    <row r="721" spans="1:17" x14ac:dyDescent="0.45">
      <c r="A721" t="s">
        <v>53</v>
      </c>
      <c r="B721" t="s">
        <v>54</v>
      </c>
      <c r="C721" t="s">
        <v>29</v>
      </c>
      <c r="D721" t="s">
        <v>20</v>
      </c>
      <c r="E721" t="s">
        <v>21</v>
      </c>
      <c r="F721" s="1">
        <v>45627</v>
      </c>
      <c r="G721">
        <v>6.7</v>
      </c>
      <c r="H721">
        <v>85.787700000000001</v>
      </c>
      <c r="I721">
        <v>27.35</v>
      </c>
      <c r="J721">
        <v>84</v>
      </c>
      <c r="K721" t="s">
        <v>22</v>
      </c>
      <c r="L721">
        <v>1629.48</v>
      </c>
      <c r="M721">
        <f>VLOOKUP(K721,RatingLookup!$A$2:$C$8,2,FALSE)</f>
        <v>5.0000000000000001E-3</v>
      </c>
      <c r="N721">
        <f t="shared" si="33"/>
        <v>4.1762458919303302E-4</v>
      </c>
      <c r="O721">
        <f>VLOOKUP(K721,RatingLookup!$A$2:$C$8,3,FALSE)</f>
        <v>0.45</v>
      </c>
      <c r="P721">
        <f t="shared" si="34"/>
        <v>0.30622991201921856</v>
      </c>
      <c r="Q721" t="str">
        <f t="shared" ca="1" si="35"/>
        <v>No</v>
      </c>
    </row>
    <row r="722" spans="1:17" x14ac:dyDescent="0.45">
      <c r="A722" t="s">
        <v>55</v>
      </c>
      <c r="B722" t="s">
        <v>56</v>
      </c>
      <c r="C722" t="s">
        <v>29</v>
      </c>
      <c r="D722" t="s">
        <v>20</v>
      </c>
      <c r="E722" t="s">
        <v>21</v>
      </c>
      <c r="F722" s="1">
        <v>43831</v>
      </c>
      <c r="G722">
        <v>5.34</v>
      </c>
      <c r="H722">
        <v>85.019599999999997</v>
      </c>
      <c r="I722">
        <v>25.84</v>
      </c>
      <c r="J722">
        <v>83.56</v>
      </c>
      <c r="K722" t="s">
        <v>30</v>
      </c>
      <c r="L722">
        <v>758.32</v>
      </c>
      <c r="M722">
        <f>VLOOKUP(K722,RatingLookup!$A$2:$C$8,2,FALSE)</f>
        <v>1.4999999999999999E-2</v>
      </c>
      <c r="N722">
        <f t="shared" si="33"/>
        <v>1.2586770182638762E-3</v>
      </c>
      <c r="O722">
        <f>VLOOKUP(K722,RatingLookup!$A$2:$C$8,3,FALSE)</f>
        <v>0.5</v>
      </c>
      <c r="P722">
        <f t="shared" si="34"/>
        <v>0.47723997824493136</v>
      </c>
      <c r="Q722" t="str">
        <f t="shared" ca="1" si="35"/>
        <v>No</v>
      </c>
    </row>
    <row r="723" spans="1:17" x14ac:dyDescent="0.45">
      <c r="A723" t="s">
        <v>55</v>
      </c>
      <c r="B723" t="s">
        <v>56</v>
      </c>
      <c r="C723" t="s">
        <v>29</v>
      </c>
      <c r="D723" t="s">
        <v>20</v>
      </c>
      <c r="E723" t="s">
        <v>21</v>
      </c>
      <c r="F723" s="1">
        <v>43862</v>
      </c>
      <c r="G723">
        <v>5.72</v>
      </c>
      <c r="H723">
        <v>81.550899999999999</v>
      </c>
      <c r="I723">
        <v>24.99</v>
      </c>
      <c r="J723">
        <v>73.95</v>
      </c>
      <c r="K723" t="s">
        <v>30</v>
      </c>
      <c r="L723">
        <v>829.94</v>
      </c>
      <c r="M723">
        <f>VLOOKUP(K723,RatingLookup!$A$2:$C$8,2,FALSE)</f>
        <v>1.4999999999999999E-2</v>
      </c>
      <c r="N723">
        <f t="shared" si="33"/>
        <v>1.2586770182638762E-3</v>
      </c>
      <c r="O723">
        <f>VLOOKUP(K723,RatingLookup!$A$2:$C$8,3,FALSE)</f>
        <v>0.5</v>
      </c>
      <c r="P723">
        <f t="shared" si="34"/>
        <v>0.52231320226896072</v>
      </c>
      <c r="Q723" t="str">
        <f t="shared" ca="1" si="35"/>
        <v>No</v>
      </c>
    </row>
    <row r="724" spans="1:17" x14ac:dyDescent="0.45">
      <c r="A724" t="s">
        <v>55</v>
      </c>
      <c r="B724" t="s">
        <v>56</v>
      </c>
      <c r="C724" t="s">
        <v>29</v>
      </c>
      <c r="D724" t="s">
        <v>20</v>
      </c>
      <c r="E724" t="s">
        <v>21</v>
      </c>
      <c r="F724" s="1">
        <v>43891</v>
      </c>
      <c r="G724">
        <v>5.81</v>
      </c>
      <c r="H724">
        <v>82.2697</v>
      </c>
      <c r="I724">
        <v>19.829999999999998</v>
      </c>
      <c r="J724">
        <v>96.23</v>
      </c>
      <c r="K724" t="s">
        <v>30</v>
      </c>
      <c r="L724">
        <v>795.65</v>
      </c>
      <c r="M724">
        <f>VLOOKUP(K724,RatingLookup!$A$2:$C$8,2,FALSE)</f>
        <v>1.4999999999999999E-2</v>
      </c>
      <c r="N724">
        <f t="shared" si="33"/>
        <v>1.2586770182638762E-3</v>
      </c>
      <c r="O724">
        <f>VLOOKUP(K724,RatingLookup!$A$2:$C$8,3,FALSE)</f>
        <v>0.5</v>
      </c>
      <c r="P724">
        <f t="shared" si="34"/>
        <v>0.50073318479082651</v>
      </c>
      <c r="Q724" t="str">
        <f t="shared" ca="1" si="35"/>
        <v>No</v>
      </c>
    </row>
    <row r="725" spans="1:17" x14ac:dyDescent="0.45">
      <c r="A725" t="s">
        <v>55</v>
      </c>
      <c r="B725" t="s">
        <v>56</v>
      </c>
      <c r="C725" t="s">
        <v>29</v>
      </c>
      <c r="D725" t="s">
        <v>20</v>
      </c>
      <c r="E725" t="s">
        <v>21</v>
      </c>
      <c r="F725" s="1">
        <v>43922</v>
      </c>
      <c r="G725">
        <v>5.29</v>
      </c>
      <c r="H725">
        <v>80.523200000000003</v>
      </c>
      <c r="I725">
        <v>14.41</v>
      </c>
      <c r="J725">
        <v>72.739999999999995</v>
      </c>
      <c r="K725" t="s">
        <v>30</v>
      </c>
      <c r="L725">
        <v>790.95</v>
      </c>
      <c r="M725">
        <f>VLOOKUP(K725,RatingLookup!$A$2:$C$8,2,FALSE)</f>
        <v>1.4999999999999999E-2</v>
      </c>
      <c r="N725">
        <f t="shared" si="33"/>
        <v>1.2586770182638762E-3</v>
      </c>
      <c r="O725">
        <f>VLOOKUP(K725,RatingLookup!$A$2:$C$8,3,FALSE)</f>
        <v>0.5</v>
      </c>
      <c r="P725">
        <f t="shared" si="34"/>
        <v>0.49777529379790647</v>
      </c>
      <c r="Q725" t="str">
        <f t="shared" ca="1" si="35"/>
        <v>No</v>
      </c>
    </row>
    <row r="726" spans="1:17" x14ac:dyDescent="0.45">
      <c r="A726" t="s">
        <v>55</v>
      </c>
      <c r="B726" t="s">
        <v>56</v>
      </c>
      <c r="C726" t="s">
        <v>29</v>
      </c>
      <c r="D726" t="s">
        <v>20</v>
      </c>
      <c r="E726" t="s">
        <v>21</v>
      </c>
      <c r="F726" s="1">
        <v>43952</v>
      </c>
      <c r="G726">
        <v>6</v>
      </c>
      <c r="H726">
        <v>83.7119</v>
      </c>
      <c r="I726">
        <v>21.4</v>
      </c>
      <c r="J726">
        <v>72.11</v>
      </c>
      <c r="K726" t="s">
        <v>30</v>
      </c>
      <c r="L726">
        <v>785</v>
      </c>
      <c r="M726">
        <f>VLOOKUP(K726,RatingLookup!$A$2:$C$8,2,FALSE)</f>
        <v>1.4999999999999999E-2</v>
      </c>
      <c r="N726">
        <f t="shared" si="33"/>
        <v>1.2586770182638762E-3</v>
      </c>
      <c r="O726">
        <f>VLOOKUP(K726,RatingLookup!$A$2:$C$8,3,FALSE)</f>
        <v>0.5</v>
      </c>
      <c r="P726">
        <f t="shared" si="34"/>
        <v>0.49403072966857142</v>
      </c>
      <c r="Q726" t="str">
        <f t="shared" ca="1" si="35"/>
        <v>No</v>
      </c>
    </row>
    <row r="727" spans="1:17" x14ac:dyDescent="0.45">
      <c r="A727" t="s">
        <v>55</v>
      </c>
      <c r="B727" t="s">
        <v>56</v>
      </c>
      <c r="C727" t="s">
        <v>29</v>
      </c>
      <c r="D727" t="s">
        <v>20</v>
      </c>
      <c r="E727" t="s">
        <v>21</v>
      </c>
      <c r="F727" s="1">
        <v>43983</v>
      </c>
      <c r="G727">
        <v>4.9800000000000004</v>
      </c>
      <c r="H727">
        <v>80.301500000000004</v>
      </c>
      <c r="I727">
        <v>26.91</v>
      </c>
      <c r="J727">
        <v>75.12</v>
      </c>
      <c r="K727" t="s">
        <v>30</v>
      </c>
      <c r="L727">
        <v>864.28</v>
      </c>
      <c r="M727">
        <f>VLOOKUP(K727,RatingLookup!$A$2:$C$8,2,FALSE)</f>
        <v>1.4999999999999999E-2</v>
      </c>
      <c r="N727">
        <f t="shared" si="33"/>
        <v>1.2586770182638762E-3</v>
      </c>
      <c r="O727">
        <f>VLOOKUP(K727,RatingLookup!$A$2:$C$8,3,FALSE)</f>
        <v>0.5</v>
      </c>
      <c r="P727">
        <f t="shared" si="34"/>
        <v>0.54392468667255145</v>
      </c>
      <c r="Q727" t="str">
        <f t="shared" ca="1" si="35"/>
        <v>No</v>
      </c>
    </row>
    <row r="728" spans="1:17" x14ac:dyDescent="0.45">
      <c r="A728" t="s">
        <v>55</v>
      </c>
      <c r="B728" t="s">
        <v>56</v>
      </c>
      <c r="C728" t="s">
        <v>29</v>
      </c>
      <c r="D728" t="s">
        <v>20</v>
      </c>
      <c r="E728" t="s">
        <v>21</v>
      </c>
      <c r="F728" s="1">
        <v>44013</v>
      </c>
      <c r="G728">
        <v>5.46</v>
      </c>
      <c r="H728">
        <v>77.936400000000006</v>
      </c>
      <c r="I728">
        <v>19.260000000000002</v>
      </c>
      <c r="J728">
        <v>68.739999999999995</v>
      </c>
      <c r="K728" t="s">
        <v>30</v>
      </c>
      <c r="L728">
        <v>759.49</v>
      </c>
      <c r="M728">
        <f>VLOOKUP(K728,RatingLookup!$A$2:$C$8,2,FALSE)</f>
        <v>1.4999999999999999E-2</v>
      </c>
      <c r="N728">
        <f t="shared" si="33"/>
        <v>1.2586770182638762E-3</v>
      </c>
      <c r="O728">
        <f>VLOOKUP(K728,RatingLookup!$A$2:$C$8,3,FALSE)</f>
        <v>0.5</v>
      </c>
      <c r="P728">
        <f t="shared" si="34"/>
        <v>0.47797630430061566</v>
      </c>
      <c r="Q728" t="str">
        <f t="shared" ca="1" si="35"/>
        <v>No</v>
      </c>
    </row>
    <row r="729" spans="1:17" x14ac:dyDescent="0.45">
      <c r="A729" t="s">
        <v>55</v>
      </c>
      <c r="B729" t="s">
        <v>56</v>
      </c>
      <c r="C729" t="s">
        <v>29</v>
      </c>
      <c r="D729" t="s">
        <v>20</v>
      </c>
      <c r="E729" t="s">
        <v>21</v>
      </c>
      <c r="F729" s="1">
        <v>44044</v>
      </c>
      <c r="G729">
        <v>6.41</v>
      </c>
      <c r="H729">
        <v>84.716499999999996</v>
      </c>
      <c r="I729">
        <v>24.16</v>
      </c>
      <c r="J729">
        <v>83.52</v>
      </c>
      <c r="K729" t="s">
        <v>30</v>
      </c>
      <c r="L729">
        <v>756.02</v>
      </c>
      <c r="M729">
        <f>VLOOKUP(K729,RatingLookup!$A$2:$C$8,2,FALSE)</f>
        <v>1.4999999999999999E-2</v>
      </c>
      <c r="N729">
        <f t="shared" si="33"/>
        <v>1.2586770182638762E-3</v>
      </c>
      <c r="O729">
        <f>VLOOKUP(K729,RatingLookup!$A$2:$C$8,3,FALSE)</f>
        <v>0.5</v>
      </c>
      <c r="P729">
        <f t="shared" si="34"/>
        <v>0.47579249967392784</v>
      </c>
      <c r="Q729" t="str">
        <f t="shared" ca="1" si="35"/>
        <v>No</v>
      </c>
    </row>
    <row r="730" spans="1:17" x14ac:dyDescent="0.45">
      <c r="A730" t="s">
        <v>55</v>
      </c>
      <c r="B730" t="s">
        <v>56</v>
      </c>
      <c r="C730" t="s">
        <v>29</v>
      </c>
      <c r="D730" t="s">
        <v>20</v>
      </c>
      <c r="E730" t="s">
        <v>21</v>
      </c>
      <c r="F730" s="1">
        <v>44075</v>
      </c>
      <c r="G730">
        <v>4.47</v>
      </c>
      <c r="H730">
        <v>80.767499999999998</v>
      </c>
      <c r="I730">
        <v>14.88</v>
      </c>
      <c r="J730">
        <v>77.06</v>
      </c>
      <c r="K730" t="s">
        <v>30</v>
      </c>
      <c r="L730">
        <v>914.07</v>
      </c>
      <c r="M730">
        <f>VLOOKUP(K730,RatingLookup!$A$2:$C$8,2,FALSE)</f>
        <v>1.4999999999999999E-2</v>
      </c>
      <c r="N730">
        <f t="shared" si="33"/>
        <v>1.2586770182638762E-3</v>
      </c>
      <c r="O730">
        <f>VLOOKUP(K730,RatingLookup!$A$2:$C$8,3,FALSE)</f>
        <v>0.5</v>
      </c>
      <c r="P730">
        <f t="shared" si="34"/>
        <v>0.57525945104223075</v>
      </c>
      <c r="Q730" t="str">
        <f t="shared" ca="1" si="35"/>
        <v>No</v>
      </c>
    </row>
    <row r="731" spans="1:17" x14ac:dyDescent="0.45">
      <c r="A731" t="s">
        <v>55</v>
      </c>
      <c r="B731" t="s">
        <v>56</v>
      </c>
      <c r="C731" t="s">
        <v>29</v>
      </c>
      <c r="D731" t="s">
        <v>20</v>
      </c>
      <c r="E731" t="s">
        <v>21</v>
      </c>
      <c r="F731" s="1">
        <v>44105</v>
      </c>
      <c r="G731">
        <v>5.49</v>
      </c>
      <c r="H731">
        <v>84.024299999999997</v>
      </c>
      <c r="I731">
        <v>11.74</v>
      </c>
      <c r="J731">
        <v>94.86</v>
      </c>
      <c r="K731" t="s">
        <v>30</v>
      </c>
      <c r="L731">
        <v>801.56</v>
      </c>
      <c r="M731">
        <f>VLOOKUP(K731,RatingLookup!$A$2:$C$8,2,FALSE)</f>
        <v>1.4999999999999999E-2</v>
      </c>
      <c r="N731">
        <f t="shared" si="33"/>
        <v>1.2586770182638762E-3</v>
      </c>
      <c r="O731">
        <f>VLOOKUP(K731,RatingLookup!$A$2:$C$8,3,FALSE)</f>
        <v>0.5</v>
      </c>
      <c r="P731">
        <f t="shared" si="34"/>
        <v>0.50445257537979626</v>
      </c>
      <c r="Q731" t="str">
        <f t="shared" ca="1" si="35"/>
        <v>No</v>
      </c>
    </row>
    <row r="732" spans="1:17" x14ac:dyDescent="0.45">
      <c r="A732" t="s">
        <v>55</v>
      </c>
      <c r="B732" t="s">
        <v>56</v>
      </c>
      <c r="C732" t="s">
        <v>29</v>
      </c>
      <c r="D732" t="s">
        <v>20</v>
      </c>
      <c r="E732" t="s">
        <v>21</v>
      </c>
      <c r="F732" s="1">
        <v>44136</v>
      </c>
      <c r="G732">
        <v>4.97</v>
      </c>
      <c r="H732">
        <v>83.998099999999994</v>
      </c>
      <c r="I732">
        <v>26.63</v>
      </c>
      <c r="J732">
        <v>73.59</v>
      </c>
      <c r="K732" t="s">
        <v>30</v>
      </c>
      <c r="L732">
        <v>895.06</v>
      </c>
      <c r="M732">
        <f>VLOOKUP(K732,RatingLookup!$A$2:$C$8,2,FALSE)</f>
        <v>1.4999999999999999E-2</v>
      </c>
      <c r="N732">
        <f t="shared" si="33"/>
        <v>1.2586770182638762E-3</v>
      </c>
      <c r="O732">
        <f>VLOOKUP(K732,RatingLookup!$A$2:$C$8,3,FALSE)</f>
        <v>0.5</v>
      </c>
      <c r="P732">
        <f t="shared" si="34"/>
        <v>0.56329572598363253</v>
      </c>
      <c r="Q732" t="str">
        <f t="shared" ca="1" si="35"/>
        <v>No</v>
      </c>
    </row>
    <row r="733" spans="1:17" x14ac:dyDescent="0.45">
      <c r="A733" t="s">
        <v>55</v>
      </c>
      <c r="B733" t="s">
        <v>56</v>
      </c>
      <c r="C733" t="s">
        <v>29</v>
      </c>
      <c r="D733" t="s">
        <v>20</v>
      </c>
      <c r="E733" t="s">
        <v>21</v>
      </c>
      <c r="F733" s="1">
        <v>44166</v>
      </c>
      <c r="G733">
        <v>5.89</v>
      </c>
      <c r="H733">
        <v>86.296800000000005</v>
      </c>
      <c r="I733">
        <v>19.79</v>
      </c>
      <c r="J733">
        <v>84.07</v>
      </c>
      <c r="K733" t="s">
        <v>30</v>
      </c>
      <c r="L733">
        <v>867.44</v>
      </c>
      <c r="M733">
        <f>VLOOKUP(K733,RatingLookup!$A$2:$C$8,2,FALSE)</f>
        <v>1.4999999999999999E-2</v>
      </c>
      <c r="N733">
        <f t="shared" si="33"/>
        <v>1.2586770182638762E-3</v>
      </c>
      <c r="O733">
        <f>VLOOKUP(K733,RatingLookup!$A$2:$C$8,3,FALSE)</f>
        <v>0.5</v>
      </c>
      <c r="P733">
        <f t="shared" si="34"/>
        <v>0.54591339636140845</v>
      </c>
      <c r="Q733" t="str">
        <f t="shared" ca="1" si="35"/>
        <v>No</v>
      </c>
    </row>
    <row r="734" spans="1:17" x14ac:dyDescent="0.45">
      <c r="A734" t="s">
        <v>55</v>
      </c>
      <c r="B734" t="s">
        <v>56</v>
      </c>
      <c r="C734" t="s">
        <v>29</v>
      </c>
      <c r="D734" t="s">
        <v>20</v>
      </c>
      <c r="E734" t="s">
        <v>21</v>
      </c>
      <c r="F734" s="1">
        <v>44197</v>
      </c>
      <c r="G734">
        <v>5.47</v>
      </c>
      <c r="H734">
        <v>77.856300000000005</v>
      </c>
      <c r="I734">
        <v>16.36</v>
      </c>
      <c r="J734">
        <v>79.34</v>
      </c>
      <c r="K734" t="s">
        <v>30</v>
      </c>
      <c r="L734">
        <v>799.05</v>
      </c>
      <c r="M734">
        <f>VLOOKUP(K734,RatingLookup!$A$2:$C$8,2,FALSE)</f>
        <v>1.4999999999999999E-2</v>
      </c>
      <c r="N734">
        <f t="shared" si="33"/>
        <v>1.2586770182638762E-3</v>
      </c>
      <c r="O734">
        <f>VLOOKUP(K734,RatingLookup!$A$2:$C$8,3,FALSE)</f>
        <v>0.5</v>
      </c>
      <c r="P734">
        <f t="shared" si="34"/>
        <v>0.50287293572187508</v>
      </c>
      <c r="Q734" t="str">
        <f t="shared" ca="1" si="35"/>
        <v>No</v>
      </c>
    </row>
    <row r="735" spans="1:17" x14ac:dyDescent="0.45">
      <c r="A735" t="s">
        <v>55</v>
      </c>
      <c r="B735" t="s">
        <v>56</v>
      </c>
      <c r="C735" t="s">
        <v>29</v>
      </c>
      <c r="D735" t="s">
        <v>20</v>
      </c>
      <c r="E735" t="s">
        <v>21</v>
      </c>
      <c r="F735" s="1">
        <v>44228</v>
      </c>
      <c r="G735">
        <v>5.42</v>
      </c>
      <c r="H735">
        <v>79.601299999999995</v>
      </c>
      <c r="I735">
        <v>5.64</v>
      </c>
      <c r="J735">
        <v>74.23</v>
      </c>
      <c r="K735" t="s">
        <v>30</v>
      </c>
      <c r="L735">
        <v>849.31</v>
      </c>
      <c r="M735">
        <f>VLOOKUP(K735,RatingLookup!$A$2:$C$8,2,FALSE)</f>
        <v>1.4999999999999999E-2</v>
      </c>
      <c r="N735">
        <f t="shared" si="33"/>
        <v>1.2586770182638762E-3</v>
      </c>
      <c r="O735">
        <f>VLOOKUP(K735,RatingLookup!$A$2:$C$8,3,FALSE)</f>
        <v>0.5</v>
      </c>
      <c r="P735">
        <f t="shared" si="34"/>
        <v>0.53450348919084634</v>
      </c>
      <c r="Q735" t="str">
        <f t="shared" ca="1" si="35"/>
        <v>No</v>
      </c>
    </row>
    <row r="736" spans="1:17" x14ac:dyDescent="0.45">
      <c r="A736" t="s">
        <v>55</v>
      </c>
      <c r="B736" t="s">
        <v>56</v>
      </c>
      <c r="C736" t="s">
        <v>29</v>
      </c>
      <c r="D736" t="s">
        <v>20</v>
      </c>
      <c r="E736" t="s">
        <v>21</v>
      </c>
      <c r="F736" s="1">
        <v>44256</v>
      </c>
      <c r="G736">
        <v>5.56</v>
      </c>
      <c r="H736">
        <v>83.375799999999998</v>
      </c>
      <c r="I736">
        <v>18.82</v>
      </c>
      <c r="J736">
        <v>73.75</v>
      </c>
      <c r="K736" t="s">
        <v>30</v>
      </c>
      <c r="L736">
        <v>832.51</v>
      </c>
      <c r="M736">
        <f>VLOOKUP(K736,RatingLookup!$A$2:$C$8,2,FALSE)</f>
        <v>1.4999999999999999E-2</v>
      </c>
      <c r="N736">
        <f t="shared" si="33"/>
        <v>1.2586770182638762E-3</v>
      </c>
      <c r="O736">
        <f>VLOOKUP(K736,RatingLookup!$A$2:$C$8,3,FALSE)</f>
        <v>0.5</v>
      </c>
      <c r="P736">
        <f t="shared" si="34"/>
        <v>0.52393060223742982</v>
      </c>
      <c r="Q736" t="str">
        <f t="shared" ca="1" si="35"/>
        <v>No</v>
      </c>
    </row>
    <row r="737" spans="1:17" x14ac:dyDescent="0.45">
      <c r="A737" t="s">
        <v>55</v>
      </c>
      <c r="B737" t="s">
        <v>56</v>
      </c>
      <c r="C737" t="s">
        <v>29</v>
      </c>
      <c r="D737" t="s">
        <v>20</v>
      </c>
      <c r="E737" t="s">
        <v>21</v>
      </c>
      <c r="F737" s="1">
        <v>44287</v>
      </c>
      <c r="G737">
        <v>4.46</v>
      </c>
      <c r="H737">
        <v>85.671000000000006</v>
      </c>
      <c r="I737">
        <v>22.57</v>
      </c>
      <c r="J737">
        <v>78.349999999999994</v>
      </c>
      <c r="K737" t="s">
        <v>30</v>
      </c>
      <c r="L737">
        <v>756.79</v>
      </c>
      <c r="M737">
        <f>VLOOKUP(K737,RatingLookup!$A$2:$C$8,2,FALSE)</f>
        <v>1.4999999999999999E-2</v>
      </c>
      <c r="N737">
        <f t="shared" si="33"/>
        <v>1.2586770182638762E-3</v>
      </c>
      <c r="O737">
        <f>VLOOKUP(K737,RatingLookup!$A$2:$C$8,3,FALSE)</f>
        <v>0.5</v>
      </c>
      <c r="P737">
        <f t="shared" si="34"/>
        <v>0.47627709032595944</v>
      </c>
      <c r="Q737" t="str">
        <f t="shared" ca="1" si="35"/>
        <v>No</v>
      </c>
    </row>
    <row r="738" spans="1:17" x14ac:dyDescent="0.45">
      <c r="A738" t="s">
        <v>55</v>
      </c>
      <c r="B738" t="s">
        <v>56</v>
      </c>
      <c r="C738" t="s">
        <v>29</v>
      </c>
      <c r="D738" t="s">
        <v>20</v>
      </c>
      <c r="E738" t="s">
        <v>21</v>
      </c>
      <c r="F738" s="1">
        <v>44317</v>
      </c>
      <c r="G738">
        <v>5.84</v>
      </c>
      <c r="H738">
        <v>82.232100000000003</v>
      </c>
      <c r="I738">
        <v>22.11</v>
      </c>
      <c r="J738">
        <v>79.33</v>
      </c>
      <c r="K738" t="s">
        <v>30</v>
      </c>
      <c r="L738">
        <v>853.53</v>
      </c>
      <c r="M738">
        <f>VLOOKUP(K738,RatingLookup!$A$2:$C$8,2,FALSE)</f>
        <v>1.4999999999999999E-2</v>
      </c>
      <c r="N738">
        <f t="shared" si="33"/>
        <v>1.2586770182638762E-3</v>
      </c>
      <c r="O738">
        <f>VLOOKUP(K738,RatingLookup!$A$2:$C$8,3,FALSE)</f>
        <v>0.5</v>
      </c>
      <c r="P738">
        <f t="shared" si="34"/>
        <v>0.53715929769938309</v>
      </c>
      <c r="Q738" t="str">
        <f t="shared" ca="1" si="35"/>
        <v>No</v>
      </c>
    </row>
    <row r="739" spans="1:17" x14ac:dyDescent="0.45">
      <c r="A739" t="s">
        <v>55</v>
      </c>
      <c r="B739" t="s">
        <v>56</v>
      </c>
      <c r="C739" t="s">
        <v>29</v>
      </c>
      <c r="D739" t="s">
        <v>20</v>
      </c>
      <c r="E739" t="s">
        <v>21</v>
      </c>
      <c r="F739" s="1">
        <v>44348</v>
      </c>
      <c r="G739">
        <v>6.04</v>
      </c>
      <c r="H739">
        <v>81.340400000000002</v>
      </c>
      <c r="I739">
        <v>21.56</v>
      </c>
      <c r="J739">
        <v>73.31</v>
      </c>
      <c r="K739" t="s">
        <v>30</v>
      </c>
      <c r="L739">
        <v>786.05</v>
      </c>
      <c r="M739">
        <f>VLOOKUP(K739,RatingLookup!$A$2:$C$8,2,FALSE)</f>
        <v>1.4999999999999999E-2</v>
      </c>
      <c r="N739">
        <f t="shared" si="33"/>
        <v>1.2586770182638762E-3</v>
      </c>
      <c r="O739">
        <f>VLOOKUP(K739,RatingLookup!$A$2:$C$8,3,FALSE)</f>
        <v>0.5</v>
      </c>
      <c r="P739">
        <f t="shared" si="34"/>
        <v>0.49469153510315994</v>
      </c>
      <c r="Q739" t="str">
        <f t="shared" ca="1" si="35"/>
        <v>No</v>
      </c>
    </row>
    <row r="740" spans="1:17" x14ac:dyDescent="0.45">
      <c r="A740" t="s">
        <v>55</v>
      </c>
      <c r="B740" t="s">
        <v>56</v>
      </c>
      <c r="C740" t="s">
        <v>29</v>
      </c>
      <c r="D740" t="s">
        <v>20</v>
      </c>
      <c r="E740" t="s">
        <v>21</v>
      </c>
      <c r="F740" s="1">
        <v>44378</v>
      </c>
      <c r="G740">
        <v>5.07</v>
      </c>
      <c r="H740">
        <v>82.358699999999999</v>
      </c>
      <c r="I740">
        <v>23.38</v>
      </c>
      <c r="J740">
        <v>91.34</v>
      </c>
      <c r="K740" t="s">
        <v>30</v>
      </c>
      <c r="L740">
        <v>819.64</v>
      </c>
      <c r="M740">
        <f>VLOOKUP(K740,RatingLookup!$A$2:$C$8,2,FALSE)</f>
        <v>1.4999999999999999E-2</v>
      </c>
      <c r="N740">
        <f t="shared" si="33"/>
        <v>1.2586770182638762E-3</v>
      </c>
      <c r="O740">
        <f>VLOOKUP(K740,RatingLookup!$A$2:$C$8,3,FALSE)</f>
        <v>0.5</v>
      </c>
      <c r="P740">
        <f t="shared" si="34"/>
        <v>0.51583101562490175</v>
      </c>
      <c r="Q740" t="str">
        <f t="shared" ca="1" si="35"/>
        <v>No</v>
      </c>
    </row>
    <row r="741" spans="1:17" x14ac:dyDescent="0.45">
      <c r="A741" t="s">
        <v>55</v>
      </c>
      <c r="B741" t="s">
        <v>56</v>
      </c>
      <c r="C741" t="s">
        <v>29</v>
      </c>
      <c r="D741" t="s">
        <v>20</v>
      </c>
      <c r="E741" t="s">
        <v>21</v>
      </c>
      <c r="F741" s="1">
        <v>44409</v>
      </c>
      <c r="G741">
        <v>5.77</v>
      </c>
      <c r="H741">
        <v>79.510300000000001</v>
      </c>
      <c r="I741">
        <v>22.95</v>
      </c>
      <c r="J741">
        <v>85.48</v>
      </c>
      <c r="K741" t="s">
        <v>30</v>
      </c>
      <c r="L741">
        <v>853.41</v>
      </c>
      <c r="M741">
        <f>VLOOKUP(K741,RatingLookup!$A$2:$C$8,2,FALSE)</f>
        <v>1.4999999999999999E-2</v>
      </c>
      <c r="N741">
        <f t="shared" si="33"/>
        <v>1.2586770182638762E-3</v>
      </c>
      <c r="O741">
        <f>VLOOKUP(K741,RatingLookup!$A$2:$C$8,3,FALSE)</f>
        <v>0.5</v>
      </c>
      <c r="P741">
        <f t="shared" si="34"/>
        <v>0.53708377707828725</v>
      </c>
      <c r="Q741" t="str">
        <f t="shared" ca="1" si="35"/>
        <v>No</v>
      </c>
    </row>
    <row r="742" spans="1:17" x14ac:dyDescent="0.45">
      <c r="A742" t="s">
        <v>55</v>
      </c>
      <c r="B742" t="s">
        <v>56</v>
      </c>
      <c r="C742" t="s">
        <v>29</v>
      </c>
      <c r="D742" t="s">
        <v>20</v>
      </c>
      <c r="E742" t="s">
        <v>21</v>
      </c>
      <c r="F742" s="1">
        <v>44440</v>
      </c>
      <c r="G742">
        <v>4.88</v>
      </c>
      <c r="H742">
        <v>80.211200000000005</v>
      </c>
      <c r="I742">
        <v>22.17</v>
      </c>
      <c r="J742">
        <v>73.430000000000007</v>
      </c>
      <c r="K742" t="s">
        <v>30</v>
      </c>
      <c r="L742">
        <v>891.98</v>
      </c>
      <c r="M742">
        <f>VLOOKUP(K742,RatingLookup!$A$2:$C$8,2,FALSE)</f>
        <v>1.4999999999999999E-2</v>
      </c>
      <c r="N742">
        <f t="shared" si="33"/>
        <v>1.2586770182638762E-3</v>
      </c>
      <c r="O742">
        <f>VLOOKUP(K742,RatingLookup!$A$2:$C$8,3,FALSE)</f>
        <v>0.5</v>
      </c>
      <c r="P742">
        <f t="shared" si="34"/>
        <v>0.56135736337550612</v>
      </c>
      <c r="Q742" t="str">
        <f t="shared" ca="1" si="35"/>
        <v>No</v>
      </c>
    </row>
    <row r="743" spans="1:17" x14ac:dyDescent="0.45">
      <c r="A743" t="s">
        <v>55</v>
      </c>
      <c r="B743" t="s">
        <v>56</v>
      </c>
      <c r="C743" t="s">
        <v>29</v>
      </c>
      <c r="D743" t="s">
        <v>20</v>
      </c>
      <c r="E743" t="s">
        <v>21</v>
      </c>
      <c r="F743" s="1">
        <v>44470</v>
      </c>
      <c r="G743">
        <v>6.38</v>
      </c>
      <c r="H743">
        <v>83.647199999999998</v>
      </c>
      <c r="I743">
        <v>15.55</v>
      </c>
      <c r="J743">
        <v>80.38</v>
      </c>
      <c r="K743" t="s">
        <v>30</v>
      </c>
      <c r="L743">
        <v>788.47</v>
      </c>
      <c r="M743">
        <f>VLOOKUP(K743,RatingLookup!$A$2:$C$8,2,FALSE)</f>
        <v>1.4999999999999999E-2</v>
      </c>
      <c r="N743">
        <f t="shared" si="33"/>
        <v>1.2586770182638762E-3</v>
      </c>
      <c r="O743">
        <f>VLOOKUP(K743,RatingLookup!$A$2:$C$8,3,FALSE)</f>
        <v>0.5</v>
      </c>
      <c r="P743">
        <f t="shared" si="34"/>
        <v>0.49621453429525925</v>
      </c>
      <c r="Q743" t="str">
        <f t="shared" ca="1" si="35"/>
        <v>No</v>
      </c>
    </row>
    <row r="744" spans="1:17" x14ac:dyDescent="0.45">
      <c r="A744" t="s">
        <v>55</v>
      </c>
      <c r="B744" t="s">
        <v>56</v>
      </c>
      <c r="C744" t="s">
        <v>29</v>
      </c>
      <c r="D744" t="s">
        <v>20</v>
      </c>
      <c r="E744" t="s">
        <v>21</v>
      </c>
      <c r="F744" s="1">
        <v>44501</v>
      </c>
      <c r="G744">
        <v>4.33</v>
      </c>
      <c r="H744">
        <v>87.524500000000003</v>
      </c>
      <c r="I744">
        <v>21.09</v>
      </c>
      <c r="J744">
        <v>66.510000000000005</v>
      </c>
      <c r="K744" t="s">
        <v>30</v>
      </c>
      <c r="L744">
        <v>815.43</v>
      </c>
      <c r="M744">
        <f>VLOOKUP(K744,RatingLookup!$A$2:$C$8,2,FALSE)</f>
        <v>1.4999999999999999E-2</v>
      </c>
      <c r="N744">
        <f t="shared" si="33"/>
        <v>1.2586770182638762E-3</v>
      </c>
      <c r="O744">
        <f>VLOOKUP(K744,RatingLookup!$A$2:$C$8,3,FALSE)</f>
        <v>0.5</v>
      </c>
      <c r="P744">
        <f t="shared" si="34"/>
        <v>0.51318150050145628</v>
      </c>
      <c r="Q744" t="str">
        <f t="shared" ca="1" si="35"/>
        <v>No</v>
      </c>
    </row>
    <row r="745" spans="1:17" x14ac:dyDescent="0.45">
      <c r="A745" t="s">
        <v>55</v>
      </c>
      <c r="B745" t="s">
        <v>56</v>
      </c>
      <c r="C745" t="s">
        <v>29</v>
      </c>
      <c r="D745" t="s">
        <v>20</v>
      </c>
      <c r="E745" t="s">
        <v>21</v>
      </c>
      <c r="F745" s="1">
        <v>44531</v>
      </c>
      <c r="G745">
        <v>5.15</v>
      </c>
      <c r="H745">
        <v>84.074399999999997</v>
      </c>
      <c r="I745">
        <v>19.98</v>
      </c>
      <c r="J745">
        <v>77.349999999999994</v>
      </c>
      <c r="K745" t="s">
        <v>30</v>
      </c>
      <c r="L745">
        <v>868.89</v>
      </c>
      <c r="M745">
        <f>VLOOKUP(K745,RatingLookup!$A$2:$C$8,2,FALSE)</f>
        <v>1.4999999999999999E-2</v>
      </c>
      <c r="N745">
        <f t="shared" si="33"/>
        <v>1.2586770182638762E-3</v>
      </c>
      <c r="O745">
        <f>VLOOKUP(K745,RatingLookup!$A$2:$C$8,3,FALSE)</f>
        <v>0.5</v>
      </c>
      <c r="P745">
        <f t="shared" si="34"/>
        <v>0.54682593719964967</v>
      </c>
      <c r="Q745" t="str">
        <f t="shared" ca="1" si="35"/>
        <v>No</v>
      </c>
    </row>
    <row r="746" spans="1:17" x14ac:dyDescent="0.45">
      <c r="A746" t="s">
        <v>55</v>
      </c>
      <c r="B746" t="s">
        <v>56</v>
      </c>
      <c r="C746" t="s">
        <v>29</v>
      </c>
      <c r="D746" t="s">
        <v>20</v>
      </c>
      <c r="E746" t="s">
        <v>21</v>
      </c>
      <c r="F746" s="1">
        <v>44562</v>
      </c>
      <c r="G746">
        <v>4.91</v>
      </c>
      <c r="H746">
        <v>84.995599999999996</v>
      </c>
      <c r="I746">
        <v>14.05</v>
      </c>
      <c r="J746">
        <v>64.540000000000006</v>
      </c>
      <c r="K746" t="s">
        <v>30</v>
      </c>
      <c r="L746">
        <v>847.42</v>
      </c>
      <c r="M746">
        <f>VLOOKUP(K746,RatingLookup!$A$2:$C$8,2,FALSE)</f>
        <v>1.4999999999999999E-2</v>
      </c>
      <c r="N746">
        <f t="shared" si="33"/>
        <v>1.2586770182638762E-3</v>
      </c>
      <c r="O746">
        <f>VLOOKUP(K746,RatingLookup!$A$2:$C$8,3,FALSE)</f>
        <v>0.5</v>
      </c>
      <c r="P746">
        <f t="shared" si="34"/>
        <v>0.53331403940858702</v>
      </c>
      <c r="Q746" t="str">
        <f t="shared" ca="1" si="35"/>
        <v>No</v>
      </c>
    </row>
    <row r="747" spans="1:17" x14ac:dyDescent="0.45">
      <c r="A747" t="s">
        <v>55</v>
      </c>
      <c r="B747" t="s">
        <v>56</v>
      </c>
      <c r="C747" t="s">
        <v>29</v>
      </c>
      <c r="D747" t="s">
        <v>20</v>
      </c>
      <c r="E747" t="s">
        <v>21</v>
      </c>
      <c r="F747" s="1">
        <v>44593</v>
      </c>
      <c r="G747">
        <v>4.95</v>
      </c>
      <c r="H747">
        <v>84.467799999999997</v>
      </c>
      <c r="I747">
        <v>17.23</v>
      </c>
      <c r="J747">
        <v>76.290000000000006</v>
      </c>
      <c r="K747" t="s">
        <v>30</v>
      </c>
      <c r="L747">
        <v>863.98</v>
      </c>
      <c r="M747">
        <f>VLOOKUP(K747,RatingLookup!$A$2:$C$8,2,FALSE)</f>
        <v>1.4999999999999999E-2</v>
      </c>
      <c r="N747">
        <f t="shared" si="33"/>
        <v>1.2586770182638762E-3</v>
      </c>
      <c r="O747">
        <f>VLOOKUP(K747,RatingLookup!$A$2:$C$8,3,FALSE)</f>
        <v>0.5</v>
      </c>
      <c r="P747">
        <f t="shared" si="34"/>
        <v>0.54373588511981186</v>
      </c>
      <c r="Q747" t="str">
        <f t="shared" ca="1" si="35"/>
        <v>No</v>
      </c>
    </row>
    <row r="748" spans="1:17" x14ac:dyDescent="0.45">
      <c r="A748" t="s">
        <v>55</v>
      </c>
      <c r="B748" t="s">
        <v>56</v>
      </c>
      <c r="C748" t="s">
        <v>29</v>
      </c>
      <c r="D748" t="s">
        <v>20</v>
      </c>
      <c r="E748" t="s">
        <v>21</v>
      </c>
      <c r="F748" s="1">
        <v>44621</v>
      </c>
      <c r="G748">
        <v>3.95</v>
      </c>
      <c r="H748">
        <v>87.6755</v>
      </c>
      <c r="I748">
        <v>23.04</v>
      </c>
      <c r="J748">
        <v>71.89</v>
      </c>
      <c r="K748" t="s">
        <v>31</v>
      </c>
      <c r="L748">
        <v>792.23</v>
      </c>
      <c r="M748">
        <f>VLOOKUP(K748,RatingLookup!$A$2:$C$8,2,FALSE)</f>
        <v>0.04</v>
      </c>
      <c r="N748">
        <f t="shared" si="33"/>
        <v>3.3960531989175591E-3</v>
      </c>
      <c r="O748">
        <f>VLOOKUP(K748,RatingLookup!$A$2:$C$8,3,FALSE)</f>
        <v>0.6</v>
      </c>
      <c r="P748">
        <f t="shared" si="34"/>
        <v>1.6142731354670745</v>
      </c>
      <c r="Q748" t="str">
        <f t="shared" ca="1" si="35"/>
        <v>No</v>
      </c>
    </row>
    <row r="749" spans="1:17" x14ac:dyDescent="0.45">
      <c r="A749" t="s">
        <v>55</v>
      </c>
      <c r="B749" t="s">
        <v>56</v>
      </c>
      <c r="C749" t="s">
        <v>29</v>
      </c>
      <c r="D749" t="s">
        <v>20</v>
      </c>
      <c r="E749" t="s">
        <v>21</v>
      </c>
      <c r="F749" s="1">
        <v>44652</v>
      </c>
      <c r="G749">
        <v>5.65</v>
      </c>
      <c r="H749">
        <v>81.051199999999994</v>
      </c>
      <c r="I749">
        <v>19.39</v>
      </c>
      <c r="J749">
        <v>81.25</v>
      </c>
      <c r="K749" t="s">
        <v>31</v>
      </c>
      <c r="L749">
        <v>868.31</v>
      </c>
      <c r="M749">
        <f>VLOOKUP(K749,RatingLookup!$A$2:$C$8,2,FALSE)</f>
        <v>0.04</v>
      </c>
      <c r="N749">
        <f t="shared" si="33"/>
        <v>3.3960531989175591E-3</v>
      </c>
      <c r="O749">
        <f>VLOOKUP(K749,RatingLookup!$A$2:$C$8,3,FALSE)</f>
        <v>0.6</v>
      </c>
      <c r="P749">
        <f t="shared" si="34"/>
        <v>1.7692961718912634</v>
      </c>
      <c r="Q749" t="str">
        <f t="shared" ca="1" si="35"/>
        <v>No</v>
      </c>
    </row>
    <row r="750" spans="1:17" x14ac:dyDescent="0.45">
      <c r="A750" t="s">
        <v>55</v>
      </c>
      <c r="B750" t="s">
        <v>56</v>
      </c>
      <c r="C750" t="s">
        <v>29</v>
      </c>
      <c r="D750" t="s">
        <v>20</v>
      </c>
      <c r="E750" t="s">
        <v>21</v>
      </c>
      <c r="F750" s="1">
        <v>44682</v>
      </c>
      <c r="G750">
        <v>4.6900000000000004</v>
      </c>
      <c r="H750">
        <v>81.691999999999993</v>
      </c>
      <c r="I750">
        <v>20.010000000000002</v>
      </c>
      <c r="J750">
        <v>58.59</v>
      </c>
      <c r="K750" t="s">
        <v>31</v>
      </c>
      <c r="L750">
        <v>832.43</v>
      </c>
      <c r="M750">
        <f>VLOOKUP(K750,RatingLookup!$A$2:$C$8,2,FALSE)</f>
        <v>0.04</v>
      </c>
      <c r="N750">
        <f t="shared" si="33"/>
        <v>3.3960531989175591E-3</v>
      </c>
      <c r="O750">
        <f>VLOOKUP(K750,RatingLookup!$A$2:$C$8,3,FALSE)</f>
        <v>0.6</v>
      </c>
      <c r="P750">
        <f t="shared" si="34"/>
        <v>1.696185938624966</v>
      </c>
      <c r="Q750" t="str">
        <f t="shared" ca="1" si="35"/>
        <v>No</v>
      </c>
    </row>
    <row r="751" spans="1:17" x14ac:dyDescent="0.45">
      <c r="A751" t="s">
        <v>55</v>
      </c>
      <c r="B751" t="s">
        <v>56</v>
      </c>
      <c r="C751" t="s">
        <v>29</v>
      </c>
      <c r="D751" t="s">
        <v>20</v>
      </c>
      <c r="E751" t="s">
        <v>21</v>
      </c>
      <c r="F751" s="1">
        <v>44713</v>
      </c>
      <c r="G751">
        <v>5.89</v>
      </c>
      <c r="H751">
        <v>82.064999999999998</v>
      </c>
      <c r="I751">
        <v>15.15</v>
      </c>
      <c r="J751">
        <v>73.81</v>
      </c>
      <c r="K751" t="s">
        <v>32</v>
      </c>
      <c r="L751">
        <v>849.97</v>
      </c>
      <c r="M751">
        <f>VLOOKUP(K751,RatingLookup!$A$2:$C$8,2,FALSE)</f>
        <v>0.12</v>
      </c>
      <c r="N751">
        <f t="shared" si="33"/>
        <v>1.0596241035318976E-2</v>
      </c>
      <c r="O751">
        <f>VLOOKUP(K751,RatingLookup!$A$2:$C$8,3,FALSE)</f>
        <v>0.7</v>
      </c>
      <c r="P751">
        <f t="shared" si="34"/>
        <v>6.3045408949530497</v>
      </c>
      <c r="Q751" t="str">
        <f t="shared" ca="1" si="35"/>
        <v>No</v>
      </c>
    </row>
    <row r="752" spans="1:17" x14ac:dyDescent="0.45">
      <c r="A752" t="s">
        <v>55</v>
      </c>
      <c r="B752" t="s">
        <v>56</v>
      </c>
      <c r="C752" t="s">
        <v>29</v>
      </c>
      <c r="D752" t="s">
        <v>20</v>
      </c>
      <c r="E752" t="s">
        <v>21</v>
      </c>
      <c r="F752" s="1">
        <v>44743</v>
      </c>
      <c r="G752">
        <v>5.45</v>
      </c>
      <c r="H752">
        <v>80.711500000000001</v>
      </c>
      <c r="I752">
        <v>9.9499999999999993</v>
      </c>
      <c r="J752">
        <v>84.48</v>
      </c>
      <c r="K752" t="s">
        <v>32</v>
      </c>
      <c r="L752">
        <v>853.16</v>
      </c>
      <c r="M752">
        <f>VLOOKUP(K752,RatingLookup!$A$2:$C$8,2,FALSE)</f>
        <v>0.12</v>
      </c>
      <c r="N752">
        <f t="shared" si="33"/>
        <v>1.0596241035318976E-2</v>
      </c>
      <c r="O752">
        <f>VLOOKUP(K752,RatingLookup!$A$2:$C$8,3,FALSE)</f>
        <v>0.7</v>
      </c>
      <c r="P752">
        <f t="shared" si="34"/>
        <v>6.3282023011849162</v>
      </c>
      <c r="Q752" t="str">
        <f t="shared" ca="1" si="35"/>
        <v>No</v>
      </c>
    </row>
    <row r="753" spans="1:17" x14ac:dyDescent="0.45">
      <c r="A753" t="s">
        <v>55</v>
      </c>
      <c r="B753" t="s">
        <v>56</v>
      </c>
      <c r="C753" t="s">
        <v>29</v>
      </c>
      <c r="D753" t="s">
        <v>20</v>
      </c>
      <c r="E753" t="s">
        <v>21</v>
      </c>
      <c r="F753" s="1">
        <v>44774</v>
      </c>
      <c r="G753">
        <v>4.97</v>
      </c>
      <c r="H753">
        <v>81.230800000000002</v>
      </c>
      <c r="I753">
        <v>20.23</v>
      </c>
      <c r="J753">
        <v>60.82</v>
      </c>
      <c r="K753" t="s">
        <v>32</v>
      </c>
      <c r="L753">
        <v>782.77</v>
      </c>
      <c r="M753">
        <f>VLOOKUP(K753,RatingLookup!$A$2:$C$8,2,FALSE)</f>
        <v>0.12</v>
      </c>
      <c r="N753">
        <f t="shared" si="33"/>
        <v>1.0596241035318976E-2</v>
      </c>
      <c r="O753">
        <f>VLOOKUP(K753,RatingLookup!$A$2:$C$8,3,FALSE)</f>
        <v>0.7</v>
      </c>
      <c r="P753">
        <f t="shared" si="34"/>
        <v>5.8060937166516435</v>
      </c>
      <c r="Q753" t="str">
        <f t="shared" ca="1" si="35"/>
        <v>No</v>
      </c>
    </row>
    <row r="754" spans="1:17" x14ac:dyDescent="0.45">
      <c r="A754" t="s">
        <v>55</v>
      </c>
      <c r="B754" t="s">
        <v>56</v>
      </c>
      <c r="C754" t="s">
        <v>29</v>
      </c>
      <c r="D754" t="s">
        <v>20</v>
      </c>
      <c r="E754" t="s">
        <v>21</v>
      </c>
      <c r="F754" s="1">
        <v>44805</v>
      </c>
      <c r="G754">
        <v>5.4</v>
      </c>
      <c r="H754">
        <v>84.988600000000005</v>
      </c>
      <c r="I754">
        <v>16.96</v>
      </c>
      <c r="J754">
        <v>64.58</v>
      </c>
      <c r="K754" t="s">
        <v>32</v>
      </c>
      <c r="L754">
        <v>726.97</v>
      </c>
      <c r="M754">
        <f>VLOOKUP(K754,RatingLookup!$A$2:$C$8,2,FALSE)</f>
        <v>0.12</v>
      </c>
      <c r="N754">
        <f t="shared" si="33"/>
        <v>1.0596241035318976E-2</v>
      </c>
      <c r="O754">
        <f>VLOOKUP(K754,RatingLookup!$A$2:$C$8,3,FALSE)</f>
        <v>0.7</v>
      </c>
      <c r="P754">
        <f t="shared" si="34"/>
        <v>5.3922045418120854</v>
      </c>
      <c r="Q754" t="str">
        <f t="shared" ca="1" si="35"/>
        <v>No</v>
      </c>
    </row>
    <row r="755" spans="1:17" x14ac:dyDescent="0.45">
      <c r="A755" t="s">
        <v>55</v>
      </c>
      <c r="B755" t="s">
        <v>56</v>
      </c>
      <c r="C755" t="s">
        <v>29</v>
      </c>
      <c r="D755" t="s">
        <v>20</v>
      </c>
      <c r="E755" t="s">
        <v>21</v>
      </c>
      <c r="F755" s="1">
        <v>44835</v>
      </c>
      <c r="G755">
        <v>4.3499999999999996</v>
      </c>
      <c r="H755">
        <v>83.748099999999994</v>
      </c>
      <c r="I755">
        <v>28.69</v>
      </c>
      <c r="J755">
        <v>89.64</v>
      </c>
      <c r="K755" t="s">
        <v>32</v>
      </c>
      <c r="L755">
        <v>762.66</v>
      </c>
      <c r="M755">
        <f>VLOOKUP(K755,RatingLookup!$A$2:$C$8,2,FALSE)</f>
        <v>0.12</v>
      </c>
      <c r="N755">
        <f t="shared" si="33"/>
        <v>1.0596241035318976E-2</v>
      </c>
      <c r="O755">
        <f>VLOOKUP(K755,RatingLookup!$A$2:$C$8,3,FALSE)</f>
        <v>0.7</v>
      </c>
      <c r="P755">
        <f t="shared" si="34"/>
        <v>5.6569304315974591</v>
      </c>
      <c r="Q755" t="str">
        <f t="shared" ca="1" si="35"/>
        <v>No</v>
      </c>
    </row>
    <row r="756" spans="1:17" x14ac:dyDescent="0.45">
      <c r="A756" t="s">
        <v>55</v>
      </c>
      <c r="B756" t="s">
        <v>56</v>
      </c>
      <c r="C756" t="s">
        <v>29</v>
      </c>
      <c r="D756" t="s">
        <v>20</v>
      </c>
      <c r="E756" t="s">
        <v>21</v>
      </c>
      <c r="F756" s="1">
        <v>44866</v>
      </c>
      <c r="G756">
        <v>5.22</v>
      </c>
      <c r="H756">
        <v>82.158500000000004</v>
      </c>
      <c r="I756">
        <v>17.71</v>
      </c>
      <c r="J756">
        <v>85.01</v>
      </c>
      <c r="K756" t="s">
        <v>32</v>
      </c>
      <c r="L756">
        <v>756.48</v>
      </c>
      <c r="M756">
        <f>VLOOKUP(K756,RatingLookup!$A$2:$C$8,2,FALSE)</f>
        <v>0.12</v>
      </c>
      <c r="N756">
        <f t="shared" si="33"/>
        <v>1.0596241035318976E-2</v>
      </c>
      <c r="O756">
        <f>VLOOKUP(K756,RatingLookup!$A$2:$C$8,3,FALSE)</f>
        <v>0.7</v>
      </c>
      <c r="P756">
        <f t="shared" si="34"/>
        <v>5.6110910928786693</v>
      </c>
      <c r="Q756" t="str">
        <f t="shared" ca="1" si="35"/>
        <v>No</v>
      </c>
    </row>
    <row r="757" spans="1:17" x14ac:dyDescent="0.45">
      <c r="A757" t="s">
        <v>55</v>
      </c>
      <c r="B757" t="s">
        <v>56</v>
      </c>
      <c r="C757" t="s">
        <v>29</v>
      </c>
      <c r="D757" t="s">
        <v>20</v>
      </c>
      <c r="E757" t="s">
        <v>21</v>
      </c>
      <c r="F757" s="1">
        <v>44896</v>
      </c>
      <c r="G757">
        <v>6.03</v>
      </c>
      <c r="H757">
        <v>87.549000000000007</v>
      </c>
      <c r="I757">
        <v>26.42</v>
      </c>
      <c r="J757">
        <v>89.2</v>
      </c>
      <c r="K757" t="s">
        <v>32</v>
      </c>
      <c r="L757">
        <v>784.47</v>
      </c>
      <c r="M757">
        <f>VLOOKUP(K757,RatingLookup!$A$2:$C$8,2,FALSE)</f>
        <v>0.12</v>
      </c>
      <c r="N757">
        <f t="shared" si="33"/>
        <v>1.0596241035318976E-2</v>
      </c>
      <c r="O757">
        <f>VLOOKUP(K757,RatingLookup!$A$2:$C$8,3,FALSE)</f>
        <v>0.7</v>
      </c>
      <c r="P757">
        <f t="shared" si="34"/>
        <v>5.8187032434836743</v>
      </c>
      <c r="Q757" t="str">
        <f t="shared" ca="1" si="35"/>
        <v>No</v>
      </c>
    </row>
    <row r="758" spans="1:17" x14ac:dyDescent="0.45">
      <c r="A758" t="s">
        <v>55</v>
      </c>
      <c r="B758" t="s">
        <v>56</v>
      </c>
      <c r="C758" t="s">
        <v>29</v>
      </c>
      <c r="D758" t="s">
        <v>20</v>
      </c>
      <c r="E758" t="s">
        <v>21</v>
      </c>
      <c r="F758" s="1">
        <v>44927</v>
      </c>
      <c r="G758">
        <v>5.71</v>
      </c>
      <c r="H758">
        <v>84.029499999999999</v>
      </c>
      <c r="I758">
        <v>18.8</v>
      </c>
      <c r="J758">
        <v>74.84</v>
      </c>
      <c r="K758" t="s">
        <v>32</v>
      </c>
      <c r="L758">
        <v>692.92</v>
      </c>
      <c r="M758">
        <f>VLOOKUP(K758,RatingLookup!$A$2:$C$8,2,FALSE)</f>
        <v>0.12</v>
      </c>
      <c r="N758">
        <f t="shared" si="33"/>
        <v>1.0596241035318976E-2</v>
      </c>
      <c r="O758">
        <f>VLOOKUP(K758,RatingLookup!$A$2:$C$8,3,FALSE)</f>
        <v>0.7</v>
      </c>
      <c r="P758">
        <f t="shared" si="34"/>
        <v>5.1396431367352573</v>
      </c>
      <c r="Q758" t="str">
        <f t="shared" ca="1" si="35"/>
        <v>No</v>
      </c>
    </row>
    <row r="759" spans="1:17" x14ac:dyDescent="0.45">
      <c r="A759" t="s">
        <v>55</v>
      </c>
      <c r="B759" t="s">
        <v>56</v>
      </c>
      <c r="C759" t="s">
        <v>29</v>
      </c>
      <c r="D759" t="s">
        <v>20</v>
      </c>
      <c r="E759" t="s">
        <v>21</v>
      </c>
      <c r="F759" s="1">
        <v>44958</v>
      </c>
      <c r="G759">
        <v>5.93</v>
      </c>
      <c r="H759">
        <v>84.252899999999997</v>
      </c>
      <c r="I759">
        <v>15.19</v>
      </c>
      <c r="J759">
        <v>75.03</v>
      </c>
      <c r="K759" t="s">
        <v>32</v>
      </c>
      <c r="L759">
        <v>833.99</v>
      </c>
      <c r="M759">
        <f>VLOOKUP(K759,RatingLookup!$A$2:$C$8,2,FALSE)</f>
        <v>0.12</v>
      </c>
      <c r="N759">
        <f t="shared" si="33"/>
        <v>1.0596241035318976E-2</v>
      </c>
      <c r="O759">
        <f>VLOOKUP(K759,RatingLookup!$A$2:$C$8,3,FALSE)</f>
        <v>0.7</v>
      </c>
      <c r="P759">
        <f t="shared" si="34"/>
        <v>6.1860113427319705</v>
      </c>
      <c r="Q759" t="str">
        <f t="shared" ca="1" si="35"/>
        <v>No</v>
      </c>
    </row>
    <row r="760" spans="1:17" x14ac:dyDescent="0.45">
      <c r="A760" t="s">
        <v>55</v>
      </c>
      <c r="B760" t="s">
        <v>56</v>
      </c>
      <c r="C760" t="s">
        <v>29</v>
      </c>
      <c r="D760" t="s">
        <v>20</v>
      </c>
      <c r="E760" t="s">
        <v>21</v>
      </c>
      <c r="F760" s="1">
        <v>44986</v>
      </c>
      <c r="G760">
        <v>6.58</v>
      </c>
      <c r="H760">
        <v>82.396100000000004</v>
      </c>
      <c r="I760">
        <v>26.24</v>
      </c>
      <c r="J760">
        <v>62.81</v>
      </c>
      <c r="K760" t="s">
        <v>32</v>
      </c>
      <c r="L760">
        <v>723.61</v>
      </c>
      <c r="M760">
        <f>VLOOKUP(K760,RatingLookup!$A$2:$C$8,2,FALSE)</f>
        <v>0.12</v>
      </c>
      <c r="N760">
        <f t="shared" si="33"/>
        <v>1.0596241035318976E-2</v>
      </c>
      <c r="O760">
        <f>VLOOKUP(K760,RatingLookup!$A$2:$C$8,3,FALSE)</f>
        <v>0.7</v>
      </c>
      <c r="P760">
        <f t="shared" si="34"/>
        <v>5.3672821828970152</v>
      </c>
      <c r="Q760" t="str">
        <f t="shared" ca="1" si="35"/>
        <v>No</v>
      </c>
    </row>
    <row r="761" spans="1:17" x14ac:dyDescent="0.45">
      <c r="A761" t="s">
        <v>55</v>
      </c>
      <c r="B761" t="s">
        <v>56</v>
      </c>
      <c r="C761" t="s">
        <v>29</v>
      </c>
      <c r="D761" t="s">
        <v>20</v>
      </c>
      <c r="E761" t="s">
        <v>21</v>
      </c>
      <c r="F761" s="1">
        <v>45017</v>
      </c>
      <c r="G761">
        <v>4.95</v>
      </c>
      <c r="H761">
        <v>81.576300000000003</v>
      </c>
      <c r="I761">
        <v>10.36</v>
      </c>
      <c r="J761">
        <v>82.59</v>
      </c>
      <c r="K761" t="s">
        <v>32</v>
      </c>
      <c r="L761">
        <v>797.43</v>
      </c>
      <c r="M761">
        <f>VLOOKUP(K761,RatingLookup!$A$2:$C$8,2,FALSE)</f>
        <v>0.12</v>
      </c>
      <c r="N761">
        <f t="shared" si="33"/>
        <v>1.0596241035318976E-2</v>
      </c>
      <c r="O761">
        <f>VLOOKUP(K761,RatingLookup!$A$2:$C$8,3,FALSE)</f>
        <v>0.7</v>
      </c>
      <c r="P761">
        <f t="shared" si="34"/>
        <v>5.9148323421560871</v>
      </c>
      <c r="Q761" t="str">
        <f t="shared" ca="1" si="35"/>
        <v>No</v>
      </c>
    </row>
    <row r="762" spans="1:17" x14ac:dyDescent="0.45">
      <c r="A762" t="s">
        <v>55</v>
      </c>
      <c r="B762" t="s">
        <v>56</v>
      </c>
      <c r="C762" t="s">
        <v>29</v>
      </c>
      <c r="D762" t="s">
        <v>20</v>
      </c>
      <c r="E762" t="s">
        <v>21</v>
      </c>
      <c r="F762" s="1">
        <v>45047</v>
      </c>
      <c r="G762">
        <v>5.09</v>
      </c>
      <c r="H762">
        <v>79.887799999999999</v>
      </c>
      <c r="I762">
        <v>5</v>
      </c>
      <c r="J762">
        <v>78.150000000000006</v>
      </c>
      <c r="K762" t="s">
        <v>32</v>
      </c>
      <c r="L762">
        <v>763.29</v>
      </c>
      <c r="M762">
        <f>VLOOKUP(K762,RatingLookup!$A$2:$C$8,2,FALSE)</f>
        <v>0.12</v>
      </c>
      <c r="N762">
        <f t="shared" si="33"/>
        <v>1.0596241035318976E-2</v>
      </c>
      <c r="O762">
        <f>VLOOKUP(K762,RatingLookup!$A$2:$C$8,3,FALSE)</f>
        <v>0.7</v>
      </c>
      <c r="P762">
        <f t="shared" si="34"/>
        <v>5.6616033738940343</v>
      </c>
      <c r="Q762" t="str">
        <f t="shared" ca="1" si="35"/>
        <v>No</v>
      </c>
    </row>
    <row r="763" spans="1:17" x14ac:dyDescent="0.45">
      <c r="A763" t="s">
        <v>55</v>
      </c>
      <c r="B763" t="s">
        <v>56</v>
      </c>
      <c r="C763" t="s">
        <v>29</v>
      </c>
      <c r="D763" t="s">
        <v>20</v>
      </c>
      <c r="E763" t="s">
        <v>21</v>
      </c>
      <c r="F763" s="1">
        <v>45078</v>
      </c>
      <c r="G763">
        <v>5.3</v>
      </c>
      <c r="H763">
        <v>80.290499999999994</v>
      </c>
      <c r="I763">
        <v>23.68</v>
      </c>
      <c r="J763">
        <v>103.35</v>
      </c>
      <c r="K763" t="s">
        <v>32</v>
      </c>
      <c r="L763">
        <v>747.66</v>
      </c>
      <c r="M763">
        <f>VLOOKUP(K763,RatingLookup!$A$2:$C$8,2,FALSE)</f>
        <v>0.12</v>
      </c>
      <c r="N763">
        <f t="shared" si="33"/>
        <v>1.0596241035318976E-2</v>
      </c>
      <c r="O763">
        <f>VLOOKUP(K763,RatingLookup!$A$2:$C$8,3,FALSE)</f>
        <v>0.7</v>
      </c>
      <c r="P763">
        <f t="shared" si="34"/>
        <v>5.5456699007266099</v>
      </c>
      <c r="Q763" t="str">
        <f t="shared" ca="1" si="35"/>
        <v>No</v>
      </c>
    </row>
    <row r="764" spans="1:17" x14ac:dyDescent="0.45">
      <c r="A764" t="s">
        <v>55</v>
      </c>
      <c r="B764" t="s">
        <v>56</v>
      </c>
      <c r="C764" t="s">
        <v>29</v>
      </c>
      <c r="D764" t="s">
        <v>20</v>
      </c>
      <c r="E764" t="s">
        <v>21</v>
      </c>
      <c r="F764" s="1">
        <v>45108</v>
      </c>
      <c r="G764">
        <v>5.55</v>
      </c>
      <c r="H764">
        <v>81.630600000000001</v>
      </c>
      <c r="I764">
        <v>25.62</v>
      </c>
      <c r="J764">
        <v>80.77</v>
      </c>
      <c r="K764" t="s">
        <v>32</v>
      </c>
      <c r="L764">
        <v>772.67</v>
      </c>
      <c r="M764">
        <f>VLOOKUP(K764,RatingLookup!$A$2:$C$8,2,FALSE)</f>
        <v>0.12</v>
      </c>
      <c r="N764">
        <f t="shared" si="33"/>
        <v>1.0596241035318976E-2</v>
      </c>
      <c r="O764">
        <f>VLOOKUP(K764,RatingLookup!$A$2:$C$8,3,FALSE)</f>
        <v>0.7</v>
      </c>
      <c r="P764">
        <f t="shared" si="34"/>
        <v>5.7311782925319381</v>
      </c>
      <c r="Q764" t="str">
        <f t="shared" ca="1" si="35"/>
        <v>No</v>
      </c>
    </row>
    <row r="765" spans="1:17" x14ac:dyDescent="0.45">
      <c r="A765" t="s">
        <v>55</v>
      </c>
      <c r="B765" t="s">
        <v>56</v>
      </c>
      <c r="C765" t="s">
        <v>29</v>
      </c>
      <c r="D765" t="s">
        <v>20</v>
      </c>
      <c r="E765" t="s">
        <v>21</v>
      </c>
      <c r="F765" s="1">
        <v>45139</v>
      </c>
      <c r="G765">
        <v>5.49</v>
      </c>
      <c r="H765">
        <v>83.975300000000004</v>
      </c>
      <c r="I765">
        <v>13.24</v>
      </c>
      <c r="J765">
        <v>70.67</v>
      </c>
      <c r="K765" t="s">
        <v>32</v>
      </c>
      <c r="L765">
        <v>800.78</v>
      </c>
      <c r="M765">
        <f>VLOOKUP(K765,RatingLookup!$A$2:$C$8,2,FALSE)</f>
        <v>0.12</v>
      </c>
      <c r="N765">
        <f t="shared" si="33"/>
        <v>1.0596241035318976E-2</v>
      </c>
      <c r="O765">
        <f>VLOOKUP(K765,RatingLookup!$A$2:$C$8,3,FALSE)</f>
        <v>0.7</v>
      </c>
      <c r="P765">
        <f t="shared" si="34"/>
        <v>5.9396805273839099</v>
      </c>
      <c r="Q765" t="str">
        <f t="shared" ca="1" si="35"/>
        <v>No</v>
      </c>
    </row>
    <row r="766" spans="1:17" x14ac:dyDescent="0.45">
      <c r="A766" t="s">
        <v>55</v>
      </c>
      <c r="B766" t="s">
        <v>56</v>
      </c>
      <c r="C766" t="s">
        <v>29</v>
      </c>
      <c r="D766" t="s">
        <v>20</v>
      </c>
      <c r="E766" t="s">
        <v>21</v>
      </c>
      <c r="F766" s="1">
        <v>45170</v>
      </c>
      <c r="G766">
        <v>5.75</v>
      </c>
      <c r="H766">
        <v>81.498400000000004</v>
      </c>
      <c r="I766">
        <v>22.33</v>
      </c>
      <c r="J766">
        <v>91.37</v>
      </c>
      <c r="K766" t="s">
        <v>32</v>
      </c>
      <c r="L766">
        <v>795.89</v>
      </c>
      <c r="M766">
        <f>VLOOKUP(K766,RatingLookup!$A$2:$C$8,2,FALSE)</f>
        <v>0.12</v>
      </c>
      <c r="N766">
        <f t="shared" si="33"/>
        <v>1.0596241035318976E-2</v>
      </c>
      <c r="O766">
        <f>VLOOKUP(K766,RatingLookup!$A$2:$C$8,3,FALSE)</f>
        <v>0.7</v>
      </c>
      <c r="P766">
        <f t="shared" si="34"/>
        <v>5.9034095943200144</v>
      </c>
      <c r="Q766" t="str">
        <f t="shared" ca="1" si="35"/>
        <v>No</v>
      </c>
    </row>
    <row r="767" spans="1:17" x14ac:dyDescent="0.45">
      <c r="A767" t="s">
        <v>55</v>
      </c>
      <c r="B767" t="s">
        <v>56</v>
      </c>
      <c r="C767" t="s">
        <v>29</v>
      </c>
      <c r="D767" t="s">
        <v>20</v>
      </c>
      <c r="E767" t="s">
        <v>21</v>
      </c>
      <c r="F767" s="1">
        <v>45200</v>
      </c>
      <c r="G767">
        <v>5.9</v>
      </c>
      <c r="H767">
        <v>81.448300000000003</v>
      </c>
      <c r="I767">
        <v>20.93</v>
      </c>
      <c r="J767">
        <v>105.2</v>
      </c>
      <c r="K767" t="s">
        <v>32</v>
      </c>
      <c r="L767">
        <v>799.15</v>
      </c>
      <c r="M767">
        <f>VLOOKUP(K767,RatingLookup!$A$2:$C$8,2,FALSE)</f>
        <v>0.12</v>
      </c>
      <c r="N767">
        <f t="shared" si="33"/>
        <v>1.0596241035318976E-2</v>
      </c>
      <c r="O767">
        <f>VLOOKUP(K767,RatingLookup!$A$2:$C$8,3,FALSE)</f>
        <v>0.7</v>
      </c>
      <c r="P767">
        <f t="shared" si="34"/>
        <v>5.9275902163626109</v>
      </c>
      <c r="Q767" t="str">
        <f t="shared" ca="1" si="35"/>
        <v>No</v>
      </c>
    </row>
    <row r="768" spans="1:17" x14ac:dyDescent="0.45">
      <c r="A768" t="s">
        <v>55</v>
      </c>
      <c r="B768" t="s">
        <v>56</v>
      </c>
      <c r="C768" t="s">
        <v>29</v>
      </c>
      <c r="D768" t="s">
        <v>20</v>
      </c>
      <c r="E768" t="s">
        <v>21</v>
      </c>
      <c r="F768" s="1">
        <v>45231</v>
      </c>
      <c r="G768">
        <v>5.25</v>
      </c>
      <c r="H768">
        <v>81.861800000000002</v>
      </c>
      <c r="I768">
        <v>18.489999999999998</v>
      </c>
      <c r="J768">
        <v>88.11</v>
      </c>
      <c r="K768" t="s">
        <v>32</v>
      </c>
      <c r="L768">
        <v>783.19</v>
      </c>
      <c r="M768">
        <f>VLOOKUP(K768,RatingLookup!$A$2:$C$8,2,FALSE)</f>
        <v>0.12</v>
      </c>
      <c r="N768">
        <f t="shared" si="33"/>
        <v>1.0596241035318976E-2</v>
      </c>
      <c r="O768">
        <f>VLOOKUP(K768,RatingLookup!$A$2:$C$8,3,FALSE)</f>
        <v>0.7</v>
      </c>
      <c r="P768">
        <f t="shared" si="34"/>
        <v>5.8092090115160291</v>
      </c>
      <c r="Q768" t="str">
        <f t="shared" ca="1" si="35"/>
        <v>No</v>
      </c>
    </row>
    <row r="769" spans="1:17" x14ac:dyDescent="0.45">
      <c r="A769" t="s">
        <v>55</v>
      </c>
      <c r="B769" t="s">
        <v>56</v>
      </c>
      <c r="C769" t="s">
        <v>29</v>
      </c>
      <c r="D769" t="s">
        <v>20</v>
      </c>
      <c r="E769" t="s">
        <v>21</v>
      </c>
      <c r="F769" s="1">
        <v>45261</v>
      </c>
      <c r="G769">
        <v>5.1100000000000003</v>
      </c>
      <c r="H769">
        <v>83.046000000000006</v>
      </c>
      <c r="I769">
        <v>21.67</v>
      </c>
      <c r="J769">
        <v>88.87</v>
      </c>
      <c r="K769" t="s">
        <v>32</v>
      </c>
      <c r="L769">
        <v>890.65</v>
      </c>
      <c r="M769">
        <f>VLOOKUP(K769,RatingLookup!$A$2:$C$8,2,FALSE)</f>
        <v>0.12</v>
      </c>
      <c r="N769">
        <f t="shared" si="33"/>
        <v>1.0596241035318976E-2</v>
      </c>
      <c r="O769">
        <f>VLOOKUP(K769,RatingLookup!$A$2:$C$8,3,FALSE)</f>
        <v>0.7</v>
      </c>
      <c r="P769">
        <f t="shared" si="34"/>
        <v>6.6062794546747918</v>
      </c>
      <c r="Q769" t="str">
        <f t="shared" ca="1" si="35"/>
        <v>No</v>
      </c>
    </row>
    <row r="770" spans="1:17" x14ac:dyDescent="0.45">
      <c r="A770" t="s">
        <v>55</v>
      </c>
      <c r="B770" t="s">
        <v>56</v>
      </c>
      <c r="C770" t="s">
        <v>29</v>
      </c>
      <c r="D770" t="s">
        <v>20</v>
      </c>
      <c r="E770" t="s">
        <v>21</v>
      </c>
      <c r="F770" s="1">
        <v>45292</v>
      </c>
      <c r="G770">
        <v>5.56</v>
      </c>
      <c r="H770">
        <v>78.348600000000005</v>
      </c>
      <c r="I770">
        <v>26.46</v>
      </c>
      <c r="J770">
        <v>84.01</v>
      </c>
      <c r="K770" t="s">
        <v>32</v>
      </c>
      <c r="L770">
        <v>808.4</v>
      </c>
      <c r="M770">
        <f>VLOOKUP(K770,RatingLookup!$A$2:$C$8,2,FALSE)</f>
        <v>0.12</v>
      </c>
      <c r="N770">
        <f t="shared" ref="N770:N833" si="36">1-(1-M770)^(1/12)</f>
        <v>1.0596241035318976E-2</v>
      </c>
      <c r="O770">
        <f>VLOOKUP(K770,RatingLookup!$A$2:$C$8,3,FALSE)</f>
        <v>0.7</v>
      </c>
      <c r="P770">
        <f t="shared" ref="P770:P833" si="37">L770*N770*O770</f>
        <v>5.9962008770663022</v>
      </c>
      <c r="Q770" t="str">
        <f t="shared" ref="Q770:Q833" ca="1" si="38">IF(RAND()&lt;N770,"Yes","No")</f>
        <v>No</v>
      </c>
    </row>
    <row r="771" spans="1:17" x14ac:dyDescent="0.45">
      <c r="A771" t="s">
        <v>55</v>
      </c>
      <c r="B771" t="s">
        <v>56</v>
      </c>
      <c r="C771" t="s">
        <v>29</v>
      </c>
      <c r="D771" t="s">
        <v>20</v>
      </c>
      <c r="E771" t="s">
        <v>21</v>
      </c>
      <c r="F771" s="1">
        <v>45323</v>
      </c>
      <c r="G771">
        <v>4.4800000000000004</v>
      </c>
      <c r="H771">
        <v>88.387799999999999</v>
      </c>
      <c r="I771">
        <v>25.85</v>
      </c>
      <c r="J771">
        <v>73.09</v>
      </c>
      <c r="K771" t="s">
        <v>32</v>
      </c>
      <c r="L771">
        <v>718.9</v>
      </c>
      <c r="M771">
        <f>VLOOKUP(K771,RatingLookup!$A$2:$C$8,2,FALSE)</f>
        <v>0.12</v>
      </c>
      <c r="N771">
        <f t="shared" si="36"/>
        <v>1.0596241035318976E-2</v>
      </c>
      <c r="O771">
        <f>VLOOKUP(K771,RatingLookup!$A$2:$C$8,3,FALSE)</f>
        <v>0.7</v>
      </c>
      <c r="P771">
        <f t="shared" si="37"/>
        <v>5.3323463762035681</v>
      </c>
      <c r="Q771" t="str">
        <f t="shared" ca="1" si="38"/>
        <v>No</v>
      </c>
    </row>
    <row r="772" spans="1:17" x14ac:dyDescent="0.45">
      <c r="A772" t="s">
        <v>55</v>
      </c>
      <c r="B772" t="s">
        <v>56</v>
      </c>
      <c r="C772" t="s">
        <v>29</v>
      </c>
      <c r="D772" t="s">
        <v>20</v>
      </c>
      <c r="E772" t="s">
        <v>21</v>
      </c>
      <c r="F772" s="1">
        <v>45352</v>
      </c>
      <c r="G772">
        <v>5.62</v>
      </c>
      <c r="H772">
        <v>85.731099999999998</v>
      </c>
      <c r="I772">
        <v>8.59</v>
      </c>
      <c r="J772">
        <v>70.680000000000007</v>
      </c>
      <c r="K772" t="s">
        <v>32</v>
      </c>
      <c r="L772">
        <v>734.19</v>
      </c>
      <c r="M772">
        <f>VLOOKUP(K772,RatingLookup!$A$2:$C$8,2,FALSE)</f>
        <v>0.12</v>
      </c>
      <c r="N772">
        <f t="shared" si="36"/>
        <v>1.0596241035318976E-2</v>
      </c>
      <c r="O772">
        <f>VLOOKUP(K772,RatingLookup!$A$2:$C$8,3,FALSE)</f>
        <v>0.7</v>
      </c>
      <c r="P772">
        <f t="shared" si="37"/>
        <v>5.4457579440045869</v>
      </c>
      <c r="Q772" t="str">
        <f t="shared" ca="1" si="38"/>
        <v>No</v>
      </c>
    </row>
    <row r="773" spans="1:17" x14ac:dyDescent="0.45">
      <c r="A773" t="s">
        <v>55</v>
      </c>
      <c r="B773" t="s">
        <v>56</v>
      </c>
      <c r="C773" t="s">
        <v>29</v>
      </c>
      <c r="D773" t="s">
        <v>20</v>
      </c>
      <c r="E773" t="s">
        <v>21</v>
      </c>
      <c r="F773" s="1">
        <v>45383</v>
      </c>
      <c r="G773">
        <v>6.02</v>
      </c>
      <c r="H773">
        <v>82.095399999999998</v>
      </c>
      <c r="I773">
        <v>17.05</v>
      </c>
      <c r="J773">
        <v>81.849999999999994</v>
      </c>
      <c r="K773" t="s">
        <v>32</v>
      </c>
      <c r="L773">
        <v>742.2</v>
      </c>
      <c r="M773">
        <f>VLOOKUP(K773,RatingLookup!$A$2:$C$8,2,FALSE)</f>
        <v>0.12</v>
      </c>
      <c r="N773">
        <f t="shared" si="36"/>
        <v>1.0596241035318976E-2</v>
      </c>
      <c r="O773">
        <f>VLOOKUP(K773,RatingLookup!$A$2:$C$8,3,FALSE)</f>
        <v>0.7</v>
      </c>
      <c r="P773">
        <f t="shared" si="37"/>
        <v>5.5051710674896208</v>
      </c>
      <c r="Q773" t="str">
        <f t="shared" ca="1" si="38"/>
        <v>No</v>
      </c>
    </row>
    <row r="774" spans="1:17" x14ac:dyDescent="0.45">
      <c r="A774" t="s">
        <v>55</v>
      </c>
      <c r="B774" t="s">
        <v>56</v>
      </c>
      <c r="C774" t="s">
        <v>29</v>
      </c>
      <c r="D774" t="s">
        <v>20</v>
      </c>
      <c r="E774" t="s">
        <v>21</v>
      </c>
      <c r="F774" s="1">
        <v>45413</v>
      </c>
      <c r="G774">
        <v>6.38</v>
      </c>
      <c r="H774">
        <v>83.489000000000004</v>
      </c>
      <c r="I774">
        <v>20.55</v>
      </c>
      <c r="J774">
        <v>92.81</v>
      </c>
      <c r="K774" t="s">
        <v>32</v>
      </c>
      <c r="L774">
        <v>781.21</v>
      </c>
      <c r="M774">
        <f>VLOOKUP(K774,RatingLookup!$A$2:$C$8,2,FALSE)</f>
        <v>0.12</v>
      </c>
      <c r="N774">
        <f t="shared" si="36"/>
        <v>1.0596241035318976E-2</v>
      </c>
      <c r="O774">
        <f>VLOOKUP(K774,RatingLookup!$A$2:$C$8,3,FALSE)</f>
        <v>0.7</v>
      </c>
      <c r="P774">
        <f t="shared" si="37"/>
        <v>5.7945226214410761</v>
      </c>
      <c r="Q774" t="str">
        <f t="shared" ca="1" si="38"/>
        <v>No</v>
      </c>
    </row>
    <row r="775" spans="1:17" x14ac:dyDescent="0.45">
      <c r="A775" t="s">
        <v>55</v>
      </c>
      <c r="B775" t="s">
        <v>56</v>
      </c>
      <c r="C775" t="s">
        <v>29</v>
      </c>
      <c r="D775" t="s">
        <v>20</v>
      </c>
      <c r="E775" t="s">
        <v>21</v>
      </c>
      <c r="F775" s="1">
        <v>45444</v>
      </c>
      <c r="G775">
        <v>5.25</v>
      </c>
      <c r="H775">
        <v>83.193299999999994</v>
      </c>
      <c r="I775">
        <v>15.04</v>
      </c>
      <c r="J775">
        <v>81.77</v>
      </c>
      <c r="K775" t="s">
        <v>32</v>
      </c>
      <c r="L775">
        <v>800.56</v>
      </c>
      <c r="M775">
        <f>VLOOKUP(K775,RatingLookup!$A$2:$C$8,2,FALSE)</f>
        <v>0.12</v>
      </c>
      <c r="N775">
        <f t="shared" si="36"/>
        <v>1.0596241035318976E-2</v>
      </c>
      <c r="O775">
        <f>VLOOKUP(K775,RatingLookup!$A$2:$C$8,3,FALSE)</f>
        <v>0.7</v>
      </c>
      <c r="P775">
        <f t="shared" si="37"/>
        <v>5.9380487062644711</v>
      </c>
      <c r="Q775" t="str">
        <f t="shared" ca="1" si="38"/>
        <v>No</v>
      </c>
    </row>
    <row r="776" spans="1:17" x14ac:dyDescent="0.45">
      <c r="A776" t="s">
        <v>55</v>
      </c>
      <c r="B776" t="s">
        <v>56</v>
      </c>
      <c r="C776" t="s">
        <v>29</v>
      </c>
      <c r="D776" t="s">
        <v>20</v>
      </c>
      <c r="E776" t="s">
        <v>21</v>
      </c>
      <c r="F776" s="1">
        <v>45474</v>
      </c>
      <c r="G776">
        <v>5</v>
      </c>
      <c r="H776">
        <v>85.005300000000005</v>
      </c>
      <c r="I776">
        <v>19.25</v>
      </c>
      <c r="J776">
        <v>73.28</v>
      </c>
      <c r="K776" t="s">
        <v>32</v>
      </c>
      <c r="L776">
        <v>804.4</v>
      </c>
      <c r="M776">
        <f>VLOOKUP(K776,RatingLookup!$A$2:$C$8,2,FALSE)</f>
        <v>0.12</v>
      </c>
      <c r="N776">
        <f t="shared" si="36"/>
        <v>1.0596241035318976E-2</v>
      </c>
      <c r="O776">
        <f>VLOOKUP(K776,RatingLookup!$A$2:$C$8,3,FALSE)</f>
        <v>0.7</v>
      </c>
      <c r="P776">
        <f t="shared" si="37"/>
        <v>5.9665314021674094</v>
      </c>
      <c r="Q776" t="str">
        <f t="shared" ca="1" si="38"/>
        <v>No</v>
      </c>
    </row>
    <row r="777" spans="1:17" x14ac:dyDescent="0.45">
      <c r="A777" t="s">
        <v>55</v>
      </c>
      <c r="B777" t="s">
        <v>56</v>
      </c>
      <c r="C777" t="s">
        <v>29</v>
      </c>
      <c r="D777" t="s">
        <v>20</v>
      </c>
      <c r="E777" t="s">
        <v>21</v>
      </c>
      <c r="F777" s="1">
        <v>45505</v>
      </c>
      <c r="G777">
        <v>5.23</v>
      </c>
      <c r="H777">
        <v>82.645899999999997</v>
      </c>
      <c r="I777">
        <v>22.57</v>
      </c>
      <c r="J777">
        <v>71.86</v>
      </c>
      <c r="K777" t="s">
        <v>32</v>
      </c>
      <c r="L777">
        <v>764.67</v>
      </c>
      <c r="M777">
        <f>VLOOKUP(K777,RatingLookup!$A$2:$C$8,2,FALSE)</f>
        <v>0.12</v>
      </c>
      <c r="N777">
        <f t="shared" si="36"/>
        <v>1.0596241035318976E-2</v>
      </c>
      <c r="O777">
        <f>VLOOKUP(K777,RatingLookup!$A$2:$C$8,3,FALSE)</f>
        <v>0.7</v>
      </c>
      <c r="P777">
        <f t="shared" si="37"/>
        <v>5.6718393427341525</v>
      </c>
      <c r="Q777" t="str">
        <f t="shared" ca="1" si="38"/>
        <v>No</v>
      </c>
    </row>
    <row r="778" spans="1:17" x14ac:dyDescent="0.45">
      <c r="A778" t="s">
        <v>55</v>
      </c>
      <c r="B778" t="s">
        <v>56</v>
      </c>
      <c r="C778" t="s">
        <v>29</v>
      </c>
      <c r="D778" t="s">
        <v>20</v>
      </c>
      <c r="E778" t="s">
        <v>21</v>
      </c>
      <c r="F778" s="1">
        <v>45536</v>
      </c>
      <c r="G778">
        <v>6.53</v>
      </c>
      <c r="H778">
        <v>87.143199999999993</v>
      </c>
      <c r="I778">
        <v>24.91</v>
      </c>
      <c r="J778">
        <v>89.23</v>
      </c>
      <c r="K778" t="s">
        <v>32</v>
      </c>
      <c r="L778">
        <v>697.41</v>
      </c>
      <c r="M778">
        <f>VLOOKUP(K778,RatingLookup!$A$2:$C$8,2,FALSE)</f>
        <v>0.12</v>
      </c>
      <c r="N778">
        <f t="shared" si="36"/>
        <v>1.0596241035318976E-2</v>
      </c>
      <c r="O778">
        <f>VLOOKUP(K778,RatingLookup!$A$2:$C$8,3,FALSE)</f>
        <v>0.7</v>
      </c>
      <c r="P778">
        <f t="shared" si="37"/>
        <v>5.1729471223092647</v>
      </c>
      <c r="Q778" t="str">
        <f t="shared" ca="1" si="38"/>
        <v>No</v>
      </c>
    </row>
    <row r="779" spans="1:17" x14ac:dyDescent="0.45">
      <c r="A779" t="s">
        <v>55</v>
      </c>
      <c r="B779" t="s">
        <v>56</v>
      </c>
      <c r="C779" t="s">
        <v>29</v>
      </c>
      <c r="D779" t="s">
        <v>20</v>
      </c>
      <c r="E779" t="s">
        <v>21</v>
      </c>
      <c r="F779" s="1">
        <v>45566</v>
      </c>
      <c r="G779">
        <v>5.61</v>
      </c>
      <c r="H779">
        <v>76.796000000000006</v>
      </c>
      <c r="I779">
        <v>20.3</v>
      </c>
      <c r="J779">
        <v>78.56</v>
      </c>
      <c r="K779" t="s">
        <v>32</v>
      </c>
      <c r="L779">
        <v>817.6</v>
      </c>
      <c r="M779">
        <f>VLOOKUP(K779,RatingLookup!$A$2:$C$8,2,FALSE)</f>
        <v>0.12</v>
      </c>
      <c r="N779">
        <f t="shared" si="36"/>
        <v>1.0596241035318976E-2</v>
      </c>
      <c r="O779">
        <f>VLOOKUP(K779,RatingLookup!$A$2:$C$8,3,FALSE)</f>
        <v>0.7</v>
      </c>
      <c r="P779">
        <f t="shared" si="37"/>
        <v>6.0644406693337558</v>
      </c>
      <c r="Q779" t="str">
        <f t="shared" ca="1" si="38"/>
        <v>No</v>
      </c>
    </row>
    <row r="780" spans="1:17" x14ac:dyDescent="0.45">
      <c r="A780" t="s">
        <v>55</v>
      </c>
      <c r="B780" t="s">
        <v>56</v>
      </c>
      <c r="C780" t="s">
        <v>29</v>
      </c>
      <c r="D780" t="s">
        <v>20</v>
      </c>
      <c r="E780" t="s">
        <v>21</v>
      </c>
      <c r="F780" s="1">
        <v>45597</v>
      </c>
      <c r="G780">
        <v>4.97</v>
      </c>
      <c r="H780">
        <v>83.736199999999997</v>
      </c>
      <c r="I780">
        <v>29.56</v>
      </c>
      <c r="J780">
        <v>81.400000000000006</v>
      </c>
      <c r="K780" t="s">
        <v>32</v>
      </c>
      <c r="L780">
        <v>724.86</v>
      </c>
      <c r="M780">
        <f>VLOOKUP(K780,RatingLookup!$A$2:$C$8,2,FALSE)</f>
        <v>0.12</v>
      </c>
      <c r="N780">
        <f t="shared" si="36"/>
        <v>1.0596241035318976E-2</v>
      </c>
      <c r="O780">
        <f>VLOOKUP(K780,RatingLookup!$A$2:$C$8,3,FALSE)</f>
        <v>0.7</v>
      </c>
      <c r="P780">
        <f t="shared" si="37"/>
        <v>5.3765538938029191</v>
      </c>
      <c r="Q780" t="str">
        <f t="shared" ca="1" si="38"/>
        <v>No</v>
      </c>
    </row>
    <row r="781" spans="1:17" x14ac:dyDescent="0.45">
      <c r="A781" t="s">
        <v>55</v>
      </c>
      <c r="B781" t="s">
        <v>56</v>
      </c>
      <c r="C781" t="s">
        <v>29</v>
      </c>
      <c r="D781" t="s">
        <v>20</v>
      </c>
      <c r="E781" t="s">
        <v>21</v>
      </c>
      <c r="F781" s="1">
        <v>45627</v>
      </c>
      <c r="G781">
        <v>5.14</v>
      </c>
      <c r="H781">
        <v>81.419799999999995</v>
      </c>
      <c r="I781">
        <v>15.43</v>
      </c>
      <c r="J781">
        <v>71.08</v>
      </c>
      <c r="K781" t="s">
        <v>32</v>
      </c>
      <c r="L781">
        <v>817.68</v>
      </c>
      <c r="M781">
        <f>VLOOKUP(K781,RatingLookup!$A$2:$C$8,2,FALSE)</f>
        <v>0.12</v>
      </c>
      <c r="N781">
        <f t="shared" si="36"/>
        <v>1.0596241035318976E-2</v>
      </c>
      <c r="O781">
        <f>VLOOKUP(K781,RatingLookup!$A$2:$C$8,3,FALSE)</f>
        <v>0.7</v>
      </c>
      <c r="P781">
        <f t="shared" si="37"/>
        <v>6.065034058831734</v>
      </c>
      <c r="Q781" t="str">
        <f t="shared" ca="1" si="38"/>
        <v>No</v>
      </c>
    </row>
    <row r="782" spans="1:17" x14ac:dyDescent="0.45">
      <c r="A782" t="s">
        <v>57</v>
      </c>
      <c r="B782" t="s">
        <v>58</v>
      </c>
      <c r="C782" t="s">
        <v>43</v>
      </c>
      <c r="D782" t="s">
        <v>20</v>
      </c>
      <c r="E782" t="s">
        <v>21</v>
      </c>
      <c r="F782" s="1">
        <v>43831</v>
      </c>
      <c r="G782">
        <v>5.2</v>
      </c>
      <c r="H782">
        <v>77.985100000000003</v>
      </c>
      <c r="I782">
        <v>12.82</v>
      </c>
      <c r="J782">
        <v>87.28</v>
      </c>
      <c r="K782" t="s">
        <v>22</v>
      </c>
      <c r="L782">
        <v>2207.3000000000002</v>
      </c>
      <c r="M782">
        <f>VLOOKUP(K782,RatingLookup!$A$2:$C$8,2,FALSE)</f>
        <v>5.0000000000000001E-3</v>
      </c>
      <c r="N782">
        <f t="shared" si="36"/>
        <v>4.1762458919303302E-4</v>
      </c>
      <c r="O782">
        <f>VLOOKUP(K782,RatingLookup!$A$2:$C$8,3,FALSE)</f>
        <v>0.45</v>
      </c>
      <c r="P782">
        <f t="shared" si="37"/>
        <v>0.41482024007660184</v>
      </c>
      <c r="Q782" t="str">
        <f t="shared" ca="1" si="38"/>
        <v>No</v>
      </c>
    </row>
    <row r="783" spans="1:17" x14ac:dyDescent="0.45">
      <c r="A783" t="s">
        <v>57</v>
      </c>
      <c r="B783" t="s">
        <v>58</v>
      </c>
      <c r="C783" t="s">
        <v>43</v>
      </c>
      <c r="D783" t="s">
        <v>20</v>
      </c>
      <c r="E783" t="s">
        <v>21</v>
      </c>
      <c r="F783" s="1">
        <v>43862</v>
      </c>
      <c r="G783">
        <v>4.92</v>
      </c>
      <c r="H783">
        <v>86.733699999999999</v>
      </c>
      <c r="I783">
        <v>17.22</v>
      </c>
      <c r="J783">
        <v>75.77</v>
      </c>
      <c r="K783" t="s">
        <v>22</v>
      </c>
      <c r="L783">
        <v>2256.83</v>
      </c>
      <c r="M783">
        <f>VLOOKUP(K783,RatingLookup!$A$2:$C$8,2,FALSE)</f>
        <v>5.0000000000000001E-3</v>
      </c>
      <c r="N783">
        <f t="shared" si="36"/>
        <v>4.1762458919303302E-4</v>
      </c>
      <c r="O783">
        <f>VLOOKUP(K783,RatingLookup!$A$2:$C$8,3,FALSE)</f>
        <v>0.45</v>
      </c>
      <c r="P783">
        <f t="shared" si="37"/>
        <v>0.42412846573283075</v>
      </c>
      <c r="Q783" t="str">
        <f t="shared" ca="1" si="38"/>
        <v>No</v>
      </c>
    </row>
    <row r="784" spans="1:17" x14ac:dyDescent="0.45">
      <c r="A784" t="s">
        <v>57</v>
      </c>
      <c r="B784" t="s">
        <v>58</v>
      </c>
      <c r="C784" t="s">
        <v>43</v>
      </c>
      <c r="D784" t="s">
        <v>20</v>
      </c>
      <c r="E784" t="s">
        <v>21</v>
      </c>
      <c r="F784" s="1">
        <v>43891</v>
      </c>
      <c r="G784">
        <v>5.46</v>
      </c>
      <c r="H784">
        <v>85.1126</v>
      </c>
      <c r="I784">
        <v>18.899999999999999</v>
      </c>
      <c r="J784">
        <v>96.52</v>
      </c>
      <c r="K784" t="s">
        <v>22</v>
      </c>
      <c r="L784">
        <v>2504.79</v>
      </c>
      <c r="M784">
        <f>VLOOKUP(K784,RatingLookup!$A$2:$C$8,2,FALSE)</f>
        <v>5.0000000000000001E-3</v>
      </c>
      <c r="N784">
        <f t="shared" si="36"/>
        <v>4.1762458919303302E-4</v>
      </c>
      <c r="O784">
        <f>VLOOKUP(K784,RatingLookup!$A$2:$C$8,3,FALSE)</f>
        <v>0.45</v>
      </c>
      <c r="P784">
        <f t="shared" si="37"/>
        <v>0.47072785264416778</v>
      </c>
      <c r="Q784" t="str">
        <f t="shared" ca="1" si="38"/>
        <v>No</v>
      </c>
    </row>
    <row r="785" spans="1:17" x14ac:dyDescent="0.45">
      <c r="A785" t="s">
        <v>57</v>
      </c>
      <c r="B785" t="s">
        <v>58</v>
      </c>
      <c r="C785" t="s">
        <v>43</v>
      </c>
      <c r="D785" t="s">
        <v>20</v>
      </c>
      <c r="E785" t="s">
        <v>21</v>
      </c>
      <c r="F785" s="1">
        <v>43922</v>
      </c>
      <c r="G785">
        <v>5.45</v>
      </c>
      <c r="H785">
        <v>82.403300000000002</v>
      </c>
      <c r="I785">
        <v>26.51</v>
      </c>
      <c r="J785">
        <v>95.33</v>
      </c>
      <c r="K785" t="s">
        <v>22</v>
      </c>
      <c r="L785">
        <v>2331.5</v>
      </c>
      <c r="M785">
        <f>VLOOKUP(K785,RatingLookup!$A$2:$C$8,2,FALSE)</f>
        <v>5.0000000000000001E-3</v>
      </c>
      <c r="N785">
        <f t="shared" si="36"/>
        <v>4.1762458919303302E-4</v>
      </c>
      <c r="O785">
        <f>VLOOKUP(K785,RatingLookup!$A$2:$C$8,3,FALSE)</f>
        <v>0.45</v>
      </c>
      <c r="P785">
        <f t="shared" si="37"/>
        <v>0.43816127836660046</v>
      </c>
      <c r="Q785" t="str">
        <f t="shared" ca="1" si="38"/>
        <v>No</v>
      </c>
    </row>
    <row r="786" spans="1:17" x14ac:dyDescent="0.45">
      <c r="A786" t="s">
        <v>57</v>
      </c>
      <c r="B786" t="s">
        <v>58</v>
      </c>
      <c r="C786" t="s">
        <v>43</v>
      </c>
      <c r="D786" t="s">
        <v>20</v>
      </c>
      <c r="E786" t="s">
        <v>21</v>
      </c>
      <c r="F786" s="1">
        <v>43952</v>
      </c>
      <c r="G786">
        <v>5.96</v>
      </c>
      <c r="H786">
        <v>83.981200000000001</v>
      </c>
      <c r="I786">
        <v>10.08</v>
      </c>
      <c r="J786">
        <v>66.92</v>
      </c>
      <c r="K786" t="s">
        <v>22</v>
      </c>
      <c r="L786">
        <v>2301.25</v>
      </c>
      <c r="M786">
        <f>VLOOKUP(K786,RatingLookup!$A$2:$C$8,2,FALSE)</f>
        <v>5.0000000000000001E-3</v>
      </c>
      <c r="N786">
        <f t="shared" si="36"/>
        <v>4.1762458919303302E-4</v>
      </c>
      <c r="O786">
        <f>VLOOKUP(K786,RatingLookup!$A$2:$C$8,3,FALSE)</f>
        <v>0.45</v>
      </c>
      <c r="P786">
        <f t="shared" si="37"/>
        <v>0.43247636364621028</v>
      </c>
      <c r="Q786" t="str">
        <f t="shared" ca="1" si="38"/>
        <v>No</v>
      </c>
    </row>
    <row r="787" spans="1:17" x14ac:dyDescent="0.45">
      <c r="A787" t="s">
        <v>57</v>
      </c>
      <c r="B787" t="s">
        <v>58</v>
      </c>
      <c r="C787" t="s">
        <v>43</v>
      </c>
      <c r="D787" t="s">
        <v>20</v>
      </c>
      <c r="E787" t="s">
        <v>21</v>
      </c>
      <c r="F787" s="1">
        <v>43983</v>
      </c>
      <c r="G787">
        <v>6.23</v>
      </c>
      <c r="H787">
        <v>79.011600000000001</v>
      </c>
      <c r="I787">
        <v>27.24</v>
      </c>
      <c r="J787">
        <v>83.3</v>
      </c>
      <c r="K787" t="s">
        <v>22</v>
      </c>
      <c r="L787">
        <v>2502.8200000000002</v>
      </c>
      <c r="M787">
        <f>VLOOKUP(K787,RatingLookup!$A$2:$C$8,2,FALSE)</f>
        <v>5.0000000000000001E-3</v>
      </c>
      <c r="N787">
        <f t="shared" si="36"/>
        <v>4.1762458919303302E-4</v>
      </c>
      <c r="O787">
        <f>VLOOKUP(K787,RatingLookup!$A$2:$C$8,3,FALSE)</f>
        <v>0.45</v>
      </c>
      <c r="P787">
        <f t="shared" si="37"/>
        <v>0.47035762844584816</v>
      </c>
      <c r="Q787" t="str">
        <f t="shared" ca="1" si="38"/>
        <v>No</v>
      </c>
    </row>
    <row r="788" spans="1:17" x14ac:dyDescent="0.45">
      <c r="A788" t="s">
        <v>57</v>
      </c>
      <c r="B788" t="s">
        <v>58</v>
      </c>
      <c r="C788" t="s">
        <v>43</v>
      </c>
      <c r="D788" t="s">
        <v>20</v>
      </c>
      <c r="E788" t="s">
        <v>21</v>
      </c>
      <c r="F788" s="1">
        <v>44013</v>
      </c>
      <c r="G788">
        <v>5.68</v>
      </c>
      <c r="H788">
        <v>82.757400000000004</v>
      </c>
      <c r="I788">
        <v>19.89</v>
      </c>
      <c r="J788">
        <v>72.83</v>
      </c>
      <c r="K788" t="s">
        <v>22</v>
      </c>
      <c r="L788">
        <v>2382.0300000000002</v>
      </c>
      <c r="M788">
        <f>VLOOKUP(K788,RatingLookup!$A$2:$C$8,2,FALSE)</f>
        <v>5.0000000000000001E-3</v>
      </c>
      <c r="N788">
        <f t="shared" si="36"/>
        <v>4.1762458919303302E-4</v>
      </c>
      <c r="O788">
        <f>VLOOKUP(K788,RatingLookup!$A$2:$C$8,3,FALSE)</f>
        <v>0.45</v>
      </c>
      <c r="P788">
        <f t="shared" si="37"/>
        <v>0.44765743508796624</v>
      </c>
      <c r="Q788" t="str">
        <f t="shared" ca="1" si="38"/>
        <v>No</v>
      </c>
    </row>
    <row r="789" spans="1:17" x14ac:dyDescent="0.45">
      <c r="A789" t="s">
        <v>57</v>
      </c>
      <c r="B789" t="s">
        <v>58</v>
      </c>
      <c r="C789" t="s">
        <v>43</v>
      </c>
      <c r="D789" t="s">
        <v>20</v>
      </c>
      <c r="E789" t="s">
        <v>21</v>
      </c>
      <c r="F789" s="1">
        <v>44044</v>
      </c>
      <c r="G789">
        <v>6.12</v>
      </c>
      <c r="H789">
        <v>84.594700000000003</v>
      </c>
      <c r="I789">
        <v>12.35</v>
      </c>
      <c r="J789">
        <v>79.540000000000006</v>
      </c>
      <c r="K789" t="s">
        <v>22</v>
      </c>
      <c r="L789">
        <v>2478.75</v>
      </c>
      <c r="M789">
        <f>VLOOKUP(K789,RatingLookup!$A$2:$C$8,2,FALSE)</f>
        <v>5.0000000000000001E-3</v>
      </c>
      <c r="N789">
        <f t="shared" si="36"/>
        <v>4.1762458919303302E-4</v>
      </c>
      <c r="O789">
        <f>VLOOKUP(K789,RatingLookup!$A$2:$C$8,3,FALSE)</f>
        <v>0.45</v>
      </c>
      <c r="P789">
        <f t="shared" si="37"/>
        <v>0.46583412770800381</v>
      </c>
      <c r="Q789" t="str">
        <f t="shared" ca="1" si="38"/>
        <v>No</v>
      </c>
    </row>
    <row r="790" spans="1:17" x14ac:dyDescent="0.45">
      <c r="A790" t="s">
        <v>57</v>
      </c>
      <c r="B790" t="s">
        <v>58</v>
      </c>
      <c r="C790" t="s">
        <v>43</v>
      </c>
      <c r="D790" t="s">
        <v>20</v>
      </c>
      <c r="E790" t="s">
        <v>21</v>
      </c>
      <c r="F790" s="1">
        <v>44075</v>
      </c>
      <c r="G790">
        <v>5.45</v>
      </c>
      <c r="H790">
        <v>80.546000000000006</v>
      </c>
      <c r="I790">
        <v>18.71</v>
      </c>
      <c r="J790">
        <v>69.8</v>
      </c>
      <c r="K790" t="s">
        <v>22</v>
      </c>
      <c r="L790">
        <v>2541.81</v>
      </c>
      <c r="M790">
        <f>VLOOKUP(K790,RatingLookup!$A$2:$C$8,2,FALSE)</f>
        <v>5.0000000000000001E-3</v>
      </c>
      <c r="N790">
        <f t="shared" si="36"/>
        <v>4.1762458919303302E-4</v>
      </c>
      <c r="O790">
        <f>VLOOKUP(K790,RatingLookup!$A$2:$C$8,3,FALSE)</f>
        <v>0.45</v>
      </c>
      <c r="P790">
        <f t="shared" si="37"/>
        <v>0.47768506067553451</v>
      </c>
      <c r="Q790" t="str">
        <f t="shared" ca="1" si="38"/>
        <v>No</v>
      </c>
    </row>
    <row r="791" spans="1:17" x14ac:dyDescent="0.45">
      <c r="A791" t="s">
        <v>57</v>
      </c>
      <c r="B791" t="s">
        <v>58</v>
      </c>
      <c r="C791" t="s">
        <v>43</v>
      </c>
      <c r="D791" t="s">
        <v>20</v>
      </c>
      <c r="E791" t="s">
        <v>21</v>
      </c>
      <c r="F791" s="1">
        <v>44105</v>
      </c>
      <c r="G791">
        <v>5.12</v>
      </c>
      <c r="H791">
        <v>81.775499999999994</v>
      </c>
      <c r="I791">
        <v>18.25</v>
      </c>
      <c r="J791">
        <v>73.959999999999994</v>
      </c>
      <c r="K791" t="s">
        <v>22</v>
      </c>
      <c r="L791">
        <v>2329.91</v>
      </c>
      <c r="M791">
        <f>VLOOKUP(K791,RatingLookup!$A$2:$C$8,2,FALSE)</f>
        <v>5.0000000000000001E-3</v>
      </c>
      <c r="N791">
        <f t="shared" si="36"/>
        <v>4.1762458919303302E-4</v>
      </c>
      <c r="O791">
        <f>VLOOKUP(K791,RatingLookup!$A$2:$C$8,3,FALSE)</f>
        <v>0.45</v>
      </c>
      <c r="P791">
        <f t="shared" si="37"/>
        <v>0.4378624679730328</v>
      </c>
      <c r="Q791" t="str">
        <f t="shared" ca="1" si="38"/>
        <v>No</v>
      </c>
    </row>
    <row r="792" spans="1:17" x14ac:dyDescent="0.45">
      <c r="A792" t="s">
        <v>57</v>
      </c>
      <c r="B792" t="s">
        <v>58</v>
      </c>
      <c r="C792" t="s">
        <v>43</v>
      </c>
      <c r="D792" t="s">
        <v>20</v>
      </c>
      <c r="E792" t="s">
        <v>21</v>
      </c>
      <c r="F792" s="1">
        <v>44136</v>
      </c>
      <c r="G792">
        <v>5.0999999999999996</v>
      </c>
      <c r="H792">
        <v>84.086399999999998</v>
      </c>
      <c r="I792">
        <v>24.2</v>
      </c>
      <c r="J792">
        <v>75.180000000000007</v>
      </c>
      <c r="K792" t="s">
        <v>22</v>
      </c>
      <c r="L792">
        <v>2253.06</v>
      </c>
      <c r="M792">
        <f>VLOOKUP(K792,RatingLookup!$A$2:$C$8,2,FALSE)</f>
        <v>5.0000000000000001E-3</v>
      </c>
      <c r="N792">
        <f t="shared" si="36"/>
        <v>4.1762458919303302E-4</v>
      </c>
      <c r="O792">
        <f>VLOOKUP(K792,RatingLookup!$A$2:$C$8,3,FALSE)</f>
        <v>0.45</v>
      </c>
      <c r="P792">
        <f t="shared" si="37"/>
        <v>0.42341996561726475</v>
      </c>
      <c r="Q792" t="str">
        <f t="shared" ca="1" si="38"/>
        <v>No</v>
      </c>
    </row>
    <row r="793" spans="1:17" x14ac:dyDescent="0.45">
      <c r="A793" t="s">
        <v>57</v>
      </c>
      <c r="B793" t="s">
        <v>58</v>
      </c>
      <c r="C793" t="s">
        <v>43</v>
      </c>
      <c r="D793" t="s">
        <v>20</v>
      </c>
      <c r="E793" t="s">
        <v>21</v>
      </c>
      <c r="F793" s="1">
        <v>44166</v>
      </c>
      <c r="G793">
        <v>6.58</v>
      </c>
      <c r="H793">
        <v>77.188400000000001</v>
      </c>
      <c r="I793">
        <v>18.82</v>
      </c>
      <c r="J793">
        <v>73.930000000000007</v>
      </c>
      <c r="K793" t="s">
        <v>22</v>
      </c>
      <c r="L793">
        <v>2509.66</v>
      </c>
      <c r="M793">
        <f>VLOOKUP(K793,RatingLookup!$A$2:$C$8,2,FALSE)</f>
        <v>5.0000000000000001E-3</v>
      </c>
      <c r="N793">
        <f t="shared" si="36"/>
        <v>4.1762458919303302E-4</v>
      </c>
      <c r="O793">
        <f>VLOOKUP(K793,RatingLookup!$A$2:$C$8,3,FALSE)</f>
        <v>0.45</v>
      </c>
      <c r="P793">
        <f t="shared" si="37"/>
        <v>0.4716430769313843</v>
      </c>
      <c r="Q793" t="str">
        <f t="shared" ca="1" si="38"/>
        <v>No</v>
      </c>
    </row>
    <row r="794" spans="1:17" x14ac:dyDescent="0.45">
      <c r="A794" t="s">
        <v>57</v>
      </c>
      <c r="B794" t="s">
        <v>58</v>
      </c>
      <c r="C794" t="s">
        <v>43</v>
      </c>
      <c r="D794" t="s">
        <v>20</v>
      </c>
      <c r="E794" t="s">
        <v>21</v>
      </c>
      <c r="F794" s="1">
        <v>44197</v>
      </c>
      <c r="G794">
        <v>4.9400000000000004</v>
      </c>
      <c r="H794">
        <v>81.721599999999995</v>
      </c>
      <c r="I794">
        <v>19.059999999999999</v>
      </c>
      <c r="J794">
        <v>68.64</v>
      </c>
      <c r="K794" t="s">
        <v>22</v>
      </c>
      <c r="L794">
        <v>2507.02</v>
      </c>
      <c r="M794">
        <f>VLOOKUP(K794,RatingLookup!$A$2:$C$8,2,FALSE)</f>
        <v>5.0000000000000001E-3</v>
      </c>
      <c r="N794">
        <f t="shared" si="36"/>
        <v>4.1762458919303302E-4</v>
      </c>
      <c r="O794">
        <f>VLOOKUP(K794,RatingLookup!$A$2:$C$8,3,FALSE)</f>
        <v>0.45</v>
      </c>
      <c r="P794">
        <f t="shared" si="37"/>
        <v>0.47114693891942294</v>
      </c>
      <c r="Q794" t="str">
        <f t="shared" ca="1" si="38"/>
        <v>No</v>
      </c>
    </row>
    <row r="795" spans="1:17" x14ac:dyDescent="0.45">
      <c r="A795" t="s">
        <v>57</v>
      </c>
      <c r="B795" t="s">
        <v>58</v>
      </c>
      <c r="C795" t="s">
        <v>43</v>
      </c>
      <c r="D795" t="s">
        <v>20</v>
      </c>
      <c r="E795" t="s">
        <v>21</v>
      </c>
      <c r="F795" s="1">
        <v>44228</v>
      </c>
      <c r="G795">
        <v>5.74</v>
      </c>
      <c r="H795">
        <v>78.468100000000007</v>
      </c>
      <c r="I795">
        <v>10.74</v>
      </c>
      <c r="J795">
        <v>80.180000000000007</v>
      </c>
      <c r="K795" t="s">
        <v>22</v>
      </c>
      <c r="L795">
        <v>2293.79</v>
      </c>
      <c r="M795">
        <f>VLOOKUP(K795,RatingLookup!$A$2:$C$8,2,FALSE)</f>
        <v>5.0000000000000001E-3</v>
      </c>
      <c r="N795">
        <f t="shared" si="36"/>
        <v>4.1762458919303302E-4</v>
      </c>
      <c r="O795">
        <f>VLOOKUP(K795,RatingLookup!$A$2:$C$8,3,FALSE)</f>
        <v>0.45</v>
      </c>
      <c r="P795">
        <f t="shared" si="37"/>
        <v>0.43107439790028923</v>
      </c>
      <c r="Q795" t="str">
        <f t="shared" ca="1" si="38"/>
        <v>No</v>
      </c>
    </row>
    <row r="796" spans="1:17" x14ac:dyDescent="0.45">
      <c r="A796" t="s">
        <v>57</v>
      </c>
      <c r="B796" t="s">
        <v>58</v>
      </c>
      <c r="C796" t="s">
        <v>43</v>
      </c>
      <c r="D796" t="s">
        <v>20</v>
      </c>
      <c r="E796" t="s">
        <v>21</v>
      </c>
      <c r="F796" s="1">
        <v>44256</v>
      </c>
      <c r="G796">
        <v>4.6900000000000004</v>
      </c>
      <c r="H796">
        <v>79.421599999999998</v>
      </c>
      <c r="I796">
        <v>24.6</v>
      </c>
      <c r="J796">
        <v>75.63</v>
      </c>
      <c r="K796" t="s">
        <v>22</v>
      </c>
      <c r="L796">
        <v>2515.86</v>
      </c>
      <c r="M796">
        <f>VLOOKUP(K796,RatingLookup!$A$2:$C$8,2,FALSE)</f>
        <v>5.0000000000000001E-3</v>
      </c>
      <c r="N796">
        <f t="shared" si="36"/>
        <v>4.1762458919303302E-4</v>
      </c>
      <c r="O796">
        <f>VLOOKUP(K796,RatingLookup!$A$2:$C$8,3,FALSE)</f>
        <v>0.45</v>
      </c>
      <c r="P796">
        <f t="shared" si="37"/>
        <v>0.47280824953523282</v>
      </c>
      <c r="Q796" t="str">
        <f t="shared" ca="1" si="38"/>
        <v>No</v>
      </c>
    </row>
    <row r="797" spans="1:17" x14ac:dyDescent="0.45">
      <c r="A797" t="s">
        <v>57</v>
      </c>
      <c r="B797" t="s">
        <v>58</v>
      </c>
      <c r="C797" t="s">
        <v>43</v>
      </c>
      <c r="D797" t="s">
        <v>20</v>
      </c>
      <c r="E797" t="s">
        <v>21</v>
      </c>
      <c r="F797" s="1">
        <v>44287</v>
      </c>
      <c r="G797">
        <v>5.28</v>
      </c>
      <c r="H797">
        <v>80.153599999999997</v>
      </c>
      <c r="I797">
        <v>21.23</v>
      </c>
      <c r="J797">
        <v>74.38</v>
      </c>
      <c r="K797" t="s">
        <v>22</v>
      </c>
      <c r="L797">
        <v>2505.33</v>
      </c>
      <c r="M797">
        <f>VLOOKUP(K797,RatingLookup!$A$2:$C$8,2,FALSE)</f>
        <v>5.0000000000000001E-3</v>
      </c>
      <c r="N797">
        <f t="shared" si="36"/>
        <v>4.1762458919303302E-4</v>
      </c>
      <c r="O797">
        <f>VLOOKUP(K797,RatingLookup!$A$2:$C$8,3,FALSE)</f>
        <v>0.45</v>
      </c>
      <c r="P797">
        <f t="shared" si="37"/>
        <v>0.47082933541934169</v>
      </c>
      <c r="Q797" t="str">
        <f t="shared" ca="1" si="38"/>
        <v>No</v>
      </c>
    </row>
    <row r="798" spans="1:17" x14ac:dyDescent="0.45">
      <c r="A798" t="s">
        <v>57</v>
      </c>
      <c r="B798" t="s">
        <v>58</v>
      </c>
      <c r="C798" t="s">
        <v>43</v>
      </c>
      <c r="D798" t="s">
        <v>20</v>
      </c>
      <c r="E798" t="s">
        <v>21</v>
      </c>
      <c r="F798" s="1">
        <v>44317</v>
      </c>
      <c r="G798">
        <v>5.17</v>
      </c>
      <c r="H798">
        <v>83.984499999999997</v>
      </c>
      <c r="I798">
        <v>11.83</v>
      </c>
      <c r="J798">
        <v>92.76</v>
      </c>
      <c r="K798" t="s">
        <v>22</v>
      </c>
      <c r="L798">
        <v>2581.19</v>
      </c>
      <c r="M798">
        <f>VLOOKUP(K798,RatingLookup!$A$2:$C$8,2,FALSE)</f>
        <v>5.0000000000000001E-3</v>
      </c>
      <c r="N798">
        <f t="shared" si="36"/>
        <v>4.1762458919303302E-4</v>
      </c>
      <c r="O798">
        <f>VLOOKUP(K798,RatingLookup!$A$2:$C$8,3,FALSE)</f>
        <v>0.45</v>
      </c>
      <c r="P798">
        <f t="shared" si="37"/>
        <v>0.48508578602062424</v>
      </c>
      <c r="Q798" t="str">
        <f t="shared" ca="1" si="38"/>
        <v>No</v>
      </c>
    </row>
    <row r="799" spans="1:17" x14ac:dyDescent="0.45">
      <c r="A799" t="s">
        <v>57</v>
      </c>
      <c r="B799" t="s">
        <v>58</v>
      </c>
      <c r="C799" t="s">
        <v>43</v>
      </c>
      <c r="D799" t="s">
        <v>20</v>
      </c>
      <c r="E799" t="s">
        <v>21</v>
      </c>
      <c r="F799" s="1">
        <v>44348</v>
      </c>
      <c r="G799">
        <v>4.9000000000000004</v>
      </c>
      <c r="H799">
        <v>79.476600000000005</v>
      </c>
      <c r="I799">
        <v>23.15</v>
      </c>
      <c r="J799">
        <v>92.19</v>
      </c>
      <c r="K799" t="s">
        <v>22</v>
      </c>
      <c r="L799">
        <v>2501.58</v>
      </c>
      <c r="M799">
        <f>VLOOKUP(K799,RatingLookup!$A$2:$C$8,2,FALSE)</f>
        <v>5.0000000000000001E-3</v>
      </c>
      <c r="N799">
        <f t="shared" si="36"/>
        <v>4.1762458919303302E-4</v>
      </c>
      <c r="O799">
        <f>VLOOKUP(K799,RatingLookup!$A$2:$C$8,3,FALSE)</f>
        <v>0.45</v>
      </c>
      <c r="P799">
        <f t="shared" si="37"/>
        <v>0.47012459392507838</v>
      </c>
      <c r="Q799" t="str">
        <f t="shared" ca="1" si="38"/>
        <v>No</v>
      </c>
    </row>
    <row r="800" spans="1:17" x14ac:dyDescent="0.45">
      <c r="A800" t="s">
        <v>57</v>
      </c>
      <c r="B800" t="s">
        <v>58</v>
      </c>
      <c r="C800" t="s">
        <v>43</v>
      </c>
      <c r="D800" t="s">
        <v>20</v>
      </c>
      <c r="E800" t="s">
        <v>21</v>
      </c>
      <c r="F800" s="1">
        <v>44378</v>
      </c>
      <c r="G800">
        <v>5.36</v>
      </c>
      <c r="H800">
        <v>83.216200000000001</v>
      </c>
      <c r="I800">
        <v>13.14</v>
      </c>
      <c r="J800">
        <v>87.77</v>
      </c>
      <c r="K800" t="s">
        <v>22</v>
      </c>
      <c r="L800">
        <v>2460.7800000000002</v>
      </c>
      <c r="M800">
        <f>VLOOKUP(K800,RatingLookup!$A$2:$C$8,2,FALSE)</f>
        <v>5.0000000000000001E-3</v>
      </c>
      <c r="N800">
        <f t="shared" si="36"/>
        <v>4.1762458919303302E-4</v>
      </c>
      <c r="O800">
        <f>VLOOKUP(K800,RatingLookup!$A$2:$C$8,3,FALSE)</f>
        <v>0.45</v>
      </c>
      <c r="P800">
        <f t="shared" si="37"/>
        <v>0.46245700646749432</v>
      </c>
      <c r="Q800" t="str">
        <f t="shared" ca="1" si="38"/>
        <v>No</v>
      </c>
    </row>
    <row r="801" spans="1:17" x14ac:dyDescent="0.45">
      <c r="A801" t="s">
        <v>57</v>
      </c>
      <c r="B801" t="s">
        <v>58</v>
      </c>
      <c r="C801" t="s">
        <v>43</v>
      </c>
      <c r="D801" t="s">
        <v>20</v>
      </c>
      <c r="E801" t="s">
        <v>21</v>
      </c>
      <c r="F801" s="1">
        <v>44409</v>
      </c>
      <c r="G801">
        <v>5.96</v>
      </c>
      <c r="H801">
        <v>84.192700000000002</v>
      </c>
      <c r="I801">
        <v>27.04</v>
      </c>
      <c r="J801">
        <v>70.819999999999993</v>
      </c>
      <c r="K801" t="s">
        <v>22</v>
      </c>
      <c r="L801">
        <v>2507.6799999999998</v>
      </c>
      <c r="M801">
        <f>VLOOKUP(K801,RatingLookup!$A$2:$C$8,2,FALSE)</f>
        <v>5.0000000000000001E-3</v>
      </c>
      <c r="N801">
        <f t="shared" si="36"/>
        <v>4.1762458919303302E-4</v>
      </c>
      <c r="O801">
        <f>VLOOKUP(K801,RatingLookup!$A$2:$C$8,3,FALSE)</f>
        <v>0.45</v>
      </c>
      <c r="P801">
        <f t="shared" si="37"/>
        <v>0.47127097342241325</v>
      </c>
      <c r="Q801" t="str">
        <f t="shared" ca="1" si="38"/>
        <v>No</v>
      </c>
    </row>
    <row r="802" spans="1:17" x14ac:dyDescent="0.45">
      <c r="A802" t="s">
        <v>57</v>
      </c>
      <c r="B802" t="s">
        <v>58</v>
      </c>
      <c r="C802" t="s">
        <v>43</v>
      </c>
      <c r="D802" t="s">
        <v>20</v>
      </c>
      <c r="E802" t="s">
        <v>21</v>
      </c>
      <c r="F802" s="1">
        <v>44440</v>
      </c>
      <c r="G802">
        <v>5.25</v>
      </c>
      <c r="H802">
        <v>84.008799999999994</v>
      </c>
      <c r="I802">
        <v>19.39</v>
      </c>
      <c r="J802">
        <v>103.05</v>
      </c>
      <c r="K802" t="s">
        <v>22</v>
      </c>
      <c r="L802">
        <v>2443.15</v>
      </c>
      <c r="M802">
        <f>VLOOKUP(K802,RatingLookup!$A$2:$C$8,2,FALSE)</f>
        <v>5.0000000000000001E-3</v>
      </c>
      <c r="N802">
        <f t="shared" si="36"/>
        <v>4.1762458919303302E-4</v>
      </c>
      <c r="O802">
        <f>VLOOKUP(K802,RatingLookup!$A$2:$C$8,3,FALSE)</f>
        <v>0.45</v>
      </c>
      <c r="P802">
        <f t="shared" si="37"/>
        <v>0.4591437817891314</v>
      </c>
      <c r="Q802" t="str">
        <f t="shared" ca="1" si="38"/>
        <v>No</v>
      </c>
    </row>
    <row r="803" spans="1:17" x14ac:dyDescent="0.45">
      <c r="A803" t="s">
        <v>57</v>
      </c>
      <c r="B803" t="s">
        <v>58</v>
      </c>
      <c r="C803" t="s">
        <v>43</v>
      </c>
      <c r="D803" t="s">
        <v>20</v>
      </c>
      <c r="E803" t="s">
        <v>21</v>
      </c>
      <c r="F803" s="1">
        <v>44470</v>
      </c>
      <c r="G803">
        <v>5.19</v>
      </c>
      <c r="H803">
        <v>82.026300000000006</v>
      </c>
      <c r="I803">
        <v>11.85</v>
      </c>
      <c r="J803">
        <v>71.819999999999993</v>
      </c>
      <c r="K803" t="s">
        <v>22</v>
      </c>
      <c r="L803">
        <v>2527.73</v>
      </c>
      <c r="M803">
        <f>VLOOKUP(K803,RatingLookup!$A$2:$C$8,2,FALSE)</f>
        <v>5.0000000000000001E-3</v>
      </c>
      <c r="N803">
        <f t="shared" si="36"/>
        <v>4.1762458919303302E-4</v>
      </c>
      <c r="O803">
        <f>VLOOKUP(K803,RatingLookup!$A$2:$C$8,3,FALSE)</f>
        <v>0.45</v>
      </c>
      <c r="P803">
        <f t="shared" si="37"/>
        <v>0.47503899127840743</v>
      </c>
      <c r="Q803" t="str">
        <f t="shared" ca="1" si="38"/>
        <v>No</v>
      </c>
    </row>
    <row r="804" spans="1:17" x14ac:dyDescent="0.45">
      <c r="A804" t="s">
        <v>57</v>
      </c>
      <c r="B804" t="s">
        <v>58</v>
      </c>
      <c r="C804" t="s">
        <v>43</v>
      </c>
      <c r="D804" t="s">
        <v>20</v>
      </c>
      <c r="E804" t="s">
        <v>21</v>
      </c>
      <c r="F804" s="1">
        <v>44501</v>
      </c>
      <c r="G804">
        <v>6.1</v>
      </c>
      <c r="H804">
        <v>82.206299999999999</v>
      </c>
      <c r="I804">
        <v>31.48</v>
      </c>
      <c r="J804">
        <v>59.75</v>
      </c>
      <c r="K804" t="s">
        <v>22</v>
      </c>
      <c r="L804">
        <v>2308.58</v>
      </c>
      <c r="M804">
        <f>VLOOKUP(K804,RatingLookup!$A$2:$C$8,2,FALSE)</f>
        <v>5.0000000000000001E-3</v>
      </c>
      <c r="N804">
        <f t="shared" si="36"/>
        <v>4.1762458919303302E-4</v>
      </c>
      <c r="O804">
        <f>VLOOKUP(K804,RatingLookup!$A$2:$C$8,3,FALSE)</f>
        <v>0.45</v>
      </c>
      <c r="P804">
        <f t="shared" si="37"/>
        <v>0.4338538983536635</v>
      </c>
      <c r="Q804" t="str">
        <f t="shared" ca="1" si="38"/>
        <v>No</v>
      </c>
    </row>
    <row r="805" spans="1:17" x14ac:dyDescent="0.45">
      <c r="A805" t="s">
        <v>57</v>
      </c>
      <c r="B805" t="s">
        <v>58</v>
      </c>
      <c r="C805" t="s">
        <v>43</v>
      </c>
      <c r="D805" t="s">
        <v>20</v>
      </c>
      <c r="E805" t="s">
        <v>21</v>
      </c>
      <c r="F805" s="1">
        <v>44531</v>
      </c>
      <c r="G805">
        <v>4.1100000000000003</v>
      </c>
      <c r="H805">
        <v>87.444199999999995</v>
      </c>
      <c r="I805">
        <v>12.79</v>
      </c>
      <c r="J805">
        <v>57.43</v>
      </c>
      <c r="K805" t="s">
        <v>22</v>
      </c>
      <c r="L805">
        <v>2352.6799999999998</v>
      </c>
      <c r="M805">
        <f>VLOOKUP(K805,RatingLookup!$A$2:$C$8,2,FALSE)</f>
        <v>5.0000000000000001E-3</v>
      </c>
      <c r="N805">
        <f t="shared" si="36"/>
        <v>4.1762458919303302E-4</v>
      </c>
      <c r="O805">
        <f>VLOOKUP(K805,RatingLookup!$A$2:$C$8,3,FALSE)</f>
        <v>0.45</v>
      </c>
      <c r="P805">
        <f t="shared" si="37"/>
        <v>0.44214165832619917</v>
      </c>
      <c r="Q805" t="str">
        <f t="shared" ca="1" si="38"/>
        <v>No</v>
      </c>
    </row>
    <row r="806" spans="1:17" x14ac:dyDescent="0.45">
      <c r="A806" t="s">
        <v>57</v>
      </c>
      <c r="B806" t="s">
        <v>58</v>
      </c>
      <c r="C806" t="s">
        <v>43</v>
      </c>
      <c r="D806" t="s">
        <v>20</v>
      </c>
      <c r="E806" t="s">
        <v>21</v>
      </c>
      <c r="F806" s="1">
        <v>44562</v>
      </c>
      <c r="G806">
        <v>5.52</v>
      </c>
      <c r="H806">
        <v>84.4923</v>
      </c>
      <c r="I806">
        <v>17.43</v>
      </c>
      <c r="J806">
        <v>77.650000000000006</v>
      </c>
      <c r="K806" t="s">
        <v>22</v>
      </c>
      <c r="L806">
        <v>2359.67</v>
      </c>
      <c r="M806">
        <f>VLOOKUP(K806,RatingLookup!$A$2:$C$8,2,FALSE)</f>
        <v>5.0000000000000001E-3</v>
      </c>
      <c r="N806">
        <f t="shared" si="36"/>
        <v>4.1762458919303302E-4</v>
      </c>
      <c r="O806">
        <f>VLOOKUP(K806,RatingLookup!$A$2:$C$8,3,FALSE)</f>
        <v>0.45</v>
      </c>
      <c r="P806">
        <f t="shared" si="37"/>
        <v>0.44345529647150594</v>
      </c>
      <c r="Q806" t="str">
        <f t="shared" ca="1" si="38"/>
        <v>No</v>
      </c>
    </row>
    <row r="807" spans="1:17" x14ac:dyDescent="0.45">
      <c r="A807" t="s">
        <v>57</v>
      </c>
      <c r="B807" t="s">
        <v>58</v>
      </c>
      <c r="C807" t="s">
        <v>43</v>
      </c>
      <c r="D807" t="s">
        <v>20</v>
      </c>
      <c r="E807" t="s">
        <v>21</v>
      </c>
      <c r="F807" s="1">
        <v>44593</v>
      </c>
      <c r="G807">
        <v>4.59</v>
      </c>
      <c r="H807">
        <v>82.711600000000004</v>
      </c>
      <c r="I807">
        <v>15.87</v>
      </c>
      <c r="J807">
        <v>59.41</v>
      </c>
      <c r="K807" t="s">
        <v>22</v>
      </c>
      <c r="L807">
        <v>2457.44</v>
      </c>
      <c r="M807">
        <f>VLOOKUP(K807,RatingLookup!$A$2:$C$8,2,FALSE)</f>
        <v>5.0000000000000001E-3</v>
      </c>
      <c r="N807">
        <f t="shared" si="36"/>
        <v>4.1762458919303302E-4</v>
      </c>
      <c r="O807">
        <f>VLOOKUP(K807,RatingLookup!$A$2:$C$8,3,FALSE)</f>
        <v>0.45</v>
      </c>
      <c r="P807">
        <f t="shared" si="37"/>
        <v>0.46182931670993727</v>
      </c>
      <c r="Q807" t="str">
        <f t="shared" ca="1" si="38"/>
        <v>No</v>
      </c>
    </row>
    <row r="808" spans="1:17" x14ac:dyDescent="0.45">
      <c r="A808" t="s">
        <v>57</v>
      </c>
      <c r="B808" t="s">
        <v>58</v>
      </c>
      <c r="C808" t="s">
        <v>43</v>
      </c>
      <c r="D808" t="s">
        <v>20</v>
      </c>
      <c r="E808" t="s">
        <v>21</v>
      </c>
      <c r="F808" s="1">
        <v>44621</v>
      </c>
      <c r="G808">
        <v>5.32</v>
      </c>
      <c r="H808">
        <v>86.490200000000002</v>
      </c>
      <c r="I808">
        <v>18.05</v>
      </c>
      <c r="J808">
        <v>75.73</v>
      </c>
      <c r="K808" t="s">
        <v>30</v>
      </c>
      <c r="L808">
        <v>2549.85</v>
      </c>
      <c r="M808">
        <f>VLOOKUP(K808,RatingLookup!$A$2:$C$8,2,FALSE)</f>
        <v>1.4999999999999999E-2</v>
      </c>
      <c r="N808">
        <f t="shared" si="36"/>
        <v>1.2586770182638762E-3</v>
      </c>
      <c r="O808">
        <f>VLOOKUP(K808,RatingLookup!$A$2:$C$8,3,FALSE)</f>
        <v>0.5</v>
      </c>
      <c r="P808">
        <f t="shared" si="37"/>
        <v>1.6047187975100723</v>
      </c>
      <c r="Q808" t="str">
        <f t="shared" ca="1" si="38"/>
        <v>No</v>
      </c>
    </row>
    <row r="809" spans="1:17" x14ac:dyDescent="0.45">
      <c r="A809" t="s">
        <v>57</v>
      </c>
      <c r="B809" t="s">
        <v>58</v>
      </c>
      <c r="C809" t="s">
        <v>43</v>
      </c>
      <c r="D809" t="s">
        <v>20</v>
      </c>
      <c r="E809" t="s">
        <v>21</v>
      </c>
      <c r="F809" s="1">
        <v>44652</v>
      </c>
      <c r="G809">
        <v>5.21</v>
      </c>
      <c r="H809">
        <v>81.061099999999996</v>
      </c>
      <c r="I809">
        <v>12.69</v>
      </c>
      <c r="J809">
        <v>98.7</v>
      </c>
      <c r="K809" t="s">
        <v>30</v>
      </c>
      <c r="L809">
        <v>2418.16</v>
      </c>
      <c r="M809">
        <f>VLOOKUP(K809,RatingLookup!$A$2:$C$8,2,FALSE)</f>
        <v>1.4999999999999999E-2</v>
      </c>
      <c r="N809">
        <f t="shared" si="36"/>
        <v>1.2586770182638762E-3</v>
      </c>
      <c r="O809">
        <f>VLOOKUP(K809,RatingLookup!$A$2:$C$8,3,FALSE)</f>
        <v>0.5</v>
      </c>
      <c r="P809">
        <f t="shared" si="37"/>
        <v>1.5218412092424873</v>
      </c>
      <c r="Q809" t="str">
        <f t="shared" ca="1" si="38"/>
        <v>No</v>
      </c>
    </row>
    <row r="810" spans="1:17" x14ac:dyDescent="0.45">
      <c r="A810" t="s">
        <v>57</v>
      </c>
      <c r="B810" t="s">
        <v>58</v>
      </c>
      <c r="C810" t="s">
        <v>43</v>
      </c>
      <c r="D810" t="s">
        <v>20</v>
      </c>
      <c r="E810" t="s">
        <v>21</v>
      </c>
      <c r="F810" s="1">
        <v>44682</v>
      </c>
      <c r="G810">
        <v>5.35</v>
      </c>
      <c r="H810">
        <v>82.115399999999994</v>
      </c>
      <c r="I810">
        <v>13.32</v>
      </c>
      <c r="J810">
        <v>82.61</v>
      </c>
      <c r="K810" t="s">
        <v>30</v>
      </c>
      <c r="L810">
        <v>2362.75</v>
      </c>
      <c r="M810">
        <f>VLOOKUP(K810,RatingLookup!$A$2:$C$8,2,FALSE)</f>
        <v>1.4999999999999999E-2</v>
      </c>
      <c r="N810">
        <f t="shared" si="36"/>
        <v>1.2586770182638762E-3</v>
      </c>
      <c r="O810">
        <f>VLOOKUP(K810,RatingLookup!$A$2:$C$8,3,FALSE)</f>
        <v>0.5</v>
      </c>
      <c r="P810">
        <f t="shared" si="37"/>
        <v>1.4869695624514867</v>
      </c>
      <c r="Q810" t="str">
        <f t="shared" ca="1" si="38"/>
        <v>No</v>
      </c>
    </row>
    <row r="811" spans="1:17" x14ac:dyDescent="0.45">
      <c r="A811" t="s">
        <v>57</v>
      </c>
      <c r="B811" t="s">
        <v>58</v>
      </c>
      <c r="C811" t="s">
        <v>43</v>
      </c>
      <c r="D811" t="s">
        <v>20</v>
      </c>
      <c r="E811" t="s">
        <v>21</v>
      </c>
      <c r="F811" s="1">
        <v>44713</v>
      </c>
      <c r="G811">
        <v>6.11</v>
      </c>
      <c r="H811">
        <v>80.936000000000007</v>
      </c>
      <c r="I811">
        <v>20.63</v>
      </c>
      <c r="J811">
        <v>77.44</v>
      </c>
      <c r="K811" t="s">
        <v>30</v>
      </c>
      <c r="L811">
        <v>2644.73</v>
      </c>
      <c r="M811">
        <f>VLOOKUP(K811,RatingLookup!$A$2:$C$8,2,FALSE)</f>
        <v>1.4999999999999999E-2</v>
      </c>
      <c r="N811">
        <f t="shared" si="36"/>
        <v>1.2586770182638762E-3</v>
      </c>
      <c r="O811">
        <f>VLOOKUP(K811,RatingLookup!$A$2:$C$8,3,FALSE)</f>
        <v>0.5</v>
      </c>
      <c r="P811">
        <f t="shared" si="37"/>
        <v>1.6644304352565107</v>
      </c>
      <c r="Q811" t="str">
        <f t="shared" ca="1" si="38"/>
        <v>No</v>
      </c>
    </row>
    <row r="812" spans="1:17" x14ac:dyDescent="0.45">
      <c r="A812" t="s">
        <v>57</v>
      </c>
      <c r="B812" t="s">
        <v>58</v>
      </c>
      <c r="C812" t="s">
        <v>43</v>
      </c>
      <c r="D812" t="s">
        <v>20</v>
      </c>
      <c r="E812" t="s">
        <v>21</v>
      </c>
      <c r="F812" s="1">
        <v>44743</v>
      </c>
      <c r="G812">
        <v>5.57</v>
      </c>
      <c r="H812">
        <v>82.173100000000005</v>
      </c>
      <c r="I812">
        <v>18.37</v>
      </c>
      <c r="J812">
        <v>70.290000000000006</v>
      </c>
      <c r="K812" t="s">
        <v>30</v>
      </c>
      <c r="L812">
        <v>2516.41</v>
      </c>
      <c r="M812">
        <f>VLOOKUP(K812,RatingLookup!$A$2:$C$8,2,FALSE)</f>
        <v>1.4999999999999999E-2</v>
      </c>
      <c r="N812">
        <f t="shared" si="36"/>
        <v>1.2586770182638762E-3</v>
      </c>
      <c r="O812">
        <f>VLOOKUP(K812,RatingLookup!$A$2:$C$8,3,FALSE)</f>
        <v>0.5</v>
      </c>
      <c r="P812">
        <f t="shared" si="37"/>
        <v>1.5836737177647002</v>
      </c>
      <c r="Q812" t="str">
        <f t="shared" ca="1" si="38"/>
        <v>No</v>
      </c>
    </row>
    <row r="813" spans="1:17" x14ac:dyDescent="0.45">
      <c r="A813" t="s">
        <v>57</v>
      </c>
      <c r="B813" t="s">
        <v>58</v>
      </c>
      <c r="C813" t="s">
        <v>43</v>
      </c>
      <c r="D813" t="s">
        <v>20</v>
      </c>
      <c r="E813" t="s">
        <v>21</v>
      </c>
      <c r="F813" s="1">
        <v>44774</v>
      </c>
      <c r="G813">
        <v>5.09</v>
      </c>
      <c r="H813">
        <v>86.578900000000004</v>
      </c>
      <c r="I813">
        <v>19.600000000000001</v>
      </c>
      <c r="J813">
        <v>86.71</v>
      </c>
      <c r="K813" t="s">
        <v>30</v>
      </c>
      <c r="L813">
        <v>2546.65</v>
      </c>
      <c r="M813">
        <f>VLOOKUP(K813,RatingLookup!$A$2:$C$8,2,FALSE)</f>
        <v>1.4999999999999999E-2</v>
      </c>
      <c r="N813">
        <f t="shared" si="36"/>
        <v>1.2586770182638762E-3</v>
      </c>
      <c r="O813">
        <f>VLOOKUP(K813,RatingLookup!$A$2:$C$8,3,FALSE)</f>
        <v>0.5</v>
      </c>
      <c r="P813">
        <f t="shared" si="37"/>
        <v>1.6027049142808503</v>
      </c>
      <c r="Q813" t="str">
        <f t="shared" ca="1" si="38"/>
        <v>No</v>
      </c>
    </row>
    <row r="814" spans="1:17" x14ac:dyDescent="0.45">
      <c r="A814" t="s">
        <v>57</v>
      </c>
      <c r="B814" t="s">
        <v>58</v>
      </c>
      <c r="C814" t="s">
        <v>43</v>
      </c>
      <c r="D814" t="s">
        <v>20</v>
      </c>
      <c r="E814" t="s">
        <v>21</v>
      </c>
      <c r="F814" s="1">
        <v>44805</v>
      </c>
      <c r="G814">
        <v>5.15</v>
      </c>
      <c r="H814">
        <v>82.867500000000007</v>
      </c>
      <c r="I814">
        <v>27.36</v>
      </c>
      <c r="J814">
        <v>92.49</v>
      </c>
      <c r="K814" t="s">
        <v>30</v>
      </c>
      <c r="L814">
        <v>2459.19</v>
      </c>
      <c r="M814">
        <f>VLOOKUP(K814,RatingLookup!$A$2:$C$8,2,FALSE)</f>
        <v>1.4999999999999999E-2</v>
      </c>
      <c r="N814">
        <f t="shared" si="36"/>
        <v>1.2586770182638762E-3</v>
      </c>
      <c r="O814">
        <f>VLOOKUP(K814,RatingLookup!$A$2:$C$8,3,FALSE)</f>
        <v>0.5</v>
      </c>
      <c r="P814">
        <f t="shared" si="37"/>
        <v>1.547662968272171</v>
      </c>
      <c r="Q814" t="str">
        <f t="shared" ca="1" si="38"/>
        <v>No</v>
      </c>
    </row>
    <row r="815" spans="1:17" x14ac:dyDescent="0.45">
      <c r="A815" t="s">
        <v>57</v>
      </c>
      <c r="B815" t="s">
        <v>58</v>
      </c>
      <c r="C815" t="s">
        <v>43</v>
      </c>
      <c r="D815" t="s">
        <v>20</v>
      </c>
      <c r="E815" t="s">
        <v>21</v>
      </c>
      <c r="F815" s="1">
        <v>44835</v>
      </c>
      <c r="G815">
        <v>6.09</v>
      </c>
      <c r="H815">
        <v>79.628</v>
      </c>
      <c r="I815">
        <v>23</v>
      </c>
      <c r="J815">
        <v>86.59</v>
      </c>
      <c r="K815" t="s">
        <v>30</v>
      </c>
      <c r="L815">
        <v>2392.06</v>
      </c>
      <c r="M815">
        <f>VLOOKUP(K815,RatingLookup!$A$2:$C$8,2,FALSE)</f>
        <v>1.4999999999999999E-2</v>
      </c>
      <c r="N815">
        <f t="shared" si="36"/>
        <v>1.2586770182638762E-3</v>
      </c>
      <c r="O815">
        <f>VLOOKUP(K815,RatingLookup!$A$2:$C$8,3,FALSE)</f>
        <v>0.5</v>
      </c>
      <c r="P815">
        <f t="shared" si="37"/>
        <v>1.5054154741541439</v>
      </c>
      <c r="Q815" t="str">
        <f t="shared" ca="1" si="38"/>
        <v>No</v>
      </c>
    </row>
    <row r="816" spans="1:17" x14ac:dyDescent="0.45">
      <c r="A816" t="s">
        <v>57</v>
      </c>
      <c r="B816" t="s">
        <v>58</v>
      </c>
      <c r="C816" t="s">
        <v>43</v>
      </c>
      <c r="D816" t="s">
        <v>20</v>
      </c>
      <c r="E816" t="s">
        <v>21</v>
      </c>
      <c r="F816" s="1">
        <v>44866</v>
      </c>
      <c r="G816">
        <v>6.19</v>
      </c>
      <c r="H816">
        <v>80.426299999999998</v>
      </c>
      <c r="I816">
        <v>24.69</v>
      </c>
      <c r="J816">
        <v>69.430000000000007</v>
      </c>
      <c r="K816" t="s">
        <v>30</v>
      </c>
      <c r="L816">
        <v>2132.33</v>
      </c>
      <c r="M816">
        <f>VLOOKUP(K816,RatingLookup!$A$2:$C$8,2,FALSE)</f>
        <v>1.4999999999999999E-2</v>
      </c>
      <c r="N816">
        <f t="shared" si="36"/>
        <v>1.2586770182638762E-3</v>
      </c>
      <c r="O816">
        <f>VLOOKUP(K816,RatingLookup!$A$2:$C$8,3,FALSE)</f>
        <v>0.5</v>
      </c>
      <c r="P816">
        <f t="shared" si="37"/>
        <v>1.3419573831773055</v>
      </c>
      <c r="Q816" t="str">
        <f t="shared" ca="1" si="38"/>
        <v>No</v>
      </c>
    </row>
    <row r="817" spans="1:17" x14ac:dyDescent="0.45">
      <c r="A817" t="s">
        <v>57</v>
      </c>
      <c r="B817" t="s">
        <v>58</v>
      </c>
      <c r="C817" t="s">
        <v>43</v>
      </c>
      <c r="D817" t="s">
        <v>20</v>
      </c>
      <c r="E817" t="s">
        <v>21</v>
      </c>
      <c r="F817" s="1">
        <v>44896</v>
      </c>
      <c r="G817">
        <v>5.49</v>
      </c>
      <c r="H817">
        <v>83.643100000000004</v>
      </c>
      <c r="I817">
        <v>15.45</v>
      </c>
      <c r="J817">
        <v>83.36</v>
      </c>
      <c r="K817" t="s">
        <v>30</v>
      </c>
      <c r="L817">
        <v>2434.9899999999998</v>
      </c>
      <c r="M817">
        <f>VLOOKUP(K817,RatingLookup!$A$2:$C$8,2,FALSE)</f>
        <v>1.4999999999999999E-2</v>
      </c>
      <c r="N817">
        <f t="shared" si="36"/>
        <v>1.2586770182638762E-3</v>
      </c>
      <c r="O817">
        <f>VLOOKUP(K817,RatingLookup!$A$2:$C$8,3,FALSE)</f>
        <v>0.5</v>
      </c>
      <c r="P817">
        <f t="shared" si="37"/>
        <v>1.5324329763511779</v>
      </c>
      <c r="Q817" t="str">
        <f t="shared" ca="1" si="38"/>
        <v>No</v>
      </c>
    </row>
    <row r="818" spans="1:17" x14ac:dyDescent="0.45">
      <c r="A818" t="s">
        <v>57</v>
      </c>
      <c r="B818" t="s">
        <v>58</v>
      </c>
      <c r="C818" t="s">
        <v>43</v>
      </c>
      <c r="D818" t="s">
        <v>20</v>
      </c>
      <c r="E818" t="s">
        <v>21</v>
      </c>
      <c r="F818" s="1">
        <v>44927</v>
      </c>
      <c r="G818">
        <v>5.18</v>
      </c>
      <c r="H818">
        <v>85.5381</v>
      </c>
      <c r="I818">
        <v>15.17</v>
      </c>
      <c r="J818">
        <v>99.18</v>
      </c>
      <c r="K818" t="s">
        <v>30</v>
      </c>
      <c r="L818">
        <v>2276.85</v>
      </c>
      <c r="M818">
        <f>VLOOKUP(K818,RatingLookup!$A$2:$C$8,2,FALSE)</f>
        <v>1.4999999999999999E-2</v>
      </c>
      <c r="N818">
        <f t="shared" si="36"/>
        <v>1.2586770182638762E-3</v>
      </c>
      <c r="O818">
        <f>VLOOKUP(K818,RatingLookup!$A$2:$C$8,3,FALSE)</f>
        <v>0.5</v>
      </c>
      <c r="P818">
        <f t="shared" si="37"/>
        <v>1.4329093845170533</v>
      </c>
      <c r="Q818" t="str">
        <f t="shared" ca="1" si="38"/>
        <v>No</v>
      </c>
    </row>
    <row r="819" spans="1:17" x14ac:dyDescent="0.45">
      <c r="A819" t="s">
        <v>57</v>
      </c>
      <c r="B819" t="s">
        <v>58</v>
      </c>
      <c r="C819" t="s">
        <v>43</v>
      </c>
      <c r="D819" t="s">
        <v>20</v>
      </c>
      <c r="E819" t="s">
        <v>21</v>
      </c>
      <c r="F819" s="1">
        <v>44958</v>
      </c>
      <c r="G819">
        <v>4.93</v>
      </c>
      <c r="H819">
        <v>82.351600000000005</v>
      </c>
      <c r="I819">
        <v>6.84</v>
      </c>
      <c r="J819">
        <v>52.99</v>
      </c>
      <c r="K819" t="s">
        <v>30</v>
      </c>
      <c r="L819">
        <v>2242.25</v>
      </c>
      <c r="M819">
        <f>VLOOKUP(K819,RatingLookup!$A$2:$C$8,2,FALSE)</f>
        <v>1.4999999999999999E-2</v>
      </c>
      <c r="N819">
        <f t="shared" si="36"/>
        <v>1.2586770182638762E-3</v>
      </c>
      <c r="O819">
        <f>VLOOKUP(K819,RatingLookup!$A$2:$C$8,3,FALSE)</f>
        <v>0.5</v>
      </c>
      <c r="P819">
        <f t="shared" si="37"/>
        <v>1.4111342721010882</v>
      </c>
      <c r="Q819" t="str">
        <f t="shared" ca="1" si="38"/>
        <v>No</v>
      </c>
    </row>
    <row r="820" spans="1:17" x14ac:dyDescent="0.45">
      <c r="A820" t="s">
        <v>57</v>
      </c>
      <c r="B820" t="s">
        <v>58</v>
      </c>
      <c r="C820" t="s">
        <v>43</v>
      </c>
      <c r="D820" t="s">
        <v>20</v>
      </c>
      <c r="E820" t="s">
        <v>21</v>
      </c>
      <c r="F820" s="1">
        <v>44986</v>
      </c>
      <c r="G820">
        <v>5.7</v>
      </c>
      <c r="H820">
        <v>82.267499999999998</v>
      </c>
      <c r="I820">
        <v>20.56</v>
      </c>
      <c r="J820">
        <v>74.3</v>
      </c>
      <c r="K820" t="s">
        <v>30</v>
      </c>
      <c r="L820">
        <v>2568.73</v>
      </c>
      <c r="M820">
        <f>VLOOKUP(K820,RatingLookup!$A$2:$C$8,2,FALSE)</f>
        <v>1.4999999999999999E-2</v>
      </c>
      <c r="N820">
        <f t="shared" si="36"/>
        <v>1.2586770182638762E-3</v>
      </c>
      <c r="O820">
        <f>VLOOKUP(K820,RatingLookup!$A$2:$C$8,3,FALSE)</f>
        <v>0.5</v>
      </c>
      <c r="P820">
        <f t="shared" si="37"/>
        <v>1.6166007085624834</v>
      </c>
      <c r="Q820" t="str">
        <f t="shared" ca="1" si="38"/>
        <v>No</v>
      </c>
    </row>
    <row r="821" spans="1:17" x14ac:dyDescent="0.45">
      <c r="A821" t="s">
        <v>57</v>
      </c>
      <c r="B821" t="s">
        <v>58</v>
      </c>
      <c r="C821" t="s">
        <v>43</v>
      </c>
      <c r="D821" t="s">
        <v>20</v>
      </c>
      <c r="E821" t="s">
        <v>21</v>
      </c>
      <c r="F821" s="1">
        <v>45017</v>
      </c>
      <c r="G821">
        <v>5.86</v>
      </c>
      <c r="H821">
        <v>82.303399999999996</v>
      </c>
      <c r="I821">
        <v>9.65</v>
      </c>
      <c r="J821">
        <v>87.94</v>
      </c>
      <c r="K821" t="s">
        <v>30</v>
      </c>
      <c r="L821">
        <v>2372.0300000000002</v>
      </c>
      <c r="M821">
        <f>VLOOKUP(K821,RatingLookup!$A$2:$C$8,2,FALSE)</f>
        <v>1.4999999999999999E-2</v>
      </c>
      <c r="N821">
        <f t="shared" si="36"/>
        <v>1.2586770182638762E-3</v>
      </c>
      <c r="O821">
        <f>VLOOKUP(K821,RatingLookup!$A$2:$C$8,3,FALSE)</f>
        <v>0.5</v>
      </c>
      <c r="P821">
        <f t="shared" si="37"/>
        <v>1.4928098238162313</v>
      </c>
      <c r="Q821" t="str">
        <f t="shared" ca="1" si="38"/>
        <v>No</v>
      </c>
    </row>
    <row r="822" spans="1:17" x14ac:dyDescent="0.45">
      <c r="A822" t="s">
        <v>57</v>
      </c>
      <c r="B822" t="s">
        <v>58</v>
      </c>
      <c r="C822" t="s">
        <v>43</v>
      </c>
      <c r="D822" t="s">
        <v>20</v>
      </c>
      <c r="E822" t="s">
        <v>21</v>
      </c>
      <c r="F822" s="1">
        <v>45047</v>
      </c>
      <c r="G822">
        <v>5.45</v>
      </c>
      <c r="H822">
        <v>78.107500000000002</v>
      </c>
      <c r="I822">
        <v>28.04</v>
      </c>
      <c r="J822">
        <v>75.37</v>
      </c>
      <c r="K822" t="s">
        <v>30</v>
      </c>
      <c r="L822">
        <v>2565.6999999999998</v>
      </c>
      <c r="M822">
        <f>VLOOKUP(K822,RatingLookup!$A$2:$C$8,2,FALSE)</f>
        <v>1.4999999999999999E-2</v>
      </c>
      <c r="N822">
        <f t="shared" si="36"/>
        <v>1.2586770182638762E-3</v>
      </c>
      <c r="O822">
        <f>VLOOKUP(K822,RatingLookup!$A$2:$C$8,3,FALSE)</f>
        <v>0.5</v>
      </c>
      <c r="P822">
        <f t="shared" si="37"/>
        <v>1.6146938128798136</v>
      </c>
      <c r="Q822" t="str">
        <f t="shared" ca="1" si="38"/>
        <v>No</v>
      </c>
    </row>
    <row r="823" spans="1:17" x14ac:dyDescent="0.45">
      <c r="A823" t="s">
        <v>57</v>
      </c>
      <c r="B823" t="s">
        <v>58</v>
      </c>
      <c r="C823" t="s">
        <v>43</v>
      </c>
      <c r="D823" t="s">
        <v>20</v>
      </c>
      <c r="E823" t="s">
        <v>21</v>
      </c>
      <c r="F823" s="1">
        <v>45078</v>
      </c>
      <c r="G823">
        <v>5.43</v>
      </c>
      <c r="H823">
        <v>82.141400000000004</v>
      </c>
      <c r="I823">
        <v>19.98</v>
      </c>
      <c r="J823">
        <v>79.37</v>
      </c>
      <c r="K823" t="s">
        <v>30</v>
      </c>
      <c r="L823">
        <v>2456.08</v>
      </c>
      <c r="M823">
        <f>VLOOKUP(K823,RatingLookup!$A$2:$C$8,2,FALSE)</f>
        <v>1.4999999999999999E-2</v>
      </c>
      <c r="N823">
        <f t="shared" si="36"/>
        <v>1.2586770182638762E-3</v>
      </c>
      <c r="O823">
        <f>VLOOKUP(K823,RatingLookup!$A$2:$C$8,3,FALSE)</f>
        <v>0.5</v>
      </c>
      <c r="P823">
        <f t="shared" si="37"/>
        <v>1.5457057255087705</v>
      </c>
      <c r="Q823" t="str">
        <f t="shared" ca="1" si="38"/>
        <v>No</v>
      </c>
    </row>
    <row r="824" spans="1:17" x14ac:dyDescent="0.45">
      <c r="A824" t="s">
        <v>57</v>
      </c>
      <c r="B824" t="s">
        <v>58</v>
      </c>
      <c r="C824" t="s">
        <v>43</v>
      </c>
      <c r="D824" t="s">
        <v>20</v>
      </c>
      <c r="E824" t="s">
        <v>21</v>
      </c>
      <c r="F824" s="1">
        <v>45108</v>
      </c>
      <c r="G824">
        <v>5.8</v>
      </c>
      <c r="H824">
        <v>82.948400000000007</v>
      </c>
      <c r="I824">
        <v>22.57</v>
      </c>
      <c r="J824">
        <v>74.959999999999994</v>
      </c>
      <c r="K824" t="s">
        <v>30</v>
      </c>
      <c r="L824">
        <v>2785.91</v>
      </c>
      <c r="M824">
        <f>VLOOKUP(K824,RatingLookup!$A$2:$C$8,2,FALSE)</f>
        <v>1.4999999999999999E-2</v>
      </c>
      <c r="N824">
        <f t="shared" si="36"/>
        <v>1.2586770182638762E-3</v>
      </c>
      <c r="O824">
        <f>VLOOKUP(K824,RatingLookup!$A$2:$C$8,3,FALSE)</f>
        <v>0.5</v>
      </c>
      <c r="P824">
        <f t="shared" si="37"/>
        <v>1.7532804459757576</v>
      </c>
      <c r="Q824" t="str">
        <f t="shared" ca="1" si="38"/>
        <v>No</v>
      </c>
    </row>
    <row r="825" spans="1:17" x14ac:dyDescent="0.45">
      <c r="A825" t="s">
        <v>57</v>
      </c>
      <c r="B825" t="s">
        <v>58</v>
      </c>
      <c r="C825" t="s">
        <v>43</v>
      </c>
      <c r="D825" t="s">
        <v>20</v>
      </c>
      <c r="E825" t="s">
        <v>21</v>
      </c>
      <c r="F825" s="1">
        <v>45139</v>
      </c>
      <c r="G825">
        <v>6.39</v>
      </c>
      <c r="H825">
        <v>84.375</v>
      </c>
      <c r="I825">
        <v>16.84</v>
      </c>
      <c r="J825">
        <v>69.510000000000005</v>
      </c>
      <c r="K825" t="s">
        <v>30</v>
      </c>
      <c r="L825">
        <v>2451.34</v>
      </c>
      <c r="M825">
        <f>VLOOKUP(K825,RatingLookup!$A$2:$C$8,2,FALSE)</f>
        <v>1.4999999999999999E-2</v>
      </c>
      <c r="N825">
        <f t="shared" si="36"/>
        <v>1.2586770182638762E-3</v>
      </c>
      <c r="O825">
        <f>VLOOKUP(K825,RatingLookup!$A$2:$C$8,3,FALSE)</f>
        <v>0.5</v>
      </c>
      <c r="P825">
        <f t="shared" si="37"/>
        <v>1.5427226609754854</v>
      </c>
      <c r="Q825" t="str">
        <f t="shared" ca="1" si="38"/>
        <v>No</v>
      </c>
    </row>
    <row r="826" spans="1:17" x14ac:dyDescent="0.45">
      <c r="A826" t="s">
        <v>57</v>
      </c>
      <c r="B826" t="s">
        <v>58</v>
      </c>
      <c r="C826" t="s">
        <v>43</v>
      </c>
      <c r="D826" t="s">
        <v>20</v>
      </c>
      <c r="E826" t="s">
        <v>21</v>
      </c>
      <c r="F826" s="1">
        <v>45170</v>
      </c>
      <c r="G826">
        <v>6.47</v>
      </c>
      <c r="H826">
        <v>84.945099999999996</v>
      </c>
      <c r="I826">
        <v>35.46</v>
      </c>
      <c r="J826">
        <v>63.86</v>
      </c>
      <c r="K826" t="s">
        <v>30</v>
      </c>
      <c r="L826">
        <v>2437.19</v>
      </c>
      <c r="M826">
        <f>VLOOKUP(K826,RatingLookup!$A$2:$C$8,2,FALSE)</f>
        <v>1.4999999999999999E-2</v>
      </c>
      <c r="N826">
        <f t="shared" si="36"/>
        <v>1.2586770182638762E-3</v>
      </c>
      <c r="O826">
        <f>VLOOKUP(K826,RatingLookup!$A$2:$C$8,3,FALSE)</f>
        <v>0.5</v>
      </c>
      <c r="P826">
        <f t="shared" si="37"/>
        <v>1.5338175210712683</v>
      </c>
      <c r="Q826" t="str">
        <f t="shared" ca="1" si="38"/>
        <v>No</v>
      </c>
    </row>
    <row r="827" spans="1:17" x14ac:dyDescent="0.45">
      <c r="A827" t="s">
        <v>57</v>
      </c>
      <c r="B827" t="s">
        <v>58</v>
      </c>
      <c r="C827" t="s">
        <v>43</v>
      </c>
      <c r="D827" t="s">
        <v>20</v>
      </c>
      <c r="E827" t="s">
        <v>21</v>
      </c>
      <c r="F827" s="1">
        <v>45200</v>
      </c>
      <c r="G827">
        <v>4.93</v>
      </c>
      <c r="H827">
        <v>83.373800000000003</v>
      </c>
      <c r="I827">
        <v>22.7</v>
      </c>
      <c r="J827">
        <v>64.95</v>
      </c>
      <c r="K827" t="s">
        <v>30</v>
      </c>
      <c r="L827">
        <v>2426.59</v>
      </c>
      <c r="M827">
        <f>VLOOKUP(K827,RatingLookup!$A$2:$C$8,2,FALSE)</f>
        <v>1.4999999999999999E-2</v>
      </c>
      <c r="N827">
        <f t="shared" si="36"/>
        <v>1.2586770182638762E-3</v>
      </c>
      <c r="O827">
        <f>VLOOKUP(K827,RatingLookup!$A$2:$C$8,3,FALSE)</f>
        <v>0.5</v>
      </c>
      <c r="P827">
        <f t="shared" si="37"/>
        <v>1.5271465328744698</v>
      </c>
      <c r="Q827" t="str">
        <f t="shared" ca="1" si="38"/>
        <v>No</v>
      </c>
    </row>
    <row r="828" spans="1:17" x14ac:dyDescent="0.45">
      <c r="A828" t="s">
        <v>57</v>
      </c>
      <c r="B828" t="s">
        <v>58</v>
      </c>
      <c r="C828" t="s">
        <v>43</v>
      </c>
      <c r="D828" t="s">
        <v>20</v>
      </c>
      <c r="E828" t="s">
        <v>21</v>
      </c>
      <c r="F828" s="1">
        <v>45231</v>
      </c>
      <c r="G828">
        <v>5.0999999999999996</v>
      </c>
      <c r="H828">
        <v>85.625399999999999</v>
      </c>
      <c r="I828">
        <v>16.78</v>
      </c>
      <c r="J828">
        <v>92</v>
      </c>
      <c r="K828" t="s">
        <v>30</v>
      </c>
      <c r="L828">
        <v>2657.31</v>
      </c>
      <c r="M828">
        <f>VLOOKUP(K828,RatingLookup!$A$2:$C$8,2,FALSE)</f>
        <v>1.4999999999999999E-2</v>
      </c>
      <c r="N828">
        <f t="shared" si="36"/>
        <v>1.2586770182638762E-3</v>
      </c>
      <c r="O828">
        <f>VLOOKUP(K828,RatingLookup!$A$2:$C$8,3,FALSE)</f>
        <v>0.5</v>
      </c>
      <c r="P828">
        <f t="shared" si="37"/>
        <v>1.6723475137013903</v>
      </c>
      <c r="Q828" t="str">
        <f t="shared" ca="1" si="38"/>
        <v>No</v>
      </c>
    </row>
    <row r="829" spans="1:17" x14ac:dyDescent="0.45">
      <c r="A829" t="s">
        <v>57</v>
      </c>
      <c r="B829" t="s">
        <v>58</v>
      </c>
      <c r="C829" t="s">
        <v>43</v>
      </c>
      <c r="D829" t="s">
        <v>20</v>
      </c>
      <c r="E829" t="s">
        <v>21</v>
      </c>
      <c r="F829" s="1">
        <v>45261</v>
      </c>
      <c r="G829">
        <v>5</v>
      </c>
      <c r="H829">
        <v>77.970100000000002</v>
      </c>
      <c r="I829">
        <v>7.52</v>
      </c>
      <c r="J829">
        <v>71.61</v>
      </c>
      <c r="K829" t="s">
        <v>30</v>
      </c>
      <c r="L829">
        <v>2758.93</v>
      </c>
      <c r="M829">
        <f>VLOOKUP(K829,RatingLookup!$A$2:$C$8,2,FALSE)</f>
        <v>1.4999999999999999E-2</v>
      </c>
      <c r="N829">
        <f t="shared" si="36"/>
        <v>1.2586770182638762E-3</v>
      </c>
      <c r="O829">
        <f>VLOOKUP(K829,RatingLookup!$A$2:$C$8,3,FALSE)</f>
        <v>0.5</v>
      </c>
      <c r="P829">
        <f t="shared" si="37"/>
        <v>1.736300892999378</v>
      </c>
      <c r="Q829" t="str">
        <f t="shared" ca="1" si="38"/>
        <v>No</v>
      </c>
    </row>
    <row r="830" spans="1:17" x14ac:dyDescent="0.45">
      <c r="A830" t="s">
        <v>57</v>
      </c>
      <c r="B830" t="s">
        <v>58</v>
      </c>
      <c r="C830" t="s">
        <v>43</v>
      </c>
      <c r="D830" t="s">
        <v>20</v>
      </c>
      <c r="E830" t="s">
        <v>21</v>
      </c>
      <c r="F830" s="1">
        <v>45292</v>
      </c>
      <c r="G830">
        <v>5.54</v>
      </c>
      <c r="H830">
        <v>85.547499999999999</v>
      </c>
      <c r="I830">
        <v>20.64</v>
      </c>
      <c r="J830">
        <v>82.35</v>
      </c>
      <c r="K830" t="s">
        <v>30</v>
      </c>
      <c r="L830">
        <v>2277.5</v>
      </c>
      <c r="M830">
        <f>VLOOKUP(K830,RatingLookup!$A$2:$C$8,2,FALSE)</f>
        <v>1.4999999999999999E-2</v>
      </c>
      <c r="N830">
        <f t="shared" si="36"/>
        <v>1.2586770182638762E-3</v>
      </c>
      <c r="O830">
        <f>VLOOKUP(K830,RatingLookup!$A$2:$C$8,3,FALSE)</f>
        <v>0.5</v>
      </c>
      <c r="P830">
        <f t="shared" si="37"/>
        <v>1.4333184545479891</v>
      </c>
      <c r="Q830" t="str">
        <f t="shared" ca="1" si="38"/>
        <v>No</v>
      </c>
    </row>
    <row r="831" spans="1:17" x14ac:dyDescent="0.45">
      <c r="A831" t="s">
        <v>57</v>
      </c>
      <c r="B831" t="s">
        <v>58</v>
      </c>
      <c r="C831" t="s">
        <v>43</v>
      </c>
      <c r="D831" t="s">
        <v>20</v>
      </c>
      <c r="E831" t="s">
        <v>21</v>
      </c>
      <c r="F831" s="1">
        <v>45323</v>
      </c>
      <c r="G831">
        <v>5.91</v>
      </c>
      <c r="H831">
        <v>83.438000000000002</v>
      </c>
      <c r="I831">
        <v>15.63</v>
      </c>
      <c r="J831">
        <v>88.84</v>
      </c>
      <c r="K831" t="s">
        <v>30</v>
      </c>
      <c r="L831">
        <v>2542.29</v>
      </c>
      <c r="M831">
        <f>VLOOKUP(K831,RatingLookup!$A$2:$C$8,2,FALSE)</f>
        <v>1.4999999999999999E-2</v>
      </c>
      <c r="N831">
        <f t="shared" si="36"/>
        <v>1.2586770182638762E-3</v>
      </c>
      <c r="O831">
        <f>VLOOKUP(K831,RatingLookup!$A$2:$C$8,3,FALSE)</f>
        <v>0.5</v>
      </c>
      <c r="P831">
        <f t="shared" si="37"/>
        <v>1.599960998381035</v>
      </c>
      <c r="Q831" t="str">
        <f t="shared" ca="1" si="38"/>
        <v>No</v>
      </c>
    </row>
    <row r="832" spans="1:17" x14ac:dyDescent="0.45">
      <c r="A832" t="s">
        <v>57</v>
      </c>
      <c r="B832" t="s">
        <v>58</v>
      </c>
      <c r="C832" t="s">
        <v>43</v>
      </c>
      <c r="D832" t="s">
        <v>20</v>
      </c>
      <c r="E832" t="s">
        <v>21</v>
      </c>
      <c r="F832" s="1">
        <v>45352</v>
      </c>
      <c r="G832">
        <v>4.6399999999999997</v>
      </c>
      <c r="H832">
        <v>85.252300000000005</v>
      </c>
      <c r="I832">
        <v>27.92</v>
      </c>
      <c r="J832">
        <v>68.94</v>
      </c>
      <c r="K832" t="s">
        <v>30</v>
      </c>
      <c r="L832">
        <v>2505.3200000000002</v>
      </c>
      <c r="M832">
        <f>VLOOKUP(K832,RatingLookup!$A$2:$C$8,2,FALSE)</f>
        <v>1.4999999999999999E-2</v>
      </c>
      <c r="N832">
        <f t="shared" si="36"/>
        <v>1.2586770182638762E-3</v>
      </c>
      <c r="O832">
        <f>VLOOKUP(K832,RatingLookup!$A$2:$C$8,3,FALSE)</f>
        <v>0.5</v>
      </c>
      <c r="P832">
        <f t="shared" si="37"/>
        <v>1.5766943536984273</v>
      </c>
      <c r="Q832" t="str">
        <f t="shared" ca="1" si="38"/>
        <v>No</v>
      </c>
    </row>
    <row r="833" spans="1:17" x14ac:dyDescent="0.45">
      <c r="A833" t="s">
        <v>57</v>
      </c>
      <c r="B833" t="s">
        <v>58</v>
      </c>
      <c r="C833" t="s">
        <v>43</v>
      </c>
      <c r="D833" t="s">
        <v>20</v>
      </c>
      <c r="E833" t="s">
        <v>21</v>
      </c>
      <c r="F833" s="1">
        <v>45383</v>
      </c>
      <c r="G833">
        <v>5.37</v>
      </c>
      <c r="H833">
        <v>80.283199999999994</v>
      </c>
      <c r="I833">
        <v>17.18</v>
      </c>
      <c r="J833">
        <v>95.13</v>
      </c>
      <c r="K833" t="s">
        <v>30</v>
      </c>
      <c r="L833">
        <v>2483.83</v>
      </c>
      <c r="M833">
        <f>VLOOKUP(K833,RatingLookup!$A$2:$C$8,2,FALSE)</f>
        <v>1.4999999999999999E-2</v>
      </c>
      <c r="N833">
        <f t="shared" si="36"/>
        <v>1.2586770182638762E-3</v>
      </c>
      <c r="O833">
        <f>VLOOKUP(K833,RatingLookup!$A$2:$C$8,3,FALSE)</f>
        <v>0.5</v>
      </c>
      <c r="P833">
        <f t="shared" si="37"/>
        <v>1.5631698691371818</v>
      </c>
      <c r="Q833" t="str">
        <f t="shared" ca="1" si="38"/>
        <v>No</v>
      </c>
    </row>
    <row r="834" spans="1:17" x14ac:dyDescent="0.45">
      <c r="A834" t="s">
        <v>57</v>
      </c>
      <c r="B834" t="s">
        <v>58</v>
      </c>
      <c r="C834" t="s">
        <v>43</v>
      </c>
      <c r="D834" t="s">
        <v>20</v>
      </c>
      <c r="E834" t="s">
        <v>21</v>
      </c>
      <c r="F834" s="1">
        <v>45413</v>
      </c>
      <c r="G834">
        <v>4.9400000000000004</v>
      </c>
      <c r="H834">
        <v>83.697500000000005</v>
      </c>
      <c r="I834">
        <v>23.87</v>
      </c>
      <c r="J834">
        <v>76.27</v>
      </c>
      <c r="K834" t="s">
        <v>30</v>
      </c>
      <c r="L834">
        <v>2598.83</v>
      </c>
      <c r="M834">
        <f>VLOOKUP(K834,RatingLookup!$A$2:$C$8,2,FALSE)</f>
        <v>1.4999999999999999E-2</v>
      </c>
      <c r="N834">
        <f t="shared" ref="N834:N897" si="39">1-(1-M834)^(1/12)</f>
        <v>1.2586770182638762E-3</v>
      </c>
      <c r="O834">
        <f>VLOOKUP(K834,RatingLookup!$A$2:$C$8,3,FALSE)</f>
        <v>0.5</v>
      </c>
      <c r="P834">
        <f t="shared" ref="P834:P897" si="40">L834*N834*O834</f>
        <v>1.6355437976873546</v>
      </c>
      <c r="Q834" t="str">
        <f t="shared" ref="Q834:Q897" ca="1" si="41">IF(RAND()&lt;N834,"Yes","No")</f>
        <v>No</v>
      </c>
    </row>
    <row r="835" spans="1:17" x14ac:dyDescent="0.45">
      <c r="A835" t="s">
        <v>57</v>
      </c>
      <c r="B835" t="s">
        <v>58</v>
      </c>
      <c r="C835" t="s">
        <v>43</v>
      </c>
      <c r="D835" t="s">
        <v>20</v>
      </c>
      <c r="E835" t="s">
        <v>21</v>
      </c>
      <c r="F835" s="1">
        <v>45444</v>
      </c>
      <c r="G835">
        <v>4.67</v>
      </c>
      <c r="H835">
        <v>84.534999999999997</v>
      </c>
      <c r="I835">
        <v>23.63</v>
      </c>
      <c r="J835">
        <v>68.48</v>
      </c>
      <c r="K835" t="s">
        <v>30</v>
      </c>
      <c r="L835">
        <v>2624.66</v>
      </c>
      <c r="M835">
        <f>VLOOKUP(K835,RatingLookup!$A$2:$C$8,2,FALSE)</f>
        <v>1.4999999999999999E-2</v>
      </c>
      <c r="N835">
        <f t="shared" si="39"/>
        <v>1.2586770182638762E-3</v>
      </c>
      <c r="O835">
        <f>VLOOKUP(K835,RatingLookup!$A$2:$C$8,3,FALSE)</f>
        <v>0.5</v>
      </c>
      <c r="P835">
        <f t="shared" si="40"/>
        <v>1.6517996113782325</v>
      </c>
      <c r="Q835" t="str">
        <f t="shared" ca="1" si="41"/>
        <v>No</v>
      </c>
    </row>
    <row r="836" spans="1:17" x14ac:dyDescent="0.45">
      <c r="A836" t="s">
        <v>57</v>
      </c>
      <c r="B836" t="s">
        <v>58</v>
      </c>
      <c r="C836" t="s">
        <v>43</v>
      </c>
      <c r="D836" t="s">
        <v>20</v>
      </c>
      <c r="E836" t="s">
        <v>21</v>
      </c>
      <c r="F836" s="1">
        <v>45474</v>
      </c>
      <c r="G836">
        <v>4.7</v>
      </c>
      <c r="H836">
        <v>83.654600000000002</v>
      </c>
      <c r="I836">
        <v>26.82</v>
      </c>
      <c r="J836">
        <v>80.760000000000005</v>
      </c>
      <c r="K836" t="s">
        <v>30</v>
      </c>
      <c r="L836">
        <v>2419.0500000000002</v>
      </c>
      <c r="M836">
        <f>VLOOKUP(K836,RatingLookup!$A$2:$C$8,2,FALSE)</f>
        <v>1.4999999999999999E-2</v>
      </c>
      <c r="N836">
        <f t="shared" si="39"/>
        <v>1.2586770182638762E-3</v>
      </c>
      <c r="O836">
        <f>VLOOKUP(K836,RatingLookup!$A$2:$C$8,3,FALSE)</f>
        <v>0.5</v>
      </c>
      <c r="P836">
        <f t="shared" si="40"/>
        <v>1.5224013205156151</v>
      </c>
      <c r="Q836" t="str">
        <f t="shared" ca="1" si="41"/>
        <v>No</v>
      </c>
    </row>
    <row r="837" spans="1:17" x14ac:dyDescent="0.45">
      <c r="A837" t="s">
        <v>57</v>
      </c>
      <c r="B837" t="s">
        <v>58</v>
      </c>
      <c r="C837" t="s">
        <v>43</v>
      </c>
      <c r="D837" t="s">
        <v>20</v>
      </c>
      <c r="E837" t="s">
        <v>21</v>
      </c>
      <c r="F837" s="1">
        <v>45505</v>
      </c>
      <c r="G837">
        <v>4.38</v>
      </c>
      <c r="H837">
        <v>86.923699999999997</v>
      </c>
      <c r="I837">
        <v>25.35</v>
      </c>
      <c r="J837">
        <v>83.52</v>
      </c>
      <c r="K837" t="s">
        <v>30</v>
      </c>
      <c r="L837">
        <v>2733.02</v>
      </c>
      <c r="M837">
        <f>VLOOKUP(K837,RatingLookup!$A$2:$C$8,2,FALSE)</f>
        <v>1.4999999999999999E-2</v>
      </c>
      <c r="N837">
        <f t="shared" si="39"/>
        <v>1.2586770182638762E-3</v>
      </c>
      <c r="O837">
        <f>VLOOKUP(K837,RatingLookup!$A$2:$C$8,3,FALSE)</f>
        <v>0.5</v>
      </c>
      <c r="P837">
        <f t="shared" si="40"/>
        <v>1.7199947322277696</v>
      </c>
      <c r="Q837" t="str">
        <f t="shared" ca="1" si="41"/>
        <v>No</v>
      </c>
    </row>
    <row r="838" spans="1:17" x14ac:dyDescent="0.45">
      <c r="A838" t="s">
        <v>57</v>
      </c>
      <c r="B838" t="s">
        <v>58</v>
      </c>
      <c r="C838" t="s">
        <v>43</v>
      </c>
      <c r="D838" t="s">
        <v>20</v>
      </c>
      <c r="E838" t="s">
        <v>21</v>
      </c>
      <c r="F838" s="1">
        <v>45536</v>
      </c>
      <c r="G838">
        <v>5.63</v>
      </c>
      <c r="H838">
        <v>81.792400000000001</v>
      </c>
      <c r="I838">
        <v>22.45</v>
      </c>
      <c r="J838">
        <v>72.3</v>
      </c>
      <c r="K838" t="s">
        <v>30</v>
      </c>
      <c r="L838">
        <v>2418.41</v>
      </c>
      <c r="M838">
        <f>VLOOKUP(K838,RatingLookup!$A$2:$C$8,2,FALSE)</f>
        <v>1.4999999999999999E-2</v>
      </c>
      <c r="N838">
        <f t="shared" si="39"/>
        <v>1.2586770182638762E-3</v>
      </c>
      <c r="O838">
        <f>VLOOKUP(K838,RatingLookup!$A$2:$C$8,3,FALSE)</f>
        <v>0.5</v>
      </c>
      <c r="P838">
        <f t="shared" si="40"/>
        <v>1.5219985438697703</v>
      </c>
      <c r="Q838" t="str">
        <f t="shared" ca="1" si="41"/>
        <v>No</v>
      </c>
    </row>
    <row r="839" spans="1:17" x14ac:dyDescent="0.45">
      <c r="A839" t="s">
        <v>57</v>
      </c>
      <c r="B839" t="s">
        <v>58</v>
      </c>
      <c r="C839" t="s">
        <v>43</v>
      </c>
      <c r="D839" t="s">
        <v>20</v>
      </c>
      <c r="E839" t="s">
        <v>21</v>
      </c>
      <c r="F839" s="1">
        <v>45566</v>
      </c>
      <c r="G839">
        <v>5.96</v>
      </c>
      <c r="H839">
        <v>80.048000000000002</v>
      </c>
      <c r="I839">
        <v>16.47</v>
      </c>
      <c r="J839">
        <v>73.59</v>
      </c>
      <c r="K839" t="s">
        <v>30</v>
      </c>
      <c r="L839">
        <v>2606.7399999999998</v>
      </c>
      <c r="M839">
        <f>VLOOKUP(K839,RatingLookup!$A$2:$C$8,2,FALSE)</f>
        <v>1.4999999999999999E-2</v>
      </c>
      <c r="N839">
        <f t="shared" si="39"/>
        <v>1.2586770182638762E-3</v>
      </c>
      <c r="O839">
        <f>VLOOKUP(K839,RatingLookup!$A$2:$C$8,3,FALSE)</f>
        <v>0.5</v>
      </c>
      <c r="P839">
        <f t="shared" si="40"/>
        <v>1.6405218652945883</v>
      </c>
      <c r="Q839" t="str">
        <f t="shared" ca="1" si="41"/>
        <v>No</v>
      </c>
    </row>
    <row r="840" spans="1:17" x14ac:dyDescent="0.45">
      <c r="A840" t="s">
        <v>57</v>
      </c>
      <c r="B840" t="s">
        <v>58</v>
      </c>
      <c r="C840" t="s">
        <v>43</v>
      </c>
      <c r="D840" t="s">
        <v>20</v>
      </c>
      <c r="E840" t="s">
        <v>21</v>
      </c>
      <c r="F840" s="1">
        <v>45597</v>
      </c>
      <c r="G840">
        <v>5.69</v>
      </c>
      <c r="H840">
        <v>81.548599999999993</v>
      </c>
      <c r="I840">
        <v>7.81</v>
      </c>
      <c r="J840">
        <v>82.59</v>
      </c>
      <c r="K840" t="s">
        <v>30</v>
      </c>
      <c r="L840">
        <v>2339.9699999999998</v>
      </c>
      <c r="M840">
        <f>VLOOKUP(K840,RatingLookup!$A$2:$C$8,2,FALSE)</f>
        <v>1.4999999999999999E-2</v>
      </c>
      <c r="N840">
        <f t="shared" si="39"/>
        <v>1.2586770182638762E-3</v>
      </c>
      <c r="O840">
        <f>VLOOKUP(K840,RatingLookup!$A$2:$C$8,3,FALSE)</f>
        <v>0.5</v>
      </c>
      <c r="P840">
        <f t="shared" si="40"/>
        <v>1.4726332312134611</v>
      </c>
      <c r="Q840" t="str">
        <f t="shared" ca="1" si="41"/>
        <v>No</v>
      </c>
    </row>
    <row r="841" spans="1:17" x14ac:dyDescent="0.45">
      <c r="A841" t="s">
        <v>57</v>
      </c>
      <c r="B841" t="s">
        <v>58</v>
      </c>
      <c r="C841" t="s">
        <v>43</v>
      </c>
      <c r="D841" t="s">
        <v>20</v>
      </c>
      <c r="E841" t="s">
        <v>21</v>
      </c>
      <c r="F841" s="1">
        <v>45627</v>
      </c>
      <c r="G841">
        <v>5.1100000000000003</v>
      </c>
      <c r="H841">
        <v>79.889899999999997</v>
      </c>
      <c r="I841">
        <v>14.83</v>
      </c>
      <c r="J841">
        <v>92.36</v>
      </c>
      <c r="K841" t="s">
        <v>30</v>
      </c>
      <c r="L841">
        <v>2702.54</v>
      </c>
      <c r="M841">
        <f>VLOOKUP(K841,RatingLookup!$A$2:$C$8,2,FALSE)</f>
        <v>1.4999999999999999E-2</v>
      </c>
      <c r="N841">
        <f t="shared" si="39"/>
        <v>1.2586770182638762E-3</v>
      </c>
      <c r="O841">
        <f>VLOOKUP(K841,RatingLookup!$A$2:$C$8,3,FALSE)</f>
        <v>0.5</v>
      </c>
      <c r="P841">
        <f t="shared" si="40"/>
        <v>1.7008124944694281</v>
      </c>
      <c r="Q841" t="str">
        <f t="shared" ca="1" si="41"/>
        <v>No</v>
      </c>
    </row>
    <row r="842" spans="1:17" x14ac:dyDescent="0.45">
      <c r="A842" t="s">
        <v>59</v>
      </c>
      <c r="B842" t="s">
        <v>60</v>
      </c>
      <c r="C842" t="s">
        <v>61</v>
      </c>
      <c r="D842" t="s">
        <v>20</v>
      </c>
      <c r="E842" t="s">
        <v>21</v>
      </c>
      <c r="F842" s="1">
        <v>43831</v>
      </c>
      <c r="G842">
        <v>5.66</v>
      </c>
      <c r="H842">
        <v>84.901499999999999</v>
      </c>
      <c r="I842">
        <v>9.18</v>
      </c>
      <c r="J842">
        <v>83.06</v>
      </c>
      <c r="K842" t="s">
        <v>48</v>
      </c>
      <c r="L842">
        <v>2113.44</v>
      </c>
      <c r="M842">
        <f>VLOOKUP(K842,RatingLookup!$A$2:$C$8,2,FALSE)</f>
        <v>5.0000000000000001E-4</v>
      </c>
      <c r="N842">
        <f t="shared" si="39"/>
        <v>4.167621832917856E-5</v>
      </c>
      <c r="O842">
        <f>VLOOKUP(K842,RatingLookup!$A$2:$C$8,3,FALSE)</f>
        <v>0.25</v>
      </c>
      <c r="P842">
        <f t="shared" si="40"/>
        <v>2.2020046716404784E-2</v>
      </c>
      <c r="Q842" t="str">
        <f t="shared" ca="1" si="41"/>
        <v>No</v>
      </c>
    </row>
    <row r="843" spans="1:17" x14ac:dyDescent="0.45">
      <c r="A843" t="s">
        <v>59</v>
      </c>
      <c r="B843" t="s">
        <v>60</v>
      </c>
      <c r="C843" t="s">
        <v>61</v>
      </c>
      <c r="D843" t="s">
        <v>20</v>
      </c>
      <c r="E843" t="s">
        <v>21</v>
      </c>
      <c r="F843" s="1">
        <v>43862</v>
      </c>
      <c r="G843">
        <v>4.97</v>
      </c>
      <c r="H843">
        <v>85.476600000000005</v>
      </c>
      <c r="I843">
        <v>30.37</v>
      </c>
      <c r="J843">
        <v>82.88</v>
      </c>
      <c r="K843" t="s">
        <v>48</v>
      </c>
      <c r="L843">
        <v>2043.01</v>
      </c>
      <c r="M843">
        <f>VLOOKUP(K843,RatingLookup!$A$2:$C$8,2,FALSE)</f>
        <v>5.0000000000000001E-4</v>
      </c>
      <c r="N843">
        <f t="shared" si="39"/>
        <v>4.167621832917856E-5</v>
      </c>
      <c r="O843">
        <f>VLOOKUP(K843,RatingLookup!$A$2:$C$8,3,FALSE)</f>
        <v>0.25</v>
      </c>
      <c r="P843">
        <f t="shared" si="40"/>
        <v>2.1286232702173773E-2</v>
      </c>
      <c r="Q843" t="str">
        <f t="shared" ca="1" si="41"/>
        <v>No</v>
      </c>
    </row>
    <row r="844" spans="1:17" x14ac:dyDescent="0.45">
      <c r="A844" t="s">
        <v>59</v>
      </c>
      <c r="B844" t="s">
        <v>60</v>
      </c>
      <c r="C844" t="s">
        <v>61</v>
      </c>
      <c r="D844" t="s">
        <v>20</v>
      </c>
      <c r="E844" t="s">
        <v>21</v>
      </c>
      <c r="F844" s="1">
        <v>43891</v>
      </c>
      <c r="G844">
        <v>4.83</v>
      </c>
      <c r="H844">
        <v>84.712999999999994</v>
      </c>
      <c r="I844">
        <v>11.89</v>
      </c>
      <c r="J844">
        <v>78.900000000000006</v>
      </c>
      <c r="K844" t="s">
        <v>48</v>
      </c>
      <c r="L844">
        <v>2033.48</v>
      </c>
      <c r="M844">
        <f>VLOOKUP(K844,RatingLookup!$A$2:$C$8,2,FALSE)</f>
        <v>5.0000000000000001E-4</v>
      </c>
      <c r="N844">
        <f t="shared" si="39"/>
        <v>4.167621832917856E-5</v>
      </c>
      <c r="O844">
        <f>VLOOKUP(K844,RatingLookup!$A$2:$C$8,3,FALSE)</f>
        <v>0.25</v>
      </c>
      <c r="P844">
        <f t="shared" si="40"/>
        <v>2.1186939112004505E-2</v>
      </c>
      <c r="Q844" t="str">
        <f t="shared" ca="1" si="41"/>
        <v>No</v>
      </c>
    </row>
    <row r="845" spans="1:17" x14ac:dyDescent="0.45">
      <c r="A845" t="s">
        <v>59</v>
      </c>
      <c r="B845" t="s">
        <v>60</v>
      </c>
      <c r="C845" t="s">
        <v>61</v>
      </c>
      <c r="D845" t="s">
        <v>20</v>
      </c>
      <c r="E845" t="s">
        <v>21</v>
      </c>
      <c r="F845" s="1">
        <v>43922</v>
      </c>
      <c r="G845">
        <v>3.52</v>
      </c>
      <c r="H845">
        <v>76.830399999999997</v>
      </c>
      <c r="I845">
        <v>17.739999999999998</v>
      </c>
      <c r="J845">
        <v>55.83</v>
      </c>
      <c r="K845" t="s">
        <v>48</v>
      </c>
      <c r="L845">
        <v>1902.14</v>
      </c>
      <c r="M845">
        <f>VLOOKUP(K845,RatingLookup!$A$2:$C$8,2,FALSE)</f>
        <v>5.0000000000000001E-4</v>
      </c>
      <c r="N845">
        <f t="shared" si="39"/>
        <v>4.167621832917856E-5</v>
      </c>
      <c r="O845">
        <f>VLOOKUP(K845,RatingLookup!$A$2:$C$8,3,FALSE)</f>
        <v>0.25</v>
      </c>
      <c r="P845">
        <f t="shared" si="40"/>
        <v>1.9818500483165927E-2</v>
      </c>
      <c r="Q845" t="str">
        <f t="shared" ca="1" si="41"/>
        <v>No</v>
      </c>
    </row>
    <row r="846" spans="1:17" x14ac:dyDescent="0.45">
      <c r="A846" t="s">
        <v>59</v>
      </c>
      <c r="B846" t="s">
        <v>60</v>
      </c>
      <c r="C846" t="s">
        <v>61</v>
      </c>
      <c r="D846" t="s">
        <v>20</v>
      </c>
      <c r="E846" t="s">
        <v>21</v>
      </c>
      <c r="F846" s="1">
        <v>43952</v>
      </c>
      <c r="G846">
        <v>5.98</v>
      </c>
      <c r="H846">
        <v>83.104299999999995</v>
      </c>
      <c r="I846">
        <v>12.5</v>
      </c>
      <c r="J846">
        <v>69.31</v>
      </c>
      <c r="K846" t="s">
        <v>48</v>
      </c>
      <c r="L846">
        <v>2019.39</v>
      </c>
      <c r="M846">
        <f>VLOOKUP(K846,RatingLookup!$A$2:$C$8,2,FALSE)</f>
        <v>5.0000000000000001E-4</v>
      </c>
      <c r="N846">
        <f t="shared" si="39"/>
        <v>4.167621832917856E-5</v>
      </c>
      <c r="O846">
        <f>VLOOKUP(K846,RatingLookup!$A$2:$C$8,3,FALSE)</f>
        <v>0.25</v>
      </c>
      <c r="P846">
        <f t="shared" si="40"/>
        <v>2.1040134632939973E-2</v>
      </c>
      <c r="Q846" t="str">
        <f t="shared" ca="1" si="41"/>
        <v>No</v>
      </c>
    </row>
    <row r="847" spans="1:17" x14ac:dyDescent="0.45">
      <c r="A847" t="s">
        <v>59</v>
      </c>
      <c r="B847" t="s">
        <v>60</v>
      </c>
      <c r="C847" t="s">
        <v>61</v>
      </c>
      <c r="D847" t="s">
        <v>20</v>
      </c>
      <c r="E847" t="s">
        <v>21</v>
      </c>
      <c r="F847" s="1">
        <v>43983</v>
      </c>
      <c r="G847">
        <v>4.96</v>
      </c>
      <c r="H847">
        <v>79.738200000000006</v>
      </c>
      <c r="I847">
        <v>20.57</v>
      </c>
      <c r="J847">
        <v>88.49</v>
      </c>
      <c r="K847" t="s">
        <v>48</v>
      </c>
      <c r="L847">
        <v>2271.75</v>
      </c>
      <c r="M847">
        <f>VLOOKUP(K847,RatingLookup!$A$2:$C$8,2,FALSE)</f>
        <v>5.0000000000000001E-4</v>
      </c>
      <c r="N847">
        <f t="shared" si="39"/>
        <v>4.167621832917856E-5</v>
      </c>
      <c r="O847">
        <f>VLOOKUP(K847,RatingLookup!$A$2:$C$8,3,FALSE)</f>
        <v>0.25</v>
      </c>
      <c r="P847">
        <f t="shared" si="40"/>
        <v>2.3669487247327849E-2</v>
      </c>
      <c r="Q847" t="str">
        <f t="shared" ca="1" si="41"/>
        <v>No</v>
      </c>
    </row>
    <row r="848" spans="1:17" x14ac:dyDescent="0.45">
      <c r="A848" t="s">
        <v>59</v>
      </c>
      <c r="B848" t="s">
        <v>60</v>
      </c>
      <c r="C848" t="s">
        <v>61</v>
      </c>
      <c r="D848" t="s">
        <v>20</v>
      </c>
      <c r="E848" t="s">
        <v>21</v>
      </c>
      <c r="F848" s="1">
        <v>44013</v>
      </c>
      <c r="G848">
        <v>5.7</v>
      </c>
      <c r="H848">
        <v>83.734899999999996</v>
      </c>
      <c r="I848">
        <v>14.52</v>
      </c>
      <c r="J848">
        <v>70.23</v>
      </c>
      <c r="K848" t="s">
        <v>48</v>
      </c>
      <c r="L848">
        <v>2130.5100000000002</v>
      </c>
      <c r="M848">
        <f>VLOOKUP(K848,RatingLookup!$A$2:$C$8,2,FALSE)</f>
        <v>5.0000000000000001E-4</v>
      </c>
      <c r="N848">
        <f t="shared" si="39"/>
        <v>4.167621832917856E-5</v>
      </c>
      <c r="O848">
        <f>VLOOKUP(K848,RatingLookup!$A$2:$C$8,3,FALSE)</f>
        <v>0.25</v>
      </c>
      <c r="P848">
        <f t="shared" si="40"/>
        <v>2.2197899978124557E-2</v>
      </c>
      <c r="Q848" t="str">
        <f t="shared" ca="1" si="41"/>
        <v>No</v>
      </c>
    </row>
    <row r="849" spans="1:17" x14ac:dyDescent="0.45">
      <c r="A849" t="s">
        <v>59</v>
      </c>
      <c r="B849" t="s">
        <v>60</v>
      </c>
      <c r="C849" t="s">
        <v>61</v>
      </c>
      <c r="D849" t="s">
        <v>20</v>
      </c>
      <c r="E849" t="s">
        <v>21</v>
      </c>
      <c r="F849" s="1">
        <v>44044</v>
      </c>
      <c r="G849">
        <v>5.33</v>
      </c>
      <c r="H849">
        <v>81.468400000000003</v>
      </c>
      <c r="I849">
        <v>27.14</v>
      </c>
      <c r="J849">
        <v>81.430000000000007</v>
      </c>
      <c r="K849" t="s">
        <v>48</v>
      </c>
      <c r="L849">
        <v>2047.08</v>
      </c>
      <c r="M849">
        <f>VLOOKUP(K849,RatingLookup!$A$2:$C$8,2,FALSE)</f>
        <v>5.0000000000000001E-4</v>
      </c>
      <c r="N849">
        <f t="shared" si="39"/>
        <v>4.167621832917856E-5</v>
      </c>
      <c r="O849">
        <f>VLOOKUP(K849,RatingLookup!$A$2:$C$8,3,FALSE)</f>
        <v>0.25</v>
      </c>
      <c r="P849">
        <f t="shared" si="40"/>
        <v>2.1328638254323712E-2</v>
      </c>
      <c r="Q849" t="str">
        <f t="shared" ca="1" si="41"/>
        <v>No</v>
      </c>
    </row>
    <row r="850" spans="1:17" x14ac:dyDescent="0.45">
      <c r="A850" t="s">
        <v>59</v>
      </c>
      <c r="B850" t="s">
        <v>60</v>
      </c>
      <c r="C850" t="s">
        <v>61</v>
      </c>
      <c r="D850" t="s">
        <v>20</v>
      </c>
      <c r="E850" t="s">
        <v>21</v>
      </c>
      <c r="F850" s="1">
        <v>44075</v>
      </c>
      <c r="G850">
        <v>5.24</v>
      </c>
      <c r="H850">
        <v>83.333500000000001</v>
      </c>
      <c r="I850">
        <v>17.55</v>
      </c>
      <c r="J850">
        <v>85.47</v>
      </c>
      <c r="K850" t="s">
        <v>48</v>
      </c>
      <c r="L850">
        <v>2000.78</v>
      </c>
      <c r="M850">
        <f>VLOOKUP(K850,RatingLookup!$A$2:$C$8,2,FALSE)</f>
        <v>5.0000000000000001E-4</v>
      </c>
      <c r="N850">
        <f t="shared" si="39"/>
        <v>4.167621832917856E-5</v>
      </c>
      <c r="O850">
        <f>VLOOKUP(K850,RatingLookup!$A$2:$C$8,3,FALSE)</f>
        <v>0.25</v>
      </c>
      <c r="P850">
        <f t="shared" si="40"/>
        <v>2.084623602716347E-2</v>
      </c>
      <c r="Q850" t="str">
        <f t="shared" ca="1" si="41"/>
        <v>No</v>
      </c>
    </row>
    <row r="851" spans="1:17" x14ac:dyDescent="0.45">
      <c r="A851" t="s">
        <v>59</v>
      </c>
      <c r="B851" t="s">
        <v>60</v>
      </c>
      <c r="C851" t="s">
        <v>61</v>
      </c>
      <c r="D851" t="s">
        <v>20</v>
      </c>
      <c r="E851" t="s">
        <v>21</v>
      </c>
      <c r="F851" s="1">
        <v>44105</v>
      </c>
      <c r="G851">
        <v>6.72</v>
      </c>
      <c r="H851">
        <v>83.045299999999997</v>
      </c>
      <c r="I851">
        <v>24.65</v>
      </c>
      <c r="J851">
        <v>86.6</v>
      </c>
      <c r="K851" t="s">
        <v>48</v>
      </c>
      <c r="L851">
        <v>2023.74</v>
      </c>
      <c r="M851">
        <f>VLOOKUP(K851,RatingLookup!$A$2:$C$8,2,FALSE)</f>
        <v>5.0000000000000001E-4</v>
      </c>
      <c r="N851">
        <f t="shared" si="39"/>
        <v>4.167621832917856E-5</v>
      </c>
      <c r="O851">
        <f>VLOOKUP(K851,RatingLookup!$A$2:$C$8,3,FALSE)</f>
        <v>0.25</v>
      </c>
      <c r="P851">
        <f t="shared" si="40"/>
        <v>2.1085457520372955E-2</v>
      </c>
      <c r="Q851" t="str">
        <f t="shared" ca="1" si="41"/>
        <v>No</v>
      </c>
    </row>
    <row r="852" spans="1:17" x14ac:dyDescent="0.45">
      <c r="A852" t="s">
        <v>59</v>
      </c>
      <c r="B852" t="s">
        <v>60</v>
      </c>
      <c r="C852" t="s">
        <v>61</v>
      </c>
      <c r="D852" t="s">
        <v>20</v>
      </c>
      <c r="E852" t="s">
        <v>21</v>
      </c>
      <c r="F852" s="1">
        <v>44136</v>
      </c>
      <c r="G852">
        <v>4.8499999999999996</v>
      </c>
      <c r="H852">
        <v>84.760199999999998</v>
      </c>
      <c r="I852">
        <v>10.65</v>
      </c>
      <c r="J852">
        <v>65.239999999999995</v>
      </c>
      <c r="K852" t="s">
        <v>48</v>
      </c>
      <c r="L852">
        <v>2015.44</v>
      </c>
      <c r="M852">
        <f>VLOOKUP(K852,RatingLookup!$A$2:$C$8,2,FALSE)</f>
        <v>5.0000000000000001E-4</v>
      </c>
      <c r="N852">
        <f t="shared" si="39"/>
        <v>4.167621832917856E-5</v>
      </c>
      <c r="O852">
        <f>VLOOKUP(K852,RatingLookup!$A$2:$C$8,3,FALSE)</f>
        <v>0.25</v>
      </c>
      <c r="P852">
        <f t="shared" si="40"/>
        <v>2.0998979367339909E-2</v>
      </c>
      <c r="Q852" t="str">
        <f t="shared" ca="1" si="41"/>
        <v>No</v>
      </c>
    </row>
    <row r="853" spans="1:17" x14ac:dyDescent="0.45">
      <c r="A853" t="s">
        <v>59</v>
      </c>
      <c r="B853" t="s">
        <v>60</v>
      </c>
      <c r="C853" t="s">
        <v>61</v>
      </c>
      <c r="D853" t="s">
        <v>20</v>
      </c>
      <c r="E853" t="s">
        <v>21</v>
      </c>
      <c r="F853" s="1">
        <v>44166</v>
      </c>
      <c r="G853">
        <v>5.31</v>
      </c>
      <c r="H853">
        <v>82.5655</v>
      </c>
      <c r="I853">
        <v>11.47</v>
      </c>
      <c r="J853">
        <v>76.37</v>
      </c>
      <c r="K853" t="s">
        <v>48</v>
      </c>
      <c r="L853">
        <v>2007.6</v>
      </c>
      <c r="M853">
        <f>VLOOKUP(K853,RatingLookup!$A$2:$C$8,2,FALSE)</f>
        <v>5.0000000000000001E-4</v>
      </c>
      <c r="N853">
        <f t="shared" si="39"/>
        <v>4.167621832917856E-5</v>
      </c>
      <c r="O853">
        <f>VLOOKUP(K853,RatingLookup!$A$2:$C$8,3,FALSE)</f>
        <v>0.25</v>
      </c>
      <c r="P853">
        <f t="shared" si="40"/>
        <v>2.0917293979414719E-2</v>
      </c>
      <c r="Q853" t="str">
        <f t="shared" ca="1" si="41"/>
        <v>No</v>
      </c>
    </row>
    <row r="854" spans="1:17" x14ac:dyDescent="0.45">
      <c r="A854" t="s">
        <v>59</v>
      </c>
      <c r="B854" t="s">
        <v>60</v>
      </c>
      <c r="C854" t="s">
        <v>61</v>
      </c>
      <c r="D854" t="s">
        <v>20</v>
      </c>
      <c r="E854" t="s">
        <v>21</v>
      </c>
      <c r="F854" s="1">
        <v>44197</v>
      </c>
      <c r="G854">
        <v>5.81</v>
      </c>
      <c r="H854">
        <v>81.373599999999996</v>
      </c>
      <c r="I854">
        <v>20.81</v>
      </c>
      <c r="J854">
        <v>84.16</v>
      </c>
      <c r="K854" t="s">
        <v>48</v>
      </c>
      <c r="L854">
        <v>1962.67</v>
      </c>
      <c r="M854">
        <f>VLOOKUP(K854,RatingLookup!$A$2:$C$8,2,FALSE)</f>
        <v>5.0000000000000001E-4</v>
      </c>
      <c r="N854">
        <f t="shared" si="39"/>
        <v>4.167621832917856E-5</v>
      </c>
      <c r="O854">
        <f>VLOOKUP(K854,RatingLookup!$A$2:$C$8,3,FALSE)</f>
        <v>0.25</v>
      </c>
      <c r="P854">
        <f t="shared" si="40"/>
        <v>2.0449165857032221E-2</v>
      </c>
      <c r="Q854" t="str">
        <f t="shared" ca="1" si="41"/>
        <v>No</v>
      </c>
    </row>
    <row r="855" spans="1:17" x14ac:dyDescent="0.45">
      <c r="A855" t="s">
        <v>59</v>
      </c>
      <c r="B855" t="s">
        <v>60</v>
      </c>
      <c r="C855" t="s">
        <v>61</v>
      </c>
      <c r="D855" t="s">
        <v>20</v>
      </c>
      <c r="E855" t="s">
        <v>21</v>
      </c>
      <c r="F855" s="1">
        <v>44228</v>
      </c>
      <c r="G855">
        <v>5.04</v>
      </c>
      <c r="H855">
        <v>85.039199999999994</v>
      </c>
      <c r="I855">
        <v>18.329999999999998</v>
      </c>
      <c r="J855">
        <v>75.150000000000006</v>
      </c>
      <c r="K855" t="s">
        <v>48</v>
      </c>
      <c r="L855">
        <v>2074.69</v>
      </c>
      <c r="M855">
        <f>VLOOKUP(K855,RatingLookup!$A$2:$C$8,2,FALSE)</f>
        <v>5.0000000000000001E-4</v>
      </c>
      <c r="N855">
        <f t="shared" si="39"/>
        <v>4.167621832917856E-5</v>
      </c>
      <c r="O855">
        <f>VLOOKUP(K855,RatingLookup!$A$2:$C$8,3,FALSE)</f>
        <v>0.25</v>
      </c>
      <c r="P855">
        <f t="shared" si="40"/>
        <v>2.1616308351340867E-2</v>
      </c>
      <c r="Q855" t="str">
        <f t="shared" ca="1" si="41"/>
        <v>No</v>
      </c>
    </row>
    <row r="856" spans="1:17" x14ac:dyDescent="0.45">
      <c r="A856" t="s">
        <v>59</v>
      </c>
      <c r="B856" t="s">
        <v>60</v>
      </c>
      <c r="C856" t="s">
        <v>61</v>
      </c>
      <c r="D856" t="s">
        <v>20</v>
      </c>
      <c r="E856" t="s">
        <v>21</v>
      </c>
      <c r="F856" s="1">
        <v>44256</v>
      </c>
      <c r="G856">
        <v>5.1100000000000003</v>
      </c>
      <c r="H856">
        <v>83.9893</v>
      </c>
      <c r="I856">
        <v>11.51</v>
      </c>
      <c r="J856">
        <v>84.71</v>
      </c>
      <c r="K856" t="s">
        <v>23</v>
      </c>
      <c r="L856">
        <v>2037.9</v>
      </c>
      <c r="M856">
        <f>VLOOKUP(K856,RatingLookup!$A$2:$C$8,2,FALSE)</f>
        <v>1E-3</v>
      </c>
      <c r="N856">
        <f t="shared" si="39"/>
        <v>8.3371552197619714E-5</v>
      </c>
      <c r="O856">
        <f>VLOOKUP(K856,RatingLookup!$A$2:$C$8,3,FALSE)</f>
        <v>0.3</v>
      </c>
      <c r="P856">
        <f t="shared" si="40"/>
        <v>5.0970865867058769E-2</v>
      </c>
      <c r="Q856" t="str">
        <f t="shared" ca="1" si="41"/>
        <v>No</v>
      </c>
    </row>
    <row r="857" spans="1:17" x14ac:dyDescent="0.45">
      <c r="A857" t="s">
        <v>59</v>
      </c>
      <c r="B857" t="s">
        <v>60</v>
      </c>
      <c r="C857" t="s">
        <v>61</v>
      </c>
      <c r="D857" t="s">
        <v>20</v>
      </c>
      <c r="E857" t="s">
        <v>21</v>
      </c>
      <c r="F857" s="1">
        <v>44287</v>
      </c>
      <c r="G857">
        <v>6.09</v>
      </c>
      <c r="H857">
        <v>83.712500000000006</v>
      </c>
      <c r="I857">
        <v>18.25</v>
      </c>
      <c r="J857">
        <v>75.819999999999993</v>
      </c>
      <c r="K857" t="s">
        <v>23</v>
      </c>
      <c r="L857">
        <v>2189.9899999999998</v>
      </c>
      <c r="M857">
        <f>VLOOKUP(K857,RatingLookup!$A$2:$C$8,2,FALSE)</f>
        <v>1E-3</v>
      </c>
      <c r="N857">
        <f t="shared" si="39"/>
        <v>8.3371552197619714E-5</v>
      </c>
      <c r="O857">
        <f>VLOOKUP(K857,RatingLookup!$A$2:$C$8,3,FALSE)</f>
        <v>0.3</v>
      </c>
      <c r="P857">
        <f t="shared" si="40"/>
        <v>5.4774859679179555E-2</v>
      </c>
      <c r="Q857" t="str">
        <f t="shared" ca="1" si="41"/>
        <v>No</v>
      </c>
    </row>
    <row r="858" spans="1:17" x14ac:dyDescent="0.45">
      <c r="A858" t="s">
        <v>59</v>
      </c>
      <c r="B858" t="s">
        <v>60</v>
      </c>
      <c r="C858" t="s">
        <v>61</v>
      </c>
      <c r="D858" t="s">
        <v>20</v>
      </c>
      <c r="E858" t="s">
        <v>21</v>
      </c>
      <c r="F858" s="1">
        <v>44317</v>
      </c>
      <c r="G858">
        <v>5.98</v>
      </c>
      <c r="H858">
        <v>84.067400000000006</v>
      </c>
      <c r="I858">
        <v>25.43</v>
      </c>
      <c r="J858">
        <v>67.2</v>
      </c>
      <c r="K858" t="s">
        <v>23</v>
      </c>
      <c r="L858">
        <v>2060.92</v>
      </c>
      <c r="M858">
        <f>VLOOKUP(K858,RatingLookup!$A$2:$C$8,2,FALSE)</f>
        <v>1E-3</v>
      </c>
      <c r="N858">
        <f t="shared" si="39"/>
        <v>8.3371552197619714E-5</v>
      </c>
      <c r="O858">
        <f>VLOOKUP(K858,RatingLookup!$A$2:$C$8,3,FALSE)</f>
        <v>0.3</v>
      </c>
      <c r="P858">
        <f t="shared" si="40"/>
        <v>5.1546629806535522E-2</v>
      </c>
      <c r="Q858" t="str">
        <f t="shared" ca="1" si="41"/>
        <v>No</v>
      </c>
    </row>
    <row r="859" spans="1:17" x14ac:dyDescent="0.45">
      <c r="A859" t="s">
        <v>59</v>
      </c>
      <c r="B859" t="s">
        <v>60</v>
      </c>
      <c r="C859" t="s">
        <v>61</v>
      </c>
      <c r="D859" t="s">
        <v>20</v>
      </c>
      <c r="E859" t="s">
        <v>21</v>
      </c>
      <c r="F859" s="1">
        <v>44348</v>
      </c>
      <c r="G859">
        <v>5.57</v>
      </c>
      <c r="H859">
        <v>79.945899999999995</v>
      </c>
      <c r="I859">
        <v>24.02</v>
      </c>
      <c r="J859">
        <v>74.28</v>
      </c>
      <c r="K859" t="s">
        <v>23</v>
      </c>
      <c r="L859">
        <v>2151.1799999999998</v>
      </c>
      <c r="M859">
        <f>VLOOKUP(K859,RatingLookup!$A$2:$C$8,2,FALSE)</f>
        <v>1E-3</v>
      </c>
      <c r="N859">
        <f t="shared" si="39"/>
        <v>8.3371552197619714E-5</v>
      </c>
      <c r="O859">
        <f>VLOOKUP(K859,RatingLookup!$A$2:$C$8,3,FALSE)</f>
        <v>0.3</v>
      </c>
      <c r="P859">
        <f t="shared" si="40"/>
        <v>5.3804164696942672E-2</v>
      </c>
      <c r="Q859" t="str">
        <f t="shared" ca="1" si="41"/>
        <v>No</v>
      </c>
    </row>
    <row r="860" spans="1:17" x14ac:dyDescent="0.45">
      <c r="A860" t="s">
        <v>59</v>
      </c>
      <c r="B860" t="s">
        <v>60</v>
      </c>
      <c r="C860" t="s">
        <v>61</v>
      </c>
      <c r="D860" t="s">
        <v>20</v>
      </c>
      <c r="E860" t="s">
        <v>21</v>
      </c>
      <c r="F860" s="1">
        <v>44378</v>
      </c>
      <c r="G860">
        <v>5.35</v>
      </c>
      <c r="H860">
        <v>82.939800000000005</v>
      </c>
      <c r="I860">
        <v>15.15</v>
      </c>
      <c r="J860">
        <v>46.16</v>
      </c>
      <c r="K860" t="s">
        <v>23</v>
      </c>
      <c r="L860">
        <v>2073.0500000000002</v>
      </c>
      <c r="M860">
        <f>VLOOKUP(K860,RatingLookup!$A$2:$C$8,2,FALSE)</f>
        <v>1E-3</v>
      </c>
      <c r="N860">
        <f t="shared" si="39"/>
        <v>8.3371552197619714E-5</v>
      </c>
      <c r="O860">
        <f>VLOOKUP(K860,RatingLookup!$A$2:$C$8,3,FALSE)</f>
        <v>0.3</v>
      </c>
      <c r="P860">
        <f t="shared" si="40"/>
        <v>5.1850018884982668E-2</v>
      </c>
      <c r="Q860" t="str">
        <f t="shared" ca="1" si="41"/>
        <v>No</v>
      </c>
    </row>
    <row r="861" spans="1:17" x14ac:dyDescent="0.45">
      <c r="A861" t="s">
        <v>59</v>
      </c>
      <c r="B861" t="s">
        <v>60</v>
      </c>
      <c r="C861" t="s">
        <v>61</v>
      </c>
      <c r="D861" t="s">
        <v>20</v>
      </c>
      <c r="E861" t="s">
        <v>21</v>
      </c>
      <c r="F861" s="1">
        <v>44409</v>
      </c>
      <c r="G861">
        <v>5.73</v>
      </c>
      <c r="H861">
        <v>81.292400000000001</v>
      </c>
      <c r="I861">
        <v>27.02</v>
      </c>
      <c r="J861">
        <v>61.15</v>
      </c>
      <c r="K861" t="s">
        <v>23</v>
      </c>
      <c r="L861">
        <v>2011.63</v>
      </c>
      <c r="M861">
        <f>VLOOKUP(K861,RatingLookup!$A$2:$C$8,2,FALSE)</f>
        <v>1E-3</v>
      </c>
      <c r="N861">
        <f t="shared" si="39"/>
        <v>8.3371552197619714E-5</v>
      </c>
      <c r="O861">
        <f>VLOOKUP(K861,RatingLookup!$A$2:$C$8,3,FALSE)</f>
        <v>0.3</v>
      </c>
      <c r="P861">
        <f t="shared" si="40"/>
        <v>5.031381466418932E-2</v>
      </c>
      <c r="Q861" t="str">
        <f t="shared" ca="1" si="41"/>
        <v>No</v>
      </c>
    </row>
    <row r="862" spans="1:17" x14ac:dyDescent="0.45">
      <c r="A862" t="s">
        <v>59</v>
      </c>
      <c r="B862" t="s">
        <v>60</v>
      </c>
      <c r="C862" t="s">
        <v>61</v>
      </c>
      <c r="D862" t="s">
        <v>20</v>
      </c>
      <c r="E862" t="s">
        <v>21</v>
      </c>
      <c r="F862" s="1">
        <v>44440</v>
      </c>
      <c r="G862">
        <v>5.6</v>
      </c>
      <c r="H862">
        <v>80.094999999999999</v>
      </c>
      <c r="I862">
        <v>25.41</v>
      </c>
      <c r="J862">
        <v>77.02</v>
      </c>
      <c r="K862" t="s">
        <v>23</v>
      </c>
      <c r="L862">
        <v>1876.4</v>
      </c>
      <c r="M862">
        <f>VLOOKUP(K862,RatingLookup!$A$2:$C$8,2,FALSE)</f>
        <v>1E-3</v>
      </c>
      <c r="N862">
        <f t="shared" si="39"/>
        <v>8.3371552197619714E-5</v>
      </c>
      <c r="O862">
        <f>VLOOKUP(K862,RatingLookup!$A$2:$C$8,3,FALSE)</f>
        <v>0.3</v>
      </c>
      <c r="P862">
        <f t="shared" si="40"/>
        <v>4.6931514163084088E-2</v>
      </c>
      <c r="Q862" t="str">
        <f t="shared" ca="1" si="41"/>
        <v>No</v>
      </c>
    </row>
    <row r="863" spans="1:17" x14ac:dyDescent="0.45">
      <c r="A863" t="s">
        <v>59</v>
      </c>
      <c r="B863" t="s">
        <v>60</v>
      </c>
      <c r="C863" t="s">
        <v>61</v>
      </c>
      <c r="D863" t="s">
        <v>20</v>
      </c>
      <c r="E863" t="s">
        <v>21</v>
      </c>
      <c r="F863" s="1">
        <v>44470</v>
      </c>
      <c r="G863">
        <v>5.63</v>
      </c>
      <c r="H863">
        <v>83.441900000000004</v>
      </c>
      <c r="I863">
        <v>9.5299999999999994</v>
      </c>
      <c r="J863">
        <v>62.63</v>
      </c>
      <c r="K863" t="s">
        <v>23</v>
      </c>
      <c r="L863">
        <v>2175.2600000000002</v>
      </c>
      <c r="M863">
        <f>VLOOKUP(K863,RatingLookup!$A$2:$C$8,2,FALSE)</f>
        <v>1E-3</v>
      </c>
      <c r="N863">
        <f t="shared" si="39"/>
        <v>8.3371552197619714E-5</v>
      </c>
      <c r="O863">
        <f>VLOOKUP(K863,RatingLookup!$A$2:$C$8,3,FALSE)</f>
        <v>0.3</v>
      </c>
      <c r="P863">
        <f t="shared" si="40"/>
        <v>5.440644079001828E-2</v>
      </c>
      <c r="Q863" t="str">
        <f t="shared" ca="1" si="41"/>
        <v>No</v>
      </c>
    </row>
    <row r="864" spans="1:17" x14ac:dyDescent="0.45">
      <c r="A864" t="s">
        <v>59</v>
      </c>
      <c r="B864" t="s">
        <v>60</v>
      </c>
      <c r="C864" t="s">
        <v>61</v>
      </c>
      <c r="D864" t="s">
        <v>20</v>
      </c>
      <c r="E864" t="s">
        <v>21</v>
      </c>
      <c r="F864" s="1">
        <v>44501</v>
      </c>
      <c r="G864">
        <v>6.1</v>
      </c>
      <c r="H864">
        <v>81.250699999999995</v>
      </c>
      <c r="I864">
        <v>24.12</v>
      </c>
      <c r="J864">
        <v>68.05</v>
      </c>
      <c r="K864" t="s">
        <v>23</v>
      </c>
      <c r="L864">
        <v>2201.98</v>
      </c>
      <c r="M864">
        <f>VLOOKUP(K864,RatingLookup!$A$2:$C$8,2,FALSE)</f>
        <v>1E-3</v>
      </c>
      <c r="N864">
        <f t="shared" si="39"/>
        <v>8.3371552197619714E-5</v>
      </c>
      <c r="O864">
        <f>VLOOKUP(K864,RatingLookup!$A$2:$C$8,3,FALSE)</f>
        <v>0.3</v>
      </c>
      <c r="P864">
        <f t="shared" si="40"/>
        <v>5.5074747152434392E-2</v>
      </c>
      <c r="Q864" t="str">
        <f t="shared" ca="1" si="41"/>
        <v>No</v>
      </c>
    </row>
    <row r="865" spans="1:17" x14ac:dyDescent="0.45">
      <c r="A865" t="s">
        <v>59</v>
      </c>
      <c r="B865" t="s">
        <v>60</v>
      </c>
      <c r="C865" t="s">
        <v>61</v>
      </c>
      <c r="D865" t="s">
        <v>20</v>
      </c>
      <c r="E865" t="s">
        <v>21</v>
      </c>
      <c r="F865" s="1">
        <v>44531</v>
      </c>
      <c r="G865">
        <v>6.02</v>
      </c>
      <c r="H865">
        <v>88.222899999999996</v>
      </c>
      <c r="I865">
        <v>17.2</v>
      </c>
      <c r="J865">
        <v>69.67</v>
      </c>
      <c r="K865" t="s">
        <v>23</v>
      </c>
      <c r="L865">
        <v>2195.5500000000002</v>
      </c>
      <c r="M865">
        <f>VLOOKUP(K865,RatingLookup!$A$2:$C$8,2,FALSE)</f>
        <v>1E-3</v>
      </c>
      <c r="N865">
        <f t="shared" si="39"/>
        <v>8.3371552197619714E-5</v>
      </c>
      <c r="O865">
        <f>VLOOKUP(K865,RatingLookup!$A$2:$C$8,3,FALSE)</f>
        <v>0.3</v>
      </c>
      <c r="P865">
        <f t="shared" si="40"/>
        <v>5.4913923428245193E-2</v>
      </c>
      <c r="Q865" t="str">
        <f t="shared" ca="1" si="41"/>
        <v>No</v>
      </c>
    </row>
    <row r="866" spans="1:17" x14ac:dyDescent="0.45">
      <c r="A866" t="s">
        <v>59</v>
      </c>
      <c r="B866" t="s">
        <v>60</v>
      </c>
      <c r="C866" t="s">
        <v>61</v>
      </c>
      <c r="D866" t="s">
        <v>20</v>
      </c>
      <c r="E866" t="s">
        <v>21</v>
      </c>
      <c r="F866" s="1">
        <v>44562</v>
      </c>
      <c r="G866">
        <v>5.44</v>
      </c>
      <c r="H866">
        <v>87.182599999999994</v>
      </c>
      <c r="I866">
        <v>10.62</v>
      </c>
      <c r="J866">
        <v>71.88</v>
      </c>
      <c r="K866" t="s">
        <v>23</v>
      </c>
      <c r="L866">
        <v>2091.87</v>
      </c>
      <c r="M866">
        <f>VLOOKUP(K866,RatingLookup!$A$2:$C$8,2,FALSE)</f>
        <v>1E-3</v>
      </c>
      <c r="N866">
        <f t="shared" si="39"/>
        <v>8.3371552197619714E-5</v>
      </c>
      <c r="O866">
        <f>VLOOKUP(K866,RatingLookup!$A$2:$C$8,3,FALSE)</f>
        <v>0.3</v>
      </c>
      <c r="P866">
        <f t="shared" si="40"/>
        <v>5.2320734668690423E-2</v>
      </c>
      <c r="Q866" t="str">
        <f t="shared" ca="1" si="41"/>
        <v>No</v>
      </c>
    </row>
    <row r="867" spans="1:17" x14ac:dyDescent="0.45">
      <c r="A867" t="s">
        <v>59</v>
      </c>
      <c r="B867" t="s">
        <v>60</v>
      </c>
      <c r="C867" t="s">
        <v>61</v>
      </c>
      <c r="D867" t="s">
        <v>20</v>
      </c>
      <c r="E867" t="s">
        <v>21</v>
      </c>
      <c r="F867" s="1">
        <v>44593</v>
      </c>
      <c r="G867">
        <v>6.2</v>
      </c>
      <c r="H867">
        <v>82.777600000000007</v>
      </c>
      <c r="I867">
        <v>19.329999999999998</v>
      </c>
      <c r="J867">
        <v>64.41</v>
      </c>
      <c r="K867" t="s">
        <v>22</v>
      </c>
      <c r="L867">
        <v>1992.51</v>
      </c>
      <c r="M867">
        <f>VLOOKUP(K867,RatingLookup!$A$2:$C$8,2,FALSE)</f>
        <v>5.0000000000000001E-3</v>
      </c>
      <c r="N867">
        <f t="shared" si="39"/>
        <v>4.1762458919303302E-4</v>
      </c>
      <c r="O867">
        <f>VLOOKUP(K867,RatingLookup!$A$2:$C$8,3,FALSE)</f>
        <v>0.45</v>
      </c>
      <c r="P867">
        <f t="shared" si="40"/>
        <v>0.3744545265958546</v>
      </c>
      <c r="Q867" t="str">
        <f t="shared" ca="1" si="41"/>
        <v>No</v>
      </c>
    </row>
    <row r="868" spans="1:17" x14ac:dyDescent="0.45">
      <c r="A868" t="s">
        <v>59</v>
      </c>
      <c r="B868" t="s">
        <v>60</v>
      </c>
      <c r="C868" t="s">
        <v>61</v>
      </c>
      <c r="D868" t="s">
        <v>20</v>
      </c>
      <c r="E868" t="s">
        <v>21</v>
      </c>
      <c r="F868" s="1">
        <v>44621</v>
      </c>
      <c r="G868">
        <v>5.8</v>
      </c>
      <c r="H868">
        <v>81.093599999999995</v>
      </c>
      <c r="I868">
        <v>21.88</v>
      </c>
      <c r="J868">
        <v>75.06</v>
      </c>
      <c r="K868" t="s">
        <v>22</v>
      </c>
      <c r="L868">
        <v>2081.69</v>
      </c>
      <c r="M868">
        <f>VLOOKUP(K868,RatingLookup!$A$2:$C$8,2,FALSE)</f>
        <v>5.0000000000000001E-3</v>
      </c>
      <c r="N868">
        <f t="shared" si="39"/>
        <v>4.1762458919303302E-4</v>
      </c>
      <c r="O868">
        <f>VLOOKUP(K868,RatingLookup!$A$2:$C$8,3,FALSE)</f>
        <v>0.45</v>
      </c>
      <c r="P868">
        <f t="shared" si="40"/>
        <v>0.39121421898476022</v>
      </c>
      <c r="Q868" t="str">
        <f t="shared" ca="1" si="41"/>
        <v>No</v>
      </c>
    </row>
    <row r="869" spans="1:17" x14ac:dyDescent="0.45">
      <c r="A869" t="s">
        <v>59</v>
      </c>
      <c r="B869" t="s">
        <v>60</v>
      </c>
      <c r="C869" t="s">
        <v>61</v>
      </c>
      <c r="D869" t="s">
        <v>20</v>
      </c>
      <c r="E869" t="s">
        <v>21</v>
      </c>
      <c r="F869" s="1">
        <v>44652</v>
      </c>
      <c r="G869">
        <v>5.64</v>
      </c>
      <c r="H869">
        <v>78.585499999999996</v>
      </c>
      <c r="I869">
        <v>23.31</v>
      </c>
      <c r="J869">
        <v>72.069999999999993</v>
      </c>
      <c r="K869" t="s">
        <v>22</v>
      </c>
      <c r="L869">
        <v>2056.9899999999998</v>
      </c>
      <c r="M869">
        <f>VLOOKUP(K869,RatingLookup!$A$2:$C$8,2,FALSE)</f>
        <v>5.0000000000000001E-3</v>
      </c>
      <c r="N869">
        <f t="shared" si="39"/>
        <v>4.1762458919303302E-4</v>
      </c>
      <c r="O869">
        <f>VLOOKUP(K869,RatingLookup!$A$2:$C$8,3,FALSE)</f>
        <v>0.45</v>
      </c>
      <c r="P869">
        <f t="shared" si="40"/>
        <v>0.38657232167587963</v>
      </c>
      <c r="Q869" t="str">
        <f t="shared" ca="1" si="41"/>
        <v>No</v>
      </c>
    </row>
    <row r="870" spans="1:17" x14ac:dyDescent="0.45">
      <c r="A870" t="s">
        <v>59</v>
      </c>
      <c r="B870" t="s">
        <v>60</v>
      </c>
      <c r="C870" t="s">
        <v>61</v>
      </c>
      <c r="D870" t="s">
        <v>20</v>
      </c>
      <c r="E870" t="s">
        <v>21</v>
      </c>
      <c r="F870" s="1">
        <v>44682</v>
      </c>
      <c r="G870">
        <v>5.84</v>
      </c>
      <c r="H870">
        <v>80.037899999999993</v>
      </c>
      <c r="I870">
        <v>20.079999999999998</v>
      </c>
      <c r="J870">
        <v>73.31</v>
      </c>
      <c r="K870" t="s">
        <v>22</v>
      </c>
      <c r="L870">
        <v>2204.31</v>
      </c>
      <c r="M870">
        <f>VLOOKUP(K870,RatingLookup!$A$2:$C$8,2,FALSE)</f>
        <v>5.0000000000000001E-3</v>
      </c>
      <c r="N870">
        <f t="shared" si="39"/>
        <v>4.1762458919303302E-4</v>
      </c>
      <c r="O870">
        <f>VLOOKUP(K870,RatingLookup!$A$2:$C$8,3,FALSE)</f>
        <v>0.45</v>
      </c>
      <c r="P870">
        <f t="shared" si="40"/>
        <v>0.41425832619184261</v>
      </c>
      <c r="Q870" t="str">
        <f t="shared" ca="1" si="41"/>
        <v>No</v>
      </c>
    </row>
    <row r="871" spans="1:17" x14ac:dyDescent="0.45">
      <c r="A871" t="s">
        <v>59</v>
      </c>
      <c r="B871" t="s">
        <v>60</v>
      </c>
      <c r="C871" t="s">
        <v>61</v>
      </c>
      <c r="D871" t="s">
        <v>20</v>
      </c>
      <c r="E871" t="s">
        <v>21</v>
      </c>
      <c r="F871" s="1">
        <v>44713</v>
      </c>
      <c r="G871">
        <v>4.83</v>
      </c>
      <c r="H871">
        <v>80.265900000000002</v>
      </c>
      <c r="I871">
        <v>17.23</v>
      </c>
      <c r="J871">
        <v>72.62</v>
      </c>
      <c r="K871" t="s">
        <v>22</v>
      </c>
      <c r="L871">
        <v>2075.4899999999998</v>
      </c>
      <c r="M871">
        <f>VLOOKUP(K871,RatingLookup!$A$2:$C$8,2,FALSE)</f>
        <v>5.0000000000000001E-3</v>
      </c>
      <c r="N871">
        <f t="shared" si="39"/>
        <v>4.1762458919303302E-4</v>
      </c>
      <c r="O871">
        <f>VLOOKUP(K871,RatingLookup!$A$2:$C$8,3,FALSE)</f>
        <v>0.45</v>
      </c>
      <c r="P871">
        <f t="shared" si="40"/>
        <v>0.39004904638091159</v>
      </c>
      <c r="Q871" t="str">
        <f t="shared" ca="1" si="41"/>
        <v>No</v>
      </c>
    </row>
    <row r="872" spans="1:17" x14ac:dyDescent="0.45">
      <c r="A872" t="s">
        <v>59</v>
      </c>
      <c r="B872" t="s">
        <v>60</v>
      </c>
      <c r="C872" t="s">
        <v>61</v>
      </c>
      <c r="D872" t="s">
        <v>20</v>
      </c>
      <c r="E872" t="s">
        <v>21</v>
      </c>
      <c r="F872" s="1">
        <v>44743</v>
      </c>
      <c r="G872">
        <v>6.07</v>
      </c>
      <c r="H872">
        <v>82.941900000000004</v>
      </c>
      <c r="I872">
        <v>11.47</v>
      </c>
      <c r="J872">
        <v>72.03</v>
      </c>
      <c r="K872" t="s">
        <v>22</v>
      </c>
      <c r="L872">
        <v>2143.5500000000002</v>
      </c>
      <c r="M872">
        <f>VLOOKUP(K872,RatingLookup!$A$2:$C$8,2,FALSE)</f>
        <v>5.0000000000000001E-3</v>
      </c>
      <c r="N872">
        <f t="shared" si="39"/>
        <v>4.1762458919303302E-4</v>
      </c>
      <c r="O872">
        <f>VLOOKUP(K872,RatingLookup!$A$2:$C$8,3,FALSE)</f>
        <v>0.45</v>
      </c>
      <c r="P872">
        <f t="shared" si="40"/>
        <v>0.4028396346741267</v>
      </c>
      <c r="Q872" t="str">
        <f t="shared" ca="1" si="41"/>
        <v>No</v>
      </c>
    </row>
    <row r="873" spans="1:17" x14ac:dyDescent="0.45">
      <c r="A873" t="s">
        <v>59</v>
      </c>
      <c r="B873" t="s">
        <v>60</v>
      </c>
      <c r="C873" t="s">
        <v>61</v>
      </c>
      <c r="D873" t="s">
        <v>20</v>
      </c>
      <c r="E873" t="s">
        <v>21</v>
      </c>
      <c r="F873" s="1">
        <v>44774</v>
      </c>
      <c r="G873">
        <v>6.27</v>
      </c>
      <c r="H873">
        <v>85.255099999999999</v>
      </c>
      <c r="I873">
        <v>22.82</v>
      </c>
      <c r="J873">
        <v>91.17</v>
      </c>
      <c r="K873" t="s">
        <v>22</v>
      </c>
      <c r="L873">
        <v>2102.5700000000002</v>
      </c>
      <c r="M873">
        <f>VLOOKUP(K873,RatingLookup!$A$2:$C$8,2,FALSE)</f>
        <v>5.0000000000000001E-3</v>
      </c>
      <c r="N873">
        <f t="shared" si="39"/>
        <v>4.1762458919303302E-4</v>
      </c>
      <c r="O873">
        <f>VLOOKUP(K873,RatingLookup!$A$2:$C$8,3,FALSE)</f>
        <v>0.45</v>
      </c>
      <c r="P873">
        <f t="shared" si="40"/>
        <v>0.39513821962481799</v>
      </c>
      <c r="Q873" t="str">
        <f t="shared" ca="1" si="41"/>
        <v>No</v>
      </c>
    </row>
    <row r="874" spans="1:17" x14ac:dyDescent="0.45">
      <c r="A874" t="s">
        <v>59</v>
      </c>
      <c r="B874" t="s">
        <v>60</v>
      </c>
      <c r="C874" t="s">
        <v>61</v>
      </c>
      <c r="D874" t="s">
        <v>20</v>
      </c>
      <c r="E874" t="s">
        <v>21</v>
      </c>
      <c r="F874" s="1">
        <v>44805</v>
      </c>
      <c r="G874">
        <v>5.7</v>
      </c>
      <c r="H874">
        <v>81.202799999999996</v>
      </c>
      <c r="I874">
        <v>19.829999999999998</v>
      </c>
      <c r="J874">
        <v>76.25</v>
      </c>
      <c r="K874" t="s">
        <v>22</v>
      </c>
      <c r="L874">
        <v>2153.85</v>
      </c>
      <c r="M874">
        <f>VLOOKUP(K874,RatingLookup!$A$2:$C$8,2,FALSE)</f>
        <v>5.0000000000000001E-3</v>
      </c>
      <c r="N874">
        <f t="shared" si="39"/>
        <v>4.1762458919303302E-4</v>
      </c>
      <c r="O874">
        <f>VLOOKUP(K874,RatingLookup!$A$2:$C$8,3,FALSE)</f>
        <v>0.45</v>
      </c>
      <c r="P874">
        <f t="shared" si="40"/>
        <v>0.40477532464503641</v>
      </c>
      <c r="Q874" t="str">
        <f t="shared" ca="1" si="41"/>
        <v>No</v>
      </c>
    </row>
    <row r="875" spans="1:17" x14ac:dyDescent="0.45">
      <c r="A875" t="s">
        <v>59</v>
      </c>
      <c r="B875" t="s">
        <v>60</v>
      </c>
      <c r="C875" t="s">
        <v>61</v>
      </c>
      <c r="D875" t="s">
        <v>20</v>
      </c>
      <c r="E875" t="s">
        <v>21</v>
      </c>
      <c r="F875" s="1">
        <v>44835</v>
      </c>
      <c r="G875">
        <v>5.8</v>
      </c>
      <c r="H875">
        <v>82.435500000000005</v>
      </c>
      <c r="I875">
        <v>18.86</v>
      </c>
      <c r="J875">
        <v>85.91</v>
      </c>
      <c r="K875" t="s">
        <v>22</v>
      </c>
      <c r="L875">
        <v>2132.25</v>
      </c>
      <c r="M875">
        <f>VLOOKUP(K875,RatingLookup!$A$2:$C$8,2,FALSE)</f>
        <v>5.0000000000000001E-3</v>
      </c>
      <c r="N875">
        <f t="shared" si="39"/>
        <v>4.1762458919303302E-4</v>
      </c>
      <c r="O875">
        <f>VLOOKUP(K875,RatingLookup!$A$2:$C$8,3,FALSE)</f>
        <v>0.45</v>
      </c>
      <c r="P875">
        <f t="shared" si="40"/>
        <v>0.40071601363808007</v>
      </c>
      <c r="Q875" t="str">
        <f t="shared" ca="1" si="41"/>
        <v>No</v>
      </c>
    </row>
    <row r="876" spans="1:17" x14ac:dyDescent="0.45">
      <c r="A876" t="s">
        <v>59</v>
      </c>
      <c r="B876" t="s">
        <v>60</v>
      </c>
      <c r="C876" t="s">
        <v>61</v>
      </c>
      <c r="D876" t="s">
        <v>20</v>
      </c>
      <c r="E876" t="s">
        <v>21</v>
      </c>
      <c r="F876" s="1">
        <v>44866</v>
      </c>
      <c r="G876">
        <v>5.19</v>
      </c>
      <c r="H876">
        <v>80.280500000000004</v>
      </c>
      <c r="I876">
        <v>23.18</v>
      </c>
      <c r="J876">
        <v>78.62</v>
      </c>
      <c r="K876" t="s">
        <v>22</v>
      </c>
      <c r="L876">
        <v>1896.97</v>
      </c>
      <c r="M876">
        <f>VLOOKUP(K876,RatingLookup!$A$2:$C$8,2,FALSE)</f>
        <v>5.0000000000000001E-3</v>
      </c>
      <c r="N876">
        <f t="shared" si="39"/>
        <v>4.1762458919303302E-4</v>
      </c>
      <c r="O876">
        <f>VLOOKUP(K876,RatingLookup!$A$2:$C$8,3,FALSE)</f>
        <v>0.45</v>
      </c>
      <c r="P876">
        <f t="shared" si="40"/>
        <v>0.35649959263267855</v>
      </c>
      <c r="Q876" t="str">
        <f t="shared" ca="1" si="41"/>
        <v>No</v>
      </c>
    </row>
    <row r="877" spans="1:17" x14ac:dyDescent="0.45">
      <c r="A877" t="s">
        <v>59</v>
      </c>
      <c r="B877" t="s">
        <v>60</v>
      </c>
      <c r="C877" t="s">
        <v>61</v>
      </c>
      <c r="D877" t="s">
        <v>20</v>
      </c>
      <c r="E877" t="s">
        <v>21</v>
      </c>
      <c r="F877" s="1">
        <v>44896</v>
      </c>
      <c r="G877">
        <v>5.62</v>
      </c>
      <c r="H877">
        <v>86.3613</v>
      </c>
      <c r="I877">
        <v>31.3</v>
      </c>
      <c r="J877">
        <v>78.45</v>
      </c>
      <c r="K877" t="s">
        <v>23</v>
      </c>
      <c r="L877">
        <v>2270.79</v>
      </c>
      <c r="M877">
        <f>VLOOKUP(K877,RatingLookup!$A$2:$C$8,2,FALSE)</f>
        <v>1E-3</v>
      </c>
      <c r="N877">
        <f t="shared" si="39"/>
        <v>8.3371552197619714E-5</v>
      </c>
      <c r="O877">
        <f>VLOOKUP(K877,RatingLookup!$A$2:$C$8,3,FALSE)</f>
        <v>0.3</v>
      </c>
      <c r="P877">
        <f t="shared" si="40"/>
        <v>5.6795786104449852E-2</v>
      </c>
      <c r="Q877" t="str">
        <f t="shared" ca="1" si="41"/>
        <v>No</v>
      </c>
    </row>
    <row r="878" spans="1:17" x14ac:dyDescent="0.45">
      <c r="A878" t="s">
        <v>59</v>
      </c>
      <c r="B878" t="s">
        <v>60</v>
      </c>
      <c r="C878" t="s">
        <v>61</v>
      </c>
      <c r="D878" t="s">
        <v>20</v>
      </c>
      <c r="E878" t="s">
        <v>21</v>
      </c>
      <c r="F878" s="1">
        <v>44927</v>
      </c>
      <c r="G878">
        <v>6.37</v>
      </c>
      <c r="H878">
        <v>84.7303</v>
      </c>
      <c r="I878">
        <v>28.36</v>
      </c>
      <c r="J878">
        <v>83.29</v>
      </c>
      <c r="K878" t="s">
        <v>23</v>
      </c>
      <c r="L878">
        <v>1984.1</v>
      </c>
      <c r="M878">
        <f>VLOOKUP(K878,RatingLookup!$A$2:$C$8,2,FALSE)</f>
        <v>1E-3</v>
      </c>
      <c r="N878">
        <f t="shared" si="39"/>
        <v>8.3371552197619714E-5</v>
      </c>
      <c r="O878">
        <f>VLOOKUP(K878,RatingLookup!$A$2:$C$8,3,FALSE)</f>
        <v>0.3</v>
      </c>
      <c r="P878">
        <f t="shared" si="40"/>
        <v>4.962524901458918E-2</v>
      </c>
      <c r="Q878" t="str">
        <f t="shared" ca="1" si="41"/>
        <v>No</v>
      </c>
    </row>
    <row r="879" spans="1:17" x14ac:dyDescent="0.45">
      <c r="A879" t="s">
        <v>59</v>
      </c>
      <c r="B879" t="s">
        <v>60</v>
      </c>
      <c r="C879" t="s">
        <v>61</v>
      </c>
      <c r="D879" t="s">
        <v>20</v>
      </c>
      <c r="E879" t="s">
        <v>21</v>
      </c>
      <c r="F879" s="1">
        <v>44958</v>
      </c>
      <c r="G879">
        <v>5.63</v>
      </c>
      <c r="H879">
        <v>82.023899999999998</v>
      </c>
      <c r="I879">
        <v>21.64</v>
      </c>
      <c r="J879">
        <v>73.099999999999994</v>
      </c>
      <c r="K879" t="s">
        <v>23</v>
      </c>
      <c r="L879">
        <v>2121.21</v>
      </c>
      <c r="M879">
        <f>VLOOKUP(K879,RatingLookup!$A$2:$C$8,2,FALSE)</f>
        <v>1E-3</v>
      </c>
      <c r="N879">
        <f t="shared" si="39"/>
        <v>8.3371552197619714E-5</v>
      </c>
      <c r="O879">
        <f>VLOOKUP(K879,RatingLookup!$A$2:$C$8,3,FALSE)</f>
        <v>0.3</v>
      </c>
      <c r="P879">
        <f t="shared" si="40"/>
        <v>5.3054571071133878E-2</v>
      </c>
      <c r="Q879" t="str">
        <f t="shared" ca="1" si="41"/>
        <v>No</v>
      </c>
    </row>
    <row r="880" spans="1:17" x14ac:dyDescent="0.45">
      <c r="A880" t="s">
        <v>59</v>
      </c>
      <c r="B880" t="s">
        <v>60</v>
      </c>
      <c r="C880" t="s">
        <v>61</v>
      </c>
      <c r="D880" t="s">
        <v>20</v>
      </c>
      <c r="E880" t="s">
        <v>21</v>
      </c>
      <c r="F880" s="1">
        <v>44986</v>
      </c>
      <c r="G880">
        <v>6.09</v>
      </c>
      <c r="H880">
        <v>84.375</v>
      </c>
      <c r="I880">
        <v>16.64</v>
      </c>
      <c r="J880">
        <v>78.650000000000006</v>
      </c>
      <c r="K880" t="s">
        <v>23</v>
      </c>
      <c r="L880">
        <v>2064.87</v>
      </c>
      <c r="M880">
        <f>VLOOKUP(K880,RatingLookup!$A$2:$C$8,2,FALSE)</f>
        <v>1E-3</v>
      </c>
      <c r="N880">
        <f t="shared" si="39"/>
        <v>8.3371552197619714E-5</v>
      </c>
      <c r="O880">
        <f>VLOOKUP(K880,RatingLookup!$A$2:$C$8,3,FALSE)</f>
        <v>0.3</v>
      </c>
      <c r="P880">
        <f t="shared" si="40"/>
        <v>5.1645425095889701E-2</v>
      </c>
      <c r="Q880" t="str">
        <f t="shared" ca="1" si="41"/>
        <v>No</v>
      </c>
    </row>
    <row r="881" spans="1:17" x14ac:dyDescent="0.45">
      <c r="A881" t="s">
        <v>59</v>
      </c>
      <c r="B881" t="s">
        <v>60</v>
      </c>
      <c r="C881" t="s">
        <v>61</v>
      </c>
      <c r="D881" t="s">
        <v>20</v>
      </c>
      <c r="E881" t="s">
        <v>21</v>
      </c>
      <c r="F881" s="1">
        <v>45017</v>
      </c>
      <c r="G881">
        <v>5.12</v>
      </c>
      <c r="H881">
        <v>81.219899999999996</v>
      </c>
      <c r="I881">
        <v>19.47</v>
      </c>
      <c r="J881">
        <v>83.31</v>
      </c>
      <c r="K881" t="s">
        <v>23</v>
      </c>
      <c r="L881">
        <v>2013.63</v>
      </c>
      <c r="M881">
        <f>VLOOKUP(K881,RatingLookup!$A$2:$C$8,2,FALSE)</f>
        <v>1E-3</v>
      </c>
      <c r="N881">
        <f t="shared" si="39"/>
        <v>8.3371552197619714E-5</v>
      </c>
      <c r="O881">
        <f>VLOOKUP(K881,RatingLookup!$A$2:$C$8,3,FALSE)</f>
        <v>0.3</v>
      </c>
      <c r="P881">
        <f t="shared" si="40"/>
        <v>5.0363837595507895E-2</v>
      </c>
      <c r="Q881" t="str">
        <f t="shared" ca="1" si="41"/>
        <v>No</v>
      </c>
    </row>
    <row r="882" spans="1:17" x14ac:dyDescent="0.45">
      <c r="A882" t="s">
        <v>59</v>
      </c>
      <c r="B882" t="s">
        <v>60</v>
      </c>
      <c r="C882" t="s">
        <v>61</v>
      </c>
      <c r="D882" t="s">
        <v>20</v>
      </c>
      <c r="E882" t="s">
        <v>21</v>
      </c>
      <c r="F882" s="1">
        <v>45047</v>
      </c>
      <c r="G882">
        <v>5.42</v>
      </c>
      <c r="H882">
        <v>81.293999999999997</v>
      </c>
      <c r="I882">
        <v>23.28</v>
      </c>
      <c r="J882">
        <v>80.17</v>
      </c>
      <c r="K882" t="s">
        <v>23</v>
      </c>
      <c r="L882">
        <v>2087.48</v>
      </c>
      <c r="M882">
        <f>VLOOKUP(K882,RatingLookup!$A$2:$C$8,2,FALSE)</f>
        <v>1E-3</v>
      </c>
      <c r="N882">
        <f t="shared" si="39"/>
        <v>8.3371552197619714E-5</v>
      </c>
      <c r="O882">
        <f>VLOOKUP(K882,RatingLookup!$A$2:$C$8,3,FALSE)</f>
        <v>0.3</v>
      </c>
      <c r="P882">
        <f t="shared" si="40"/>
        <v>5.2210934334446159E-2</v>
      </c>
      <c r="Q882" t="str">
        <f t="shared" ca="1" si="41"/>
        <v>No</v>
      </c>
    </row>
    <row r="883" spans="1:17" x14ac:dyDescent="0.45">
      <c r="A883" t="s">
        <v>59</v>
      </c>
      <c r="B883" t="s">
        <v>60</v>
      </c>
      <c r="C883" t="s">
        <v>61</v>
      </c>
      <c r="D883" t="s">
        <v>20</v>
      </c>
      <c r="E883" t="s">
        <v>21</v>
      </c>
      <c r="F883" s="1">
        <v>45078</v>
      </c>
      <c r="G883">
        <v>5.12</v>
      </c>
      <c r="H883">
        <v>81.567300000000003</v>
      </c>
      <c r="I883">
        <v>21.7</v>
      </c>
      <c r="J883">
        <v>77.97</v>
      </c>
      <c r="K883" t="s">
        <v>23</v>
      </c>
      <c r="L883">
        <v>2149.9</v>
      </c>
      <c r="M883">
        <f>VLOOKUP(K883,RatingLookup!$A$2:$C$8,2,FALSE)</f>
        <v>1E-3</v>
      </c>
      <c r="N883">
        <f t="shared" si="39"/>
        <v>8.3371552197619714E-5</v>
      </c>
      <c r="O883">
        <f>VLOOKUP(K883,RatingLookup!$A$2:$C$8,3,FALSE)</f>
        <v>0.3</v>
      </c>
      <c r="P883">
        <f t="shared" si="40"/>
        <v>5.3772150020898787E-2</v>
      </c>
      <c r="Q883" t="str">
        <f t="shared" ca="1" si="41"/>
        <v>No</v>
      </c>
    </row>
    <row r="884" spans="1:17" x14ac:dyDescent="0.45">
      <c r="A884" t="s">
        <v>59</v>
      </c>
      <c r="B884" t="s">
        <v>60</v>
      </c>
      <c r="C884" t="s">
        <v>61</v>
      </c>
      <c r="D884" t="s">
        <v>20</v>
      </c>
      <c r="E884" t="s">
        <v>21</v>
      </c>
      <c r="F884" s="1">
        <v>45108</v>
      </c>
      <c r="G884">
        <v>5.93</v>
      </c>
      <c r="H884">
        <v>89.7316</v>
      </c>
      <c r="I884">
        <v>22.25</v>
      </c>
      <c r="J884">
        <v>95.34</v>
      </c>
      <c r="K884" t="s">
        <v>23</v>
      </c>
      <c r="L884">
        <v>2156.1999999999998</v>
      </c>
      <c r="M884">
        <f>VLOOKUP(K884,RatingLookup!$A$2:$C$8,2,FALSE)</f>
        <v>1E-3</v>
      </c>
      <c r="N884">
        <f t="shared" si="39"/>
        <v>8.3371552197619714E-5</v>
      </c>
      <c r="O884">
        <f>VLOOKUP(K884,RatingLookup!$A$2:$C$8,3,FALSE)</f>
        <v>0.3</v>
      </c>
      <c r="P884">
        <f t="shared" si="40"/>
        <v>5.3929722254552281E-2</v>
      </c>
      <c r="Q884" t="str">
        <f t="shared" ca="1" si="41"/>
        <v>No</v>
      </c>
    </row>
    <row r="885" spans="1:17" x14ac:dyDescent="0.45">
      <c r="A885" t="s">
        <v>59</v>
      </c>
      <c r="B885" t="s">
        <v>60</v>
      </c>
      <c r="C885" t="s">
        <v>61</v>
      </c>
      <c r="D885" t="s">
        <v>20</v>
      </c>
      <c r="E885" t="s">
        <v>21</v>
      </c>
      <c r="F885" s="1">
        <v>45139</v>
      </c>
      <c r="G885">
        <v>4.9400000000000004</v>
      </c>
      <c r="H885">
        <v>81.370099999999994</v>
      </c>
      <c r="I885">
        <v>18.420000000000002</v>
      </c>
      <c r="J885">
        <v>77.75</v>
      </c>
      <c r="K885" t="s">
        <v>23</v>
      </c>
      <c r="L885">
        <v>1999.12</v>
      </c>
      <c r="M885">
        <f>VLOOKUP(K885,RatingLookup!$A$2:$C$8,2,FALSE)</f>
        <v>1E-3</v>
      </c>
      <c r="N885">
        <f t="shared" si="39"/>
        <v>8.3371552197619714E-5</v>
      </c>
      <c r="O885">
        <f>VLOOKUP(K885,RatingLookup!$A$2:$C$8,3,FALSE)</f>
        <v>0.3</v>
      </c>
      <c r="P885">
        <f t="shared" si="40"/>
        <v>5.0000921228791656E-2</v>
      </c>
      <c r="Q885" t="str">
        <f t="shared" ca="1" si="41"/>
        <v>No</v>
      </c>
    </row>
    <row r="886" spans="1:17" x14ac:dyDescent="0.45">
      <c r="A886" t="s">
        <v>59</v>
      </c>
      <c r="B886" t="s">
        <v>60</v>
      </c>
      <c r="C886" t="s">
        <v>61</v>
      </c>
      <c r="D886" t="s">
        <v>20</v>
      </c>
      <c r="E886" t="s">
        <v>21</v>
      </c>
      <c r="F886" s="1">
        <v>45170</v>
      </c>
      <c r="G886">
        <v>6.63</v>
      </c>
      <c r="H886">
        <v>84.680199999999999</v>
      </c>
      <c r="I886">
        <v>19.5</v>
      </c>
      <c r="J886">
        <v>84.03</v>
      </c>
      <c r="K886" t="s">
        <v>23</v>
      </c>
      <c r="L886">
        <v>2080.0100000000002</v>
      </c>
      <c r="M886">
        <f>VLOOKUP(K886,RatingLookup!$A$2:$C$8,2,FALSE)</f>
        <v>1E-3</v>
      </c>
      <c r="N886">
        <f t="shared" si="39"/>
        <v>8.3371552197619714E-5</v>
      </c>
      <c r="O886">
        <f>VLOOKUP(K886,RatingLookup!$A$2:$C$8,3,FALSE)</f>
        <v>0.3</v>
      </c>
      <c r="P886">
        <f t="shared" si="40"/>
        <v>5.2024098685971291E-2</v>
      </c>
      <c r="Q886" t="str">
        <f t="shared" ca="1" si="41"/>
        <v>No</v>
      </c>
    </row>
    <row r="887" spans="1:17" x14ac:dyDescent="0.45">
      <c r="A887" t="s">
        <v>59</v>
      </c>
      <c r="B887" t="s">
        <v>60</v>
      </c>
      <c r="C887" t="s">
        <v>61</v>
      </c>
      <c r="D887" t="s">
        <v>20</v>
      </c>
      <c r="E887" t="s">
        <v>21</v>
      </c>
      <c r="F887" s="1">
        <v>45200</v>
      </c>
      <c r="G887">
        <v>5.52</v>
      </c>
      <c r="H887">
        <v>82.9529</v>
      </c>
      <c r="I887">
        <v>21.1</v>
      </c>
      <c r="J887">
        <v>84.67</v>
      </c>
      <c r="K887" t="s">
        <v>23</v>
      </c>
      <c r="L887">
        <v>2160.59</v>
      </c>
      <c r="M887">
        <f>VLOOKUP(K887,RatingLookup!$A$2:$C$8,2,FALSE)</f>
        <v>1E-3</v>
      </c>
      <c r="N887">
        <f t="shared" si="39"/>
        <v>8.3371552197619714E-5</v>
      </c>
      <c r="O887">
        <f>VLOOKUP(K887,RatingLookup!$A$2:$C$8,3,FALSE)</f>
        <v>0.3</v>
      </c>
      <c r="P887">
        <f t="shared" si="40"/>
        <v>5.4039522588796553E-2</v>
      </c>
      <c r="Q887" t="str">
        <f t="shared" ca="1" si="41"/>
        <v>No</v>
      </c>
    </row>
    <row r="888" spans="1:17" x14ac:dyDescent="0.45">
      <c r="A888" t="s">
        <v>59</v>
      </c>
      <c r="B888" t="s">
        <v>60</v>
      </c>
      <c r="C888" t="s">
        <v>61</v>
      </c>
      <c r="D888" t="s">
        <v>20</v>
      </c>
      <c r="E888" t="s">
        <v>21</v>
      </c>
      <c r="F888" s="1">
        <v>45231</v>
      </c>
      <c r="G888">
        <v>6.19</v>
      </c>
      <c r="H888">
        <v>82.679599999999994</v>
      </c>
      <c r="I888">
        <v>21.65</v>
      </c>
      <c r="J888">
        <v>77.430000000000007</v>
      </c>
      <c r="K888" t="s">
        <v>23</v>
      </c>
      <c r="L888">
        <v>2197.94</v>
      </c>
      <c r="M888">
        <f>VLOOKUP(K888,RatingLookup!$A$2:$C$8,2,FALSE)</f>
        <v>1E-3</v>
      </c>
      <c r="N888">
        <f t="shared" si="39"/>
        <v>8.3371552197619714E-5</v>
      </c>
      <c r="O888">
        <f>VLOOKUP(K888,RatingLookup!$A$2:$C$8,3,FALSE)</f>
        <v>0.3</v>
      </c>
      <c r="P888">
        <f t="shared" si="40"/>
        <v>5.4973700831170882E-2</v>
      </c>
      <c r="Q888" t="str">
        <f t="shared" ca="1" si="41"/>
        <v>No</v>
      </c>
    </row>
    <row r="889" spans="1:17" x14ac:dyDescent="0.45">
      <c r="A889" t="s">
        <v>59</v>
      </c>
      <c r="B889" t="s">
        <v>60</v>
      </c>
      <c r="C889" t="s">
        <v>61</v>
      </c>
      <c r="D889" t="s">
        <v>20</v>
      </c>
      <c r="E889" t="s">
        <v>21</v>
      </c>
      <c r="F889" s="1">
        <v>45261</v>
      </c>
      <c r="G889">
        <v>5.01</v>
      </c>
      <c r="H889">
        <v>84.753600000000006</v>
      </c>
      <c r="I889">
        <v>18.309999999999999</v>
      </c>
      <c r="J889">
        <v>65.569999999999993</v>
      </c>
      <c r="K889" t="s">
        <v>23</v>
      </c>
      <c r="L889">
        <v>2215.59</v>
      </c>
      <c r="M889">
        <f>VLOOKUP(K889,RatingLookup!$A$2:$C$8,2,FALSE)</f>
        <v>1E-3</v>
      </c>
      <c r="N889">
        <f t="shared" si="39"/>
        <v>8.3371552197619714E-5</v>
      </c>
      <c r="O889">
        <f>VLOOKUP(K889,RatingLookup!$A$2:$C$8,3,FALSE)</f>
        <v>0.3</v>
      </c>
      <c r="P889">
        <f t="shared" si="40"/>
        <v>5.5415153200057278E-2</v>
      </c>
      <c r="Q889" t="str">
        <f t="shared" ca="1" si="41"/>
        <v>No</v>
      </c>
    </row>
    <row r="890" spans="1:17" x14ac:dyDescent="0.45">
      <c r="A890" t="s">
        <v>59</v>
      </c>
      <c r="B890" t="s">
        <v>60</v>
      </c>
      <c r="C890" t="s">
        <v>61</v>
      </c>
      <c r="D890" t="s">
        <v>20</v>
      </c>
      <c r="E890" t="s">
        <v>21</v>
      </c>
      <c r="F890" s="1">
        <v>45292</v>
      </c>
      <c r="G890">
        <v>5.04</v>
      </c>
      <c r="H890">
        <v>78.992400000000004</v>
      </c>
      <c r="I890">
        <v>18.97</v>
      </c>
      <c r="J890">
        <v>91.63</v>
      </c>
      <c r="K890" t="s">
        <v>23</v>
      </c>
      <c r="L890">
        <v>2022.72</v>
      </c>
      <c r="M890">
        <f>VLOOKUP(K890,RatingLookup!$A$2:$C$8,2,FALSE)</f>
        <v>1E-3</v>
      </c>
      <c r="N890">
        <f t="shared" si="39"/>
        <v>8.3371552197619714E-5</v>
      </c>
      <c r="O890">
        <f>VLOOKUP(K890,RatingLookup!$A$2:$C$8,3,FALSE)</f>
        <v>0.3</v>
      </c>
      <c r="P890">
        <f t="shared" si="40"/>
        <v>5.0591191818350804E-2</v>
      </c>
      <c r="Q890" t="str">
        <f t="shared" ca="1" si="41"/>
        <v>No</v>
      </c>
    </row>
    <row r="891" spans="1:17" x14ac:dyDescent="0.45">
      <c r="A891" t="s">
        <v>59</v>
      </c>
      <c r="B891" t="s">
        <v>60</v>
      </c>
      <c r="C891" t="s">
        <v>61</v>
      </c>
      <c r="D891" t="s">
        <v>20</v>
      </c>
      <c r="E891" t="s">
        <v>21</v>
      </c>
      <c r="F891" s="1">
        <v>45323</v>
      </c>
      <c r="G891">
        <v>6.46</v>
      </c>
      <c r="H891">
        <v>80.517899999999997</v>
      </c>
      <c r="I891">
        <v>22.39</v>
      </c>
      <c r="J891">
        <v>88.26</v>
      </c>
      <c r="K891" t="s">
        <v>23</v>
      </c>
      <c r="L891">
        <v>2058.6999999999998</v>
      </c>
      <c r="M891">
        <f>VLOOKUP(K891,RatingLookup!$A$2:$C$8,2,FALSE)</f>
        <v>1E-3</v>
      </c>
      <c r="N891">
        <f t="shared" si="39"/>
        <v>8.3371552197619714E-5</v>
      </c>
      <c r="O891">
        <f>VLOOKUP(K891,RatingLookup!$A$2:$C$8,3,FALSE)</f>
        <v>0.3</v>
      </c>
      <c r="P891">
        <f t="shared" si="40"/>
        <v>5.1491104352771905E-2</v>
      </c>
      <c r="Q891" t="str">
        <f t="shared" ca="1" si="41"/>
        <v>No</v>
      </c>
    </row>
    <row r="892" spans="1:17" x14ac:dyDescent="0.45">
      <c r="A892" t="s">
        <v>59</v>
      </c>
      <c r="B892" t="s">
        <v>60</v>
      </c>
      <c r="C892" t="s">
        <v>61</v>
      </c>
      <c r="D892" t="s">
        <v>20</v>
      </c>
      <c r="E892" t="s">
        <v>21</v>
      </c>
      <c r="F892" s="1">
        <v>45352</v>
      </c>
      <c r="G892">
        <v>4.9000000000000004</v>
      </c>
      <c r="H892">
        <v>79.176900000000003</v>
      </c>
      <c r="I892">
        <v>26.32</v>
      </c>
      <c r="J892">
        <v>80.23</v>
      </c>
      <c r="K892" t="s">
        <v>23</v>
      </c>
      <c r="L892">
        <v>2078.31</v>
      </c>
      <c r="M892">
        <f>VLOOKUP(K892,RatingLookup!$A$2:$C$8,2,FALSE)</f>
        <v>1E-3</v>
      </c>
      <c r="N892">
        <f t="shared" si="39"/>
        <v>8.3371552197619714E-5</v>
      </c>
      <c r="O892">
        <f>VLOOKUP(K892,RatingLookup!$A$2:$C$8,3,FALSE)</f>
        <v>0.3</v>
      </c>
      <c r="P892">
        <f t="shared" si="40"/>
        <v>5.1981579194350508E-2</v>
      </c>
      <c r="Q892" t="str">
        <f t="shared" ca="1" si="41"/>
        <v>No</v>
      </c>
    </row>
    <row r="893" spans="1:17" x14ac:dyDescent="0.45">
      <c r="A893" t="s">
        <v>59</v>
      </c>
      <c r="B893" t="s">
        <v>60</v>
      </c>
      <c r="C893" t="s">
        <v>61</v>
      </c>
      <c r="D893" t="s">
        <v>20</v>
      </c>
      <c r="E893" t="s">
        <v>21</v>
      </c>
      <c r="F893" s="1">
        <v>45383</v>
      </c>
      <c r="G893">
        <v>4.62</v>
      </c>
      <c r="H893">
        <v>77.658799999999999</v>
      </c>
      <c r="I893">
        <v>15.23</v>
      </c>
      <c r="J893">
        <v>98.03</v>
      </c>
      <c r="K893" t="s">
        <v>23</v>
      </c>
      <c r="L893">
        <v>2269.0500000000002</v>
      </c>
      <c r="M893">
        <f>VLOOKUP(K893,RatingLookup!$A$2:$C$8,2,FALSE)</f>
        <v>1E-3</v>
      </c>
      <c r="N893">
        <f t="shared" si="39"/>
        <v>8.3371552197619714E-5</v>
      </c>
      <c r="O893">
        <f>VLOOKUP(K893,RatingLookup!$A$2:$C$8,3,FALSE)</f>
        <v>0.3</v>
      </c>
      <c r="P893">
        <f t="shared" si="40"/>
        <v>5.6752266154202709E-2</v>
      </c>
      <c r="Q893" t="str">
        <f t="shared" ca="1" si="41"/>
        <v>No</v>
      </c>
    </row>
    <row r="894" spans="1:17" x14ac:dyDescent="0.45">
      <c r="A894" t="s">
        <v>59</v>
      </c>
      <c r="B894" t="s">
        <v>60</v>
      </c>
      <c r="C894" t="s">
        <v>61</v>
      </c>
      <c r="D894" t="s">
        <v>20</v>
      </c>
      <c r="E894" t="s">
        <v>21</v>
      </c>
      <c r="F894" s="1">
        <v>45413</v>
      </c>
      <c r="G894">
        <v>5.78</v>
      </c>
      <c r="H894">
        <v>83.374600000000001</v>
      </c>
      <c r="I894">
        <v>29.75</v>
      </c>
      <c r="J894">
        <v>83.6</v>
      </c>
      <c r="K894" t="s">
        <v>23</v>
      </c>
      <c r="L894">
        <v>2259.36</v>
      </c>
      <c r="M894">
        <f>VLOOKUP(K894,RatingLookup!$A$2:$C$8,2,FALSE)</f>
        <v>1E-3</v>
      </c>
      <c r="N894">
        <f t="shared" si="39"/>
        <v>8.3371552197619714E-5</v>
      </c>
      <c r="O894">
        <f>VLOOKUP(K894,RatingLookup!$A$2:$C$8,3,FALSE)</f>
        <v>0.3</v>
      </c>
      <c r="P894">
        <f t="shared" si="40"/>
        <v>5.6509905051964224E-2</v>
      </c>
      <c r="Q894" t="str">
        <f t="shared" ca="1" si="41"/>
        <v>No</v>
      </c>
    </row>
    <row r="895" spans="1:17" x14ac:dyDescent="0.45">
      <c r="A895" t="s">
        <v>59</v>
      </c>
      <c r="B895" t="s">
        <v>60</v>
      </c>
      <c r="C895" t="s">
        <v>61</v>
      </c>
      <c r="D895" t="s">
        <v>20</v>
      </c>
      <c r="E895" t="s">
        <v>21</v>
      </c>
      <c r="F895" s="1">
        <v>45444</v>
      </c>
      <c r="G895">
        <v>5.61</v>
      </c>
      <c r="H895">
        <v>77.978999999999999</v>
      </c>
      <c r="I895">
        <v>11.91</v>
      </c>
      <c r="J895">
        <v>70.45</v>
      </c>
      <c r="K895" t="s">
        <v>23</v>
      </c>
      <c r="L895">
        <v>2111.15</v>
      </c>
      <c r="M895">
        <f>VLOOKUP(K895,RatingLookup!$A$2:$C$8,2,FALSE)</f>
        <v>1E-3</v>
      </c>
      <c r="N895">
        <f t="shared" si="39"/>
        <v>8.3371552197619714E-5</v>
      </c>
      <c r="O895">
        <f>VLOOKUP(K895,RatingLookup!$A$2:$C$8,3,FALSE)</f>
        <v>0.3</v>
      </c>
      <c r="P895">
        <f t="shared" si="40"/>
        <v>5.2802955726601458E-2</v>
      </c>
      <c r="Q895" t="str">
        <f t="shared" ca="1" si="41"/>
        <v>No</v>
      </c>
    </row>
    <row r="896" spans="1:17" x14ac:dyDescent="0.45">
      <c r="A896" t="s">
        <v>59</v>
      </c>
      <c r="B896" t="s">
        <v>60</v>
      </c>
      <c r="C896" t="s">
        <v>61</v>
      </c>
      <c r="D896" t="s">
        <v>20</v>
      </c>
      <c r="E896" t="s">
        <v>21</v>
      </c>
      <c r="F896" s="1">
        <v>45474</v>
      </c>
      <c r="G896">
        <v>6.75</v>
      </c>
      <c r="H896">
        <v>83.986000000000004</v>
      </c>
      <c r="I896">
        <v>18.45</v>
      </c>
      <c r="J896">
        <v>92.79</v>
      </c>
      <c r="K896" t="s">
        <v>23</v>
      </c>
      <c r="L896">
        <v>1990.71</v>
      </c>
      <c r="M896">
        <f>VLOOKUP(K896,RatingLookup!$A$2:$C$8,2,FALSE)</f>
        <v>1E-3</v>
      </c>
      <c r="N896">
        <f t="shared" si="39"/>
        <v>8.3371552197619714E-5</v>
      </c>
      <c r="O896">
        <f>VLOOKUP(K896,RatingLookup!$A$2:$C$8,3,FALSE)</f>
        <v>0.3</v>
      </c>
      <c r="P896">
        <f t="shared" si="40"/>
        <v>4.9790574802597062E-2</v>
      </c>
      <c r="Q896" t="str">
        <f t="shared" ca="1" si="41"/>
        <v>No</v>
      </c>
    </row>
    <row r="897" spans="1:17" x14ac:dyDescent="0.45">
      <c r="A897" t="s">
        <v>59</v>
      </c>
      <c r="B897" t="s">
        <v>60</v>
      </c>
      <c r="C897" t="s">
        <v>61</v>
      </c>
      <c r="D897" t="s">
        <v>20</v>
      </c>
      <c r="E897" t="s">
        <v>21</v>
      </c>
      <c r="F897" s="1">
        <v>45505</v>
      </c>
      <c r="G897">
        <v>5.21</v>
      </c>
      <c r="H897">
        <v>85.339600000000004</v>
      </c>
      <c r="I897">
        <v>21.93</v>
      </c>
      <c r="J897">
        <v>85.37</v>
      </c>
      <c r="K897" t="s">
        <v>23</v>
      </c>
      <c r="L897">
        <v>2105.21</v>
      </c>
      <c r="M897">
        <f>VLOOKUP(K897,RatingLookup!$A$2:$C$8,2,FALSE)</f>
        <v>1E-3</v>
      </c>
      <c r="N897">
        <f t="shared" si="39"/>
        <v>8.3371552197619714E-5</v>
      </c>
      <c r="O897">
        <f>VLOOKUP(K897,RatingLookup!$A$2:$C$8,3,FALSE)</f>
        <v>0.3</v>
      </c>
      <c r="P897">
        <f t="shared" si="40"/>
        <v>5.2654387620585302E-2</v>
      </c>
      <c r="Q897" t="str">
        <f t="shared" ca="1" si="41"/>
        <v>No</v>
      </c>
    </row>
    <row r="898" spans="1:17" x14ac:dyDescent="0.45">
      <c r="A898" t="s">
        <v>59</v>
      </c>
      <c r="B898" t="s">
        <v>60</v>
      </c>
      <c r="C898" t="s">
        <v>61</v>
      </c>
      <c r="D898" t="s">
        <v>20</v>
      </c>
      <c r="E898" t="s">
        <v>21</v>
      </c>
      <c r="F898" s="1">
        <v>45536</v>
      </c>
      <c r="G898">
        <v>4.7300000000000004</v>
      </c>
      <c r="H898">
        <v>84.983199999999997</v>
      </c>
      <c r="I898">
        <v>19.399999999999999</v>
      </c>
      <c r="J898">
        <v>93.16</v>
      </c>
      <c r="K898" t="s">
        <v>48</v>
      </c>
      <c r="L898">
        <v>2168.9899999999998</v>
      </c>
      <c r="M898">
        <f>VLOOKUP(K898,RatingLookup!$A$2:$C$8,2,FALSE)</f>
        <v>5.0000000000000001E-4</v>
      </c>
      <c r="N898">
        <f t="shared" ref="N898:N961" si="42">1-(1-M898)^(1/12)</f>
        <v>4.167621832917856E-5</v>
      </c>
      <c r="O898">
        <f>VLOOKUP(K898,RatingLookup!$A$2:$C$8,3,FALSE)</f>
        <v>0.25</v>
      </c>
      <c r="P898">
        <f t="shared" ref="P898:P961" si="43">L898*N898*O898</f>
        <v>2.2598825198451248E-2</v>
      </c>
      <c r="Q898" t="str">
        <f t="shared" ref="Q898:Q961" ca="1" si="44">IF(RAND()&lt;N898,"Yes","No")</f>
        <v>No</v>
      </c>
    </row>
    <row r="899" spans="1:17" x14ac:dyDescent="0.45">
      <c r="A899" t="s">
        <v>59</v>
      </c>
      <c r="B899" t="s">
        <v>60</v>
      </c>
      <c r="C899" t="s">
        <v>61</v>
      </c>
      <c r="D899" t="s">
        <v>20</v>
      </c>
      <c r="E899" t="s">
        <v>21</v>
      </c>
      <c r="F899" s="1">
        <v>45566</v>
      </c>
      <c r="G899">
        <v>4.8600000000000003</v>
      </c>
      <c r="H899">
        <v>82.572100000000006</v>
      </c>
      <c r="I899">
        <v>24.88</v>
      </c>
      <c r="J899">
        <v>61.9</v>
      </c>
      <c r="K899" t="s">
        <v>48</v>
      </c>
      <c r="L899">
        <v>2309.94</v>
      </c>
      <c r="M899">
        <f>VLOOKUP(K899,RatingLookup!$A$2:$C$8,2,FALSE)</f>
        <v>5.0000000000000001E-4</v>
      </c>
      <c r="N899">
        <f t="shared" si="42"/>
        <v>4.167621832917856E-5</v>
      </c>
      <c r="O899">
        <f>VLOOKUP(K899,RatingLookup!$A$2:$C$8,3,FALSE)</f>
        <v>0.25</v>
      </c>
      <c r="P899">
        <f t="shared" si="43"/>
        <v>2.4067390941825681E-2</v>
      </c>
      <c r="Q899" t="str">
        <f t="shared" ca="1" si="44"/>
        <v>No</v>
      </c>
    </row>
    <row r="900" spans="1:17" x14ac:dyDescent="0.45">
      <c r="A900" t="s">
        <v>59</v>
      </c>
      <c r="B900" t="s">
        <v>60</v>
      </c>
      <c r="C900" t="s">
        <v>61</v>
      </c>
      <c r="D900" t="s">
        <v>20</v>
      </c>
      <c r="E900" t="s">
        <v>21</v>
      </c>
      <c r="F900" s="1">
        <v>45597</v>
      </c>
      <c r="G900">
        <v>5.67</v>
      </c>
      <c r="H900">
        <v>83.055700000000002</v>
      </c>
      <c r="I900">
        <v>23.9</v>
      </c>
      <c r="J900">
        <v>64.790000000000006</v>
      </c>
      <c r="K900" t="s">
        <v>48</v>
      </c>
      <c r="L900">
        <v>2232.21</v>
      </c>
      <c r="M900">
        <f>VLOOKUP(K900,RatingLookup!$A$2:$C$8,2,FALSE)</f>
        <v>5.0000000000000001E-4</v>
      </c>
      <c r="N900">
        <f t="shared" si="42"/>
        <v>4.167621832917856E-5</v>
      </c>
      <c r="O900">
        <f>VLOOKUP(K900,RatingLookup!$A$2:$C$8,3,FALSE)</f>
        <v>0.25</v>
      </c>
      <c r="P900">
        <f t="shared" si="43"/>
        <v>2.3257517829143919E-2</v>
      </c>
      <c r="Q900" t="str">
        <f t="shared" ca="1" si="44"/>
        <v>No</v>
      </c>
    </row>
    <row r="901" spans="1:17" x14ac:dyDescent="0.45">
      <c r="A901" t="s">
        <v>59</v>
      </c>
      <c r="B901" t="s">
        <v>60</v>
      </c>
      <c r="C901" t="s">
        <v>61</v>
      </c>
      <c r="D901" t="s">
        <v>20</v>
      </c>
      <c r="E901" t="s">
        <v>21</v>
      </c>
      <c r="F901" s="1">
        <v>45627</v>
      </c>
      <c r="G901">
        <v>5.98</v>
      </c>
      <c r="H901">
        <v>79.5077</v>
      </c>
      <c r="I901">
        <v>17.13</v>
      </c>
      <c r="J901">
        <v>67.290000000000006</v>
      </c>
      <c r="K901" t="s">
        <v>48</v>
      </c>
      <c r="L901">
        <v>1969.54</v>
      </c>
      <c r="M901">
        <f>VLOOKUP(K901,RatingLookup!$A$2:$C$8,2,FALSE)</f>
        <v>5.0000000000000001E-4</v>
      </c>
      <c r="N901">
        <f t="shared" si="42"/>
        <v>4.167621832917856E-5</v>
      </c>
      <c r="O901">
        <f>VLOOKUP(K901,RatingLookup!$A$2:$C$8,3,FALSE)</f>
        <v>0.25</v>
      </c>
      <c r="P901">
        <f t="shared" si="43"/>
        <v>2.0520744762012585E-2</v>
      </c>
      <c r="Q901" t="str">
        <f t="shared" ca="1" si="44"/>
        <v>No</v>
      </c>
    </row>
    <row r="902" spans="1:17" x14ac:dyDescent="0.45">
      <c r="A902" t="s">
        <v>62</v>
      </c>
      <c r="B902" t="s">
        <v>63</v>
      </c>
      <c r="C902" t="s">
        <v>35</v>
      </c>
      <c r="D902" t="s">
        <v>20</v>
      </c>
      <c r="E902" t="s">
        <v>21</v>
      </c>
      <c r="F902" s="1">
        <v>43831</v>
      </c>
      <c r="G902">
        <v>7.18</v>
      </c>
      <c r="H902">
        <v>83.371700000000004</v>
      </c>
      <c r="I902">
        <v>28.51</v>
      </c>
      <c r="J902">
        <v>74.56</v>
      </c>
      <c r="K902" t="s">
        <v>31</v>
      </c>
      <c r="L902">
        <v>4301.03</v>
      </c>
      <c r="M902">
        <f>VLOOKUP(K902,RatingLookup!$A$2:$C$8,2,FALSE)</f>
        <v>0.04</v>
      </c>
      <c r="N902">
        <f t="shared" si="42"/>
        <v>3.3960531989175591E-3</v>
      </c>
      <c r="O902">
        <f>VLOOKUP(K902,RatingLookup!$A$2:$C$8,3,FALSE)</f>
        <v>0.6</v>
      </c>
      <c r="P902">
        <f t="shared" si="43"/>
        <v>8.7639160140842325</v>
      </c>
      <c r="Q902" t="str">
        <f t="shared" ca="1" si="44"/>
        <v>No</v>
      </c>
    </row>
    <row r="903" spans="1:17" x14ac:dyDescent="0.45">
      <c r="A903" t="s">
        <v>62</v>
      </c>
      <c r="B903" t="s">
        <v>63</v>
      </c>
      <c r="C903" t="s">
        <v>35</v>
      </c>
      <c r="D903" t="s">
        <v>20</v>
      </c>
      <c r="E903" t="s">
        <v>21</v>
      </c>
      <c r="F903" s="1">
        <v>43862</v>
      </c>
      <c r="G903">
        <v>5.41</v>
      </c>
      <c r="H903">
        <v>80.645099999999999</v>
      </c>
      <c r="I903">
        <v>22.8</v>
      </c>
      <c r="J903">
        <v>77.17</v>
      </c>
      <c r="K903" t="s">
        <v>31</v>
      </c>
      <c r="L903">
        <v>4092.55</v>
      </c>
      <c r="M903">
        <f>VLOOKUP(K903,RatingLookup!$A$2:$C$8,2,FALSE)</f>
        <v>0.04</v>
      </c>
      <c r="N903">
        <f t="shared" si="42"/>
        <v>3.3960531989175591E-3</v>
      </c>
      <c r="O903">
        <f>VLOOKUP(K903,RatingLookup!$A$2:$C$8,3,FALSE)</f>
        <v>0.6</v>
      </c>
      <c r="P903">
        <f t="shared" si="43"/>
        <v>8.3391105115380331</v>
      </c>
      <c r="Q903" t="str">
        <f t="shared" ca="1" si="44"/>
        <v>No</v>
      </c>
    </row>
    <row r="904" spans="1:17" x14ac:dyDescent="0.45">
      <c r="A904" t="s">
        <v>62</v>
      </c>
      <c r="B904" t="s">
        <v>63</v>
      </c>
      <c r="C904" t="s">
        <v>35</v>
      </c>
      <c r="D904" t="s">
        <v>20</v>
      </c>
      <c r="E904" t="s">
        <v>21</v>
      </c>
      <c r="F904" s="1">
        <v>43891</v>
      </c>
      <c r="G904">
        <v>4.6100000000000003</v>
      </c>
      <c r="H904">
        <v>77.613200000000006</v>
      </c>
      <c r="I904">
        <v>7.82</v>
      </c>
      <c r="J904">
        <v>66.260000000000005</v>
      </c>
      <c r="K904" t="s">
        <v>31</v>
      </c>
      <c r="L904">
        <v>4327.0200000000004</v>
      </c>
      <c r="M904">
        <f>VLOOKUP(K904,RatingLookup!$A$2:$C$8,2,FALSE)</f>
        <v>0.04</v>
      </c>
      <c r="N904">
        <f t="shared" si="42"/>
        <v>3.3960531989175591E-3</v>
      </c>
      <c r="O904">
        <f>VLOOKUP(K904,RatingLookup!$A$2:$C$8,3,FALSE)</f>
        <v>0.6</v>
      </c>
      <c r="P904">
        <f t="shared" si="43"/>
        <v>8.8168740676681541</v>
      </c>
      <c r="Q904" t="str">
        <f t="shared" ca="1" si="44"/>
        <v>No</v>
      </c>
    </row>
    <row r="905" spans="1:17" x14ac:dyDescent="0.45">
      <c r="A905" t="s">
        <v>62</v>
      </c>
      <c r="B905" t="s">
        <v>63</v>
      </c>
      <c r="C905" t="s">
        <v>35</v>
      </c>
      <c r="D905" t="s">
        <v>20</v>
      </c>
      <c r="E905" t="s">
        <v>21</v>
      </c>
      <c r="F905" s="1">
        <v>43922</v>
      </c>
      <c r="G905">
        <v>5.96</v>
      </c>
      <c r="H905">
        <v>79.269300000000001</v>
      </c>
      <c r="I905">
        <v>11.92</v>
      </c>
      <c r="J905">
        <v>81.099999999999994</v>
      </c>
      <c r="K905" t="s">
        <v>31</v>
      </c>
      <c r="L905">
        <v>4400.68</v>
      </c>
      <c r="M905">
        <f>VLOOKUP(K905,RatingLookup!$A$2:$C$8,2,FALSE)</f>
        <v>0.04</v>
      </c>
      <c r="N905">
        <f t="shared" si="42"/>
        <v>3.3960531989175591E-3</v>
      </c>
      <c r="O905">
        <f>VLOOKUP(K905,RatingLookup!$A$2:$C$8,3,FALSE)</f>
        <v>0.6</v>
      </c>
      <c r="P905">
        <f t="shared" si="43"/>
        <v>8.9669660348475144</v>
      </c>
      <c r="Q905" t="str">
        <f t="shared" ca="1" si="44"/>
        <v>No</v>
      </c>
    </row>
    <row r="906" spans="1:17" x14ac:dyDescent="0.45">
      <c r="A906" t="s">
        <v>62</v>
      </c>
      <c r="B906" t="s">
        <v>63</v>
      </c>
      <c r="C906" t="s">
        <v>35</v>
      </c>
      <c r="D906" t="s">
        <v>20</v>
      </c>
      <c r="E906" t="s">
        <v>21</v>
      </c>
      <c r="F906" s="1">
        <v>43952</v>
      </c>
      <c r="G906">
        <v>6.08</v>
      </c>
      <c r="H906">
        <v>86.059299999999993</v>
      </c>
      <c r="I906">
        <v>16.27</v>
      </c>
      <c r="J906">
        <v>90.61</v>
      </c>
      <c r="K906" t="s">
        <v>31</v>
      </c>
      <c r="L906">
        <v>4654.58</v>
      </c>
      <c r="M906">
        <f>VLOOKUP(K906,RatingLookup!$A$2:$C$8,2,FALSE)</f>
        <v>0.04</v>
      </c>
      <c r="N906">
        <f t="shared" si="42"/>
        <v>3.3960531989175591E-3</v>
      </c>
      <c r="O906">
        <f>VLOOKUP(K906,RatingLookup!$A$2:$C$8,3,FALSE)</f>
        <v>0.6</v>
      </c>
      <c r="P906">
        <f t="shared" si="43"/>
        <v>9.4843207791706146</v>
      </c>
      <c r="Q906" t="str">
        <f t="shared" ca="1" si="44"/>
        <v>No</v>
      </c>
    </row>
    <row r="907" spans="1:17" x14ac:dyDescent="0.45">
      <c r="A907" t="s">
        <v>62</v>
      </c>
      <c r="B907" t="s">
        <v>63</v>
      </c>
      <c r="C907" t="s">
        <v>35</v>
      </c>
      <c r="D907" t="s">
        <v>20</v>
      </c>
      <c r="E907" t="s">
        <v>21</v>
      </c>
      <c r="F907" s="1">
        <v>43983</v>
      </c>
      <c r="G907">
        <v>5.25</v>
      </c>
      <c r="H907">
        <v>79.239500000000007</v>
      </c>
      <c r="I907">
        <v>11.3</v>
      </c>
      <c r="J907">
        <v>67.39</v>
      </c>
      <c r="K907" t="s">
        <v>31</v>
      </c>
      <c r="L907">
        <v>4229.6099999999997</v>
      </c>
      <c r="M907">
        <f>VLOOKUP(K907,RatingLookup!$A$2:$C$8,2,FALSE)</f>
        <v>0.04</v>
      </c>
      <c r="N907">
        <f t="shared" si="42"/>
        <v>3.3960531989175591E-3</v>
      </c>
      <c r="O907">
        <f>VLOOKUP(K907,RatingLookup!$A$2:$C$8,3,FALSE)</f>
        <v>0.6</v>
      </c>
      <c r="P907">
        <f t="shared" si="43"/>
        <v>8.6183883424042182</v>
      </c>
      <c r="Q907" t="str">
        <f t="shared" ca="1" si="44"/>
        <v>No</v>
      </c>
    </row>
    <row r="908" spans="1:17" x14ac:dyDescent="0.45">
      <c r="A908" t="s">
        <v>62</v>
      </c>
      <c r="B908" t="s">
        <v>63</v>
      </c>
      <c r="C908" t="s">
        <v>35</v>
      </c>
      <c r="D908" t="s">
        <v>20</v>
      </c>
      <c r="E908" t="s">
        <v>21</v>
      </c>
      <c r="F908" s="1">
        <v>44013</v>
      </c>
      <c r="G908">
        <v>5.66</v>
      </c>
      <c r="H908">
        <v>80.944699999999997</v>
      </c>
      <c r="I908">
        <v>17.739999999999998</v>
      </c>
      <c r="J908">
        <v>70.319999999999993</v>
      </c>
      <c r="K908" t="s">
        <v>31</v>
      </c>
      <c r="L908">
        <v>4105.53</v>
      </c>
      <c r="M908">
        <f>VLOOKUP(K908,RatingLookup!$A$2:$C$8,2,FALSE)</f>
        <v>0.04</v>
      </c>
      <c r="N908">
        <f t="shared" si="42"/>
        <v>3.3960531989175591E-3</v>
      </c>
      <c r="O908">
        <f>VLOOKUP(K908,RatingLookup!$A$2:$C$8,3,FALSE)</f>
        <v>0.6</v>
      </c>
      <c r="P908">
        <f t="shared" si="43"/>
        <v>8.3655589738512024</v>
      </c>
      <c r="Q908" t="str">
        <f t="shared" ca="1" si="44"/>
        <v>No</v>
      </c>
    </row>
    <row r="909" spans="1:17" x14ac:dyDescent="0.45">
      <c r="A909" t="s">
        <v>62</v>
      </c>
      <c r="B909" t="s">
        <v>63</v>
      </c>
      <c r="C909" t="s">
        <v>35</v>
      </c>
      <c r="D909" t="s">
        <v>20</v>
      </c>
      <c r="E909" t="s">
        <v>21</v>
      </c>
      <c r="F909" s="1">
        <v>44044</v>
      </c>
      <c r="G909">
        <v>5.01</v>
      </c>
      <c r="H909">
        <v>87.036199999999994</v>
      </c>
      <c r="I909">
        <v>23.17</v>
      </c>
      <c r="J909">
        <v>71.150000000000006</v>
      </c>
      <c r="K909" t="s">
        <v>30</v>
      </c>
      <c r="L909">
        <v>4148.32</v>
      </c>
      <c r="M909">
        <f>VLOOKUP(K909,RatingLookup!$A$2:$C$8,2,FALSE)</f>
        <v>1.4999999999999999E-2</v>
      </c>
      <c r="N909">
        <f t="shared" si="42"/>
        <v>1.2586770182638762E-3</v>
      </c>
      <c r="O909">
        <f>VLOOKUP(K909,RatingLookup!$A$2:$C$8,3,FALSE)</f>
        <v>0.5</v>
      </c>
      <c r="P909">
        <f t="shared" si="43"/>
        <v>2.6106975242022012</v>
      </c>
      <c r="Q909" t="str">
        <f t="shared" ca="1" si="44"/>
        <v>No</v>
      </c>
    </row>
    <row r="910" spans="1:17" x14ac:dyDescent="0.45">
      <c r="A910" t="s">
        <v>62</v>
      </c>
      <c r="B910" t="s">
        <v>63</v>
      </c>
      <c r="C910" t="s">
        <v>35</v>
      </c>
      <c r="D910" t="s">
        <v>20</v>
      </c>
      <c r="E910" t="s">
        <v>21</v>
      </c>
      <c r="F910" s="1">
        <v>44075</v>
      </c>
      <c r="G910">
        <v>5.88</v>
      </c>
      <c r="H910">
        <v>84.9392</v>
      </c>
      <c r="I910">
        <v>12.01</v>
      </c>
      <c r="J910">
        <v>70.989999999999995</v>
      </c>
      <c r="K910" t="s">
        <v>30</v>
      </c>
      <c r="L910">
        <v>4281.6099999999997</v>
      </c>
      <c r="M910">
        <f>VLOOKUP(K910,RatingLookup!$A$2:$C$8,2,FALSE)</f>
        <v>1.4999999999999999E-2</v>
      </c>
      <c r="N910">
        <f t="shared" si="42"/>
        <v>1.2586770182638762E-3</v>
      </c>
      <c r="O910">
        <f>VLOOKUP(K910,RatingLookup!$A$2:$C$8,3,FALSE)</f>
        <v>0.5</v>
      </c>
      <c r="P910">
        <f t="shared" si="43"/>
        <v>2.6945820540843974</v>
      </c>
      <c r="Q910" t="str">
        <f t="shared" ca="1" si="44"/>
        <v>No</v>
      </c>
    </row>
    <row r="911" spans="1:17" x14ac:dyDescent="0.45">
      <c r="A911" t="s">
        <v>62</v>
      </c>
      <c r="B911" t="s">
        <v>63</v>
      </c>
      <c r="C911" t="s">
        <v>35</v>
      </c>
      <c r="D911" t="s">
        <v>20</v>
      </c>
      <c r="E911" t="s">
        <v>21</v>
      </c>
      <c r="F911" s="1">
        <v>44105</v>
      </c>
      <c r="G911">
        <v>5.2</v>
      </c>
      <c r="H911">
        <v>83.378200000000007</v>
      </c>
      <c r="I911">
        <v>26.94</v>
      </c>
      <c r="J911">
        <v>82.34</v>
      </c>
      <c r="K911" t="s">
        <v>30</v>
      </c>
      <c r="L911">
        <v>4271.5600000000004</v>
      </c>
      <c r="M911">
        <f>VLOOKUP(K911,RatingLookup!$A$2:$C$8,2,FALSE)</f>
        <v>1.4999999999999999E-2</v>
      </c>
      <c r="N911">
        <f t="shared" si="42"/>
        <v>1.2586770182638762E-3</v>
      </c>
      <c r="O911">
        <f>VLOOKUP(K911,RatingLookup!$A$2:$C$8,3,FALSE)</f>
        <v>0.5</v>
      </c>
      <c r="P911">
        <f t="shared" si="43"/>
        <v>2.6882572020676219</v>
      </c>
      <c r="Q911" t="str">
        <f t="shared" ca="1" si="44"/>
        <v>No</v>
      </c>
    </row>
    <row r="912" spans="1:17" x14ac:dyDescent="0.45">
      <c r="A912" t="s">
        <v>62</v>
      </c>
      <c r="B912" t="s">
        <v>63</v>
      </c>
      <c r="C912" t="s">
        <v>35</v>
      </c>
      <c r="D912" t="s">
        <v>20</v>
      </c>
      <c r="E912" t="s">
        <v>21</v>
      </c>
      <c r="F912" s="1">
        <v>44136</v>
      </c>
      <c r="G912">
        <v>4.8600000000000003</v>
      </c>
      <c r="H912">
        <v>77.785700000000006</v>
      </c>
      <c r="I912">
        <v>20.98</v>
      </c>
      <c r="J912">
        <v>88.24</v>
      </c>
      <c r="K912" t="s">
        <v>30</v>
      </c>
      <c r="L912">
        <v>4175.6000000000004</v>
      </c>
      <c r="M912">
        <f>VLOOKUP(K912,RatingLookup!$A$2:$C$8,2,FALSE)</f>
        <v>1.4999999999999999E-2</v>
      </c>
      <c r="N912">
        <f t="shared" si="42"/>
        <v>1.2586770182638762E-3</v>
      </c>
      <c r="O912">
        <f>VLOOKUP(K912,RatingLookup!$A$2:$C$8,3,FALSE)</f>
        <v>0.5</v>
      </c>
      <c r="P912">
        <f t="shared" si="43"/>
        <v>2.6278658787313209</v>
      </c>
      <c r="Q912" t="str">
        <f t="shared" ca="1" si="44"/>
        <v>No</v>
      </c>
    </row>
    <row r="913" spans="1:17" x14ac:dyDescent="0.45">
      <c r="A913" t="s">
        <v>62</v>
      </c>
      <c r="B913" t="s">
        <v>63</v>
      </c>
      <c r="C913" t="s">
        <v>35</v>
      </c>
      <c r="D913" t="s">
        <v>20</v>
      </c>
      <c r="E913" t="s">
        <v>21</v>
      </c>
      <c r="F913" s="1">
        <v>44166</v>
      </c>
      <c r="G913">
        <v>6.45</v>
      </c>
      <c r="H913">
        <v>84.515600000000006</v>
      </c>
      <c r="I913">
        <v>15.34</v>
      </c>
      <c r="J913">
        <v>86.19</v>
      </c>
      <c r="K913" t="s">
        <v>30</v>
      </c>
      <c r="L913">
        <v>3988.3</v>
      </c>
      <c r="M913">
        <f>VLOOKUP(K913,RatingLookup!$A$2:$C$8,2,FALSE)</f>
        <v>1.4999999999999999E-2</v>
      </c>
      <c r="N913">
        <f t="shared" si="42"/>
        <v>1.2586770182638762E-3</v>
      </c>
      <c r="O913">
        <f>VLOOKUP(K913,RatingLookup!$A$2:$C$8,3,FALSE)</f>
        <v>0.5</v>
      </c>
      <c r="P913">
        <f t="shared" si="43"/>
        <v>2.509990775970909</v>
      </c>
      <c r="Q913" t="str">
        <f t="shared" ca="1" si="44"/>
        <v>No</v>
      </c>
    </row>
    <row r="914" spans="1:17" x14ac:dyDescent="0.45">
      <c r="A914" t="s">
        <v>62</v>
      </c>
      <c r="B914" t="s">
        <v>63</v>
      </c>
      <c r="C914" t="s">
        <v>35</v>
      </c>
      <c r="D914" t="s">
        <v>20</v>
      </c>
      <c r="E914" t="s">
        <v>21</v>
      </c>
      <c r="F914" s="1">
        <v>44197</v>
      </c>
      <c r="G914">
        <v>5.62</v>
      </c>
      <c r="H914">
        <v>84.156499999999994</v>
      </c>
      <c r="I914">
        <v>21.45</v>
      </c>
      <c r="J914">
        <v>76.89</v>
      </c>
      <c r="K914" t="s">
        <v>30</v>
      </c>
      <c r="L914">
        <v>3974.08</v>
      </c>
      <c r="M914">
        <f>VLOOKUP(K914,RatingLookup!$A$2:$C$8,2,FALSE)</f>
        <v>1.4999999999999999E-2</v>
      </c>
      <c r="N914">
        <f t="shared" si="42"/>
        <v>1.2586770182638762E-3</v>
      </c>
      <c r="O914">
        <f>VLOOKUP(K914,RatingLookup!$A$2:$C$8,3,FALSE)</f>
        <v>0.5</v>
      </c>
      <c r="P914">
        <f t="shared" si="43"/>
        <v>2.5010415823710526</v>
      </c>
      <c r="Q914" t="str">
        <f t="shared" ca="1" si="44"/>
        <v>No</v>
      </c>
    </row>
    <row r="915" spans="1:17" x14ac:dyDescent="0.45">
      <c r="A915" t="s">
        <v>62</v>
      </c>
      <c r="B915" t="s">
        <v>63</v>
      </c>
      <c r="C915" t="s">
        <v>35</v>
      </c>
      <c r="D915" t="s">
        <v>20</v>
      </c>
      <c r="E915" t="s">
        <v>21</v>
      </c>
      <c r="F915" s="1">
        <v>44228</v>
      </c>
      <c r="G915">
        <v>5.94</v>
      </c>
      <c r="H915">
        <v>80.019900000000007</v>
      </c>
      <c r="I915">
        <v>24.7</v>
      </c>
      <c r="J915">
        <v>74.22</v>
      </c>
      <c r="K915" t="s">
        <v>30</v>
      </c>
      <c r="L915">
        <v>4082.39</v>
      </c>
      <c r="M915">
        <f>VLOOKUP(K915,RatingLookup!$A$2:$C$8,2,FALSE)</f>
        <v>1.4999999999999999E-2</v>
      </c>
      <c r="N915">
        <f t="shared" si="42"/>
        <v>1.2586770182638762E-3</v>
      </c>
      <c r="O915">
        <f>VLOOKUP(K915,RatingLookup!$A$2:$C$8,3,FALSE)</f>
        <v>0.5</v>
      </c>
      <c r="P915">
        <f t="shared" si="43"/>
        <v>2.569205236295133</v>
      </c>
      <c r="Q915" t="str">
        <f t="shared" ca="1" si="44"/>
        <v>No</v>
      </c>
    </row>
    <row r="916" spans="1:17" x14ac:dyDescent="0.45">
      <c r="A916" t="s">
        <v>62</v>
      </c>
      <c r="B916" t="s">
        <v>63</v>
      </c>
      <c r="C916" t="s">
        <v>35</v>
      </c>
      <c r="D916" t="s">
        <v>20</v>
      </c>
      <c r="E916" t="s">
        <v>21</v>
      </c>
      <c r="F916" s="1">
        <v>44256</v>
      </c>
      <c r="G916">
        <v>5.66</v>
      </c>
      <c r="H916">
        <v>80.683700000000002</v>
      </c>
      <c r="I916">
        <v>19.25</v>
      </c>
      <c r="J916">
        <v>72.27</v>
      </c>
      <c r="K916" t="s">
        <v>30</v>
      </c>
      <c r="L916">
        <v>4200.83</v>
      </c>
      <c r="M916">
        <f>VLOOKUP(K916,RatingLookup!$A$2:$C$8,2,FALSE)</f>
        <v>1.4999999999999999E-2</v>
      </c>
      <c r="N916">
        <f t="shared" si="42"/>
        <v>1.2586770182638762E-3</v>
      </c>
      <c r="O916">
        <f>VLOOKUP(K916,RatingLookup!$A$2:$C$8,3,FALSE)</f>
        <v>0.5</v>
      </c>
      <c r="P916">
        <f t="shared" si="43"/>
        <v>2.6437440893167197</v>
      </c>
      <c r="Q916" t="str">
        <f t="shared" ca="1" si="44"/>
        <v>No</v>
      </c>
    </row>
    <row r="917" spans="1:17" x14ac:dyDescent="0.45">
      <c r="A917" t="s">
        <v>62</v>
      </c>
      <c r="B917" t="s">
        <v>63</v>
      </c>
      <c r="C917" t="s">
        <v>35</v>
      </c>
      <c r="D917" t="s">
        <v>20</v>
      </c>
      <c r="E917" t="s">
        <v>21</v>
      </c>
      <c r="F917" s="1">
        <v>44287</v>
      </c>
      <c r="G917">
        <v>6.17</v>
      </c>
      <c r="H917">
        <v>84.663600000000002</v>
      </c>
      <c r="I917">
        <v>14.57</v>
      </c>
      <c r="J917">
        <v>85.88</v>
      </c>
      <c r="K917" t="s">
        <v>30</v>
      </c>
      <c r="L917">
        <v>4076.24</v>
      </c>
      <c r="M917">
        <f>VLOOKUP(K917,RatingLookup!$A$2:$C$8,2,FALSE)</f>
        <v>1.4999999999999999E-2</v>
      </c>
      <c r="N917">
        <f t="shared" si="42"/>
        <v>1.2586770182638762E-3</v>
      </c>
      <c r="O917">
        <f>VLOOKUP(K917,RatingLookup!$A$2:$C$8,3,FALSE)</f>
        <v>0.5</v>
      </c>
      <c r="P917">
        <f t="shared" si="43"/>
        <v>2.5653348044639714</v>
      </c>
      <c r="Q917" t="str">
        <f t="shared" ca="1" si="44"/>
        <v>No</v>
      </c>
    </row>
    <row r="918" spans="1:17" x14ac:dyDescent="0.45">
      <c r="A918" t="s">
        <v>62</v>
      </c>
      <c r="B918" t="s">
        <v>63</v>
      </c>
      <c r="C918" t="s">
        <v>35</v>
      </c>
      <c r="D918" t="s">
        <v>20</v>
      </c>
      <c r="E918" t="s">
        <v>21</v>
      </c>
      <c r="F918" s="1">
        <v>44317</v>
      </c>
      <c r="G918">
        <v>6.07</v>
      </c>
      <c r="H918">
        <v>77.957599999999999</v>
      </c>
      <c r="I918">
        <v>28.16</v>
      </c>
      <c r="J918">
        <v>73.55</v>
      </c>
      <c r="K918" t="s">
        <v>30</v>
      </c>
      <c r="L918">
        <v>4416.46</v>
      </c>
      <c r="M918">
        <f>VLOOKUP(K918,RatingLookup!$A$2:$C$8,2,FALSE)</f>
        <v>1.4999999999999999E-2</v>
      </c>
      <c r="N918">
        <f t="shared" si="42"/>
        <v>1.2586770182638762E-3</v>
      </c>
      <c r="O918">
        <f>VLOOKUP(K918,RatingLookup!$A$2:$C$8,3,FALSE)</f>
        <v>0.5</v>
      </c>
      <c r="P918">
        <f t="shared" si="43"/>
        <v>2.7794483520408395</v>
      </c>
      <c r="Q918" t="str">
        <f t="shared" ca="1" si="44"/>
        <v>No</v>
      </c>
    </row>
    <row r="919" spans="1:17" x14ac:dyDescent="0.45">
      <c r="A919" t="s">
        <v>62</v>
      </c>
      <c r="B919" t="s">
        <v>63</v>
      </c>
      <c r="C919" t="s">
        <v>35</v>
      </c>
      <c r="D919" t="s">
        <v>20</v>
      </c>
      <c r="E919" t="s">
        <v>21</v>
      </c>
      <c r="F919" s="1">
        <v>44348</v>
      </c>
      <c r="G919">
        <v>5.82</v>
      </c>
      <c r="H919">
        <v>85.445899999999995</v>
      </c>
      <c r="I919">
        <v>15.25</v>
      </c>
      <c r="J919">
        <v>69.39</v>
      </c>
      <c r="K919" t="s">
        <v>30</v>
      </c>
      <c r="L919">
        <v>4481.43</v>
      </c>
      <c r="M919">
        <f>VLOOKUP(K919,RatingLookup!$A$2:$C$8,2,FALSE)</f>
        <v>1.4999999999999999E-2</v>
      </c>
      <c r="N919">
        <f t="shared" si="42"/>
        <v>1.2586770182638762E-3</v>
      </c>
      <c r="O919">
        <f>VLOOKUP(K919,RatingLookup!$A$2:$C$8,3,FALSE)</f>
        <v>0.5</v>
      </c>
      <c r="P919">
        <f t="shared" si="43"/>
        <v>2.8203364749791415</v>
      </c>
      <c r="Q919" t="str">
        <f t="shared" ca="1" si="44"/>
        <v>No</v>
      </c>
    </row>
    <row r="920" spans="1:17" x14ac:dyDescent="0.45">
      <c r="A920" t="s">
        <v>62</v>
      </c>
      <c r="B920" t="s">
        <v>63</v>
      </c>
      <c r="C920" t="s">
        <v>35</v>
      </c>
      <c r="D920" t="s">
        <v>20</v>
      </c>
      <c r="E920" t="s">
        <v>21</v>
      </c>
      <c r="F920" s="1">
        <v>44378</v>
      </c>
      <c r="G920">
        <v>5.46</v>
      </c>
      <c r="H920">
        <v>80.732799999999997</v>
      </c>
      <c r="I920">
        <v>20.010000000000002</v>
      </c>
      <c r="J920">
        <v>72.319999999999993</v>
      </c>
      <c r="K920" t="s">
        <v>30</v>
      </c>
      <c r="L920">
        <v>4163.7700000000004</v>
      </c>
      <c r="M920">
        <f>VLOOKUP(K920,RatingLookup!$A$2:$C$8,2,FALSE)</f>
        <v>1.4999999999999999E-2</v>
      </c>
      <c r="N920">
        <f t="shared" si="42"/>
        <v>1.2586770182638762E-3</v>
      </c>
      <c r="O920">
        <f>VLOOKUP(K920,RatingLookup!$A$2:$C$8,3,FALSE)</f>
        <v>0.5</v>
      </c>
      <c r="P920">
        <f t="shared" si="43"/>
        <v>2.6204208041682904</v>
      </c>
      <c r="Q920" t="str">
        <f t="shared" ca="1" si="44"/>
        <v>No</v>
      </c>
    </row>
    <row r="921" spans="1:17" x14ac:dyDescent="0.45">
      <c r="A921" t="s">
        <v>62</v>
      </c>
      <c r="B921" t="s">
        <v>63</v>
      </c>
      <c r="C921" t="s">
        <v>35</v>
      </c>
      <c r="D921" t="s">
        <v>20</v>
      </c>
      <c r="E921" t="s">
        <v>21</v>
      </c>
      <c r="F921" s="1">
        <v>44409</v>
      </c>
      <c r="G921">
        <v>6</v>
      </c>
      <c r="H921">
        <v>79.943100000000001</v>
      </c>
      <c r="I921">
        <v>17.46</v>
      </c>
      <c r="J921">
        <v>82.05</v>
      </c>
      <c r="K921" t="s">
        <v>30</v>
      </c>
      <c r="L921">
        <v>4357.29</v>
      </c>
      <c r="M921">
        <f>VLOOKUP(K921,RatingLookup!$A$2:$C$8,2,FALSE)</f>
        <v>1.4999999999999999E-2</v>
      </c>
      <c r="N921">
        <f t="shared" si="42"/>
        <v>1.2586770182638762E-3</v>
      </c>
      <c r="O921">
        <f>VLOOKUP(K921,RatingLookup!$A$2:$C$8,3,FALSE)</f>
        <v>0.5</v>
      </c>
      <c r="P921">
        <f t="shared" si="43"/>
        <v>2.7422103924555028</v>
      </c>
      <c r="Q921" t="str">
        <f t="shared" ca="1" si="44"/>
        <v>No</v>
      </c>
    </row>
    <row r="922" spans="1:17" x14ac:dyDescent="0.45">
      <c r="A922" t="s">
        <v>62</v>
      </c>
      <c r="B922" t="s">
        <v>63</v>
      </c>
      <c r="C922" t="s">
        <v>35</v>
      </c>
      <c r="D922" t="s">
        <v>20</v>
      </c>
      <c r="E922" t="s">
        <v>21</v>
      </c>
      <c r="F922" s="1">
        <v>44440</v>
      </c>
      <c r="G922">
        <v>4.84</v>
      </c>
      <c r="H922">
        <v>81.166700000000006</v>
      </c>
      <c r="I922">
        <v>10.11</v>
      </c>
      <c r="J922">
        <v>88.45</v>
      </c>
      <c r="K922" t="s">
        <v>30</v>
      </c>
      <c r="L922">
        <v>3899.47</v>
      </c>
      <c r="M922">
        <f>VLOOKUP(K922,RatingLookup!$A$2:$C$8,2,FALSE)</f>
        <v>1.4999999999999999E-2</v>
      </c>
      <c r="N922">
        <f t="shared" si="42"/>
        <v>1.2586770182638762E-3</v>
      </c>
      <c r="O922">
        <f>VLOOKUP(K922,RatingLookup!$A$2:$C$8,3,FALSE)</f>
        <v>0.5</v>
      </c>
      <c r="P922">
        <f t="shared" si="43"/>
        <v>2.4540866362047185</v>
      </c>
      <c r="Q922" t="str">
        <f t="shared" ca="1" si="44"/>
        <v>No</v>
      </c>
    </row>
    <row r="923" spans="1:17" x14ac:dyDescent="0.45">
      <c r="A923" t="s">
        <v>62</v>
      </c>
      <c r="B923" t="s">
        <v>63</v>
      </c>
      <c r="C923" t="s">
        <v>35</v>
      </c>
      <c r="D923" t="s">
        <v>20</v>
      </c>
      <c r="E923" t="s">
        <v>21</v>
      </c>
      <c r="F923" s="1">
        <v>44470</v>
      </c>
      <c r="G923">
        <v>4.7300000000000004</v>
      </c>
      <c r="H923">
        <v>81.140500000000003</v>
      </c>
      <c r="I923">
        <v>21.8</v>
      </c>
      <c r="J923">
        <v>71.88</v>
      </c>
      <c r="K923" t="s">
        <v>30</v>
      </c>
      <c r="L923">
        <v>4236.04</v>
      </c>
      <c r="M923">
        <f>VLOOKUP(K923,RatingLookup!$A$2:$C$8,2,FALSE)</f>
        <v>1.4999999999999999E-2</v>
      </c>
      <c r="N923">
        <f t="shared" si="42"/>
        <v>1.2586770182638762E-3</v>
      </c>
      <c r="O923">
        <f>VLOOKUP(K923,RatingLookup!$A$2:$C$8,3,FALSE)</f>
        <v>0.5</v>
      </c>
      <c r="P923">
        <f t="shared" si="43"/>
        <v>2.665903098223255</v>
      </c>
      <c r="Q923" t="str">
        <f t="shared" ca="1" si="44"/>
        <v>No</v>
      </c>
    </row>
    <row r="924" spans="1:17" x14ac:dyDescent="0.45">
      <c r="A924" t="s">
        <v>62</v>
      </c>
      <c r="B924" t="s">
        <v>63</v>
      </c>
      <c r="C924" t="s">
        <v>35</v>
      </c>
      <c r="D924" t="s">
        <v>20</v>
      </c>
      <c r="E924" t="s">
        <v>21</v>
      </c>
      <c r="F924" s="1">
        <v>44501</v>
      </c>
      <c r="G924">
        <v>4.7699999999999996</v>
      </c>
      <c r="H924">
        <v>80.072100000000006</v>
      </c>
      <c r="I924">
        <v>28.53</v>
      </c>
      <c r="J924">
        <v>81.22</v>
      </c>
      <c r="K924" t="s">
        <v>30</v>
      </c>
      <c r="L924">
        <v>4487.8900000000003</v>
      </c>
      <c r="M924">
        <f>VLOOKUP(K924,RatingLookup!$A$2:$C$8,2,FALSE)</f>
        <v>1.4999999999999999E-2</v>
      </c>
      <c r="N924">
        <f t="shared" si="42"/>
        <v>1.2586770182638762E-3</v>
      </c>
      <c r="O924">
        <f>VLOOKUP(K924,RatingLookup!$A$2:$C$8,3,FALSE)</f>
        <v>0.5</v>
      </c>
      <c r="P924">
        <f t="shared" si="43"/>
        <v>2.8244020017481342</v>
      </c>
      <c r="Q924" t="str">
        <f t="shared" ca="1" si="44"/>
        <v>No</v>
      </c>
    </row>
    <row r="925" spans="1:17" x14ac:dyDescent="0.45">
      <c r="A925" t="s">
        <v>62</v>
      </c>
      <c r="B925" t="s">
        <v>63</v>
      </c>
      <c r="C925" t="s">
        <v>35</v>
      </c>
      <c r="D925" t="s">
        <v>20</v>
      </c>
      <c r="E925" t="s">
        <v>21</v>
      </c>
      <c r="F925" s="1">
        <v>44531</v>
      </c>
      <c r="G925">
        <v>5.53</v>
      </c>
      <c r="H925">
        <v>84.278999999999996</v>
      </c>
      <c r="I925">
        <v>23.54</v>
      </c>
      <c r="J925">
        <v>76.03</v>
      </c>
      <c r="K925" t="s">
        <v>30</v>
      </c>
      <c r="L925">
        <v>4538.3500000000004</v>
      </c>
      <c r="M925">
        <f>VLOOKUP(K925,RatingLookup!$A$2:$C$8,2,FALSE)</f>
        <v>1.4999999999999999E-2</v>
      </c>
      <c r="N925">
        <f t="shared" si="42"/>
        <v>1.2586770182638762E-3</v>
      </c>
      <c r="O925">
        <f>VLOOKUP(K925,RatingLookup!$A$2:$C$8,3,FALSE)</f>
        <v>0.5</v>
      </c>
      <c r="P925">
        <f t="shared" si="43"/>
        <v>2.8561584229189316</v>
      </c>
      <c r="Q925" t="str">
        <f t="shared" ca="1" si="44"/>
        <v>No</v>
      </c>
    </row>
    <row r="926" spans="1:17" x14ac:dyDescent="0.45">
      <c r="A926" t="s">
        <v>62</v>
      </c>
      <c r="B926" t="s">
        <v>63</v>
      </c>
      <c r="C926" t="s">
        <v>35</v>
      </c>
      <c r="D926" t="s">
        <v>20</v>
      </c>
      <c r="E926" t="s">
        <v>21</v>
      </c>
      <c r="F926" s="1">
        <v>44562</v>
      </c>
      <c r="G926">
        <v>5.24</v>
      </c>
      <c r="H926">
        <v>83.863500000000002</v>
      </c>
      <c r="I926">
        <v>14.58</v>
      </c>
      <c r="J926">
        <v>64.13</v>
      </c>
      <c r="K926" t="s">
        <v>30</v>
      </c>
      <c r="L926">
        <v>4407.1499999999996</v>
      </c>
      <c r="M926">
        <f>VLOOKUP(K926,RatingLookup!$A$2:$C$8,2,FALSE)</f>
        <v>1.4999999999999999E-2</v>
      </c>
      <c r="N926">
        <f t="shared" si="42"/>
        <v>1.2586770182638762E-3</v>
      </c>
      <c r="O926">
        <f>VLOOKUP(K926,RatingLookup!$A$2:$C$8,3,FALSE)</f>
        <v>0.5</v>
      </c>
      <c r="P926">
        <f t="shared" si="43"/>
        <v>2.7735892105208206</v>
      </c>
      <c r="Q926" t="str">
        <f t="shared" ca="1" si="44"/>
        <v>No</v>
      </c>
    </row>
    <row r="927" spans="1:17" x14ac:dyDescent="0.45">
      <c r="A927" t="s">
        <v>62</v>
      </c>
      <c r="B927" t="s">
        <v>63</v>
      </c>
      <c r="C927" t="s">
        <v>35</v>
      </c>
      <c r="D927" t="s">
        <v>20</v>
      </c>
      <c r="E927" t="s">
        <v>21</v>
      </c>
      <c r="F927" s="1">
        <v>44593</v>
      </c>
      <c r="G927">
        <v>4.5999999999999996</v>
      </c>
      <c r="H927">
        <v>82.062399999999997</v>
      </c>
      <c r="I927">
        <v>23.28</v>
      </c>
      <c r="J927">
        <v>72.599999999999994</v>
      </c>
      <c r="K927" t="s">
        <v>30</v>
      </c>
      <c r="L927">
        <v>4407.99</v>
      </c>
      <c r="M927">
        <f>VLOOKUP(K927,RatingLookup!$A$2:$C$8,2,FALSE)</f>
        <v>1.4999999999999999E-2</v>
      </c>
      <c r="N927">
        <f t="shared" si="42"/>
        <v>1.2586770182638762E-3</v>
      </c>
      <c r="O927">
        <f>VLOOKUP(K927,RatingLookup!$A$2:$C$8,3,FALSE)</f>
        <v>0.5</v>
      </c>
      <c r="P927">
        <f t="shared" si="43"/>
        <v>2.7741178548684919</v>
      </c>
      <c r="Q927" t="str">
        <f t="shared" ca="1" si="44"/>
        <v>No</v>
      </c>
    </row>
    <row r="928" spans="1:17" x14ac:dyDescent="0.45">
      <c r="A928" t="s">
        <v>62</v>
      </c>
      <c r="B928" t="s">
        <v>63</v>
      </c>
      <c r="C928" t="s">
        <v>35</v>
      </c>
      <c r="D928" t="s">
        <v>20</v>
      </c>
      <c r="E928" t="s">
        <v>21</v>
      </c>
      <c r="F928" s="1">
        <v>44621</v>
      </c>
      <c r="G928">
        <v>5.14</v>
      </c>
      <c r="H928">
        <v>85.943299999999994</v>
      </c>
      <c r="I928">
        <v>18.04</v>
      </c>
      <c r="J928">
        <v>82.69</v>
      </c>
      <c r="K928" t="s">
        <v>30</v>
      </c>
      <c r="L928">
        <v>4455.83</v>
      </c>
      <c r="M928">
        <f>VLOOKUP(K928,RatingLookup!$A$2:$C$8,2,FALSE)</f>
        <v>1.4999999999999999E-2</v>
      </c>
      <c r="N928">
        <f t="shared" si="42"/>
        <v>1.2586770182638762E-3</v>
      </c>
      <c r="O928">
        <f>VLOOKUP(K928,RatingLookup!$A$2:$C$8,3,FALSE)</f>
        <v>0.5</v>
      </c>
      <c r="P928">
        <f t="shared" si="43"/>
        <v>2.8042254091453636</v>
      </c>
      <c r="Q928" t="str">
        <f t="shared" ca="1" si="44"/>
        <v>No</v>
      </c>
    </row>
    <row r="929" spans="1:17" x14ac:dyDescent="0.45">
      <c r="A929" t="s">
        <v>62</v>
      </c>
      <c r="B929" t="s">
        <v>63</v>
      </c>
      <c r="C929" t="s">
        <v>35</v>
      </c>
      <c r="D929" t="s">
        <v>20</v>
      </c>
      <c r="E929" t="s">
        <v>21</v>
      </c>
      <c r="F929" s="1">
        <v>44652</v>
      </c>
      <c r="G929">
        <v>4.78</v>
      </c>
      <c r="H929">
        <v>77.371700000000004</v>
      </c>
      <c r="I929">
        <v>17.27</v>
      </c>
      <c r="J929">
        <v>69.05</v>
      </c>
      <c r="K929" t="s">
        <v>30</v>
      </c>
      <c r="L929">
        <v>4600.21</v>
      </c>
      <c r="M929">
        <f>VLOOKUP(K929,RatingLookup!$A$2:$C$8,2,FALSE)</f>
        <v>1.4999999999999999E-2</v>
      </c>
      <c r="N929">
        <f t="shared" si="42"/>
        <v>1.2586770182638762E-3</v>
      </c>
      <c r="O929">
        <f>VLOOKUP(K929,RatingLookup!$A$2:$C$8,3,FALSE)</f>
        <v>0.5</v>
      </c>
      <c r="P929">
        <f t="shared" si="43"/>
        <v>2.8950893030938332</v>
      </c>
      <c r="Q929" t="str">
        <f t="shared" ca="1" si="44"/>
        <v>No</v>
      </c>
    </row>
    <row r="930" spans="1:17" x14ac:dyDescent="0.45">
      <c r="A930" t="s">
        <v>62</v>
      </c>
      <c r="B930" t="s">
        <v>63</v>
      </c>
      <c r="C930" t="s">
        <v>35</v>
      </c>
      <c r="D930" t="s">
        <v>20</v>
      </c>
      <c r="E930" t="s">
        <v>21</v>
      </c>
      <c r="F930" s="1">
        <v>44682</v>
      </c>
      <c r="G930">
        <v>5.48</v>
      </c>
      <c r="H930">
        <v>82.275300000000001</v>
      </c>
      <c r="I930">
        <v>16.73</v>
      </c>
      <c r="J930">
        <v>72.77</v>
      </c>
      <c r="K930" t="s">
        <v>30</v>
      </c>
      <c r="L930">
        <v>4984.09</v>
      </c>
      <c r="M930">
        <f>VLOOKUP(K930,RatingLookup!$A$2:$C$8,2,FALSE)</f>
        <v>1.4999999999999999E-2</v>
      </c>
      <c r="N930">
        <f t="shared" si="42"/>
        <v>1.2586770182638762E-3</v>
      </c>
      <c r="O930">
        <f>VLOOKUP(K930,RatingLookup!$A$2:$C$8,3,FALSE)</f>
        <v>0.5</v>
      </c>
      <c r="P930">
        <f t="shared" si="43"/>
        <v>3.1366797699794016</v>
      </c>
      <c r="Q930" t="str">
        <f t="shared" ca="1" si="44"/>
        <v>No</v>
      </c>
    </row>
    <row r="931" spans="1:17" x14ac:dyDescent="0.45">
      <c r="A931" t="s">
        <v>62</v>
      </c>
      <c r="B931" t="s">
        <v>63</v>
      </c>
      <c r="C931" t="s">
        <v>35</v>
      </c>
      <c r="D931" t="s">
        <v>20</v>
      </c>
      <c r="E931" t="s">
        <v>21</v>
      </c>
      <c r="F931" s="1">
        <v>44713</v>
      </c>
      <c r="G931">
        <v>5.98</v>
      </c>
      <c r="H931">
        <v>81.567599999999999</v>
      </c>
      <c r="I931">
        <v>20.51</v>
      </c>
      <c r="J931">
        <v>87.3</v>
      </c>
      <c r="K931" t="s">
        <v>30</v>
      </c>
      <c r="L931">
        <v>4041.27</v>
      </c>
      <c r="M931">
        <f>VLOOKUP(K931,RatingLookup!$A$2:$C$8,2,FALSE)</f>
        <v>1.4999999999999999E-2</v>
      </c>
      <c r="N931">
        <f t="shared" si="42"/>
        <v>1.2586770182638762E-3</v>
      </c>
      <c r="O931">
        <f>VLOOKUP(K931,RatingLookup!$A$2:$C$8,3,FALSE)</f>
        <v>0.5</v>
      </c>
      <c r="P931">
        <f t="shared" si="43"/>
        <v>2.5433268367996273</v>
      </c>
      <c r="Q931" t="str">
        <f t="shared" ca="1" si="44"/>
        <v>No</v>
      </c>
    </row>
    <row r="932" spans="1:17" x14ac:dyDescent="0.45">
      <c r="A932" t="s">
        <v>62</v>
      </c>
      <c r="B932" t="s">
        <v>63</v>
      </c>
      <c r="C932" t="s">
        <v>35</v>
      </c>
      <c r="D932" t="s">
        <v>20</v>
      </c>
      <c r="E932" t="s">
        <v>21</v>
      </c>
      <c r="F932" s="1">
        <v>44743</v>
      </c>
      <c r="G932">
        <v>5.37</v>
      </c>
      <c r="H932">
        <v>85.096699999999998</v>
      </c>
      <c r="I932">
        <v>15.88</v>
      </c>
      <c r="J932">
        <v>77.05</v>
      </c>
      <c r="K932" t="s">
        <v>30</v>
      </c>
      <c r="L932">
        <v>4778.6400000000003</v>
      </c>
      <c r="M932">
        <f>VLOOKUP(K932,RatingLookup!$A$2:$C$8,2,FALSE)</f>
        <v>1.4999999999999999E-2</v>
      </c>
      <c r="N932">
        <f t="shared" si="42"/>
        <v>1.2586770182638762E-3</v>
      </c>
      <c r="O932">
        <f>VLOOKUP(K932,RatingLookup!$A$2:$C$8,3,FALSE)</f>
        <v>0.5</v>
      </c>
      <c r="P932">
        <f t="shared" si="43"/>
        <v>3.0073821732782449</v>
      </c>
      <c r="Q932" t="str">
        <f t="shared" ca="1" si="44"/>
        <v>No</v>
      </c>
    </row>
    <row r="933" spans="1:17" x14ac:dyDescent="0.45">
      <c r="A933" t="s">
        <v>62</v>
      </c>
      <c r="B933" t="s">
        <v>63</v>
      </c>
      <c r="C933" t="s">
        <v>35</v>
      </c>
      <c r="D933" t="s">
        <v>20</v>
      </c>
      <c r="E933" t="s">
        <v>21</v>
      </c>
      <c r="F933" s="1">
        <v>44774</v>
      </c>
      <c r="G933">
        <v>5.76</v>
      </c>
      <c r="H933">
        <v>81.140299999999996</v>
      </c>
      <c r="I933">
        <v>26.07</v>
      </c>
      <c r="J933">
        <v>85.75</v>
      </c>
      <c r="K933" t="s">
        <v>30</v>
      </c>
      <c r="L933">
        <v>4132.54</v>
      </c>
      <c r="M933">
        <f>VLOOKUP(K933,RatingLookup!$A$2:$C$8,2,FALSE)</f>
        <v>1.4999999999999999E-2</v>
      </c>
      <c r="N933">
        <f t="shared" si="42"/>
        <v>1.2586770182638762E-3</v>
      </c>
      <c r="O933">
        <f>VLOOKUP(K933,RatingLookup!$A$2:$C$8,3,FALSE)</f>
        <v>0.5</v>
      </c>
      <c r="P933">
        <f t="shared" si="43"/>
        <v>2.6007665625280993</v>
      </c>
      <c r="Q933" t="str">
        <f t="shared" ca="1" si="44"/>
        <v>No</v>
      </c>
    </row>
    <row r="934" spans="1:17" x14ac:dyDescent="0.45">
      <c r="A934" t="s">
        <v>62</v>
      </c>
      <c r="B934" t="s">
        <v>63</v>
      </c>
      <c r="C934" t="s">
        <v>35</v>
      </c>
      <c r="D934" t="s">
        <v>20</v>
      </c>
      <c r="E934" t="s">
        <v>21</v>
      </c>
      <c r="F934" s="1">
        <v>44805</v>
      </c>
      <c r="G934">
        <v>5.5</v>
      </c>
      <c r="H934">
        <v>87.341200000000001</v>
      </c>
      <c r="I934">
        <v>23.05</v>
      </c>
      <c r="J934">
        <v>96.34</v>
      </c>
      <c r="K934" t="s">
        <v>22</v>
      </c>
      <c r="L934">
        <v>4086</v>
      </c>
      <c r="M934">
        <f>VLOOKUP(K934,RatingLookup!$A$2:$C$8,2,FALSE)</f>
        <v>5.0000000000000001E-3</v>
      </c>
      <c r="N934">
        <f t="shared" si="42"/>
        <v>4.1762458919303302E-4</v>
      </c>
      <c r="O934">
        <f>VLOOKUP(K934,RatingLookup!$A$2:$C$8,3,FALSE)</f>
        <v>0.45</v>
      </c>
      <c r="P934">
        <f t="shared" si="43"/>
        <v>0.76788633214922986</v>
      </c>
      <c r="Q934" t="str">
        <f t="shared" ca="1" si="44"/>
        <v>No</v>
      </c>
    </row>
    <row r="935" spans="1:17" x14ac:dyDescent="0.45">
      <c r="A935" t="s">
        <v>62</v>
      </c>
      <c r="B935" t="s">
        <v>63</v>
      </c>
      <c r="C935" t="s">
        <v>35</v>
      </c>
      <c r="D935" t="s">
        <v>20</v>
      </c>
      <c r="E935" t="s">
        <v>21</v>
      </c>
      <c r="F935" s="1">
        <v>44835</v>
      </c>
      <c r="G935">
        <v>3.55</v>
      </c>
      <c r="H935">
        <v>86.492500000000007</v>
      </c>
      <c r="I935">
        <v>25.94</v>
      </c>
      <c r="J935">
        <v>72.05</v>
      </c>
      <c r="K935" t="s">
        <v>23</v>
      </c>
      <c r="L935">
        <v>4233.1400000000003</v>
      </c>
      <c r="M935">
        <f>VLOOKUP(K935,RatingLookup!$A$2:$C$8,2,FALSE)</f>
        <v>1E-3</v>
      </c>
      <c r="N935">
        <f t="shared" si="42"/>
        <v>8.3371552197619714E-5</v>
      </c>
      <c r="O935">
        <f>VLOOKUP(K935,RatingLookup!$A$2:$C$8,3,FALSE)</f>
        <v>0.3</v>
      </c>
      <c r="P935">
        <f t="shared" si="43"/>
        <v>0.10587703574094957</v>
      </c>
      <c r="Q935" t="str">
        <f t="shared" ca="1" si="44"/>
        <v>No</v>
      </c>
    </row>
    <row r="936" spans="1:17" x14ac:dyDescent="0.45">
      <c r="A936" t="s">
        <v>62</v>
      </c>
      <c r="B936" t="s">
        <v>63</v>
      </c>
      <c r="C936" t="s">
        <v>35</v>
      </c>
      <c r="D936" t="s">
        <v>20</v>
      </c>
      <c r="E936" t="s">
        <v>21</v>
      </c>
      <c r="F936" s="1">
        <v>44866</v>
      </c>
      <c r="G936">
        <v>5.29</v>
      </c>
      <c r="H936">
        <v>81.950299999999999</v>
      </c>
      <c r="I936">
        <v>14.66</v>
      </c>
      <c r="J936">
        <v>66.790000000000006</v>
      </c>
      <c r="K936" t="s">
        <v>23</v>
      </c>
      <c r="L936">
        <v>4398.41</v>
      </c>
      <c r="M936">
        <f>VLOOKUP(K936,RatingLookup!$A$2:$C$8,2,FALSE)</f>
        <v>1E-3</v>
      </c>
      <c r="N936">
        <f t="shared" si="42"/>
        <v>8.3371552197619714E-5</v>
      </c>
      <c r="O936">
        <f>VLOOKUP(K936,RatingLookup!$A$2:$C$8,3,FALSE)</f>
        <v>0.3</v>
      </c>
      <c r="P936">
        <f t="shared" si="43"/>
        <v>0.11001068067045976</v>
      </c>
      <c r="Q936" t="str">
        <f t="shared" ca="1" si="44"/>
        <v>No</v>
      </c>
    </row>
    <row r="937" spans="1:17" x14ac:dyDescent="0.45">
      <c r="A937" t="s">
        <v>62</v>
      </c>
      <c r="B937" t="s">
        <v>63</v>
      </c>
      <c r="C937" t="s">
        <v>35</v>
      </c>
      <c r="D937" t="s">
        <v>20</v>
      </c>
      <c r="E937" t="s">
        <v>21</v>
      </c>
      <c r="F937" s="1">
        <v>44896</v>
      </c>
      <c r="G937">
        <v>5.66</v>
      </c>
      <c r="H937">
        <v>83.726399999999998</v>
      </c>
      <c r="I937">
        <v>14.1</v>
      </c>
      <c r="J937">
        <v>75.41</v>
      </c>
      <c r="K937" t="s">
        <v>23</v>
      </c>
      <c r="L937">
        <v>4306.99</v>
      </c>
      <c r="M937">
        <f>VLOOKUP(K937,RatingLookup!$A$2:$C$8,2,FALSE)</f>
        <v>1E-3</v>
      </c>
      <c r="N937">
        <f t="shared" si="42"/>
        <v>8.3371552197619714E-5</v>
      </c>
      <c r="O937">
        <f>VLOOKUP(K937,RatingLookup!$A$2:$C$8,3,FALSE)</f>
        <v>0.3</v>
      </c>
      <c r="P937">
        <f t="shared" si="43"/>
        <v>0.10772413247988782</v>
      </c>
      <c r="Q937" t="str">
        <f t="shared" ca="1" si="44"/>
        <v>No</v>
      </c>
    </row>
    <row r="938" spans="1:17" x14ac:dyDescent="0.45">
      <c r="A938" t="s">
        <v>62</v>
      </c>
      <c r="B938" t="s">
        <v>63</v>
      </c>
      <c r="C938" t="s">
        <v>35</v>
      </c>
      <c r="D938" t="s">
        <v>20</v>
      </c>
      <c r="E938" t="s">
        <v>21</v>
      </c>
      <c r="F938" s="1">
        <v>44927</v>
      </c>
      <c r="G938">
        <v>6.54</v>
      </c>
      <c r="H938">
        <v>84.600800000000007</v>
      </c>
      <c r="I938">
        <v>29.65</v>
      </c>
      <c r="J938">
        <v>85.25</v>
      </c>
      <c r="K938" t="s">
        <v>23</v>
      </c>
      <c r="L938">
        <v>4359.76</v>
      </c>
      <c r="M938">
        <f>VLOOKUP(K938,RatingLookup!$A$2:$C$8,2,FALSE)</f>
        <v>1E-3</v>
      </c>
      <c r="N938">
        <f t="shared" si="42"/>
        <v>8.3371552197619714E-5</v>
      </c>
      <c r="O938">
        <f>VLOOKUP(K938,RatingLookup!$A$2:$C$8,3,FALSE)</f>
        <v>0.3</v>
      </c>
      <c r="P938">
        <f t="shared" si="43"/>
        <v>0.10904398752272836</v>
      </c>
      <c r="Q938" t="str">
        <f t="shared" ca="1" si="44"/>
        <v>No</v>
      </c>
    </row>
    <row r="939" spans="1:17" x14ac:dyDescent="0.45">
      <c r="A939" t="s">
        <v>62</v>
      </c>
      <c r="B939" t="s">
        <v>63</v>
      </c>
      <c r="C939" t="s">
        <v>35</v>
      </c>
      <c r="D939" t="s">
        <v>20</v>
      </c>
      <c r="E939" t="s">
        <v>21</v>
      </c>
      <c r="F939" s="1">
        <v>44958</v>
      </c>
      <c r="G939">
        <v>4.95</v>
      </c>
      <c r="H939">
        <v>82.620199999999997</v>
      </c>
      <c r="I939">
        <v>22.71</v>
      </c>
      <c r="J939">
        <v>80.77</v>
      </c>
      <c r="K939" t="s">
        <v>23</v>
      </c>
      <c r="L939">
        <v>4469.93</v>
      </c>
      <c r="M939">
        <f>VLOOKUP(K939,RatingLookup!$A$2:$C$8,2,FALSE)</f>
        <v>1E-3</v>
      </c>
      <c r="N939">
        <f t="shared" si="42"/>
        <v>8.3371552197619714E-5</v>
      </c>
      <c r="O939">
        <f>VLOOKUP(K939,RatingLookup!$A$2:$C$8,3,FALSE)</f>
        <v>0.3</v>
      </c>
      <c r="P939">
        <f t="shared" si="43"/>
        <v>0.11179950069441189</v>
      </c>
      <c r="Q939" t="str">
        <f t="shared" ca="1" si="44"/>
        <v>No</v>
      </c>
    </row>
    <row r="940" spans="1:17" x14ac:dyDescent="0.45">
      <c r="A940" t="s">
        <v>62</v>
      </c>
      <c r="B940" t="s">
        <v>63</v>
      </c>
      <c r="C940" t="s">
        <v>35</v>
      </c>
      <c r="D940" t="s">
        <v>20</v>
      </c>
      <c r="E940" t="s">
        <v>21</v>
      </c>
      <c r="F940" s="1">
        <v>44986</v>
      </c>
      <c r="G940">
        <v>5.03</v>
      </c>
      <c r="H940">
        <v>86.1935</v>
      </c>
      <c r="I940">
        <v>20.67</v>
      </c>
      <c r="J940">
        <v>72.16</v>
      </c>
      <c r="K940" t="s">
        <v>23</v>
      </c>
      <c r="L940">
        <v>4311.88</v>
      </c>
      <c r="M940">
        <f>VLOOKUP(K940,RatingLookup!$A$2:$C$8,2,FALSE)</f>
        <v>1E-3</v>
      </c>
      <c r="N940">
        <f t="shared" si="42"/>
        <v>8.3371552197619714E-5</v>
      </c>
      <c r="O940">
        <f>VLOOKUP(K940,RatingLookup!$A$2:$C$8,3,FALSE)</f>
        <v>0.3</v>
      </c>
      <c r="P940">
        <f t="shared" si="43"/>
        <v>0.10784643854696174</v>
      </c>
      <c r="Q940" t="str">
        <f t="shared" ca="1" si="44"/>
        <v>No</v>
      </c>
    </row>
    <row r="941" spans="1:17" x14ac:dyDescent="0.45">
      <c r="A941" t="s">
        <v>62</v>
      </c>
      <c r="B941" t="s">
        <v>63</v>
      </c>
      <c r="C941" t="s">
        <v>35</v>
      </c>
      <c r="D941" t="s">
        <v>20</v>
      </c>
      <c r="E941" t="s">
        <v>21</v>
      </c>
      <c r="F941" s="1">
        <v>45017</v>
      </c>
      <c r="G941">
        <v>5.0999999999999996</v>
      </c>
      <c r="H941">
        <v>83.712599999999995</v>
      </c>
      <c r="I941">
        <v>19.16</v>
      </c>
      <c r="J941">
        <v>74.52</v>
      </c>
      <c r="K941" t="s">
        <v>23</v>
      </c>
      <c r="L941">
        <v>4770.75</v>
      </c>
      <c r="M941">
        <f>VLOOKUP(K941,RatingLookup!$A$2:$C$8,2,FALSE)</f>
        <v>1E-3</v>
      </c>
      <c r="N941">
        <f t="shared" si="42"/>
        <v>8.3371552197619714E-5</v>
      </c>
      <c r="O941">
        <f>VLOOKUP(K941,RatingLookup!$A$2:$C$8,3,FALSE)</f>
        <v>0.3</v>
      </c>
      <c r="P941">
        <f t="shared" si="43"/>
        <v>0.11932344979403828</v>
      </c>
      <c r="Q941" t="str">
        <f t="shared" ca="1" si="44"/>
        <v>No</v>
      </c>
    </row>
    <row r="942" spans="1:17" x14ac:dyDescent="0.45">
      <c r="A942" t="s">
        <v>62</v>
      </c>
      <c r="B942" t="s">
        <v>63</v>
      </c>
      <c r="C942" t="s">
        <v>35</v>
      </c>
      <c r="D942" t="s">
        <v>20</v>
      </c>
      <c r="E942" t="s">
        <v>21</v>
      </c>
      <c r="F942" s="1">
        <v>45047</v>
      </c>
      <c r="G942">
        <v>4.29</v>
      </c>
      <c r="H942">
        <v>83.565299999999993</v>
      </c>
      <c r="I942">
        <v>17.940000000000001</v>
      </c>
      <c r="J942">
        <v>69.3</v>
      </c>
      <c r="K942" t="s">
        <v>23</v>
      </c>
      <c r="L942">
        <v>4514.83</v>
      </c>
      <c r="M942">
        <f>VLOOKUP(K942,RatingLookup!$A$2:$C$8,2,FALSE)</f>
        <v>1E-3</v>
      </c>
      <c r="N942">
        <f t="shared" si="42"/>
        <v>8.3371552197619714E-5</v>
      </c>
      <c r="O942">
        <f>VLOOKUP(K942,RatingLookup!$A$2:$C$8,3,FALSE)</f>
        <v>0.3</v>
      </c>
      <c r="P942">
        <f t="shared" si="43"/>
        <v>0.11292251550251382</v>
      </c>
      <c r="Q942" t="str">
        <f t="shared" ca="1" si="44"/>
        <v>No</v>
      </c>
    </row>
    <row r="943" spans="1:17" x14ac:dyDescent="0.45">
      <c r="A943" t="s">
        <v>62</v>
      </c>
      <c r="B943" t="s">
        <v>63</v>
      </c>
      <c r="C943" t="s">
        <v>35</v>
      </c>
      <c r="D943" t="s">
        <v>20</v>
      </c>
      <c r="E943" t="s">
        <v>21</v>
      </c>
      <c r="F943" s="1">
        <v>45078</v>
      </c>
      <c r="G943">
        <v>5.37</v>
      </c>
      <c r="H943">
        <v>85.937700000000007</v>
      </c>
      <c r="I943">
        <v>24.03</v>
      </c>
      <c r="J943">
        <v>98.16</v>
      </c>
      <c r="K943" t="s">
        <v>23</v>
      </c>
      <c r="L943">
        <v>4333.57</v>
      </c>
      <c r="M943">
        <f>VLOOKUP(K943,RatingLookup!$A$2:$C$8,2,FALSE)</f>
        <v>1E-3</v>
      </c>
      <c r="N943">
        <f t="shared" si="42"/>
        <v>8.3371552197619714E-5</v>
      </c>
      <c r="O943">
        <f>VLOOKUP(K943,RatingLookup!$A$2:$C$8,3,FALSE)</f>
        <v>0.3</v>
      </c>
      <c r="P943">
        <f t="shared" si="43"/>
        <v>0.10838893723711165</v>
      </c>
      <c r="Q943" t="str">
        <f t="shared" ca="1" si="44"/>
        <v>No</v>
      </c>
    </row>
    <row r="944" spans="1:17" x14ac:dyDescent="0.45">
      <c r="A944" t="s">
        <v>62</v>
      </c>
      <c r="B944" t="s">
        <v>63</v>
      </c>
      <c r="C944" t="s">
        <v>35</v>
      </c>
      <c r="D944" t="s">
        <v>20</v>
      </c>
      <c r="E944" t="s">
        <v>21</v>
      </c>
      <c r="F944" s="1">
        <v>45108</v>
      </c>
      <c r="G944">
        <v>5.43</v>
      </c>
      <c r="H944">
        <v>81.676900000000003</v>
      </c>
      <c r="I944">
        <v>22.45</v>
      </c>
      <c r="J944">
        <v>84.98</v>
      </c>
      <c r="K944" t="s">
        <v>23</v>
      </c>
      <c r="L944">
        <v>4250.09</v>
      </c>
      <c r="M944">
        <f>VLOOKUP(K944,RatingLookup!$A$2:$C$8,2,FALSE)</f>
        <v>1E-3</v>
      </c>
      <c r="N944">
        <f t="shared" si="42"/>
        <v>8.3371552197619714E-5</v>
      </c>
      <c r="O944">
        <f>VLOOKUP(K944,RatingLookup!$A$2:$C$8,3,FALSE)</f>
        <v>0.3</v>
      </c>
      <c r="P944">
        <f t="shared" si="43"/>
        <v>0.10630098008387447</v>
      </c>
      <c r="Q944" t="str">
        <f t="shared" ca="1" si="44"/>
        <v>No</v>
      </c>
    </row>
    <row r="945" spans="1:17" x14ac:dyDescent="0.45">
      <c r="A945" t="s">
        <v>62</v>
      </c>
      <c r="B945" t="s">
        <v>63</v>
      </c>
      <c r="C945" t="s">
        <v>35</v>
      </c>
      <c r="D945" t="s">
        <v>20</v>
      </c>
      <c r="E945" t="s">
        <v>21</v>
      </c>
      <c r="F945" s="1">
        <v>45139</v>
      </c>
      <c r="G945">
        <v>5.89</v>
      </c>
      <c r="H945">
        <v>82.288499999999999</v>
      </c>
      <c r="I945">
        <v>17.68</v>
      </c>
      <c r="J945">
        <v>68.510000000000005</v>
      </c>
      <c r="K945" t="s">
        <v>22</v>
      </c>
      <c r="L945">
        <v>4311.5600000000004</v>
      </c>
      <c r="M945">
        <f>VLOOKUP(K945,RatingLookup!$A$2:$C$8,2,FALSE)</f>
        <v>5.0000000000000001E-3</v>
      </c>
      <c r="N945">
        <f t="shared" si="42"/>
        <v>4.1762458919303302E-4</v>
      </c>
      <c r="O945">
        <f>VLOOKUP(K945,RatingLookup!$A$2:$C$8,3,FALSE)</f>
        <v>0.45</v>
      </c>
      <c r="P945">
        <f t="shared" si="43"/>
        <v>0.81027606320150114</v>
      </c>
      <c r="Q945" t="str">
        <f t="shared" ca="1" si="44"/>
        <v>No</v>
      </c>
    </row>
    <row r="946" spans="1:17" x14ac:dyDescent="0.45">
      <c r="A946" t="s">
        <v>62</v>
      </c>
      <c r="B946" t="s">
        <v>63</v>
      </c>
      <c r="C946" t="s">
        <v>35</v>
      </c>
      <c r="D946" t="s">
        <v>20</v>
      </c>
      <c r="E946" t="s">
        <v>21</v>
      </c>
      <c r="F946" s="1">
        <v>45170</v>
      </c>
      <c r="G946">
        <v>6.04</v>
      </c>
      <c r="H946">
        <v>78.713300000000004</v>
      </c>
      <c r="I946">
        <v>16.100000000000001</v>
      </c>
      <c r="J946">
        <v>103.82</v>
      </c>
      <c r="K946" t="s">
        <v>22</v>
      </c>
      <c r="L946">
        <v>4453.37</v>
      </c>
      <c r="M946">
        <f>VLOOKUP(K946,RatingLookup!$A$2:$C$8,2,FALSE)</f>
        <v>5.0000000000000001E-3</v>
      </c>
      <c r="N946">
        <f t="shared" si="42"/>
        <v>4.1762458919303302E-4</v>
      </c>
      <c r="O946">
        <f>VLOOKUP(K946,RatingLookup!$A$2:$C$8,3,FALSE)</f>
        <v>0.45</v>
      </c>
      <c r="P946">
        <f t="shared" si="43"/>
        <v>0.83692656754855987</v>
      </c>
      <c r="Q946" t="str">
        <f t="shared" ca="1" si="44"/>
        <v>No</v>
      </c>
    </row>
    <row r="947" spans="1:17" x14ac:dyDescent="0.45">
      <c r="A947" t="s">
        <v>62</v>
      </c>
      <c r="B947" t="s">
        <v>63</v>
      </c>
      <c r="C947" t="s">
        <v>35</v>
      </c>
      <c r="D947" t="s">
        <v>20</v>
      </c>
      <c r="E947" t="s">
        <v>21</v>
      </c>
      <c r="F947" s="1">
        <v>45200</v>
      </c>
      <c r="G947">
        <v>6.31</v>
      </c>
      <c r="H947">
        <v>83.677999999999997</v>
      </c>
      <c r="I947">
        <v>12.74</v>
      </c>
      <c r="J947">
        <v>74.150000000000006</v>
      </c>
      <c r="K947" t="s">
        <v>22</v>
      </c>
      <c r="L947">
        <v>4327.0600000000004</v>
      </c>
      <c r="M947">
        <f>VLOOKUP(K947,RatingLookup!$A$2:$C$8,2,FALSE)</f>
        <v>5.0000000000000001E-3</v>
      </c>
      <c r="N947">
        <f t="shared" si="42"/>
        <v>4.1762458919303302E-4</v>
      </c>
      <c r="O947">
        <f>VLOOKUP(K947,RatingLookup!$A$2:$C$8,3,FALSE)</f>
        <v>0.45</v>
      </c>
      <c r="P947">
        <f t="shared" si="43"/>
        <v>0.81318899471112249</v>
      </c>
      <c r="Q947" t="str">
        <f t="shared" ca="1" si="44"/>
        <v>No</v>
      </c>
    </row>
    <row r="948" spans="1:17" x14ac:dyDescent="0.45">
      <c r="A948" t="s">
        <v>62</v>
      </c>
      <c r="B948" t="s">
        <v>63</v>
      </c>
      <c r="C948" t="s">
        <v>35</v>
      </c>
      <c r="D948" t="s">
        <v>20</v>
      </c>
      <c r="E948" t="s">
        <v>21</v>
      </c>
      <c r="F948" s="1">
        <v>45231</v>
      </c>
      <c r="G948">
        <v>5.82</v>
      </c>
      <c r="H948">
        <v>84.328999999999994</v>
      </c>
      <c r="I948">
        <v>23.09</v>
      </c>
      <c r="J948">
        <v>82.61</v>
      </c>
      <c r="K948" t="s">
        <v>22</v>
      </c>
      <c r="L948">
        <v>4033.52</v>
      </c>
      <c r="M948">
        <f>VLOOKUP(K948,RatingLookup!$A$2:$C$8,2,FALSE)</f>
        <v>5.0000000000000001E-3</v>
      </c>
      <c r="N948">
        <f t="shared" si="42"/>
        <v>4.1762458919303302E-4</v>
      </c>
      <c r="O948">
        <f>VLOOKUP(K948,RatingLookup!$A$2:$C$8,3,FALSE)</f>
        <v>0.45</v>
      </c>
      <c r="P948">
        <f t="shared" si="43"/>
        <v>0.7580237098508471</v>
      </c>
      <c r="Q948" t="str">
        <f t="shared" ca="1" si="44"/>
        <v>No</v>
      </c>
    </row>
    <row r="949" spans="1:17" x14ac:dyDescent="0.45">
      <c r="A949" t="s">
        <v>62</v>
      </c>
      <c r="B949" t="s">
        <v>63</v>
      </c>
      <c r="C949" t="s">
        <v>35</v>
      </c>
      <c r="D949" t="s">
        <v>20</v>
      </c>
      <c r="E949" t="s">
        <v>21</v>
      </c>
      <c r="F949" s="1">
        <v>45261</v>
      </c>
      <c r="G949">
        <v>4.46</v>
      </c>
      <c r="H949">
        <v>86.074200000000005</v>
      </c>
      <c r="I949">
        <v>19.41</v>
      </c>
      <c r="J949">
        <v>69.94</v>
      </c>
      <c r="K949" t="s">
        <v>22</v>
      </c>
      <c r="L949">
        <v>4627.93</v>
      </c>
      <c r="M949">
        <f>VLOOKUP(K949,RatingLookup!$A$2:$C$8,2,FALSE)</f>
        <v>5.0000000000000001E-3</v>
      </c>
      <c r="N949">
        <f t="shared" si="42"/>
        <v>4.1762458919303302E-4</v>
      </c>
      <c r="O949">
        <f>VLOOKUP(K949,RatingLookup!$A$2:$C$8,3,FALSE)</f>
        <v>0.45</v>
      </c>
      <c r="P949">
        <f t="shared" si="43"/>
        <v>0.86973181427885116</v>
      </c>
      <c r="Q949" t="str">
        <f t="shared" ca="1" si="44"/>
        <v>No</v>
      </c>
    </row>
    <row r="950" spans="1:17" x14ac:dyDescent="0.45">
      <c r="A950" t="s">
        <v>62</v>
      </c>
      <c r="B950" t="s">
        <v>63</v>
      </c>
      <c r="C950" t="s">
        <v>35</v>
      </c>
      <c r="D950" t="s">
        <v>20</v>
      </c>
      <c r="E950" t="s">
        <v>21</v>
      </c>
      <c r="F950" s="1">
        <v>45292</v>
      </c>
      <c r="G950">
        <v>4.53</v>
      </c>
      <c r="H950">
        <v>83.173000000000002</v>
      </c>
      <c r="I950">
        <v>20.329999999999998</v>
      </c>
      <c r="J950">
        <v>69.84</v>
      </c>
      <c r="K950" t="s">
        <v>22</v>
      </c>
      <c r="L950">
        <v>4653.5</v>
      </c>
      <c r="M950">
        <f>VLOOKUP(K950,RatingLookup!$A$2:$C$8,2,FALSE)</f>
        <v>5.0000000000000001E-3</v>
      </c>
      <c r="N950">
        <f t="shared" si="42"/>
        <v>4.1762458919303302E-4</v>
      </c>
      <c r="O950">
        <f>VLOOKUP(K950,RatingLookup!$A$2:$C$8,3,FALSE)</f>
        <v>0.45</v>
      </c>
      <c r="P950">
        <f t="shared" si="43"/>
        <v>0.87453721161440068</v>
      </c>
      <c r="Q950" t="str">
        <f t="shared" ca="1" si="44"/>
        <v>No</v>
      </c>
    </row>
    <row r="951" spans="1:17" x14ac:dyDescent="0.45">
      <c r="A951" t="s">
        <v>62</v>
      </c>
      <c r="B951" t="s">
        <v>63</v>
      </c>
      <c r="C951" t="s">
        <v>35</v>
      </c>
      <c r="D951" t="s">
        <v>20</v>
      </c>
      <c r="E951" t="s">
        <v>21</v>
      </c>
      <c r="F951" s="1">
        <v>45323</v>
      </c>
      <c r="G951">
        <v>5.89</v>
      </c>
      <c r="H951">
        <v>82.530100000000004</v>
      </c>
      <c r="I951">
        <v>22.89</v>
      </c>
      <c r="J951">
        <v>74.59</v>
      </c>
      <c r="K951" t="s">
        <v>22</v>
      </c>
      <c r="L951">
        <v>4259.43</v>
      </c>
      <c r="M951">
        <f>VLOOKUP(K951,RatingLookup!$A$2:$C$8,2,FALSE)</f>
        <v>5.0000000000000001E-3</v>
      </c>
      <c r="N951">
        <f t="shared" si="42"/>
        <v>4.1762458919303302E-4</v>
      </c>
      <c r="O951">
        <f>VLOOKUP(K951,RatingLookup!$A$2:$C$8,3,FALSE)</f>
        <v>0.45</v>
      </c>
      <c r="P951">
        <f t="shared" si="43"/>
        <v>0.80047921677591638</v>
      </c>
      <c r="Q951" t="str">
        <f t="shared" ca="1" si="44"/>
        <v>No</v>
      </c>
    </row>
    <row r="952" spans="1:17" x14ac:dyDescent="0.45">
      <c r="A952" t="s">
        <v>62</v>
      </c>
      <c r="B952" t="s">
        <v>63</v>
      </c>
      <c r="C952" t="s">
        <v>35</v>
      </c>
      <c r="D952" t="s">
        <v>20</v>
      </c>
      <c r="E952" t="s">
        <v>21</v>
      </c>
      <c r="F952" s="1">
        <v>45352</v>
      </c>
      <c r="G952">
        <v>5.89</v>
      </c>
      <c r="H952">
        <v>80.299599999999998</v>
      </c>
      <c r="I952">
        <v>22.06</v>
      </c>
      <c r="J952">
        <v>97.78</v>
      </c>
      <c r="K952" t="s">
        <v>22</v>
      </c>
      <c r="L952">
        <v>4434.1000000000004</v>
      </c>
      <c r="M952">
        <f>VLOOKUP(K952,RatingLookup!$A$2:$C$8,2,FALSE)</f>
        <v>5.0000000000000001E-3</v>
      </c>
      <c r="N952">
        <f t="shared" si="42"/>
        <v>4.1762458919303302E-4</v>
      </c>
      <c r="O952">
        <f>VLOOKUP(K952,RatingLookup!$A$2:$C$8,3,FALSE)</f>
        <v>0.45</v>
      </c>
      <c r="P952">
        <f t="shared" si="43"/>
        <v>0.83330513592337263</v>
      </c>
      <c r="Q952" t="str">
        <f t="shared" ca="1" si="44"/>
        <v>No</v>
      </c>
    </row>
    <row r="953" spans="1:17" x14ac:dyDescent="0.45">
      <c r="A953" t="s">
        <v>62</v>
      </c>
      <c r="B953" t="s">
        <v>63</v>
      </c>
      <c r="C953" t="s">
        <v>35</v>
      </c>
      <c r="D953" t="s">
        <v>20</v>
      </c>
      <c r="E953" t="s">
        <v>21</v>
      </c>
      <c r="F953" s="1">
        <v>45383</v>
      </c>
      <c r="G953">
        <v>4.75</v>
      </c>
      <c r="H953">
        <v>79.125500000000002</v>
      </c>
      <c r="I953">
        <v>14.61</v>
      </c>
      <c r="J953">
        <v>75.17</v>
      </c>
      <c r="K953" t="s">
        <v>22</v>
      </c>
      <c r="L953">
        <v>4285.46</v>
      </c>
      <c r="M953">
        <f>VLOOKUP(K953,RatingLookup!$A$2:$C$8,2,FALSE)</f>
        <v>5.0000000000000001E-3</v>
      </c>
      <c r="N953">
        <f t="shared" si="42"/>
        <v>4.1762458919303302E-4</v>
      </c>
      <c r="O953">
        <f>VLOOKUP(K953,RatingLookup!$A$2:$C$8,3,FALSE)</f>
        <v>0.45</v>
      </c>
      <c r="P953">
        <f t="shared" si="43"/>
        <v>0.80537106240142886</v>
      </c>
      <c r="Q953" t="str">
        <f t="shared" ca="1" si="44"/>
        <v>No</v>
      </c>
    </row>
    <row r="954" spans="1:17" x14ac:dyDescent="0.45">
      <c r="A954" t="s">
        <v>62</v>
      </c>
      <c r="B954" t="s">
        <v>63</v>
      </c>
      <c r="C954" t="s">
        <v>35</v>
      </c>
      <c r="D954" t="s">
        <v>20</v>
      </c>
      <c r="E954" t="s">
        <v>21</v>
      </c>
      <c r="F954" s="1">
        <v>45413</v>
      </c>
      <c r="G954">
        <v>5.87</v>
      </c>
      <c r="H954">
        <v>84.000500000000002</v>
      </c>
      <c r="I954">
        <v>18.190000000000001</v>
      </c>
      <c r="J954">
        <v>71.239999999999995</v>
      </c>
      <c r="K954" t="s">
        <v>22</v>
      </c>
      <c r="L954">
        <v>4884.8</v>
      </c>
      <c r="M954">
        <f>VLOOKUP(K954,RatingLookup!$A$2:$C$8,2,FALSE)</f>
        <v>5.0000000000000001E-3</v>
      </c>
      <c r="N954">
        <f t="shared" si="42"/>
        <v>4.1762458919303302E-4</v>
      </c>
      <c r="O954">
        <f>VLOOKUP(K954,RatingLookup!$A$2:$C$8,3,FALSE)</f>
        <v>0.45</v>
      </c>
      <c r="P954">
        <f t="shared" si="43"/>
        <v>0.91800566698055741</v>
      </c>
      <c r="Q954" t="str">
        <f t="shared" ca="1" si="44"/>
        <v>No</v>
      </c>
    </row>
    <row r="955" spans="1:17" x14ac:dyDescent="0.45">
      <c r="A955" t="s">
        <v>62</v>
      </c>
      <c r="B955" t="s">
        <v>63</v>
      </c>
      <c r="C955" t="s">
        <v>35</v>
      </c>
      <c r="D955" t="s">
        <v>20</v>
      </c>
      <c r="E955" t="s">
        <v>21</v>
      </c>
      <c r="F955" s="1">
        <v>45444</v>
      </c>
      <c r="G955">
        <v>5.46</v>
      </c>
      <c r="H955">
        <v>82.876000000000005</v>
      </c>
      <c r="I955">
        <v>24.92</v>
      </c>
      <c r="J955">
        <v>76.2</v>
      </c>
      <c r="K955" t="s">
        <v>22</v>
      </c>
      <c r="L955">
        <v>4750.53</v>
      </c>
      <c r="M955">
        <f>VLOOKUP(K955,RatingLookup!$A$2:$C$8,2,FALSE)</f>
        <v>5.0000000000000001E-3</v>
      </c>
      <c r="N955">
        <f t="shared" si="42"/>
        <v>4.1762458919303302E-4</v>
      </c>
      <c r="O955">
        <f>VLOOKUP(K955,RatingLookup!$A$2:$C$8,3,FALSE)</f>
        <v>0.45</v>
      </c>
      <c r="P955">
        <f t="shared" si="43"/>
        <v>0.89277216286463057</v>
      </c>
      <c r="Q955" t="str">
        <f t="shared" ca="1" si="44"/>
        <v>No</v>
      </c>
    </row>
    <row r="956" spans="1:17" x14ac:dyDescent="0.45">
      <c r="A956" t="s">
        <v>62</v>
      </c>
      <c r="B956" t="s">
        <v>63</v>
      </c>
      <c r="C956" t="s">
        <v>35</v>
      </c>
      <c r="D956" t="s">
        <v>20</v>
      </c>
      <c r="E956" t="s">
        <v>21</v>
      </c>
      <c r="F956" s="1">
        <v>45474</v>
      </c>
      <c r="G956">
        <v>6.09</v>
      </c>
      <c r="H956">
        <v>86.392099999999999</v>
      </c>
      <c r="I956">
        <v>14.82</v>
      </c>
      <c r="J956">
        <v>79.569999999999993</v>
      </c>
      <c r="K956" t="s">
        <v>22</v>
      </c>
      <c r="L956">
        <v>4983.59</v>
      </c>
      <c r="M956">
        <f>VLOOKUP(K956,RatingLookup!$A$2:$C$8,2,FALSE)</f>
        <v>5.0000000000000001E-3</v>
      </c>
      <c r="N956">
        <f t="shared" si="42"/>
        <v>4.1762458919303302E-4</v>
      </c>
      <c r="O956">
        <f>VLOOKUP(K956,RatingLookup!$A$2:$C$8,3,FALSE)</f>
        <v>0.45</v>
      </c>
      <c r="P956">
        <f t="shared" si="43"/>
        <v>0.93657137690542847</v>
      </c>
      <c r="Q956" t="str">
        <f t="shared" ca="1" si="44"/>
        <v>No</v>
      </c>
    </row>
    <row r="957" spans="1:17" x14ac:dyDescent="0.45">
      <c r="A957" t="s">
        <v>62</v>
      </c>
      <c r="B957" t="s">
        <v>63</v>
      </c>
      <c r="C957" t="s">
        <v>35</v>
      </c>
      <c r="D957" t="s">
        <v>20</v>
      </c>
      <c r="E957" t="s">
        <v>21</v>
      </c>
      <c r="F957" s="1">
        <v>45505</v>
      </c>
      <c r="G957">
        <v>5.35</v>
      </c>
      <c r="H957">
        <v>78.477400000000003</v>
      </c>
      <c r="I957">
        <v>17.420000000000002</v>
      </c>
      <c r="J957">
        <v>80.52</v>
      </c>
      <c r="K957" t="s">
        <v>22</v>
      </c>
      <c r="L957">
        <v>4137.97</v>
      </c>
      <c r="M957">
        <f>VLOOKUP(K957,RatingLookup!$A$2:$C$8,2,FALSE)</f>
        <v>5.0000000000000001E-3</v>
      </c>
      <c r="N957">
        <f t="shared" si="42"/>
        <v>4.1762458919303302E-4</v>
      </c>
      <c r="O957">
        <f>VLOOKUP(K957,RatingLookup!$A$2:$C$8,3,FALSE)</f>
        <v>0.45</v>
      </c>
      <c r="P957">
        <f t="shared" si="43"/>
        <v>0.77765310960439271</v>
      </c>
      <c r="Q957" t="str">
        <f t="shared" ca="1" si="44"/>
        <v>No</v>
      </c>
    </row>
    <row r="958" spans="1:17" x14ac:dyDescent="0.45">
      <c r="A958" t="s">
        <v>62</v>
      </c>
      <c r="B958" t="s">
        <v>63</v>
      </c>
      <c r="C958" t="s">
        <v>35</v>
      </c>
      <c r="D958" t="s">
        <v>20</v>
      </c>
      <c r="E958" t="s">
        <v>21</v>
      </c>
      <c r="F958" s="1">
        <v>45536</v>
      </c>
      <c r="G958">
        <v>6.01</v>
      </c>
      <c r="H958">
        <v>78.788399999999996</v>
      </c>
      <c r="I958">
        <v>30.46</v>
      </c>
      <c r="J958">
        <v>87.5</v>
      </c>
      <c r="K958" t="s">
        <v>22</v>
      </c>
      <c r="L958">
        <v>4300.9799999999996</v>
      </c>
      <c r="M958">
        <f>VLOOKUP(K958,RatingLookup!$A$2:$C$8,2,FALSE)</f>
        <v>5.0000000000000001E-3</v>
      </c>
      <c r="N958">
        <f t="shared" si="42"/>
        <v>4.1762458919303302E-4</v>
      </c>
      <c r="O958">
        <f>VLOOKUP(K958,RatingLookup!$A$2:$C$8,3,FALSE)</f>
        <v>0.45</v>
      </c>
      <c r="P958">
        <f t="shared" si="43"/>
        <v>0.80828775253235297</v>
      </c>
      <c r="Q958" t="str">
        <f t="shared" ca="1" si="44"/>
        <v>No</v>
      </c>
    </row>
    <row r="959" spans="1:17" x14ac:dyDescent="0.45">
      <c r="A959" t="s">
        <v>62</v>
      </c>
      <c r="B959" t="s">
        <v>63</v>
      </c>
      <c r="C959" t="s">
        <v>35</v>
      </c>
      <c r="D959" t="s">
        <v>20</v>
      </c>
      <c r="E959" t="s">
        <v>21</v>
      </c>
      <c r="F959" s="1">
        <v>45566</v>
      </c>
      <c r="G959">
        <v>6.12</v>
      </c>
      <c r="H959">
        <v>78.481700000000004</v>
      </c>
      <c r="I959">
        <v>25.25</v>
      </c>
      <c r="J959">
        <v>89.14</v>
      </c>
      <c r="K959" t="s">
        <v>22</v>
      </c>
      <c r="L959">
        <v>4402.1000000000004</v>
      </c>
      <c r="M959">
        <f>VLOOKUP(K959,RatingLookup!$A$2:$C$8,2,FALSE)</f>
        <v>5.0000000000000001E-3</v>
      </c>
      <c r="N959">
        <f t="shared" si="42"/>
        <v>4.1762458919303302E-4</v>
      </c>
      <c r="O959">
        <f>VLOOKUP(K959,RatingLookup!$A$2:$C$8,3,FALSE)</f>
        <v>0.45</v>
      </c>
      <c r="P959">
        <f t="shared" si="43"/>
        <v>0.82729134183899289</v>
      </c>
      <c r="Q959" t="str">
        <f t="shared" ca="1" si="44"/>
        <v>No</v>
      </c>
    </row>
    <row r="960" spans="1:17" x14ac:dyDescent="0.45">
      <c r="A960" t="s">
        <v>62</v>
      </c>
      <c r="B960" t="s">
        <v>63</v>
      </c>
      <c r="C960" t="s">
        <v>35</v>
      </c>
      <c r="D960" t="s">
        <v>20</v>
      </c>
      <c r="E960" t="s">
        <v>21</v>
      </c>
      <c r="F960" s="1">
        <v>45597</v>
      </c>
      <c r="G960">
        <v>5.6</v>
      </c>
      <c r="H960">
        <v>83.601399999999998</v>
      </c>
      <c r="I960">
        <v>25.42</v>
      </c>
      <c r="J960">
        <v>76.3</v>
      </c>
      <c r="K960" t="s">
        <v>22</v>
      </c>
      <c r="L960">
        <v>4491.09</v>
      </c>
      <c r="M960">
        <f>VLOOKUP(K960,RatingLookup!$A$2:$C$8,2,FALSE)</f>
        <v>5.0000000000000001E-3</v>
      </c>
      <c r="N960">
        <f t="shared" si="42"/>
        <v>4.1762458919303302E-4</v>
      </c>
      <c r="O960">
        <f>VLOOKUP(K960,RatingLookup!$A$2:$C$8,3,FALSE)</f>
        <v>0.45</v>
      </c>
      <c r="P960">
        <f t="shared" si="43"/>
        <v>0.84401532732552242</v>
      </c>
      <c r="Q960" t="str">
        <f t="shared" ca="1" si="44"/>
        <v>No</v>
      </c>
    </row>
    <row r="961" spans="1:17" x14ac:dyDescent="0.45">
      <c r="A961" t="s">
        <v>62</v>
      </c>
      <c r="B961" t="s">
        <v>63</v>
      </c>
      <c r="C961" t="s">
        <v>35</v>
      </c>
      <c r="D961" t="s">
        <v>20</v>
      </c>
      <c r="E961" t="s">
        <v>21</v>
      </c>
      <c r="F961" s="1">
        <v>45627</v>
      </c>
      <c r="G961">
        <v>6.18</v>
      </c>
      <c r="H961">
        <v>77.8673</v>
      </c>
      <c r="I961">
        <v>21.08</v>
      </c>
      <c r="J961">
        <v>77.56</v>
      </c>
      <c r="K961" t="s">
        <v>22</v>
      </c>
      <c r="L961">
        <v>4717.67</v>
      </c>
      <c r="M961">
        <f>VLOOKUP(K961,RatingLookup!$A$2:$C$8,2,FALSE)</f>
        <v>5.0000000000000001E-3</v>
      </c>
      <c r="N961">
        <f t="shared" si="42"/>
        <v>4.1762458919303302E-4</v>
      </c>
      <c r="O961">
        <f>VLOOKUP(K961,RatingLookup!$A$2:$C$8,3,FALSE)</f>
        <v>0.45</v>
      </c>
      <c r="P961">
        <f t="shared" si="43"/>
        <v>0.88659674806423328</v>
      </c>
      <c r="Q961" t="str">
        <f t="shared" ca="1" si="44"/>
        <v>No</v>
      </c>
    </row>
    <row r="962" spans="1:17" x14ac:dyDescent="0.45">
      <c r="A962" t="s">
        <v>64</v>
      </c>
      <c r="B962" t="s">
        <v>65</v>
      </c>
      <c r="C962" t="s">
        <v>66</v>
      </c>
      <c r="D962" t="s">
        <v>20</v>
      </c>
      <c r="E962" t="s">
        <v>21</v>
      </c>
      <c r="F962" s="1">
        <v>43831</v>
      </c>
      <c r="G962">
        <v>5.2</v>
      </c>
      <c r="H962">
        <v>76.245099999999994</v>
      </c>
      <c r="I962">
        <v>22.5</v>
      </c>
      <c r="J962">
        <v>77.400000000000006</v>
      </c>
      <c r="K962" t="s">
        <v>23</v>
      </c>
      <c r="L962">
        <v>1687.82</v>
      </c>
      <c r="M962">
        <f>VLOOKUP(K962,RatingLookup!$A$2:$C$8,2,FALSE)</f>
        <v>1E-3</v>
      </c>
      <c r="N962">
        <f t="shared" ref="N962:N1025" si="45">1-(1-M962)^(1/12)</f>
        <v>8.3371552197619714E-5</v>
      </c>
      <c r="O962">
        <f>VLOOKUP(K962,RatingLookup!$A$2:$C$8,3,FALSE)</f>
        <v>0.3</v>
      </c>
      <c r="P962">
        <f t="shared" ref="P962:P1025" si="46">L962*N962*O962</f>
        <v>4.2214851969055951E-2</v>
      </c>
      <c r="Q962" t="str">
        <f t="shared" ref="Q962:Q1025" ca="1" si="47">IF(RAND()&lt;N962,"Yes","No")</f>
        <v>No</v>
      </c>
    </row>
    <row r="963" spans="1:17" x14ac:dyDescent="0.45">
      <c r="A963" t="s">
        <v>64</v>
      </c>
      <c r="B963" t="s">
        <v>65</v>
      </c>
      <c r="C963" t="s">
        <v>66</v>
      </c>
      <c r="D963" t="s">
        <v>20</v>
      </c>
      <c r="E963" t="s">
        <v>21</v>
      </c>
      <c r="F963" s="1">
        <v>43862</v>
      </c>
      <c r="G963">
        <v>5.26</v>
      </c>
      <c r="H963">
        <v>75.257999999999996</v>
      </c>
      <c r="I963">
        <v>17.45</v>
      </c>
      <c r="J963">
        <v>69.430000000000007</v>
      </c>
      <c r="K963" t="s">
        <v>23</v>
      </c>
      <c r="L963">
        <v>1497.01</v>
      </c>
      <c r="M963">
        <f>VLOOKUP(K963,RatingLookup!$A$2:$C$8,2,FALSE)</f>
        <v>1E-3</v>
      </c>
      <c r="N963">
        <f t="shared" si="45"/>
        <v>8.3371552197619714E-5</v>
      </c>
      <c r="O963">
        <f>VLOOKUP(K963,RatingLookup!$A$2:$C$8,3,FALSE)</f>
        <v>0.3</v>
      </c>
      <c r="P963">
        <f t="shared" si="46"/>
        <v>3.7442414206607606E-2</v>
      </c>
      <c r="Q963" t="str">
        <f t="shared" ca="1" si="47"/>
        <v>No</v>
      </c>
    </row>
    <row r="964" spans="1:17" x14ac:dyDescent="0.45">
      <c r="A964" t="s">
        <v>64</v>
      </c>
      <c r="B964" t="s">
        <v>65</v>
      </c>
      <c r="C964" t="s">
        <v>66</v>
      </c>
      <c r="D964" t="s">
        <v>20</v>
      </c>
      <c r="E964" t="s">
        <v>21</v>
      </c>
      <c r="F964" s="1">
        <v>43891</v>
      </c>
      <c r="G964">
        <v>5.56</v>
      </c>
      <c r="H964">
        <v>81.583699999999993</v>
      </c>
      <c r="I964">
        <v>18.420000000000002</v>
      </c>
      <c r="J964">
        <v>68.67</v>
      </c>
      <c r="K964" t="s">
        <v>23</v>
      </c>
      <c r="L964">
        <v>1626.82</v>
      </c>
      <c r="M964">
        <f>VLOOKUP(K964,RatingLookup!$A$2:$C$8,2,FALSE)</f>
        <v>1E-3</v>
      </c>
      <c r="N964">
        <f t="shared" si="45"/>
        <v>8.3371552197619714E-5</v>
      </c>
      <c r="O964">
        <f>VLOOKUP(K964,RatingLookup!$A$2:$C$8,3,FALSE)</f>
        <v>0.3</v>
      </c>
      <c r="P964">
        <f t="shared" si="46"/>
        <v>4.0689152563839509E-2</v>
      </c>
      <c r="Q964" t="str">
        <f t="shared" ca="1" si="47"/>
        <v>No</v>
      </c>
    </row>
    <row r="965" spans="1:17" x14ac:dyDescent="0.45">
      <c r="A965" t="s">
        <v>64</v>
      </c>
      <c r="B965" t="s">
        <v>65</v>
      </c>
      <c r="C965" t="s">
        <v>66</v>
      </c>
      <c r="D965" t="s">
        <v>20</v>
      </c>
      <c r="E965" t="s">
        <v>21</v>
      </c>
      <c r="F965" s="1">
        <v>43922</v>
      </c>
      <c r="G965">
        <v>4.58</v>
      </c>
      <c r="H965">
        <v>80.0381</v>
      </c>
      <c r="I965">
        <v>12.41</v>
      </c>
      <c r="J965">
        <v>78.03</v>
      </c>
      <c r="K965" t="s">
        <v>22</v>
      </c>
      <c r="L965">
        <v>1649.85</v>
      </c>
      <c r="M965">
        <f>VLOOKUP(K965,RatingLookup!$A$2:$C$8,2,FALSE)</f>
        <v>5.0000000000000001E-3</v>
      </c>
      <c r="N965">
        <f t="shared" si="45"/>
        <v>4.1762458919303302E-4</v>
      </c>
      <c r="O965">
        <f>VLOOKUP(K965,RatingLookup!$A$2:$C$8,3,FALSE)</f>
        <v>0.45</v>
      </c>
      <c r="P965">
        <f t="shared" si="46"/>
        <v>0.31005806781605649</v>
      </c>
      <c r="Q965" t="str">
        <f t="shared" ca="1" si="47"/>
        <v>No</v>
      </c>
    </row>
    <row r="966" spans="1:17" x14ac:dyDescent="0.45">
      <c r="A966" t="s">
        <v>64</v>
      </c>
      <c r="B966" t="s">
        <v>65</v>
      </c>
      <c r="C966" t="s">
        <v>66</v>
      </c>
      <c r="D966" t="s">
        <v>20</v>
      </c>
      <c r="E966" t="s">
        <v>21</v>
      </c>
      <c r="F966" s="1">
        <v>43952</v>
      </c>
      <c r="G966">
        <v>5.0199999999999996</v>
      </c>
      <c r="H966">
        <v>83.663700000000006</v>
      </c>
      <c r="I966">
        <v>15.63</v>
      </c>
      <c r="J966">
        <v>80.13</v>
      </c>
      <c r="K966" t="s">
        <v>22</v>
      </c>
      <c r="L966">
        <v>1658.73</v>
      </c>
      <c r="M966">
        <f>VLOOKUP(K966,RatingLookup!$A$2:$C$8,2,FALSE)</f>
        <v>5.0000000000000001E-3</v>
      </c>
      <c r="N966">
        <f t="shared" si="45"/>
        <v>4.1762458919303302E-4</v>
      </c>
      <c r="O966">
        <f>VLOOKUP(K966,RatingLookup!$A$2:$C$8,3,FALSE)</f>
        <v>0.45</v>
      </c>
      <c r="P966">
        <f t="shared" si="46"/>
        <v>0.31172689567447187</v>
      </c>
      <c r="Q966" t="str">
        <f t="shared" ca="1" si="47"/>
        <v>No</v>
      </c>
    </row>
    <row r="967" spans="1:17" x14ac:dyDescent="0.45">
      <c r="A967" t="s">
        <v>64</v>
      </c>
      <c r="B967" t="s">
        <v>65</v>
      </c>
      <c r="C967" t="s">
        <v>66</v>
      </c>
      <c r="D967" t="s">
        <v>20</v>
      </c>
      <c r="E967" t="s">
        <v>21</v>
      </c>
      <c r="F967" s="1">
        <v>43983</v>
      </c>
      <c r="G967">
        <v>6.17</v>
      </c>
      <c r="H967">
        <v>83.203299999999999</v>
      </c>
      <c r="I967">
        <v>18.91</v>
      </c>
      <c r="J967">
        <v>72.47</v>
      </c>
      <c r="K967" t="s">
        <v>22</v>
      </c>
      <c r="L967">
        <v>1543.99</v>
      </c>
      <c r="M967">
        <f>VLOOKUP(K967,RatingLookup!$A$2:$C$8,2,FALSE)</f>
        <v>5.0000000000000001E-3</v>
      </c>
      <c r="N967">
        <f t="shared" si="45"/>
        <v>4.1762458919303302E-4</v>
      </c>
      <c r="O967">
        <f>VLOOKUP(K967,RatingLookup!$A$2:$C$8,3,FALSE)</f>
        <v>0.45</v>
      </c>
      <c r="P967">
        <f t="shared" si="46"/>
        <v>0.29016368526066799</v>
      </c>
      <c r="Q967" t="str">
        <f t="shared" ca="1" si="47"/>
        <v>No</v>
      </c>
    </row>
    <row r="968" spans="1:17" x14ac:dyDescent="0.45">
      <c r="A968" t="s">
        <v>64</v>
      </c>
      <c r="B968" t="s">
        <v>65</v>
      </c>
      <c r="C968" t="s">
        <v>66</v>
      </c>
      <c r="D968" t="s">
        <v>20</v>
      </c>
      <c r="E968" t="s">
        <v>21</v>
      </c>
      <c r="F968" s="1">
        <v>44013</v>
      </c>
      <c r="G968">
        <v>6.07</v>
      </c>
      <c r="H968">
        <v>85.061099999999996</v>
      </c>
      <c r="I968">
        <v>27.15</v>
      </c>
      <c r="J968">
        <v>76.8</v>
      </c>
      <c r="K968" t="s">
        <v>30</v>
      </c>
      <c r="L968">
        <v>1570.36</v>
      </c>
      <c r="M968">
        <f>VLOOKUP(K968,RatingLookup!$A$2:$C$8,2,FALSE)</f>
        <v>1.4999999999999999E-2</v>
      </c>
      <c r="N968">
        <f t="shared" si="45"/>
        <v>1.2586770182638762E-3</v>
      </c>
      <c r="O968">
        <f>VLOOKUP(K968,RatingLookup!$A$2:$C$8,3,FALSE)</f>
        <v>0.5</v>
      </c>
      <c r="P968">
        <f t="shared" si="46"/>
        <v>0.98828802120043024</v>
      </c>
      <c r="Q968" t="str">
        <f t="shared" ca="1" si="47"/>
        <v>No</v>
      </c>
    </row>
    <row r="969" spans="1:17" x14ac:dyDescent="0.45">
      <c r="A969" t="s">
        <v>64</v>
      </c>
      <c r="B969" t="s">
        <v>65</v>
      </c>
      <c r="C969" t="s">
        <v>66</v>
      </c>
      <c r="D969" t="s">
        <v>20</v>
      </c>
      <c r="E969" t="s">
        <v>21</v>
      </c>
      <c r="F969" s="1">
        <v>44044</v>
      </c>
      <c r="G969">
        <v>4.8499999999999996</v>
      </c>
      <c r="H969">
        <v>77.761399999999995</v>
      </c>
      <c r="I969">
        <v>13.53</v>
      </c>
      <c r="J969">
        <v>76.599999999999994</v>
      </c>
      <c r="K969" t="s">
        <v>30</v>
      </c>
      <c r="L969">
        <v>1606.76</v>
      </c>
      <c r="M969">
        <f>VLOOKUP(K969,RatingLookup!$A$2:$C$8,2,FALSE)</f>
        <v>1.4999999999999999E-2</v>
      </c>
      <c r="N969">
        <f t="shared" si="45"/>
        <v>1.2586770182638762E-3</v>
      </c>
      <c r="O969">
        <f>VLOOKUP(K969,RatingLookup!$A$2:$C$8,3,FALSE)</f>
        <v>0.5</v>
      </c>
      <c r="P969">
        <f t="shared" si="46"/>
        <v>1.011195942932833</v>
      </c>
      <c r="Q969" t="str">
        <f t="shared" ca="1" si="47"/>
        <v>No</v>
      </c>
    </row>
    <row r="970" spans="1:17" x14ac:dyDescent="0.45">
      <c r="A970" t="s">
        <v>64</v>
      </c>
      <c r="B970" t="s">
        <v>65</v>
      </c>
      <c r="C970" t="s">
        <v>66</v>
      </c>
      <c r="D970" t="s">
        <v>20</v>
      </c>
      <c r="E970" t="s">
        <v>21</v>
      </c>
      <c r="F970" s="1">
        <v>44075</v>
      </c>
      <c r="G970">
        <v>4.92</v>
      </c>
      <c r="H970">
        <v>79.075299999999999</v>
      </c>
      <c r="I970">
        <v>11.65</v>
      </c>
      <c r="J970">
        <v>73.59</v>
      </c>
      <c r="K970" t="s">
        <v>30</v>
      </c>
      <c r="L970">
        <v>1785.69</v>
      </c>
      <c r="M970">
        <f>VLOOKUP(K970,RatingLookup!$A$2:$C$8,2,FALSE)</f>
        <v>1.4999999999999999E-2</v>
      </c>
      <c r="N970">
        <f t="shared" si="45"/>
        <v>1.2586770182638762E-3</v>
      </c>
      <c r="O970">
        <f>VLOOKUP(K970,RatingLookup!$A$2:$C$8,3,FALSE)</f>
        <v>0.5</v>
      </c>
      <c r="P970">
        <f t="shared" si="46"/>
        <v>1.1238034823718106</v>
      </c>
      <c r="Q970" t="str">
        <f t="shared" ca="1" si="47"/>
        <v>No</v>
      </c>
    </row>
    <row r="971" spans="1:17" x14ac:dyDescent="0.45">
      <c r="A971" t="s">
        <v>64</v>
      </c>
      <c r="B971" t="s">
        <v>65</v>
      </c>
      <c r="C971" t="s">
        <v>66</v>
      </c>
      <c r="D971" t="s">
        <v>20</v>
      </c>
      <c r="E971" t="s">
        <v>21</v>
      </c>
      <c r="F971" s="1">
        <v>44105</v>
      </c>
      <c r="G971">
        <v>6.14</v>
      </c>
      <c r="H971">
        <v>84.719700000000003</v>
      </c>
      <c r="I971">
        <v>22.23</v>
      </c>
      <c r="J971">
        <v>72.819999999999993</v>
      </c>
      <c r="K971" t="s">
        <v>30</v>
      </c>
      <c r="L971">
        <v>1542.62</v>
      </c>
      <c r="M971">
        <f>VLOOKUP(K971,RatingLookup!$A$2:$C$8,2,FALSE)</f>
        <v>1.4999999999999999E-2</v>
      </c>
      <c r="N971">
        <f t="shared" si="45"/>
        <v>1.2586770182638762E-3</v>
      </c>
      <c r="O971">
        <f>VLOOKUP(K971,RatingLookup!$A$2:$C$8,3,FALSE)</f>
        <v>0.5</v>
      </c>
      <c r="P971">
        <f t="shared" si="46"/>
        <v>0.97083017095711033</v>
      </c>
      <c r="Q971" t="str">
        <f t="shared" ca="1" si="47"/>
        <v>No</v>
      </c>
    </row>
    <row r="972" spans="1:17" x14ac:dyDescent="0.45">
      <c r="A972" t="s">
        <v>64</v>
      </c>
      <c r="B972" t="s">
        <v>65</v>
      </c>
      <c r="C972" t="s">
        <v>66</v>
      </c>
      <c r="D972" t="s">
        <v>20</v>
      </c>
      <c r="E972" t="s">
        <v>21</v>
      </c>
      <c r="F972" s="1">
        <v>44136</v>
      </c>
      <c r="G972">
        <v>6.18</v>
      </c>
      <c r="H972">
        <v>81.819599999999994</v>
      </c>
      <c r="I972">
        <v>15.2</v>
      </c>
      <c r="J972">
        <v>50.08</v>
      </c>
      <c r="K972" t="s">
        <v>30</v>
      </c>
      <c r="L972">
        <v>1550.05</v>
      </c>
      <c r="M972">
        <f>VLOOKUP(K972,RatingLookup!$A$2:$C$8,2,FALSE)</f>
        <v>1.4999999999999999E-2</v>
      </c>
      <c r="N972">
        <f t="shared" si="45"/>
        <v>1.2586770182638762E-3</v>
      </c>
      <c r="O972">
        <f>VLOOKUP(K972,RatingLookup!$A$2:$C$8,3,FALSE)</f>
        <v>0.5</v>
      </c>
      <c r="P972">
        <f t="shared" si="46"/>
        <v>0.97550615607996061</v>
      </c>
      <c r="Q972" t="str">
        <f t="shared" ca="1" si="47"/>
        <v>No</v>
      </c>
    </row>
    <row r="973" spans="1:17" x14ac:dyDescent="0.45">
      <c r="A973" t="s">
        <v>64</v>
      </c>
      <c r="B973" t="s">
        <v>65</v>
      </c>
      <c r="C973" t="s">
        <v>66</v>
      </c>
      <c r="D973" t="s">
        <v>20</v>
      </c>
      <c r="E973" t="s">
        <v>21</v>
      </c>
      <c r="F973" s="1">
        <v>44166</v>
      </c>
      <c r="G973">
        <v>4.71</v>
      </c>
      <c r="H973">
        <v>83.741699999999994</v>
      </c>
      <c r="I973">
        <v>24.87</v>
      </c>
      <c r="J973">
        <v>75.790000000000006</v>
      </c>
      <c r="K973" t="s">
        <v>30</v>
      </c>
      <c r="L973">
        <v>1539.47</v>
      </c>
      <c r="M973">
        <f>VLOOKUP(K973,RatingLookup!$A$2:$C$8,2,FALSE)</f>
        <v>1.4999999999999999E-2</v>
      </c>
      <c r="N973">
        <f t="shared" si="45"/>
        <v>1.2586770182638762E-3</v>
      </c>
      <c r="O973">
        <f>VLOOKUP(K973,RatingLookup!$A$2:$C$8,3,FALSE)</f>
        <v>0.5</v>
      </c>
      <c r="P973">
        <f t="shared" si="46"/>
        <v>0.96884775465334483</v>
      </c>
      <c r="Q973" t="str">
        <f t="shared" ca="1" si="47"/>
        <v>No</v>
      </c>
    </row>
    <row r="974" spans="1:17" x14ac:dyDescent="0.45">
      <c r="A974" t="s">
        <v>64</v>
      </c>
      <c r="B974" t="s">
        <v>65</v>
      </c>
      <c r="C974" t="s">
        <v>66</v>
      </c>
      <c r="D974" t="s">
        <v>20</v>
      </c>
      <c r="E974" t="s">
        <v>21</v>
      </c>
      <c r="F974" s="1">
        <v>44197</v>
      </c>
      <c r="G974">
        <v>6.45</v>
      </c>
      <c r="H974">
        <v>78.724800000000002</v>
      </c>
      <c r="I974">
        <v>9.58</v>
      </c>
      <c r="J974">
        <v>59.2</v>
      </c>
      <c r="K974" t="s">
        <v>30</v>
      </c>
      <c r="L974">
        <v>1531.46</v>
      </c>
      <c r="M974">
        <f>VLOOKUP(K974,RatingLookup!$A$2:$C$8,2,FALSE)</f>
        <v>1.4999999999999999E-2</v>
      </c>
      <c r="N974">
        <f t="shared" si="45"/>
        <v>1.2586770182638762E-3</v>
      </c>
      <c r="O974">
        <f>VLOOKUP(K974,RatingLookup!$A$2:$C$8,3,FALSE)</f>
        <v>0.5</v>
      </c>
      <c r="P974">
        <f t="shared" si="46"/>
        <v>0.96380675319519793</v>
      </c>
      <c r="Q974" t="str">
        <f t="shared" ca="1" si="47"/>
        <v>No</v>
      </c>
    </row>
    <row r="975" spans="1:17" x14ac:dyDescent="0.45">
      <c r="A975" t="s">
        <v>64</v>
      </c>
      <c r="B975" t="s">
        <v>65</v>
      </c>
      <c r="C975" t="s">
        <v>66</v>
      </c>
      <c r="D975" t="s">
        <v>20</v>
      </c>
      <c r="E975" t="s">
        <v>21</v>
      </c>
      <c r="F975" s="1">
        <v>44228</v>
      </c>
      <c r="G975">
        <v>5.65</v>
      </c>
      <c r="H975">
        <v>84.857799999999997</v>
      </c>
      <c r="I975">
        <v>21.44</v>
      </c>
      <c r="J975">
        <v>59.25</v>
      </c>
      <c r="K975" t="s">
        <v>30</v>
      </c>
      <c r="L975">
        <v>1706.73</v>
      </c>
      <c r="M975">
        <f>VLOOKUP(K975,RatingLookup!$A$2:$C$8,2,FALSE)</f>
        <v>1.4999999999999999E-2</v>
      </c>
      <c r="N975">
        <f t="shared" si="45"/>
        <v>1.2586770182638762E-3</v>
      </c>
      <c r="O975">
        <f>VLOOKUP(K975,RatingLookup!$A$2:$C$8,3,FALSE)</f>
        <v>0.5</v>
      </c>
      <c r="P975">
        <f t="shared" si="46"/>
        <v>1.0741109136907527</v>
      </c>
      <c r="Q975" t="str">
        <f t="shared" ca="1" si="47"/>
        <v>No</v>
      </c>
    </row>
    <row r="976" spans="1:17" x14ac:dyDescent="0.45">
      <c r="A976" t="s">
        <v>64</v>
      </c>
      <c r="B976" t="s">
        <v>65</v>
      </c>
      <c r="C976" t="s">
        <v>66</v>
      </c>
      <c r="D976" t="s">
        <v>20</v>
      </c>
      <c r="E976" t="s">
        <v>21</v>
      </c>
      <c r="F976" s="1">
        <v>44256</v>
      </c>
      <c r="G976">
        <v>5.16</v>
      </c>
      <c r="H976">
        <v>81.811700000000002</v>
      </c>
      <c r="I976">
        <v>6.44</v>
      </c>
      <c r="J976">
        <v>85.07</v>
      </c>
      <c r="K976" t="s">
        <v>30</v>
      </c>
      <c r="L976">
        <v>1549.55</v>
      </c>
      <c r="M976">
        <f>VLOOKUP(K976,RatingLookup!$A$2:$C$8,2,FALSE)</f>
        <v>1.4999999999999999E-2</v>
      </c>
      <c r="N976">
        <f t="shared" si="45"/>
        <v>1.2586770182638762E-3</v>
      </c>
      <c r="O976">
        <f>VLOOKUP(K976,RatingLookup!$A$2:$C$8,3,FALSE)</f>
        <v>0.5</v>
      </c>
      <c r="P976">
        <f t="shared" si="46"/>
        <v>0.97519148682539469</v>
      </c>
      <c r="Q976" t="str">
        <f t="shared" ca="1" si="47"/>
        <v>No</v>
      </c>
    </row>
    <row r="977" spans="1:17" x14ac:dyDescent="0.45">
      <c r="A977" t="s">
        <v>64</v>
      </c>
      <c r="B977" t="s">
        <v>65</v>
      </c>
      <c r="C977" t="s">
        <v>66</v>
      </c>
      <c r="D977" t="s">
        <v>20</v>
      </c>
      <c r="E977" t="s">
        <v>21</v>
      </c>
      <c r="F977" s="1">
        <v>44287</v>
      </c>
      <c r="G977">
        <v>4.9800000000000004</v>
      </c>
      <c r="H977">
        <v>80.628200000000007</v>
      </c>
      <c r="I977">
        <v>23.95</v>
      </c>
      <c r="J977">
        <v>76.260000000000005</v>
      </c>
      <c r="K977" t="s">
        <v>30</v>
      </c>
      <c r="L977">
        <v>1566.54</v>
      </c>
      <c r="M977">
        <f>VLOOKUP(K977,RatingLookup!$A$2:$C$8,2,FALSE)</f>
        <v>1.4999999999999999E-2</v>
      </c>
      <c r="N977">
        <f t="shared" si="45"/>
        <v>1.2586770182638762E-3</v>
      </c>
      <c r="O977">
        <f>VLOOKUP(K977,RatingLookup!$A$2:$C$8,3,FALSE)</f>
        <v>0.5</v>
      </c>
      <c r="P977">
        <f t="shared" si="46"/>
        <v>0.98588394809554636</v>
      </c>
      <c r="Q977" t="str">
        <f t="shared" ca="1" si="47"/>
        <v>No</v>
      </c>
    </row>
    <row r="978" spans="1:17" x14ac:dyDescent="0.45">
      <c r="A978" t="s">
        <v>64</v>
      </c>
      <c r="B978" t="s">
        <v>65</v>
      </c>
      <c r="C978" t="s">
        <v>66</v>
      </c>
      <c r="D978" t="s">
        <v>20</v>
      </c>
      <c r="E978" t="s">
        <v>21</v>
      </c>
      <c r="F978" s="1">
        <v>44317</v>
      </c>
      <c r="G978">
        <v>5.46</v>
      </c>
      <c r="H978">
        <v>83.824299999999994</v>
      </c>
      <c r="I978">
        <v>15.49</v>
      </c>
      <c r="J978">
        <v>71.52</v>
      </c>
      <c r="K978" t="s">
        <v>30</v>
      </c>
      <c r="L978">
        <v>1566.24</v>
      </c>
      <c r="M978">
        <f>VLOOKUP(K978,RatingLookup!$A$2:$C$8,2,FALSE)</f>
        <v>1.4999999999999999E-2</v>
      </c>
      <c r="N978">
        <f t="shared" si="45"/>
        <v>1.2586770182638762E-3</v>
      </c>
      <c r="O978">
        <f>VLOOKUP(K978,RatingLookup!$A$2:$C$8,3,FALSE)</f>
        <v>0.5</v>
      </c>
      <c r="P978">
        <f t="shared" si="46"/>
        <v>0.98569514654280677</v>
      </c>
      <c r="Q978" t="str">
        <f t="shared" ca="1" si="47"/>
        <v>No</v>
      </c>
    </row>
    <row r="979" spans="1:17" x14ac:dyDescent="0.45">
      <c r="A979" t="s">
        <v>64</v>
      </c>
      <c r="B979" t="s">
        <v>65</v>
      </c>
      <c r="C979" t="s">
        <v>66</v>
      </c>
      <c r="D979" t="s">
        <v>20</v>
      </c>
      <c r="E979" t="s">
        <v>21</v>
      </c>
      <c r="F979" s="1">
        <v>44348</v>
      </c>
      <c r="G979">
        <v>4.78</v>
      </c>
      <c r="H979">
        <v>81.017899999999997</v>
      </c>
      <c r="I979">
        <v>15.7</v>
      </c>
      <c r="J979">
        <v>70.03</v>
      </c>
      <c r="K979" t="s">
        <v>30</v>
      </c>
      <c r="L979">
        <v>1614.93</v>
      </c>
      <c r="M979">
        <f>VLOOKUP(K979,RatingLookup!$A$2:$C$8,2,FALSE)</f>
        <v>1.4999999999999999E-2</v>
      </c>
      <c r="N979">
        <f t="shared" si="45"/>
        <v>1.2586770182638762E-3</v>
      </c>
      <c r="O979">
        <f>VLOOKUP(K979,RatingLookup!$A$2:$C$8,3,FALSE)</f>
        <v>0.5</v>
      </c>
      <c r="P979">
        <f t="shared" si="46"/>
        <v>1.016337638552441</v>
      </c>
      <c r="Q979" t="str">
        <f t="shared" ca="1" si="47"/>
        <v>No</v>
      </c>
    </row>
    <row r="980" spans="1:17" x14ac:dyDescent="0.45">
      <c r="A980" t="s">
        <v>64</v>
      </c>
      <c r="B980" t="s">
        <v>65</v>
      </c>
      <c r="C980" t="s">
        <v>66</v>
      </c>
      <c r="D980" t="s">
        <v>20</v>
      </c>
      <c r="E980" t="s">
        <v>21</v>
      </c>
      <c r="F980" s="1">
        <v>44378</v>
      </c>
      <c r="G980">
        <v>5.72</v>
      </c>
      <c r="H980">
        <v>81.142799999999994</v>
      </c>
      <c r="I980">
        <v>19.440000000000001</v>
      </c>
      <c r="J980">
        <v>90.98</v>
      </c>
      <c r="K980" t="s">
        <v>30</v>
      </c>
      <c r="L980">
        <v>1578.61</v>
      </c>
      <c r="M980">
        <f>VLOOKUP(K980,RatingLookup!$A$2:$C$8,2,FALSE)</f>
        <v>1.4999999999999999E-2</v>
      </c>
      <c r="N980">
        <f t="shared" si="45"/>
        <v>1.2586770182638762E-3</v>
      </c>
      <c r="O980">
        <f>VLOOKUP(K980,RatingLookup!$A$2:$C$8,3,FALSE)</f>
        <v>0.5</v>
      </c>
      <c r="P980">
        <f t="shared" si="46"/>
        <v>0.99348006390076882</v>
      </c>
      <c r="Q980" t="str">
        <f t="shared" ca="1" si="47"/>
        <v>No</v>
      </c>
    </row>
    <row r="981" spans="1:17" x14ac:dyDescent="0.45">
      <c r="A981" t="s">
        <v>64</v>
      </c>
      <c r="B981" t="s">
        <v>65</v>
      </c>
      <c r="C981" t="s">
        <v>66</v>
      </c>
      <c r="D981" t="s">
        <v>20</v>
      </c>
      <c r="E981" t="s">
        <v>21</v>
      </c>
      <c r="F981" s="1">
        <v>44409</v>
      </c>
      <c r="G981">
        <v>5.24</v>
      </c>
      <c r="H981">
        <v>79.274199999999993</v>
      </c>
      <c r="I981">
        <v>8.18</v>
      </c>
      <c r="J981">
        <v>76.89</v>
      </c>
      <c r="K981" t="s">
        <v>30</v>
      </c>
      <c r="L981">
        <v>1640.05</v>
      </c>
      <c r="M981">
        <f>VLOOKUP(K981,RatingLookup!$A$2:$C$8,2,FALSE)</f>
        <v>1.4999999999999999E-2</v>
      </c>
      <c r="N981">
        <f t="shared" si="45"/>
        <v>1.2586770182638762E-3</v>
      </c>
      <c r="O981">
        <f>VLOOKUP(K981,RatingLookup!$A$2:$C$8,3,FALSE)</f>
        <v>0.5</v>
      </c>
      <c r="P981">
        <f t="shared" si="46"/>
        <v>1.0321466219018351</v>
      </c>
      <c r="Q981" t="str">
        <f t="shared" ca="1" si="47"/>
        <v>No</v>
      </c>
    </row>
    <row r="982" spans="1:17" x14ac:dyDescent="0.45">
      <c r="A982" t="s">
        <v>64</v>
      </c>
      <c r="B982" t="s">
        <v>65</v>
      </c>
      <c r="C982" t="s">
        <v>66</v>
      </c>
      <c r="D982" t="s">
        <v>20</v>
      </c>
      <c r="E982" t="s">
        <v>21</v>
      </c>
      <c r="F982" s="1">
        <v>44440</v>
      </c>
      <c r="G982">
        <v>5.48</v>
      </c>
      <c r="H982">
        <v>85.022999999999996</v>
      </c>
      <c r="I982">
        <v>14.31</v>
      </c>
      <c r="J982">
        <v>79.12</v>
      </c>
      <c r="K982" t="s">
        <v>30</v>
      </c>
      <c r="L982">
        <v>1555.06</v>
      </c>
      <c r="M982">
        <f>VLOOKUP(K982,RatingLookup!$A$2:$C$8,2,FALSE)</f>
        <v>1.4999999999999999E-2</v>
      </c>
      <c r="N982">
        <f t="shared" si="45"/>
        <v>1.2586770182638762E-3</v>
      </c>
      <c r="O982">
        <f>VLOOKUP(K982,RatingLookup!$A$2:$C$8,3,FALSE)</f>
        <v>0.5</v>
      </c>
      <c r="P982">
        <f t="shared" si="46"/>
        <v>0.97865914201071169</v>
      </c>
      <c r="Q982" t="str">
        <f t="shared" ca="1" si="47"/>
        <v>No</v>
      </c>
    </row>
    <row r="983" spans="1:17" x14ac:dyDescent="0.45">
      <c r="A983" t="s">
        <v>64</v>
      </c>
      <c r="B983" t="s">
        <v>65</v>
      </c>
      <c r="C983" t="s">
        <v>66</v>
      </c>
      <c r="D983" t="s">
        <v>20</v>
      </c>
      <c r="E983" t="s">
        <v>21</v>
      </c>
      <c r="F983" s="1">
        <v>44470</v>
      </c>
      <c r="G983">
        <v>5.47</v>
      </c>
      <c r="H983">
        <v>86.693600000000004</v>
      </c>
      <c r="I983">
        <v>7.47</v>
      </c>
      <c r="J983">
        <v>74.930000000000007</v>
      </c>
      <c r="K983" t="s">
        <v>30</v>
      </c>
      <c r="L983">
        <v>1726.4</v>
      </c>
      <c r="M983">
        <f>VLOOKUP(K983,RatingLookup!$A$2:$C$8,2,FALSE)</f>
        <v>1.4999999999999999E-2</v>
      </c>
      <c r="N983">
        <f t="shared" si="45"/>
        <v>1.2586770182638762E-3</v>
      </c>
      <c r="O983">
        <f>VLOOKUP(K983,RatingLookup!$A$2:$C$8,3,FALSE)</f>
        <v>0.5</v>
      </c>
      <c r="P983">
        <f t="shared" si="46"/>
        <v>1.0864900021653781</v>
      </c>
      <c r="Q983" t="str">
        <f t="shared" ca="1" si="47"/>
        <v>No</v>
      </c>
    </row>
    <row r="984" spans="1:17" x14ac:dyDescent="0.45">
      <c r="A984" t="s">
        <v>64</v>
      </c>
      <c r="B984" t="s">
        <v>65</v>
      </c>
      <c r="C984" t="s">
        <v>66</v>
      </c>
      <c r="D984" t="s">
        <v>20</v>
      </c>
      <c r="E984" t="s">
        <v>21</v>
      </c>
      <c r="F984" s="1">
        <v>44501</v>
      </c>
      <c r="G984">
        <v>6.83</v>
      </c>
      <c r="H984">
        <v>82.8827</v>
      </c>
      <c r="I984">
        <v>19.850000000000001</v>
      </c>
      <c r="J984">
        <v>77.599999999999994</v>
      </c>
      <c r="K984" t="s">
        <v>30</v>
      </c>
      <c r="L984">
        <v>1750.52</v>
      </c>
      <c r="M984">
        <f>VLOOKUP(K984,RatingLookup!$A$2:$C$8,2,FALSE)</f>
        <v>1.4999999999999999E-2</v>
      </c>
      <c r="N984">
        <f t="shared" si="45"/>
        <v>1.2586770182638762E-3</v>
      </c>
      <c r="O984">
        <f>VLOOKUP(K984,RatingLookup!$A$2:$C$8,3,FALSE)</f>
        <v>0.5</v>
      </c>
      <c r="P984">
        <f t="shared" si="46"/>
        <v>1.1016696470056404</v>
      </c>
      <c r="Q984" t="str">
        <f t="shared" ca="1" si="47"/>
        <v>No</v>
      </c>
    </row>
    <row r="985" spans="1:17" x14ac:dyDescent="0.45">
      <c r="A985" t="s">
        <v>64</v>
      </c>
      <c r="B985" t="s">
        <v>65</v>
      </c>
      <c r="C985" t="s">
        <v>66</v>
      </c>
      <c r="D985" t="s">
        <v>20</v>
      </c>
      <c r="E985" t="s">
        <v>21</v>
      </c>
      <c r="F985" s="1">
        <v>44531</v>
      </c>
      <c r="G985">
        <v>5.76</v>
      </c>
      <c r="H985">
        <v>81.304500000000004</v>
      </c>
      <c r="I985">
        <v>8.8699999999999992</v>
      </c>
      <c r="J985">
        <v>61.35</v>
      </c>
      <c r="K985" t="s">
        <v>30</v>
      </c>
      <c r="L985">
        <v>1647.68</v>
      </c>
      <c r="M985">
        <f>VLOOKUP(K985,RatingLookup!$A$2:$C$8,2,FALSE)</f>
        <v>1.4999999999999999E-2</v>
      </c>
      <c r="N985">
        <f t="shared" si="45"/>
        <v>1.2586770182638762E-3</v>
      </c>
      <c r="O985">
        <f>VLOOKUP(K985,RatingLookup!$A$2:$C$8,3,FALSE)</f>
        <v>0.5</v>
      </c>
      <c r="P985">
        <f t="shared" si="46"/>
        <v>1.0369484747265119</v>
      </c>
      <c r="Q985" t="str">
        <f t="shared" ca="1" si="47"/>
        <v>No</v>
      </c>
    </row>
    <row r="986" spans="1:17" x14ac:dyDescent="0.45">
      <c r="A986" t="s">
        <v>64</v>
      </c>
      <c r="B986" t="s">
        <v>65</v>
      </c>
      <c r="C986" t="s">
        <v>66</v>
      </c>
      <c r="D986" t="s">
        <v>20</v>
      </c>
      <c r="E986" t="s">
        <v>21</v>
      </c>
      <c r="F986" s="1">
        <v>44562</v>
      </c>
      <c r="G986">
        <v>5.88</v>
      </c>
      <c r="H986">
        <v>82.679599999999994</v>
      </c>
      <c r="I986">
        <v>24.55</v>
      </c>
      <c r="J986">
        <v>77.53</v>
      </c>
      <c r="K986" t="s">
        <v>30</v>
      </c>
      <c r="L986">
        <v>1564.02</v>
      </c>
      <c r="M986">
        <f>VLOOKUP(K986,RatingLookup!$A$2:$C$8,2,FALSE)</f>
        <v>1.4999999999999999E-2</v>
      </c>
      <c r="N986">
        <f t="shared" si="45"/>
        <v>1.2586770182638762E-3</v>
      </c>
      <c r="O986">
        <f>VLOOKUP(K986,RatingLookup!$A$2:$C$8,3,FALSE)</f>
        <v>0.5</v>
      </c>
      <c r="P986">
        <f t="shared" si="46"/>
        <v>0.98429801505253389</v>
      </c>
      <c r="Q986" t="str">
        <f t="shared" ca="1" si="47"/>
        <v>No</v>
      </c>
    </row>
    <row r="987" spans="1:17" x14ac:dyDescent="0.45">
      <c r="A987" t="s">
        <v>64</v>
      </c>
      <c r="B987" t="s">
        <v>65</v>
      </c>
      <c r="C987" t="s">
        <v>66</v>
      </c>
      <c r="D987" t="s">
        <v>20</v>
      </c>
      <c r="E987" t="s">
        <v>21</v>
      </c>
      <c r="F987" s="1">
        <v>44593</v>
      </c>
      <c r="G987">
        <v>4.59</v>
      </c>
      <c r="H987">
        <v>81.998099999999994</v>
      </c>
      <c r="I987">
        <v>36.39</v>
      </c>
      <c r="J987">
        <v>82.09</v>
      </c>
      <c r="K987" t="s">
        <v>30</v>
      </c>
      <c r="L987">
        <v>1654.85</v>
      </c>
      <c r="M987">
        <f>VLOOKUP(K987,RatingLookup!$A$2:$C$8,2,FALSE)</f>
        <v>1.4999999999999999E-2</v>
      </c>
      <c r="N987">
        <f t="shared" si="45"/>
        <v>1.2586770182638762E-3</v>
      </c>
      <c r="O987">
        <f>VLOOKUP(K987,RatingLookup!$A$2:$C$8,3,FALSE)</f>
        <v>0.5</v>
      </c>
      <c r="P987">
        <f t="shared" si="46"/>
        <v>1.0414608318369878</v>
      </c>
      <c r="Q987" t="str">
        <f t="shared" ca="1" si="47"/>
        <v>No</v>
      </c>
    </row>
    <row r="988" spans="1:17" x14ac:dyDescent="0.45">
      <c r="A988" t="s">
        <v>64</v>
      </c>
      <c r="B988" t="s">
        <v>65</v>
      </c>
      <c r="C988" t="s">
        <v>66</v>
      </c>
      <c r="D988" t="s">
        <v>20</v>
      </c>
      <c r="E988" t="s">
        <v>21</v>
      </c>
      <c r="F988" s="1">
        <v>44621</v>
      </c>
      <c r="G988">
        <v>6.23</v>
      </c>
      <c r="H988">
        <v>84.231999999999999</v>
      </c>
      <c r="I988">
        <v>18.52</v>
      </c>
      <c r="J988">
        <v>83.32</v>
      </c>
      <c r="K988" t="s">
        <v>30</v>
      </c>
      <c r="L988">
        <v>1663.72</v>
      </c>
      <c r="M988">
        <f>VLOOKUP(K988,RatingLookup!$A$2:$C$8,2,FALSE)</f>
        <v>1.4999999999999999E-2</v>
      </c>
      <c r="N988">
        <f t="shared" si="45"/>
        <v>1.2586770182638762E-3</v>
      </c>
      <c r="O988">
        <f>VLOOKUP(K988,RatingLookup!$A$2:$C$8,3,FALSE)</f>
        <v>0.5</v>
      </c>
      <c r="P988">
        <f t="shared" si="46"/>
        <v>1.047043064412988</v>
      </c>
      <c r="Q988" t="str">
        <f t="shared" ca="1" si="47"/>
        <v>No</v>
      </c>
    </row>
    <row r="989" spans="1:17" x14ac:dyDescent="0.45">
      <c r="A989" t="s">
        <v>64</v>
      </c>
      <c r="B989" t="s">
        <v>65</v>
      </c>
      <c r="C989" t="s">
        <v>66</v>
      </c>
      <c r="D989" t="s">
        <v>20</v>
      </c>
      <c r="E989" t="s">
        <v>21</v>
      </c>
      <c r="F989" s="1">
        <v>44652</v>
      </c>
      <c r="G989">
        <v>4.92</v>
      </c>
      <c r="H989">
        <v>82.488799999999998</v>
      </c>
      <c r="I989">
        <v>22.28</v>
      </c>
      <c r="J989">
        <v>82.51</v>
      </c>
      <c r="K989" t="s">
        <v>22</v>
      </c>
      <c r="L989">
        <v>1595.97</v>
      </c>
      <c r="M989">
        <f>VLOOKUP(K989,RatingLookup!$A$2:$C$8,2,FALSE)</f>
        <v>5.0000000000000001E-3</v>
      </c>
      <c r="N989">
        <f t="shared" si="45"/>
        <v>4.1762458919303302E-4</v>
      </c>
      <c r="O989">
        <f>VLOOKUP(K989,RatingLookup!$A$2:$C$8,3,FALSE)</f>
        <v>0.45</v>
      </c>
      <c r="P989">
        <f t="shared" si="46"/>
        <v>0.29993234202648222</v>
      </c>
      <c r="Q989" t="str">
        <f t="shared" ca="1" si="47"/>
        <v>No</v>
      </c>
    </row>
    <row r="990" spans="1:17" x14ac:dyDescent="0.45">
      <c r="A990" t="s">
        <v>64</v>
      </c>
      <c r="B990" t="s">
        <v>65</v>
      </c>
      <c r="C990" t="s">
        <v>66</v>
      </c>
      <c r="D990" t="s">
        <v>20</v>
      </c>
      <c r="E990" t="s">
        <v>21</v>
      </c>
      <c r="F990" s="1">
        <v>44682</v>
      </c>
      <c r="G990">
        <v>5.54</v>
      </c>
      <c r="H990">
        <v>78.747100000000003</v>
      </c>
      <c r="I990">
        <v>15.49</v>
      </c>
      <c r="J990">
        <v>78.3</v>
      </c>
      <c r="K990" t="s">
        <v>22</v>
      </c>
      <c r="L990">
        <v>1683.9</v>
      </c>
      <c r="M990">
        <f>VLOOKUP(K990,RatingLookup!$A$2:$C$8,2,FALSE)</f>
        <v>5.0000000000000001E-3</v>
      </c>
      <c r="N990">
        <f t="shared" si="45"/>
        <v>4.1762458919303302E-4</v>
      </c>
      <c r="O990">
        <f>VLOOKUP(K990,RatingLookup!$A$2:$C$8,3,FALSE)</f>
        <v>0.45</v>
      </c>
      <c r="P990">
        <f t="shared" si="46"/>
        <v>0.31645712058396674</v>
      </c>
      <c r="Q990" t="str">
        <f t="shared" ca="1" si="47"/>
        <v>No</v>
      </c>
    </row>
    <row r="991" spans="1:17" x14ac:dyDescent="0.45">
      <c r="A991" t="s">
        <v>64</v>
      </c>
      <c r="B991" t="s">
        <v>65</v>
      </c>
      <c r="C991" t="s">
        <v>66</v>
      </c>
      <c r="D991" t="s">
        <v>20</v>
      </c>
      <c r="E991" t="s">
        <v>21</v>
      </c>
      <c r="F991" s="1">
        <v>44713</v>
      </c>
      <c r="G991">
        <v>4.7300000000000004</v>
      </c>
      <c r="H991">
        <v>84.648499999999999</v>
      </c>
      <c r="I991">
        <v>17.34</v>
      </c>
      <c r="J991">
        <v>75.33</v>
      </c>
      <c r="K991" t="s">
        <v>22</v>
      </c>
      <c r="L991">
        <v>1768.39</v>
      </c>
      <c r="M991">
        <f>VLOOKUP(K991,RatingLookup!$A$2:$C$8,2,FALSE)</f>
        <v>5.0000000000000001E-3</v>
      </c>
      <c r="N991">
        <f t="shared" si="45"/>
        <v>4.1762458919303302E-4</v>
      </c>
      <c r="O991">
        <f>VLOOKUP(K991,RatingLookup!$A$2:$C$8,3,FALSE)</f>
        <v>0.45</v>
      </c>
      <c r="P991">
        <f t="shared" si="46"/>
        <v>0.33233541627738045</v>
      </c>
      <c r="Q991" t="str">
        <f t="shared" ca="1" si="47"/>
        <v>No</v>
      </c>
    </row>
    <row r="992" spans="1:17" x14ac:dyDescent="0.45">
      <c r="A992" t="s">
        <v>64</v>
      </c>
      <c r="B992" t="s">
        <v>65</v>
      </c>
      <c r="C992" t="s">
        <v>66</v>
      </c>
      <c r="D992" t="s">
        <v>20</v>
      </c>
      <c r="E992" t="s">
        <v>21</v>
      </c>
      <c r="F992" s="1">
        <v>44743</v>
      </c>
      <c r="G992">
        <v>4.6900000000000004</v>
      </c>
      <c r="H992">
        <v>85.221199999999996</v>
      </c>
      <c r="I992">
        <v>21.84</v>
      </c>
      <c r="J992">
        <v>102.1</v>
      </c>
      <c r="K992" t="s">
        <v>22</v>
      </c>
      <c r="L992">
        <v>1599.63</v>
      </c>
      <c r="M992">
        <f>VLOOKUP(K992,RatingLookup!$A$2:$C$8,2,FALSE)</f>
        <v>5.0000000000000001E-3</v>
      </c>
      <c r="N992">
        <f t="shared" si="45"/>
        <v>4.1762458919303302E-4</v>
      </c>
      <c r="O992">
        <f>VLOOKUP(K992,RatingLookup!$A$2:$C$8,3,FALSE)</f>
        <v>0.45</v>
      </c>
      <c r="P992">
        <f t="shared" si="46"/>
        <v>0.30062016972488315</v>
      </c>
      <c r="Q992" t="str">
        <f t="shared" ca="1" si="47"/>
        <v>No</v>
      </c>
    </row>
    <row r="993" spans="1:17" x14ac:dyDescent="0.45">
      <c r="A993" t="s">
        <v>64</v>
      </c>
      <c r="B993" t="s">
        <v>65</v>
      </c>
      <c r="C993" t="s">
        <v>66</v>
      </c>
      <c r="D993" t="s">
        <v>20</v>
      </c>
      <c r="E993" t="s">
        <v>21</v>
      </c>
      <c r="F993" s="1">
        <v>44774</v>
      </c>
      <c r="G993">
        <v>4.0999999999999996</v>
      </c>
      <c r="H993">
        <v>84.159400000000005</v>
      </c>
      <c r="I993">
        <v>25.71</v>
      </c>
      <c r="J993">
        <v>81.900000000000006</v>
      </c>
      <c r="K993" t="s">
        <v>22</v>
      </c>
      <c r="L993">
        <v>1715.6</v>
      </c>
      <c r="M993">
        <f>VLOOKUP(K993,RatingLookup!$A$2:$C$8,2,FALSE)</f>
        <v>5.0000000000000001E-3</v>
      </c>
      <c r="N993">
        <f t="shared" si="45"/>
        <v>4.1762458919303302E-4</v>
      </c>
      <c r="O993">
        <f>VLOOKUP(K993,RatingLookup!$A$2:$C$8,3,FALSE)</f>
        <v>0.45</v>
      </c>
      <c r="P993">
        <f t="shared" si="46"/>
        <v>0.32241453534880532</v>
      </c>
      <c r="Q993" t="str">
        <f t="shared" ca="1" si="47"/>
        <v>No</v>
      </c>
    </row>
    <row r="994" spans="1:17" x14ac:dyDescent="0.45">
      <c r="A994" t="s">
        <v>64</v>
      </c>
      <c r="B994" t="s">
        <v>65</v>
      </c>
      <c r="C994" t="s">
        <v>66</v>
      </c>
      <c r="D994" t="s">
        <v>20</v>
      </c>
      <c r="E994" t="s">
        <v>21</v>
      </c>
      <c r="F994" s="1">
        <v>44805</v>
      </c>
      <c r="G994">
        <v>5.85</v>
      </c>
      <c r="H994">
        <v>79.598500000000001</v>
      </c>
      <c r="I994">
        <v>29.59</v>
      </c>
      <c r="J994">
        <v>78.709999999999994</v>
      </c>
      <c r="K994" t="s">
        <v>22</v>
      </c>
      <c r="L994">
        <v>1744.36</v>
      </c>
      <c r="M994">
        <f>VLOOKUP(K994,RatingLookup!$A$2:$C$8,2,FALSE)</f>
        <v>5.0000000000000001E-3</v>
      </c>
      <c r="N994">
        <f t="shared" si="45"/>
        <v>4.1762458919303302E-4</v>
      </c>
      <c r="O994">
        <f>VLOOKUP(K994,RatingLookup!$A$2:$C$8,3,FALSE)</f>
        <v>0.45</v>
      </c>
      <c r="P994">
        <f t="shared" si="46"/>
        <v>0.32781943278214154</v>
      </c>
      <c r="Q994" t="str">
        <f t="shared" ca="1" si="47"/>
        <v>No</v>
      </c>
    </row>
    <row r="995" spans="1:17" x14ac:dyDescent="0.45">
      <c r="A995" t="s">
        <v>64</v>
      </c>
      <c r="B995" t="s">
        <v>65</v>
      </c>
      <c r="C995" t="s">
        <v>66</v>
      </c>
      <c r="D995" t="s">
        <v>20</v>
      </c>
      <c r="E995" t="s">
        <v>21</v>
      </c>
      <c r="F995" s="1">
        <v>44835</v>
      </c>
      <c r="G995">
        <v>5.93</v>
      </c>
      <c r="H995">
        <v>85.549800000000005</v>
      </c>
      <c r="I995">
        <v>24.97</v>
      </c>
      <c r="J995">
        <v>79.62</v>
      </c>
      <c r="K995" t="s">
        <v>22</v>
      </c>
      <c r="L995">
        <v>1709.43</v>
      </c>
      <c r="M995">
        <f>VLOOKUP(K995,RatingLookup!$A$2:$C$8,2,FALSE)</f>
        <v>5.0000000000000001E-3</v>
      </c>
      <c r="N995">
        <f t="shared" si="45"/>
        <v>4.1762458919303302E-4</v>
      </c>
      <c r="O995">
        <f>VLOOKUP(K995,RatingLookup!$A$2:$C$8,3,FALSE)</f>
        <v>0.45</v>
      </c>
      <c r="P995">
        <f t="shared" si="46"/>
        <v>0.32125500067691093</v>
      </c>
      <c r="Q995" t="str">
        <f t="shared" ca="1" si="47"/>
        <v>No</v>
      </c>
    </row>
    <row r="996" spans="1:17" x14ac:dyDescent="0.45">
      <c r="A996" t="s">
        <v>64</v>
      </c>
      <c r="B996" t="s">
        <v>65</v>
      </c>
      <c r="C996" t="s">
        <v>66</v>
      </c>
      <c r="D996" t="s">
        <v>20</v>
      </c>
      <c r="E996" t="s">
        <v>21</v>
      </c>
      <c r="F996" s="1">
        <v>44866</v>
      </c>
      <c r="G996">
        <v>4.83</v>
      </c>
      <c r="H996">
        <v>84.290199999999999</v>
      </c>
      <c r="I996">
        <v>13.36</v>
      </c>
      <c r="J996">
        <v>96.91</v>
      </c>
      <c r="K996" t="s">
        <v>22</v>
      </c>
      <c r="L996">
        <v>1739.26</v>
      </c>
      <c r="M996">
        <f>VLOOKUP(K996,RatingLookup!$A$2:$C$8,2,FALSE)</f>
        <v>5.0000000000000001E-3</v>
      </c>
      <c r="N996">
        <f t="shared" si="45"/>
        <v>4.1762458919303302E-4</v>
      </c>
      <c r="O996">
        <f>VLOOKUP(K996,RatingLookup!$A$2:$C$8,3,FALSE)</f>
        <v>0.45</v>
      </c>
      <c r="P996">
        <f t="shared" si="46"/>
        <v>0.3268609843499436</v>
      </c>
      <c r="Q996" t="str">
        <f t="shared" ca="1" si="47"/>
        <v>No</v>
      </c>
    </row>
    <row r="997" spans="1:17" x14ac:dyDescent="0.45">
      <c r="A997" t="s">
        <v>64</v>
      </c>
      <c r="B997" t="s">
        <v>65</v>
      </c>
      <c r="C997" t="s">
        <v>66</v>
      </c>
      <c r="D997" t="s">
        <v>20</v>
      </c>
      <c r="E997" t="s">
        <v>21</v>
      </c>
      <c r="F997" s="1">
        <v>44896</v>
      </c>
      <c r="G997">
        <v>5.25</v>
      </c>
      <c r="H997">
        <v>75.750699999999995</v>
      </c>
      <c r="I997">
        <v>12.5</v>
      </c>
      <c r="J997">
        <v>76.56</v>
      </c>
      <c r="K997" t="s">
        <v>30</v>
      </c>
      <c r="L997">
        <v>1628.32</v>
      </c>
      <c r="M997">
        <f>VLOOKUP(K997,RatingLookup!$A$2:$C$8,2,FALSE)</f>
        <v>1.4999999999999999E-2</v>
      </c>
      <c r="N997">
        <f t="shared" si="45"/>
        <v>1.2586770182638762E-3</v>
      </c>
      <c r="O997">
        <f>VLOOKUP(K997,RatingLookup!$A$2:$C$8,3,FALSE)</f>
        <v>0.5</v>
      </c>
      <c r="P997">
        <f t="shared" si="46"/>
        <v>1.0247644811897174</v>
      </c>
      <c r="Q997" t="str">
        <f t="shared" ca="1" si="47"/>
        <v>No</v>
      </c>
    </row>
    <row r="998" spans="1:17" x14ac:dyDescent="0.45">
      <c r="A998" t="s">
        <v>64</v>
      </c>
      <c r="B998" t="s">
        <v>65</v>
      </c>
      <c r="C998" t="s">
        <v>66</v>
      </c>
      <c r="D998" t="s">
        <v>20</v>
      </c>
      <c r="E998" t="s">
        <v>21</v>
      </c>
      <c r="F998" s="1">
        <v>44927</v>
      </c>
      <c r="G998">
        <v>4.93</v>
      </c>
      <c r="H998">
        <v>80.788899999999998</v>
      </c>
      <c r="I998">
        <v>26.9</v>
      </c>
      <c r="J998">
        <v>84.74</v>
      </c>
      <c r="K998" t="s">
        <v>30</v>
      </c>
      <c r="L998">
        <v>1782.27</v>
      </c>
      <c r="M998">
        <f>VLOOKUP(K998,RatingLookup!$A$2:$C$8,2,FALSE)</f>
        <v>1.4999999999999999E-2</v>
      </c>
      <c r="N998">
        <f t="shared" si="45"/>
        <v>1.2586770182638762E-3</v>
      </c>
      <c r="O998">
        <f>VLOOKUP(K998,RatingLookup!$A$2:$C$8,3,FALSE)</f>
        <v>0.5</v>
      </c>
      <c r="P998">
        <f t="shared" si="46"/>
        <v>1.1216511446705792</v>
      </c>
      <c r="Q998" t="str">
        <f t="shared" ca="1" si="47"/>
        <v>No</v>
      </c>
    </row>
    <row r="999" spans="1:17" x14ac:dyDescent="0.45">
      <c r="A999" t="s">
        <v>64</v>
      </c>
      <c r="B999" t="s">
        <v>65</v>
      </c>
      <c r="C999" t="s">
        <v>66</v>
      </c>
      <c r="D999" t="s">
        <v>20</v>
      </c>
      <c r="E999" t="s">
        <v>21</v>
      </c>
      <c r="F999" s="1">
        <v>44958</v>
      </c>
      <c r="G999">
        <v>5.48</v>
      </c>
      <c r="H999">
        <v>84.2363</v>
      </c>
      <c r="I999">
        <v>14.82</v>
      </c>
      <c r="J999">
        <v>74.28</v>
      </c>
      <c r="K999" t="s">
        <v>30</v>
      </c>
      <c r="L999">
        <v>1812.83</v>
      </c>
      <c r="M999">
        <f>VLOOKUP(K999,RatingLookup!$A$2:$C$8,2,FALSE)</f>
        <v>1.4999999999999999E-2</v>
      </c>
      <c r="N999">
        <f t="shared" si="45"/>
        <v>1.2586770182638762E-3</v>
      </c>
      <c r="O999">
        <f>VLOOKUP(K999,RatingLookup!$A$2:$C$8,3,FALSE)</f>
        <v>0.5</v>
      </c>
      <c r="P999">
        <f t="shared" si="46"/>
        <v>1.1408837295096512</v>
      </c>
      <c r="Q999" t="str">
        <f t="shared" ca="1" si="47"/>
        <v>No</v>
      </c>
    </row>
    <row r="1000" spans="1:17" x14ac:dyDescent="0.45">
      <c r="A1000" t="s">
        <v>64</v>
      </c>
      <c r="B1000" t="s">
        <v>65</v>
      </c>
      <c r="C1000" t="s">
        <v>66</v>
      </c>
      <c r="D1000" t="s">
        <v>20</v>
      </c>
      <c r="E1000" t="s">
        <v>21</v>
      </c>
      <c r="F1000" s="1">
        <v>44986</v>
      </c>
      <c r="G1000">
        <v>5.18</v>
      </c>
      <c r="H1000">
        <v>86.658500000000004</v>
      </c>
      <c r="I1000">
        <v>15.55</v>
      </c>
      <c r="J1000">
        <v>82.08</v>
      </c>
      <c r="K1000" t="s">
        <v>30</v>
      </c>
      <c r="L1000">
        <v>1671.1</v>
      </c>
      <c r="M1000">
        <f>VLOOKUP(K1000,RatingLookup!$A$2:$C$8,2,FALSE)</f>
        <v>1.4999999999999999E-2</v>
      </c>
      <c r="N1000">
        <f t="shared" si="45"/>
        <v>1.2586770182638762E-3</v>
      </c>
      <c r="O1000">
        <f>VLOOKUP(K1000,RatingLookup!$A$2:$C$8,3,FALSE)</f>
        <v>0.5</v>
      </c>
      <c r="P1000">
        <f t="shared" si="46"/>
        <v>1.0516875826103818</v>
      </c>
      <c r="Q1000" t="str">
        <f t="shared" ca="1" si="47"/>
        <v>No</v>
      </c>
    </row>
    <row r="1001" spans="1:17" x14ac:dyDescent="0.45">
      <c r="A1001" t="s">
        <v>64</v>
      </c>
      <c r="B1001" t="s">
        <v>65</v>
      </c>
      <c r="C1001" t="s">
        <v>66</v>
      </c>
      <c r="D1001" t="s">
        <v>20</v>
      </c>
      <c r="E1001" t="s">
        <v>21</v>
      </c>
      <c r="F1001" s="1">
        <v>45017</v>
      </c>
      <c r="G1001">
        <v>5.96</v>
      </c>
      <c r="H1001">
        <v>83.450100000000006</v>
      </c>
      <c r="I1001">
        <v>8.68</v>
      </c>
      <c r="J1001">
        <v>73.36</v>
      </c>
      <c r="K1001" t="s">
        <v>30</v>
      </c>
      <c r="L1001">
        <v>1726.29</v>
      </c>
      <c r="M1001">
        <f>VLOOKUP(K1001,RatingLookup!$A$2:$C$8,2,FALSE)</f>
        <v>1.4999999999999999E-2</v>
      </c>
      <c r="N1001">
        <f t="shared" si="45"/>
        <v>1.2586770182638762E-3</v>
      </c>
      <c r="O1001">
        <f>VLOOKUP(K1001,RatingLookup!$A$2:$C$8,3,FALSE)</f>
        <v>0.5</v>
      </c>
      <c r="P1001">
        <f t="shared" si="46"/>
        <v>1.0864207749293735</v>
      </c>
      <c r="Q1001" t="str">
        <f t="shared" ca="1" si="47"/>
        <v>No</v>
      </c>
    </row>
    <row r="1002" spans="1:17" x14ac:dyDescent="0.45">
      <c r="A1002" t="s">
        <v>64</v>
      </c>
      <c r="B1002" t="s">
        <v>65</v>
      </c>
      <c r="C1002" t="s">
        <v>66</v>
      </c>
      <c r="D1002" t="s">
        <v>20</v>
      </c>
      <c r="E1002" t="s">
        <v>21</v>
      </c>
      <c r="F1002" s="1">
        <v>45047</v>
      </c>
      <c r="G1002">
        <v>5.04</v>
      </c>
      <c r="H1002">
        <v>82.007000000000005</v>
      </c>
      <c r="I1002">
        <v>24.35</v>
      </c>
      <c r="J1002">
        <v>71.459999999999994</v>
      </c>
      <c r="K1002" t="s">
        <v>30</v>
      </c>
      <c r="L1002">
        <v>1828.82</v>
      </c>
      <c r="M1002">
        <f>VLOOKUP(K1002,RatingLookup!$A$2:$C$8,2,FALSE)</f>
        <v>1.4999999999999999E-2</v>
      </c>
      <c r="N1002">
        <f t="shared" si="45"/>
        <v>1.2586770182638762E-3</v>
      </c>
      <c r="O1002">
        <f>VLOOKUP(K1002,RatingLookup!$A$2:$C$8,3,FALSE)</f>
        <v>0.5</v>
      </c>
      <c r="P1002">
        <f t="shared" si="46"/>
        <v>1.150946852270671</v>
      </c>
      <c r="Q1002" t="str">
        <f t="shared" ca="1" si="47"/>
        <v>No</v>
      </c>
    </row>
    <row r="1003" spans="1:17" x14ac:dyDescent="0.45">
      <c r="A1003" t="s">
        <v>64</v>
      </c>
      <c r="B1003" t="s">
        <v>65</v>
      </c>
      <c r="C1003" t="s">
        <v>66</v>
      </c>
      <c r="D1003" t="s">
        <v>20</v>
      </c>
      <c r="E1003" t="s">
        <v>21</v>
      </c>
      <c r="F1003" s="1">
        <v>45078</v>
      </c>
      <c r="G1003">
        <v>5.19</v>
      </c>
      <c r="H1003">
        <v>78.779300000000006</v>
      </c>
      <c r="I1003">
        <v>5.78</v>
      </c>
      <c r="J1003">
        <v>78.27</v>
      </c>
      <c r="K1003" t="s">
        <v>30</v>
      </c>
      <c r="L1003">
        <v>1729.32</v>
      </c>
      <c r="M1003">
        <f>VLOOKUP(K1003,RatingLookup!$A$2:$C$8,2,FALSE)</f>
        <v>1.4999999999999999E-2</v>
      </c>
      <c r="N1003">
        <f t="shared" si="45"/>
        <v>1.2586770182638762E-3</v>
      </c>
      <c r="O1003">
        <f>VLOOKUP(K1003,RatingLookup!$A$2:$C$8,3,FALSE)</f>
        <v>0.5</v>
      </c>
      <c r="P1003">
        <f t="shared" si="46"/>
        <v>1.0883276706120433</v>
      </c>
      <c r="Q1003" t="str">
        <f t="shared" ca="1" si="47"/>
        <v>No</v>
      </c>
    </row>
    <row r="1004" spans="1:17" x14ac:dyDescent="0.45">
      <c r="A1004" t="s">
        <v>64</v>
      </c>
      <c r="B1004" t="s">
        <v>65</v>
      </c>
      <c r="C1004" t="s">
        <v>66</v>
      </c>
      <c r="D1004" t="s">
        <v>20</v>
      </c>
      <c r="E1004" t="s">
        <v>21</v>
      </c>
      <c r="F1004" s="1">
        <v>45108</v>
      </c>
      <c r="G1004">
        <v>4.62</v>
      </c>
      <c r="H1004">
        <v>86.087699999999998</v>
      </c>
      <c r="I1004">
        <v>5</v>
      </c>
      <c r="J1004">
        <v>79.95</v>
      </c>
      <c r="K1004" t="s">
        <v>31</v>
      </c>
      <c r="L1004">
        <v>1644.77</v>
      </c>
      <c r="M1004">
        <f>VLOOKUP(K1004,RatingLookup!$A$2:$C$8,2,FALSE)</f>
        <v>0.04</v>
      </c>
      <c r="N1004">
        <f t="shared" si="45"/>
        <v>3.3960531989175591E-3</v>
      </c>
      <c r="O1004">
        <f>VLOOKUP(K1004,RatingLookup!$A$2:$C$8,3,FALSE)</f>
        <v>0.6</v>
      </c>
      <c r="P1004">
        <f t="shared" si="46"/>
        <v>3.3514358519901801</v>
      </c>
      <c r="Q1004" t="str">
        <f t="shared" ca="1" si="47"/>
        <v>No</v>
      </c>
    </row>
    <row r="1005" spans="1:17" x14ac:dyDescent="0.45">
      <c r="A1005" t="s">
        <v>64</v>
      </c>
      <c r="B1005" t="s">
        <v>65</v>
      </c>
      <c r="C1005" t="s">
        <v>66</v>
      </c>
      <c r="D1005" t="s">
        <v>20</v>
      </c>
      <c r="E1005" t="s">
        <v>21</v>
      </c>
      <c r="F1005" s="1">
        <v>45139</v>
      </c>
      <c r="G1005">
        <v>5.14</v>
      </c>
      <c r="H1005">
        <v>83.284199999999998</v>
      </c>
      <c r="I1005">
        <v>11.97</v>
      </c>
      <c r="J1005">
        <v>71</v>
      </c>
      <c r="K1005" t="s">
        <v>31</v>
      </c>
      <c r="L1005">
        <v>1686.95</v>
      </c>
      <c r="M1005">
        <f>VLOOKUP(K1005,RatingLookup!$A$2:$C$8,2,FALSE)</f>
        <v>0.04</v>
      </c>
      <c r="N1005">
        <f t="shared" si="45"/>
        <v>3.3960531989175591E-3</v>
      </c>
      <c r="O1005">
        <f>VLOOKUP(K1005,RatingLookup!$A$2:$C$8,3,FALSE)</f>
        <v>0.6</v>
      </c>
      <c r="P1005">
        <f t="shared" si="46"/>
        <v>3.4373831663483858</v>
      </c>
      <c r="Q1005" t="str">
        <f t="shared" ca="1" si="47"/>
        <v>No</v>
      </c>
    </row>
    <row r="1006" spans="1:17" x14ac:dyDescent="0.45">
      <c r="A1006" t="s">
        <v>64</v>
      </c>
      <c r="B1006" t="s">
        <v>65</v>
      </c>
      <c r="C1006" t="s">
        <v>66</v>
      </c>
      <c r="D1006" t="s">
        <v>20</v>
      </c>
      <c r="E1006" t="s">
        <v>21</v>
      </c>
      <c r="F1006" s="1">
        <v>45170</v>
      </c>
      <c r="G1006">
        <v>5.77</v>
      </c>
      <c r="H1006">
        <v>80.553700000000006</v>
      </c>
      <c r="I1006">
        <v>14.23</v>
      </c>
      <c r="J1006">
        <v>81.38</v>
      </c>
      <c r="K1006" t="s">
        <v>31</v>
      </c>
      <c r="L1006">
        <v>1616.88</v>
      </c>
      <c r="M1006">
        <f>VLOOKUP(K1006,RatingLookup!$A$2:$C$8,2,FALSE)</f>
        <v>0.04</v>
      </c>
      <c r="N1006">
        <f t="shared" si="45"/>
        <v>3.3960531989175591E-3</v>
      </c>
      <c r="O1006">
        <f>VLOOKUP(K1006,RatingLookup!$A$2:$C$8,3,FALSE)</f>
        <v>0.6</v>
      </c>
      <c r="P1006">
        <f t="shared" si="46"/>
        <v>3.2946062977594939</v>
      </c>
      <c r="Q1006" t="str">
        <f t="shared" ca="1" si="47"/>
        <v>No</v>
      </c>
    </row>
    <row r="1007" spans="1:17" x14ac:dyDescent="0.45">
      <c r="A1007" t="s">
        <v>64</v>
      </c>
      <c r="B1007" t="s">
        <v>65</v>
      </c>
      <c r="C1007" t="s">
        <v>66</v>
      </c>
      <c r="D1007" t="s">
        <v>20</v>
      </c>
      <c r="E1007" t="s">
        <v>21</v>
      </c>
      <c r="F1007" s="1">
        <v>45200</v>
      </c>
      <c r="G1007">
        <v>5.26</v>
      </c>
      <c r="H1007">
        <v>80.948499999999996</v>
      </c>
      <c r="I1007">
        <v>25.43</v>
      </c>
      <c r="J1007">
        <v>63.81</v>
      </c>
      <c r="K1007" t="s">
        <v>31</v>
      </c>
      <c r="L1007">
        <v>1589.98</v>
      </c>
      <c r="M1007">
        <f>VLOOKUP(K1007,RatingLookup!$A$2:$C$8,2,FALSE)</f>
        <v>0.04</v>
      </c>
      <c r="N1007">
        <f t="shared" si="45"/>
        <v>3.3960531989175591E-3</v>
      </c>
      <c r="O1007">
        <f>VLOOKUP(K1007,RatingLookup!$A$2:$C$8,3,FALSE)</f>
        <v>0.6</v>
      </c>
      <c r="P1007">
        <f t="shared" si="46"/>
        <v>3.2397939991289642</v>
      </c>
      <c r="Q1007" t="str">
        <f t="shared" ca="1" si="47"/>
        <v>No</v>
      </c>
    </row>
    <row r="1008" spans="1:17" x14ac:dyDescent="0.45">
      <c r="A1008" t="s">
        <v>64</v>
      </c>
      <c r="B1008" t="s">
        <v>65</v>
      </c>
      <c r="C1008" t="s">
        <v>66</v>
      </c>
      <c r="D1008" t="s">
        <v>20</v>
      </c>
      <c r="E1008" t="s">
        <v>21</v>
      </c>
      <c r="F1008" s="1">
        <v>45231</v>
      </c>
      <c r="G1008">
        <v>5.35</v>
      </c>
      <c r="H1008">
        <v>80.278300000000002</v>
      </c>
      <c r="I1008">
        <v>23.03</v>
      </c>
      <c r="J1008">
        <v>56.68</v>
      </c>
      <c r="K1008" t="s">
        <v>31</v>
      </c>
      <c r="L1008">
        <v>1632.8</v>
      </c>
      <c r="M1008">
        <f>VLOOKUP(K1008,RatingLookup!$A$2:$C$8,2,FALSE)</f>
        <v>0.04</v>
      </c>
      <c r="N1008">
        <f t="shared" si="45"/>
        <v>3.3960531989175591E-3</v>
      </c>
      <c r="O1008">
        <f>VLOOKUP(K1008,RatingLookup!$A$2:$C$8,3,FALSE)</f>
        <v>0.6</v>
      </c>
      <c r="P1008">
        <f t="shared" si="46"/>
        <v>3.3270453979155543</v>
      </c>
      <c r="Q1008" t="str">
        <f t="shared" ca="1" si="47"/>
        <v>No</v>
      </c>
    </row>
    <row r="1009" spans="1:17" x14ac:dyDescent="0.45">
      <c r="A1009" t="s">
        <v>64</v>
      </c>
      <c r="B1009" t="s">
        <v>65</v>
      </c>
      <c r="C1009" t="s">
        <v>66</v>
      </c>
      <c r="D1009" t="s">
        <v>20</v>
      </c>
      <c r="E1009" t="s">
        <v>21</v>
      </c>
      <c r="F1009" s="1">
        <v>45261</v>
      </c>
      <c r="G1009">
        <v>6.19</v>
      </c>
      <c r="H1009">
        <v>79.834500000000006</v>
      </c>
      <c r="I1009">
        <v>25.44</v>
      </c>
      <c r="J1009">
        <v>88.97</v>
      </c>
      <c r="K1009" t="s">
        <v>31</v>
      </c>
      <c r="L1009">
        <v>1559.67</v>
      </c>
      <c r="M1009">
        <f>VLOOKUP(K1009,RatingLookup!$A$2:$C$8,2,FALSE)</f>
        <v>0.04</v>
      </c>
      <c r="N1009">
        <f t="shared" si="45"/>
        <v>3.3960531989175591E-3</v>
      </c>
      <c r="O1009">
        <f>VLOOKUP(K1009,RatingLookup!$A$2:$C$8,3,FALSE)</f>
        <v>0.6</v>
      </c>
      <c r="P1009">
        <f t="shared" si="46"/>
        <v>3.1780333756534493</v>
      </c>
      <c r="Q1009" t="str">
        <f t="shared" ca="1" si="47"/>
        <v>No</v>
      </c>
    </row>
    <row r="1010" spans="1:17" x14ac:dyDescent="0.45">
      <c r="A1010" t="s">
        <v>64</v>
      </c>
      <c r="B1010" t="s">
        <v>65</v>
      </c>
      <c r="C1010" t="s">
        <v>66</v>
      </c>
      <c r="D1010" t="s">
        <v>20</v>
      </c>
      <c r="E1010" t="s">
        <v>21</v>
      </c>
      <c r="F1010" s="1">
        <v>45292</v>
      </c>
      <c r="G1010">
        <v>5.82</v>
      </c>
      <c r="H1010">
        <v>78.493499999999997</v>
      </c>
      <c r="I1010">
        <v>17.79</v>
      </c>
      <c r="J1010">
        <v>77.47</v>
      </c>
      <c r="K1010" t="s">
        <v>31</v>
      </c>
      <c r="L1010">
        <v>1631.68</v>
      </c>
      <c r="M1010">
        <f>VLOOKUP(K1010,RatingLookup!$A$2:$C$8,2,FALSE)</f>
        <v>0.04</v>
      </c>
      <c r="N1010">
        <f t="shared" si="45"/>
        <v>3.3960531989175591E-3</v>
      </c>
      <c r="O1010">
        <f>VLOOKUP(K1010,RatingLookup!$A$2:$C$8,3,FALSE)</f>
        <v>0.6</v>
      </c>
      <c r="P1010">
        <f t="shared" si="46"/>
        <v>3.3247632501658817</v>
      </c>
      <c r="Q1010" t="str">
        <f t="shared" ca="1" si="47"/>
        <v>No</v>
      </c>
    </row>
    <row r="1011" spans="1:17" x14ac:dyDescent="0.45">
      <c r="A1011" t="s">
        <v>64</v>
      </c>
      <c r="B1011" t="s">
        <v>65</v>
      </c>
      <c r="C1011" t="s">
        <v>66</v>
      </c>
      <c r="D1011" t="s">
        <v>20</v>
      </c>
      <c r="E1011" t="s">
        <v>21</v>
      </c>
      <c r="F1011" s="1">
        <v>45323</v>
      </c>
      <c r="G1011">
        <v>5.5</v>
      </c>
      <c r="H1011">
        <v>81.860600000000005</v>
      </c>
      <c r="I1011">
        <v>39.47</v>
      </c>
      <c r="J1011">
        <v>81.13</v>
      </c>
      <c r="K1011" t="s">
        <v>31</v>
      </c>
      <c r="L1011">
        <v>1611.2</v>
      </c>
      <c r="M1011">
        <f>VLOOKUP(K1011,RatingLookup!$A$2:$C$8,2,FALSE)</f>
        <v>0.04</v>
      </c>
      <c r="N1011">
        <f t="shared" si="45"/>
        <v>3.3960531989175591E-3</v>
      </c>
      <c r="O1011">
        <f>VLOOKUP(K1011,RatingLookup!$A$2:$C$8,3,FALSE)</f>
        <v>0.6</v>
      </c>
      <c r="P1011">
        <f t="shared" si="46"/>
        <v>3.2830325484575829</v>
      </c>
      <c r="Q1011" t="str">
        <f t="shared" ca="1" si="47"/>
        <v>No</v>
      </c>
    </row>
    <row r="1012" spans="1:17" x14ac:dyDescent="0.45">
      <c r="A1012" t="s">
        <v>64</v>
      </c>
      <c r="B1012" t="s">
        <v>65</v>
      </c>
      <c r="C1012" t="s">
        <v>66</v>
      </c>
      <c r="D1012" t="s">
        <v>20</v>
      </c>
      <c r="E1012" t="s">
        <v>21</v>
      </c>
      <c r="F1012" s="1">
        <v>45352</v>
      </c>
      <c r="G1012">
        <v>5.43</v>
      </c>
      <c r="H1012">
        <v>80.626000000000005</v>
      </c>
      <c r="I1012">
        <v>22.81</v>
      </c>
      <c r="J1012">
        <v>75.06</v>
      </c>
      <c r="K1012" t="s">
        <v>31</v>
      </c>
      <c r="L1012">
        <v>1660.65</v>
      </c>
      <c r="M1012">
        <f>VLOOKUP(K1012,RatingLookup!$A$2:$C$8,2,FALSE)</f>
        <v>0.04</v>
      </c>
      <c r="N1012">
        <f t="shared" si="45"/>
        <v>3.3960531989175591E-3</v>
      </c>
      <c r="O1012">
        <f>VLOOKUP(K1012,RatingLookup!$A$2:$C$8,3,FALSE)</f>
        <v>0.6</v>
      </c>
      <c r="P1012">
        <f t="shared" si="46"/>
        <v>3.383793446869467</v>
      </c>
      <c r="Q1012" t="str">
        <f t="shared" ca="1" si="47"/>
        <v>No</v>
      </c>
    </row>
    <row r="1013" spans="1:17" x14ac:dyDescent="0.45">
      <c r="A1013" t="s">
        <v>64</v>
      </c>
      <c r="B1013" t="s">
        <v>65</v>
      </c>
      <c r="C1013" t="s">
        <v>66</v>
      </c>
      <c r="D1013" t="s">
        <v>20</v>
      </c>
      <c r="E1013" t="s">
        <v>21</v>
      </c>
      <c r="F1013" s="1">
        <v>45383</v>
      </c>
      <c r="G1013">
        <v>5.8</v>
      </c>
      <c r="H1013">
        <v>82.459900000000005</v>
      </c>
      <c r="I1013">
        <v>10.63</v>
      </c>
      <c r="J1013">
        <v>90.19</v>
      </c>
      <c r="K1013" t="s">
        <v>31</v>
      </c>
      <c r="L1013">
        <v>1731.77</v>
      </c>
      <c r="M1013">
        <f>VLOOKUP(K1013,RatingLookup!$A$2:$C$8,2,FALSE)</f>
        <v>0.04</v>
      </c>
      <c r="N1013">
        <f t="shared" si="45"/>
        <v>3.3960531989175591E-3</v>
      </c>
      <c r="O1013">
        <f>VLOOKUP(K1013,RatingLookup!$A$2:$C$8,3,FALSE)</f>
        <v>0.6</v>
      </c>
      <c r="P1013">
        <f t="shared" si="46"/>
        <v>3.5287098289736769</v>
      </c>
      <c r="Q1013" t="str">
        <f t="shared" ca="1" si="47"/>
        <v>No</v>
      </c>
    </row>
    <row r="1014" spans="1:17" x14ac:dyDescent="0.45">
      <c r="A1014" t="s">
        <v>64</v>
      </c>
      <c r="B1014" t="s">
        <v>65</v>
      </c>
      <c r="C1014" t="s">
        <v>66</v>
      </c>
      <c r="D1014" t="s">
        <v>20</v>
      </c>
      <c r="E1014" t="s">
        <v>21</v>
      </c>
      <c r="F1014" s="1">
        <v>45413</v>
      </c>
      <c r="G1014">
        <v>4.8</v>
      </c>
      <c r="H1014">
        <v>83.548599999999993</v>
      </c>
      <c r="I1014">
        <v>21.5</v>
      </c>
      <c r="J1014">
        <v>75.94</v>
      </c>
      <c r="K1014" t="s">
        <v>31</v>
      </c>
      <c r="L1014">
        <v>1622.44</v>
      </c>
      <c r="M1014">
        <f>VLOOKUP(K1014,RatingLookup!$A$2:$C$8,2,FALSE)</f>
        <v>0.04</v>
      </c>
      <c r="N1014">
        <f t="shared" si="45"/>
        <v>3.3960531989175591E-3</v>
      </c>
      <c r="O1014">
        <f>VLOOKUP(K1014,RatingLookup!$A$2:$C$8,3,FALSE)</f>
        <v>0.6</v>
      </c>
      <c r="P1014">
        <f t="shared" si="46"/>
        <v>3.305935531231083</v>
      </c>
      <c r="Q1014" t="str">
        <f t="shared" ca="1" si="47"/>
        <v>No</v>
      </c>
    </row>
    <row r="1015" spans="1:17" x14ac:dyDescent="0.45">
      <c r="A1015" t="s">
        <v>64</v>
      </c>
      <c r="B1015" t="s">
        <v>65</v>
      </c>
      <c r="C1015" t="s">
        <v>66</v>
      </c>
      <c r="D1015" t="s">
        <v>20</v>
      </c>
      <c r="E1015" t="s">
        <v>21</v>
      </c>
      <c r="F1015" s="1">
        <v>45444</v>
      </c>
      <c r="G1015">
        <v>6.01</v>
      </c>
      <c r="H1015">
        <v>82.786500000000004</v>
      </c>
      <c r="I1015">
        <v>15.01</v>
      </c>
      <c r="J1015">
        <v>68.06</v>
      </c>
      <c r="K1015" t="s">
        <v>31</v>
      </c>
      <c r="L1015">
        <v>1584.28</v>
      </c>
      <c r="M1015">
        <f>VLOOKUP(K1015,RatingLookup!$A$2:$C$8,2,FALSE)</f>
        <v>0.04</v>
      </c>
      <c r="N1015">
        <f t="shared" si="45"/>
        <v>3.3960531989175591E-3</v>
      </c>
      <c r="O1015">
        <f>VLOOKUP(K1015,RatingLookup!$A$2:$C$8,3,FALSE)</f>
        <v>0.6</v>
      </c>
      <c r="P1015">
        <f t="shared" si="46"/>
        <v>3.2281794971886661</v>
      </c>
      <c r="Q1015" t="str">
        <f t="shared" ca="1" si="47"/>
        <v>No</v>
      </c>
    </row>
    <row r="1016" spans="1:17" x14ac:dyDescent="0.45">
      <c r="A1016" t="s">
        <v>64</v>
      </c>
      <c r="B1016" t="s">
        <v>65</v>
      </c>
      <c r="C1016" t="s">
        <v>66</v>
      </c>
      <c r="D1016" t="s">
        <v>20</v>
      </c>
      <c r="E1016" t="s">
        <v>21</v>
      </c>
      <c r="F1016" s="1">
        <v>45474</v>
      </c>
      <c r="G1016">
        <v>5.22</v>
      </c>
      <c r="H1016">
        <v>85.090299999999999</v>
      </c>
      <c r="I1016">
        <v>19.52</v>
      </c>
      <c r="J1016">
        <v>105.87</v>
      </c>
      <c r="K1016" t="s">
        <v>31</v>
      </c>
      <c r="L1016">
        <v>1461.52</v>
      </c>
      <c r="M1016">
        <f>VLOOKUP(K1016,RatingLookup!$A$2:$C$8,2,FALSE)</f>
        <v>0.04</v>
      </c>
      <c r="N1016">
        <f t="shared" si="45"/>
        <v>3.3960531989175591E-3</v>
      </c>
      <c r="O1016">
        <f>VLOOKUP(K1016,RatingLookup!$A$2:$C$8,3,FALSE)</f>
        <v>0.6</v>
      </c>
      <c r="P1016">
        <f t="shared" si="46"/>
        <v>2.9780398027691946</v>
      </c>
      <c r="Q1016" t="str">
        <f t="shared" ca="1" si="47"/>
        <v>No</v>
      </c>
    </row>
    <row r="1017" spans="1:17" x14ac:dyDescent="0.45">
      <c r="A1017" t="s">
        <v>64</v>
      </c>
      <c r="B1017" t="s">
        <v>65</v>
      </c>
      <c r="C1017" t="s">
        <v>66</v>
      </c>
      <c r="D1017" t="s">
        <v>20</v>
      </c>
      <c r="E1017" t="s">
        <v>21</v>
      </c>
      <c r="F1017" s="1">
        <v>45505</v>
      </c>
      <c r="G1017">
        <v>5.69</v>
      </c>
      <c r="H1017">
        <v>83.025599999999997</v>
      </c>
      <c r="I1017">
        <v>18.47</v>
      </c>
      <c r="J1017">
        <v>91.28</v>
      </c>
      <c r="K1017" t="s">
        <v>31</v>
      </c>
      <c r="L1017">
        <v>1624.51</v>
      </c>
      <c r="M1017">
        <f>VLOOKUP(K1017,RatingLookup!$A$2:$C$8,2,FALSE)</f>
        <v>0.04</v>
      </c>
      <c r="N1017">
        <f t="shared" si="45"/>
        <v>3.3960531989175591E-3</v>
      </c>
      <c r="O1017">
        <f>VLOOKUP(K1017,RatingLookup!$A$2:$C$8,3,FALSE)</f>
        <v>0.6</v>
      </c>
      <c r="P1017">
        <f t="shared" si="46"/>
        <v>3.3101534293041381</v>
      </c>
      <c r="Q1017" t="str">
        <f t="shared" ca="1" si="47"/>
        <v>No</v>
      </c>
    </row>
    <row r="1018" spans="1:17" x14ac:dyDescent="0.45">
      <c r="A1018" t="s">
        <v>64</v>
      </c>
      <c r="B1018" t="s">
        <v>65</v>
      </c>
      <c r="C1018" t="s">
        <v>66</v>
      </c>
      <c r="D1018" t="s">
        <v>20</v>
      </c>
      <c r="E1018" t="s">
        <v>21</v>
      </c>
      <c r="F1018" s="1">
        <v>45536</v>
      </c>
      <c r="G1018">
        <v>5.36</v>
      </c>
      <c r="H1018">
        <v>80.306299999999993</v>
      </c>
      <c r="I1018">
        <v>17.63</v>
      </c>
      <c r="J1018">
        <v>82.91</v>
      </c>
      <c r="K1018" t="s">
        <v>31</v>
      </c>
      <c r="L1018">
        <v>1623.76</v>
      </c>
      <c r="M1018">
        <f>VLOOKUP(K1018,RatingLookup!$A$2:$C$8,2,FALSE)</f>
        <v>0.04</v>
      </c>
      <c r="N1018">
        <f t="shared" si="45"/>
        <v>3.3960531989175591E-3</v>
      </c>
      <c r="O1018">
        <f>VLOOKUP(K1018,RatingLookup!$A$2:$C$8,3,FALSE)</f>
        <v>0.6</v>
      </c>
      <c r="P1018">
        <f t="shared" si="46"/>
        <v>3.308625205364625</v>
      </c>
      <c r="Q1018" t="str">
        <f t="shared" ca="1" si="47"/>
        <v>No</v>
      </c>
    </row>
    <row r="1019" spans="1:17" x14ac:dyDescent="0.45">
      <c r="A1019" t="s">
        <v>64</v>
      </c>
      <c r="B1019" t="s">
        <v>65</v>
      </c>
      <c r="C1019" t="s">
        <v>66</v>
      </c>
      <c r="D1019" t="s">
        <v>20</v>
      </c>
      <c r="E1019" t="s">
        <v>21</v>
      </c>
      <c r="F1019" s="1">
        <v>45566</v>
      </c>
      <c r="G1019">
        <v>5.7</v>
      </c>
      <c r="H1019">
        <v>83.440299999999993</v>
      </c>
      <c r="I1019">
        <v>19.91</v>
      </c>
      <c r="J1019">
        <v>81.02</v>
      </c>
      <c r="K1019" t="s">
        <v>31</v>
      </c>
      <c r="L1019">
        <v>1804.74</v>
      </c>
      <c r="M1019">
        <f>VLOOKUP(K1019,RatingLookup!$A$2:$C$8,2,FALSE)</f>
        <v>0.04</v>
      </c>
      <c r="N1019">
        <f t="shared" si="45"/>
        <v>3.3960531989175591E-3</v>
      </c>
      <c r="O1019">
        <f>VLOOKUP(K1019,RatingLookup!$A$2:$C$8,3,FALSE)</f>
        <v>0.6</v>
      </c>
      <c r="P1019">
        <f t="shared" si="46"/>
        <v>3.6773958301286851</v>
      </c>
      <c r="Q1019" t="str">
        <f t="shared" ca="1" si="47"/>
        <v>No</v>
      </c>
    </row>
    <row r="1020" spans="1:17" x14ac:dyDescent="0.45">
      <c r="A1020" t="s">
        <v>64</v>
      </c>
      <c r="B1020" t="s">
        <v>65</v>
      </c>
      <c r="C1020" t="s">
        <v>66</v>
      </c>
      <c r="D1020" t="s">
        <v>20</v>
      </c>
      <c r="E1020" t="s">
        <v>21</v>
      </c>
      <c r="F1020" s="1">
        <v>45597</v>
      </c>
      <c r="G1020">
        <v>6.17</v>
      </c>
      <c r="H1020">
        <v>83.898499999999999</v>
      </c>
      <c r="I1020">
        <v>14.36</v>
      </c>
      <c r="J1020">
        <v>77.88</v>
      </c>
      <c r="K1020" t="s">
        <v>31</v>
      </c>
      <c r="L1020">
        <v>1755.74</v>
      </c>
      <c r="M1020">
        <f>VLOOKUP(K1020,RatingLookup!$A$2:$C$8,2,FALSE)</f>
        <v>0.04</v>
      </c>
      <c r="N1020">
        <f t="shared" si="45"/>
        <v>3.3960531989175591E-3</v>
      </c>
      <c r="O1020">
        <f>VLOOKUP(K1020,RatingLookup!$A$2:$C$8,3,FALSE)</f>
        <v>0.6</v>
      </c>
      <c r="P1020">
        <f t="shared" si="46"/>
        <v>3.5775518660805088</v>
      </c>
      <c r="Q1020" t="str">
        <f t="shared" ca="1" si="47"/>
        <v>No</v>
      </c>
    </row>
    <row r="1021" spans="1:17" x14ac:dyDescent="0.45">
      <c r="A1021" t="s">
        <v>64</v>
      </c>
      <c r="B1021" t="s">
        <v>65</v>
      </c>
      <c r="C1021" t="s">
        <v>66</v>
      </c>
      <c r="D1021" t="s">
        <v>20</v>
      </c>
      <c r="E1021" t="s">
        <v>21</v>
      </c>
      <c r="F1021" s="1">
        <v>45627</v>
      </c>
      <c r="G1021">
        <v>5.16</v>
      </c>
      <c r="H1021">
        <v>84.099699999999999</v>
      </c>
      <c r="I1021">
        <v>16.559999999999999</v>
      </c>
      <c r="J1021">
        <v>82.67</v>
      </c>
      <c r="K1021" t="s">
        <v>31</v>
      </c>
      <c r="L1021">
        <v>1587.04</v>
      </c>
      <c r="M1021">
        <f>VLOOKUP(K1021,RatingLookup!$A$2:$C$8,2,FALSE)</f>
        <v>0.04</v>
      </c>
      <c r="N1021">
        <f t="shared" si="45"/>
        <v>3.3960531989175591E-3</v>
      </c>
      <c r="O1021">
        <f>VLOOKUP(K1021,RatingLookup!$A$2:$C$8,3,FALSE)</f>
        <v>0.6</v>
      </c>
      <c r="P1021">
        <f t="shared" si="46"/>
        <v>3.2338033612860735</v>
      </c>
      <c r="Q1021" t="str">
        <f t="shared" ca="1" si="47"/>
        <v>No</v>
      </c>
    </row>
    <row r="1022" spans="1:17" x14ac:dyDescent="0.45">
      <c r="A1022" t="s">
        <v>67</v>
      </c>
      <c r="B1022" t="s">
        <v>68</v>
      </c>
      <c r="C1022" t="s">
        <v>29</v>
      </c>
      <c r="D1022" t="s">
        <v>20</v>
      </c>
      <c r="E1022" t="s">
        <v>21</v>
      </c>
      <c r="F1022" s="1">
        <v>43831</v>
      </c>
      <c r="G1022">
        <v>6.09</v>
      </c>
      <c r="H1022">
        <v>80.537199999999999</v>
      </c>
      <c r="I1022">
        <v>12.88</v>
      </c>
      <c r="J1022">
        <v>67.989999999999995</v>
      </c>
      <c r="K1022" t="s">
        <v>22</v>
      </c>
      <c r="L1022">
        <v>804.79</v>
      </c>
      <c r="M1022">
        <f>VLOOKUP(K1022,RatingLookup!$A$2:$C$8,2,FALSE)</f>
        <v>5.0000000000000001E-3</v>
      </c>
      <c r="N1022">
        <f t="shared" si="45"/>
        <v>4.1762458919303302E-4</v>
      </c>
      <c r="O1022">
        <f>VLOOKUP(K1022,RatingLookup!$A$2:$C$8,3,FALSE)</f>
        <v>0.45</v>
      </c>
      <c r="P1022">
        <f t="shared" si="46"/>
        <v>0.15124504191149749</v>
      </c>
      <c r="Q1022" t="str">
        <f t="shared" ca="1" si="47"/>
        <v>No</v>
      </c>
    </row>
    <row r="1023" spans="1:17" x14ac:dyDescent="0.45">
      <c r="A1023" t="s">
        <v>67</v>
      </c>
      <c r="B1023" t="s">
        <v>68</v>
      </c>
      <c r="C1023" t="s">
        <v>29</v>
      </c>
      <c r="D1023" t="s">
        <v>20</v>
      </c>
      <c r="E1023" t="s">
        <v>21</v>
      </c>
      <c r="F1023" s="1">
        <v>43862</v>
      </c>
      <c r="G1023">
        <v>5.76</v>
      </c>
      <c r="H1023">
        <v>83.924099999999996</v>
      </c>
      <c r="I1023">
        <v>22.4</v>
      </c>
      <c r="J1023">
        <v>60.78</v>
      </c>
      <c r="K1023" t="s">
        <v>22</v>
      </c>
      <c r="L1023">
        <v>891.74</v>
      </c>
      <c r="M1023">
        <f>VLOOKUP(K1023,RatingLookup!$A$2:$C$8,2,FALSE)</f>
        <v>5.0000000000000001E-3</v>
      </c>
      <c r="N1023">
        <f t="shared" si="45"/>
        <v>4.1762458919303302E-4</v>
      </c>
      <c r="O1023">
        <f>VLOOKUP(K1023,RatingLookup!$A$2:$C$8,3,FALSE)</f>
        <v>0.45</v>
      </c>
      <c r="P1023">
        <f t="shared" si="46"/>
        <v>0.16758564802514789</v>
      </c>
      <c r="Q1023" t="str">
        <f t="shared" ca="1" si="47"/>
        <v>No</v>
      </c>
    </row>
    <row r="1024" spans="1:17" x14ac:dyDescent="0.45">
      <c r="A1024" t="s">
        <v>67</v>
      </c>
      <c r="B1024" t="s">
        <v>68</v>
      </c>
      <c r="C1024" t="s">
        <v>29</v>
      </c>
      <c r="D1024" t="s">
        <v>20</v>
      </c>
      <c r="E1024" t="s">
        <v>21</v>
      </c>
      <c r="F1024" s="1">
        <v>43891</v>
      </c>
      <c r="G1024">
        <v>5.81</v>
      </c>
      <c r="H1024">
        <v>79.181799999999996</v>
      </c>
      <c r="I1024">
        <v>20.350000000000001</v>
      </c>
      <c r="J1024">
        <v>76.510000000000005</v>
      </c>
      <c r="K1024" t="s">
        <v>22</v>
      </c>
      <c r="L1024">
        <v>908.87</v>
      </c>
      <c r="M1024">
        <f>VLOOKUP(K1024,RatingLookup!$A$2:$C$8,2,FALSE)</f>
        <v>5.0000000000000001E-3</v>
      </c>
      <c r="N1024">
        <f t="shared" si="45"/>
        <v>4.1762458919303302E-4</v>
      </c>
      <c r="O1024">
        <f>VLOOKUP(K1024,RatingLookup!$A$2:$C$8,3,FALSE)</f>
        <v>0.45</v>
      </c>
      <c r="P1024">
        <f t="shared" si="46"/>
        <v>0.17080490717094235</v>
      </c>
      <c r="Q1024" t="str">
        <f t="shared" ca="1" si="47"/>
        <v>No</v>
      </c>
    </row>
    <row r="1025" spans="1:17" x14ac:dyDescent="0.45">
      <c r="A1025" t="s">
        <v>67</v>
      </c>
      <c r="B1025" t="s">
        <v>68</v>
      </c>
      <c r="C1025" t="s">
        <v>29</v>
      </c>
      <c r="D1025" t="s">
        <v>20</v>
      </c>
      <c r="E1025" t="s">
        <v>21</v>
      </c>
      <c r="F1025" s="1">
        <v>43922</v>
      </c>
      <c r="G1025">
        <v>5.86</v>
      </c>
      <c r="H1025">
        <v>85.692300000000003</v>
      </c>
      <c r="I1025">
        <v>5</v>
      </c>
      <c r="J1025">
        <v>84.97</v>
      </c>
      <c r="K1025" t="s">
        <v>22</v>
      </c>
      <c r="L1025">
        <v>954.06</v>
      </c>
      <c r="M1025">
        <f>VLOOKUP(K1025,RatingLookup!$A$2:$C$8,2,FALSE)</f>
        <v>5.0000000000000001E-3</v>
      </c>
      <c r="N1025">
        <f t="shared" si="45"/>
        <v>4.1762458919303302E-4</v>
      </c>
      <c r="O1025">
        <f>VLOOKUP(K1025,RatingLookup!$A$2:$C$8,3,FALSE)</f>
        <v>0.45</v>
      </c>
      <c r="P1025">
        <f t="shared" si="46"/>
        <v>0.1792975120044773</v>
      </c>
      <c r="Q1025" t="str">
        <f t="shared" ca="1" si="47"/>
        <v>No</v>
      </c>
    </row>
    <row r="1026" spans="1:17" x14ac:dyDescent="0.45">
      <c r="A1026" t="s">
        <v>67</v>
      </c>
      <c r="B1026" t="s">
        <v>68</v>
      </c>
      <c r="C1026" t="s">
        <v>29</v>
      </c>
      <c r="D1026" t="s">
        <v>20</v>
      </c>
      <c r="E1026" t="s">
        <v>21</v>
      </c>
      <c r="F1026" s="1">
        <v>43952</v>
      </c>
      <c r="G1026">
        <v>5.81</v>
      </c>
      <c r="H1026">
        <v>79.864699999999999</v>
      </c>
      <c r="I1026">
        <v>26.27</v>
      </c>
      <c r="J1026">
        <v>85.99</v>
      </c>
      <c r="K1026" t="s">
        <v>22</v>
      </c>
      <c r="L1026">
        <v>822.94</v>
      </c>
      <c r="M1026">
        <f>VLOOKUP(K1026,RatingLookup!$A$2:$C$8,2,FALSE)</f>
        <v>5.0000000000000001E-3</v>
      </c>
      <c r="N1026">
        <f t="shared" ref="N1026:N1089" si="48">1-(1-M1026)^(1/12)</f>
        <v>4.1762458919303302E-4</v>
      </c>
      <c r="O1026">
        <f>VLOOKUP(K1026,RatingLookup!$A$2:$C$8,3,FALSE)</f>
        <v>0.45</v>
      </c>
      <c r="P1026">
        <f t="shared" ref="P1026:P1089" si="49">L1026*N1026*O1026</f>
        <v>0.15465599074373157</v>
      </c>
      <c r="Q1026" t="str">
        <f t="shared" ref="Q1026:Q1089" ca="1" si="50">IF(RAND()&lt;N1026,"Yes","No")</f>
        <v>No</v>
      </c>
    </row>
    <row r="1027" spans="1:17" x14ac:dyDescent="0.45">
      <c r="A1027" t="s">
        <v>67</v>
      </c>
      <c r="B1027" t="s">
        <v>68</v>
      </c>
      <c r="C1027" t="s">
        <v>29</v>
      </c>
      <c r="D1027" t="s">
        <v>20</v>
      </c>
      <c r="E1027" t="s">
        <v>21</v>
      </c>
      <c r="F1027" s="1">
        <v>43983</v>
      </c>
      <c r="G1027">
        <v>5.05</v>
      </c>
      <c r="H1027">
        <v>87.646100000000004</v>
      </c>
      <c r="I1027">
        <v>12.82</v>
      </c>
      <c r="J1027">
        <v>90.09</v>
      </c>
      <c r="K1027" t="s">
        <v>22</v>
      </c>
      <c r="L1027">
        <v>843.81</v>
      </c>
      <c r="M1027">
        <f>VLOOKUP(K1027,RatingLookup!$A$2:$C$8,2,FALSE)</f>
        <v>5.0000000000000001E-3</v>
      </c>
      <c r="N1027">
        <f t="shared" si="48"/>
        <v>4.1762458919303302E-4</v>
      </c>
      <c r="O1027">
        <f>VLOOKUP(K1027,RatingLookup!$A$2:$C$8,3,FALSE)</f>
        <v>0.45</v>
      </c>
      <c r="P1027">
        <f t="shared" si="49"/>
        <v>0.15857811207313793</v>
      </c>
      <c r="Q1027" t="str">
        <f t="shared" ca="1" si="50"/>
        <v>No</v>
      </c>
    </row>
    <row r="1028" spans="1:17" x14ac:dyDescent="0.45">
      <c r="A1028" t="s">
        <v>67</v>
      </c>
      <c r="B1028" t="s">
        <v>68</v>
      </c>
      <c r="C1028" t="s">
        <v>29</v>
      </c>
      <c r="D1028" t="s">
        <v>20</v>
      </c>
      <c r="E1028" t="s">
        <v>21</v>
      </c>
      <c r="F1028" s="1">
        <v>44013</v>
      </c>
      <c r="G1028">
        <v>3.7</v>
      </c>
      <c r="H1028">
        <v>84.397999999999996</v>
      </c>
      <c r="I1028">
        <v>26.43</v>
      </c>
      <c r="J1028">
        <v>86.56</v>
      </c>
      <c r="K1028" t="s">
        <v>22</v>
      </c>
      <c r="L1028">
        <v>980.22</v>
      </c>
      <c r="M1028">
        <f>VLOOKUP(K1028,RatingLookup!$A$2:$C$8,2,FALSE)</f>
        <v>5.0000000000000001E-3</v>
      </c>
      <c r="N1028">
        <f t="shared" si="48"/>
        <v>4.1762458919303302E-4</v>
      </c>
      <c r="O1028">
        <f>VLOOKUP(K1028,RatingLookup!$A$2:$C$8,3,FALSE)</f>
        <v>0.45</v>
      </c>
      <c r="P1028">
        <f t="shared" si="49"/>
        <v>0.18421378866845767</v>
      </c>
      <c r="Q1028" t="str">
        <f t="shared" ca="1" si="50"/>
        <v>No</v>
      </c>
    </row>
    <row r="1029" spans="1:17" x14ac:dyDescent="0.45">
      <c r="A1029" t="s">
        <v>67</v>
      </c>
      <c r="B1029" t="s">
        <v>68</v>
      </c>
      <c r="C1029" t="s">
        <v>29</v>
      </c>
      <c r="D1029" t="s">
        <v>20</v>
      </c>
      <c r="E1029" t="s">
        <v>21</v>
      </c>
      <c r="F1029" s="1">
        <v>44044</v>
      </c>
      <c r="G1029">
        <v>6.08</v>
      </c>
      <c r="H1029">
        <v>84.649699999999996</v>
      </c>
      <c r="I1029">
        <v>6.05</v>
      </c>
      <c r="J1029">
        <v>83.99</v>
      </c>
      <c r="K1029" t="s">
        <v>22</v>
      </c>
      <c r="L1029">
        <v>838.97</v>
      </c>
      <c r="M1029">
        <f>VLOOKUP(K1029,RatingLookup!$A$2:$C$8,2,FALSE)</f>
        <v>5.0000000000000001E-3</v>
      </c>
      <c r="N1029">
        <f t="shared" si="48"/>
        <v>4.1762458919303302E-4</v>
      </c>
      <c r="O1029">
        <f>VLOOKUP(K1029,RatingLookup!$A$2:$C$8,3,FALSE)</f>
        <v>0.45</v>
      </c>
      <c r="P1029">
        <f t="shared" si="49"/>
        <v>0.15766852571787554</v>
      </c>
      <c r="Q1029" t="str">
        <f t="shared" ca="1" si="50"/>
        <v>No</v>
      </c>
    </row>
    <row r="1030" spans="1:17" x14ac:dyDescent="0.45">
      <c r="A1030" t="s">
        <v>67</v>
      </c>
      <c r="B1030" t="s">
        <v>68</v>
      </c>
      <c r="C1030" t="s">
        <v>29</v>
      </c>
      <c r="D1030" t="s">
        <v>20</v>
      </c>
      <c r="E1030" t="s">
        <v>21</v>
      </c>
      <c r="F1030" s="1">
        <v>44075</v>
      </c>
      <c r="G1030">
        <v>4.07</v>
      </c>
      <c r="H1030">
        <v>84.124600000000001</v>
      </c>
      <c r="I1030">
        <v>30.39</v>
      </c>
      <c r="J1030">
        <v>70.47</v>
      </c>
      <c r="K1030" t="s">
        <v>22</v>
      </c>
      <c r="L1030">
        <v>913.16</v>
      </c>
      <c r="M1030">
        <f>VLOOKUP(K1030,RatingLookup!$A$2:$C$8,2,FALSE)</f>
        <v>5.0000000000000001E-3</v>
      </c>
      <c r="N1030">
        <f t="shared" si="48"/>
        <v>4.1762458919303302E-4</v>
      </c>
      <c r="O1030">
        <f>VLOOKUP(K1030,RatingLookup!$A$2:$C$8,3,FALSE)</f>
        <v>0.45</v>
      </c>
      <c r="P1030">
        <f t="shared" si="49"/>
        <v>0.17161113144037951</v>
      </c>
      <c r="Q1030" t="str">
        <f t="shared" ca="1" si="50"/>
        <v>No</v>
      </c>
    </row>
    <row r="1031" spans="1:17" x14ac:dyDescent="0.45">
      <c r="A1031" t="s">
        <v>67</v>
      </c>
      <c r="B1031" t="s">
        <v>68</v>
      </c>
      <c r="C1031" t="s">
        <v>29</v>
      </c>
      <c r="D1031" t="s">
        <v>20</v>
      </c>
      <c r="E1031" t="s">
        <v>21</v>
      </c>
      <c r="F1031" s="1">
        <v>44105</v>
      </c>
      <c r="G1031">
        <v>6.3</v>
      </c>
      <c r="H1031">
        <v>84.739400000000003</v>
      </c>
      <c r="I1031">
        <v>22.01</v>
      </c>
      <c r="J1031">
        <v>76.77</v>
      </c>
      <c r="K1031" t="s">
        <v>22</v>
      </c>
      <c r="L1031">
        <v>845.17</v>
      </c>
      <c r="M1031">
        <f>VLOOKUP(K1031,RatingLookup!$A$2:$C$8,2,FALSE)</f>
        <v>5.0000000000000001E-3</v>
      </c>
      <c r="N1031">
        <f t="shared" si="48"/>
        <v>4.1762458919303302E-4</v>
      </c>
      <c r="O1031">
        <f>VLOOKUP(K1031,RatingLookup!$A$2:$C$8,3,FALSE)</f>
        <v>0.45</v>
      </c>
      <c r="P1031">
        <f t="shared" si="49"/>
        <v>0.15883369832172409</v>
      </c>
      <c r="Q1031" t="str">
        <f t="shared" ca="1" si="50"/>
        <v>No</v>
      </c>
    </row>
    <row r="1032" spans="1:17" x14ac:dyDescent="0.45">
      <c r="A1032" t="s">
        <v>67</v>
      </c>
      <c r="B1032" t="s">
        <v>68</v>
      </c>
      <c r="C1032" t="s">
        <v>29</v>
      </c>
      <c r="D1032" t="s">
        <v>20</v>
      </c>
      <c r="E1032" t="s">
        <v>21</v>
      </c>
      <c r="F1032" s="1">
        <v>44136</v>
      </c>
      <c r="G1032">
        <v>6.33</v>
      </c>
      <c r="H1032">
        <v>82.286299999999997</v>
      </c>
      <c r="I1032">
        <v>12.78</v>
      </c>
      <c r="J1032">
        <v>72.819999999999993</v>
      </c>
      <c r="K1032" t="s">
        <v>22</v>
      </c>
      <c r="L1032">
        <v>906.38</v>
      </c>
      <c r="M1032">
        <f>VLOOKUP(K1032,RatingLookup!$A$2:$C$8,2,FALSE)</f>
        <v>5.0000000000000001E-3</v>
      </c>
      <c r="N1032">
        <f t="shared" si="48"/>
        <v>4.1762458919303302E-4</v>
      </c>
      <c r="O1032">
        <f>VLOOKUP(K1032,RatingLookup!$A$2:$C$8,3,FALSE)</f>
        <v>0.45</v>
      </c>
      <c r="P1032">
        <f t="shared" si="49"/>
        <v>0.17033695881875158</v>
      </c>
      <c r="Q1032" t="str">
        <f t="shared" ca="1" si="50"/>
        <v>No</v>
      </c>
    </row>
    <row r="1033" spans="1:17" x14ac:dyDescent="0.45">
      <c r="A1033" t="s">
        <v>67</v>
      </c>
      <c r="B1033" t="s">
        <v>68</v>
      </c>
      <c r="C1033" t="s">
        <v>29</v>
      </c>
      <c r="D1033" t="s">
        <v>20</v>
      </c>
      <c r="E1033" t="s">
        <v>21</v>
      </c>
      <c r="F1033" s="1">
        <v>44166</v>
      </c>
      <c r="G1033">
        <v>4.5599999999999996</v>
      </c>
      <c r="H1033">
        <v>85.560100000000006</v>
      </c>
      <c r="I1033">
        <v>6.97</v>
      </c>
      <c r="J1033">
        <v>85.49</v>
      </c>
      <c r="K1033" t="s">
        <v>22</v>
      </c>
      <c r="L1033">
        <v>956.59</v>
      </c>
      <c r="M1033">
        <f>VLOOKUP(K1033,RatingLookup!$A$2:$C$8,2,FALSE)</f>
        <v>5.0000000000000001E-3</v>
      </c>
      <c r="N1033">
        <f t="shared" si="48"/>
        <v>4.1762458919303302E-4</v>
      </c>
      <c r="O1033">
        <f>VLOOKUP(K1033,RatingLookup!$A$2:$C$8,3,FALSE)</f>
        <v>0.45</v>
      </c>
      <c r="P1033">
        <f t="shared" si="49"/>
        <v>0.17977297759927358</v>
      </c>
      <c r="Q1033" t="str">
        <f t="shared" ca="1" si="50"/>
        <v>No</v>
      </c>
    </row>
    <row r="1034" spans="1:17" x14ac:dyDescent="0.45">
      <c r="A1034" t="s">
        <v>67</v>
      </c>
      <c r="B1034" t="s">
        <v>68</v>
      </c>
      <c r="C1034" t="s">
        <v>29</v>
      </c>
      <c r="D1034" t="s">
        <v>20</v>
      </c>
      <c r="E1034" t="s">
        <v>21</v>
      </c>
      <c r="F1034" s="1">
        <v>44197</v>
      </c>
      <c r="G1034">
        <v>4.4000000000000004</v>
      </c>
      <c r="H1034">
        <v>77.947000000000003</v>
      </c>
      <c r="I1034">
        <v>28.96</v>
      </c>
      <c r="J1034">
        <v>67.16</v>
      </c>
      <c r="K1034" t="s">
        <v>22</v>
      </c>
      <c r="L1034">
        <v>1041.83</v>
      </c>
      <c r="M1034">
        <f>VLOOKUP(K1034,RatingLookup!$A$2:$C$8,2,FALSE)</f>
        <v>5.0000000000000001E-3</v>
      </c>
      <c r="N1034">
        <f t="shared" si="48"/>
        <v>4.1762458919303302E-4</v>
      </c>
      <c r="O1034">
        <f>VLOOKUP(K1034,RatingLookup!$A$2:$C$8,3,FALSE)</f>
        <v>0.45</v>
      </c>
      <c r="P1034">
        <f t="shared" si="49"/>
        <v>0.19579222159153992</v>
      </c>
      <c r="Q1034" t="str">
        <f t="shared" ca="1" si="50"/>
        <v>No</v>
      </c>
    </row>
    <row r="1035" spans="1:17" x14ac:dyDescent="0.45">
      <c r="A1035" t="s">
        <v>67</v>
      </c>
      <c r="B1035" t="s">
        <v>68</v>
      </c>
      <c r="C1035" t="s">
        <v>29</v>
      </c>
      <c r="D1035" t="s">
        <v>20</v>
      </c>
      <c r="E1035" t="s">
        <v>21</v>
      </c>
      <c r="F1035" s="1">
        <v>44228</v>
      </c>
      <c r="G1035">
        <v>4.42</v>
      </c>
      <c r="H1035">
        <v>80.565700000000007</v>
      </c>
      <c r="I1035">
        <v>16.25</v>
      </c>
      <c r="J1035">
        <v>66.92</v>
      </c>
      <c r="K1035" t="s">
        <v>22</v>
      </c>
      <c r="L1035">
        <v>834.72</v>
      </c>
      <c r="M1035">
        <f>VLOOKUP(K1035,RatingLookup!$A$2:$C$8,2,FALSE)</f>
        <v>5.0000000000000001E-3</v>
      </c>
      <c r="N1035">
        <f t="shared" si="48"/>
        <v>4.1762458919303302E-4</v>
      </c>
      <c r="O1035">
        <f>VLOOKUP(K1035,RatingLookup!$A$2:$C$8,3,FALSE)</f>
        <v>0.45</v>
      </c>
      <c r="P1035">
        <f t="shared" si="49"/>
        <v>0.15686981869104383</v>
      </c>
      <c r="Q1035" t="str">
        <f t="shared" ca="1" si="50"/>
        <v>No</v>
      </c>
    </row>
    <row r="1036" spans="1:17" x14ac:dyDescent="0.45">
      <c r="A1036" t="s">
        <v>67</v>
      </c>
      <c r="B1036" t="s">
        <v>68</v>
      </c>
      <c r="C1036" t="s">
        <v>29</v>
      </c>
      <c r="D1036" t="s">
        <v>20</v>
      </c>
      <c r="E1036" t="s">
        <v>21</v>
      </c>
      <c r="F1036" s="1">
        <v>44256</v>
      </c>
      <c r="G1036">
        <v>5.9</v>
      </c>
      <c r="H1036">
        <v>78.066900000000004</v>
      </c>
      <c r="I1036">
        <v>23.52</v>
      </c>
      <c r="J1036">
        <v>85.32</v>
      </c>
      <c r="K1036" t="s">
        <v>22</v>
      </c>
      <c r="L1036">
        <v>914.3</v>
      </c>
      <c r="M1036">
        <f>VLOOKUP(K1036,RatingLookup!$A$2:$C$8,2,FALSE)</f>
        <v>5.0000000000000001E-3</v>
      </c>
      <c r="N1036">
        <f t="shared" si="48"/>
        <v>4.1762458919303302E-4</v>
      </c>
      <c r="O1036">
        <f>VLOOKUP(K1036,RatingLookup!$A$2:$C$8,3,FALSE)</f>
        <v>0.45</v>
      </c>
      <c r="P1036">
        <f t="shared" si="49"/>
        <v>0.17182537285463553</v>
      </c>
      <c r="Q1036" t="str">
        <f t="shared" ca="1" si="50"/>
        <v>No</v>
      </c>
    </row>
    <row r="1037" spans="1:17" x14ac:dyDescent="0.45">
      <c r="A1037" t="s">
        <v>67</v>
      </c>
      <c r="B1037" t="s">
        <v>68</v>
      </c>
      <c r="C1037" t="s">
        <v>29</v>
      </c>
      <c r="D1037" t="s">
        <v>20</v>
      </c>
      <c r="E1037" t="s">
        <v>21</v>
      </c>
      <c r="F1037" s="1">
        <v>44287</v>
      </c>
      <c r="G1037">
        <v>5.25</v>
      </c>
      <c r="H1037">
        <v>81.215500000000006</v>
      </c>
      <c r="I1037">
        <v>22.28</v>
      </c>
      <c r="J1037">
        <v>66.709999999999994</v>
      </c>
      <c r="K1037" t="s">
        <v>23</v>
      </c>
      <c r="L1037">
        <v>898.04</v>
      </c>
      <c r="M1037">
        <f>VLOOKUP(K1037,RatingLookup!$A$2:$C$8,2,FALSE)</f>
        <v>1E-3</v>
      </c>
      <c r="N1037">
        <f t="shared" si="48"/>
        <v>8.3371552197619714E-5</v>
      </c>
      <c r="O1037">
        <f>VLOOKUP(K1037,RatingLookup!$A$2:$C$8,3,FALSE)</f>
        <v>0.3</v>
      </c>
      <c r="P1037">
        <f t="shared" si="49"/>
        <v>2.2461296620665122E-2</v>
      </c>
      <c r="Q1037" t="str">
        <f t="shared" ca="1" si="50"/>
        <v>No</v>
      </c>
    </row>
    <row r="1038" spans="1:17" x14ac:dyDescent="0.45">
      <c r="A1038" t="s">
        <v>67</v>
      </c>
      <c r="B1038" t="s">
        <v>68</v>
      </c>
      <c r="C1038" t="s">
        <v>29</v>
      </c>
      <c r="D1038" t="s">
        <v>20</v>
      </c>
      <c r="E1038" t="s">
        <v>21</v>
      </c>
      <c r="F1038" s="1">
        <v>44317</v>
      </c>
      <c r="G1038">
        <v>5.62</v>
      </c>
      <c r="H1038">
        <v>86.828900000000004</v>
      </c>
      <c r="I1038">
        <v>24.46</v>
      </c>
      <c r="J1038">
        <v>85.16</v>
      </c>
      <c r="K1038" t="s">
        <v>23</v>
      </c>
      <c r="L1038">
        <v>927.76</v>
      </c>
      <c r="M1038">
        <f>VLOOKUP(K1038,RatingLookup!$A$2:$C$8,2,FALSE)</f>
        <v>1E-3</v>
      </c>
      <c r="N1038">
        <f t="shared" si="48"/>
        <v>8.3371552197619714E-5</v>
      </c>
      <c r="O1038">
        <f>VLOOKUP(K1038,RatingLookup!$A$2:$C$8,3,FALSE)</f>
        <v>0.3</v>
      </c>
      <c r="P1038">
        <f t="shared" si="49"/>
        <v>2.3204637380059099E-2</v>
      </c>
      <c r="Q1038" t="str">
        <f t="shared" ca="1" si="50"/>
        <v>No</v>
      </c>
    </row>
    <row r="1039" spans="1:17" x14ac:dyDescent="0.45">
      <c r="A1039" t="s">
        <v>67</v>
      </c>
      <c r="B1039" t="s">
        <v>68</v>
      </c>
      <c r="C1039" t="s">
        <v>29</v>
      </c>
      <c r="D1039" t="s">
        <v>20</v>
      </c>
      <c r="E1039" t="s">
        <v>21</v>
      </c>
      <c r="F1039" s="1">
        <v>44348</v>
      </c>
      <c r="G1039">
        <v>5.97</v>
      </c>
      <c r="H1039">
        <v>84.863500000000002</v>
      </c>
      <c r="I1039">
        <v>20.48</v>
      </c>
      <c r="J1039">
        <v>72.87</v>
      </c>
      <c r="K1039" t="s">
        <v>23</v>
      </c>
      <c r="L1039">
        <v>894.57</v>
      </c>
      <c r="M1039">
        <f>VLOOKUP(K1039,RatingLookup!$A$2:$C$8,2,FALSE)</f>
        <v>1E-3</v>
      </c>
      <c r="N1039">
        <f t="shared" si="48"/>
        <v>8.3371552197619714E-5</v>
      </c>
      <c r="O1039">
        <f>VLOOKUP(K1039,RatingLookup!$A$2:$C$8,3,FALSE)</f>
        <v>0.3</v>
      </c>
      <c r="P1039">
        <f t="shared" si="49"/>
        <v>2.2374506834827401E-2</v>
      </c>
      <c r="Q1039" t="str">
        <f t="shared" ca="1" si="50"/>
        <v>No</v>
      </c>
    </row>
    <row r="1040" spans="1:17" x14ac:dyDescent="0.45">
      <c r="A1040" t="s">
        <v>67</v>
      </c>
      <c r="B1040" t="s">
        <v>68</v>
      </c>
      <c r="C1040" t="s">
        <v>29</v>
      </c>
      <c r="D1040" t="s">
        <v>20</v>
      </c>
      <c r="E1040" t="s">
        <v>21</v>
      </c>
      <c r="F1040" s="1">
        <v>44378</v>
      </c>
      <c r="G1040">
        <v>6.02</v>
      </c>
      <c r="H1040">
        <v>82.102900000000005</v>
      </c>
      <c r="I1040">
        <v>18.87</v>
      </c>
      <c r="J1040">
        <v>90.37</v>
      </c>
      <c r="K1040" t="s">
        <v>23</v>
      </c>
      <c r="L1040">
        <v>906.22</v>
      </c>
      <c r="M1040">
        <f>VLOOKUP(K1040,RatingLookup!$A$2:$C$8,2,FALSE)</f>
        <v>1E-3</v>
      </c>
      <c r="N1040">
        <f t="shared" si="48"/>
        <v>8.3371552197619714E-5</v>
      </c>
      <c r="O1040">
        <f>VLOOKUP(K1040,RatingLookup!$A$2:$C$8,3,FALSE)</f>
        <v>0.3</v>
      </c>
      <c r="P1040">
        <f t="shared" si="49"/>
        <v>2.2665890409758079E-2</v>
      </c>
      <c r="Q1040" t="str">
        <f t="shared" ca="1" si="50"/>
        <v>No</v>
      </c>
    </row>
    <row r="1041" spans="1:17" x14ac:dyDescent="0.45">
      <c r="A1041" t="s">
        <v>67</v>
      </c>
      <c r="B1041" t="s">
        <v>68</v>
      </c>
      <c r="C1041" t="s">
        <v>29</v>
      </c>
      <c r="D1041" t="s">
        <v>20</v>
      </c>
      <c r="E1041" t="s">
        <v>21</v>
      </c>
      <c r="F1041" s="1">
        <v>44409</v>
      </c>
      <c r="G1041">
        <v>6.43</v>
      </c>
      <c r="H1041">
        <v>81.067999999999998</v>
      </c>
      <c r="I1041">
        <v>11.8</v>
      </c>
      <c r="J1041">
        <v>74</v>
      </c>
      <c r="K1041" t="s">
        <v>23</v>
      </c>
      <c r="L1041">
        <v>783.3</v>
      </c>
      <c r="M1041">
        <f>VLOOKUP(K1041,RatingLookup!$A$2:$C$8,2,FALSE)</f>
        <v>1E-3</v>
      </c>
      <c r="N1041">
        <f t="shared" si="48"/>
        <v>8.3371552197619714E-5</v>
      </c>
      <c r="O1041">
        <f>VLOOKUP(K1041,RatingLookup!$A$2:$C$8,3,FALSE)</f>
        <v>0.3</v>
      </c>
      <c r="P1041">
        <f t="shared" si="49"/>
        <v>1.9591481050918656E-2</v>
      </c>
      <c r="Q1041" t="str">
        <f t="shared" ca="1" si="50"/>
        <v>No</v>
      </c>
    </row>
    <row r="1042" spans="1:17" x14ac:dyDescent="0.45">
      <c r="A1042" t="s">
        <v>67</v>
      </c>
      <c r="B1042" t="s">
        <v>68</v>
      </c>
      <c r="C1042" t="s">
        <v>29</v>
      </c>
      <c r="D1042" t="s">
        <v>20</v>
      </c>
      <c r="E1042" t="s">
        <v>21</v>
      </c>
      <c r="F1042" s="1">
        <v>44440</v>
      </c>
      <c r="G1042">
        <v>5.13</v>
      </c>
      <c r="H1042">
        <v>84.190700000000007</v>
      </c>
      <c r="I1042">
        <v>19.11</v>
      </c>
      <c r="J1042">
        <v>72.59</v>
      </c>
      <c r="K1042" t="s">
        <v>23</v>
      </c>
      <c r="L1042">
        <v>815.57</v>
      </c>
      <c r="M1042">
        <f>VLOOKUP(K1042,RatingLookup!$A$2:$C$8,2,FALSE)</f>
        <v>1E-3</v>
      </c>
      <c r="N1042">
        <f t="shared" si="48"/>
        <v>8.3371552197619714E-5</v>
      </c>
      <c r="O1042">
        <f>VLOOKUP(K1042,RatingLookup!$A$2:$C$8,3,FALSE)</f>
        <v>0.3</v>
      </c>
      <c r="P1042">
        <f t="shared" si="49"/>
        <v>2.0398601047743815E-2</v>
      </c>
      <c r="Q1042" t="str">
        <f t="shared" ca="1" si="50"/>
        <v>No</v>
      </c>
    </row>
    <row r="1043" spans="1:17" x14ac:dyDescent="0.45">
      <c r="A1043" t="s">
        <v>67</v>
      </c>
      <c r="B1043" t="s">
        <v>68</v>
      </c>
      <c r="C1043" t="s">
        <v>29</v>
      </c>
      <c r="D1043" t="s">
        <v>20</v>
      </c>
      <c r="E1043" t="s">
        <v>21</v>
      </c>
      <c r="F1043" s="1">
        <v>44470</v>
      </c>
      <c r="G1043">
        <v>6.28</v>
      </c>
      <c r="H1043">
        <v>80.929100000000005</v>
      </c>
      <c r="I1043">
        <v>9.69</v>
      </c>
      <c r="J1043">
        <v>87.05</v>
      </c>
      <c r="K1043" t="s">
        <v>23</v>
      </c>
      <c r="L1043">
        <v>895.84</v>
      </c>
      <c r="M1043">
        <f>VLOOKUP(K1043,RatingLookup!$A$2:$C$8,2,FALSE)</f>
        <v>1E-3</v>
      </c>
      <c r="N1043">
        <f t="shared" si="48"/>
        <v>8.3371552197619714E-5</v>
      </c>
      <c r="O1043">
        <f>VLOOKUP(K1043,RatingLookup!$A$2:$C$8,3,FALSE)</f>
        <v>0.3</v>
      </c>
      <c r="P1043">
        <f t="shared" si="49"/>
        <v>2.2406271396214691E-2</v>
      </c>
      <c r="Q1043" t="str">
        <f t="shared" ca="1" si="50"/>
        <v>No</v>
      </c>
    </row>
    <row r="1044" spans="1:17" x14ac:dyDescent="0.45">
      <c r="A1044" t="s">
        <v>67</v>
      </c>
      <c r="B1044" t="s">
        <v>68</v>
      </c>
      <c r="C1044" t="s">
        <v>29</v>
      </c>
      <c r="D1044" t="s">
        <v>20</v>
      </c>
      <c r="E1044" t="s">
        <v>21</v>
      </c>
      <c r="F1044" s="1">
        <v>44501</v>
      </c>
      <c r="G1044">
        <v>6.53</v>
      </c>
      <c r="H1044">
        <v>84.361099999999993</v>
      </c>
      <c r="I1044">
        <v>29.96</v>
      </c>
      <c r="J1044">
        <v>80.760000000000005</v>
      </c>
      <c r="K1044" t="s">
        <v>23</v>
      </c>
      <c r="L1044">
        <v>855.6</v>
      </c>
      <c r="M1044">
        <f>VLOOKUP(K1044,RatingLookup!$A$2:$C$8,2,FALSE)</f>
        <v>1E-3</v>
      </c>
      <c r="N1044">
        <f t="shared" si="48"/>
        <v>8.3371552197619714E-5</v>
      </c>
      <c r="O1044">
        <f>VLOOKUP(K1044,RatingLookup!$A$2:$C$8,3,FALSE)</f>
        <v>0.3</v>
      </c>
      <c r="P1044">
        <f t="shared" si="49"/>
        <v>2.1399810018085028E-2</v>
      </c>
      <c r="Q1044" t="str">
        <f t="shared" ca="1" si="50"/>
        <v>No</v>
      </c>
    </row>
    <row r="1045" spans="1:17" x14ac:dyDescent="0.45">
      <c r="A1045" t="s">
        <v>67</v>
      </c>
      <c r="B1045" t="s">
        <v>68</v>
      </c>
      <c r="C1045" t="s">
        <v>29</v>
      </c>
      <c r="D1045" t="s">
        <v>20</v>
      </c>
      <c r="E1045" t="s">
        <v>21</v>
      </c>
      <c r="F1045" s="1">
        <v>44531</v>
      </c>
      <c r="G1045">
        <v>5.99</v>
      </c>
      <c r="H1045">
        <v>86.086399999999998</v>
      </c>
      <c r="I1045">
        <v>17.72</v>
      </c>
      <c r="J1045">
        <v>82.76</v>
      </c>
      <c r="K1045" t="s">
        <v>23</v>
      </c>
      <c r="L1045">
        <v>899.06</v>
      </c>
      <c r="M1045">
        <f>VLOOKUP(K1045,RatingLookup!$A$2:$C$8,2,FALSE)</f>
        <v>1E-3</v>
      </c>
      <c r="N1045">
        <f t="shared" si="48"/>
        <v>8.3371552197619714E-5</v>
      </c>
      <c r="O1045">
        <f>VLOOKUP(K1045,RatingLookup!$A$2:$C$8,3,FALSE)</f>
        <v>0.3</v>
      </c>
      <c r="P1045">
        <f t="shared" si="49"/>
        <v>2.2486808315637593E-2</v>
      </c>
      <c r="Q1045" t="str">
        <f t="shared" ca="1" si="50"/>
        <v>No</v>
      </c>
    </row>
    <row r="1046" spans="1:17" x14ac:dyDescent="0.45">
      <c r="A1046" t="s">
        <v>67</v>
      </c>
      <c r="B1046" t="s">
        <v>68</v>
      </c>
      <c r="C1046" t="s">
        <v>29</v>
      </c>
      <c r="D1046" t="s">
        <v>20</v>
      </c>
      <c r="E1046" t="s">
        <v>21</v>
      </c>
      <c r="F1046" s="1">
        <v>44562</v>
      </c>
      <c r="G1046">
        <v>4.83</v>
      </c>
      <c r="H1046">
        <v>87.111500000000007</v>
      </c>
      <c r="I1046">
        <v>14.08</v>
      </c>
      <c r="J1046">
        <v>77.540000000000006</v>
      </c>
      <c r="K1046" t="s">
        <v>23</v>
      </c>
      <c r="L1046">
        <v>929.77</v>
      </c>
      <c r="M1046">
        <f>VLOOKUP(K1046,RatingLookup!$A$2:$C$8,2,FALSE)</f>
        <v>1E-3</v>
      </c>
      <c r="N1046">
        <f t="shared" si="48"/>
        <v>8.3371552197619714E-5</v>
      </c>
      <c r="O1046">
        <f>VLOOKUP(K1046,RatingLookup!$A$2:$C$8,3,FALSE)</f>
        <v>0.3</v>
      </c>
      <c r="P1046">
        <f t="shared" si="49"/>
        <v>2.3254910426034264E-2</v>
      </c>
      <c r="Q1046" t="str">
        <f t="shared" ca="1" si="50"/>
        <v>No</v>
      </c>
    </row>
    <row r="1047" spans="1:17" x14ac:dyDescent="0.45">
      <c r="A1047" t="s">
        <v>67</v>
      </c>
      <c r="B1047" t="s">
        <v>68</v>
      </c>
      <c r="C1047" t="s">
        <v>29</v>
      </c>
      <c r="D1047" t="s">
        <v>20</v>
      </c>
      <c r="E1047" t="s">
        <v>21</v>
      </c>
      <c r="F1047" s="1">
        <v>44593</v>
      </c>
      <c r="G1047">
        <v>5.83</v>
      </c>
      <c r="H1047">
        <v>83.717600000000004</v>
      </c>
      <c r="I1047">
        <v>25.1</v>
      </c>
      <c r="J1047">
        <v>88.22</v>
      </c>
      <c r="K1047" t="s">
        <v>23</v>
      </c>
      <c r="L1047">
        <v>852.25</v>
      </c>
      <c r="M1047">
        <f>VLOOKUP(K1047,RatingLookup!$A$2:$C$8,2,FALSE)</f>
        <v>1E-3</v>
      </c>
      <c r="N1047">
        <f t="shared" si="48"/>
        <v>8.3371552197619714E-5</v>
      </c>
      <c r="O1047">
        <f>VLOOKUP(K1047,RatingLookup!$A$2:$C$8,3,FALSE)</f>
        <v>0.3</v>
      </c>
      <c r="P1047">
        <f t="shared" si="49"/>
        <v>2.1316021608126418E-2</v>
      </c>
      <c r="Q1047" t="str">
        <f t="shared" ca="1" si="50"/>
        <v>No</v>
      </c>
    </row>
    <row r="1048" spans="1:17" x14ac:dyDescent="0.45">
      <c r="A1048" t="s">
        <v>67</v>
      </c>
      <c r="B1048" t="s">
        <v>68</v>
      </c>
      <c r="C1048" t="s">
        <v>29</v>
      </c>
      <c r="D1048" t="s">
        <v>20</v>
      </c>
      <c r="E1048" t="s">
        <v>21</v>
      </c>
      <c r="F1048" s="1">
        <v>44621</v>
      </c>
      <c r="G1048">
        <v>5.7</v>
      </c>
      <c r="H1048">
        <v>78.640900000000002</v>
      </c>
      <c r="I1048">
        <v>11.78</v>
      </c>
      <c r="J1048">
        <v>70.95</v>
      </c>
      <c r="K1048" t="s">
        <v>23</v>
      </c>
      <c r="L1048">
        <v>832.62</v>
      </c>
      <c r="M1048">
        <f>VLOOKUP(K1048,RatingLookup!$A$2:$C$8,2,FALSE)</f>
        <v>1E-3</v>
      </c>
      <c r="N1048">
        <f t="shared" si="48"/>
        <v>8.3371552197619714E-5</v>
      </c>
      <c r="O1048">
        <f>VLOOKUP(K1048,RatingLookup!$A$2:$C$8,3,FALSE)</f>
        <v>0.3</v>
      </c>
      <c r="P1048">
        <f t="shared" si="49"/>
        <v>2.0825046537234635E-2</v>
      </c>
      <c r="Q1048" t="str">
        <f t="shared" ca="1" si="50"/>
        <v>No</v>
      </c>
    </row>
    <row r="1049" spans="1:17" x14ac:dyDescent="0.45">
      <c r="A1049" t="s">
        <v>67</v>
      </c>
      <c r="B1049" t="s">
        <v>68</v>
      </c>
      <c r="C1049" t="s">
        <v>29</v>
      </c>
      <c r="D1049" t="s">
        <v>20</v>
      </c>
      <c r="E1049" t="s">
        <v>21</v>
      </c>
      <c r="F1049" s="1">
        <v>44652</v>
      </c>
      <c r="G1049">
        <v>5.48</v>
      </c>
      <c r="H1049">
        <v>81.547399999999996</v>
      </c>
      <c r="I1049">
        <v>14.8</v>
      </c>
      <c r="J1049">
        <v>73.09</v>
      </c>
      <c r="K1049" t="s">
        <v>23</v>
      </c>
      <c r="L1049">
        <v>909.45</v>
      </c>
      <c r="M1049">
        <f>VLOOKUP(K1049,RatingLookup!$A$2:$C$8,2,FALSE)</f>
        <v>1E-3</v>
      </c>
      <c r="N1049">
        <f t="shared" si="48"/>
        <v>8.3371552197619714E-5</v>
      </c>
      <c r="O1049">
        <f>VLOOKUP(K1049,RatingLookup!$A$2:$C$8,3,FALSE)</f>
        <v>0.3</v>
      </c>
      <c r="P1049">
        <f t="shared" si="49"/>
        <v>2.2746677443837574E-2</v>
      </c>
      <c r="Q1049" t="str">
        <f t="shared" ca="1" si="50"/>
        <v>No</v>
      </c>
    </row>
    <row r="1050" spans="1:17" x14ac:dyDescent="0.45">
      <c r="A1050" t="s">
        <v>67</v>
      </c>
      <c r="B1050" t="s">
        <v>68</v>
      </c>
      <c r="C1050" t="s">
        <v>29</v>
      </c>
      <c r="D1050" t="s">
        <v>20</v>
      </c>
      <c r="E1050" t="s">
        <v>21</v>
      </c>
      <c r="F1050" s="1">
        <v>44682</v>
      </c>
      <c r="G1050">
        <v>6.11</v>
      </c>
      <c r="H1050">
        <v>88.139200000000002</v>
      </c>
      <c r="I1050">
        <v>22.61</v>
      </c>
      <c r="J1050">
        <v>79.2</v>
      </c>
      <c r="K1050" t="s">
        <v>23</v>
      </c>
      <c r="L1050">
        <v>892.87</v>
      </c>
      <c r="M1050">
        <f>VLOOKUP(K1050,RatingLookup!$A$2:$C$8,2,FALSE)</f>
        <v>1E-3</v>
      </c>
      <c r="N1050">
        <f t="shared" si="48"/>
        <v>8.3371552197619714E-5</v>
      </c>
      <c r="O1050">
        <f>VLOOKUP(K1050,RatingLookup!$A$2:$C$8,3,FALSE)</f>
        <v>0.3</v>
      </c>
      <c r="P1050">
        <f t="shared" si="49"/>
        <v>2.2331987343206613E-2</v>
      </c>
      <c r="Q1050" t="str">
        <f t="shared" ca="1" si="50"/>
        <v>No</v>
      </c>
    </row>
    <row r="1051" spans="1:17" x14ac:dyDescent="0.45">
      <c r="A1051" t="s">
        <v>67</v>
      </c>
      <c r="B1051" t="s">
        <v>68</v>
      </c>
      <c r="C1051" t="s">
        <v>29</v>
      </c>
      <c r="D1051" t="s">
        <v>20</v>
      </c>
      <c r="E1051" t="s">
        <v>21</v>
      </c>
      <c r="F1051" s="1">
        <v>44713</v>
      </c>
      <c r="G1051">
        <v>5.25</v>
      </c>
      <c r="H1051">
        <v>83.1524</v>
      </c>
      <c r="I1051">
        <v>18.47</v>
      </c>
      <c r="J1051">
        <v>70.62</v>
      </c>
      <c r="K1051" t="s">
        <v>23</v>
      </c>
      <c r="L1051">
        <v>867.98</v>
      </c>
      <c r="M1051">
        <f>VLOOKUP(K1051,RatingLookup!$A$2:$C$8,2,FALSE)</f>
        <v>1E-3</v>
      </c>
      <c r="N1051">
        <f t="shared" si="48"/>
        <v>8.3371552197619714E-5</v>
      </c>
      <c r="O1051">
        <f>VLOOKUP(K1051,RatingLookup!$A$2:$C$8,3,FALSE)</f>
        <v>0.3</v>
      </c>
      <c r="P1051">
        <f t="shared" si="49"/>
        <v>2.1709451962946987E-2</v>
      </c>
      <c r="Q1051" t="str">
        <f t="shared" ca="1" si="50"/>
        <v>No</v>
      </c>
    </row>
    <row r="1052" spans="1:17" x14ac:dyDescent="0.45">
      <c r="A1052" t="s">
        <v>67</v>
      </c>
      <c r="B1052" t="s">
        <v>68</v>
      </c>
      <c r="C1052" t="s">
        <v>29</v>
      </c>
      <c r="D1052" t="s">
        <v>20</v>
      </c>
      <c r="E1052" t="s">
        <v>21</v>
      </c>
      <c r="F1052" s="1">
        <v>44743</v>
      </c>
      <c r="G1052">
        <v>7.01</v>
      </c>
      <c r="H1052">
        <v>79.108599999999996</v>
      </c>
      <c r="I1052">
        <v>18.190000000000001</v>
      </c>
      <c r="J1052">
        <v>90.23</v>
      </c>
      <c r="K1052" t="s">
        <v>23</v>
      </c>
      <c r="L1052">
        <v>940.7</v>
      </c>
      <c r="M1052">
        <f>VLOOKUP(K1052,RatingLookup!$A$2:$C$8,2,FALSE)</f>
        <v>1E-3</v>
      </c>
      <c r="N1052">
        <f t="shared" si="48"/>
        <v>8.3371552197619714E-5</v>
      </c>
      <c r="O1052">
        <f>VLOOKUP(K1052,RatingLookup!$A$2:$C$8,3,FALSE)</f>
        <v>0.3</v>
      </c>
      <c r="P1052">
        <f t="shared" si="49"/>
        <v>2.3528285745690259E-2</v>
      </c>
      <c r="Q1052" t="str">
        <f t="shared" ca="1" si="50"/>
        <v>No</v>
      </c>
    </row>
    <row r="1053" spans="1:17" x14ac:dyDescent="0.45">
      <c r="A1053" t="s">
        <v>67</v>
      </c>
      <c r="B1053" t="s">
        <v>68</v>
      </c>
      <c r="C1053" t="s">
        <v>29</v>
      </c>
      <c r="D1053" t="s">
        <v>20</v>
      </c>
      <c r="E1053" t="s">
        <v>21</v>
      </c>
      <c r="F1053" s="1">
        <v>44774</v>
      </c>
      <c r="G1053">
        <v>5.22</v>
      </c>
      <c r="H1053">
        <v>76.021199999999993</v>
      </c>
      <c r="I1053">
        <v>19.64</v>
      </c>
      <c r="J1053">
        <v>78.45</v>
      </c>
      <c r="K1053" t="s">
        <v>23</v>
      </c>
      <c r="L1053">
        <v>967.88</v>
      </c>
      <c r="M1053">
        <f>VLOOKUP(K1053,RatingLookup!$A$2:$C$8,2,FALSE)</f>
        <v>1E-3</v>
      </c>
      <c r="N1053">
        <f t="shared" si="48"/>
        <v>8.3371552197619714E-5</v>
      </c>
      <c r="O1053">
        <f>VLOOKUP(K1053,RatingLookup!$A$2:$C$8,3,FALSE)</f>
        <v>0.3</v>
      </c>
      <c r="P1053">
        <f t="shared" si="49"/>
        <v>2.4208097382309651E-2</v>
      </c>
      <c r="Q1053" t="str">
        <f t="shared" ca="1" si="50"/>
        <v>No</v>
      </c>
    </row>
    <row r="1054" spans="1:17" x14ac:dyDescent="0.45">
      <c r="A1054" t="s">
        <v>67</v>
      </c>
      <c r="B1054" t="s">
        <v>68</v>
      </c>
      <c r="C1054" t="s">
        <v>29</v>
      </c>
      <c r="D1054" t="s">
        <v>20</v>
      </c>
      <c r="E1054" t="s">
        <v>21</v>
      </c>
      <c r="F1054" s="1">
        <v>44805</v>
      </c>
      <c r="G1054">
        <v>5.76</v>
      </c>
      <c r="H1054">
        <v>83.153899999999993</v>
      </c>
      <c r="I1054">
        <v>10.58</v>
      </c>
      <c r="J1054">
        <v>71.72</v>
      </c>
      <c r="K1054" t="s">
        <v>23</v>
      </c>
      <c r="L1054">
        <v>985.39</v>
      </c>
      <c r="M1054">
        <f>VLOOKUP(K1054,RatingLookup!$A$2:$C$8,2,FALSE)</f>
        <v>1E-3</v>
      </c>
      <c r="N1054">
        <f t="shared" si="48"/>
        <v>8.3371552197619714E-5</v>
      </c>
      <c r="O1054">
        <f>VLOOKUP(K1054,RatingLookup!$A$2:$C$8,3,FALSE)</f>
        <v>0.3</v>
      </c>
      <c r="P1054">
        <f t="shared" si="49"/>
        <v>2.4646048146003744E-2</v>
      </c>
      <c r="Q1054" t="str">
        <f t="shared" ca="1" si="50"/>
        <v>No</v>
      </c>
    </row>
    <row r="1055" spans="1:17" x14ac:dyDescent="0.45">
      <c r="A1055" t="s">
        <v>67</v>
      </c>
      <c r="B1055" t="s">
        <v>68</v>
      </c>
      <c r="C1055" t="s">
        <v>29</v>
      </c>
      <c r="D1055" t="s">
        <v>20</v>
      </c>
      <c r="E1055" t="s">
        <v>21</v>
      </c>
      <c r="F1055" s="1">
        <v>44835</v>
      </c>
      <c r="G1055">
        <v>5.66</v>
      </c>
      <c r="H1055">
        <v>78.499700000000004</v>
      </c>
      <c r="I1055">
        <v>23.96</v>
      </c>
      <c r="J1055">
        <v>62.31</v>
      </c>
      <c r="K1055" t="s">
        <v>23</v>
      </c>
      <c r="L1055">
        <v>906.07</v>
      </c>
      <c r="M1055">
        <f>VLOOKUP(K1055,RatingLookup!$A$2:$C$8,2,FALSE)</f>
        <v>1E-3</v>
      </c>
      <c r="N1055">
        <f t="shared" si="48"/>
        <v>8.3371552197619714E-5</v>
      </c>
      <c r="O1055">
        <f>VLOOKUP(K1055,RatingLookup!$A$2:$C$8,3,FALSE)</f>
        <v>0.3</v>
      </c>
      <c r="P1055">
        <f t="shared" si="49"/>
        <v>2.2662138689909187E-2</v>
      </c>
      <c r="Q1055" t="str">
        <f t="shared" ca="1" si="50"/>
        <v>No</v>
      </c>
    </row>
    <row r="1056" spans="1:17" x14ac:dyDescent="0.45">
      <c r="A1056" t="s">
        <v>67</v>
      </c>
      <c r="B1056" t="s">
        <v>68</v>
      </c>
      <c r="C1056" t="s">
        <v>29</v>
      </c>
      <c r="D1056" t="s">
        <v>20</v>
      </c>
      <c r="E1056" t="s">
        <v>21</v>
      </c>
      <c r="F1056" s="1">
        <v>44866</v>
      </c>
      <c r="G1056">
        <v>4.0999999999999996</v>
      </c>
      <c r="H1056">
        <v>84.459000000000003</v>
      </c>
      <c r="I1056">
        <v>23.85</v>
      </c>
      <c r="J1056">
        <v>72.83</v>
      </c>
      <c r="K1056" t="s">
        <v>23</v>
      </c>
      <c r="L1056">
        <v>925.6</v>
      </c>
      <c r="M1056">
        <f>VLOOKUP(K1056,RatingLookup!$A$2:$C$8,2,FALSE)</f>
        <v>1E-3</v>
      </c>
      <c r="N1056">
        <f t="shared" si="48"/>
        <v>8.3371552197619714E-5</v>
      </c>
      <c r="O1056">
        <f>VLOOKUP(K1056,RatingLookup!$A$2:$C$8,3,FALSE)</f>
        <v>0.3</v>
      </c>
      <c r="P1056">
        <f t="shared" si="49"/>
        <v>2.3150612614235042E-2</v>
      </c>
      <c r="Q1056" t="str">
        <f t="shared" ca="1" si="50"/>
        <v>No</v>
      </c>
    </row>
    <row r="1057" spans="1:17" x14ac:dyDescent="0.45">
      <c r="A1057" t="s">
        <v>67</v>
      </c>
      <c r="B1057" t="s">
        <v>68</v>
      </c>
      <c r="C1057" t="s">
        <v>29</v>
      </c>
      <c r="D1057" t="s">
        <v>20</v>
      </c>
      <c r="E1057" t="s">
        <v>21</v>
      </c>
      <c r="F1057" s="1">
        <v>44896</v>
      </c>
      <c r="G1057">
        <v>3.67</v>
      </c>
      <c r="H1057">
        <v>81.352800000000002</v>
      </c>
      <c r="I1057">
        <v>16.62</v>
      </c>
      <c r="J1057">
        <v>80.849999999999994</v>
      </c>
      <c r="K1057" t="s">
        <v>23</v>
      </c>
      <c r="L1057">
        <v>905.99</v>
      </c>
      <c r="M1057">
        <f>VLOOKUP(K1057,RatingLookup!$A$2:$C$8,2,FALSE)</f>
        <v>1E-3</v>
      </c>
      <c r="N1057">
        <f t="shared" si="48"/>
        <v>8.3371552197619714E-5</v>
      </c>
      <c r="O1057">
        <f>VLOOKUP(K1057,RatingLookup!$A$2:$C$8,3,FALSE)</f>
        <v>0.3</v>
      </c>
      <c r="P1057">
        <f t="shared" si="49"/>
        <v>2.2660137772656443E-2</v>
      </c>
      <c r="Q1057" t="str">
        <f t="shared" ca="1" si="50"/>
        <v>No</v>
      </c>
    </row>
    <row r="1058" spans="1:17" x14ac:dyDescent="0.45">
      <c r="A1058" t="s">
        <v>67</v>
      </c>
      <c r="B1058" t="s">
        <v>68</v>
      </c>
      <c r="C1058" t="s">
        <v>29</v>
      </c>
      <c r="D1058" t="s">
        <v>20</v>
      </c>
      <c r="E1058" t="s">
        <v>21</v>
      </c>
      <c r="F1058" s="1">
        <v>44927</v>
      </c>
      <c r="G1058">
        <v>5.22</v>
      </c>
      <c r="H1058">
        <v>83.706199999999995</v>
      </c>
      <c r="I1058">
        <v>9.75</v>
      </c>
      <c r="J1058">
        <v>90.2</v>
      </c>
      <c r="K1058" t="s">
        <v>23</v>
      </c>
      <c r="L1058">
        <v>913.45</v>
      </c>
      <c r="M1058">
        <f>VLOOKUP(K1058,RatingLookup!$A$2:$C$8,2,FALSE)</f>
        <v>1E-3</v>
      </c>
      <c r="N1058">
        <f t="shared" si="48"/>
        <v>8.3371552197619714E-5</v>
      </c>
      <c r="O1058">
        <f>VLOOKUP(K1058,RatingLookup!$A$2:$C$8,3,FALSE)</f>
        <v>0.3</v>
      </c>
      <c r="P1058">
        <f t="shared" si="49"/>
        <v>2.284672330647472E-2</v>
      </c>
      <c r="Q1058" t="str">
        <f t="shared" ca="1" si="50"/>
        <v>No</v>
      </c>
    </row>
    <row r="1059" spans="1:17" x14ac:dyDescent="0.45">
      <c r="A1059" t="s">
        <v>67</v>
      </c>
      <c r="B1059" t="s">
        <v>68</v>
      </c>
      <c r="C1059" t="s">
        <v>29</v>
      </c>
      <c r="D1059" t="s">
        <v>20</v>
      </c>
      <c r="E1059" t="s">
        <v>21</v>
      </c>
      <c r="F1059" s="1">
        <v>44958</v>
      </c>
      <c r="G1059">
        <v>4.9000000000000004</v>
      </c>
      <c r="H1059">
        <v>79.889499999999998</v>
      </c>
      <c r="I1059">
        <v>19</v>
      </c>
      <c r="J1059">
        <v>75.64</v>
      </c>
      <c r="K1059" t="s">
        <v>23</v>
      </c>
      <c r="L1059">
        <v>856.39</v>
      </c>
      <c r="M1059">
        <f>VLOOKUP(K1059,RatingLookup!$A$2:$C$8,2,FALSE)</f>
        <v>1E-3</v>
      </c>
      <c r="N1059">
        <f t="shared" si="48"/>
        <v>8.3371552197619714E-5</v>
      </c>
      <c r="O1059">
        <f>VLOOKUP(K1059,RatingLookup!$A$2:$C$8,3,FALSE)</f>
        <v>0.3</v>
      </c>
      <c r="P1059">
        <f t="shared" si="49"/>
        <v>2.1419569075955863E-2</v>
      </c>
      <c r="Q1059" t="str">
        <f t="shared" ca="1" si="50"/>
        <v>No</v>
      </c>
    </row>
    <row r="1060" spans="1:17" x14ac:dyDescent="0.45">
      <c r="A1060" t="s">
        <v>67</v>
      </c>
      <c r="B1060" t="s">
        <v>68</v>
      </c>
      <c r="C1060" t="s">
        <v>29</v>
      </c>
      <c r="D1060" t="s">
        <v>20</v>
      </c>
      <c r="E1060" t="s">
        <v>21</v>
      </c>
      <c r="F1060" s="1">
        <v>44986</v>
      </c>
      <c r="G1060">
        <v>6.26</v>
      </c>
      <c r="H1060">
        <v>83.086100000000002</v>
      </c>
      <c r="I1060">
        <v>28.18</v>
      </c>
      <c r="J1060">
        <v>71.7</v>
      </c>
      <c r="K1060" t="s">
        <v>23</v>
      </c>
      <c r="L1060">
        <v>913.27</v>
      </c>
      <c r="M1060">
        <f>VLOOKUP(K1060,RatingLookup!$A$2:$C$8,2,FALSE)</f>
        <v>1E-3</v>
      </c>
      <c r="N1060">
        <f t="shared" si="48"/>
        <v>8.3371552197619714E-5</v>
      </c>
      <c r="O1060">
        <f>VLOOKUP(K1060,RatingLookup!$A$2:$C$8,3,FALSE)</f>
        <v>0.3</v>
      </c>
      <c r="P1060">
        <f t="shared" si="49"/>
        <v>2.2842221242656044E-2</v>
      </c>
      <c r="Q1060" t="str">
        <f t="shared" ca="1" si="50"/>
        <v>No</v>
      </c>
    </row>
    <row r="1061" spans="1:17" x14ac:dyDescent="0.45">
      <c r="A1061" t="s">
        <v>67</v>
      </c>
      <c r="B1061" t="s">
        <v>68</v>
      </c>
      <c r="C1061" t="s">
        <v>29</v>
      </c>
      <c r="D1061" t="s">
        <v>20</v>
      </c>
      <c r="E1061" t="s">
        <v>21</v>
      </c>
      <c r="F1061" s="1">
        <v>45017</v>
      </c>
      <c r="G1061">
        <v>5.73</v>
      </c>
      <c r="H1061">
        <v>80.560500000000005</v>
      </c>
      <c r="I1061">
        <v>13.62</v>
      </c>
      <c r="J1061">
        <v>75.349999999999994</v>
      </c>
      <c r="K1061" t="s">
        <v>23</v>
      </c>
      <c r="L1061">
        <v>999.3</v>
      </c>
      <c r="M1061">
        <f>VLOOKUP(K1061,RatingLookup!$A$2:$C$8,2,FALSE)</f>
        <v>1E-3</v>
      </c>
      <c r="N1061">
        <f t="shared" si="48"/>
        <v>8.3371552197619714E-5</v>
      </c>
      <c r="O1061">
        <f>VLOOKUP(K1061,RatingLookup!$A$2:$C$8,3,FALSE)</f>
        <v>0.3</v>
      </c>
      <c r="P1061">
        <f t="shared" si="49"/>
        <v>2.4993957633324411E-2</v>
      </c>
      <c r="Q1061" t="str">
        <f t="shared" ca="1" si="50"/>
        <v>No</v>
      </c>
    </row>
    <row r="1062" spans="1:17" x14ac:dyDescent="0.45">
      <c r="A1062" t="s">
        <v>67</v>
      </c>
      <c r="B1062" t="s">
        <v>68</v>
      </c>
      <c r="C1062" t="s">
        <v>29</v>
      </c>
      <c r="D1062" t="s">
        <v>20</v>
      </c>
      <c r="E1062" t="s">
        <v>21</v>
      </c>
      <c r="F1062" s="1">
        <v>45047</v>
      </c>
      <c r="G1062">
        <v>5.94</v>
      </c>
      <c r="H1062">
        <v>84.490899999999996</v>
      </c>
      <c r="I1062">
        <v>22.13</v>
      </c>
      <c r="J1062">
        <v>79.81</v>
      </c>
      <c r="K1062" t="s">
        <v>23</v>
      </c>
      <c r="L1062">
        <v>881.1</v>
      </c>
      <c r="M1062">
        <f>VLOOKUP(K1062,RatingLookup!$A$2:$C$8,2,FALSE)</f>
        <v>1E-3</v>
      </c>
      <c r="N1062">
        <f t="shared" si="48"/>
        <v>8.3371552197619714E-5</v>
      </c>
      <c r="O1062">
        <f>VLOOKUP(K1062,RatingLookup!$A$2:$C$8,3,FALSE)</f>
        <v>0.3</v>
      </c>
      <c r="P1062">
        <f t="shared" si="49"/>
        <v>2.203760239239682E-2</v>
      </c>
      <c r="Q1062" t="str">
        <f t="shared" ca="1" si="50"/>
        <v>No</v>
      </c>
    </row>
    <row r="1063" spans="1:17" x14ac:dyDescent="0.45">
      <c r="A1063" t="s">
        <v>67</v>
      </c>
      <c r="B1063" t="s">
        <v>68</v>
      </c>
      <c r="C1063" t="s">
        <v>29</v>
      </c>
      <c r="D1063" t="s">
        <v>20</v>
      </c>
      <c r="E1063" t="s">
        <v>21</v>
      </c>
      <c r="F1063" s="1">
        <v>45078</v>
      </c>
      <c r="G1063">
        <v>5.09</v>
      </c>
      <c r="H1063">
        <v>79.482500000000002</v>
      </c>
      <c r="I1063">
        <v>24.04</v>
      </c>
      <c r="J1063">
        <v>92.19</v>
      </c>
      <c r="K1063" t="s">
        <v>23</v>
      </c>
      <c r="L1063">
        <v>933.11</v>
      </c>
      <c r="M1063">
        <f>VLOOKUP(K1063,RatingLookup!$A$2:$C$8,2,FALSE)</f>
        <v>1E-3</v>
      </c>
      <c r="N1063">
        <f t="shared" si="48"/>
        <v>8.3371552197619714E-5</v>
      </c>
      <c r="O1063">
        <f>VLOOKUP(K1063,RatingLookup!$A$2:$C$8,3,FALSE)</f>
        <v>0.3</v>
      </c>
      <c r="P1063">
        <f t="shared" si="49"/>
        <v>2.333844872133628E-2</v>
      </c>
      <c r="Q1063" t="str">
        <f t="shared" ca="1" si="50"/>
        <v>No</v>
      </c>
    </row>
    <row r="1064" spans="1:17" x14ac:dyDescent="0.45">
      <c r="A1064" t="s">
        <v>67</v>
      </c>
      <c r="B1064" t="s">
        <v>68</v>
      </c>
      <c r="C1064" t="s">
        <v>29</v>
      </c>
      <c r="D1064" t="s">
        <v>20</v>
      </c>
      <c r="E1064" t="s">
        <v>21</v>
      </c>
      <c r="F1064" s="1">
        <v>45108</v>
      </c>
      <c r="G1064">
        <v>6.23</v>
      </c>
      <c r="H1064">
        <v>86.856399999999994</v>
      </c>
      <c r="I1064">
        <v>32.299999999999997</v>
      </c>
      <c r="J1064">
        <v>73.41</v>
      </c>
      <c r="K1064" t="s">
        <v>23</v>
      </c>
      <c r="L1064">
        <v>1054.3900000000001</v>
      </c>
      <c r="M1064">
        <f>VLOOKUP(K1064,RatingLookup!$A$2:$C$8,2,FALSE)</f>
        <v>1E-3</v>
      </c>
      <c r="N1064">
        <f t="shared" si="48"/>
        <v>8.3371552197619714E-5</v>
      </c>
      <c r="O1064">
        <f>VLOOKUP(K1064,RatingLookup!$A$2:$C$8,3,FALSE)</f>
        <v>0.3</v>
      </c>
      <c r="P1064">
        <f t="shared" si="49"/>
        <v>2.6371839276494478E-2</v>
      </c>
      <c r="Q1064" t="str">
        <f t="shared" ca="1" si="50"/>
        <v>No</v>
      </c>
    </row>
    <row r="1065" spans="1:17" x14ac:dyDescent="0.45">
      <c r="A1065" t="s">
        <v>67</v>
      </c>
      <c r="B1065" t="s">
        <v>68</v>
      </c>
      <c r="C1065" t="s">
        <v>29</v>
      </c>
      <c r="D1065" t="s">
        <v>20</v>
      </c>
      <c r="E1065" t="s">
        <v>21</v>
      </c>
      <c r="F1065" s="1">
        <v>45139</v>
      </c>
      <c r="G1065">
        <v>4.84</v>
      </c>
      <c r="H1065">
        <v>82.687700000000007</v>
      </c>
      <c r="I1065">
        <v>18.97</v>
      </c>
      <c r="J1065">
        <v>70.63</v>
      </c>
      <c r="K1065" t="s">
        <v>23</v>
      </c>
      <c r="L1065">
        <v>937.29</v>
      </c>
      <c r="M1065">
        <f>VLOOKUP(K1065,RatingLookup!$A$2:$C$8,2,FALSE)</f>
        <v>1E-3</v>
      </c>
      <c r="N1065">
        <f t="shared" si="48"/>
        <v>8.3371552197619714E-5</v>
      </c>
      <c r="O1065">
        <f>VLOOKUP(K1065,RatingLookup!$A$2:$C$8,3,FALSE)</f>
        <v>0.3</v>
      </c>
      <c r="P1065">
        <f t="shared" si="49"/>
        <v>2.3442996647792095E-2</v>
      </c>
      <c r="Q1065" t="str">
        <f t="shared" ca="1" si="50"/>
        <v>No</v>
      </c>
    </row>
    <row r="1066" spans="1:17" x14ac:dyDescent="0.45">
      <c r="A1066" t="s">
        <v>67</v>
      </c>
      <c r="B1066" t="s">
        <v>68</v>
      </c>
      <c r="C1066" t="s">
        <v>29</v>
      </c>
      <c r="D1066" t="s">
        <v>20</v>
      </c>
      <c r="E1066" t="s">
        <v>21</v>
      </c>
      <c r="F1066" s="1">
        <v>45170</v>
      </c>
      <c r="G1066">
        <v>5.01</v>
      </c>
      <c r="H1066">
        <v>79.792599999999993</v>
      </c>
      <c r="I1066">
        <v>18.649999999999999</v>
      </c>
      <c r="J1066">
        <v>95.3</v>
      </c>
      <c r="K1066" t="s">
        <v>23</v>
      </c>
      <c r="L1066">
        <v>922.76</v>
      </c>
      <c r="M1066">
        <f>VLOOKUP(K1066,RatingLookup!$A$2:$C$8,2,FALSE)</f>
        <v>1E-3</v>
      </c>
      <c r="N1066">
        <f t="shared" si="48"/>
        <v>8.3371552197619714E-5</v>
      </c>
      <c r="O1066">
        <f>VLOOKUP(K1066,RatingLookup!$A$2:$C$8,3,FALSE)</f>
        <v>0.3</v>
      </c>
      <c r="P1066">
        <f t="shared" si="49"/>
        <v>2.3079580051762669E-2</v>
      </c>
      <c r="Q1066" t="str">
        <f t="shared" ca="1" si="50"/>
        <v>No</v>
      </c>
    </row>
    <row r="1067" spans="1:17" x14ac:dyDescent="0.45">
      <c r="A1067" t="s">
        <v>67</v>
      </c>
      <c r="B1067" t="s">
        <v>68</v>
      </c>
      <c r="C1067" t="s">
        <v>29</v>
      </c>
      <c r="D1067" t="s">
        <v>20</v>
      </c>
      <c r="E1067" t="s">
        <v>21</v>
      </c>
      <c r="F1067" s="1">
        <v>45200</v>
      </c>
      <c r="G1067">
        <v>6.06</v>
      </c>
      <c r="H1067">
        <v>84.034700000000001</v>
      </c>
      <c r="I1067">
        <v>29.43</v>
      </c>
      <c r="J1067">
        <v>81.59</v>
      </c>
      <c r="K1067" t="s">
        <v>23</v>
      </c>
      <c r="L1067">
        <v>975.36</v>
      </c>
      <c r="M1067">
        <f>VLOOKUP(K1067,RatingLookup!$A$2:$C$8,2,FALSE)</f>
        <v>1E-3</v>
      </c>
      <c r="N1067">
        <f t="shared" si="48"/>
        <v>8.3371552197619714E-5</v>
      </c>
      <c r="O1067">
        <f>VLOOKUP(K1067,RatingLookup!$A$2:$C$8,3,FALSE)</f>
        <v>0.3</v>
      </c>
      <c r="P1067">
        <f t="shared" si="49"/>
        <v>2.4395183145441111E-2</v>
      </c>
      <c r="Q1067" t="str">
        <f t="shared" ca="1" si="50"/>
        <v>No</v>
      </c>
    </row>
    <row r="1068" spans="1:17" x14ac:dyDescent="0.45">
      <c r="A1068" t="s">
        <v>67</v>
      </c>
      <c r="B1068" t="s">
        <v>68</v>
      </c>
      <c r="C1068" t="s">
        <v>29</v>
      </c>
      <c r="D1068" t="s">
        <v>20</v>
      </c>
      <c r="E1068" t="s">
        <v>21</v>
      </c>
      <c r="F1068" s="1">
        <v>45231</v>
      </c>
      <c r="G1068">
        <v>5.41</v>
      </c>
      <c r="H1068">
        <v>84.100200000000001</v>
      </c>
      <c r="I1068">
        <v>22.82</v>
      </c>
      <c r="J1068">
        <v>65.61</v>
      </c>
      <c r="K1068" t="s">
        <v>23</v>
      </c>
      <c r="L1068">
        <v>951.14</v>
      </c>
      <c r="M1068">
        <f>VLOOKUP(K1068,RatingLookup!$A$2:$C$8,2,FALSE)</f>
        <v>1E-3</v>
      </c>
      <c r="N1068">
        <f t="shared" si="48"/>
        <v>8.3371552197619714E-5</v>
      </c>
      <c r="O1068">
        <f>VLOOKUP(K1068,RatingLookup!$A$2:$C$8,3,FALSE)</f>
        <v>0.3</v>
      </c>
      <c r="P1068">
        <f t="shared" si="49"/>
        <v>2.3789405447173201E-2</v>
      </c>
      <c r="Q1068" t="str">
        <f t="shared" ca="1" si="50"/>
        <v>No</v>
      </c>
    </row>
    <row r="1069" spans="1:17" x14ac:dyDescent="0.45">
      <c r="A1069" t="s">
        <v>67</v>
      </c>
      <c r="B1069" t="s">
        <v>68</v>
      </c>
      <c r="C1069" t="s">
        <v>29</v>
      </c>
      <c r="D1069" t="s">
        <v>20</v>
      </c>
      <c r="E1069" t="s">
        <v>21</v>
      </c>
      <c r="F1069" s="1">
        <v>45261</v>
      </c>
      <c r="G1069">
        <v>5.5</v>
      </c>
      <c r="H1069">
        <v>80.026700000000005</v>
      </c>
      <c r="I1069">
        <v>9.8699999999999992</v>
      </c>
      <c r="J1069">
        <v>80.37</v>
      </c>
      <c r="K1069" t="s">
        <v>23</v>
      </c>
      <c r="L1069">
        <v>981.8</v>
      </c>
      <c r="M1069">
        <f>VLOOKUP(K1069,RatingLookup!$A$2:$C$8,2,FALSE)</f>
        <v>1E-3</v>
      </c>
      <c r="N1069">
        <f t="shared" si="48"/>
        <v>8.3371552197619714E-5</v>
      </c>
      <c r="O1069">
        <f>VLOOKUP(K1069,RatingLookup!$A$2:$C$8,3,FALSE)</f>
        <v>0.3</v>
      </c>
      <c r="P1069">
        <f t="shared" si="49"/>
        <v>2.4556256984286907E-2</v>
      </c>
      <c r="Q1069" t="str">
        <f t="shared" ca="1" si="50"/>
        <v>No</v>
      </c>
    </row>
    <row r="1070" spans="1:17" x14ac:dyDescent="0.45">
      <c r="A1070" t="s">
        <v>67</v>
      </c>
      <c r="B1070" t="s">
        <v>68</v>
      </c>
      <c r="C1070" t="s">
        <v>29</v>
      </c>
      <c r="D1070" t="s">
        <v>20</v>
      </c>
      <c r="E1070" t="s">
        <v>21</v>
      </c>
      <c r="F1070" s="1">
        <v>45292</v>
      </c>
      <c r="G1070">
        <v>5.0199999999999996</v>
      </c>
      <c r="H1070">
        <v>84.332400000000007</v>
      </c>
      <c r="I1070">
        <v>28.96</v>
      </c>
      <c r="J1070">
        <v>87.5</v>
      </c>
      <c r="K1070" t="s">
        <v>23</v>
      </c>
      <c r="L1070">
        <v>1002.97</v>
      </c>
      <c r="M1070">
        <f>VLOOKUP(K1070,RatingLookup!$A$2:$C$8,2,FALSE)</f>
        <v>1E-3</v>
      </c>
      <c r="N1070">
        <f t="shared" si="48"/>
        <v>8.3371552197619714E-5</v>
      </c>
      <c r="O1070">
        <f>VLOOKUP(K1070,RatingLookup!$A$2:$C$8,3,FALSE)</f>
        <v>0.3</v>
      </c>
      <c r="P1070">
        <f t="shared" si="49"/>
        <v>2.5085749712293992E-2</v>
      </c>
      <c r="Q1070" t="str">
        <f t="shared" ca="1" si="50"/>
        <v>No</v>
      </c>
    </row>
    <row r="1071" spans="1:17" x14ac:dyDescent="0.45">
      <c r="A1071" t="s">
        <v>67</v>
      </c>
      <c r="B1071" t="s">
        <v>68</v>
      </c>
      <c r="C1071" t="s">
        <v>29</v>
      </c>
      <c r="D1071" t="s">
        <v>20</v>
      </c>
      <c r="E1071" t="s">
        <v>21</v>
      </c>
      <c r="F1071" s="1">
        <v>45323</v>
      </c>
      <c r="G1071">
        <v>4.87</v>
      </c>
      <c r="H1071">
        <v>79.482100000000003</v>
      </c>
      <c r="I1071">
        <v>15.03</v>
      </c>
      <c r="J1071">
        <v>89.32</v>
      </c>
      <c r="K1071" t="s">
        <v>23</v>
      </c>
      <c r="L1071">
        <v>953.37</v>
      </c>
      <c r="M1071">
        <f>VLOOKUP(K1071,RatingLookup!$A$2:$C$8,2,FALSE)</f>
        <v>1E-3</v>
      </c>
      <c r="N1071">
        <f t="shared" si="48"/>
        <v>8.3371552197619714E-5</v>
      </c>
      <c r="O1071">
        <f>VLOOKUP(K1071,RatingLookup!$A$2:$C$8,3,FALSE)</f>
        <v>0.3</v>
      </c>
      <c r="P1071">
        <f t="shared" si="49"/>
        <v>2.3845181015593412E-2</v>
      </c>
      <c r="Q1071" t="str">
        <f t="shared" ca="1" si="50"/>
        <v>No</v>
      </c>
    </row>
    <row r="1072" spans="1:17" x14ac:dyDescent="0.45">
      <c r="A1072" t="s">
        <v>67</v>
      </c>
      <c r="B1072" t="s">
        <v>68</v>
      </c>
      <c r="C1072" t="s">
        <v>29</v>
      </c>
      <c r="D1072" t="s">
        <v>20</v>
      </c>
      <c r="E1072" t="s">
        <v>21</v>
      </c>
      <c r="F1072" s="1">
        <v>45352</v>
      </c>
      <c r="G1072">
        <v>6.3</v>
      </c>
      <c r="H1072">
        <v>77.866500000000002</v>
      </c>
      <c r="I1072">
        <v>22.79</v>
      </c>
      <c r="J1072">
        <v>74.67</v>
      </c>
      <c r="K1072" t="s">
        <v>23</v>
      </c>
      <c r="L1072">
        <v>993.1</v>
      </c>
      <c r="M1072">
        <f>VLOOKUP(K1072,RatingLookup!$A$2:$C$8,2,FALSE)</f>
        <v>1E-3</v>
      </c>
      <c r="N1072">
        <f t="shared" si="48"/>
        <v>8.3371552197619714E-5</v>
      </c>
      <c r="O1072">
        <f>VLOOKUP(K1072,RatingLookup!$A$2:$C$8,3,FALSE)</f>
        <v>0.3</v>
      </c>
      <c r="P1072">
        <f t="shared" si="49"/>
        <v>2.4838886546236841E-2</v>
      </c>
      <c r="Q1072" t="str">
        <f t="shared" ca="1" si="50"/>
        <v>No</v>
      </c>
    </row>
    <row r="1073" spans="1:17" x14ac:dyDescent="0.45">
      <c r="A1073" t="s">
        <v>67</v>
      </c>
      <c r="B1073" t="s">
        <v>68</v>
      </c>
      <c r="C1073" t="s">
        <v>29</v>
      </c>
      <c r="D1073" t="s">
        <v>20</v>
      </c>
      <c r="E1073" t="s">
        <v>21</v>
      </c>
      <c r="F1073" s="1">
        <v>45383</v>
      </c>
      <c r="G1073">
        <v>4.87</v>
      </c>
      <c r="H1073">
        <v>84.437700000000007</v>
      </c>
      <c r="I1073">
        <v>14.38</v>
      </c>
      <c r="J1073">
        <v>78.77</v>
      </c>
      <c r="K1073" t="s">
        <v>23</v>
      </c>
      <c r="L1073">
        <v>938.7</v>
      </c>
      <c r="M1073">
        <f>VLOOKUP(K1073,RatingLookup!$A$2:$C$8,2,FALSE)</f>
        <v>1E-3</v>
      </c>
      <c r="N1073">
        <f t="shared" si="48"/>
        <v>8.3371552197619714E-5</v>
      </c>
      <c r="O1073">
        <f>VLOOKUP(K1073,RatingLookup!$A$2:$C$8,3,FALSE)</f>
        <v>0.3</v>
      </c>
      <c r="P1073">
        <f t="shared" si="49"/>
        <v>2.3478262814371688E-2</v>
      </c>
      <c r="Q1073" t="str">
        <f t="shared" ca="1" si="50"/>
        <v>No</v>
      </c>
    </row>
    <row r="1074" spans="1:17" x14ac:dyDescent="0.45">
      <c r="A1074" t="s">
        <v>67</v>
      </c>
      <c r="B1074" t="s">
        <v>68</v>
      </c>
      <c r="C1074" t="s">
        <v>29</v>
      </c>
      <c r="D1074" t="s">
        <v>20</v>
      </c>
      <c r="E1074" t="s">
        <v>21</v>
      </c>
      <c r="F1074" s="1">
        <v>45413</v>
      </c>
      <c r="G1074">
        <v>5.83</v>
      </c>
      <c r="H1074">
        <v>84.371600000000001</v>
      </c>
      <c r="I1074">
        <v>22.81</v>
      </c>
      <c r="J1074">
        <v>66.31</v>
      </c>
      <c r="K1074" t="s">
        <v>23</v>
      </c>
      <c r="L1074">
        <v>1047.04</v>
      </c>
      <c r="M1074">
        <f>VLOOKUP(K1074,RatingLookup!$A$2:$C$8,2,FALSE)</f>
        <v>1E-3</v>
      </c>
      <c r="N1074">
        <f t="shared" si="48"/>
        <v>8.3371552197619714E-5</v>
      </c>
      <c r="O1074">
        <f>VLOOKUP(K1074,RatingLookup!$A$2:$C$8,3,FALSE)</f>
        <v>0.3</v>
      </c>
      <c r="P1074">
        <f t="shared" si="49"/>
        <v>2.6188005003898725E-2</v>
      </c>
      <c r="Q1074" t="str">
        <f t="shared" ca="1" si="50"/>
        <v>No</v>
      </c>
    </row>
    <row r="1075" spans="1:17" x14ac:dyDescent="0.45">
      <c r="A1075" t="s">
        <v>67</v>
      </c>
      <c r="B1075" t="s">
        <v>68</v>
      </c>
      <c r="C1075" t="s">
        <v>29</v>
      </c>
      <c r="D1075" t="s">
        <v>20</v>
      </c>
      <c r="E1075" t="s">
        <v>21</v>
      </c>
      <c r="F1075" s="1">
        <v>45444</v>
      </c>
      <c r="G1075">
        <v>4.97</v>
      </c>
      <c r="H1075">
        <v>82.963999999999999</v>
      </c>
      <c r="I1075">
        <v>28.25</v>
      </c>
      <c r="J1075">
        <v>99.65</v>
      </c>
      <c r="K1075" t="s">
        <v>23</v>
      </c>
      <c r="L1075">
        <v>985.3</v>
      </c>
      <c r="M1075">
        <f>VLOOKUP(K1075,RatingLookup!$A$2:$C$8,2,FALSE)</f>
        <v>1E-3</v>
      </c>
      <c r="N1075">
        <f t="shared" si="48"/>
        <v>8.3371552197619714E-5</v>
      </c>
      <c r="O1075">
        <f>VLOOKUP(K1075,RatingLookup!$A$2:$C$8,3,FALSE)</f>
        <v>0.3</v>
      </c>
      <c r="P1075">
        <f t="shared" si="49"/>
        <v>2.464379711409441E-2</v>
      </c>
      <c r="Q1075" t="str">
        <f t="shared" ca="1" si="50"/>
        <v>No</v>
      </c>
    </row>
    <row r="1076" spans="1:17" x14ac:dyDescent="0.45">
      <c r="A1076" t="s">
        <v>67</v>
      </c>
      <c r="B1076" t="s">
        <v>68</v>
      </c>
      <c r="C1076" t="s">
        <v>29</v>
      </c>
      <c r="D1076" t="s">
        <v>20</v>
      </c>
      <c r="E1076" t="s">
        <v>21</v>
      </c>
      <c r="F1076" s="1">
        <v>45474</v>
      </c>
      <c r="G1076">
        <v>5.2</v>
      </c>
      <c r="H1076">
        <v>83.399299999999997</v>
      </c>
      <c r="I1076">
        <v>20.079999999999998</v>
      </c>
      <c r="J1076">
        <v>82.42</v>
      </c>
      <c r="K1076" t="s">
        <v>23</v>
      </c>
      <c r="L1076">
        <v>891.17</v>
      </c>
      <c r="M1076">
        <f>VLOOKUP(K1076,RatingLookup!$A$2:$C$8,2,FALSE)</f>
        <v>1E-3</v>
      </c>
      <c r="N1076">
        <f t="shared" si="48"/>
        <v>8.3371552197619714E-5</v>
      </c>
      <c r="O1076">
        <f>VLOOKUP(K1076,RatingLookup!$A$2:$C$8,3,FALSE)</f>
        <v>0.3</v>
      </c>
      <c r="P1076">
        <f t="shared" si="49"/>
        <v>2.2289467851585826E-2</v>
      </c>
      <c r="Q1076" t="str">
        <f t="shared" ca="1" si="50"/>
        <v>No</v>
      </c>
    </row>
    <row r="1077" spans="1:17" x14ac:dyDescent="0.45">
      <c r="A1077" t="s">
        <v>67</v>
      </c>
      <c r="B1077" t="s">
        <v>68</v>
      </c>
      <c r="C1077" t="s">
        <v>29</v>
      </c>
      <c r="D1077" t="s">
        <v>20</v>
      </c>
      <c r="E1077" t="s">
        <v>21</v>
      </c>
      <c r="F1077" s="1">
        <v>45505</v>
      </c>
      <c r="G1077">
        <v>6.26</v>
      </c>
      <c r="H1077">
        <v>81.853999999999999</v>
      </c>
      <c r="I1077">
        <v>20.72</v>
      </c>
      <c r="J1077">
        <v>66.47</v>
      </c>
      <c r="K1077" t="s">
        <v>23</v>
      </c>
      <c r="L1077">
        <v>991.63</v>
      </c>
      <c r="M1077">
        <f>VLOOKUP(K1077,RatingLookup!$A$2:$C$8,2,FALSE)</f>
        <v>1E-3</v>
      </c>
      <c r="N1077">
        <f t="shared" si="48"/>
        <v>8.3371552197619714E-5</v>
      </c>
      <c r="O1077">
        <f>VLOOKUP(K1077,RatingLookup!$A$2:$C$8,3,FALSE)</f>
        <v>0.3</v>
      </c>
      <c r="P1077">
        <f t="shared" si="49"/>
        <v>2.4802119691717691E-2</v>
      </c>
      <c r="Q1077" t="str">
        <f t="shared" ca="1" si="50"/>
        <v>No</v>
      </c>
    </row>
    <row r="1078" spans="1:17" x14ac:dyDescent="0.45">
      <c r="A1078" t="s">
        <v>67</v>
      </c>
      <c r="B1078" t="s">
        <v>68</v>
      </c>
      <c r="C1078" t="s">
        <v>29</v>
      </c>
      <c r="D1078" t="s">
        <v>20</v>
      </c>
      <c r="E1078" t="s">
        <v>21</v>
      </c>
      <c r="F1078" s="1">
        <v>45536</v>
      </c>
      <c r="G1078">
        <v>5.55</v>
      </c>
      <c r="H1078">
        <v>80.406800000000004</v>
      </c>
      <c r="I1078">
        <v>11.93</v>
      </c>
      <c r="J1078">
        <v>76.69</v>
      </c>
      <c r="K1078" t="s">
        <v>23</v>
      </c>
      <c r="L1078">
        <v>936.89</v>
      </c>
      <c r="M1078">
        <f>VLOOKUP(K1078,RatingLookup!$A$2:$C$8,2,FALSE)</f>
        <v>1E-3</v>
      </c>
      <c r="N1078">
        <f t="shared" si="48"/>
        <v>8.3371552197619714E-5</v>
      </c>
      <c r="O1078">
        <f>VLOOKUP(K1078,RatingLookup!$A$2:$C$8,3,FALSE)</f>
        <v>0.3</v>
      </c>
      <c r="P1078">
        <f t="shared" si="49"/>
        <v>2.3432992061528376E-2</v>
      </c>
      <c r="Q1078" t="str">
        <f t="shared" ca="1" si="50"/>
        <v>No</v>
      </c>
    </row>
    <row r="1079" spans="1:17" x14ac:dyDescent="0.45">
      <c r="A1079" t="s">
        <v>67</v>
      </c>
      <c r="B1079" t="s">
        <v>68</v>
      </c>
      <c r="C1079" t="s">
        <v>29</v>
      </c>
      <c r="D1079" t="s">
        <v>20</v>
      </c>
      <c r="E1079" t="s">
        <v>21</v>
      </c>
      <c r="F1079" s="1">
        <v>45566</v>
      </c>
      <c r="G1079">
        <v>5.16</v>
      </c>
      <c r="H1079">
        <v>83.775499999999994</v>
      </c>
      <c r="I1079">
        <v>16.02</v>
      </c>
      <c r="J1079">
        <v>87.02</v>
      </c>
      <c r="K1079" t="s">
        <v>23</v>
      </c>
      <c r="L1079">
        <v>937.01</v>
      </c>
      <c r="M1079">
        <f>VLOOKUP(K1079,RatingLookup!$A$2:$C$8,2,FALSE)</f>
        <v>1E-3</v>
      </c>
      <c r="N1079">
        <f t="shared" si="48"/>
        <v>8.3371552197619714E-5</v>
      </c>
      <c r="O1079">
        <f>VLOOKUP(K1079,RatingLookup!$A$2:$C$8,3,FALSE)</f>
        <v>0.3</v>
      </c>
      <c r="P1079">
        <f t="shared" si="49"/>
        <v>2.3435993437407494E-2</v>
      </c>
      <c r="Q1079" t="str">
        <f t="shared" ca="1" si="50"/>
        <v>No</v>
      </c>
    </row>
    <row r="1080" spans="1:17" x14ac:dyDescent="0.45">
      <c r="A1080" t="s">
        <v>67</v>
      </c>
      <c r="B1080" t="s">
        <v>68</v>
      </c>
      <c r="C1080" t="s">
        <v>29</v>
      </c>
      <c r="D1080" t="s">
        <v>20</v>
      </c>
      <c r="E1080" t="s">
        <v>21</v>
      </c>
      <c r="F1080" s="1">
        <v>45597</v>
      </c>
      <c r="G1080">
        <v>5.62</v>
      </c>
      <c r="H1080">
        <v>82.640799999999999</v>
      </c>
      <c r="I1080">
        <v>10.050000000000001</v>
      </c>
      <c r="J1080">
        <v>94.94</v>
      </c>
      <c r="K1080" t="s">
        <v>23</v>
      </c>
      <c r="L1080">
        <v>921.07</v>
      </c>
      <c r="M1080">
        <f>VLOOKUP(K1080,RatingLookup!$A$2:$C$8,2,FALSE)</f>
        <v>1E-3</v>
      </c>
      <c r="N1080">
        <f t="shared" si="48"/>
        <v>8.3371552197619714E-5</v>
      </c>
      <c r="O1080">
        <f>VLOOKUP(K1080,RatingLookup!$A$2:$C$8,3,FALSE)</f>
        <v>0.3</v>
      </c>
      <c r="P1080">
        <f t="shared" si="49"/>
        <v>2.3037310674798476E-2</v>
      </c>
      <c r="Q1080" t="str">
        <f t="shared" ca="1" si="50"/>
        <v>No</v>
      </c>
    </row>
    <row r="1081" spans="1:17" x14ac:dyDescent="0.45">
      <c r="A1081" t="s">
        <v>67</v>
      </c>
      <c r="B1081" t="s">
        <v>68</v>
      </c>
      <c r="C1081" t="s">
        <v>29</v>
      </c>
      <c r="D1081" t="s">
        <v>20</v>
      </c>
      <c r="E1081" t="s">
        <v>21</v>
      </c>
      <c r="F1081" s="1">
        <v>45627</v>
      </c>
      <c r="G1081">
        <v>5.55</v>
      </c>
      <c r="H1081">
        <v>84.456900000000005</v>
      </c>
      <c r="I1081">
        <v>9.64</v>
      </c>
      <c r="J1081">
        <v>72.239999999999995</v>
      </c>
      <c r="K1081" t="s">
        <v>48</v>
      </c>
      <c r="L1081">
        <v>978.79</v>
      </c>
      <c r="M1081">
        <f>VLOOKUP(K1081,RatingLookup!$A$2:$C$8,2,FALSE)</f>
        <v>5.0000000000000001E-4</v>
      </c>
      <c r="N1081">
        <f t="shared" si="48"/>
        <v>4.167621832917856E-5</v>
      </c>
      <c r="O1081">
        <f>VLOOKUP(K1081,RatingLookup!$A$2:$C$8,3,FALSE)</f>
        <v>0.25</v>
      </c>
      <c r="P1081">
        <f t="shared" si="49"/>
        <v>1.0198066434604171E-2</v>
      </c>
      <c r="Q1081" t="str">
        <f t="shared" ca="1" si="50"/>
        <v>No</v>
      </c>
    </row>
    <row r="1082" spans="1:17" x14ac:dyDescent="0.45">
      <c r="A1082" t="s">
        <v>69</v>
      </c>
      <c r="B1082" t="s">
        <v>70</v>
      </c>
      <c r="C1082" t="s">
        <v>61</v>
      </c>
      <c r="D1082" t="s">
        <v>20</v>
      </c>
      <c r="E1082" t="s">
        <v>21</v>
      </c>
      <c r="F1082" s="1">
        <v>43831</v>
      </c>
      <c r="G1082">
        <v>6.4</v>
      </c>
      <c r="H1082">
        <v>80.000699999999995</v>
      </c>
      <c r="I1082">
        <v>18.21</v>
      </c>
      <c r="J1082">
        <v>73.28</v>
      </c>
      <c r="K1082" t="s">
        <v>22</v>
      </c>
      <c r="L1082">
        <v>845.08</v>
      </c>
      <c r="M1082">
        <f>VLOOKUP(K1082,RatingLookup!$A$2:$C$8,2,FALSE)</f>
        <v>5.0000000000000001E-3</v>
      </c>
      <c r="N1082">
        <f t="shared" si="48"/>
        <v>4.1762458919303302E-4</v>
      </c>
      <c r="O1082">
        <f>VLOOKUP(K1082,RatingLookup!$A$2:$C$8,3,FALSE)</f>
        <v>0.45</v>
      </c>
      <c r="P1082">
        <f t="shared" si="49"/>
        <v>0.15881678452586176</v>
      </c>
      <c r="Q1082" t="str">
        <f t="shared" ca="1" si="50"/>
        <v>No</v>
      </c>
    </row>
    <row r="1083" spans="1:17" x14ac:dyDescent="0.45">
      <c r="A1083" t="s">
        <v>69</v>
      </c>
      <c r="B1083" t="s">
        <v>70</v>
      </c>
      <c r="C1083" t="s">
        <v>61</v>
      </c>
      <c r="D1083" t="s">
        <v>20</v>
      </c>
      <c r="E1083" t="s">
        <v>21</v>
      </c>
      <c r="F1083" s="1">
        <v>43862</v>
      </c>
      <c r="G1083">
        <v>5.61</v>
      </c>
      <c r="H1083">
        <v>81.179500000000004</v>
      </c>
      <c r="I1083">
        <v>21.62</v>
      </c>
      <c r="J1083">
        <v>55.35</v>
      </c>
      <c r="K1083" t="s">
        <v>22</v>
      </c>
      <c r="L1083">
        <v>856.29</v>
      </c>
      <c r="M1083">
        <f>VLOOKUP(K1083,RatingLookup!$A$2:$C$8,2,FALSE)</f>
        <v>5.0000000000000001E-3</v>
      </c>
      <c r="N1083">
        <f t="shared" si="48"/>
        <v>4.1762458919303302E-4</v>
      </c>
      <c r="O1083">
        <f>VLOOKUP(K1083,RatingLookup!$A$2:$C$8,3,FALSE)</f>
        <v>0.45</v>
      </c>
      <c r="P1083">
        <f t="shared" si="49"/>
        <v>0.16092349176604603</v>
      </c>
      <c r="Q1083" t="str">
        <f t="shared" ca="1" si="50"/>
        <v>No</v>
      </c>
    </row>
    <row r="1084" spans="1:17" x14ac:dyDescent="0.45">
      <c r="A1084" t="s">
        <v>69</v>
      </c>
      <c r="B1084" t="s">
        <v>70</v>
      </c>
      <c r="C1084" t="s">
        <v>61</v>
      </c>
      <c r="D1084" t="s">
        <v>20</v>
      </c>
      <c r="E1084" t="s">
        <v>21</v>
      </c>
      <c r="F1084" s="1">
        <v>43891</v>
      </c>
      <c r="G1084">
        <v>5.18</v>
      </c>
      <c r="H1084">
        <v>84.294200000000004</v>
      </c>
      <c r="I1084">
        <v>14.24</v>
      </c>
      <c r="J1084">
        <v>94.99</v>
      </c>
      <c r="K1084" t="s">
        <v>22</v>
      </c>
      <c r="L1084">
        <v>819.45</v>
      </c>
      <c r="M1084">
        <f>VLOOKUP(K1084,RatingLookup!$A$2:$C$8,2,FALSE)</f>
        <v>5.0000000000000001E-3</v>
      </c>
      <c r="N1084">
        <f t="shared" si="48"/>
        <v>4.1762458919303302E-4</v>
      </c>
      <c r="O1084">
        <f>VLOOKUP(K1084,RatingLookup!$A$2:$C$8,3,FALSE)</f>
        <v>0.45</v>
      </c>
      <c r="P1084">
        <f t="shared" si="49"/>
        <v>0.15400011132640393</v>
      </c>
      <c r="Q1084" t="str">
        <f t="shared" ca="1" si="50"/>
        <v>No</v>
      </c>
    </row>
    <row r="1085" spans="1:17" x14ac:dyDescent="0.45">
      <c r="A1085" t="s">
        <v>69</v>
      </c>
      <c r="B1085" t="s">
        <v>70</v>
      </c>
      <c r="C1085" t="s">
        <v>61</v>
      </c>
      <c r="D1085" t="s">
        <v>20</v>
      </c>
      <c r="E1085" t="s">
        <v>21</v>
      </c>
      <c r="F1085" s="1">
        <v>43922</v>
      </c>
      <c r="G1085">
        <v>4.17</v>
      </c>
      <c r="H1085">
        <v>79.642300000000006</v>
      </c>
      <c r="I1085">
        <v>23.97</v>
      </c>
      <c r="J1085">
        <v>70.33</v>
      </c>
      <c r="K1085" t="s">
        <v>22</v>
      </c>
      <c r="L1085">
        <v>937.65</v>
      </c>
      <c r="M1085">
        <f>VLOOKUP(K1085,RatingLookup!$A$2:$C$8,2,FALSE)</f>
        <v>5.0000000000000001E-3</v>
      </c>
      <c r="N1085">
        <f t="shared" si="48"/>
        <v>4.1762458919303302E-4</v>
      </c>
      <c r="O1085">
        <f>VLOOKUP(K1085,RatingLookup!$A$2:$C$8,3,FALSE)</f>
        <v>0.45</v>
      </c>
      <c r="P1085">
        <f t="shared" si="49"/>
        <v>0.17621356322558132</v>
      </c>
      <c r="Q1085" t="str">
        <f t="shared" ca="1" si="50"/>
        <v>No</v>
      </c>
    </row>
    <row r="1086" spans="1:17" x14ac:dyDescent="0.45">
      <c r="A1086" t="s">
        <v>69</v>
      </c>
      <c r="B1086" t="s">
        <v>70</v>
      </c>
      <c r="C1086" t="s">
        <v>61</v>
      </c>
      <c r="D1086" t="s">
        <v>20</v>
      </c>
      <c r="E1086" t="s">
        <v>21</v>
      </c>
      <c r="F1086" s="1">
        <v>43952</v>
      </c>
      <c r="G1086">
        <v>5.19</v>
      </c>
      <c r="H1086">
        <v>79.780500000000004</v>
      </c>
      <c r="I1086">
        <v>28.46</v>
      </c>
      <c r="J1086">
        <v>86.56</v>
      </c>
      <c r="K1086" t="s">
        <v>22</v>
      </c>
      <c r="L1086">
        <v>865.25</v>
      </c>
      <c r="M1086">
        <f>VLOOKUP(K1086,RatingLookup!$A$2:$C$8,2,FALSE)</f>
        <v>5.0000000000000001E-3</v>
      </c>
      <c r="N1086">
        <f t="shared" si="48"/>
        <v>4.1762458919303302E-4</v>
      </c>
      <c r="O1086">
        <f>VLOOKUP(K1086,RatingLookup!$A$2:$C$8,3,FALSE)</f>
        <v>0.45</v>
      </c>
      <c r="P1086">
        <f t="shared" si="49"/>
        <v>0.16260735410967231</v>
      </c>
      <c r="Q1086" t="str">
        <f t="shared" ca="1" si="50"/>
        <v>No</v>
      </c>
    </row>
    <row r="1087" spans="1:17" x14ac:dyDescent="0.45">
      <c r="A1087" t="s">
        <v>69</v>
      </c>
      <c r="B1087" t="s">
        <v>70</v>
      </c>
      <c r="C1087" t="s">
        <v>61</v>
      </c>
      <c r="D1087" t="s">
        <v>20</v>
      </c>
      <c r="E1087" t="s">
        <v>21</v>
      </c>
      <c r="F1087" s="1">
        <v>43983</v>
      </c>
      <c r="G1087">
        <v>5.39</v>
      </c>
      <c r="H1087">
        <v>79.764700000000005</v>
      </c>
      <c r="I1087">
        <v>20.92</v>
      </c>
      <c r="J1087">
        <v>98.2</v>
      </c>
      <c r="K1087" t="s">
        <v>22</v>
      </c>
      <c r="L1087">
        <v>901.02</v>
      </c>
      <c r="M1087">
        <f>VLOOKUP(K1087,RatingLookup!$A$2:$C$8,2,FALSE)</f>
        <v>5.0000000000000001E-3</v>
      </c>
      <c r="N1087">
        <f t="shared" si="48"/>
        <v>4.1762458919303302E-4</v>
      </c>
      <c r="O1087">
        <f>VLOOKUP(K1087,RatingLookup!$A$2:$C$8,3,FALSE)</f>
        <v>0.45</v>
      </c>
      <c r="P1087">
        <f t="shared" si="49"/>
        <v>0.169329648309618</v>
      </c>
      <c r="Q1087" t="str">
        <f t="shared" ca="1" si="50"/>
        <v>No</v>
      </c>
    </row>
    <row r="1088" spans="1:17" x14ac:dyDescent="0.45">
      <c r="A1088" t="s">
        <v>69</v>
      </c>
      <c r="B1088" t="s">
        <v>70</v>
      </c>
      <c r="C1088" t="s">
        <v>61</v>
      </c>
      <c r="D1088" t="s">
        <v>20</v>
      </c>
      <c r="E1088" t="s">
        <v>21</v>
      </c>
      <c r="F1088" s="1">
        <v>44013</v>
      </c>
      <c r="G1088">
        <v>5.72</v>
      </c>
      <c r="H1088">
        <v>81.221000000000004</v>
      </c>
      <c r="I1088">
        <v>29.32</v>
      </c>
      <c r="J1088">
        <v>91.59</v>
      </c>
      <c r="K1088" t="s">
        <v>22</v>
      </c>
      <c r="L1088">
        <v>1008.58</v>
      </c>
      <c r="M1088">
        <f>VLOOKUP(K1088,RatingLookup!$A$2:$C$8,2,FALSE)</f>
        <v>5.0000000000000001E-3</v>
      </c>
      <c r="N1088">
        <f t="shared" si="48"/>
        <v>4.1762458919303302E-4</v>
      </c>
      <c r="O1088">
        <f>VLOOKUP(K1088,RatingLookup!$A$2:$C$8,3,FALSE)</f>
        <v>0.45</v>
      </c>
      <c r="P1088">
        <f t="shared" si="49"/>
        <v>0.18954351367573918</v>
      </c>
      <c r="Q1088" t="str">
        <f t="shared" ca="1" si="50"/>
        <v>No</v>
      </c>
    </row>
    <row r="1089" spans="1:17" x14ac:dyDescent="0.45">
      <c r="A1089" t="s">
        <v>69</v>
      </c>
      <c r="B1089" t="s">
        <v>70</v>
      </c>
      <c r="C1089" t="s">
        <v>61</v>
      </c>
      <c r="D1089" t="s">
        <v>20</v>
      </c>
      <c r="E1089" t="s">
        <v>21</v>
      </c>
      <c r="F1089" s="1">
        <v>44044</v>
      </c>
      <c r="G1089">
        <v>5.08</v>
      </c>
      <c r="H1089">
        <v>83.714200000000005</v>
      </c>
      <c r="I1089">
        <v>18.52</v>
      </c>
      <c r="J1089">
        <v>76.650000000000006</v>
      </c>
      <c r="K1089" t="s">
        <v>22</v>
      </c>
      <c r="L1089">
        <v>879.09</v>
      </c>
      <c r="M1089">
        <f>VLOOKUP(K1089,RatingLookup!$A$2:$C$8,2,FALSE)</f>
        <v>5.0000000000000001E-3</v>
      </c>
      <c r="N1089">
        <f t="shared" si="48"/>
        <v>4.1762458919303302E-4</v>
      </c>
      <c r="O1089">
        <f>VLOOKUP(K1089,RatingLookup!$A$2:$C$8,3,FALSE)</f>
        <v>0.45</v>
      </c>
      <c r="P1089">
        <f t="shared" si="49"/>
        <v>0.16520832005116656</v>
      </c>
      <c r="Q1089" t="str">
        <f t="shared" ca="1" si="50"/>
        <v>No</v>
      </c>
    </row>
    <row r="1090" spans="1:17" x14ac:dyDescent="0.45">
      <c r="A1090" t="s">
        <v>69</v>
      </c>
      <c r="B1090" t="s">
        <v>70</v>
      </c>
      <c r="C1090" t="s">
        <v>61</v>
      </c>
      <c r="D1090" t="s">
        <v>20</v>
      </c>
      <c r="E1090" t="s">
        <v>21</v>
      </c>
      <c r="F1090" s="1">
        <v>44075</v>
      </c>
      <c r="G1090">
        <v>6.05</v>
      </c>
      <c r="H1090">
        <v>80.784099999999995</v>
      </c>
      <c r="I1090">
        <v>13.94</v>
      </c>
      <c r="J1090">
        <v>68.099999999999994</v>
      </c>
      <c r="K1090" t="s">
        <v>30</v>
      </c>
      <c r="L1090">
        <v>843.96</v>
      </c>
      <c r="M1090">
        <f>VLOOKUP(K1090,RatingLookup!$A$2:$C$8,2,FALSE)</f>
        <v>1.4999999999999999E-2</v>
      </c>
      <c r="N1090">
        <f t="shared" ref="N1090:N1153" si="51">1-(1-M1090)^(1/12)</f>
        <v>1.2586770182638762E-3</v>
      </c>
      <c r="O1090">
        <f>VLOOKUP(K1090,RatingLookup!$A$2:$C$8,3,FALSE)</f>
        <v>0.5</v>
      </c>
      <c r="P1090">
        <f t="shared" ref="P1090:P1153" si="52">L1090*N1090*O1090</f>
        <v>0.53113652816699053</v>
      </c>
      <c r="Q1090" t="str">
        <f t="shared" ref="Q1090:Q1153" ca="1" si="53">IF(RAND()&lt;N1090,"Yes","No")</f>
        <v>No</v>
      </c>
    </row>
    <row r="1091" spans="1:17" x14ac:dyDescent="0.45">
      <c r="A1091" t="s">
        <v>69</v>
      </c>
      <c r="B1091" t="s">
        <v>70</v>
      </c>
      <c r="C1091" t="s">
        <v>61</v>
      </c>
      <c r="D1091" t="s">
        <v>20</v>
      </c>
      <c r="E1091" t="s">
        <v>21</v>
      </c>
      <c r="F1091" s="1">
        <v>44105</v>
      </c>
      <c r="G1091">
        <v>6.01</v>
      </c>
      <c r="H1091">
        <v>83.502700000000004</v>
      </c>
      <c r="I1091">
        <v>18.12</v>
      </c>
      <c r="J1091">
        <v>70.64</v>
      </c>
      <c r="K1091" t="s">
        <v>30</v>
      </c>
      <c r="L1091">
        <v>941.34</v>
      </c>
      <c r="M1091">
        <f>VLOOKUP(K1091,RatingLookup!$A$2:$C$8,2,FALSE)</f>
        <v>1.4999999999999999E-2</v>
      </c>
      <c r="N1091">
        <f t="shared" si="51"/>
        <v>1.2586770182638762E-3</v>
      </c>
      <c r="O1091">
        <f>VLOOKUP(K1091,RatingLookup!$A$2:$C$8,3,FALSE)</f>
        <v>0.5</v>
      </c>
      <c r="P1091">
        <f t="shared" si="52"/>
        <v>0.5924215121862586</v>
      </c>
      <c r="Q1091" t="str">
        <f t="shared" ca="1" si="53"/>
        <v>No</v>
      </c>
    </row>
    <row r="1092" spans="1:17" x14ac:dyDescent="0.45">
      <c r="A1092" t="s">
        <v>69</v>
      </c>
      <c r="B1092" t="s">
        <v>70</v>
      </c>
      <c r="C1092" t="s">
        <v>61</v>
      </c>
      <c r="D1092" t="s">
        <v>20</v>
      </c>
      <c r="E1092" t="s">
        <v>21</v>
      </c>
      <c r="F1092" s="1">
        <v>44136</v>
      </c>
      <c r="G1092">
        <v>6.3</v>
      </c>
      <c r="H1092">
        <v>80.129499999999993</v>
      </c>
      <c r="I1092">
        <v>13.89</v>
      </c>
      <c r="J1092">
        <v>68.849999999999994</v>
      </c>
      <c r="K1092" t="s">
        <v>30</v>
      </c>
      <c r="L1092">
        <v>907.99</v>
      </c>
      <c r="M1092">
        <f>VLOOKUP(K1092,RatingLookup!$A$2:$C$8,2,FALSE)</f>
        <v>1.4999999999999999E-2</v>
      </c>
      <c r="N1092">
        <f t="shared" si="51"/>
        <v>1.2586770182638762E-3</v>
      </c>
      <c r="O1092">
        <f>VLOOKUP(K1092,RatingLookup!$A$2:$C$8,3,FALSE)</f>
        <v>0.5</v>
      </c>
      <c r="P1092">
        <f t="shared" si="52"/>
        <v>0.57143307290670853</v>
      </c>
      <c r="Q1092" t="str">
        <f t="shared" ca="1" si="53"/>
        <v>No</v>
      </c>
    </row>
    <row r="1093" spans="1:17" x14ac:dyDescent="0.45">
      <c r="A1093" t="s">
        <v>69</v>
      </c>
      <c r="B1093" t="s">
        <v>70</v>
      </c>
      <c r="C1093" t="s">
        <v>61</v>
      </c>
      <c r="D1093" t="s">
        <v>20</v>
      </c>
      <c r="E1093" t="s">
        <v>21</v>
      </c>
      <c r="F1093" s="1">
        <v>44166</v>
      </c>
      <c r="G1093">
        <v>5.34</v>
      </c>
      <c r="H1093">
        <v>80.522000000000006</v>
      </c>
      <c r="I1093">
        <v>12.59</v>
      </c>
      <c r="J1093">
        <v>70.88</v>
      </c>
      <c r="K1093" t="s">
        <v>30</v>
      </c>
      <c r="L1093">
        <v>926.75</v>
      </c>
      <c r="M1093">
        <f>VLOOKUP(K1093,RatingLookup!$A$2:$C$8,2,FALSE)</f>
        <v>1.4999999999999999E-2</v>
      </c>
      <c r="N1093">
        <f t="shared" si="51"/>
        <v>1.2586770182638762E-3</v>
      </c>
      <c r="O1093">
        <f>VLOOKUP(K1093,RatingLookup!$A$2:$C$8,3,FALSE)</f>
        <v>0.5</v>
      </c>
      <c r="P1093">
        <f t="shared" si="52"/>
        <v>0.58323946333802368</v>
      </c>
      <c r="Q1093" t="str">
        <f t="shared" ca="1" si="53"/>
        <v>No</v>
      </c>
    </row>
    <row r="1094" spans="1:17" x14ac:dyDescent="0.45">
      <c r="A1094" t="s">
        <v>69</v>
      </c>
      <c r="B1094" t="s">
        <v>70</v>
      </c>
      <c r="C1094" t="s">
        <v>61</v>
      </c>
      <c r="D1094" t="s">
        <v>20</v>
      </c>
      <c r="E1094" t="s">
        <v>21</v>
      </c>
      <c r="F1094" s="1">
        <v>44197</v>
      </c>
      <c r="G1094">
        <v>4.72</v>
      </c>
      <c r="H1094">
        <v>76.717799999999997</v>
      </c>
      <c r="I1094">
        <v>12.21</v>
      </c>
      <c r="J1094">
        <v>88.84</v>
      </c>
      <c r="K1094" t="s">
        <v>30</v>
      </c>
      <c r="L1094">
        <v>927.97</v>
      </c>
      <c r="M1094">
        <f>VLOOKUP(K1094,RatingLookup!$A$2:$C$8,2,FALSE)</f>
        <v>1.4999999999999999E-2</v>
      </c>
      <c r="N1094">
        <f t="shared" si="51"/>
        <v>1.2586770182638762E-3</v>
      </c>
      <c r="O1094">
        <f>VLOOKUP(K1094,RatingLookup!$A$2:$C$8,3,FALSE)</f>
        <v>0.5</v>
      </c>
      <c r="P1094">
        <f t="shared" si="52"/>
        <v>0.58400725631916461</v>
      </c>
      <c r="Q1094" t="str">
        <f t="shared" ca="1" si="53"/>
        <v>No</v>
      </c>
    </row>
    <row r="1095" spans="1:17" x14ac:dyDescent="0.45">
      <c r="A1095" t="s">
        <v>69</v>
      </c>
      <c r="B1095" t="s">
        <v>70</v>
      </c>
      <c r="C1095" t="s">
        <v>61</v>
      </c>
      <c r="D1095" t="s">
        <v>20</v>
      </c>
      <c r="E1095" t="s">
        <v>21</v>
      </c>
      <c r="F1095" s="1">
        <v>44228</v>
      </c>
      <c r="G1095">
        <v>5.39</v>
      </c>
      <c r="H1095">
        <v>82.401899999999998</v>
      </c>
      <c r="I1095">
        <v>7.54</v>
      </c>
      <c r="J1095">
        <v>79.760000000000005</v>
      </c>
      <c r="K1095" t="s">
        <v>30</v>
      </c>
      <c r="L1095">
        <v>921.18</v>
      </c>
      <c r="M1095">
        <f>VLOOKUP(K1095,RatingLookup!$A$2:$C$8,2,FALSE)</f>
        <v>1.4999999999999999E-2</v>
      </c>
      <c r="N1095">
        <f t="shared" si="51"/>
        <v>1.2586770182638762E-3</v>
      </c>
      <c r="O1095">
        <f>VLOOKUP(K1095,RatingLookup!$A$2:$C$8,3,FALSE)</f>
        <v>0.5</v>
      </c>
      <c r="P1095">
        <f t="shared" si="52"/>
        <v>0.57973404784215876</v>
      </c>
      <c r="Q1095" t="str">
        <f t="shared" ca="1" si="53"/>
        <v>No</v>
      </c>
    </row>
    <row r="1096" spans="1:17" x14ac:dyDescent="0.45">
      <c r="A1096" t="s">
        <v>69</v>
      </c>
      <c r="B1096" t="s">
        <v>70</v>
      </c>
      <c r="C1096" t="s">
        <v>61</v>
      </c>
      <c r="D1096" t="s">
        <v>20</v>
      </c>
      <c r="E1096" t="s">
        <v>21</v>
      </c>
      <c r="F1096" s="1">
        <v>44256</v>
      </c>
      <c r="G1096">
        <v>5.97</v>
      </c>
      <c r="H1096">
        <v>79.2577</v>
      </c>
      <c r="I1096">
        <v>25.38</v>
      </c>
      <c r="J1096">
        <v>74.31</v>
      </c>
      <c r="K1096" t="s">
        <v>30</v>
      </c>
      <c r="L1096">
        <v>825.21</v>
      </c>
      <c r="M1096">
        <f>VLOOKUP(K1096,RatingLookup!$A$2:$C$8,2,FALSE)</f>
        <v>1.4999999999999999E-2</v>
      </c>
      <c r="N1096">
        <f t="shared" si="51"/>
        <v>1.2586770182638762E-3</v>
      </c>
      <c r="O1096">
        <f>VLOOKUP(K1096,RatingLookup!$A$2:$C$8,3,FALSE)</f>
        <v>0.5</v>
      </c>
      <c r="P1096">
        <f t="shared" si="52"/>
        <v>0.51933643112076666</v>
      </c>
      <c r="Q1096" t="str">
        <f t="shared" ca="1" si="53"/>
        <v>No</v>
      </c>
    </row>
    <row r="1097" spans="1:17" x14ac:dyDescent="0.45">
      <c r="A1097" t="s">
        <v>69</v>
      </c>
      <c r="B1097" t="s">
        <v>70</v>
      </c>
      <c r="C1097" t="s">
        <v>61</v>
      </c>
      <c r="D1097" t="s">
        <v>20</v>
      </c>
      <c r="E1097" t="s">
        <v>21</v>
      </c>
      <c r="F1097" s="1">
        <v>44287</v>
      </c>
      <c r="G1097">
        <v>5.43</v>
      </c>
      <c r="H1097">
        <v>83.9178</v>
      </c>
      <c r="I1097">
        <v>12.22</v>
      </c>
      <c r="J1097">
        <v>89.83</v>
      </c>
      <c r="K1097" t="s">
        <v>30</v>
      </c>
      <c r="L1097">
        <v>870.83</v>
      </c>
      <c r="M1097">
        <f>VLOOKUP(K1097,RatingLookup!$A$2:$C$8,2,FALSE)</f>
        <v>1.4999999999999999E-2</v>
      </c>
      <c r="N1097">
        <f t="shared" si="51"/>
        <v>1.2586770182638762E-3</v>
      </c>
      <c r="O1097">
        <f>VLOOKUP(K1097,RatingLookup!$A$2:$C$8,3,FALSE)</f>
        <v>0.5</v>
      </c>
      <c r="P1097">
        <f t="shared" si="52"/>
        <v>0.54804685390736574</v>
      </c>
      <c r="Q1097" t="str">
        <f t="shared" ca="1" si="53"/>
        <v>No</v>
      </c>
    </row>
    <row r="1098" spans="1:17" x14ac:dyDescent="0.45">
      <c r="A1098" t="s">
        <v>69</v>
      </c>
      <c r="B1098" t="s">
        <v>70</v>
      </c>
      <c r="C1098" t="s">
        <v>61</v>
      </c>
      <c r="D1098" t="s">
        <v>20</v>
      </c>
      <c r="E1098" t="s">
        <v>21</v>
      </c>
      <c r="F1098" s="1">
        <v>44317</v>
      </c>
      <c r="G1098">
        <v>4.47</v>
      </c>
      <c r="H1098">
        <v>79.837199999999996</v>
      </c>
      <c r="I1098">
        <v>14.05</v>
      </c>
      <c r="J1098">
        <v>75.3</v>
      </c>
      <c r="K1098" t="s">
        <v>30</v>
      </c>
      <c r="L1098">
        <v>786.04</v>
      </c>
      <c r="M1098">
        <f>VLOOKUP(K1098,RatingLookup!$A$2:$C$8,2,FALSE)</f>
        <v>1.4999999999999999E-2</v>
      </c>
      <c r="N1098">
        <f t="shared" si="51"/>
        <v>1.2586770182638762E-3</v>
      </c>
      <c r="O1098">
        <f>VLOOKUP(K1098,RatingLookup!$A$2:$C$8,3,FALSE)</f>
        <v>0.5</v>
      </c>
      <c r="P1098">
        <f t="shared" si="52"/>
        <v>0.4946852417180686</v>
      </c>
      <c r="Q1098" t="str">
        <f t="shared" ca="1" si="53"/>
        <v>No</v>
      </c>
    </row>
    <row r="1099" spans="1:17" x14ac:dyDescent="0.45">
      <c r="A1099" t="s">
        <v>69</v>
      </c>
      <c r="B1099" t="s">
        <v>70</v>
      </c>
      <c r="C1099" t="s">
        <v>61</v>
      </c>
      <c r="D1099" t="s">
        <v>20</v>
      </c>
      <c r="E1099" t="s">
        <v>21</v>
      </c>
      <c r="F1099" s="1">
        <v>44348</v>
      </c>
      <c r="G1099">
        <v>5.93</v>
      </c>
      <c r="H1099">
        <v>78.610900000000001</v>
      </c>
      <c r="I1099">
        <v>16.579999999999998</v>
      </c>
      <c r="J1099">
        <v>86.11</v>
      </c>
      <c r="K1099" t="s">
        <v>30</v>
      </c>
      <c r="L1099">
        <v>962.87</v>
      </c>
      <c r="M1099">
        <f>VLOOKUP(K1099,RatingLookup!$A$2:$C$8,2,FALSE)</f>
        <v>1.4999999999999999E-2</v>
      </c>
      <c r="N1099">
        <f t="shared" si="51"/>
        <v>1.2586770182638762E-3</v>
      </c>
      <c r="O1099">
        <f>VLOOKUP(K1099,RatingLookup!$A$2:$C$8,3,FALSE)</f>
        <v>0.5</v>
      </c>
      <c r="P1099">
        <f t="shared" si="52"/>
        <v>0.60597117028786929</v>
      </c>
      <c r="Q1099" t="str">
        <f t="shared" ca="1" si="53"/>
        <v>No</v>
      </c>
    </row>
    <row r="1100" spans="1:17" x14ac:dyDescent="0.45">
      <c r="A1100" t="s">
        <v>69</v>
      </c>
      <c r="B1100" t="s">
        <v>70</v>
      </c>
      <c r="C1100" t="s">
        <v>61</v>
      </c>
      <c r="D1100" t="s">
        <v>20</v>
      </c>
      <c r="E1100" t="s">
        <v>21</v>
      </c>
      <c r="F1100" s="1">
        <v>44378</v>
      </c>
      <c r="G1100">
        <v>5.53</v>
      </c>
      <c r="H1100">
        <v>84.585400000000007</v>
      </c>
      <c r="I1100">
        <v>14.38</v>
      </c>
      <c r="J1100">
        <v>83.81</v>
      </c>
      <c r="K1100" t="s">
        <v>22</v>
      </c>
      <c r="L1100">
        <v>819.01</v>
      </c>
      <c r="M1100">
        <f>VLOOKUP(K1100,RatingLookup!$A$2:$C$8,2,FALSE)</f>
        <v>5.0000000000000001E-3</v>
      </c>
      <c r="N1100">
        <f t="shared" si="51"/>
        <v>4.1762458919303302E-4</v>
      </c>
      <c r="O1100">
        <f>VLOOKUP(K1100,RatingLookup!$A$2:$C$8,3,FALSE)</f>
        <v>0.45</v>
      </c>
      <c r="P1100">
        <f t="shared" si="52"/>
        <v>0.15391742165774369</v>
      </c>
      <c r="Q1100" t="str">
        <f t="shared" ca="1" si="53"/>
        <v>No</v>
      </c>
    </row>
    <row r="1101" spans="1:17" x14ac:dyDescent="0.45">
      <c r="A1101" t="s">
        <v>69</v>
      </c>
      <c r="B1101" t="s">
        <v>70</v>
      </c>
      <c r="C1101" t="s">
        <v>61</v>
      </c>
      <c r="D1101" t="s">
        <v>20</v>
      </c>
      <c r="E1101" t="s">
        <v>21</v>
      </c>
      <c r="F1101" s="1">
        <v>44409</v>
      </c>
      <c r="G1101">
        <v>5.41</v>
      </c>
      <c r="H1101">
        <v>80.837100000000007</v>
      </c>
      <c r="I1101">
        <v>15.65</v>
      </c>
      <c r="J1101">
        <v>75.87</v>
      </c>
      <c r="K1101" t="s">
        <v>22</v>
      </c>
      <c r="L1101">
        <v>971.06</v>
      </c>
      <c r="M1101">
        <f>VLOOKUP(K1101,RatingLookup!$A$2:$C$8,2,FALSE)</f>
        <v>5.0000000000000001E-3</v>
      </c>
      <c r="N1101">
        <f t="shared" si="51"/>
        <v>4.1762458919303302E-4</v>
      </c>
      <c r="O1101">
        <f>VLOOKUP(K1101,RatingLookup!$A$2:$C$8,3,FALSE)</f>
        <v>0.45</v>
      </c>
      <c r="P1101">
        <f t="shared" si="52"/>
        <v>0.18249234011180399</v>
      </c>
      <c r="Q1101" t="str">
        <f t="shared" ca="1" si="53"/>
        <v>No</v>
      </c>
    </row>
    <row r="1102" spans="1:17" x14ac:dyDescent="0.45">
      <c r="A1102" t="s">
        <v>69</v>
      </c>
      <c r="B1102" t="s">
        <v>70</v>
      </c>
      <c r="C1102" t="s">
        <v>61</v>
      </c>
      <c r="D1102" t="s">
        <v>20</v>
      </c>
      <c r="E1102" t="s">
        <v>21</v>
      </c>
      <c r="F1102" s="1">
        <v>44440</v>
      </c>
      <c r="G1102">
        <v>4.88</v>
      </c>
      <c r="H1102">
        <v>84.956100000000006</v>
      </c>
      <c r="I1102">
        <v>8.5299999999999994</v>
      </c>
      <c r="J1102">
        <v>71.28</v>
      </c>
      <c r="K1102" t="s">
        <v>22</v>
      </c>
      <c r="L1102">
        <v>958.05</v>
      </c>
      <c r="M1102">
        <f>VLOOKUP(K1102,RatingLookup!$A$2:$C$8,2,FALSE)</f>
        <v>5.0000000000000001E-3</v>
      </c>
      <c r="N1102">
        <f t="shared" si="51"/>
        <v>4.1762458919303302E-4</v>
      </c>
      <c r="O1102">
        <f>VLOOKUP(K1102,RatingLookup!$A$2:$C$8,3,FALSE)</f>
        <v>0.45</v>
      </c>
      <c r="P1102">
        <f t="shared" si="52"/>
        <v>0.18004735695437338</v>
      </c>
      <c r="Q1102" t="str">
        <f t="shared" ca="1" si="53"/>
        <v>No</v>
      </c>
    </row>
    <row r="1103" spans="1:17" x14ac:dyDescent="0.45">
      <c r="A1103" t="s">
        <v>69</v>
      </c>
      <c r="B1103" t="s">
        <v>70</v>
      </c>
      <c r="C1103" t="s">
        <v>61</v>
      </c>
      <c r="D1103" t="s">
        <v>20</v>
      </c>
      <c r="E1103" t="s">
        <v>21</v>
      </c>
      <c r="F1103" s="1">
        <v>44470</v>
      </c>
      <c r="G1103">
        <v>5.46</v>
      </c>
      <c r="H1103">
        <v>81.616</v>
      </c>
      <c r="I1103">
        <v>26.44</v>
      </c>
      <c r="J1103">
        <v>65.83</v>
      </c>
      <c r="K1103" t="s">
        <v>22</v>
      </c>
      <c r="L1103">
        <v>968.86</v>
      </c>
      <c r="M1103">
        <f>VLOOKUP(K1103,RatingLookup!$A$2:$C$8,2,FALSE)</f>
        <v>5.0000000000000001E-3</v>
      </c>
      <c r="N1103">
        <f t="shared" si="51"/>
        <v>4.1762458919303302E-4</v>
      </c>
      <c r="O1103">
        <f>VLOOKUP(K1103,RatingLookup!$A$2:$C$8,3,FALSE)</f>
        <v>0.45</v>
      </c>
      <c r="P1103">
        <f t="shared" si="52"/>
        <v>0.18207889176850289</v>
      </c>
      <c r="Q1103" t="str">
        <f t="shared" ca="1" si="53"/>
        <v>No</v>
      </c>
    </row>
    <row r="1104" spans="1:17" x14ac:dyDescent="0.45">
      <c r="A1104" t="s">
        <v>69</v>
      </c>
      <c r="B1104" t="s">
        <v>70</v>
      </c>
      <c r="C1104" t="s">
        <v>61</v>
      </c>
      <c r="D1104" t="s">
        <v>20</v>
      </c>
      <c r="E1104" t="s">
        <v>21</v>
      </c>
      <c r="F1104" s="1">
        <v>44501</v>
      </c>
      <c r="G1104">
        <v>6.26</v>
      </c>
      <c r="H1104">
        <v>83.514600000000002</v>
      </c>
      <c r="I1104">
        <v>14.89</v>
      </c>
      <c r="J1104">
        <v>82.82</v>
      </c>
      <c r="K1104" t="s">
        <v>22</v>
      </c>
      <c r="L1104">
        <v>891.35</v>
      </c>
      <c r="M1104">
        <f>VLOOKUP(K1104,RatingLookup!$A$2:$C$8,2,FALSE)</f>
        <v>5.0000000000000001E-3</v>
      </c>
      <c r="N1104">
        <f t="shared" si="51"/>
        <v>4.1762458919303302E-4</v>
      </c>
      <c r="O1104">
        <f>VLOOKUP(K1104,RatingLookup!$A$2:$C$8,3,FALSE)</f>
        <v>0.45</v>
      </c>
      <c r="P1104">
        <f t="shared" si="52"/>
        <v>0.1675123549097445</v>
      </c>
      <c r="Q1104" t="str">
        <f t="shared" ca="1" si="53"/>
        <v>No</v>
      </c>
    </row>
    <row r="1105" spans="1:17" x14ac:dyDescent="0.45">
      <c r="A1105" t="s">
        <v>69</v>
      </c>
      <c r="B1105" t="s">
        <v>70</v>
      </c>
      <c r="C1105" t="s">
        <v>61</v>
      </c>
      <c r="D1105" t="s">
        <v>20</v>
      </c>
      <c r="E1105" t="s">
        <v>21</v>
      </c>
      <c r="F1105" s="1">
        <v>44531</v>
      </c>
      <c r="G1105">
        <v>5.66</v>
      </c>
      <c r="H1105">
        <v>85.433199999999999</v>
      </c>
      <c r="I1105">
        <v>16.670000000000002</v>
      </c>
      <c r="J1105">
        <v>88.24</v>
      </c>
      <c r="K1105" t="s">
        <v>22</v>
      </c>
      <c r="L1105">
        <v>1077.02</v>
      </c>
      <c r="M1105">
        <f>VLOOKUP(K1105,RatingLookup!$A$2:$C$8,2,FALSE)</f>
        <v>5.0000000000000001E-3</v>
      </c>
      <c r="N1105">
        <f t="shared" si="51"/>
        <v>4.1762458919303302E-4</v>
      </c>
      <c r="O1105">
        <f>VLOOKUP(K1105,RatingLookup!$A$2:$C$8,3,FALSE)</f>
        <v>0.45</v>
      </c>
      <c r="P1105">
        <f t="shared" si="52"/>
        <v>0.20240551577370622</v>
      </c>
      <c r="Q1105" t="str">
        <f t="shared" ca="1" si="53"/>
        <v>No</v>
      </c>
    </row>
    <row r="1106" spans="1:17" x14ac:dyDescent="0.45">
      <c r="A1106" t="s">
        <v>69</v>
      </c>
      <c r="B1106" t="s">
        <v>70</v>
      </c>
      <c r="C1106" t="s">
        <v>61</v>
      </c>
      <c r="D1106" t="s">
        <v>20</v>
      </c>
      <c r="E1106" t="s">
        <v>21</v>
      </c>
      <c r="F1106" s="1">
        <v>44562</v>
      </c>
      <c r="G1106">
        <v>5.79</v>
      </c>
      <c r="H1106">
        <v>83.0428</v>
      </c>
      <c r="I1106">
        <v>23.21</v>
      </c>
      <c r="J1106">
        <v>74.92</v>
      </c>
      <c r="K1106" t="s">
        <v>22</v>
      </c>
      <c r="L1106">
        <v>893.91</v>
      </c>
      <c r="M1106">
        <f>VLOOKUP(K1106,RatingLookup!$A$2:$C$8,2,FALSE)</f>
        <v>5.0000000000000001E-3</v>
      </c>
      <c r="N1106">
        <f t="shared" si="51"/>
        <v>4.1762458919303302E-4</v>
      </c>
      <c r="O1106">
        <f>VLOOKUP(K1106,RatingLookup!$A$2:$C$8,3,FALSE)</f>
        <v>0.45</v>
      </c>
      <c r="P1106">
        <f t="shared" si="52"/>
        <v>0.16799345843649485</v>
      </c>
      <c r="Q1106" t="str">
        <f t="shared" ca="1" si="53"/>
        <v>No</v>
      </c>
    </row>
    <row r="1107" spans="1:17" x14ac:dyDescent="0.45">
      <c r="A1107" t="s">
        <v>69</v>
      </c>
      <c r="B1107" t="s">
        <v>70</v>
      </c>
      <c r="C1107" t="s">
        <v>61</v>
      </c>
      <c r="D1107" t="s">
        <v>20</v>
      </c>
      <c r="E1107" t="s">
        <v>21</v>
      </c>
      <c r="F1107" s="1">
        <v>44593</v>
      </c>
      <c r="G1107">
        <v>4.58</v>
      </c>
      <c r="H1107">
        <v>80.150499999999994</v>
      </c>
      <c r="I1107">
        <v>19.98</v>
      </c>
      <c r="J1107">
        <v>76.27</v>
      </c>
      <c r="K1107" t="s">
        <v>22</v>
      </c>
      <c r="L1107">
        <v>897.08</v>
      </c>
      <c r="M1107">
        <f>VLOOKUP(K1107,RatingLookup!$A$2:$C$8,2,FALSE)</f>
        <v>5.0000000000000001E-3</v>
      </c>
      <c r="N1107">
        <f t="shared" si="51"/>
        <v>4.1762458919303302E-4</v>
      </c>
      <c r="O1107">
        <f>VLOOKUP(K1107,RatingLookup!$A$2:$C$8,3,FALSE)</f>
        <v>0.45</v>
      </c>
      <c r="P1107">
        <f t="shared" si="52"/>
        <v>0.16858919991297874</v>
      </c>
      <c r="Q1107" t="str">
        <f t="shared" ca="1" si="53"/>
        <v>No</v>
      </c>
    </row>
    <row r="1108" spans="1:17" x14ac:dyDescent="0.45">
      <c r="A1108" t="s">
        <v>69</v>
      </c>
      <c r="B1108" t="s">
        <v>70</v>
      </c>
      <c r="C1108" t="s">
        <v>61</v>
      </c>
      <c r="D1108" t="s">
        <v>20</v>
      </c>
      <c r="E1108" t="s">
        <v>21</v>
      </c>
      <c r="F1108" s="1">
        <v>44621</v>
      </c>
      <c r="G1108">
        <v>5.81</v>
      </c>
      <c r="H1108">
        <v>89.183199999999999</v>
      </c>
      <c r="I1108">
        <v>25</v>
      </c>
      <c r="J1108">
        <v>91.01</v>
      </c>
      <c r="K1108" t="s">
        <v>22</v>
      </c>
      <c r="L1108">
        <v>849.08</v>
      </c>
      <c r="M1108">
        <f>VLOOKUP(K1108,RatingLookup!$A$2:$C$8,2,FALSE)</f>
        <v>5.0000000000000001E-3</v>
      </c>
      <c r="N1108">
        <f t="shared" si="51"/>
        <v>4.1762458919303302E-4</v>
      </c>
      <c r="O1108">
        <f>VLOOKUP(K1108,RatingLookup!$A$2:$C$8,3,FALSE)</f>
        <v>0.45</v>
      </c>
      <c r="P1108">
        <f t="shared" si="52"/>
        <v>0.15956850878640924</v>
      </c>
      <c r="Q1108" t="str">
        <f t="shared" ca="1" si="53"/>
        <v>No</v>
      </c>
    </row>
    <row r="1109" spans="1:17" x14ac:dyDescent="0.45">
      <c r="A1109" t="s">
        <v>69</v>
      </c>
      <c r="B1109" t="s">
        <v>70</v>
      </c>
      <c r="C1109" t="s">
        <v>61</v>
      </c>
      <c r="D1109" t="s">
        <v>20</v>
      </c>
      <c r="E1109" t="s">
        <v>21</v>
      </c>
      <c r="F1109" s="1">
        <v>44652</v>
      </c>
      <c r="G1109">
        <v>4.4400000000000004</v>
      </c>
      <c r="H1109">
        <v>80.836799999999997</v>
      </c>
      <c r="I1109">
        <v>33.700000000000003</v>
      </c>
      <c r="J1109">
        <v>89.6</v>
      </c>
      <c r="K1109" t="s">
        <v>22</v>
      </c>
      <c r="L1109">
        <v>885.62</v>
      </c>
      <c r="M1109">
        <f>VLOOKUP(K1109,RatingLookup!$A$2:$C$8,2,FALSE)</f>
        <v>5.0000000000000001E-3</v>
      </c>
      <c r="N1109">
        <f t="shared" si="51"/>
        <v>4.1762458919303302E-4</v>
      </c>
      <c r="O1109">
        <f>VLOOKUP(K1109,RatingLookup!$A$2:$C$8,3,FALSE)</f>
        <v>0.45</v>
      </c>
      <c r="P1109">
        <f t="shared" si="52"/>
        <v>0.16643550990651026</v>
      </c>
      <c r="Q1109" t="str">
        <f t="shared" ca="1" si="53"/>
        <v>No</v>
      </c>
    </row>
    <row r="1110" spans="1:17" x14ac:dyDescent="0.45">
      <c r="A1110" t="s">
        <v>69</v>
      </c>
      <c r="B1110" t="s">
        <v>70</v>
      </c>
      <c r="C1110" t="s">
        <v>61</v>
      </c>
      <c r="D1110" t="s">
        <v>20</v>
      </c>
      <c r="E1110" t="s">
        <v>21</v>
      </c>
      <c r="F1110" s="1">
        <v>44682</v>
      </c>
      <c r="G1110">
        <v>5.47</v>
      </c>
      <c r="H1110">
        <v>83.924599999999998</v>
      </c>
      <c r="I1110">
        <v>9.39</v>
      </c>
      <c r="J1110">
        <v>72.319999999999993</v>
      </c>
      <c r="K1110" t="s">
        <v>23</v>
      </c>
      <c r="L1110">
        <v>943.97</v>
      </c>
      <c r="M1110">
        <f>VLOOKUP(K1110,RatingLookup!$A$2:$C$8,2,FALSE)</f>
        <v>1E-3</v>
      </c>
      <c r="N1110">
        <f t="shared" si="51"/>
        <v>8.3371552197619714E-5</v>
      </c>
      <c r="O1110">
        <f>VLOOKUP(K1110,RatingLookup!$A$2:$C$8,3,FALSE)</f>
        <v>0.3</v>
      </c>
      <c r="P1110">
        <f t="shared" si="52"/>
        <v>2.3610073238396125E-2</v>
      </c>
      <c r="Q1110" t="str">
        <f t="shared" ca="1" si="53"/>
        <v>No</v>
      </c>
    </row>
    <row r="1111" spans="1:17" x14ac:dyDescent="0.45">
      <c r="A1111" t="s">
        <v>69</v>
      </c>
      <c r="B1111" t="s">
        <v>70</v>
      </c>
      <c r="C1111" t="s">
        <v>61</v>
      </c>
      <c r="D1111" t="s">
        <v>20</v>
      </c>
      <c r="E1111" t="s">
        <v>21</v>
      </c>
      <c r="F1111" s="1">
        <v>44713</v>
      </c>
      <c r="G1111">
        <v>5.04</v>
      </c>
      <c r="H1111">
        <v>82.938299999999998</v>
      </c>
      <c r="I1111">
        <v>17.95</v>
      </c>
      <c r="J1111">
        <v>67.75</v>
      </c>
      <c r="K1111" t="s">
        <v>23</v>
      </c>
      <c r="L1111">
        <v>933.53</v>
      </c>
      <c r="M1111">
        <f>VLOOKUP(K1111,RatingLookup!$A$2:$C$8,2,FALSE)</f>
        <v>1E-3</v>
      </c>
      <c r="N1111">
        <f t="shared" si="51"/>
        <v>8.3371552197619714E-5</v>
      </c>
      <c r="O1111">
        <f>VLOOKUP(K1111,RatingLookup!$A$2:$C$8,3,FALSE)</f>
        <v>0.3</v>
      </c>
      <c r="P1111">
        <f t="shared" si="52"/>
        <v>2.3348953536913179E-2</v>
      </c>
      <c r="Q1111" t="str">
        <f t="shared" ca="1" si="53"/>
        <v>No</v>
      </c>
    </row>
    <row r="1112" spans="1:17" x14ac:dyDescent="0.45">
      <c r="A1112" t="s">
        <v>69</v>
      </c>
      <c r="B1112" t="s">
        <v>70</v>
      </c>
      <c r="C1112" t="s">
        <v>61</v>
      </c>
      <c r="D1112" t="s">
        <v>20</v>
      </c>
      <c r="E1112" t="s">
        <v>21</v>
      </c>
      <c r="F1112" s="1">
        <v>44743</v>
      </c>
      <c r="G1112">
        <v>5.52</v>
      </c>
      <c r="H1112">
        <v>79.031700000000001</v>
      </c>
      <c r="I1112">
        <v>22.34</v>
      </c>
      <c r="J1112">
        <v>80.599999999999994</v>
      </c>
      <c r="K1112" t="s">
        <v>23</v>
      </c>
      <c r="L1112">
        <v>957.17</v>
      </c>
      <c r="M1112">
        <f>VLOOKUP(K1112,RatingLookup!$A$2:$C$8,2,FALSE)</f>
        <v>1E-3</v>
      </c>
      <c r="N1112">
        <f t="shared" si="51"/>
        <v>8.3371552197619714E-5</v>
      </c>
      <c r="O1112">
        <f>VLOOKUP(K1112,RatingLookup!$A$2:$C$8,3,FALSE)</f>
        <v>0.3</v>
      </c>
      <c r="P1112">
        <f t="shared" si="52"/>
        <v>2.3940224585098695E-2</v>
      </c>
      <c r="Q1112" t="str">
        <f t="shared" ca="1" si="53"/>
        <v>No</v>
      </c>
    </row>
    <row r="1113" spans="1:17" x14ac:dyDescent="0.45">
      <c r="A1113" t="s">
        <v>69</v>
      </c>
      <c r="B1113" t="s">
        <v>70</v>
      </c>
      <c r="C1113" t="s">
        <v>61</v>
      </c>
      <c r="D1113" t="s">
        <v>20</v>
      </c>
      <c r="E1113" t="s">
        <v>21</v>
      </c>
      <c r="F1113" s="1">
        <v>44774</v>
      </c>
      <c r="G1113">
        <v>5.5</v>
      </c>
      <c r="H1113">
        <v>79.743300000000005</v>
      </c>
      <c r="I1113">
        <v>18.62</v>
      </c>
      <c r="J1113">
        <v>84.33</v>
      </c>
      <c r="K1113" t="s">
        <v>23</v>
      </c>
      <c r="L1113">
        <v>879.45</v>
      </c>
      <c r="M1113">
        <f>VLOOKUP(K1113,RatingLookup!$A$2:$C$8,2,FALSE)</f>
        <v>1E-3</v>
      </c>
      <c r="N1113">
        <f t="shared" si="51"/>
        <v>8.3371552197619714E-5</v>
      </c>
      <c r="O1113">
        <f>VLOOKUP(K1113,RatingLookup!$A$2:$C$8,3,FALSE)</f>
        <v>0.3</v>
      </c>
      <c r="P1113">
        <f t="shared" si="52"/>
        <v>2.1996333474058997E-2</v>
      </c>
      <c r="Q1113" t="str">
        <f t="shared" ca="1" si="53"/>
        <v>No</v>
      </c>
    </row>
    <row r="1114" spans="1:17" x14ac:dyDescent="0.45">
      <c r="A1114" t="s">
        <v>69</v>
      </c>
      <c r="B1114" t="s">
        <v>70</v>
      </c>
      <c r="C1114" t="s">
        <v>61</v>
      </c>
      <c r="D1114" t="s">
        <v>20</v>
      </c>
      <c r="E1114" t="s">
        <v>21</v>
      </c>
      <c r="F1114" s="1">
        <v>44805</v>
      </c>
      <c r="G1114">
        <v>5.28</v>
      </c>
      <c r="H1114">
        <v>82.599599999999995</v>
      </c>
      <c r="I1114">
        <v>16.89</v>
      </c>
      <c r="J1114">
        <v>79.8</v>
      </c>
      <c r="K1114" t="s">
        <v>23</v>
      </c>
      <c r="L1114">
        <v>993.6</v>
      </c>
      <c r="M1114">
        <f>VLOOKUP(K1114,RatingLookup!$A$2:$C$8,2,FALSE)</f>
        <v>1E-3</v>
      </c>
      <c r="N1114">
        <f t="shared" si="51"/>
        <v>8.3371552197619714E-5</v>
      </c>
      <c r="O1114">
        <f>VLOOKUP(K1114,RatingLookup!$A$2:$C$8,3,FALSE)</f>
        <v>0.3</v>
      </c>
      <c r="P1114">
        <f t="shared" si="52"/>
        <v>2.4851392279066485E-2</v>
      </c>
      <c r="Q1114" t="str">
        <f t="shared" ca="1" si="53"/>
        <v>No</v>
      </c>
    </row>
    <row r="1115" spans="1:17" x14ac:dyDescent="0.45">
      <c r="A1115" t="s">
        <v>69</v>
      </c>
      <c r="B1115" t="s">
        <v>70</v>
      </c>
      <c r="C1115" t="s">
        <v>61</v>
      </c>
      <c r="D1115" t="s">
        <v>20</v>
      </c>
      <c r="E1115" t="s">
        <v>21</v>
      </c>
      <c r="F1115" s="1">
        <v>44835</v>
      </c>
      <c r="G1115">
        <v>5.82</v>
      </c>
      <c r="H1115">
        <v>80.855000000000004</v>
      </c>
      <c r="I1115">
        <v>23.71</v>
      </c>
      <c r="J1115">
        <v>73.62</v>
      </c>
      <c r="K1115" t="s">
        <v>23</v>
      </c>
      <c r="L1115">
        <v>891.84</v>
      </c>
      <c r="M1115">
        <f>VLOOKUP(K1115,RatingLookup!$A$2:$C$8,2,FALSE)</f>
        <v>1E-3</v>
      </c>
      <c r="N1115">
        <f t="shared" si="51"/>
        <v>8.3371552197619714E-5</v>
      </c>
      <c r="O1115">
        <f>VLOOKUP(K1115,RatingLookup!$A$2:$C$8,3,FALSE)</f>
        <v>0.3</v>
      </c>
      <c r="P1115">
        <f t="shared" si="52"/>
        <v>2.2306225533577549E-2</v>
      </c>
      <c r="Q1115" t="str">
        <f t="shared" ca="1" si="53"/>
        <v>No</v>
      </c>
    </row>
    <row r="1116" spans="1:17" x14ac:dyDescent="0.45">
      <c r="A1116" t="s">
        <v>69</v>
      </c>
      <c r="B1116" t="s">
        <v>70</v>
      </c>
      <c r="C1116" t="s">
        <v>61</v>
      </c>
      <c r="D1116" t="s">
        <v>20</v>
      </c>
      <c r="E1116" t="s">
        <v>21</v>
      </c>
      <c r="F1116" s="1">
        <v>44866</v>
      </c>
      <c r="G1116">
        <v>5.43</v>
      </c>
      <c r="H1116">
        <v>79.973299999999995</v>
      </c>
      <c r="I1116">
        <v>23.02</v>
      </c>
      <c r="J1116">
        <v>73.5</v>
      </c>
      <c r="K1116" t="s">
        <v>23</v>
      </c>
      <c r="L1116">
        <v>979.98</v>
      </c>
      <c r="M1116">
        <f>VLOOKUP(K1116,RatingLookup!$A$2:$C$8,2,FALSE)</f>
        <v>1E-3</v>
      </c>
      <c r="N1116">
        <f t="shared" si="51"/>
        <v>8.3371552197619714E-5</v>
      </c>
      <c r="O1116">
        <f>VLOOKUP(K1116,RatingLookup!$A$2:$C$8,3,FALSE)</f>
        <v>0.3</v>
      </c>
      <c r="P1116">
        <f t="shared" si="52"/>
        <v>2.4510736116787012E-2</v>
      </c>
      <c r="Q1116" t="str">
        <f t="shared" ca="1" si="53"/>
        <v>No</v>
      </c>
    </row>
    <row r="1117" spans="1:17" x14ac:dyDescent="0.45">
      <c r="A1117" t="s">
        <v>69</v>
      </c>
      <c r="B1117" t="s">
        <v>70</v>
      </c>
      <c r="C1117" t="s">
        <v>61</v>
      </c>
      <c r="D1117" t="s">
        <v>20</v>
      </c>
      <c r="E1117" t="s">
        <v>21</v>
      </c>
      <c r="F1117" s="1">
        <v>44896</v>
      </c>
      <c r="G1117">
        <v>5.21</v>
      </c>
      <c r="H1117">
        <v>88.611800000000002</v>
      </c>
      <c r="I1117">
        <v>19.87</v>
      </c>
      <c r="J1117">
        <v>92.34</v>
      </c>
      <c r="K1117" t="s">
        <v>23</v>
      </c>
      <c r="L1117">
        <v>913.72</v>
      </c>
      <c r="M1117">
        <f>VLOOKUP(K1117,RatingLookup!$A$2:$C$8,2,FALSE)</f>
        <v>1E-3</v>
      </c>
      <c r="N1117">
        <f t="shared" si="51"/>
        <v>8.3371552197619714E-5</v>
      </c>
      <c r="O1117">
        <f>VLOOKUP(K1117,RatingLookup!$A$2:$C$8,3,FALSE)</f>
        <v>0.3</v>
      </c>
      <c r="P1117">
        <f t="shared" si="52"/>
        <v>2.2853476402202724E-2</v>
      </c>
      <c r="Q1117" t="str">
        <f t="shared" ca="1" si="53"/>
        <v>No</v>
      </c>
    </row>
    <row r="1118" spans="1:17" x14ac:dyDescent="0.45">
      <c r="A1118" t="s">
        <v>69</v>
      </c>
      <c r="B1118" t="s">
        <v>70</v>
      </c>
      <c r="C1118" t="s">
        <v>61</v>
      </c>
      <c r="D1118" t="s">
        <v>20</v>
      </c>
      <c r="E1118" t="s">
        <v>21</v>
      </c>
      <c r="F1118" s="1">
        <v>44927</v>
      </c>
      <c r="G1118">
        <v>6.27</v>
      </c>
      <c r="H1118">
        <v>82.89</v>
      </c>
      <c r="I1118">
        <v>11.23</v>
      </c>
      <c r="J1118">
        <v>91.78</v>
      </c>
      <c r="K1118" t="s">
        <v>23</v>
      </c>
      <c r="L1118">
        <v>996.01</v>
      </c>
      <c r="M1118">
        <f>VLOOKUP(K1118,RatingLookup!$A$2:$C$8,2,FALSE)</f>
        <v>1E-3</v>
      </c>
      <c r="N1118">
        <f t="shared" si="51"/>
        <v>8.3371552197619714E-5</v>
      </c>
      <c r="O1118">
        <f>VLOOKUP(K1118,RatingLookup!$A$2:$C$8,3,FALSE)</f>
        <v>0.3</v>
      </c>
      <c r="P1118">
        <f t="shared" si="52"/>
        <v>2.4911669911305365E-2</v>
      </c>
      <c r="Q1118" t="str">
        <f t="shared" ca="1" si="53"/>
        <v>No</v>
      </c>
    </row>
    <row r="1119" spans="1:17" x14ac:dyDescent="0.45">
      <c r="A1119" t="s">
        <v>69</v>
      </c>
      <c r="B1119" t="s">
        <v>70</v>
      </c>
      <c r="C1119" t="s">
        <v>61</v>
      </c>
      <c r="D1119" t="s">
        <v>20</v>
      </c>
      <c r="E1119" t="s">
        <v>21</v>
      </c>
      <c r="F1119" s="1">
        <v>44958</v>
      </c>
      <c r="G1119">
        <v>6.33</v>
      </c>
      <c r="H1119">
        <v>79.390500000000003</v>
      </c>
      <c r="I1119">
        <v>26.22</v>
      </c>
      <c r="J1119">
        <v>82.54</v>
      </c>
      <c r="K1119" t="s">
        <v>23</v>
      </c>
      <c r="L1119">
        <v>1011.07</v>
      </c>
      <c r="M1119">
        <f>VLOOKUP(K1119,RatingLookup!$A$2:$C$8,2,FALSE)</f>
        <v>1E-3</v>
      </c>
      <c r="N1119">
        <f t="shared" si="51"/>
        <v>8.3371552197619714E-5</v>
      </c>
      <c r="O1119">
        <f>VLOOKUP(K1119,RatingLookup!$A$2:$C$8,3,FALSE)</f>
        <v>0.3</v>
      </c>
      <c r="P1119">
        <f t="shared" si="52"/>
        <v>2.5288342584134208E-2</v>
      </c>
      <c r="Q1119" t="str">
        <f t="shared" ca="1" si="53"/>
        <v>No</v>
      </c>
    </row>
    <row r="1120" spans="1:17" x14ac:dyDescent="0.45">
      <c r="A1120" t="s">
        <v>69</v>
      </c>
      <c r="B1120" t="s">
        <v>70</v>
      </c>
      <c r="C1120" t="s">
        <v>61</v>
      </c>
      <c r="D1120" t="s">
        <v>20</v>
      </c>
      <c r="E1120" t="s">
        <v>21</v>
      </c>
      <c r="F1120" s="1">
        <v>44986</v>
      </c>
      <c r="G1120">
        <v>5.83</v>
      </c>
      <c r="H1120">
        <v>83.192499999999995</v>
      </c>
      <c r="I1120">
        <v>26.32</v>
      </c>
      <c r="J1120">
        <v>87.32</v>
      </c>
      <c r="K1120" t="s">
        <v>23</v>
      </c>
      <c r="L1120">
        <v>995.14</v>
      </c>
      <c r="M1120">
        <f>VLOOKUP(K1120,RatingLookup!$A$2:$C$8,2,FALSE)</f>
        <v>1E-3</v>
      </c>
      <c r="N1120">
        <f t="shared" si="51"/>
        <v>8.3371552197619714E-5</v>
      </c>
      <c r="O1120">
        <f>VLOOKUP(K1120,RatingLookup!$A$2:$C$8,3,FALSE)</f>
        <v>0.3</v>
      </c>
      <c r="P1120">
        <f t="shared" si="52"/>
        <v>2.4889909936181783E-2</v>
      </c>
      <c r="Q1120" t="str">
        <f t="shared" ca="1" si="53"/>
        <v>No</v>
      </c>
    </row>
    <row r="1121" spans="1:17" x14ac:dyDescent="0.45">
      <c r="A1121" t="s">
        <v>69</v>
      </c>
      <c r="B1121" t="s">
        <v>70</v>
      </c>
      <c r="C1121" t="s">
        <v>61</v>
      </c>
      <c r="D1121" t="s">
        <v>20</v>
      </c>
      <c r="E1121" t="s">
        <v>21</v>
      </c>
      <c r="F1121" s="1">
        <v>45017</v>
      </c>
      <c r="G1121">
        <v>5.21</v>
      </c>
      <c r="H1121">
        <v>82.349000000000004</v>
      </c>
      <c r="I1121">
        <v>8.3800000000000008</v>
      </c>
      <c r="J1121">
        <v>73.3</v>
      </c>
      <c r="K1121" t="s">
        <v>23</v>
      </c>
      <c r="L1121">
        <v>982.14</v>
      </c>
      <c r="M1121">
        <f>VLOOKUP(K1121,RatingLookup!$A$2:$C$8,2,FALSE)</f>
        <v>1E-3</v>
      </c>
      <c r="N1121">
        <f t="shared" si="51"/>
        <v>8.3371552197619714E-5</v>
      </c>
      <c r="O1121">
        <f>VLOOKUP(K1121,RatingLookup!$A$2:$C$8,3,FALSE)</f>
        <v>0.3</v>
      </c>
      <c r="P1121">
        <f t="shared" si="52"/>
        <v>2.4564760882611066E-2</v>
      </c>
      <c r="Q1121" t="str">
        <f t="shared" ca="1" si="53"/>
        <v>No</v>
      </c>
    </row>
    <row r="1122" spans="1:17" x14ac:dyDescent="0.45">
      <c r="A1122" t="s">
        <v>69</v>
      </c>
      <c r="B1122" t="s">
        <v>70</v>
      </c>
      <c r="C1122" t="s">
        <v>61</v>
      </c>
      <c r="D1122" t="s">
        <v>20</v>
      </c>
      <c r="E1122" t="s">
        <v>21</v>
      </c>
      <c r="F1122" s="1">
        <v>45047</v>
      </c>
      <c r="G1122">
        <v>6.27</v>
      </c>
      <c r="H1122">
        <v>90.232699999999994</v>
      </c>
      <c r="I1122">
        <v>13.38</v>
      </c>
      <c r="J1122">
        <v>76.94</v>
      </c>
      <c r="K1122" t="s">
        <v>23</v>
      </c>
      <c r="L1122">
        <v>916.49</v>
      </c>
      <c r="M1122">
        <f>VLOOKUP(K1122,RatingLookup!$A$2:$C$8,2,FALSE)</f>
        <v>1E-3</v>
      </c>
      <c r="N1122">
        <f t="shared" si="51"/>
        <v>8.3371552197619714E-5</v>
      </c>
      <c r="O1122">
        <f>VLOOKUP(K1122,RatingLookup!$A$2:$C$8,3,FALSE)</f>
        <v>0.3</v>
      </c>
      <c r="P1122">
        <f t="shared" si="52"/>
        <v>2.2922758162078945E-2</v>
      </c>
      <c r="Q1122" t="str">
        <f t="shared" ca="1" si="53"/>
        <v>No</v>
      </c>
    </row>
    <row r="1123" spans="1:17" x14ac:dyDescent="0.45">
      <c r="A1123" t="s">
        <v>69</v>
      </c>
      <c r="B1123" t="s">
        <v>70</v>
      </c>
      <c r="C1123" t="s">
        <v>61</v>
      </c>
      <c r="D1123" t="s">
        <v>20</v>
      </c>
      <c r="E1123" t="s">
        <v>21</v>
      </c>
      <c r="F1123" s="1">
        <v>45078</v>
      </c>
      <c r="G1123">
        <v>5.44</v>
      </c>
      <c r="H1123">
        <v>82.127700000000004</v>
      </c>
      <c r="I1123">
        <v>19.34</v>
      </c>
      <c r="J1123">
        <v>83.82</v>
      </c>
      <c r="K1123" t="s">
        <v>23</v>
      </c>
      <c r="L1123">
        <v>1018.79</v>
      </c>
      <c r="M1123">
        <f>VLOOKUP(K1123,RatingLookup!$A$2:$C$8,2,FALSE)</f>
        <v>1E-3</v>
      </c>
      <c r="N1123">
        <f t="shared" si="51"/>
        <v>8.3371552197619714E-5</v>
      </c>
      <c r="O1123">
        <f>VLOOKUP(K1123,RatingLookup!$A$2:$C$8,3,FALSE)</f>
        <v>0.3</v>
      </c>
      <c r="P1123">
        <f t="shared" si="52"/>
        <v>2.5481431099023896E-2</v>
      </c>
      <c r="Q1123" t="str">
        <f t="shared" ca="1" si="53"/>
        <v>No</v>
      </c>
    </row>
    <row r="1124" spans="1:17" x14ac:dyDescent="0.45">
      <c r="A1124" t="s">
        <v>69</v>
      </c>
      <c r="B1124" t="s">
        <v>70</v>
      </c>
      <c r="C1124" t="s">
        <v>61</v>
      </c>
      <c r="D1124" t="s">
        <v>20</v>
      </c>
      <c r="E1124" t="s">
        <v>21</v>
      </c>
      <c r="F1124" s="1">
        <v>45108</v>
      </c>
      <c r="G1124">
        <v>5.92</v>
      </c>
      <c r="H1124">
        <v>83.840400000000002</v>
      </c>
      <c r="I1124">
        <v>17.68</v>
      </c>
      <c r="J1124">
        <v>84.05</v>
      </c>
      <c r="K1124" t="s">
        <v>23</v>
      </c>
      <c r="L1124">
        <v>930.11</v>
      </c>
      <c r="M1124">
        <f>VLOOKUP(K1124,RatingLookup!$A$2:$C$8,2,FALSE)</f>
        <v>1E-3</v>
      </c>
      <c r="N1124">
        <f t="shared" si="51"/>
        <v>8.3371552197619714E-5</v>
      </c>
      <c r="O1124">
        <f>VLOOKUP(K1124,RatingLookup!$A$2:$C$8,3,FALSE)</f>
        <v>0.3</v>
      </c>
      <c r="P1124">
        <f t="shared" si="52"/>
        <v>2.3263414324358422E-2</v>
      </c>
      <c r="Q1124" t="str">
        <f t="shared" ca="1" si="53"/>
        <v>No</v>
      </c>
    </row>
    <row r="1125" spans="1:17" x14ac:dyDescent="0.45">
      <c r="A1125" t="s">
        <v>69</v>
      </c>
      <c r="B1125" t="s">
        <v>70</v>
      </c>
      <c r="C1125" t="s">
        <v>61</v>
      </c>
      <c r="D1125" t="s">
        <v>20</v>
      </c>
      <c r="E1125" t="s">
        <v>21</v>
      </c>
      <c r="F1125" s="1">
        <v>45139</v>
      </c>
      <c r="G1125">
        <v>5.18</v>
      </c>
      <c r="H1125">
        <v>81.255300000000005</v>
      </c>
      <c r="I1125">
        <v>8.27</v>
      </c>
      <c r="J1125">
        <v>68.59</v>
      </c>
      <c r="K1125" t="s">
        <v>22</v>
      </c>
      <c r="L1125">
        <v>909.53</v>
      </c>
      <c r="M1125">
        <f>VLOOKUP(K1125,RatingLookup!$A$2:$C$8,2,FALSE)</f>
        <v>5.0000000000000001E-3</v>
      </c>
      <c r="N1125">
        <f t="shared" si="51"/>
        <v>4.1762458919303302E-4</v>
      </c>
      <c r="O1125">
        <f>VLOOKUP(K1125,RatingLookup!$A$2:$C$8,3,FALSE)</f>
        <v>0.45</v>
      </c>
      <c r="P1125">
        <f t="shared" si="52"/>
        <v>0.17092894167393269</v>
      </c>
      <c r="Q1125" t="str">
        <f t="shared" ca="1" si="53"/>
        <v>No</v>
      </c>
    </row>
    <row r="1126" spans="1:17" x14ac:dyDescent="0.45">
      <c r="A1126" t="s">
        <v>69</v>
      </c>
      <c r="B1126" t="s">
        <v>70</v>
      </c>
      <c r="C1126" t="s">
        <v>61</v>
      </c>
      <c r="D1126" t="s">
        <v>20</v>
      </c>
      <c r="E1126" t="s">
        <v>21</v>
      </c>
      <c r="F1126" s="1">
        <v>45170</v>
      </c>
      <c r="G1126">
        <v>5.99</v>
      </c>
      <c r="H1126">
        <v>79.811899999999994</v>
      </c>
      <c r="I1126">
        <v>22.95</v>
      </c>
      <c r="J1126">
        <v>75.69</v>
      </c>
      <c r="K1126" t="s">
        <v>22</v>
      </c>
      <c r="L1126">
        <v>869.57</v>
      </c>
      <c r="M1126">
        <f>VLOOKUP(K1126,RatingLookup!$A$2:$C$8,2,FALSE)</f>
        <v>5.0000000000000001E-3</v>
      </c>
      <c r="N1126">
        <f t="shared" si="51"/>
        <v>4.1762458919303302E-4</v>
      </c>
      <c r="O1126">
        <f>VLOOKUP(K1126,RatingLookup!$A$2:$C$8,3,FALSE)</f>
        <v>0.45</v>
      </c>
      <c r="P1126">
        <f t="shared" si="52"/>
        <v>0.1634192163110636</v>
      </c>
      <c r="Q1126" t="str">
        <f t="shared" ca="1" si="53"/>
        <v>No</v>
      </c>
    </row>
    <row r="1127" spans="1:17" x14ac:dyDescent="0.45">
      <c r="A1127" t="s">
        <v>69</v>
      </c>
      <c r="B1127" t="s">
        <v>70</v>
      </c>
      <c r="C1127" t="s">
        <v>61</v>
      </c>
      <c r="D1127" t="s">
        <v>20</v>
      </c>
      <c r="E1127" t="s">
        <v>21</v>
      </c>
      <c r="F1127" s="1">
        <v>45200</v>
      </c>
      <c r="G1127">
        <v>5.51</v>
      </c>
      <c r="H1127">
        <v>82.709299999999999</v>
      </c>
      <c r="I1127">
        <v>25.65</v>
      </c>
      <c r="J1127">
        <v>81.42</v>
      </c>
      <c r="K1127" t="s">
        <v>22</v>
      </c>
      <c r="L1127">
        <v>999.99</v>
      </c>
      <c r="M1127">
        <f>VLOOKUP(K1127,RatingLookup!$A$2:$C$8,2,FALSE)</f>
        <v>5.0000000000000001E-3</v>
      </c>
      <c r="N1127">
        <f t="shared" si="51"/>
        <v>4.1762458919303302E-4</v>
      </c>
      <c r="O1127">
        <f>VLOOKUP(K1127,RatingLookup!$A$2:$C$8,3,FALSE)</f>
        <v>0.45</v>
      </c>
      <c r="P1127">
        <f t="shared" si="52"/>
        <v>0.18792918582621349</v>
      </c>
      <c r="Q1127" t="str">
        <f t="shared" ca="1" si="53"/>
        <v>No</v>
      </c>
    </row>
    <row r="1128" spans="1:17" x14ac:dyDescent="0.45">
      <c r="A1128" t="s">
        <v>69</v>
      </c>
      <c r="B1128" t="s">
        <v>70</v>
      </c>
      <c r="C1128" t="s">
        <v>61</v>
      </c>
      <c r="D1128" t="s">
        <v>20</v>
      </c>
      <c r="E1128" t="s">
        <v>21</v>
      </c>
      <c r="F1128" s="1">
        <v>45231</v>
      </c>
      <c r="G1128">
        <v>5.94</v>
      </c>
      <c r="H1128">
        <v>86.768199999999993</v>
      </c>
      <c r="I1128">
        <v>21.42</v>
      </c>
      <c r="J1128">
        <v>74.63</v>
      </c>
      <c r="K1128" t="s">
        <v>22</v>
      </c>
      <c r="L1128">
        <v>913.76</v>
      </c>
      <c r="M1128">
        <f>VLOOKUP(K1128,RatingLookup!$A$2:$C$8,2,FALSE)</f>
        <v>5.0000000000000001E-3</v>
      </c>
      <c r="N1128">
        <f t="shared" si="51"/>
        <v>4.1762458919303302E-4</v>
      </c>
      <c r="O1128">
        <f>VLOOKUP(K1128,RatingLookup!$A$2:$C$8,3,FALSE)</f>
        <v>0.45</v>
      </c>
      <c r="P1128">
        <f t="shared" si="52"/>
        <v>0.17172389007946162</v>
      </c>
      <c r="Q1128" t="str">
        <f t="shared" ca="1" si="53"/>
        <v>No</v>
      </c>
    </row>
    <row r="1129" spans="1:17" x14ac:dyDescent="0.45">
      <c r="A1129" t="s">
        <v>69</v>
      </c>
      <c r="B1129" t="s">
        <v>70</v>
      </c>
      <c r="C1129" t="s">
        <v>61</v>
      </c>
      <c r="D1129" t="s">
        <v>20</v>
      </c>
      <c r="E1129" t="s">
        <v>21</v>
      </c>
      <c r="F1129" s="1">
        <v>45261</v>
      </c>
      <c r="G1129">
        <v>5.31</v>
      </c>
      <c r="H1129">
        <v>85.974100000000007</v>
      </c>
      <c r="I1129">
        <v>16.88</v>
      </c>
      <c r="J1129">
        <v>90.18</v>
      </c>
      <c r="K1129" t="s">
        <v>22</v>
      </c>
      <c r="L1129">
        <v>986.46</v>
      </c>
      <c r="M1129">
        <f>VLOOKUP(K1129,RatingLookup!$A$2:$C$8,2,FALSE)</f>
        <v>5.0000000000000001E-3</v>
      </c>
      <c r="N1129">
        <f t="shared" si="51"/>
        <v>4.1762458919303302E-4</v>
      </c>
      <c r="O1129">
        <f>VLOOKUP(K1129,RatingLookup!$A$2:$C$8,3,FALSE)</f>
        <v>0.45</v>
      </c>
      <c r="P1129">
        <f t="shared" si="52"/>
        <v>0.18538647851491172</v>
      </c>
      <c r="Q1129" t="str">
        <f t="shared" ca="1" si="53"/>
        <v>No</v>
      </c>
    </row>
    <row r="1130" spans="1:17" x14ac:dyDescent="0.45">
      <c r="A1130" t="s">
        <v>69</v>
      </c>
      <c r="B1130" t="s">
        <v>70</v>
      </c>
      <c r="C1130" t="s">
        <v>61</v>
      </c>
      <c r="D1130" t="s">
        <v>20</v>
      </c>
      <c r="E1130" t="s">
        <v>21</v>
      </c>
      <c r="F1130" s="1">
        <v>45292</v>
      </c>
      <c r="G1130">
        <v>6.53</v>
      </c>
      <c r="H1130">
        <v>83.460700000000003</v>
      </c>
      <c r="I1130">
        <v>18.66</v>
      </c>
      <c r="J1130">
        <v>90.78</v>
      </c>
      <c r="K1130" t="s">
        <v>22</v>
      </c>
      <c r="L1130">
        <v>912.45</v>
      </c>
      <c r="M1130">
        <f>VLOOKUP(K1130,RatingLookup!$A$2:$C$8,2,FALSE)</f>
        <v>5.0000000000000001E-3</v>
      </c>
      <c r="N1130">
        <f t="shared" si="51"/>
        <v>4.1762458919303302E-4</v>
      </c>
      <c r="O1130">
        <f>VLOOKUP(K1130,RatingLookup!$A$2:$C$8,3,FALSE)</f>
        <v>0.45</v>
      </c>
      <c r="P1130">
        <f t="shared" si="52"/>
        <v>0.17147770038413235</v>
      </c>
      <c r="Q1130" t="str">
        <f t="shared" ca="1" si="53"/>
        <v>No</v>
      </c>
    </row>
    <row r="1131" spans="1:17" x14ac:dyDescent="0.45">
      <c r="A1131" t="s">
        <v>69</v>
      </c>
      <c r="B1131" t="s">
        <v>70</v>
      </c>
      <c r="C1131" t="s">
        <v>61</v>
      </c>
      <c r="D1131" t="s">
        <v>20</v>
      </c>
      <c r="E1131" t="s">
        <v>21</v>
      </c>
      <c r="F1131" s="1">
        <v>45323</v>
      </c>
      <c r="G1131">
        <v>5.23</v>
      </c>
      <c r="H1131">
        <v>87.788399999999996</v>
      </c>
      <c r="I1131">
        <v>23.13</v>
      </c>
      <c r="J1131">
        <v>66.19</v>
      </c>
      <c r="K1131" t="s">
        <v>22</v>
      </c>
      <c r="L1131">
        <v>1016.41</v>
      </c>
      <c r="M1131">
        <f>VLOOKUP(K1131,RatingLookup!$A$2:$C$8,2,FALSE)</f>
        <v>5.0000000000000001E-3</v>
      </c>
      <c r="N1131">
        <f t="shared" si="51"/>
        <v>4.1762458919303302E-4</v>
      </c>
      <c r="O1131">
        <f>VLOOKUP(K1131,RatingLookup!$A$2:$C$8,3,FALSE)</f>
        <v>0.45</v>
      </c>
      <c r="P1131">
        <f t="shared" si="52"/>
        <v>0.19101501391576081</v>
      </c>
      <c r="Q1131" t="str">
        <f t="shared" ca="1" si="53"/>
        <v>No</v>
      </c>
    </row>
    <row r="1132" spans="1:17" x14ac:dyDescent="0.45">
      <c r="A1132" t="s">
        <v>69</v>
      </c>
      <c r="B1132" t="s">
        <v>70</v>
      </c>
      <c r="C1132" t="s">
        <v>61</v>
      </c>
      <c r="D1132" t="s">
        <v>20</v>
      </c>
      <c r="E1132" t="s">
        <v>21</v>
      </c>
      <c r="F1132" s="1">
        <v>45352</v>
      </c>
      <c r="G1132">
        <v>5.08</v>
      </c>
      <c r="H1132">
        <v>84.602400000000003</v>
      </c>
      <c r="I1132">
        <v>22.76</v>
      </c>
      <c r="J1132">
        <v>96.65</v>
      </c>
      <c r="K1132" t="s">
        <v>22</v>
      </c>
      <c r="L1132">
        <v>933.37</v>
      </c>
      <c r="M1132">
        <f>VLOOKUP(K1132,RatingLookup!$A$2:$C$8,2,FALSE)</f>
        <v>5.0000000000000001E-3</v>
      </c>
      <c r="N1132">
        <f t="shared" si="51"/>
        <v>4.1762458919303302E-4</v>
      </c>
      <c r="O1132">
        <f>VLOOKUP(K1132,RatingLookup!$A$2:$C$8,3,FALSE)</f>
        <v>0.45</v>
      </c>
      <c r="P1132">
        <f t="shared" si="52"/>
        <v>0.17540921826679556</v>
      </c>
      <c r="Q1132" t="str">
        <f t="shared" ca="1" si="53"/>
        <v>No</v>
      </c>
    </row>
    <row r="1133" spans="1:17" x14ac:dyDescent="0.45">
      <c r="A1133" t="s">
        <v>69</v>
      </c>
      <c r="B1133" t="s">
        <v>70</v>
      </c>
      <c r="C1133" t="s">
        <v>61</v>
      </c>
      <c r="D1133" t="s">
        <v>20</v>
      </c>
      <c r="E1133" t="s">
        <v>21</v>
      </c>
      <c r="F1133" s="1">
        <v>45383</v>
      </c>
      <c r="G1133">
        <v>5.0599999999999996</v>
      </c>
      <c r="H1133">
        <v>84.833299999999994</v>
      </c>
      <c r="I1133">
        <v>24.19</v>
      </c>
      <c r="J1133">
        <v>92.62</v>
      </c>
      <c r="K1133" t="s">
        <v>22</v>
      </c>
      <c r="L1133">
        <v>974.16</v>
      </c>
      <c r="M1133">
        <f>VLOOKUP(K1133,RatingLookup!$A$2:$C$8,2,FALSE)</f>
        <v>5.0000000000000001E-3</v>
      </c>
      <c r="N1133">
        <f t="shared" si="51"/>
        <v>4.1762458919303302E-4</v>
      </c>
      <c r="O1133">
        <f>VLOOKUP(K1133,RatingLookup!$A$2:$C$8,3,FALSE)</f>
        <v>0.45</v>
      </c>
      <c r="P1133">
        <f t="shared" si="52"/>
        <v>0.18307492641372827</v>
      </c>
      <c r="Q1133" t="str">
        <f t="shared" ca="1" si="53"/>
        <v>No</v>
      </c>
    </row>
    <row r="1134" spans="1:17" x14ac:dyDescent="0.45">
      <c r="A1134" t="s">
        <v>69</v>
      </c>
      <c r="B1134" t="s">
        <v>70</v>
      </c>
      <c r="C1134" t="s">
        <v>61</v>
      </c>
      <c r="D1134" t="s">
        <v>20</v>
      </c>
      <c r="E1134" t="s">
        <v>21</v>
      </c>
      <c r="F1134" s="1">
        <v>45413</v>
      </c>
      <c r="G1134">
        <v>4.9800000000000004</v>
      </c>
      <c r="H1134">
        <v>86.592500000000001</v>
      </c>
      <c r="I1134">
        <v>14.08</v>
      </c>
      <c r="J1134">
        <v>74.489999999999995</v>
      </c>
      <c r="K1134" t="s">
        <v>30</v>
      </c>
      <c r="L1134">
        <v>894.03</v>
      </c>
      <c r="M1134">
        <f>VLOOKUP(K1134,RatingLookup!$A$2:$C$8,2,FALSE)</f>
        <v>1.4999999999999999E-2</v>
      </c>
      <c r="N1134">
        <f t="shared" si="51"/>
        <v>1.2586770182638762E-3</v>
      </c>
      <c r="O1134">
        <f>VLOOKUP(K1134,RatingLookup!$A$2:$C$8,3,FALSE)</f>
        <v>0.5</v>
      </c>
      <c r="P1134">
        <f t="shared" si="52"/>
        <v>0.56264750731922664</v>
      </c>
      <c r="Q1134" t="str">
        <f t="shared" ca="1" si="53"/>
        <v>No</v>
      </c>
    </row>
    <row r="1135" spans="1:17" x14ac:dyDescent="0.45">
      <c r="A1135" t="s">
        <v>69</v>
      </c>
      <c r="B1135" t="s">
        <v>70</v>
      </c>
      <c r="C1135" t="s">
        <v>61</v>
      </c>
      <c r="D1135" t="s">
        <v>20</v>
      </c>
      <c r="E1135" t="s">
        <v>21</v>
      </c>
      <c r="F1135" s="1">
        <v>45444</v>
      </c>
      <c r="G1135">
        <v>5.66</v>
      </c>
      <c r="H1135">
        <v>85.014600000000002</v>
      </c>
      <c r="I1135">
        <v>23.02</v>
      </c>
      <c r="J1135">
        <v>81</v>
      </c>
      <c r="K1135" t="s">
        <v>30</v>
      </c>
      <c r="L1135">
        <v>984.78</v>
      </c>
      <c r="M1135">
        <f>VLOOKUP(K1135,RatingLookup!$A$2:$C$8,2,FALSE)</f>
        <v>1.4999999999999999E-2</v>
      </c>
      <c r="N1135">
        <f t="shared" si="51"/>
        <v>1.2586770182638762E-3</v>
      </c>
      <c r="O1135">
        <f>VLOOKUP(K1135,RatingLookup!$A$2:$C$8,3,FALSE)</f>
        <v>0.5</v>
      </c>
      <c r="P1135">
        <f t="shared" si="52"/>
        <v>0.61975997702295005</v>
      </c>
      <c r="Q1135" t="str">
        <f t="shared" ca="1" si="53"/>
        <v>No</v>
      </c>
    </row>
    <row r="1136" spans="1:17" x14ac:dyDescent="0.45">
      <c r="A1136" t="s">
        <v>69</v>
      </c>
      <c r="B1136" t="s">
        <v>70</v>
      </c>
      <c r="C1136" t="s">
        <v>61</v>
      </c>
      <c r="D1136" t="s">
        <v>20</v>
      </c>
      <c r="E1136" t="s">
        <v>21</v>
      </c>
      <c r="F1136" s="1">
        <v>45474</v>
      </c>
      <c r="G1136">
        <v>5.17</v>
      </c>
      <c r="H1136">
        <v>86.921700000000001</v>
      </c>
      <c r="I1136">
        <v>5</v>
      </c>
      <c r="J1136">
        <v>72.989999999999995</v>
      </c>
      <c r="K1136" t="s">
        <v>30</v>
      </c>
      <c r="L1136">
        <v>954.38</v>
      </c>
      <c r="M1136">
        <f>VLOOKUP(K1136,RatingLookup!$A$2:$C$8,2,FALSE)</f>
        <v>1.4999999999999999E-2</v>
      </c>
      <c r="N1136">
        <f t="shared" si="51"/>
        <v>1.2586770182638762E-3</v>
      </c>
      <c r="O1136">
        <f>VLOOKUP(K1136,RatingLookup!$A$2:$C$8,3,FALSE)</f>
        <v>0.5</v>
      </c>
      <c r="P1136">
        <f t="shared" si="52"/>
        <v>0.60062808634533915</v>
      </c>
      <c r="Q1136" t="str">
        <f t="shared" ca="1" si="53"/>
        <v>No</v>
      </c>
    </row>
    <row r="1137" spans="1:17" x14ac:dyDescent="0.45">
      <c r="A1137" t="s">
        <v>69</v>
      </c>
      <c r="B1137" t="s">
        <v>70</v>
      </c>
      <c r="C1137" t="s">
        <v>61</v>
      </c>
      <c r="D1137" t="s">
        <v>20</v>
      </c>
      <c r="E1137" t="s">
        <v>21</v>
      </c>
      <c r="F1137" s="1">
        <v>45505</v>
      </c>
      <c r="G1137">
        <v>5.84</v>
      </c>
      <c r="H1137">
        <v>78.457400000000007</v>
      </c>
      <c r="I1137">
        <v>25.95</v>
      </c>
      <c r="J1137">
        <v>78.680000000000007</v>
      </c>
      <c r="K1137" t="s">
        <v>30</v>
      </c>
      <c r="L1137">
        <v>1047.32</v>
      </c>
      <c r="M1137">
        <f>VLOOKUP(K1137,RatingLookup!$A$2:$C$8,2,FALSE)</f>
        <v>1.4999999999999999E-2</v>
      </c>
      <c r="N1137">
        <f t="shared" si="51"/>
        <v>1.2586770182638762E-3</v>
      </c>
      <c r="O1137">
        <f>VLOOKUP(K1137,RatingLookup!$A$2:$C$8,3,FALSE)</f>
        <v>0.5</v>
      </c>
      <c r="P1137">
        <f t="shared" si="52"/>
        <v>0.65911880738406137</v>
      </c>
      <c r="Q1137" t="str">
        <f t="shared" ca="1" si="53"/>
        <v>No</v>
      </c>
    </row>
    <row r="1138" spans="1:17" x14ac:dyDescent="0.45">
      <c r="A1138" t="s">
        <v>69</v>
      </c>
      <c r="B1138" t="s">
        <v>70</v>
      </c>
      <c r="C1138" t="s">
        <v>61</v>
      </c>
      <c r="D1138" t="s">
        <v>20</v>
      </c>
      <c r="E1138" t="s">
        <v>21</v>
      </c>
      <c r="F1138" s="1">
        <v>45536</v>
      </c>
      <c r="G1138">
        <v>5.41</v>
      </c>
      <c r="H1138">
        <v>84.37</v>
      </c>
      <c r="I1138">
        <v>17.47</v>
      </c>
      <c r="J1138">
        <v>86.33</v>
      </c>
      <c r="K1138" t="s">
        <v>30</v>
      </c>
      <c r="L1138">
        <v>948.3</v>
      </c>
      <c r="M1138">
        <f>VLOOKUP(K1138,RatingLookup!$A$2:$C$8,2,FALSE)</f>
        <v>1.4999999999999999E-2</v>
      </c>
      <c r="N1138">
        <f t="shared" si="51"/>
        <v>1.2586770182638762E-3</v>
      </c>
      <c r="O1138">
        <f>VLOOKUP(K1138,RatingLookup!$A$2:$C$8,3,FALSE)</f>
        <v>0.5</v>
      </c>
      <c r="P1138">
        <f t="shared" si="52"/>
        <v>0.59680170820981693</v>
      </c>
      <c r="Q1138" t="str">
        <f t="shared" ca="1" si="53"/>
        <v>No</v>
      </c>
    </row>
    <row r="1139" spans="1:17" x14ac:dyDescent="0.45">
      <c r="A1139" t="s">
        <v>69</v>
      </c>
      <c r="B1139" t="s">
        <v>70</v>
      </c>
      <c r="C1139" t="s">
        <v>61</v>
      </c>
      <c r="D1139" t="s">
        <v>20</v>
      </c>
      <c r="E1139" t="s">
        <v>21</v>
      </c>
      <c r="F1139" s="1">
        <v>45566</v>
      </c>
      <c r="G1139">
        <v>5.52</v>
      </c>
      <c r="H1139">
        <v>84.233699999999999</v>
      </c>
      <c r="I1139">
        <v>10.3</v>
      </c>
      <c r="J1139">
        <v>94.24</v>
      </c>
      <c r="K1139" t="s">
        <v>30</v>
      </c>
      <c r="L1139">
        <v>1021.2</v>
      </c>
      <c r="M1139">
        <f>VLOOKUP(K1139,RatingLookup!$A$2:$C$8,2,FALSE)</f>
        <v>1.4999999999999999E-2</v>
      </c>
      <c r="N1139">
        <f t="shared" si="51"/>
        <v>1.2586770182638762E-3</v>
      </c>
      <c r="O1139">
        <f>VLOOKUP(K1139,RatingLookup!$A$2:$C$8,3,FALSE)</f>
        <v>0.5</v>
      </c>
      <c r="P1139">
        <f t="shared" si="52"/>
        <v>0.64268048552553525</v>
      </c>
      <c r="Q1139" t="str">
        <f t="shared" ca="1" si="53"/>
        <v>No</v>
      </c>
    </row>
    <row r="1140" spans="1:17" x14ac:dyDescent="0.45">
      <c r="A1140" t="s">
        <v>69</v>
      </c>
      <c r="B1140" t="s">
        <v>70</v>
      </c>
      <c r="C1140" t="s">
        <v>61</v>
      </c>
      <c r="D1140" t="s">
        <v>20</v>
      </c>
      <c r="E1140" t="s">
        <v>21</v>
      </c>
      <c r="F1140" s="1">
        <v>45597</v>
      </c>
      <c r="G1140">
        <v>5.7</v>
      </c>
      <c r="H1140">
        <v>83.275999999999996</v>
      </c>
      <c r="I1140">
        <v>26.91</v>
      </c>
      <c r="J1140">
        <v>75.680000000000007</v>
      </c>
      <c r="K1140" t="s">
        <v>30</v>
      </c>
      <c r="L1140">
        <v>935.11</v>
      </c>
      <c r="M1140">
        <f>VLOOKUP(K1140,RatingLookup!$A$2:$C$8,2,FALSE)</f>
        <v>1.4999999999999999E-2</v>
      </c>
      <c r="N1140">
        <f t="shared" si="51"/>
        <v>1.2586770182638762E-3</v>
      </c>
      <c r="O1140">
        <f>VLOOKUP(K1140,RatingLookup!$A$2:$C$8,3,FALSE)</f>
        <v>0.5</v>
      </c>
      <c r="P1140">
        <f t="shared" si="52"/>
        <v>0.58850073327436669</v>
      </c>
      <c r="Q1140" t="str">
        <f t="shared" ca="1" si="53"/>
        <v>No</v>
      </c>
    </row>
    <row r="1141" spans="1:17" x14ac:dyDescent="0.45">
      <c r="A1141" t="s">
        <v>69</v>
      </c>
      <c r="B1141" t="s">
        <v>70</v>
      </c>
      <c r="C1141" t="s">
        <v>61</v>
      </c>
      <c r="D1141" t="s">
        <v>20</v>
      </c>
      <c r="E1141" t="s">
        <v>21</v>
      </c>
      <c r="F1141" s="1">
        <v>45627</v>
      </c>
      <c r="G1141">
        <v>5.62</v>
      </c>
      <c r="H1141">
        <v>82.802599999999998</v>
      </c>
      <c r="I1141">
        <v>14.08</v>
      </c>
      <c r="J1141">
        <v>106.19</v>
      </c>
      <c r="K1141" t="s">
        <v>30</v>
      </c>
      <c r="L1141">
        <v>919.51</v>
      </c>
      <c r="M1141">
        <f>VLOOKUP(K1141,RatingLookup!$A$2:$C$8,2,FALSE)</f>
        <v>1.4999999999999999E-2</v>
      </c>
      <c r="N1141">
        <f t="shared" si="51"/>
        <v>1.2586770182638762E-3</v>
      </c>
      <c r="O1141">
        <f>VLOOKUP(K1141,RatingLookup!$A$2:$C$8,3,FALSE)</f>
        <v>0.5</v>
      </c>
      <c r="P1141">
        <f t="shared" si="52"/>
        <v>0.57868305253190844</v>
      </c>
      <c r="Q1141" t="str">
        <f t="shared" ca="1" si="53"/>
        <v>No</v>
      </c>
    </row>
    <row r="1142" spans="1:17" x14ac:dyDescent="0.45">
      <c r="A1142" t="s">
        <v>71</v>
      </c>
      <c r="B1142" t="s">
        <v>72</v>
      </c>
      <c r="C1142" t="s">
        <v>66</v>
      </c>
      <c r="D1142" t="s">
        <v>20</v>
      </c>
      <c r="E1142" t="s">
        <v>21</v>
      </c>
      <c r="F1142" s="1">
        <v>43831</v>
      </c>
      <c r="G1142">
        <v>6.19</v>
      </c>
      <c r="H1142">
        <v>80.582099999999997</v>
      </c>
      <c r="I1142">
        <v>6.75</v>
      </c>
      <c r="J1142">
        <v>69.099999999999994</v>
      </c>
      <c r="K1142" t="s">
        <v>31</v>
      </c>
      <c r="L1142">
        <v>222.11</v>
      </c>
      <c r="M1142">
        <f>VLOOKUP(K1142,RatingLookup!$A$2:$C$8,2,FALSE)</f>
        <v>0.04</v>
      </c>
      <c r="N1142">
        <f t="shared" si="51"/>
        <v>3.3960531989175591E-3</v>
      </c>
      <c r="O1142">
        <f>VLOOKUP(K1142,RatingLookup!$A$2:$C$8,3,FALSE)</f>
        <v>0.6</v>
      </c>
      <c r="P1142">
        <f t="shared" si="52"/>
        <v>0.45257842560694744</v>
      </c>
      <c r="Q1142" t="str">
        <f t="shared" ca="1" si="53"/>
        <v>No</v>
      </c>
    </row>
    <row r="1143" spans="1:17" x14ac:dyDescent="0.45">
      <c r="A1143" t="s">
        <v>71</v>
      </c>
      <c r="B1143" t="s">
        <v>72</v>
      </c>
      <c r="C1143" t="s">
        <v>66</v>
      </c>
      <c r="D1143" t="s">
        <v>20</v>
      </c>
      <c r="E1143" t="s">
        <v>21</v>
      </c>
      <c r="F1143" s="1">
        <v>43862</v>
      </c>
      <c r="G1143">
        <v>5.88</v>
      </c>
      <c r="H1143">
        <v>83.343000000000004</v>
      </c>
      <c r="I1143">
        <v>20.420000000000002</v>
      </c>
      <c r="J1143">
        <v>81.400000000000006</v>
      </c>
      <c r="K1143" t="s">
        <v>31</v>
      </c>
      <c r="L1143">
        <v>229.45</v>
      </c>
      <c r="M1143">
        <f>VLOOKUP(K1143,RatingLookup!$A$2:$C$8,2,FALSE)</f>
        <v>0.04</v>
      </c>
      <c r="N1143">
        <f t="shared" si="51"/>
        <v>3.3960531989175591E-3</v>
      </c>
      <c r="O1143">
        <f>VLOOKUP(K1143,RatingLookup!$A$2:$C$8,3,FALSE)</f>
        <v>0.6</v>
      </c>
      <c r="P1143">
        <f t="shared" si="52"/>
        <v>0.46753464389498034</v>
      </c>
      <c r="Q1143" t="str">
        <f t="shared" ca="1" si="53"/>
        <v>No</v>
      </c>
    </row>
    <row r="1144" spans="1:17" x14ac:dyDescent="0.45">
      <c r="A1144" t="s">
        <v>71</v>
      </c>
      <c r="B1144" t="s">
        <v>72</v>
      </c>
      <c r="C1144" t="s">
        <v>66</v>
      </c>
      <c r="D1144" t="s">
        <v>20</v>
      </c>
      <c r="E1144" t="s">
        <v>21</v>
      </c>
      <c r="F1144" s="1">
        <v>43891</v>
      </c>
      <c r="G1144">
        <v>5.97</v>
      </c>
      <c r="H1144">
        <v>77.331599999999995</v>
      </c>
      <c r="I1144">
        <v>21.96</v>
      </c>
      <c r="J1144">
        <v>79.97</v>
      </c>
      <c r="K1144" t="s">
        <v>31</v>
      </c>
      <c r="L1144">
        <v>189.4</v>
      </c>
      <c r="M1144">
        <f>VLOOKUP(K1144,RatingLookup!$A$2:$C$8,2,FALSE)</f>
        <v>0.04</v>
      </c>
      <c r="N1144">
        <f t="shared" si="51"/>
        <v>3.3960531989175591E-3</v>
      </c>
      <c r="O1144">
        <f>VLOOKUP(K1144,RatingLookup!$A$2:$C$8,3,FALSE)</f>
        <v>0.6</v>
      </c>
      <c r="P1144">
        <f t="shared" si="52"/>
        <v>0.38592748552499145</v>
      </c>
      <c r="Q1144" t="str">
        <f t="shared" ca="1" si="53"/>
        <v>No</v>
      </c>
    </row>
    <row r="1145" spans="1:17" x14ac:dyDescent="0.45">
      <c r="A1145" t="s">
        <v>71</v>
      </c>
      <c r="B1145" t="s">
        <v>72</v>
      </c>
      <c r="C1145" t="s">
        <v>66</v>
      </c>
      <c r="D1145" t="s">
        <v>20</v>
      </c>
      <c r="E1145" t="s">
        <v>21</v>
      </c>
      <c r="F1145" s="1">
        <v>43922</v>
      </c>
      <c r="G1145">
        <v>5.12</v>
      </c>
      <c r="H1145">
        <v>82.591499999999996</v>
      </c>
      <c r="I1145">
        <v>12.03</v>
      </c>
      <c r="J1145">
        <v>68.209999999999994</v>
      </c>
      <c r="K1145" t="s">
        <v>31</v>
      </c>
      <c r="L1145">
        <v>234.49</v>
      </c>
      <c r="M1145">
        <f>VLOOKUP(K1145,RatingLookup!$A$2:$C$8,2,FALSE)</f>
        <v>0.04</v>
      </c>
      <c r="N1145">
        <f t="shared" si="51"/>
        <v>3.3960531989175591E-3</v>
      </c>
      <c r="O1145">
        <f>VLOOKUP(K1145,RatingLookup!$A$2:$C$8,3,FALSE)</f>
        <v>0.6</v>
      </c>
      <c r="P1145">
        <f t="shared" si="52"/>
        <v>0.47780430876850705</v>
      </c>
      <c r="Q1145" t="str">
        <f t="shared" ca="1" si="53"/>
        <v>No</v>
      </c>
    </row>
    <row r="1146" spans="1:17" x14ac:dyDescent="0.45">
      <c r="A1146" t="s">
        <v>71</v>
      </c>
      <c r="B1146" t="s">
        <v>72</v>
      </c>
      <c r="C1146" t="s">
        <v>66</v>
      </c>
      <c r="D1146" t="s">
        <v>20</v>
      </c>
      <c r="E1146" t="s">
        <v>21</v>
      </c>
      <c r="F1146" s="1">
        <v>43952</v>
      </c>
      <c r="G1146">
        <v>5.43</v>
      </c>
      <c r="H1146">
        <v>78.292199999999994</v>
      </c>
      <c r="I1146">
        <v>10.97</v>
      </c>
      <c r="J1146">
        <v>87.18</v>
      </c>
      <c r="K1146" t="s">
        <v>31</v>
      </c>
      <c r="L1146">
        <v>214.81</v>
      </c>
      <c r="M1146">
        <f>VLOOKUP(K1146,RatingLookup!$A$2:$C$8,2,FALSE)</f>
        <v>0.04</v>
      </c>
      <c r="N1146">
        <f t="shared" si="51"/>
        <v>3.3960531989175591E-3</v>
      </c>
      <c r="O1146">
        <f>VLOOKUP(K1146,RatingLookup!$A$2:$C$8,3,FALSE)</f>
        <v>0.6</v>
      </c>
      <c r="P1146">
        <f t="shared" si="52"/>
        <v>0.43770371259568847</v>
      </c>
      <c r="Q1146" t="str">
        <f t="shared" ca="1" si="53"/>
        <v>No</v>
      </c>
    </row>
    <row r="1147" spans="1:17" x14ac:dyDescent="0.45">
      <c r="A1147" t="s">
        <v>71</v>
      </c>
      <c r="B1147" t="s">
        <v>72</v>
      </c>
      <c r="C1147" t="s">
        <v>66</v>
      </c>
      <c r="D1147" t="s">
        <v>20</v>
      </c>
      <c r="E1147" t="s">
        <v>21</v>
      </c>
      <c r="F1147" s="1">
        <v>43983</v>
      </c>
      <c r="G1147">
        <v>5.04</v>
      </c>
      <c r="H1147">
        <v>83.236199999999997</v>
      </c>
      <c r="I1147">
        <v>13.48</v>
      </c>
      <c r="J1147">
        <v>59.75</v>
      </c>
      <c r="K1147" t="s">
        <v>31</v>
      </c>
      <c r="L1147">
        <v>208.98</v>
      </c>
      <c r="M1147">
        <f>VLOOKUP(K1147,RatingLookup!$A$2:$C$8,2,FALSE)</f>
        <v>0.04</v>
      </c>
      <c r="N1147">
        <f t="shared" si="51"/>
        <v>3.3960531989175591E-3</v>
      </c>
      <c r="O1147">
        <f>VLOOKUP(K1147,RatingLookup!$A$2:$C$8,3,FALSE)</f>
        <v>0.6</v>
      </c>
      <c r="P1147">
        <f t="shared" si="52"/>
        <v>0.42582431850587488</v>
      </c>
      <c r="Q1147" t="str">
        <f t="shared" ca="1" si="53"/>
        <v>No</v>
      </c>
    </row>
    <row r="1148" spans="1:17" x14ac:dyDescent="0.45">
      <c r="A1148" t="s">
        <v>71</v>
      </c>
      <c r="B1148" t="s">
        <v>72</v>
      </c>
      <c r="C1148" t="s">
        <v>66</v>
      </c>
      <c r="D1148" t="s">
        <v>20</v>
      </c>
      <c r="E1148" t="s">
        <v>21</v>
      </c>
      <c r="F1148" s="1">
        <v>44013</v>
      </c>
      <c r="G1148">
        <v>5.75</v>
      </c>
      <c r="H1148">
        <v>81.692800000000005</v>
      </c>
      <c r="I1148">
        <v>15.02</v>
      </c>
      <c r="J1148">
        <v>74.08</v>
      </c>
      <c r="K1148" t="s">
        <v>31</v>
      </c>
      <c r="L1148">
        <v>221.89</v>
      </c>
      <c r="M1148">
        <f>VLOOKUP(K1148,RatingLookup!$A$2:$C$8,2,FALSE)</f>
        <v>0.04</v>
      </c>
      <c r="N1148">
        <f t="shared" si="51"/>
        <v>3.3960531989175591E-3</v>
      </c>
      <c r="O1148">
        <f>VLOOKUP(K1148,RatingLookup!$A$2:$C$8,3,FALSE)</f>
        <v>0.6</v>
      </c>
      <c r="P1148">
        <f t="shared" si="52"/>
        <v>0.45213014658469025</v>
      </c>
      <c r="Q1148" t="str">
        <f t="shared" ca="1" si="53"/>
        <v>No</v>
      </c>
    </row>
    <row r="1149" spans="1:17" x14ac:dyDescent="0.45">
      <c r="A1149" t="s">
        <v>71</v>
      </c>
      <c r="B1149" t="s">
        <v>72</v>
      </c>
      <c r="C1149" t="s">
        <v>66</v>
      </c>
      <c r="D1149" t="s">
        <v>20</v>
      </c>
      <c r="E1149" t="s">
        <v>21</v>
      </c>
      <c r="F1149" s="1">
        <v>44044</v>
      </c>
      <c r="G1149">
        <v>6.11</v>
      </c>
      <c r="H1149">
        <v>82.370999999999995</v>
      </c>
      <c r="I1149">
        <v>16.059999999999999</v>
      </c>
      <c r="J1149">
        <v>90.46</v>
      </c>
      <c r="K1149" t="s">
        <v>31</v>
      </c>
      <c r="L1149">
        <v>192.81</v>
      </c>
      <c r="M1149">
        <f>VLOOKUP(K1149,RatingLookup!$A$2:$C$8,2,FALSE)</f>
        <v>0.04</v>
      </c>
      <c r="N1149">
        <f t="shared" si="51"/>
        <v>3.3960531989175591E-3</v>
      </c>
      <c r="O1149">
        <f>VLOOKUP(K1149,RatingLookup!$A$2:$C$8,3,FALSE)</f>
        <v>0.6</v>
      </c>
      <c r="P1149">
        <f t="shared" si="52"/>
        <v>0.39287581036997671</v>
      </c>
      <c r="Q1149" t="str">
        <f t="shared" ca="1" si="53"/>
        <v>No</v>
      </c>
    </row>
    <row r="1150" spans="1:17" x14ac:dyDescent="0.45">
      <c r="A1150" t="s">
        <v>71</v>
      </c>
      <c r="B1150" t="s">
        <v>72</v>
      </c>
      <c r="C1150" t="s">
        <v>66</v>
      </c>
      <c r="D1150" t="s">
        <v>20</v>
      </c>
      <c r="E1150" t="s">
        <v>21</v>
      </c>
      <c r="F1150" s="1">
        <v>44075</v>
      </c>
      <c r="G1150">
        <v>5.4</v>
      </c>
      <c r="H1150">
        <v>82.237799999999993</v>
      </c>
      <c r="I1150">
        <v>21.69</v>
      </c>
      <c r="J1150">
        <v>59.43</v>
      </c>
      <c r="K1150" t="s">
        <v>31</v>
      </c>
      <c r="L1150">
        <v>206.75</v>
      </c>
      <c r="M1150">
        <f>VLOOKUP(K1150,RatingLookup!$A$2:$C$8,2,FALSE)</f>
        <v>0.04</v>
      </c>
      <c r="N1150">
        <f t="shared" si="51"/>
        <v>3.3960531989175591E-3</v>
      </c>
      <c r="O1150">
        <f>VLOOKUP(K1150,RatingLookup!$A$2:$C$8,3,FALSE)</f>
        <v>0.6</v>
      </c>
      <c r="P1150">
        <f t="shared" si="52"/>
        <v>0.4212803993257232</v>
      </c>
      <c r="Q1150" t="str">
        <f t="shared" ca="1" si="53"/>
        <v>No</v>
      </c>
    </row>
    <row r="1151" spans="1:17" x14ac:dyDescent="0.45">
      <c r="A1151" t="s">
        <v>71</v>
      </c>
      <c r="B1151" t="s">
        <v>72</v>
      </c>
      <c r="C1151" t="s">
        <v>66</v>
      </c>
      <c r="D1151" t="s">
        <v>20</v>
      </c>
      <c r="E1151" t="s">
        <v>21</v>
      </c>
      <c r="F1151" s="1">
        <v>44105</v>
      </c>
      <c r="G1151">
        <v>4.99</v>
      </c>
      <c r="H1151">
        <v>80.5428</v>
      </c>
      <c r="I1151">
        <v>12.11</v>
      </c>
      <c r="J1151">
        <v>80.819999999999993</v>
      </c>
      <c r="K1151" t="s">
        <v>31</v>
      </c>
      <c r="L1151">
        <v>217.61</v>
      </c>
      <c r="M1151">
        <f>VLOOKUP(K1151,RatingLookup!$A$2:$C$8,2,FALSE)</f>
        <v>0.04</v>
      </c>
      <c r="N1151">
        <f t="shared" si="51"/>
        <v>3.3960531989175591E-3</v>
      </c>
      <c r="O1151">
        <f>VLOOKUP(K1151,RatingLookup!$A$2:$C$8,3,FALSE)</f>
        <v>0.6</v>
      </c>
      <c r="P1151">
        <f t="shared" si="52"/>
        <v>0.44340908196987006</v>
      </c>
      <c r="Q1151" t="str">
        <f t="shared" ca="1" si="53"/>
        <v>No</v>
      </c>
    </row>
    <row r="1152" spans="1:17" x14ac:dyDescent="0.45">
      <c r="A1152" t="s">
        <v>71</v>
      </c>
      <c r="B1152" t="s">
        <v>72</v>
      </c>
      <c r="C1152" t="s">
        <v>66</v>
      </c>
      <c r="D1152" t="s">
        <v>20</v>
      </c>
      <c r="E1152" t="s">
        <v>21</v>
      </c>
      <c r="F1152" s="1">
        <v>44136</v>
      </c>
      <c r="G1152">
        <v>6.05</v>
      </c>
      <c r="H1152">
        <v>78.500900000000001</v>
      </c>
      <c r="I1152">
        <v>12.07</v>
      </c>
      <c r="J1152">
        <v>75.180000000000007</v>
      </c>
      <c r="K1152" t="s">
        <v>32</v>
      </c>
      <c r="L1152">
        <v>211.32</v>
      </c>
      <c r="M1152">
        <f>VLOOKUP(K1152,RatingLookup!$A$2:$C$8,2,FALSE)</f>
        <v>0.12</v>
      </c>
      <c r="N1152">
        <f t="shared" si="51"/>
        <v>1.0596241035318976E-2</v>
      </c>
      <c r="O1152">
        <f>VLOOKUP(K1152,RatingLookup!$A$2:$C$8,3,FALSE)</f>
        <v>0.7</v>
      </c>
      <c r="P1152">
        <f t="shared" si="52"/>
        <v>1.5674383589085241</v>
      </c>
      <c r="Q1152" t="str">
        <f t="shared" ca="1" si="53"/>
        <v>No</v>
      </c>
    </row>
    <row r="1153" spans="1:17" x14ac:dyDescent="0.45">
      <c r="A1153" t="s">
        <v>71</v>
      </c>
      <c r="B1153" t="s">
        <v>72</v>
      </c>
      <c r="C1153" t="s">
        <v>66</v>
      </c>
      <c r="D1153" t="s">
        <v>20</v>
      </c>
      <c r="E1153" t="s">
        <v>21</v>
      </c>
      <c r="F1153" s="1">
        <v>44166</v>
      </c>
      <c r="G1153">
        <v>5.46</v>
      </c>
      <c r="H1153">
        <v>81.416200000000003</v>
      </c>
      <c r="I1153">
        <v>29.47</v>
      </c>
      <c r="J1153">
        <v>64.8</v>
      </c>
      <c r="K1153" t="s">
        <v>32</v>
      </c>
      <c r="L1153">
        <v>214.32</v>
      </c>
      <c r="M1153">
        <f>VLOOKUP(K1153,RatingLookup!$A$2:$C$8,2,FALSE)</f>
        <v>0.12</v>
      </c>
      <c r="N1153">
        <f t="shared" si="51"/>
        <v>1.0596241035318976E-2</v>
      </c>
      <c r="O1153">
        <f>VLOOKUP(K1153,RatingLookup!$A$2:$C$8,3,FALSE)</f>
        <v>0.7</v>
      </c>
      <c r="P1153">
        <f t="shared" si="52"/>
        <v>1.589690465082694</v>
      </c>
      <c r="Q1153" t="str">
        <f t="shared" ca="1" si="53"/>
        <v>No</v>
      </c>
    </row>
    <row r="1154" spans="1:17" x14ac:dyDescent="0.45">
      <c r="A1154" t="s">
        <v>71</v>
      </c>
      <c r="B1154" t="s">
        <v>72</v>
      </c>
      <c r="C1154" t="s">
        <v>66</v>
      </c>
      <c r="D1154" t="s">
        <v>20</v>
      </c>
      <c r="E1154" t="s">
        <v>21</v>
      </c>
      <c r="F1154" s="1">
        <v>44197</v>
      </c>
      <c r="G1154">
        <v>6.54</v>
      </c>
      <c r="H1154">
        <v>82.943600000000004</v>
      </c>
      <c r="I1154">
        <v>19.86</v>
      </c>
      <c r="J1154">
        <v>66.81</v>
      </c>
      <c r="K1154" t="s">
        <v>32</v>
      </c>
      <c r="L1154">
        <v>209.53</v>
      </c>
      <c r="M1154">
        <f>VLOOKUP(K1154,RatingLookup!$A$2:$C$8,2,FALSE)</f>
        <v>0.12</v>
      </c>
      <c r="N1154">
        <f t="shared" ref="N1154:N1217" si="54">1-(1-M1154)^(1/12)</f>
        <v>1.0596241035318976E-2</v>
      </c>
      <c r="O1154">
        <f>VLOOKUP(K1154,RatingLookup!$A$2:$C$8,3,FALSE)</f>
        <v>0.7</v>
      </c>
      <c r="P1154">
        <f t="shared" ref="P1154:P1217" si="55">L1154*N1154*O1154</f>
        <v>1.5541612688912696</v>
      </c>
      <c r="Q1154" t="str">
        <f t="shared" ref="Q1154:Q1217" ca="1" si="56">IF(RAND()&lt;N1154,"Yes","No")</f>
        <v>No</v>
      </c>
    </row>
    <row r="1155" spans="1:17" x14ac:dyDescent="0.45">
      <c r="A1155" t="s">
        <v>71</v>
      </c>
      <c r="B1155" t="s">
        <v>72</v>
      </c>
      <c r="C1155" t="s">
        <v>66</v>
      </c>
      <c r="D1155" t="s">
        <v>20</v>
      </c>
      <c r="E1155" t="s">
        <v>21</v>
      </c>
      <c r="F1155" s="1">
        <v>44228</v>
      </c>
      <c r="G1155">
        <v>6.59</v>
      </c>
      <c r="H1155">
        <v>83.361500000000007</v>
      </c>
      <c r="I1155">
        <v>19.87</v>
      </c>
      <c r="J1155">
        <v>67.91</v>
      </c>
      <c r="K1155" t="s">
        <v>32</v>
      </c>
      <c r="L1155">
        <v>210.22</v>
      </c>
      <c r="M1155">
        <f>VLOOKUP(K1155,RatingLookup!$A$2:$C$8,2,FALSE)</f>
        <v>0.12</v>
      </c>
      <c r="N1155">
        <f t="shared" si="54"/>
        <v>1.0596241035318976E-2</v>
      </c>
      <c r="O1155">
        <f>VLOOKUP(K1155,RatingLookup!$A$2:$C$8,3,FALSE)</f>
        <v>0.7</v>
      </c>
      <c r="P1155">
        <f t="shared" si="55"/>
        <v>1.5592792533113284</v>
      </c>
      <c r="Q1155" t="str">
        <f t="shared" ca="1" si="56"/>
        <v>No</v>
      </c>
    </row>
    <row r="1156" spans="1:17" x14ac:dyDescent="0.45">
      <c r="A1156" t="s">
        <v>71</v>
      </c>
      <c r="B1156" t="s">
        <v>72</v>
      </c>
      <c r="C1156" t="s">
        <v>66</v>
      </c>
      <c r="D1156" t="s">
        <v>20</v>
      </c>
      <c r="E1156" t="s">
        <v>21</v>
      </c>
      <c r="F1156" s="1">
        <v>44256</v>
      </c>
      <c r="G1156">
        <v>4.5599999999999996</v>
      </c>
      <c r="H1156">
        <v>83.555499999999995</v>
      </c>
      <c r="I1156">
        <v>26.1</v>
      </c>
      <c r="J1156">
        <v>67.36</v>
      </c>
      <c r="K1156" t="s">
        <v>32</v>
      </c>
      <c r="L1156">
        <v>209.4</v>
      </c>
      <c r="M1156">
        <f>VLOOKUP(K1156,RatingLookup!$A$2:$C$8,2,FALSE)</f>
        <v>0.12</v>
      </c>
      <c r="N1156">
        <f t="shared" si="54"/>
        <v>1.0596241035318976E-2</v>
      </c>
      <c r="O1156">
        <f>VLOOKUP(K1156,RatingLookup!$A$2:$C$8,3,FALSE)</f>
        <v>0.7</v>
      </c>
      <c r="P1156">
        <f t="shared" si="55"/>
        <v>1.5531970109570554</v>
      </c>
      <c r="Q1156" t="str">
        <f t="shared" ca="1" si="56"/>
        <v>No</v>
      </c>
    </row>
    <row r="1157" spans="1:17" x14ac:dyDescent="0.45">
      <c r="A1157" t="s">
        <v>71</v>
      </c>
      <c r="B1157" t="s">
        <v>72</v>
      </c>
      <c r="C1157" t="s">
        <v>66</v>
      </c>
      <c r="D1157" t="s">
        <v>20</v>
      </c>
      <c r="E1157" t="s">
        <v>21</v>
      </c>
      <c r="F1157" s="1">
        <v>44287</v>
      </c>
      <c r="G1157">
        <v>6.37</v>
      </c>
      <c r="H1157">
        <v>78.959900000000005</v>
      </c>
      <c r="I1157">
        <v>24.72</v>
      </c>
      <c r="J1157">
        <v>74.62</v>
      </c>
      <c r="K1157" t="s">
        <v>32</v>
      </c>
      <c r="L1157">
        <v>192.3</v>
      </c>
      <c r="M1157">
        <f>VLOOKUP(K1157,RatingLookup!$A$2:$C$8,2,FALSE)</f>
        <v>0.12</v>
      </c>
      <c r="N1157">
        <f t="shared" si="54"/>
        <v>1.0596241035318976E-2</v>
      </c>
      <c r="O1157">
        <f>VLOOKUP(K1157,RatingLookup!$A$2:$C$8,3,FALSE)</f>
        <v>0.7</v>
      </c>
      <c r="P1157">
        <f t="shared" si="55"/>
        <v>1.4263600057642873</v>
      </c>
      <c r="Q1157" t="str">
        <f t="shared" ca="1" si="56"/>
        <v>No</v>
      </c>
    </row>
    <row r="1158" spans="1:17" x14ac:dyDescent="0.45">
      <c r="A1158" t="s">
        <v>71</v>
      </c>
      <c r="B1158" t="s">
        <v>72</v>
      </c>
      <c r="C1158" t="s">
        <v>66</v>
      </c>
      <c r="D1158" t="s">
        <v>20</v>
      </c>
      <c r="E1158" t="s">
        <v>21</v>
      </c>
      <c r="F1158" s="1">
        <v>44317</v>
      </c>
      <c r="G1158">
        <v>4.5599999999999996</v>
      </c>
      <c r="H1158">
        <v>80.915999999999997</v>
      </c>
      <c r="I1158">
        <v>11.88</v>
      </c>
      <c r="J1158">
        <v>67.44</v>
      </c>
      <c r="K1158" t="s">
        <v>32</v>
      </c>
      <c r="L1158">
        <v>241.13</v>
      </c>
      <c r="M1158">
        <f>VLOOKUP(K1158,RatingLookup!$A$2:$C$8,2,FALSE)</f>
        <v>0.12</v>
      </c>
      <c r="N1158">
        <f t="shared" si="54"/>
        <v>1.0596241035318976E-2</v>
      </c>
      <c r="O1158">
        <f>VLOOKUP(K1158,RatingLookup!$A$2:$C$8,3,FALSE)</f>
        <v>0.7</v>
      </c>
      <c r="P1158">
        <f t="shared" si="55"/>
        <v>1.7885501205925254</v>
      </c>
      <c r="Q1158" t="str">
        <f t="shared" ca="1" si="56"/>
        <v>No</v>
      </c>
    </row>
    <row r="1159" spans="1:17" x14ac:dyDescent="0.45">
      <c r="A1159" t="s">
        <v>71</v>
      </c>
      <c r="B1159" t="s">
        <v>72</v>
      </c>
      <c r="C1159" t="s">
        <v>66</v>
      </c>
      <c r="D1159" t="s">
        <v>20</v>
      </c>
      <c r="E1159" t="s">
        <v>21</v>
      </c>
      <c r="F1159" s="1">
        <v>44348</v>
      </c>
      <c r="G1159">
        <v>5.92</v>
      </c>
      <c r="H1159">
        <v>82.116299999999995</v>
      </c>
      <c r="I1159">
        <v>9.48</v>
      </c>
      <c r="J1159">
        <v>82.04</v>
      </c>
      <c r="K1159" t="s">
        <v>32</v>
      </c>
      <c r="L1159">
        <v>193.74</v>
      </c>
      <c r="M1159">
        <f>VLOOKUP(K1159,RatingLookup!$A$2:$C$8,2,FALSE)</f>
        <v>0.12</v>
      </c>
      <c r="N1159">
        <f t="shared" si="54"/>
        <v>1.0596241035318976E-2</v>
      </c>
      <c r="O1159">
        <f>VLOOKUP(K1159,RatingLookup!$A$2:$C$8,3,FALSE)</f>
        <v>0.7</v>
      </c>
      <c r="P1159">
        <f t="shared" si="55"/>
        <v>1.4370410167278889</v>
      </c>
      <c r="Q1159" t="str">
        <f t="shared" ca="1" si="56"/>
        <v>No</v>
      </c>
    </row>
    <row r="1160" spans="1:17" x14ac:dyDescent="0.45">
      <c r="A1160" t="s">
        <v>71</v>
      </c>
      <c r="B1160" t="s">
        <v>72</v>
      </c>
      <c r="C1160" t="s">
        <v>66</v>
      </c>
      <c r="D1160" t="s">
        <v>20</v>
      </c>
      <c r="E1160" t="s">
        <v>21</v>
      </c>
      <c r="F1160" s="1">
        <v>44378</v>
      </c>
      <c r="G1160">
        <v>6.91</v>
      </c>
      <c r="H1160">
        <v>78.424199999999999</v>
      </c>
      <c r="I1160">
        <v>10.130000000000001</v>
      </c>
      <c r="J1160">
        <v>83.73</v>
      </c>
      <c r="K1160" t="s">
        <v>32</v>
      </c>
      <c r="L1160">
        <v>227.74</v>
      </c>
      <c r="M1160">
        <f>VLOOKUP(K1160,RatingLookup!$A$2:$C$8,2,FALSE)</f>
        <v>0.12</v>
      </c>
      <c r="N1160">
        <f t="shared" si="54"/>
        <v>1.0596241035318976E-2</v>
      </c>
      <c r="O1160">
        <f>VLOOKUP(K1160,RatingLookup!$A$2:$C$8,3,FALSE)</f>
        <v>0.7</v>
      </c>
      <c r="P1160">
        <f t="shared" si="55"/>
        <v>1.6892315533684803</v>
      </c>
      <c r="Q1160" t="str">
        <f t="shared" ca="1" si="56"/>
        <v>No</v>
      </c>
    </row>
    <row r="1161" spans="1:17" x14ac:dyDescent="0.45">
      <c r="A1161" t="s">
        <v>71</v>
      </c>
      <c r="B1161" t="s">
        <v>72</v>
      </c>
      <c r="C1161" t="s">
        <v>66</v>
      </c>
      <c r="D1161" t="s">
        <v>20</v>
      </c>
      <c r="E1161" t="s">
        <v>21</v>
      </c>
      <c r="F1161" s="1">
        <v>44409</v>
      </c>
      <c r="G1161">
        <v>5.99</v>
      </c>
      <c r="H1161">
        <v>85.079300000000003</v>
      </c>
      <c r="I1161">
        <v>26.64</v>
      </c>
      <c r="J1161">
        <v>78.92</v>
      </c>
      <c r="K1161" t="s">
        <v>32</v>
      </c>
      <c r="L1161">
        <v>212.5</v>
      </c>
      <c r="M1161">
        <f>VLOOKUP(K1161,RatingLookup!$A$2:$C$8,2,FALSE)</f>
        <v>0.12</v>
      </c>
      <c r="N1161">
        <f t="shared" si="54"/>
        <v>1.0596241035318976E-2</v>
      </c>
      <c r="O1161">
        <f>VLOOKUP(K1161,RatingLookup!$A$2:$C$8,3,FALSE)</f>
        <v>0.7</v>
      </c>
      <c r="P1161">
        <f t="shared" si="55"/>
        <v>1.5761908540036977</v>
      </c>
      <c r="Q1161" t="str">
        <f t="shared" ca="1" si="56"/>
        <v>No</v>
      </c>
    </row>
    <row r="1162" spans="1:17" x14ac:dyDescent="0.45">
      <c r="A1162" t="s">
        <v>71</v>
      </c>
      <c r="B1162" t="s">
        <v>72</v>
      </c>
      <c r="C1162" t="s">
        <v>66</v>
      </c>
      <c r="D1162" t="s">
        <v>20</v>
      </c>
      <c r="E1162" t="s">
        <v>21</v>
      </c>
      <c r="F1162" s="1">
        <v>44440</v>
      </c>
      <c r="G1162">
        <v>4.68</v>
      </c>
      <c r="H1162">
        <v>81.654700000000005</v>
      </c>
      <c r="I1162">
        <v>17.53</v>
      </c>
      <c r="J1162">
        <v>67.5</v>
      </c>
      <c r="K1162" t="s">
        <v>32</v>
      </c>
      <c r="L1162">
        <v>214.47</v>
      </c>
      <c r="M1162">
        <f>VLOOKUP(K1162,RatingLookup!$A$2:$C$8,2,FALSE)</f>
        <v>0.12</v>
      </c>
      <c r="N1162">
        <f t="shared" si="54"/>
        <v>1.0596241035318976E-2</v>
      </c>
      <c r="O1162">
        <f>VLOOKUP(K1162,RatingLookup!$A$2:$C$8,3,FALSE)</f>
        <v>0.7</v>
      </c>
      <c r="P1162">
        <f t="shared" si="55"/>
        <v>1.5908030703914025</v>
      </c>
      <c r="Q1162" t="str">
        <f t="shared" ca="1" si="56"/>
        <v>No</v>
      </c>
    </row>
    <row r="1163" spans="1:17" x14ac:dyDescent="0.45">
      <c r="A1163" t="s">
        <v>71</v>
      </c>
      <c r="B1163" t="s">
        <v>72</v>
      </c>
      <c r="C1163" t="s">
        <v>66</v>
      </c>
      <c r="D1163" t="s">
        <v>20</v>
      </c>
      <c r="E1163" t="s">
        <v>21</v>
      </c>
      <c r="F1163" s="1">
        <v>44470</v>
      </c>
      <c r="G1163">
        <v>4.8600000000000003</v>
      </c>
      <c r="H1163">
        <v>81.271000000000001</v>
      </c>
      <c r="I1163">
        <v>19.55</v>
      </c>
      <c r="J1163">
        <v>66.05</v>
      </c>
      <c r="K1163" t="s">
        <v>32</v>
      </c>
      <c r="L1163">
        <v>204.46</v>
      </c>
      <c r="M1163">
        <f>VLOOKUP(K1163,RatingLookup!$A$2:$C$8,2,FALSE)</f>
        <v>0.12</v>
      </c>
      <c r="N1163">
        <f t="shared" si="54"/>
        <v>1.0596241035318976E-2</v>
      </c>
      <c r="O1163">
        <f>VLOOKUP(K1163,RatingLookup!$A$2:$C$8,3,FALSE)</f>
        <v>0.7</v>
      </c>
      <c r="P1163">
        <f t="shared" si="55"/>
        <v>1.5165552094569226</v>
      </c>
      <c r="Q1163" t="str">
        <f t="shared" ca="1" si="56"/>
        <v>No</v>
      </c>
    </row>
    <row r="1164" spans="1:17" x14ac:dyDescent="0.45">
      <c r="A1164" t="s">
        <v>71</v>
      </c>
      <c r="B1164" t="s">
        <v>72</v>
      </c>
      <c r="C1164" t="s">
        <v>66</v>
      </c>
      <c r="D1164" t="s">
        <v>20</v>
      </c>
      <c r="E1164" t="s">
        <v>21</v>
      </c>
      <c r="F1164" s="1">
        <v>44501</v>
      </c>
      <c r="G1164">
        <v>5.12</v>
      </c>
      <c r="H1164">
        <v>81.9602</v>
      </c>
      <c r="I1164">
        <v>19.29</v>
      </c>
      <c r="J1164">
        <v>78.650000000000006</v>
      </c>
      <c r="K1164" t="s">
        <v>32</v>
      </c>
      <c r="L1164">
        <v>201.36</v>
      </c>
      <c r="M1164">
        <f>VLOOKUP(K1164,RatingLookup!$A$2:$C$8,2,FALSE)</f>
        <v>0.12</v>
      </c>
      <c r="N1164">
        <f t="shared" si="54"/>
        <v>1.0596241035318976E-2</v>
      </c>
      <c r="O1164">
        <f>VLOOKUP(K1164,RatingLookup!$A$2:$C$8,3,FALSE)</f>
        <v>0.7</v>
      </c>
      <c r="P1164">
        <f t="shared" si="55"/>
        <v>1.4935613664102805</v>
      </c>
      <c r="Q1164" t="str">
        <f t="shared" ca="1" si="56"/>
        <v>No</v>
      </c>
    </row>
    <row r="1165" spans="1:17" x14ac:dyDescent="0.45">
      <c r="A1165" t="s">
        <v>71</v>
      </c>
      <c r="B1165" t="s">
        <v>72</v>
      </c>
      <c r="C1165" t="s">
        <v>66</v>
      </c>
      <c r="D1165" t="s">
        <v>20</v>
      </c>
      <c r="E1165" t="s">
        <v>21</v>
      </c>
      <c r="F1165" s="1">
        <v>44531</v>
      </c>
      <c r="G1165">
        <v>5.45</v>
      </c>
      <c r="H1165">
        <v>90.149000000000001</v>
      </c>
      <c r="I1165">
        <v>13.67</v>
      </c>
      <c r="J1165">
        <v>69.87</v>
      </c>
      <c r="K1165" t="s">
        <v>32</v>
      </c>
      <c r="L1165">
        <v>201.19</v>
      </c>
      <c r="M1165">
        <f>VLOOKUP(K1165,RatingLookup!$A$2:$C$8,2,FALSE)</f>
        <v>0.12</v>
      </c>
      <c r="N1165">
        <f t="shared" si="54"/>
        <v>1.0596241035318976E-2</v>
      </c>
      <c r="O1165">
        <f>VLOOKUP(K1165,RatingLookup!$A$2:$C$8,3,FALSE)</f>
        <v>0.7</v>
      </c>
      <c r="P1165">
        <f t="shared" si="55"/>
        <v>1.4923004137270772</v>
      </c>
      <c r="Q1165" t="str">
        <f t="shared" ca="1" si="56"/>
        <v>No</v>
      </c>
    </row>
    <row r="1166" spans="1:17" x14ac:dyDescent="0.45">
      <c r="A1166" t="s">
        <v>71</v>
      </c>
      <c r="B1166" t="s">
        <v>72</v>
      </c>
      <c r="C1166" t="s">
        <v>66</v>
      </c>
      <c r="D1166" t="s">
        <v>20</v>
      </c>
      <c r="E1166" t="s">
        <v>21</v>
      </c>
      <c r="F1166" s="1">
        <v>44562</v>
      </c>
      <c r="G1166">
        <v>6.31</v>
      </c>
      <c r="H1166">
        <v>81.994100000000003</v>
      </c>
      <c r="I1166">
        <v>16.54</v>
      </c>
      <c r="J1166">
        <v>89.4</v>
      </c>
      <c r="K1166" t="s">
        <v>32</v>
      </c>
      <c r="L1166">
        <v>209.73</v>
      </c>
      <c r="M1166">
        <f>VLOOKUP(K1166,RatingLookup!$A$2:$C$8,2,FALSE)</f>
        <v>0.12</v>
      </c>
      <c r="N1166">
        <f t="shared" si="54"/>
        <v>1.0596241035318976E-2</v>
      </c>
      <c r="O1166">
        <f>VLOOKUP(K1166,RatingLookup!$A$2:$C$8,3,FALSE)</f>
        <v>0.7</v>
      </c>
      <c r="P1166">
        <f t="shared" si="55"/>
        <v>1.5556447426362141</v>
      </c>
      <c r="Q1166" t="str">
        <f t="shared" ca="1" si="56"/>
        <v>No</v>
      </c>
    </row>
    <row r="1167" spans="1:17" x14ac:dyDescent="0.45">
      <c r="A1167" t="s">
        <v>71</v>
      </c>
      <c r="B1167" t="s">
        <v>72</v>
      </c>
      <c r="C1167" t="s">
        <v>66</v>
      </c>
      <c r="D1167" t="s">
        <v>20</v>
      </c>
      <c r="E1167" t="s">
        <v>21</v>
      </c>
      <c r="F1167" s="1">
        <v>44593</v>
      </c>
      <c r="G1167">
        <v>5.51</v>
      </c>
      <c r="H1167">
        <v>85.121300000000005</v>
      </c>
      <c r="I1167">
        <v>17.579999999999998</v>
      </c>
      <c r="J1167">
        <v>73.510000000000005</v>
      </c>
      <c r="K1167" t="s">
        <v>32</v>
      </c>
      <c r="L1167">
        <v>215.07</v>
      </c>
      <c r="M1167">
        <f>VLOOKUP(K1167,RatingLookup!$A$2:$C$8,2,FALSE)</f>
        <v>0.12</v>
      </c>
      <c r="N1167">
        <f t="shared" si="54"/>
        <v>1.0596241035318976E-2</v>
      </c>
      <c r="O1167">
        <f>VLOOKUP(K1167,RatingLookup!$A$2:$C$8,3,FALSE)</f>
        <v>0.7</v>
      </c>
      <c r="P1167">
        <f t="shared" si="55"/>
        <v>1.5952534916262364</v>
      </c>
      <c r="Q1167" t="str">
        <f t="shared" ca="1" si="56"/>
        <v>No</v>
      </c>
    </row>
    <row r="1168" spans="1:17" x14ac:dyDescent="0.45">
      <c r="A1168" t="s">
        <v>71</v>
      </c>
      <c r="B1168" t="s">
        <v>72</v>
      </c>
      <c r="C1168" t="s">
        <v>66</v>
      </c>
      <c r="D1168" t="s">
        <v>20</v>
      </c>
      <c r="E1168" t="s">
        <v>21</v>
      </c>
      <c r="F1168" s="1">
        <v>44621</v>
      </c>
      <c r="G1168">
        <v>6.15</v>
      </c>
      <c r="H1168">
        <v>81.952200000000005</v>
      </c>
      <c r="I1168">
        <v>29.91</v>
      </c>
      <c r="J1168">
        <v>81.819999999999993</v>
      </c>
      <c r="K1168" t="s">
        <v>32</v>
      </c>
      <c r="L1168">
        <v>189.99</v>
      </c>
      <c r="M1168">
        <f>VLOOKUP(K1168,RatingLookup!$A$2:$C$8,2,FALSE)</f>
        <v>0.12</v>
      </c>
      <c r="N1168">
        <f t="shared" si="54"/>
        <v>1.0596241035318976E-2</v>
      </c>
      <c r="O1168">
        <f>VLOOKUP(K1168,RatingLookup!$A$2:$C$8,3,FALSE)</f>
        <v>0.7</v>
      </c>
      <c r="P1168">
        <f t="shared" si="55"/>
        <v>1.4092258840101766</v>
      </c>
      <c r="Q1168" t="str">
        <f t="shared" ca="1" si="56"/>
        <v>No</v>
      </c>
    </row>
    <row r="1169" spans="1:17" x14ac:dyDescent="0.45">
      <c r="A1169" t="s">
        <v>71</v>
      </c>
      <c r="B1169" t="s">
        <v>72</v>
      </c>
      <c r="C1169" t="s">
        <v>66</v>
      </c>
      <c r="D1169" t="s">
        <v>20</v>
      </c>
      <c r="E1169" t="s">
        <v>21</v>
      </c>
      <c r="F1169" s="1">
        <v>44652</v>
      </c>
      <c r="G1169">
        <v>4.7300000000000004</v>
      </c>
      <c r="H1169">
        <v>78.456000000000003</v>
      </c>
      <c r="I1169">
        <v>20.059999999999999</v>
      </c>
      <c r="J1169">
        <v>74.540000000000006</v>
      </c>
      <c r="K1169" t="s">
        <v>32</v>
      </c>
      <c r="L1169">
        <v>223.76</v>
      </c>
      <c r="M1169">
        <f>VLOOKUP(K1169,RatingLookup!$A$2:$C$8,2,FALSE)</f>
        <v>0.12</v>
      </c>
      <c r="N1169">
        <f t="shared" si="54"/>
        <v>1.0596241035318976E-2</v>
      </c>
      <c r="O1169">
        <f>VLOOKUP(K1169,RatingLookup!$A$2:$C$8,3,FALSE)</f>
        <v>0.7</v>
      </c>
      <c r="P1169">
        <f t="shared" si="55"/>
        <v>1.6597104258440818</v>
      </c>
      <c r="Q1169" t="str">
        <f t="shared" ca="1" si="56"/>
        <v>No</v>
      </c>
    </row>
    <row r="1170" spans="1:17" x14ac:dyDescent="0.45">
      <c r="A1170" t="s">
        <v>71</v>
      </c>
      <c r="B1170" t="s">
        <v>72</v>
      </c>
      <c r="C1170" t="s">
        <v>66</v>
      </c>
      <c r="D1170" t="s">
        <v>20</v>
      </c>
      <c r="E1170" t="s">
        <v>21</v>
      </c>
      <c r="F1170" s="1">
        <v>44682</v>
      </c>
      <c r="G1170">
        <v>5.48</v>
      </c>
      <c r="H1170">
        <v>81.959199999999996</v>
      </c>
      <c r="I1170">
        <v>30.58</v>
      </c>
      <c r="J1170">
        <v>80.03</v>
      </c>
      <c r="K1170" t="s">
        <v>32</v>
      </c>
      <c r="L1170">
        <v>214.86</v>
      </c>
      <c r="M1170">
        <f>VLOOKUP(K1170,RatingLookup!$A$2:$C$8,2,FALSE)</f>
        <v>0.12</v>
      </c>
      <c r="N1170">
        <f t="shared" si="54"/>
        <v>1.0596241035318976E-2</v>
      </c>
      <c r="O1170">
        <f>VLOOKUP(K1170,RatingLookup!$A$2:$C$8,3,FALSE)</f>
        <v>0.7</v>
      </c>
      <c r="P1170">
        <f t="shared" si="55"/>
        <v>1.5936958441940448</v>
      </c>
      <c r="Q1170" t="str">
        <f t="shared" ca="1" si="56"/>
        <v>No</v>
      </c>
    </row>
    <row r="1171" spans="1:17" x14ac:dyDescent="0.45">
      <c r="A1171" t="s">
        <v>71</v>
      </c>
      <c r="B1171" t="s">
        <v>72</v>
      </c>
      <c r="C1171" t="s">
        <v>66</v>
      </c>
      <c r="D1171" t="s">
        <v>20</v>
      </c>
      <c r="E1171" t="s">
        <v>21</v>
      </c>
      <c r="F1171" s="1">
        <v>44713</v>
      </c>
      <c r="G1171">
        <v>4.99</v>
      </c>
      <c r="H1171">
        <v>79.640199999999993</v>
      </c>
      <c r="I1171">
        <v>23.2</v>
      </c>
      <c r="J1171">
        <v>85.01</v>
      </c>
      <c r="K1171" t="s">
        <v>32</v>
      </c>
      <c r="L1171">
        <v>233.48</v>
      </c>
      <c r="M1171">
        <f>VLOOKUP(K1171,RatingLookup!$A$2:$C$8,2,FALSE)</f>
        <v>0.12</v>
      </c>
      <c r="N1171">
        <f t="shared" si="54"/>
        <v>1.0596241035318976E-2</v>
      </c>
      <c r="O1171">
        <f>VLOOKUP(K1171,RatingLookup!$A$2:$C$8,3,FALSE)</f>
        <v>0.7</v>
      </c>
      <c r="P1171">
        <f t="shared" si="55"/>
        <v>1.7318072498483921</v>
      </c>
      <c r="Q1171" t="str">
        <f t="shared" ca="1" si="56"/>
        <v>No</v>
      </c>
    </row>
    <row r="1172" spans="1:17" x14ac:dyDescent="0.45">
      <c r="A1172" t="s">
        <v>71</v>
      </c>
      <c r="B1172" t="s">
        <v>72</v>
      </c>
      <c r="C1172" t="s">
        <v>66</v>
      </c>
      <c r="D1172" t="s">
        <v>20</v>
      </c>
      <c r="E1172" t="s">
        <v>21</v>
      </c>
      <c r="F1172" s="1">
        <v>44743</v>
      </c>
      <c r="G1172">
        <v>5.81</v>
      </c>
      <c r="H1172">
        <v>82.399199999999993</v>
      </c>
      <c r="I1172">
        <v>23.79</v>
      </c>
      <c r="J1172">
        <v>91.34</v>
      </c>
      <c r="K1172" t="s">
        <v>32</v>
      </c>
      <c r="L1172">
        <v>214.13</v>
      </c>
      <c r="M1172">
        <f>VLOOKUP(K1172,RatingLookup!$A$2:$C$8,2,FALSE)</f>
        <v>0.12</v>
      </c>
      <c r="N1172">
        <f t="shared" si="54"/>
        <v>1.0596241035318976E-2</v>
      </c>
      <c r="O1172">
        <f>VLOOKUP(K1172,RatingLookup!$A$2:$C$8,3,FALSE)</f>
        <v>0.7</v>
      </c>
      <c r="P1172">
        <f t="shared" si="55"/>
        <v>1.5882811650249966</v>
      </c>
      <c r="Q1172" t="str">
        <f t="shared" ca="1" si="56"/>
        <v>No</v>
      </c>
    </row>
    <row r="1173" spans="1:17" x14ac:dyDescent="0.45">
      <c r="A1173" t="s">
        <v>71</v>
      </c>
      <c r="B1173" t="s">
        <v>72</v>
      </c>
      <c r="C1173" t="s">
        <v>66</v>
      </c>
      <c r="D1173" t="s">
        <v>20</v>
      </c>
      <c r="E1173" t="s">
        <v>21</v>
      </c>
      <c r="F1173" s="1">
        <v>44774</v>
      </c>
      <c r="G1173">
        <v>6.55</v>
      </c>
      <c r="H1173">
        <v>84.296899999999994</v>
      </c>
      <c r="I1173">
        <v>20.45</v>
      </c>
      <c r="J1173">
        <v>78.319999999999993</v>
      </c>
      <c r="K1173" t="s">
        <v>32</v>
      </c>
      <c r="L1173">
        <v>237.73</v>
      </c>
      <c r="M1173">
        <f>VLOOKUP(K1173,RatingLookup!$A$2:$C$8,2,FALSE)</f>
        <v>0.12</v>
      </c>
      <c r="N1173">
        <f t="shared" si="54"/>
        <v>1.0596241035318976E-2</v>
      </c>
      <c r="O1173">
        <f>VLOOKUP(K1173,RatingLookup!$A$2:$C$8,3,FALSE)</f>
        <v>0.7</v>
      </c>
      <c r="P1173">
        <f t="shared" si="55"/>
        <v>1.7633310669284661</v>
      </c>
      <c r="Q1173" t="str">
        <f t="shared" ca="1" si="56"/>
        <v>No</v>
      </c>
    </row>
    <row r="1174" spans="1:17" x14ac:dyDescent="0.45">
      <c r="A1174" t="s">
        <v>71</v>
      </c>
      <c r="B1174" t="s">
        <v>72</v>
      </c>
      <c r="C1174" t="s">
        <v>66</v>
      </c>
      <c r="D1174" t="s">
        <v>20</v>
      </c>
      <c r="E1174" t="s">
        <v>21</v>
      </c>
      <c r="F1174" s="1">
        <v>44805</v>
      </c>
      <c r="G1174">
        <v>4.88</v>
      </c>
      <c r="H1174">
        <v>80.172300000000007</v>
      </c>
      <c r="I1174">
        <v>21.58</v>
      </c>
      <c r="J1174">
        <v>74.78</v>
      </c>
      <c r="K1174" t="s">
        <v>32</v>
      </c>
      <c r="L1174">
        <v>219.79</v>
      </c>
      <c r="M1174">
        <f>VLOOKUP(K1174,RatingLookup!$A$2:$C$8,2,FALSE)</f>
        <v>0.12</v>
      </c>
      <c r="N1174">
        <f t="shared" si="54"/>
        <v>1.0596241035318976E-2</v>
      </c>
      <c r="O1174">
        <f>VLOOKUP(K1174,RatingLookup!$A$2:$C$8,3,FALSE)</f>
        <v>0.7</v>
      </c>
      <c r="P1174">
        <f t="shared" si="55"/>
        <v>1.6302634720069304</v>
      </c>
      <c r="Q1174" t="str">
        <f t="shared" ca="1" si="56"/>
        <v>No</v>
      </c>
    </row>
    <row r="1175" spans="1:17" x14ac:dyDescent="0.45">
      <c r="A1175" t="s">
        <v>71</v>
      </c>
      <c r="B1175" t="s">
        <v>72</v>
      </c>
      <c r="C1175" t="s">
        <v>66</v>
      </c>
      <c r="D1175" t="s">
        <v>20</v>
      </c>
      <c r="E1175" t="s">
        <v>21</v>
      </c>
      <c r="F1175" s="1">
        <v>44835</v>
      </c>
      <c r="G1175">
        <v>6.06</v>
      </c>
      <c r="H1175">
        <v>79.138599999999997</v>
      </c>
      <c r="I1175">
        <v>29.41</v>
      </c>
      <c r="J1175">
        <v>63.73</v>
      </c>
      <c r="K1175" t="s">
        <v>32</v>
      </c>
      <c r="L1175">
        <v>200.67</v>
      </c>
      <c r="M1175">
        <f>VLOOKUP(K1175,RatingLookup!$A$2:$C$8,2,FALSE)</f>
        <v>0.12</v>
      </c>
      <c r="N1175">
        <f t="shared" si="54"/>
        <v>1.0596241035318976E-2</v>
      </c>
      <c r="O1175">
        <f>VLOOKUP(K1175,RatingLookup!$A$2:$C$8,3,FALSE)</f>
        <v>0.7</v>
      </c>
      <c r="P1175">
        <f t="shared" si="55"/>
        <v>1.4884433819902212</v>
      </c>
      <c r="Q1175" t="str">
        <f t="shared" ca="1" si="56"/>
        <v>No</v>
      </c>
    </row>
    <row r="1176" spans="1:17" x14ac:dyDescent="0.45">
      <c r="A1176" t="s">
        <v>71</v>
      </c>
      <c r="B1176" t="s">
        <v>72</v>
      </c>
      <c r="C1176" t="s">
        <v>66</v>
      </c>
      <c r="D1176" t="s">
        <v>20</v>
      </c>
      <c r="E1176" t="s">
        <v>21</v>
      </c>
      <c r="F1176" s="1">
        <v>44866</v>
      </c>
      <c r="G1176">
        <v>5.79</v>
      </c>
      <c r="H1176">
        <v>82.555199999999999</v>
      </c>
      <c r="I1176">
        <v>17.239999999999998</v>
      </c>
      <c r="J1176">
        <v>71.89</v>
      </c>
      <c r="K1176" t="s">
        <v>32</v>
      </c>
      <c r="L1176">
        <v>213.33</v>
      </c>
      <c r="M1176">
        <f>VLOOKUP(K1176,RatingLookup!$A$2:$C$8,2,FALSE)</f>
        <v>0.12</v>
      </c>
      <c r="N1176">
        <f t="shared" si="54"/>
        <v>1.0596241035318976E-2</v>
      </c>
      <c r="O1176">
        <f>VLOOKUP(K1176,RatingLookup!$A$2:$C$8,3,FALSE)</f>
        <v>0.7</v>
      </c>
      <c r="P1176">
        <f t="shared" si="55"/>
        <v>1.5823472700452181</v>
      </c>
      <c r="Q1176" t="str">
        <f t="shared" ca="1" si="56"/>
        <v>No</v>
      </c>
    </row>
    <row r="1177" spans="1:17" x14ac:dyDescent="0.45">
      <c r="A1177" t="s">
        <v>71</v>
      </c>
      <c r="B1177" t="s">
        <v>72</v>
      </c>
      <c r="C1177" t="s">
        <v>66</v>
      </c>
      <c r="D1177" t="s">
        <v>20</v>
      </c>
      <c r="E1177" t="s">
        <v>21</v>
      </c>
      <c r="F1177" s="1">
        <v>44896</v>
      </c>
      <c r="G1177">
        <v>5.47</v>
      </c>
      <c r="H1177">
        <v>77.420199999999994</v>
      </c>
      <c r="I1177">
        <v>19.170000000000002</v>
      </c>
      <c r="J1177">
        <v>79.28</v>
      </c>
      <c r="K1177" t="s">
        <v>32</v>
      </c>
      <c r="L1177">
        <v>236.61</v>
      </c>
      <c r="M1177">
        <f>VLOOKUP(K1177,RatingLookup!$A$2:$C$8,2,FALSE)</f>
        <v>0.12</v>
      </c>
      <c r="N1177">
        <f t="shared" si="54"/>
        <v>1.0596241035318976E-2</v>
      </c>
      <c r="O1177">
        <f>VLOOKUP(K1177,RatingLookup!$A$2:$C$8,3,FALSE)</f>
        <v>0.7</v>
      </c>
      <c r="P1177">
        <f t="shared" si="55"/>
        <v>1.7550236139567759</v>
      </c>
      <c r="Q1177" t="str">
        <f t="shared" ca="1" si="56"/>
        <v>No</v>
      </c>
    </row>
    <row r="1178" spans="1:17" x14ac:dyDescent="0.45">
      <c r="A1178" t="s">
        <v>71</v>
      </c>
      <c r="B1178" t="s">
        <v>72</v>
      </c>
      <c r="C1178" t="s">
        <v>66</v>
      </c>
      <c r="D1178" t="s">
        <v>20</v>
      </c>
      <c r="E1178" t="s">
        <v>21</v>
      </c>
      <c r="F1178" s="1">
        <v>44927</v>
      </c>
      <c r="G1178">
        <v>5.38</v>
      </c>
      <c r="H1178">
        <v>83.937100000000001</v>
      </c>
      <c r="I1178">
        <v>20.09</v>
      </c>
      <c r="J1178">
        <v>84.38</v>
      </c>
      <c r="K1178" t="s">
        <v>32</v>
      </c>
      <c r="L1178">
        <v>220.7</v>
      </c>
      <c r="M1178">
        <f>VLOOKUP(K1178,RatingLookup!$A$2:$C$8,2,FALSE)</f>
        <v>0.12</v>
      </c>
      <c r="N1178">
        <f t="shared" si="54"/>
        <v>1.0596241035318976E-2</v>
      </c>
      <c r="O1178">
        <f>VLOOKUP(K1178,RatingLookup!$A$2:$C$8,3,FALSE)</f>
        <v>0.7</v>
      </c>
      <c r="P1178">
        <f t="shared" si="55"/>
        <v>1.6370132775464283</v>
      </c>
      <c r="Q1178" t="str">
        <f t="shared" ca="1" si="56"/>
        <v>No</v>
      </c>
    </row>
    <row r="1179" spans="1:17" x14ac:dyDescent="0.45">
      <c r="A1179" t="s">
        <v>71</v>
      </c>
      <c r="B1179" t="s">
        <v>72</v>
      </c>
      <c r="C1179" t="s">
        <v>66</v>
      </c>
      <c r="D1179" t="s">
        <v>20</v>
      </c>
      <c r="E1179" t="s">
        <v>21</v>
      </c>
      <c r="F1179" s="1">
        <v>44958</v>
      </c>
      <c r="G1179">
        <v>5.35</v>
      </c>
      <c r="H1179">
        <v>80.4268</v>
      </c>
      <c r="I1179">
        <v>12.25</v>
      </c>
      <c r="J1179">
        <v>97.08</v>
      </c>
      <c r="K1179" t="s">
        <v>32</v>
      </c>
      <c r="L1179">
        <v>218.04</v>
      </c>
      <c r="M1179">
        <f>VLOOKUP(K1179,RatingLookup!$A$2:$C$8,2,FALSE)</f>
        <v>0.12</v>
      </c>
      <c r="N1179">
        <f t="shared" si="54"/>
        <v>1.0596241035318976E-2</v>
      </c>
      <c r="O1179">
        <f>VLOOKUP(K1179,RatingLookup!$A$2:$C$8,3,FALSE)</f>
        <v>0.7</v>
      </c>
      <c r="P1179">
        <f t="shared" si="55"/>
        <v>1.6172830767386646</v>
      </c>
      <c r="Q1179" t="str">
        <f t="shared" ca="1" si="56"/>
        <v>No</v>
      </c>
    </row>
    <row r="1180" spans="1:17" x14ac:dyDescent="0.45">
      <c r="A1180" t="s">
        <v>71</v>
      </c>
      <c r="B1180" t="s">
        <v>72</v>
      </c>
      <c r="C1180" t="s">
        <v>66</v>
      </c>
      <c r="D1180" t="s">
        <v>20</v>
      </c>
      <c r="E1180" t="s">
        <v>21</v>
      </c>
      <c r="F1180" s="1">
        <v>44986</v>
      </c>
      <c r="G1180">
        <v>5.41</v>
      </c>
      <c r="H1180">
        <v>81.520300000000006</v>
      </c>
      <c r="I1180">
        <v>21.33</v>
      </c>
      <c r="J1180">
        <v>90.84</v>
      </c>
      <c r="K1180" t="s">
        <v>32</v>
      </c>
      <c r="L1180">
        <v>224.78</v>
      </c>
      <c r="M1180">
        <f>VLOOKUP(K1180,RatingLookup!$A$2:$C$8,2,FALSE)</f>
        <v>0.12</v>
      </c>
      <c r="N1180">
        <f t="shared" si="54"/>
        <v>1.0596241035318976E-2</v>
      </c>
      <c r="O1180">
        <f>VLOOKUP(K1180,RatingLookup!$A$2:$C$8,3,FALSE)</f>
        <v>0.7</v>
      </c>
      <c r="P1180">
        <f t="shared" si="55"/>
        <v>1.6672761419432995</v>
      </c>
      <c r="Q1180" t="str">
        <f t="shared" ca="1" si="56"/>
        <v>No</v>
      </c>
    </row>
    <row r="1181" spans="1:17" x14ac:dyDescent="0.45">
      <c r="A1181" t="s">
        <v>71</v>
      </c>
      <c r="B1181" t="s">
        <v>72</v>
      </c>
      <c r="C1181" t="s">
        <v>66</v>
      </c>
      <c r="D1181" t="s">
        <v>20</v>
      </c>
      <c r="E1181" t="s">
        <v>21</v>
      </c>
      <c r="F1181" s="1">
        <v>45017</v>
      </c>
      <c r="G1181">
        <v>6.05</v>
      </c>
      <c r="H1181">
        <v>81.346599999999995</v>
      </c>
      <c r="I1181">
        <v>19.420000000000002</v>
      </c>
      <c r="J1181">
        <v>91.63</v>
      </c>
      <c r="K1181" t="s">
        <v>32</v>
      </c>
      <c r="L1181">
        <v>221.72</v>
      </c>
      <c r="M1181">
        <f>VLOOKUP(K1181,RatingLookup!$A$2:$C$8,2,FALSE)</f>
        <v>0.12</v>
      </c>
      <c r="N1181">
        <f t="shared" si="54"/>
        <v>1.0596241035318976E-2</v>
      </c>
      <c r="O1181">
        <f>VLOOKUP(K1181,RatingLookup!$A$2:$C$8,3,FALSE)</f>
        <v>0.7</v>
      </c>
      <c r="P1181">
        <f t="shared" si="55"/>
        <v>1.6445789936456463</v>
      </c>
      <c r="Q1181" t="str">
        <f t="shared" ca="1" si="56"/>
        <v>No</v>
      </c>
    </row>
    <row r="1182" spans="1:17" x14ac:dyDescent="0.45">
      <c r="A1182" t="s">
        <v>71</v>
      </c>
      <c r="B1182" t="s">
        <v>72</v>
      </c>
      <c r="C1182" t="s">
        <v>66</v>
      </c>
      <c r="D1182" t="s">
        <v>20</v>
      </c>
      <c r="E1182" t="s">
        <v>21</v>
      </c>
      <c r="F1182" s="1">
        <v>45047</v>
      </c>
      <c r="G1182">
        <v>6.48</v>
      </c>
      <c r="H1182">
        <v>82.078699999999998</v>
      </c>
      <c r="I1182">
        <v>13.96</v>
      </c>
      <c r="J1182">
        <v>84.12</v>
      </c>
      <c r="K1182" t="s">
        <v>32</v>
      </c>
      <c r="L1182">
        <v>218.3</v>
      </c>
      <c r="M1182">
        <f>VLOOKUP(K1182,RatingLookup!$A$2:$C$8,2,FALSE)</f>
        <v>0.12</v>
      </c>
      <c r="N1182">
        <f t="shared" si="54"/>
        <v>1.0596241035318976E-2</v>
      </c>
      <c r="O1182">
        <f>VLOOKUP(K1182,RatingLookup!$A$2:$C$8,3,FALSE)</f>
        <v>0.7</v>
      </c>
      <c r="P1182">
        <f t="shared" si="55"/>
        <v>1.6192115926070927</v>
      </c>
      <c r="Q1182" t="str">
        <f t="shared" ca="1" si="56"/>
        <v>No</v>
      </c>
    </row>
    <row r="1183" spans="1:17" x14ac:dyDescent="0.45">
      <c r="A1183" t="s">
        <v>71</v>
      </c>
      <c r="B1183" t="s">
        <v>72</v>
      </c>
      <c r="C1183" t="s">
        <v>66</v>
      </c>
      <c r="D1183" t="s">
        <v>20</v>
      </c>
      <c r="E1183" t="s">
        <v>21</v>
      </c>
      <c r="F1183" s="1">
        <v>45078</v>
      </c>
      <c r="G1183">
        <v>5.69</v>
      </c>
      <c r="H1183">
        <v>83.309299999999993</v>
      </c>
      <c r="I1183">
        <v>24.66</v>
      </c>
      <c r="J1183">
        <v>89.86</v>
      </c>
      <c r="K1183" t="s">
        <v>32</v>
      </c>
      <c r="L1183">
        <v>211.86</v>
      </c>
      <c r="M1183">
        <f>VLOOKUP(K1183,RatingLookup!$A$2:$C$8,2,FALSE)</f>
        <v>0.12</v>
      </c>
      <c r="N1183">
        <f t="shared" si="54"/>
        <v>1.0596241035318976E-2</v>
      </c>
      <c r="O1183">
        <f>VLOOKUP(K1183,RatingLookup!$A$2:$C$8,3,FALSE)</f>
        <v>0.7</v>
      </c>
      <c r="P1183">
        <f t="shared" si="55"/>
        <v>1.5714437380198749</v>
      </c>
      <c r="Q1183" t="str">
        <f t="shared" ca="1" si="56"/>
        <v>No</v>
      </c>
    </row>
    <row r="1184" spans="1:17" x14ac:dyDescent="0.45">
      <c r="A1184" t="s">
        <v>71</v>
      </c>
      <c r="B1184" t="s">
        <v>72</v>
      </c>
      <c r="C1184" t="s">
        <v>66</v>
      </c>
      <c r="D1184" t="s">
        <v>20</v>
      </c>
      <c r="E1184" t="s">
        <v>21</v>
      </c>
      <c r="F1184" s="1">
        <v>45108</v>
      </c>
      <c r="G1184">
        <v>5.22</v>
      </c>
      <c r="H1184">
        <v>81.216399999999993</v>
      </c>
      <c r="I1184">
        <v>23.61</v>
      </c>
      <c r="J1184">
        <v>85.39</v>
      </c>
      <c r="K1184" t="s">
        <v>32</v>
      </c>
      <c r="L1184">
        <v>208.32</v>
      </c>
      <c r="M1184">
        <f>VLOOKUP(K1184,RatingLookup!$A$2:$C$8,2,FALSE)</f>
        <v>0.12</v>
      </c>
      <c r="N1184">
        <f t="shared" si="54"/>
        <v>1.0596241035318976E-2</v>
      </c>
      <c r="O1184">
        <f>VLOOKUP(K1184,RatingLookup!$A$2:$C$8,3,FALSE)</f>
        <v>0.7</v>
      </c>
      <c r="P1184">
        <f t="shared" si="55"/>
        <v>1.5451862527343541</v>
      </c>
      <c r="Q1184" t="str">
        <f t="shared" ca="1" si="56"/>
        <v>No</v>
      </c>
    </row>
    <row r="1185" spans="1:17" x14ac:dyDescent="0.45">
      <c r="A1185" t="s">
        <v>71</v>
      </c>
      <c r="B1185" t="s">
        <v>72</v>
      </c>
      <c r="C1185" t="s">
        <v>66</v>
      </c>
      <c r="D1185" t="s">
        <v>20</v>
      </c>
      <c r="E1185" t="s">
        <v>21</v>
      </c>
      <c r="F1185" s="1">
        <v>45139</v>
      </c>
      <c r="G1185">
        <v>4.66</v>
      </c>
      <c r="H1185">
        <v>78.649799999999999</v>
      </c>
      <c r="I1185">
        <v>14.74</v>
      </c>
      <c r="J1185">
        <v>85.33</v>
      </c>
      <c r="K1185" t="s">
        <v>32</v>
      </c>
      <c r="L1185">
        <v>215.69</v>
      </c>
      <c r="M1185">
        <f>VLOOKUP(K1185,RatingLookup!$A$2:$C$8,2,FALSE)</f>
        <v>0.12</v>
      </c>
      <c r="N1185">
        <f t="shared" si="54"/>
        <v>1.0596241035318976E-2</v>
      </c>
      <c r="O1185">
        <f>VLOOKUP(K1185,RatingLookup!$A$2:$C$8,3,FALSE)</f>
        <v>0.7</v>
      </c>
      <c r="P1185">
        <f t="shared" si="55"/>
        <v>1.5998522602355647</v>
      </c>
      <c r="Q1185" t="str">
        <f t="shared" ca="1" si="56"/>
        <v>No</v>
      </c>
    </row>
    <row r="1186" spans="1:17" x14ac:dyDescent="0.45">
      <c r="A1186" t="s">
        <v>71</v>
      </c>
      <c r="B1186" t="s">
        <v>72</v>
      </c>
      <c r="C1186" t="s">
        <v>66</v>
      </c>
      <c r="D1186" t="s">
        <v>20</v>
      </c>
      <c r="E1186" t="s">
        <v>21</v>
      </c>
      <c r="F1186" s="1">
        <v>45170</v>
      </c>
      <c r="G1186">
        <v>6.3</v>
      </c>
      <c r="H1186">
        <v>82.020200000000003</v>
      </c>
      <c r="I1186">
        <v>15.95</v>
      </c>
      <c r="J1186">
        <v>63.89</v>
      </c>
      <c r="K1186" t="s">
        <v>32</v>
      </c>
      <c r="L1186">
        <v>222.55</v>
      </c>
      <c r="M1186">
        <f>VLOOKUP(K1186,RatingLookup!$A$2:$C$8,2,FALSE)</f>
        <v>0.12</v>
      </c>
      <c r="N1186">
        <f t="shared" si="54"/>
        <v>1.0596241035318976E-2</v>
      </c>
      <c r="O1186">
        <f>VLOOKUP(K1186,RatingLookup!$A$2:$C$8,3,FALSE)</f>
        <v>0.7</v>
      </c>
      <c r="P1186">
        <f t="shared" si="55"/>
        <v>1.6507354096871667</v>
      </c>
      <c r="Q1186" t="str">
        <f t="shared" ca="1" si="56"/>
        <v>No</v>
      </c>
    </row>
    <row r="1187" spans="1:17" x14ac:dyDescent="0.45">
      <c r="A1187" t="s">
        <v>71</v>
      </c>
      <c r="B1187" t="s">
        <v>72</v>
      </c>
      <c r="C1187" t="s">
        <v>66</v>
      </c>
      <c r="D1187" t="s">
        <v>20</v>
      </c>
      <c r="E1187" t="s">
        <v>21</v>
      </c>
      <c r="F1187" s="1">
        <v>45200</v>
      </c>
      <c r="G1187">
        <v>4.4000000000000004</v>
      </c>
      <c r="H1187">
        <v>79.5107</v>
      </c>
      <c r="I1187">
        <v>11.75</v>
      </c>
      <c r="J1187">
        <v>72.34</v>
      </c>
      <c r="K1187" t="s">
        <v>32</v>
      </c>
      <c r="L1187">
        <v>228.03</v>
      </c>
      <c r="M1187">
        <f>VLOOKUP(K1187,RatingLookup!$A$2:$C$8,2,FALSE)</f>
        <v>0.12</v>
      </c>
      <c r="N1187">
        <f t="shared" si="54"/>
        <v>1.0596241035318976E-2</v>
      </c>
      <c r="O1187">
        <f>VLOOKUP(K1187,RatingLookup!$A$2:$C$8,3,FALSE)</f>
        <v>0.7</v>
      </c>
      <c r="P1187">
        <f t="shared" si="55"/>
        <v>1.6913825902986503</v>
      </c>
      <c r="Q1187" t="str">
        <f t="shared" ca="1" si="56"/>
        <v>No</v>
      </c>
    </row>
    <row r="1188" spans="1:17" x14ac:dyDescent="0.45">
      <c r="A1188" t="s">
        <v>71</v>
      </c>
      <c r="B1188" t="s">
        <v>72</v>
      </c>
      <c r="C1188" t="s">
        <v>66</v>
      </c>
      <c r="D1188" t="s">
        <v>20</v>
      </c>
      <c r="E1188" t="s">
        <v>21</v>
      </c>
      <c r="F1188" s="1">
        <v>45231</v>
      </c>
      <c r="G1188">
        <v>5.47</v>
      </c>
      <c r="H1188">
        <v>84.144800000000004</v>
      </c>
      <c r="I1188">
        <v>16.940000000000001</v>
      </c>
      <c r="J1188">
        <v>84.11</v>
      </c>
      <c r="K1188" t="s">
        <v>32</v>
      </c>
      <c r="L1188">
        <v>217.6</v>
      </c>
      <c r="M1188">
        <f>VLOOKUP(K1188,RatingLookup!$A$2:$C$8,2,FALSE)</f>
        <v>0.12</v>
      </c>
      <c r="N1188">
        <f t="shared" si="54"/>
        <v>1.0596241035318976E-2</v>
      </c>
      <c r="O1188">
        <f>VLOOKUP(K1188,RatingLookup!$A$2:$C$8,3,FALSE)</f>
        <v>0.7</v>
      </c>
      <c r="P1188">
        <f t="shared" si="55"/>
        <v>1.6140194344997862</v>
      </c>
      <c r="Q1188" t="str">
        <f t="shared" ca="1" si="56"/>
        <v>No</v>
      </c>
    </row>
    <row r="1189" spans="1:17" x14ac:dyDescent="0.45">
      <c r="A1189" t="s">
        <v>71</v>
      </c>
      <c r="B1189" t="s">
        <v>72</v>
      </c>
      <c r="C1189" t="s">
        <v>66</v>
      </c>
      <c r="D1189" t="s">
        <v>20</v>
      </c>
      <c r="E1189" t="s">
        <v>21</v>
      </c>
      <c r="F1189" s="1">
        <v>45261</v>
      </c>
      <c r="G1189">
        <v>5.35</v>
      </c>
      <c r="H1189">
        <v>85.335899999999995</v>
      </c>
      <c r="I1189">
        <v>14.27</v>
      </c>
      <c r="J1189">
        <v>60.02</v>
      </c>
      <c r="K1189" t="s">
        <v>32</v>
      </c>
      <c r="L1189">
        <v>214.3</v>
      </c>
      <c r="M1189">
        <f>VLOOKUP(K1189,RatingLookup!$A$2:$C$8,2,FALSE)</f>
        <v>0.12</v>
      </c>
      <c r="N1189">
        <f t="shared" si="54"/>
        <v>1.0596241035318976E-2</v>
      </c>
      <c r="O1189">
        <f>VLOOKUP(K1189,RatingLookup!$A$2:$C$8,3,FALSE)</f>
        <v>0.7</v>
      </c>
      <c r="P1189">
        <f t="shared" si="55"/>
        <v>1.5895421177081994</v>
      </c>
      <c r="Q1189" t="str">
        <f t="shared" ca="1" si="56"/>
        <v>No</v>
      </c>
    </row>
    <row r="1190" spans="1:17" x14ac:dyDescent="0.45">
      <c r="A1190" t="s">
        <v>71</v>
      </c>
      <c r="B1190" t="s">
        <v>72</v>
      </c>
      <c r="C1190" t="s">
        <v>66</v>
      </c>
      <c r="D1190" t="s">
        <v>20</v>
      </c>
      <c r="E1190" t="s">
        <v>21</v>
      </c>
      <c r="F1190" s="1">
        <v>45292</v>
      </c>
      <c r="G1190">
        <v>5.15</v>
      </c>
      <c r="H1190">
        <v>84.098799999999997</v>
      </c>
      <c r="I1190">
        <v>22.64</v>
      </c>
      <c r="J1190">
        <v>94.7</v>
      </c>
      <c r="K1190" t="s">
        <v>32</v>
      </c>
      <c r="L1190">
        <v>201.6</v>
      </c>
      <c r="M1190">
        <f>VLOOKUP(K1190,RatingLookup!$A$2:$C$8,2,FALSE)</f>
        <v>0.12</v>
      </c>
      <c r="N1190">
        <f t="shared" si="54"/>
        <v>1.0596241035318976E-2</v>
      </c>
      <c r="O1190">
        <f>VLOOKUP(K1190,RatingLookup!$A$2:$C$8,3,FALSE)</f>
        <v>0.7</v>
      </c>
      <c r="P1190">
        <f t="shared" si="55"/>
        <v>1.4953415349042136</v>
      </c>
      <c r="Q1190" t="str">
        <f t="shared" ca="1" si="56"/>
        <v>No</v>
      </c>
    </row>
    <row r="1191" spans="1:17" x14ac:dyDescent="0.45">
      <c r="A1191" t="s">
        <v>71</v>
      </c>
      <c r="B1191" t="s">
        <v>72</v>
      </c>
      <c r="C1191" t="s">
        <v>66</v>
      </c>
      <c r="D1191" t="s">
        <v>20</v>
      </c>
      <c r="E1191" t="s">
        <v>21</v>
      </c>
      <c r="F1191" s="1">
        <v>45323</v>
      </c>
      <c r="G1191">
        <v>4.8600000000000003</v>
      </c>
      <c r="H1191">
        <v>85.645799999999994</v>
      </c>
      <c r="I1191">
        <v>15.62</v>
      </c>
      <c r="J1191">
        <v>66.819999999999993</v>
      </c>
      <c r="K1191" t="s">
        <v>32</v>
      </c>
      <c r="L1191">
        <v>220.45</v>
      </c>
      <c r="M1191">
        <f>VLOOKUP(K1191,RatingLookup!$A$2:$C$8,2,FALSE)</f>
        <v>0.12</v>
      </c>
      <c r="N1191">
        <f t="shared" si="54"/>
        <v>1.0596241035318976E-2</v>
      </c>
      <c r="O1191">
        <f>VLOOKUP(K1191,RatingLookup!$A$2:$C$8,3,FALSE)</f>
        <v>0.7</v>
      </c>
      <c r="P1191">
        <f t="shared" si="55"/>
        <v>1.6351589353652478</v>
      </c>
      <c r="Q1191" t="str">
        <f t="shared" ca="1" si="56"/>
        <v>No</v>
      </c>
    </row>
    <row r="1192" spans="1:17" x14ac:dyDescent="0.45">
      <c r="A1192" t="s">
        <v>71</v>
      </c>
      <c r="B1192" t="s">
        <v>72</v>
      </c>
      <c r="C1192" t="s">
        <v>66</v>
      </c>
      <c r="D1192" t="s">
        <v>20</v>
      </c>
      <c r="E1192" t="s">
        <v>21</v>
      </c>
      <c r="F1192" s="1">
        <v>45352</v>
      </c>
      <c r="G1192">
        <v>5.2</v>
      </c>
      <c r="H1192">
        <v>83.376400000000004</v>
      </c>
      <c r="I1192">
        <v>23.48</v>
      </c>
      <c r="J1192">
        <v>73.510000000000005</v>
      </c>
      <c r="K1192" t="s">
        <v>32</v>
      </c>
      <c r="L1192">
        <v>209.59</v>
      </c>
      <c r="M1192">
        <f>VLOOKUP(K1192,RatingLookup!$A$2:$C$8,2,FALSE)</f>
        <v>0.12</v>
      </c>
      <c r="N1192">
        <f t="shared" si="54"/>
        <v>1.0596241035318976E-2</v>
      </c>
      <c r="O1192">
        <f>VLOOKUP(K1192,RatingLookup!$A$2:$C$8,3,FALSE)</f>
        <v>0.7</v>
      </c>
      <c r="P1192">
        <f t="shared" si="55"/>
        <v>1.554606311014753</v>
      </c>
      <c r="Q1192" t="str">
        <f t="shared" ca="1" si="56"/>
        <v>No</v>
      </c>
    </row>
    <row r="1193" spans="1:17" x14ac:dyDescent="0.45">
      <c r="A1193" t="s">
        <v>71</v>
      </c>
      <c r="B1193" t="s">
        <v>72</v>
      </c>
      <c r="C1193" t="s">
        <v>66</v>
      </c>
      <c r="D1193" t="s">
        <v>20</v>
      </c>
      <c r="E1193" t="s">
        <v>21</v>
      </c>
      <c r="F1193" s="1">
        <v>45383</v>
      </c>
      <c r="G1193">
        <v>6.65</v>
      </c>
      <c r="H1193">
        <v>82.334900000000005</v>
      </c>
      <c r="I1193">
        <v>20.52</v>
      </c>
      <c r="J1193">
        <v>86.58</v>
      </c>
      <c r="K1193" t="s">
        <v>32</v>
      </c>
      <c r="L1193">
        <v>199.53</v>
      </c>
      <c r="M1193">
        <f>VLOOKUP(K1193,RatingLookup!$A$2:$C$8,2,FALSE)</f>
        <v>0.12</v>
      </c>
      <c r="N1193">
        <f t="shared" si="54"/>
        <v>1.0596241035318976E-2</v>
      </c>
      <c r="O1193">
        <f>VLOOKUP(K1193,RatingLookup!$A$2:$C$8,3,FALSE)</f>
        <v>0.7</v>
      </c>
      <c r="P1193">
        <f t="shared" si="55"/>
        <v>1.4799875816440367</v>
      </c>
      <c r="Q1193" t="str">
        <f t="shared" ca="1" si="56"/>
        <v>No</v>
      </c>
    </row>
    <row r="1194" spans="1:17" x14ac:dyDescent="0.45">
      <c r="A1194" t="s">
        <v>71</v>
      </c>
      <c r="B1194" t="s">
        <v>72</v>
      </c>
      <c r="C1194" t="s">
        <v>66</v>
      </c>
      <c r="D1194" t="s">
        <v>20</v>
      </c>
      <c r="E1194" t="s">
        <v>21</v>
      </c>
      <c r="F1194" s="1">
        <v>45413</v>
      </c>
      <c r="G1194">
        <v>5.42</v>
      </c>
      <c r="H1194">
        <v>86.472800000000007</v>
      </c>
      <c r="I1194">
        <v>13.05</v>
      </c>
      <c r="J1194">
        <v>63.54</v>
      </c>
      <c r="K1194" t="s">
        <v>32</v>
      </c>
      <c r="L1194">
        <v>239.89</v>
      </c>
      <c r="M1194">
        <f>VLOOKUP(K1194,RatingLookup!$A$2:$C$8,2,FALSE)</f>
        <v>0.12</v>
      </c>
      <c r="N1194">
        <f t="shared" si="54"/>
        <v>1.0596241035318976E-2</v>
      </c>
      <c r="O1194">
        <f>VLOOKUP(K1194,RatingLookup!$A$2:$C$8,3,FALSE)</f>
        <v>0.7</v>
      </c>
      <c r="P1194">
        <f t="shared" si="55"/>
        <v>1.7793525833738681</v>
      </c>
      <c r="Q1194" t="str">
        <f t="shared" ca="1" si="56"/>
        <v>No</v>
      </c>
    </row>
    <row r="1195" spans="1:17" x14ac:dyDescent="0.45">
      <c r="A1195" t="s">
        <v>71</v>
      </c>
      <c r="B1195" t="s">
        <v>72</v>
      </c>
      <c r="C1195" t="s">
        <v>66</v>
      </c>
      <c r="D1195" t="s">
        <v>20</v>
      </c>
      <c r="E1195" t="s">
        <v>21</v>
      </c>
      <c r="F1195" s="1">
        <v>45444</v>
      </c>
      <c r="G1195">
        <v>4.8099999999999996</v>
      </c>
      <c r="H1195">
        <v>79.313599999999994</v>
      </c>
      <c r="I1195">
        <v>28.77</v>
      </c>
      <c r="J1195">
        <v>68.44</v>
      </c>
      <c r="K1195" t="s">
        <v>32</v>
      </c>
      <c r="L1195">
        <v>237.11</v>
      </c>
      <c r="M1195">
        <f>VLOOKUP(K1195,RatingLookup!$A$2:$C$8,2,FALSE)</f>
        <v>0.12</v>
      </c>
      <c r="N1195">
        <f t="shared" si="54"/>
        <v>1.0596241035318976E-2</v>
      </c>
      <c r="O1195">
        <f>VLOOKUP(K1195,RatingLookup!$A$2:$C$8,3,FALSE)</f>
        <v>0.7</v>
      </c>
      <c r="P1195">
        <f t="shared" si="55"/>
        <v>1.7587322983191376</v>
      </c>
      <c r="Q1195" t="str">
        <f t="shared" ca="1" si="56"/>
        <v>No</v>
      </c>
    </row>
    <row r="1196" spans="1:17" x14ac:dyDescent="0.45">
      <c r="A1196" t="s">
        <v>71</v>
      </c>
      <c r="B1196" t="s">
        <v>72</v>
      </c>
      <c r="C1196" t="s">
        <v>66</v>
      </c>
      <c r="D1196" t="s">
        <v>20</v>
      </c>
      <c r="E1196" t="s">
        <v>21</v>
      </c>
      <c r="F1196" s="1">
        <v>45474</v>
      </c>
      <c r="G1196">
        <v>5.61</v>
      </c>
      <c r="H1196">
        <v>85.779300000000006</v>
      </c>
      <c r="I1196">
        <v>13.57</v>
      </c>
      <c r="J1196">
        <v>74.260000000000005</v>
      </c>
      <c r="K1196" t="s">
        <v>32</v>
      </c>
      <c r="L1196">
        <v>196.56</v>
      </c>
      <c r="M1196">
        <f>VLOOKUP(K1196,RatingLookup!$A$2:$C$8,2,FALSE)</f>
        <v>0.12</v>
      </c>
      <c r="N1196">
        <f t="shared" si="54"/>
        <v>1.0596241035318976E-2</v>
      </c>
      <c r="O1196">
        <f>VLOOKUP(K1196,RatingLookup!$A$2:$C$8,3,FALSE)</f>
        <v>0.7</v>
      </c>
      <c r="P1196">
        <f t="shared" si="55"/>
        <v>1.4579579965316083</v>
      </c>
      <c r="Q1196" t="str">
        <f t="shared" ca="1" si="56"/>
        <v>No</v>
      </c>
    </row>
    <row r="1197" spans="1:17" x14ac:dyDescent="0.45">
      <c r="A1197" t="s">
        <v>71</v>
      </c>
      <c r="B1197" t="s">
        <v>72</v>
      </c>
      <c r="C1197" t="s">
        <v>66</v>
      </c>
      <c r="D1197" t="s">
        <v>20</v>
      </c>
      <c r="E1197" t="s">
        <v>21</v>
      </c>
      <c r="F1197" s="1">
        <v>45505</v>
      </c>
      <c r="G1197">
        <v>6.08</v>
      </c>
      <c r="H1197">
        <v>78.727699999999999</v>
      </c>
      <c r="I1197">
        <v>20.79</v>
      </c>
      <c r="J1197">
        <v>97.26</v>
      </c>
      <c r="K1197" t="s">
        <v>32</v>
      </c>
      <c r="L1197">
        <v>217.1</v>
      </c>
      <c r="M1197">
        <f>VLOOKUP(K1197,RatingLookup!$A$2:$C$8,2,FALSE)</f>
        <v>0.12</v>
      </c>
      <c r="N1197">
        <f t="shared" si="54"/>
        <v>1.0596241035318976E-2</v>
      </c>
      <c r="O1197">
        <f>VLOOKUP(K1197,RatingLookup!$A$2:$C$8,3,FALSE)</f>
        <v>0.7</v>
      </c>
      <c r="P1197">
        <f t="shared" si="55"/>
        <v>1.6103107501374248</v>
      </c>
      <c r="Q1197" t="str">
        <f t="shared" ca="1" si="56"/>
        <v>No</v>
      </c>
    </row>
    <row r="1198" spans="1:17" x14ac:dyDescent="0.45">
      <c r="A1198" t="s">
        <v>71</v>
      </c>
      <c r="B1198" t="s">
        <v>72</v>
      </c>
      <c r="C1198" t="s">
        <v>66</v>
      </c>
      <c r="D1198" t="s">
        <v>20</v>
      </c>
      <c r="E1198" t="s">
        <v>21</v>
      </c>
      <c r="F1198" s="1">
        <v>45536</v>
      </c>
      <c r="G1198">
        <v>6.25</v>
      </c>
      <c r="H1198">
        <v>81.171899999999994</v>
      </c>
      <c r="I1198">
        <v>16.89</v>
      </c>
      <c r="J1198">
        <v>91.02</v>
      </c>
      <c r="K1198" t="s">
        <v>32</v>
      </c>
      <c r="L1198">
        <v>225.79</v>
      </c>
      <c r="M1198">
        <f>VLOOKUP(K1198,RatingLookup!$A$2:$C$8,2,FALSE)</f>
        <v>0.12</v>
      </c>
      <c r="N1198">
        <f t="shared" si="54"/>
        <v>1.0596241035318976E-2</v>
      </c>
      <c r="O1198">
        <f>VLOOKUP(K1198,RatingLookup!$A$2:$C$8,3,FALSE)</f>
        <v>0.7</v>
      </c>
      <c r="P1198">
        <f t="shared" si="55"/>
        <v>1.6747676843552699</v>
      </c>
      <c r="Q1198" t="str">
        <f t="shared" ca="1" si="56"/>
        <v>No</v>
      </c>
    </row>
    <row r="1199" spans="1:17" x14ac:dyDescent="0.45">
      <c r="A1199" t="s">
        <v>71</v>
      </c>
      <c r="B1199" t="s">
        <v>72</v>
      </c>
      <c r="C1199" t="s">
        <v>66</v>
      </c>
      <c r="D1199" t="s">
        <v>20</v>
      </c>
      <c r="E1199" t="s">
        <v>21</v>
      </c>
      <c r="F1199" s="1">
        <v>45566</v>
      </c>
      <c r="G1199">
        <v>5.3</v>
      </c>
      <c r="H1199">
        <v>81.392600000000002</v>
      </c>
      <c r="I1199">
        <v>27.93</v>
      </c>
      <c r="J1199">
        <v>69.540000000000006</v>
      </c>
      <c r="K1199" t="s">
        <v>32</v>
      </c>
      <c r="L1199">
        <v>216.52</v>
      </c>
      <c r="M1199">
        <f>VLOOKUP(K1199,RatingLookup!$A$2:$C$8,2,FALSE)</f>
        <v>0.12</v>
      </c>
      <c r="N1199">
        <f t="shared" si="54"/>
        <v>1.0596241035318976E-2</v>
      </c>
      <c r="O1199">
        <f>VLOOKUP(K1199,RatingLookup!$A$2:$C$8,3,FALSE)</f>
        <v>0.7</v>
      </c>
      <c r="P1199">
        <f t="shared" si="55"/>
        <v>1.6060086762770853</v>
      </c>
      <c r="Q1199" t="str">
        <f t="shared" ca="1" si="56"/>
        <v>No</v>
      </c>
    </row>
    <row r="1200" spans="1:17" x14ac:dyDescent="0.45">
      <c r="A1200" t="s">
        <v>71</v>
      </c>
      <c r="B1200" t="s">
        <v>72</v>
      </c>
      <c r="C1200" t="s">
        <v>66</v>
      </c>
      <c r="D1200" t="s">
        <v>20</v>
      </c>
      <c r="E1200" t="s">
        <v>21</v>
      </c>
      <c r="F1200" s="1">
        <v>45597</v>
      </c>
      <c r="G1200">
        <v>4.93</v>
      </c>
      <c r="H1200">
        <v>82.079599999999999</v>
      </c>
      <c r="I1200">
        <v>13.77</v>
      </c>
      <c r="J1200">
        <v>72.17</v>
      </c>
      <c r="K1200" t="s">
        <v>32</v>
      </c>
      <c r="L1200">
        <v>225.19</v>
      </c>
      <c r="M1200">
        <f>VLOOKUP(K1200,RatingLookup!$A$2:$C$8,2,FALSE)</f>
        <v>0.12</v>
      </c>
      <c r="N1200">
        <f t="shared" si="54"/>
        <v>1.0596241035318976E-2</v>
      </c>
      <c r="O1200">
        <f>VLOOKUP(K1200,RatingLookup!$A$2:$C$8,3,FALSE)</f>
        <v>0.7</v>
      </c>
      <c r="P1200">
        <f t="shared" si="55"/>
        <v>1.6703172631204359</v>
      </c>
      <c r="Q1200" t="str">
        <f t="shared" ca="1" si="56"/>
        <v>No</v>
      </c>
    </row>
    <row r="1201" spans="1:17" x14ac:dyDescent="0.45">
      <c r="A1201" t="s">
        <v>71</v>
      </c>
      <c r="B1201" t="s">
        <v>72</v>
      </c>
      <c r="C1201" t="s">
        <v>66</v>
      </c>
      <c r="D1201" t="s">
        <v>20</v>
      </c>
      <c r="E1201" t="s">
        <v>21</v>
      </c>
      <c r="F1201" s="1">
        <v>45627</v>
      </c>
      <c r="G1201">
        <v>5.59</v>
      </c>
      <c r="H1201">
        <v>79.272599999999997</v>
      </c>
      <c r="I1201">
        <v>23.53</v>
      </c>
      <c r="J1201">
        <v>77.400000000000006</v>
      </c>
      <c r="K1201" t="s">
        <v>32</v>
      </c>
      <c r="L1201">
        <v>227.64</v>
      </c>
      <c r="M1201">
        <f>VLOOKUP(K1201,RatingLookup!$A$2:$C$8,2,FALSE)</f>
        <v>0.12</v>
      </c>
      <c r="N1201">
        <f t="shared" si="54"/>
        <v>1.0596241035318976E-2</v>
      </c>
      <c r="O1201">
        <f>VLOOKUP(K1201,RatingLookup!$A$2:$C$8,3,FALSE)</f>
        <v>0.7</v>
      </c>
      <c r="P1201">
        <f t="shared" si="55"/>
        <v>1.6884898164960078</v>
      </c>
      <c r="Q1201" t="str">
        <f t="shared" ca="1" si="56"/>
        <v>No</v>
      </c>
    </row>
    <row r="1202" spans="1:17" x14ac:dyDescent="0.45">
      <c r="A1202" t="s">
        <v>73</v>
      </c>
      <c r="B1202" t="s">
        <v>74</v>
      </c>
      <c r="C1202" t="s">
        <v>35</v>
      </c>
      <c r="D1202" t="s">
        <v>20</v>
      </c>
      <c r="E1202" t="s">
        <v>21</v>
      </c>
      <c r="F1202" s="1">
        <v>43831</v>
      </c>
      <c r="G1202">
        <v>5.65</v>
      </c>
      <c r="H1202">
        <v>79.258799999999994</v>
      </c>
      <c r="I1202">
        <v>16.350000000000001</v>
      </c>
      <c r="J1202">
        <v>62.9</v>
      </c>
      <c r="K1202" t="s">
        <v>30</v>
      </c>
      <c r="L1202">
        <v>1106.23</v>
      </c>
      <c r="M1202">
        <f>VLOOKUP(K1202,RatingLookup!$A$2:$C$8,2,FALSE)</f>
        <v>1.4999999999999999E-2</v>
      </c>
      <c r="N1202">
        <f t="shared" si="54"/>
        <v>1.2586770182638762E-3</v>
      </c>
      <c r="O1202">
        <f>VLOOKUP(K1202,RatingLookup!$A$2:$C$8,3,FALSE)</f>
        <v>0.5</v>
      </c>
      <c r="P1202">
        <f t="shared" si="55"/>
        <v>0.69619313895702395</v>
      </c>
      <c r="Q1202" t="str">
        <f t="shared" ca="1" si="56"/>
        <v>No</v>
      </c>
    </row>
    <row r="1203" spans="1:17" x14ac:dyDescent="0.45">
      <c r="A1203" t="s">
        <v>73</v>
      </c>
      <c r="B1203" t="s">
        <v>74</v>
      </c>
      <c r="C1203" t="s">
        <v>35</v>
      </c>
      <c r="D1203" t="s">
        <v>20</v>
      </c>
      <c r="E1203" t="s">
        <v>21</v>
      </c>
      <c r="F1203" s="1">
        <v>43862</v>
      </c>
      <c r="G1203">
        <v>5.48</v>
      </c>
      <c r="H1203">
        <v>82.853399999999993</v>
      </c>
      <c r="I1203">
        <v>18.91</v>
      </c>
      <c r="J1203">
        <v>74.209999999999994</v>
      </c>
      <c r="K1203" t="s">
        <v>30</v>
      </c>
      <c r="L1203">
        <v>1094.98</v>
      </c>
      <c r="M1203">
        <f>VLOOKUP(K1203,RatingLookup!$A$2:$C$8,2,FALSE)</f>
        <v>1.4999999999999999E-2</v>
      </c>
      <c r="N1203">
        <f t="shared" si="54"/>
        <v>1.2586770182638762E-3</v>
      </c>
      <c r="O1203">
        <f>VLOOKUP(K1203,RatingLookup!$A$2:$C$8,3,FALSE)</f>
        <v>0.5</v>
      </c>
      <c r="P1203">
        <f t="shared" si="55"/>
        <v>0.68911308072928956</v>
      </c>
      <c r="Q1203" t="str">
        <f t="shared" ca="1" si="56"/>
        <v>No</v>
      </c>
    </row>
    <row r="1204" spans="1:17" x14ac:dyDescent="0.45">
      <c r="A1204" t="s">
        <v>73</v>
      </c>
      <c r="B1204" t="s">
        <v>74</v>
      </c>
      <c r="C1204" t="s">
        <v>35</v>
      </c>
      <c r="D1204" t="s">
        <v>20</v>
      </c>
      <c r="E1204" t="s">
        <v>21</v>
      </c>
      <c r="F1204" s="1">
        <v>43891</v>
      </c>
      <c r="G1204">
        <v>4.88</v>
      </c>
      <c r="H1204">
        <v>83.662199999999999</v>
      </c>
      <c r="I1204">
        <v>23.29</v>
      </c>
      <c r="J1204">
        <v>74.38</v>
      </c>
      <c r="K1204" t="s">
        <v>30</v>
      </c>
      <c r="L1204">
        <v>1130.6199999999999</v>
      </c>
      <c r="M1204">
        <f>VLOOKUP(K1204,RatingLookup!$A$2:$C$8,2,FALSE)</f>
        <v>1.4999999999999999E-2</v>
      </c>
      <c r="N1204">
        <f t="shared" si="54"/>
        <v>1.2586770182638762E-3</v>
      </c>
      <c r="O1204">
        <f>VLOOKUP(K1204,RatingLookup!$A$2:$C$8,3,FALSE)</f>
        <v>0.5</v>
      </c>
      <c r="P1204">
        <f t="shared" si="55"/>
        <v>0.71154270519475182</v>
      </c>
      <c r="Q1204" t="str">
        <f t="shared" ca="1" si="56"/>
        <v>No</v>
      </c>
    </row>
    <row r="1205" spans="1:17" x14ac:dyDescent="0.45">
      <c r="A1205" t="s">
        <v>73</v>
      </c>
      <c r="B1205" t="s">
        <v>74</v>
      </c>
      <c r="C1205" t="s">
        <v>35</v>
      </c>
      <c r="D1205" t="s">
        <v>20</v>
      </c>
      <c r="E1205" t="s">
        <v>21</v>
      </c>
      <c r="F1205" s="1">
        <v>43922</v>
      </c>
      <c r="G1205">
        <v>4.26</v>
      </c>
      <c r="H1205">
        <v>79.951400000000007</v>
      </c>
      <c r="I1205">
        <v>23.12</v>
      </c>
      <c r="J1205">
        <v>67.47</v>
      </c>
      <c r="K1205" t="s">
        <v>30</v>
      </c>
      <c r="L1205">
        <v>1124.1500000000001</v>
      </c>
      <c r="M1205">
        <f>VLOOKUP(K1205,RatingLookup!$A$2:$C$8,2,FALSE)</f>
        <v>1.4999999999999999E-2</v>
      </c>
      <c r="N1205">
        <f t="shared" si="54"/>
        <v>1.2586770182638762E-3</v>
      </c>
      <c r="O1205">
        <f>VLOOKUP(K1205,RatingLookup!$A$2:$C$8,3,FALSE)</f>
        <v>0.5</v>
      </c>
      <c r="P1205">
        <f t="shared" si="55"/>
        <v>0.70747088504066824</v>
      </c>
      <c r="Q1205" t="str">
        <f t="shared" ca="1" si="56"/>
        <v>No</v>
      </c>
    </row>
    <row r="1206" spans="1:17" x14ac:dyDescent="0.45">
      <c r="A1206" t="s">
        <v>73</v>
      </c>
      <c r="B1206" t="s">
        <v>74</v>
      </c>
      <c r="C1206" t="s">
        <v>35</v>
      </c>
      <c r="D1206" t="s">
        <v>20</v>
      </c>
      <c r="E1206" t="s">
        <v>21</v>
      </c>
      <c r="F1206" s="1">
        <v>43952</v>
      </c>
      <c r="G1206">
        <v>5.74</v>
      </c>
      <c r="H1206">
        <v>83.131200000000007</v>
      </c>
      <c r="I1206">
        <v>11.24</v>
      </c>
      <c r="J1206">
        <v>76.47</v>
      </c>
      <c r="K1206" t="s">
        <v>30</v>
      </c>
      <c r="L1206">
        <v>1227.94</v>
      </c>
      <c r="M1206">
        <f>VLOOKUP(K1206,RatingLookup!$A$2:$C$8,2,FALSE)</f>
        <v>1.4999999999999999E-2</v>
      </c>
      <c r="N1206">
        <f t="shared" si="54"/>
        <v>1.2586770182638762E-3</v>
      </c>
      <c r="O1206">
        <f>VLOOKUP(K1206,RatingLookup!$A$2:$C$8,3,FALSE)</f>
        <v>0.5</v>
      </c>
      <c r="P1206">
        <f t="shared" si="55"/>
        <v>0.77278992890347209</v>
      </c>
      <c r="Q1206" t="str">
        <f t="shared" ca="1" si="56"/>
        <v>No</v>
      </c>
    </row>
    <row r="1207" spans="1:17" x14ac:dyDescent="0.45">
      <c r="A1207" t="s">
        <v>73</v>
      </c>
      <c r="B1207" t="s">
        <v>74</v>
      </c>
      <c r="C1207" t="s">
        <v>35</v>
      </c>
      <c r="D1207" t="s">
        <v>20</v>
      </c>
      <c r="E1207" t="s">
        <v>21</v>
      </c>
      <c r="F1207" s="1">
        <v>43983</v>
      </c>
      <c r="G1207">
        <v>5.95</v>
      </c>
      <c r="H1207">
        <v>81.476600000000005</v>
      </c>
      <c r="I1207">
        <v>27.98</v>
      </c>
      <c r="J1207">
        <v>88.69</v>
      </c>
      <c r="K1207" t="s">
        <v>30</v>
      </c>
      <c r="L1207">
        <v>1163.08</v>
      </c>
      <c r="M1207">
        <f>VLOOKUP(K1207,RatingLookup!$A$2:$C$8,2,FALSE)</f>
        <v>1.4999999999999999E-2</v>
      </c>
      <c r="N1207">
        <f t="shared" si="54"/>
        <v>1.2586770182638762E-3</v>
      </c>
      <c r="O1207">
        <f>VLOOKUP(K1207,RatingLookup!$A$2:$C$8,3,FALSE)</f>
        <v>0.5</v>
      </c>
      <c r="P1207">
        <f t="shared" si="55"/>
        <v>0.73197103320117451</v>
      </c>
      <c r="Q1207" t="str">
        <f t="shared" ca="1" si="56"/>
        <v>No</v>
      </c>
    </row>
    <row r="1208" spans="1:17" x14ac:dyDescent="0.45">
      <c r="A1208" t="s">
        <v>73</v>
      </c>
      <c r="B1208" t="s">
        <v>74</v>
      </c>
      <c r="C1208" t="s">
        <v>35</v>
      </c>
      <c r="D1208" t="s">
        <v>20</v>
      </c>
      <c r="E1208" t="s">
        <v>21</v>
      </c>
      <c r="F1208" s="1">
        <v>44013</v>
      </c>
      <c r="G1208">
        <v>5.07</v>
      </c>
      <c r="H1208">
        <v>82.250699999999995</v>
      </c>
      <c r="I1208">
        <v>22.76</v>
      </c>
      <c r="J1208">
        <v>85.01</v>
      </c>
      <c r="K1208" t="s">
        <v>30</v>
      </c>
      <c r="L1208">
        <v>1156.17</v>
      </c>
      <c r="M1208">
        <f>VLOOKUP(K1208,RatingLookup!$A$2:$C$8,2,FALSE)</f>
        <v>1.4999999999999999E-2</v>
      </c>
      <c r="N1208">
        <f t="shared" si="54"/>
        <v>1.2586770182638762E-3</v>
      </c>
      <c r="O1208">
        <f>VLOOKUP(K1208,RatingLookup!$A$2:$C$8,3,FALSE)</f>
        <v>0.5</v>
      </c>
      <c r="P1208">
        <f t="shared" si="55"/>
        <v>0.72762230410307294</v>
      </c>
      <c r="Q1208" t="str">
        <f t="shared" ca="1" si="56"/>
        <v>No</v>
      </c>
    </row>
    <row r="1209" spans="1:17" x14ac:dyDescent="0.45">
      <c r="A1209" t="s">
        <v>73</v>
      </c>
      <c r="B1209" t="s">
        <v>74</v>
      </c>
      <c r="C1209" t="s">
        <v>35</v>
      </c>
      <c r="D1209" t="s">
        <v>20</v>
      </c>
      <c r="E1209" t="s">
        <v>21</v>
      </c>
      <c r="F1209" s="1">
        <v>44044</v>
      </c>
      <c r="G1209">
        <v>6.01</v>
      </c>
      <c r="H1209">
        <v>80.992699999999999</v>
      </c>
      <c r="I1209">
        <v>20.69</v>
      </c>
      <c r="J1209">
        <v>85.7</v>
      </c>
      <c r="K1209" t="s">
        <v>30</v>
      </c>
      <c r="L1209">
        <v>1181.04</v>
      </c>
      <c r="M1209">
        <f>VLOOKUP(K1209,RatingLookup!$A$2:$C$8,2,FALSE)</f>
        <v>1.4999999999999999E-2</v>
      </c>
      <c r="N1209">
        <f t="shared" si="54"/>
        <v>1.2586770182638762E-3</v>
      </c>
      <c r="O1209">
        <f>VLOOKUP(K1209,RatingLookup!$A$2:$C$8,3,FALSE)</f>
        <v>0.5</v>
      </c>
      <c r="P1209">
        <f t="shared" si="55"/>
        <v>0.74327395282518416</v>
      </c>
      <c r="Q1209" t="str">
        <f t="shared" ca="1" si="56"/>
        <v>No</v>
      </c>
    </row>
    <row r="1210" spans="1:17" x14ac:dyDescent="0.45">
      <c r="A1210" t="s">
        <v>73</v>
      </c>
      <c r="B1210" t="s">
        <v>74</v>
      </c>
      <c r="C1210" t="s">
        <v>35</v>
      </c>
      <c r="D1210" t="s">
        <v>20</v>
      </c>
      <c r="E1210" t="s">
        <v>21</v>
      </c>
      <c r="F1210" s="1">
        <v>44075</v>
      </c>
      <c r="G1210">
        <v>6.16</v>
      </c>
      <c r="H1210">
        <v>82.601399999999998</v>
      </c>
      <c r="I1210">
        <v>19.45</v>
      </c>
      <c r="J1210">
        <v>77.73</v>
      </c>
      <c r="K1210" t="s">
        <v>30</v>
      </c>
      <c r="L1210">
        <v>1246.1199999999999</v>
      </c>
      <c r="M1210">
        <f>VLOOKUP(K1210,RatingLookup!$A$2:$C$8,2,FALSE)</f>
        <v>1.4999999999999999E-2</v>
      </c>
      <c r="N1210">
        <f t="shared" si="54"/>
        <v>1.2586770182638762E-3</v>
      </c>
      <c r="O1210">
        <f>VLOOKUP(K1210,RatingLookup!$A$2:$C$8,3,FALSE)</f>
        <v>0.5</v>
      </c>
      <c r="P1210">
        <f t="shared" si="55"/>
        <v>0.78423130299949062</v>
      </c>
      <c r="Q1210" t="str">
        <f t="shared" ca="1" si="56"/>
        <v>No</v>
      </c>
    </row>
    <row r="1211" spans="1:17" x14ac:dyDescent="0.45">
      <c r="A1211" t="s">
        <v>73</v>
      </c>
      <c r="B1211" t="s">
        <v>74</v>
      </c>
      <c r="C1211" t="s">
        <v>35</v>
      </c>
      <c r="D1211" t="s">
        <v>20</v>
      </c>
      <c r="E1211" t="s">
        <v>21</v>
      </c>
      <c r="F1211" s="1">
        <v>44105</v>
      </c>
      <c r="G1211">
        <v>5.23</v>
      </c>
      <c r="H1211">
        <v>84.971599999999995</v>
      </c>
      <c r="I1211">
        <v>19.579999999999998</v>
      </c>
      <c r="J1211">
        <v>59.89</v>
      </c>
      <c r="K1211" t="s">
        <v>30</v>
      </c>
      <c r="L1211">
        <v>1097.1199999999999</v>
      </c>
      <c r="M1211">
        <f>VLOOKUP(K1211,RatingLookup!$A$2:$C$8,2,FALSE)</f>
        <v>1.4999999999999999E-2</v>
      </c>
      <c r="N1211">
        <f t="shared" si="54"/>
        <v>1.2586770182638762E-3</v>
      </c>
      <c r="O1211">
        <f>VLOOKUP(K1211,RatingLookup!$A$2:$C$8,3,FALSE)</f>
        <v>0.5</v>
      </c>
      <c r="P1211">
        <f t="shared" si="55"/>
        <v>0.69045986513883184</v>
      </c>
      <c r="Q1211" t="str">
        <f t="shared" ca="1" si="56"/>
        <v>No</v>
      </c>
    </row>
    <row r="1212" spans="1:17" x14ac:dyDescent="0.45">
      <c r="A1212" t="s">
        <v>73</v>
      </c>
      <c r="B1212" t="s">
        <v>74</v>
      </c>
      <c r="C1212" t="s">
        <v>35</v>
      </c>
      <c r="D1212" t="s">
        <v>20</v>
      </c>
      <c r="E1212" t="s">
        <v>21</v>
      </c>
      <c r="F1212" s="1">
        <v>44136</v>
      </c>
      <c r="G1212">
        <v>6.24</v>
      </c>
      <c r="H1212">
        <v>83.084599999999995</v>
      </c>
      <c r="I1212">
        <v>15.06</v>
      </c>
      <c r="J1212">
        <v>66.89</v>
      </c>
      <c r="K1212" t="s">
        <v>30</v>
      </c>
      <c r="L1212">
        <v>1212.03</v>
      </c>
      <c r="M1212">
        <f>VLOOKUP(K1212,RatingLookup!$A$2:$C$8,2,FALSE)</f>
        <v>1.4999999999999999E-2</v>
      </c>
      <c r="N1212">
        <f t="shared" si="54"/>
        <v>1.2586770182638762E-3</v>
      </c>
      <c r="O1212">
        <f>VLOOKUP(K1212,RatingLookup!$A$2:$C$8,3,FALSE)</f>
        <v>0.5</v>
      </c>
      <c r="P1212">
        <f t="shared" si="55"/>
        <v>0.76277715322318296</v>
      </c>
      <c r="Q1212" t="str">
        <f t="shared" ca="1" si="56"/>
        <v>No</v>
      </c>
    </row>
    <row r="1213" spans="1:17" x14ac:dyDescent="0.45">
      <c r="A1213" t="s">
        <v>73</v>
      </c>
      <c r="B1213" t="s">
        <v>74</v>
      </c>
      <c r="C1213" t="s">
        <v>35</v>
      </c>
      <c r="D1213" t="s">
        <v>20</v>
      </c>
      <c r="E1213" t="s">
        <v>21</v>
      </c>
      <c r="F1213" s="1">
        <v>44166</v>
      </c>
      <c r="G1213">
        <v>4.7300000000000004</v>
      </c>
      <c r="H1213">
        <v>80.920500000000004</v>
      </c>
      <c r="I1213">
        <v>10.59</v>
      </c>
      <c r="J1213">
        <v>58.45</v>
      </c>
      <c r="K1213" t="s">
        <v>30</v>
      </c>
      <c r="L1213">
        <v>1293.1600000000001</v>
      </c>
      <c r="M1213">
        <f>VLOOKUP(K1213,RatingLookup!$A$2:$C$8,2,FALSE)</f>
        <v>1.4999999999999999E-2</v>
      </c>
      <c r="N1213">
        <f t="shared" si="54"/>
        <v>1.2586770182638762E-3</v>
      </c>
      <c r="O1213">
        <f>VLOOKUP(K1213,RatingLookup!$A$2:$C$8,3,FALSE)</f>
        <v>0.5</v>
      </c>
      <c r="P1213">
        <f t="shared" si="55"/>
        <v>0.81383538646905718</v>
      </c>
      <c r="Q1213" t="str">
        <f t="shared" ca="1" si="56"/>
        <v>No</v>
      </c>
    </row>
    <row r="1214" spans="1:17" x14ac:dyDescent="0.45">
      <c r="A1214" t="s">
        <v>73</v>
      </c>
      <c r="B1214" t="s">
        <v>74</v>
      </c>
      <c r="C1214" t="s">
        <v>35</v>
      </c>
      <c r="D1214" t="s">
        <v>20</v>
      </c>
      <c r="E1214" t="s">
        <v>21</v>
      </c>
      <c r="F1214" s="1">
        <v>44197</v>
      </c>
      <c r="G1214">
        <v>5.39</v>
      </c>
      <c r="H1214">
        <v>80.582599999999999</v>
      </c>
      <c r="I1214">
        <v>7.06</v>
      </c>
      <c r="J1214">
        <v>84.08</v>
      </c>
      <c r="K1214" t="s">
        <v>30</v>
      </c>
      <c r="L1214">
        <v>1150.3399999999999</v>
      </c>
      <c r="M1214">
        <f>VLOOKUP(K1214,RatingLookup!$A$2:$C$8,2,FALSE)</f>
        <v>1.4999999999999999E-2</v>
      </c>
      <c r="N1214">
        <f t="shared" si="54"/>
        <v>1.2586770182638762E-3</v>
      </c>
      <c r="O1214">
        <f>VLOOKUP(K1214,RatingLookup!$A$2:$C$8,3,FALSE)</f>
        <v>0.5</v>
      </c>
      <c r="P1214">
        <f t="shared" si="55"/>
        <v>0.72395326059483367</v>
      </c>
      <c r="Q1214" t="str">
        <f t="shared" ca="1" si="56"/>
        <v>No</v>
      </c>
    </row>
    <row r="1215" spans="1:17" x14ac:dyDescent="0.45">
      <c r="A1215" t="s">
        <v>73</v>
      </c>
      <c r="B1215" t="s">
        <v>74</v>
      </c>
      <c r="C1215" t="s">
        <v>35</v>
      </c>
      <c r="D1215" t="s">
        <v>20</v>
      </c>
      <c r="E1215" t="s">
        <v>21</v>
      </c>
      <c r="F1215" s="1">
        <v>44228</v>
      </c>
      <c r="G1215">
        <v>5.92</v>
      </c>
      <c r="H1215">
        <v>76.672899999999998</v>
      </c>
      <c r="I1215">
        <v>23.71</v>
      </c>
      <c r="J1215">
        <v>65.42</v>
      </c>
      <c r="K1215" t="s">
        <v>30</v>
      </c>
      <c r="L1215">
        <v>1103.22</v>
      </c>
      <c r="M1215">
        <f>VLOOKUP(K1215,RatingLookup!$A$2:$C$8,2,FALSE)</f>
        <v>1.4999999999999999E-2</v>
      </c>
      <c r="N1215">
        <f t="shared" si="54"/>
        <v>1.2586770182638762E-3</v>
      </c>
      <c r="O1215">
        <f>VLOOKUP(K1215,RatingLookup!$A$2:$C$8,3,FALSE)</f>
        <v>0.5</v>
      </c>
      <c r="P1215">
        <f t="shared" si="55"/>
        <v>0.69429883004453674</v>
      </c>
      <c r="Q1215" t="str">
        <f t="shared" ca="1" si="56"/>
        <v>No</v>
      </c>
    </row>
    <row r="1216" spans="1:17" x14ac:dyDescent="0.45">
      <c r="A1216" t="s">
        <v>73</v>
      </c>
      <c r="B1216" t="s">
        <v>74</v>
      </c>
      <c r="C1216" t="s">
        <v>35</v>
      </c>
      <c r="D1216" t="s">
        <v>20</v>
      </c>
      <c r="E1216" t="s">
        <v>21</v>
      </c>
      <c r="F1216" s="1">
        <v>44256</v>
      </c>
      <c r="G1216">
        <v>5.15</v>
      </c>
      <c r="H1216">
        <v>80.649500000000003</v>
      </c>
      <c r="I1216">
        <v>16.010000000000002</v>
      </c>
      <c r="J1216">
        <v>59.39</v>
      </c>
      <c r="K1216" t="s">
        <v>30</v>
      </c>
      <c r="L1216">
        <v>1206.46</v>
      </c>
      <c r="M1216">
        <f>VLOOKUP(K1216,RatingLookup!$A$2:$C$8,2,FALSE)</f>
        <v>1.4999999999999999E-2</v>
      </c>
      <c r="N1216">
        <f t="shared" si="54"/>
        <v>1.2586770182638762E-3</v>
      </c>
      <c r="O1216">
        <f>VLOOKUP(K1216,RatingLookup!$A$2:$C$8,3,FALSE)</f>
        <v>0.5</v>
      </c>
      <c r="P1216">
        <f t="shared" si="55"/>
        <v>0.75927173772731804</v>
      </c>
      <c r="Q1216" t="str">
        <f t="shared" ca="1" si="56"/>
        <v>No</v>
      </c>
    </row>
    <row r="1217" spans="1:17" x14ac:dyDescent="0.45">
      <c r="A1217" t="s">
        <v>73</v>
      </c>
      <c r="B1217" t="s">
        <v>74</v>
      </c>
      <c r="C1217" t="s">
        <v>35</v>
      </c>
      <c r="D1217" t="s">
        <v>20</v>
      </c>
      <c r="E1217" t="s">
        <v>21</v>
      </c>
      <c r="F1217" s="1">
        <v>44287</v>
      </c>
      <c r="G1217">
        <v>5.74</v>
      </c>
      <c r="H1217">
        <v>84.395399999999995</v>
      </c>
      <c r="I1217">
        <v>16.760000000000002</v>
      </c>
      <c r="J1217">
        <v>64.09</v>
      </c>
      <c r="K1217" t="s">
        <v>30</v>
      </c>
      <c r="L1217">
        <v>1148.6600000000001</v>
      </c>
      <c r="M1217">
        <f>VLOOKUP(K1217,RatingLookup!$A$2:$C$8,2,FALSE)</f>
        <v>1.4999999999999999E-2</v>
      </c>
      <c r="N1217">
        <f t="shared" si="54"/>
        <v>1.2586770182638762E-3</v>
      </c>
      <c r="O1217">
        <f>VLOOKUP(K1217,RatingLookup!$A$2:$C$8,3,FALSE)</f>
        <v>0.5</v>
      </c>
      <c r="P1217">
        <f t="shared" si="55"/>
        <v>0.72289597189949206</v>
      </c>
      <c r="Q1217" t="str">
        <f t="shared" ca="1" si="56"/>
        <v>No</v>
      </c>
    </row>
    <row r="1218" spans="1:17" x14ac:dyDescent="0.45">
      <c r="A1218" t="s">
        <v>73</v>
      </c>
      <c r="B1218" t="s">
        <v>74</v>
      </c>
      <c r="C1218" t="s">
        <v>35</v>
      </c>
      <c r="D1218" t="s">
        <v>20</v>
      </c>
      <c r="E1218" t="s">
        <v>21</v>
      </c>
      <c r="F1218" s="1">
        <v>44317</v>
      </c>
      <c r="G1218">
        <v>5.47</v>
      </c>
      <c r="H1218">
        <v>84.957999999999998</v>
      </c>
      <c r="I1218">
        <v>30.46</v>
      </c>
      <c r="J1218">
        <v>90.23</v>
      </c>
      <c r="K1218" t="s">
        <v>30</v>
      </c>
      <c r="L1218">
        <v>1151.02</v>
      </c>
      <c r="M1218">
        <f>VLOOKUP(K1218,RatingLookup!$A$2:$C$8,2,FALSE)</f>
        <v>1.4999999999999999E-2</v>
      </c>
      <c r="N1218">
        <f t="shared" ref="N1218:N1281" si="57">1-(1-M1218)^(1/12)</f>
        <v>1.2586770182638762E-3</v>
      </c>
      <c r="O1218">
        <f>VLOOKUP(K1218,RatingLookup!$A$2:$C$8,3,FALSE)</f>
        <v>0.5</v>
      </c>
      <c r="P1218">
        <f t="shared" ref="P1218:P1281" si="58">L1218*N1218*O1218</f>
        <v>0.72438121078104345</v>
      </c>
      <c r="Q1218" t="str">
        <f t="shared" ref="Q1218:Q1281" ca="1" si="59">IF(RAND()&lt;N1218,"Yes","No")</f>
        <v>No</v>
      </c>
    </row>
    <row r="1219" spans="1:17" x14ac:dyDescent="0.45">
      <c r="A1219" t="s">
        <v>73</v>
      </c>
      <c r="B1219" t="s">
        <v>74</v>
      </c>
      <c r="C1219" t="s">
        <v>35</v>
      </c>
      <c r="D1219" t="s">
        <v>20</v>
      </c>
      <c r="E1219" t="s">
        <v>21</v>
      </c>
      <c r="F1219" s="1">
        <v>44348</v>
      </c>
      <c r="G1219">
        <v>6.85</v>
      </c>
      <c r="H1219">
        <v>83.735699999999994</v>
      </c>
      <c r="I1219">
        <v>12.46</v>
      </c>
      <c r="J1219">
        <v>77.650000000000006</v>
      </c>
      <c r="K1219" t="s">
        <v>30</v>
      </c>
      <c r="L1219">
        <v>1119.48</v>
      </c>
      <c r="M1219">
        <f>VLOOKUP(K1219,RatingLookup!$A$2:$C$8,2,FALSE)</f>
        <v>1.4999999999999999E-2</v>
      </c>
      <c r="N1219">
        <f t="shared" si="57"/>
        <v>1.2586770182638762E-3</v>
      </c>
      <c r="O1219">
        <f>VLOOKUP(K1219,RatingLookup!$A$2:$C$8,3,FALSE)</f>
        <v>0.5</v>
      </c>
      <c r="P1219">
        <f t="shared" si="58"/>
        <v>0.7045318742030221</v>
      </c>
      <c r="Q1219" t="str">
        <f t="shared" ca="1" si="59"/>
        <v>No</v>
      </c>
    </row>
    <row r="1220" spans="1:17" x14ac:dyDescent="0.45">
      <c r="A1220" t="s">
        <v>73</v>
      </c>
      <c r="B1220" t="s">
        <v>74</v>
      </c>
      <c r="C1220" t="s">
        <v>35</v>
      </c>
      <c r="D1220" t="s">
        <v>20</v>
      </c>
      <c r="E1220" t="s">
        <v>21</v>
      </c>
      <c r="F1220" s="1">
        <v>44378</v>
      </c>
      <c r="G1220">
        <v>5.83</v>
      </c>
      <c r="H1220">
        <v>81.795199999999994</v>
      </c>
      <c r="I1220">
        <v>21.29</v>
      </c>
      <c r="J1220">
        <v>75.930000000000007</v>
      </c>
      <c r="K1220" t="s">
        <v>31</v>
      </c>
      <c r="L1220">
        <v>1160.28</v>
      </c>
      <c r="M1220">
        <f>VLOOKUP(K1220,RatingLookup!$A$2:$C$8,2,FALSE)</f>
        <v>0.04</v>
      </c>
      <c r="N1220">
        <f t="shared" si="57"/>
        <v>3.3960531989175591E-3</v>
      </c>
      <c r="O1220">
        <f>VLOOKUP(K1220,RatingLookup!$A$2:$C$8,3,FALSE)</f>
        <v>0.6</v>
      </c>
      <c r="P1220">
        <f t="shared" si="58"/>
        <v>2.3642235633840389</v>
      </c>
      <c r="Q1220" t="str">
        <f t="shared" ca="1" si="59"/>
        <v>No</v>
      </c>
    </row>
    <row r="1221" spans="1:17" x14ac:dyDescent="0.45">
      <c r="A1221" t="s">
        <v>73</v>
      </c>
      <c r="B1221" t="s">
        <v>74</v>
      </c>
      <c r="C1221" t="s">
        <v>35</v>
      </c>
      <c r="D1221" t="s">
        <v>20</v>
      </c>
      <c r="E1221" t="s">
        <v>21</v>
      </c>
      <c r="F1221" s="1">
        <v>44409</v>
      </c>
      <c r="G1221">
        <v>5.69</v>
      </c>
      <c r="H1221">
        <v>81.293300000000002</v>
      </c>
      <c r="I1221">
        <v>26.02</v>
      </c>
      <c r="J1221">
        <v>76.86</v>
      </c>
      <c r="K1221" t="s">
        <v>31</v>
      </c>
      <c r="L1221">
        <v>1160.52</v>
      </c>
      <c r="M1221">
        <f>VLOOKUP(K1221,RatingLookup!$A$2:$C$8,2,FALSE)</f>
        <v>0.04</v>
      </c>
      <c r="N1221">
        <f t="shared" si="57"/>
        <v>3.3960531989175591E-3</v>
      </c>
      <c r="O1221">
        <f>VLOOKUP(K1221,RatingLookup!$A$2:$C$8,3,FALSE)</f>
        <v>0.6</v>
      </c>
      <c r="P1221">
        <f t="shared" si="58"/>
        <v>2.3647125950446832</v>
      </c>
      <c r="Q1221" t="str">
        <f t="shared" ca="1" si="59"/>
        <v>No</v>
      </c>
    </row>
    <row r="1222" spans="1:17" x14ac:dyDescent="0.45">
      <c r="A1222" t="s">
        <v>73</v>
      </c>
      <c r="B1222" t="s">
        <v>74</v>
      </c>
      <c r="C1222" t="s">
        <v>35</v>
      </c>
      <c r="D1222" t="s">
        <v>20</v>
      </c>
      <c r="E1222" t="s">
        <v>21</v>
      </c>
      <c r="F1222" s="1">
        <v>44440</v>
      </c>
      <c r="G1222">
        <v>5.27</v>
      </c>
      <c r="H1222">
        <v>82.546000000000006</v>
      </c>
      <c r="I1222">
        <v>8.82</v>
      </c>
      <c r="J1222">
        <v>68.63</v>
      </c>
      <c r="K1222" t="s">
        <v>31</v>
      </c>
      <c r="L1222">
        <v>1105.28</v>
      </c>
      <c r="M1222">
        <f>VLOOKUP(K1222,RatingLookup!$A$2:$C$8,2,FALSE)</f>
        <v>0.04</v>
      </c>
      <c r="N1222">
        <f t="shared" si="57"/>
        <v>3.3960531989175591E-3</v>
      </c>
      <c r="O1222">
        <f>VLOOKUP(K1222,RatingLookup!$A$2:$C$8,3,FALSE)</f>
        <v>0.6</v>
      </c>
      <c r="P1222">
        <f t="shared" si="58"/>
        <v>2.2521538078197598</v>
      </c>
      <c r="Q1222" t="str">
        <f t="shared" ca="1" si="59"/>
        <v>No</v>
      </c>
    </row>
    <row r="1223" spans="1:17" x14ac:dyDescent="0.45">
      <c r="A1223" t="s">
        <v>73</v>
      </c>
      <c r="B1223" t="s">
        <v>74</v>
      </c>
      <c r="C1223" t="s">
        <v>35</v>
      </c>
      <c r="D1223" t="s">
        <v>20</v>
      </c>
      <c r="E1223" t="s">
        <v>21</v>
      </c>
      <c r="F1223" s="1">
        <v>44470</v>
      </c>
      <c r="G1223">
        <v>5.56</v>
      </c>
      <c r="H1223">
        <v>78.978399999999993</v>
      </c>
      <c r="I1223">
        <v>28.63</v>
      </c>
      <c r="J1223">
        <v>87.89</v>
      </c>
      <c r="K1223" t="s">
        <v>31</v>
      </c>
      <c r="L1223">
        <v>1053.53</v>
      </c>
      <c r="M1223">
        <f>VLOOKUP(K1223,RatingLookup!$A$2:$C$8,2,FALSE)</f>
        <v>0.04</v>
      </c>
      <c r="N1223">
        <f t="shared" si="57"/>
        <v>3.3960531989175591E-3</v>
      </c>
      <c r="O1223">
        <f>VLOOKUP(K1223,RatingLookup!$A$2:$C$8,3,FALSE)</f>
        <v>0.6</v>
      </c>
      <c r="P1223">
        <f t="shared" si="58"/>
        <v>2.1467063559933695</v>
      </c>
      <c r="Q1223" t="str">
        <f t="shared" ca="1" si="59"/>
        <v>No</v>
      </c>
    </row>
    <row r="1224" spans="1:17" x14ac:dyDescent="0.45">
      <c r="A1224" t="s">
        <v>73</v>
      </c>
      <c r="B1224" t="s">
        <v>74</v>
      </c>
      <c r="C1224" t="s">
        <v>35</v>
      </c>
      <c r="D1224" t="s">
        <v>20</v>
      </c>
      <c r="E1224" t="s">
        <v>21</v>
      </c>
      <c r="F1224" s="1">
        <v>44501</v>
      </c>
      <c r="G1224">
        <v>5.6</v>
      </c>
      <c r="H1224">
        <v>83.254599999999996</v>
      </c>
      <c r="I1224">
        <v>14.65</v>
      </c>
      <c r="J1224">
        <v>82.24</v>
      </c>
      <c r="K1224" t="s">
        <v>31</v>
      </c>
      <c r="L1224">
        <v>1088.6099999999999</v>
      </c>
      <c r="M1224">
        <f>VLOOKUP(K1224,RatingLookup!$A$2:$C$8,2,FALSE)</f>
        <v>0.04</v>
      </c>
      <c r="N1224">
        <f t="shared" si="57"/>
        <v>3.3960531989175591E-3</v>
      </c>
      <c r="O1224">
        <f>VLOOKUP(K1224,RatingLookup!$A$2:$C$8,3,FALSE)</f>
        <v>0.6</v>
      </c>
      <c r="P1224">
        <f t="shared" si="58"/>
        <v>2.2181864837241863</v>
      </c>
      <c r="Q1224" t="str">
        <f t="shared" ca="1" si="59"/>
        <v>No</v>
      </c>
    </row>
    <row r="1225" spans="1:17" x14ac:dyDescent="0.45">
      <c r="A1225" t="s">
        <v>73</v>
      </c>
      <c r="B1225" t="s">
        <v>74</v>
      </c>
      <c r="C1225" t="s">
        <v>35</v>
      </c>
      <c r="D1225" t="s">
        <v>20</v>
      </c>
      <c r="E1225" t="s">
        <v>21</v>
      </c>
      <c r="F1225" s="1">
        <v>44531</v>
      </c>
      <c r="G1225">
        <v>3.91</v>
      </c>
      <c r="H1225">
        <v>84.993700000000004</v>
      </c>
      <c r="I1225">
        <v>11.68</v>
      </c>
      <c r="J1225">
        <v>52.77</v>
      </c>
      <c r="K1225" t="s">
        <v>31</v>
      </c>
      <c r="L1225">
        <v>1020.71</v>
      </c>
      <c r="M1225">
        <f>VLOOKUP(K1225,RatingLookup!$A$2:$C$8,2,FALSE)</f>
        <v>0.04</v>
      </c>
      <c r="N1225">
        <f t="shared" si="57"/>
        <v>3.3960531989175591E-3</v>
      </c>
      <c r="O1225">
        <f>VLOOKUP(K1225,RatingLookup!$A$2:$C$8,3,FALSE)</f>
        <v>0.6</v>
      </c>
      <c r="P1225">
        <f t="shared" si="58"/>
        <v>2.0798312764002853</v>
      </c>
      <c r="Q1225" t="str">
        <f t="shared" ca="1" si="59"/>
        <v>No</v>
      </c>
    </row>
    <row r="1226" spans="1:17" x14ac:dyDescent="0.45">
      <c r="A1226" t="s">
        <v>73</v>
      </c>
      <c r="B1226" t="s">
        <v>74</v>
      </c>
      <c r="C1226" t="s">
        <v>35</v>
      </c>
      <c r="D1226" t="s">
        <v>20</v>
      </c>
      <c r="E1226" t="s">
        <v>21</v>
      </c>
      <c r="F1226" s="1">
        <v>44562</v>
      </c>
      <c r="G1226">
        <v>4.6500000000000004</v>
      </c>
      <c r="H1226">
        <v>79.799000000000007</v>
      </c>
      <c r="I1226">
        <v>18.43</v>
      </c>
      <c r="J1226">
        <v>87.12</v>
      </c>
      <c r="K1226" t="s">
        <v>31</v>
      </c>
      <c r="L1226">
        <v>1049.1199999999999</v>
      </c>
      <c r="M1226">
        <f>VLOOKUP(K1226,RatingLookup!$A$2:$C$8,2,FALSE)</f>
        <v>0.04</v>
      </c>
      <c r="N1226">
        <f t="shared" si="57"/>
        <v>3.3960531989175591E-3</v>
      </c>
      <c r="O1226">
        <f>VLOOKUP(K1226,RatingLookup!$A$2:$C$8,3,FALSE)</f>
        <v>0.6</v>
      </c>
      <c r="P1226">
        <f t="shared" si="58"/>
        <v>2.1377203992290332</v>
      </c>
      <c r="Q1226" t="str">
        <f t="shared" ca="1" si="59"/>
        <v>No</v>
      </c>
    </row>
    <row r="1227" spans="1:17" x14ac:dyDescent="0.45">
      <c r="A1227" t="s">
        <v>73</v>
      </c>
      <c r="B1227" t="s">
        <v>74</v>
      </c>
      <c r="C1227" t="s">
        <v>35</v>
      </c>
      <c r="D1227" t="s">
        <v>20</v>
      </c>
      <c r="E1227" t="s">
        <v>21</v>
      </c>
      <c r="F1227" s="1">
        <v>44593</v>
      </c>
      <c r="G1227">
        <v>5.73</v>
      </c>
      <c r="H1227">
        <v>84.389499999999998</v>
      </c>
      <c r="I1227">
        <v>21.65</v>
      </c>
      <c r="J1227">
        <v>87.44</v>
      </c>
      <c r="K1227" t="s">
        <v>31</v>
      </c>
      <c r="L1227">
        <v>1166.8800000000001</v>
      </c>
      <c r="M1227">
        <f>VLOOKUP(K1227,RatingLookup!$A$2:$C$8,2,FALSE)</f>
        <v>0.04</v>
      </c>
      <c r="N1227">
        <f t="shared" si="57"/>
        <v>3.3960531989175591E-3</v>
      </c>
      <c r="O1227">
        <f>VLOOKUP(K1227,RatingLookup!$A$2:$C$8,3,FALSE)</f>
        <v>0.6</v>
      </c>
      <c r="P1227">
        <f t="shared" si="58"/>
        <v>2.3776719340517531</v>
      </c>
      <c r="Q1227" t="str">
        <f t="shared" ca="1" si="59"/>
        <v>No</v>
      </c>
    </row>
    <row r="1228" spans="1:17" x14ac:dyDescent="0.45">
      <c r="A1228" t="s">
        <v>73</v>
      </c>
      <c r="B1228" t="s">
        <v>74</v>
      </c>
      <c r="C1228" t="s">
        <v>35</v>
      </c>
      <c r="D1228" t="s">
        <v>20</v>
      </c>
      <c r="E1228" t="s">
        <v>21</v>
      </c>
      <c r="F1228" s="1">
        <v>44621</v>
      </c>
      <c r="G1228">
        <v>6.61</v>
      </c>
      <c r="H1228">
        <v>80.159800000000004</v>
      </c>
      <c r="I1228">
        <v>17.29</v>
      </c>
      <c r="J1228">
        <v>76.45</v>
      </c>
      <c r="K1228" t="s">
        <v>31</v>
      </c>
      <c r="L1228">
        <v>1056.8599999999999</v>
      </c>
      <c r="M1228">
        <f>VLOOKUP(K1228,RatingLookup!$A$2:$C$8,2,FALSE)</f>
        <v>0.04</v>
      </c>
      <c r="N1228">
        <f t="shared" si="57"/>
        <v>3.3960531989175591E-3</v>
      </c>
      <c r="O1228">
        <f>VLOOKUP(K1228,RatingLookup!$A$2:$C$8,3,FALSE)</f>
        <v>0.6</v>
      </c>
      <c r="P1228">
        <f t="shared" si="58"/>
        <v>2.1534916702848066</v>
      </c>
      <c r="Q1228" t="str">
        <f t="shared" ca="1" si="59"/>
        <v>No</v>
      </c>
    </row>
    <row r="1229" spans="1:17" x14ac:dyDescent="0.45">
      <c r="A1229" t="s">
        <v>73</v>
      </c>
      <c r="B1229" t="s">
        <v>74</v>
      </c>
      <c r="C1229" t="s">
        <v>35</v>
      </c>
      <c r="D1229" t="s">
        <v>20</v>
      </c>
      <c r="E1229" t="s">
        <v>21</v>
      </c>
      <c r="F1229" s="1">
        <v>44652</v>
      </c>
      <c r="G1229">
        <v>4.08</v>
      </c>
      <c r="H1229">
        <v>81.537899999999993</v>
      </c>
      <c r="I1229">
        <v>28.05</v>
      </c>
      <c r="J1229">
        <v>83.42</v>
      </c>
      <c r="K1229" t="s">
        <v>31</v>
      </c>
      <c r="L1229">
        <v>1214.03</v>
      </c>
      <c r="M1229">
        <f>VLOOKUP(K1229,RatingLookup!$A$2:$C$8,2,FALSE)</f>
        <v>0.04</v>
      </c>
      <c r="N1229">
        <f t="shared" si="57"/>
        <v>3.3960531989175591E-3</v>
      </c>
      <c r="O1229">
        <f>VLOOKUP(K1229,RatingLookup!$A$2:$C$8,3,FALSE)</f>
        <v>0.6</v>
      </c>
      <c r="P1229">
        <f t="shared" si="58"/>
        <v>2.4737462790491302</v>
      </c>
      <c r="Q1229" t="str">
        <f t="shared" ca="1" si="59"/>
        <v>No</v>
      </c>
    </row>
    <row r="1230" spans="1:17" x14ac:dyDescent="0.45">
      <c r="A1230" t="s">
        <v>73</v>
      </c>
      <c r="B1230" t="s">
        <v>74</v>
      </c>
      <c r="C1230" t="s">
        <v>35</v>
      </c>
      <c r="D1230" t="s">
        <v>20</v>
      </c>
      <c r="E1230" t="s">
        <v>21</v>
      </c>
      <c r="F1230" s="1">
        <v>44682</v>
      </c>
      <c r="G1230">
        <v>5.36</v>
      </c>
      <c r="H1230">
        <v>80.438299999999998</v>
      </c>
      <c r="I1230">
        <v>21.87</v>
      </c>
      <c r="J1230">
        <v>73.44</v>
      </c>
      <c r="K1230" t="s">
        <v>31</v>
      </c>
      <c r="L1230">
        <v>1148.73</v>
      </c>
      <c r="M1230">
        <f>VLOOKUP(K1230,RatingLookup!$A$2:$C$8,2,FALSE)</f>
        <v>0.04</v>
      </c>
      <c r="N1230">
        <f t="shared" si="57"/>
        <v>3.3960531989175591E-3</v>
      </c>
      <c r="O1230">
        <f>VLOOKUP(K1230,RatingLookup!$A$2:$C$8,3,FALSE)</f>
        <v>0.6</v>
      </c>
      <c r="P1230">
        <f t="shared" si="58"/>
        <v>2.3406889147155403</v>
      </c>
      <c r="Q1230" t="str">
        <f t="shared" ca="1" si="59"/>
        <v>No</v>
      </c>
    </row>
    <row r="1231" spans="1:17" x14ac:dyDescent="0.45">
      <c r="A1231" t="s">
        <v>73</v>
      </c>
      <c r="B1231" t="s">
        <v>74</v>
      </c>
      <c r="C1231" t="s">
        <v>35</v>
      </c>
      <c r="D1231" t="s">
        <v>20</v>
      </c>
      <c r="E1231" t="s">
        <v>21</v>
      </c>
      <c r="F1231" s="1">
        <v>44713</v>
      </c>
      <c r="G1231">
        <v>5.16</v>
      </c>
      <c r="H1231">
        <v>82.141499999999994</v>
      </c>
      <c r="I1231">
        <v>18.010000000000002</v>
      </c>
      <c r="J1231">
        <v>88.67</v>
      </c>
      <c r="K1231" t="s">
        <v>31</v>
      </c>
      <c r="L1231">
        <v>1088.3900000000001</v>
      </c>
      <c r="M1231">
        <f>VLOOKUP(K1231,RatingLookup!$A$2:$C$8,2,FALSE)</f>
        <v>0.04</v>
      </c>
      <c r="N1231">
        <f t="shared" si="57"/>
        <v>3.3960531989175591E-3</v>
      </c>
      <c r="O1231">
        <f>VLOOKUP(K1231,RatingLookup!$A$2:$C$8,3,FALSE)</f>
        <v>0.6</v>
      </c>
      <c r="P1231">
        <f t="shared" si="58"/>
        <v>2.2177382047019294</v>
      </c>
      <c r="Q1231" t="str">
        <f t="shared" ca="1" si="59"/>
        <v>No</v>
      </c>
    </row>
    <row r="1232" spans="1:17" x14ac:dyDescent="0.45">
      <c r="A1232" t="s">
        <v>73</v>
      </c>
      <c r="B1232" t="s">
        <v>74</v>
      </c>
      <c r="C1232" t="s">
        <v>35</v>
      </c>
      <c r="D1232" t="s">
        <v>20</v>
      </c>
      <c r="E1232" t="s">
        <v>21</v>
      </c>
      <c r="F1232" s="1">
        <v>44743</v>
      </c>
      <c r="G1232">
        <v>5.66</v>
      </c>
      <c r="H1232">
        <v>80.881</v>
      </c>
      <c r="I1232">
        <v>25.29</v>
      </c>
      <c r="J1232">
        <v>69.81</v>
      </c>
      <c r="K1232" t="s">
        <v>31</v>
      </c>
      <c r="L1232">
        <v>1072.05</v>
      </c>
      <c r="M1232">
        <f>VLOOKUP(K1232,RatingLookup!$A$2:$C$8,2,FALSE)</f>
        <v>0.04</v>
      </c>
      <c r="N1232">
        <f t="shared" si="57"/>
        <v>3.3960531989175591E-3</v>
      </c>
      <c r="O1232">
        <f>VLOOKUP(K1232,RatingLookup!$A$2:$C$8,3,FALSE)</f>
        <v>0.6</v>
      </c>
      <c r="P1232">
        <f t="shared" si="58"/>
        <v>2.1844432991397413</v>
      </c>
      <c r="Q1232" t="str">
        <f t="shared" ca="1" si="59"/>
        <v>No</v>
      </c>
    </row>
    <row r="1233" spans="1:17" x14ac:dyDescent="0.45">
      <c r="A1233" t="s">
        <v>73</v>
      </c>
      <c r="B1233" t="s">
        <v>74</v>
      </c>
      <c r="C1233" t="s">
        <v>35</v>
      </c>
      <c r="D1233" t="s">
        <v>20</v>
      </c>
      <c r="E1233" t="s">
        <v>21</v>
      </c>
      <c r="F1233" s="1">
        <v>44774</v>
      </c>
      <c r="G1233">
        <v>4.75</v>
      </c>
      <c r="H1233">
        <v>83.827799999999996</v>
      </c>
      <c r="I1233">
        <v>17.75</v>
      </c>
      <c r="J1233">
        <v>71.489999999999995</v>
      </c>
      <c r="K1233" t="s">
        <v>31</v>
      </c>
      <c r="L1233">
        <v>1095.24</v>
      </c>
      <c r="M1233">
        <f>VLOOKUP(K1233,RatingLookup!$A$2:$C$8,2,FALSE)</f>
        <v>0.04</v>
      </c>
      <c r="N1233">
        <f t="shared" si="57"/>
        <v>3.3960531989175591E-3</v>
      </c>
      <c r="O1233">
        <f>VLOOKUP(K1233,RatingLookup!$A$2:$C$8,3,FALSE)</f>
        <v>0.6</v>
      </c>
      <c r="P1233">
        <f t="shared" si="58"/>
        <v>2.2316959833494803</v>
      </c>
      <c r="Q1233" t="str">
        <f t="shared" ca="1" si="59"/>
        <v>No</v>
      </c>
    </row>
    <row r="1234" spans="1:17" x14ac:dyDescent="0.45">
      <c r="A1234" t="s">
        <v>73</v>
      </c>
      <c r="B1234" t="s">
        <v>74</v>
      </c>
      <c r="C1234" t="s">
        <v>35</v>
      </c>
      <c r="D1234" t="s">
        <v>20</v>
      </c>
      <c r="E1234" t="s">
        <v>21</v>
      </c>
      <c r="F1234" s="1">
        <v>44805</v>
      </c>
      <c r="G1234">
        <v>5.36</v>
      </c>
      <c r="H1234">
        <v>83.271500000000003</v>
      </c>
      <c r="I1234">
        <v>19.739999999999998</v>
      </c>
      <c r="J1234">
        <v>95.6</v>
      </c>
      <c r="K1234" t="s">
        <v>31</v>
      </c>
      <c r="L1234">
        <v>1112.24</v>
      </c>
      <c r="M1234">
        <f>VLOOKUP(K1234,RatingLookup!$A$2:$C$8,2,FALSE)</f>
        <v>0.04</v>
      </c>
      <c r="N1234">
        <f t="shared" si="57"/>
        <v>3.3960531989175591E-3</v>
      </c>
      <c r="O1234">
        <f>VLOOKUP(K1234,RatingLookup!$A$2:$C$8,3,FALSE)</f>
        <v>0.6</v>
      </c>
      <c r="P1234">
        <f t="shared" si="58"/>
        <v>2.2663357259784394</v>
      </c>
      <c r="Q1234" t="str">
        <f t="shared" ca="1" si="59"/>
        <v>No</v>
      </c>
    </row>
    <row r="1235" spans="1:17" x14ac:dyDescent="0.45">
      <c r="A1235" t="s">
        <v>73</v>
      </c>
      <c r="B1235" t="s">
        <v>74</v>
      </c>
      <c r="C1235" t="s">
        <v>35</v>
      </c>
      <c r="D1235" t="s">
        <v>20</v>
      </c>
      <c r="E1235" t="s">
        <v>21</v>
      </c>
      <c r="F1235" s="1">
        <v>44835</v>
      </c>
      <c r="G1235">
        <v>5.72</v>
      </c>
      <c r="H1235">
        <v>83.545199999999994</v>
      </c>
      <c r="I1235">
        <v>16.14</v>
      </c>
      <c r="J1235">
        <v>77.72</v>
      </c>
      <c r="K1235" t="s">
        <v>31</v>
      </c>
      <c r="L1235">
        <v>1175.69</v>
      </c>
      <c r="M1235">
        <f>VLOOKUP(K1235,RatingLookup!$A$2:$C$8,2,FALSE)</f>
        <v>0.04</v>
      </c>
      <c r="N1235">
        <f t="shared" si="57"/>
        <v>3.3960531989175591E-3</v>
      </c>
      <c r="O1235">
        <f>VLOOKUP(K1235,RatingLookup!$A$2:$C$8,3,FALSE)</f>
        <v>0.6</v>
      </c>
      <c r="P1235">
        <f t="shared" si="58"/>
        <v>2.395623471261231</v>
      </c>
      <c r="Q1235" t="str">
        <f t="shared" ca="1" si="59"/>
        <v>No</v>
      </c>
    </row>
    <row r="1236" spans="1:17" x14ac:dyDescent="0.45">
      <c r="A1236" t="s">
        <v>73</v>
      </c>
      <c r="B1236" t="s">
        <v>74</v>
      </c>
      <c r="C1236" t="s">
        <v>35</v>
      </c>
      <c r="D1236" t="s">
        <v>20</v>
      </c>
      <c r="E1236" t="s">
        <v>21</v>
      </c>
      <c r="F1236" s="1">
        <v>44866</v>
      </c>
      <c r="G1236">
        <v>4.01</v>
      </c>
      <c r="H1236">
        <v>82.2166</v>
      </c>
      <c r="I1236">
        <v>15.73</v>
      </c>
      <c r="J1236">
        <v>79.599999999999994</v>
      </c>
      <c r="K1236" t="s">
        <v>31</v>
      </c>
      <c r="L1236">
        <v>1095.8900000000001</v>
      </c>
      <c r="M1236">
        <f>VLOOKUP(K1236,RatingLookup!$A$2:$C$8,2,FALSE)</f>
        <v>0.04</v>
      </c>
      <c r="N1236">
        <f t="shared" si="57"/>
        <v>3.3960531989175591E-3</v>
      </c>
      <c r="O1236">
        <f>VLOOKUP(K1236,RatingLookup!$A$2:$C$8,3,FALSE)</f>
        <v>0.6</v>
      </c>
      <c r="P1236">
        <f t="shared" si="58"/>
        <v>2.2330204440970585</v>
      </c>
      <c r="Q1236" t="str">
        <f t="shared" ca="1" si="59"/>
        <v>No</v>
      </c>
    </row>
    <row r="1237" spans="1:17" x14ac:dyDescent="0.45">
      <c r="A1237" t="s">
        <v>73</v>
      </c>
      <c r="B1237" t="s">
        <v>74</v>
      </c>
      <c r="C1237" t="s">
        <v>35</v>
      </c>
      <c r="D1237" t="s">
        <v>20</v>
      </c>
      <c r="E1237" t="s">
        <v>21</v>
      </c>
      <c r="F1237" s="1">
        <v>44896</v>
      </c>
      <c r="G1237">
        <v>5.58</v>
      </c>
      <c r="H1237">
        <v>81.753299999999996</v>
      </c>
      <c r="I1237">
        <v>21.02</v>
      </c>
      <c r="J1237">
        <v>61.35</v>
      </c>
      <c r="K1237" t="s">
        <v>31</v>
      </c>
      <c r="L1237">
        <v>1114.54</v>
      </c>
      <c r="M1237">
        <f>VLOOKUP(K1237,RatingLookup!$A$2:$C$8,2,FALSE)</f>
        <v>0.04</v>
      </c>
      <c r="N1237">
        <f t="shared" si="57"/>
        <v>3.3960531989175591E-3</v>
      </c>
      <c r="O1237">
        <f>VLOOKUP(K1237,RatingLookup!$A$2:$C$8,3,FALSE)</f>
        <v>0.6</v>
      </c>
      <c r="P1237">
        <f t="shared" si="58"/>
        <v>2.2710222793929455</v>
      </c>
      <c r="Q1237" t="str">
        <f t="shared" ca="1" si="59"/>
        <v>No</v>
      </c>
    </row>
    <row r="1238" spans="1:17" x14ac:dyDescent="0.45">
      <c r="A1238" t="s">
        <v>73</v>
      </c>
      <c r="B1238" t="s">
        <v>74</v>
      </c>
      <c r="C1238" t="s">
        <v>35</v>
      </c>
      <c r="D1238" t="s">
        <v>20</v>
      </c>
      <c r="E1238" t="s">
        <v>21</v>
      </c>
      <c r="F1238" s="1">
        <v>44927</v>
      </c>
      <c r="G1238">
        <v>4.93</v>
      </c>
      <c r="H1238">
        <v>85.208100000000002</v>
      </c>
      <c r="I1238">
        <v>18.649999999999999</v>
      </c>
      <c r="J1238">
        <v>60.31</v>
      </c>
      <c r="K1238" t="s">
        <v>31</v>
      </c>
      <c r="L1238">
        <v>1060.3</v>
      </c>
      <c r="M1238">
        <f>VLOOKUP(K1238,RatingLookup!$A$2:$C$8,2,FALSE)</f>
        <v>0.04</v>
      </c>
      <c r="N1238">
        <f t="shared" si="57"/>
        <v>3.3960531989175591E-3</v>
      </c>
      <c r="O1238">
        <f>VLOOKUP(K1238,RatingLookup!$A$2:$C$8,3,FALSE)</f>
        <v>0.6</v>
      </c>
      <c r="P1238">
        <f t="shared" si="58"/>
        <v>2.1605011240873724</v>
      </c>
      <c r="Q1238" t="str">
        <f t="shared" ca="1" si="59"/>
        <v>No</v>
      </c>
    </row>
    <row r="1239" spans="1:17" x14ac:dyDescent="0.45">
      <c r="A1239" t="s">
        <v>73</v>
      </c>
      <c r="B1239" t="s">
        <v>74</v>
      </c>
      <c r="C1239" t="s">
        <v>35</v>
      </c>
      <c r="D1239" t="s">
        <v>20</v>
      </c>
      <c r="E1239" t="s">
        <v>21</v>
      </c>
      <c r="F1239" s="1">
        <v>44958</v>
      </c>
      <c r="G1239">
        <v>6.01</v>
      </c>
      <c r="H1239">
        <v>86.647099999999995</v>
      </c>
      <c r="I1239">
        <v>18.59</v>
      </c>
      <c r="J1239">
        <v>87.55</v>
      </c>
      <c r="K1239" t="s">
        <v>31</v>
      </c>
      <c r="L1239">
        <v>1042.1199999999999</v>
      </c>
      <c r="M1239">
        <f>VLOOKUP(K1239,RatingLookup!$A$2:$C$8,2,FALSE)</f>
        <v>0.04</v>
      </c>
      <c r="N1239">
        <f t="shared" si="57"/>
        <v>3.3960531989175591E-3</v>
      </c>
      <c r="O1239">
        <f>VLOOKUP(K1239,RatingLookup!$A$2:$C$8,3,FALSE)</f>
        <v>0.6</v>
      </c>
      <c r="P1239">
        <f t="shared" si="58"/>
        <v>2.1234569757935797</v>
      </c>
      <c r="Q1239" t="str">
        <f t="shared" ca="1" si="59"/>
        <v>No</v>
      </c>
    </row>
    <row r="1240" spans="1:17" x14ac:dyDescent="0.45">
      <c r="A1240" t="s">
        <v>73</v>
      </c>
      <c r="B1240" t="s">
        <v>74</v>
      </c>
      <c r="C1240" t="s">
        <v>35</v>
      </c>
      <c r="D1240" t="s">
        <v>20</v>
      </c>
      <c r="E1240" t="s">
        <v>21</v>
      </c>
      <c r="F1240" s="1">
        <v>44986</v>
      </c>
      <c r="G1240">
        <v>5.31</v>
      </c>
      <c r="H1240">
        <v>75.457999999999998</v>
      </c>
      <c r="I1240">
        <v>17.62</v>
      </c>
      <c r="J1240">
        <v>59.15</v>
      </c>
      <c r="K1240" t="s">
        <v>31</v>
      </c>
      <c r="L1240">
        <v>1048.97</v>
      </c>
      <c r="M1240">
        <f>VLOOKUP(K1240,RatingLookup!$A$2:$C$8,2,FALSE)</f>
        <v>0.04</v>
      </c>
      <c r="N1240">
        <f t="shared" si="57"/>
        <v>3.3960531989175591E-3</v>
      </c>
      <c r="O1240">
        <f>VLOOKUP(K1240,RatingLookup!$A$2:$C$8,3,FALSE)</f>
        <v>0.6</v>
      </c>
      <c r="P1240">
        <f t="shared" si="58"/>
        <v>2.137414754441131</v>
      </c>
      <c r="Q1240" t="str">
        <f t="shared" ca="1" si="59"/>
        <v>No</v>
      </c>
    </row>
    <row r="1241" spans="1:17" x14ac:dyDescent="0.45">
      <c r="A1241" t="s">
        <v>73</v>
      </c>
      <c r="B1241" t="s">
        <v>74</v>
      </c>
      <c r="C1241" t="s">
        <v>35</v>
      </c>
      <c r="D1241" t="s">
        <v>20</v>
      </c>
      <c r="E1241" t="s">
        <v>21</v>
      </c>
      <c r="F1241" s="1">
        <v>45017</v>
      </c>
      <c r="G1241">
        <v>4.66</v>
      </c>
      <c r="H1241">
        <v>83.633899999999997</v>
      </c>
      <c r="I1241">
        <v>17.399999999999999</v>
      </c>
      <c r="J1241">
        <v>79.180000000000007</v>
      </c>
      <c r="K1241" t="s">
        <v>31</v>
      </c>
      <c r="L1241">
        <v>1170.49</v>
      </c>
      <c r="M1241">
        <f>VLOOKUP(K1241,RatingLookup!$A$2:$C$8,2,FALSE)</f>
        <v>0.04</v>
      </c>
      <c r="N1241">
        <f t="shared" si="57"/>
        <v>3.3960531989175591E-3</v>
      </c>
      <c r="O1241">
        <f>VLOOKUP(K1241,RatingLookup!$A$2:$C$8,3,FALSE)</f>
        <v>0.6</v>
      </c>
      <c r="P1241">
        <f t="shared" si="58"/>
        <v>2.3850277852806081</v>
      </c>
      <c r="Q1241" t="str">
        <f t="shared" ca="1" si="59"/>
        <v>No</v>
      </c>
    </row>
    <row r="1242" spans="1:17" x14ac:dyDescent="0.45">
      <c r="A1242" t="s">
        <v>73</v>
      </c>
      <c r="B1242" t="s">
        <v>74</v>
      </c>
      <c r="C1242" t="s">
        <v>35</v>
      </c>
      <c r="D1242" t="s">
        <v>20</v>
      </c>
      <c r="E1242" t="s">
        <v>21</v>
      </c>
      <c r="F1242" s="1">
        <v>45047</v>
      </c>
      <c r="G1242">
        <v>6.1</v>
      </c>
      <c r="H1242">
        <v>85.830699999999993</v>
      </c>
      <c r="I1242">
        <v>22.34</v>
      </c>
      <c r="J1242">
        <v>68.55</v>
      </c>
      <c r="K1242" t="s">
        <v>31</v>
      </c>
      <c r="L1242">
        <v>1161.5999999999999</v>
      </c>
      <c r="M1242">
        <f>VLOOKUP(K1242,RatingLookup!$A$2:$C$8,2,FALSE)</f>
        <v>0.04</v>
      </c>
      <c r="N1242">
        <f t="shared" si="57"/>
        <v>3.3960531989175591E-3</v>
      </c>
      <c r="O1242">
        <f>VLOOKUP(K1242,RatingLookup!$A$2:$C$8,3,FALSE)</f>
        <v>0.6</v>
      </c>
      <c r="P1242">
        <f t="shared" si="58"/>
        <v>2.3669132375175819</v>
      </c>
      <c r="Q1242" t="str">
        <f t="shared" ca="1" si="59"/>
        <v>No</v>
      </c>
    </row>
    <row r="1243" spans="1:17" x14ac:dyDescent="0.45">
      <c r="A1243" t="s">
        <v>73</v>
      </c>
      <c r="B1243" t="s">
        <v>74</v>
      </c>
      <c r="C1243" t="s">
        <v>35</v>
      </c>
      <c r="D1243" t="s">
        <v>20</v>
      </c>
      <c r="E1243" t="s">
        <v>21</v>
      </c>
      <c r="F1243" s="1">
        <v>45078</v>
      </c>
      <c r="G1243">
        <v>6.32</v>
      </c>
      <c r="H1243">
        <v>83.131500000000003</v>
      </c>
      <c r="I1243">
        <v>22.33</v>
      </c>
      <c r="J1243">
        <v>73.94</v>
      </c>
      <c r="K1243" t="s">
        <v>31</v>
      </c>
      <c r="L1243">
        <v>1115.33</v>
      </c>
      <c r="M1243">
        <f>VLOOKUP(K1243,RatingLookup!$A$2:$C$8,2,FALSE)</f>
        <v>0.04</v>
      </c>
      <c r="N1243">
        <f t="shared" si="57"/>
        <v>3.3960531989175591E-3</v>
      </c>
      <c r="O1243">
        <f>VLOOKUP(K1243,RatingLookup!$A$2:$C$8,3,FALSE)</f>
        <v>0.6</v>
      </c>
      <c r="P1243">
        <f t="shared" si="58"/>
        <v>2.2726320086092326</v>
      </c>
      <c r="Q1243" t="str">
        <f t="shared" ca="1" si="59"/>
        <v>No</v>
      </c>
    </row>
    <row r="1244" spans="1:17" x14ac:dyDescent="0.45">
      <c r="A1244" t="s">
        <v>73</v>
      </c>
      <c r="B1244" t="s">
        <v>74</v>
      </c>
      <c r="C1244" t="s">
        <v>35</v>
      </c>
      <c r="D1244" t="s">
        <v>20</v>
      </c>
      <c r="E1244" t="s">
        <v>21</v>
      </c>
      <c r="F1244" s="1">
        <v>45108</v>
      </c>
      <c r="G1244">
        <v>6.41</v>
      </c>
      <c r="H1244">
        <v>83.377700000000004</v>
      </c>
      <c r="I1244">
        <v>12.2</v>
      </c>
      <c r="J1244">
        <v>65.430000000000007</v>
      </c>
      <c r="K1244" t="s">
        <v>31</v>
      </c>
      <c r="L1244">
        <v>1057.8699999999999</v>
      </c>
      <c r="M1244">
        <f>VLOOKUP(K1244,RatingLookup!$A$2:$C$8,2,FALSE)</f>
        <v>0.04</v>
      </c>
      <c r="N1244">
        <f t="shared" si="57"/>
        <v>3.3960531989175591E-3</v>
      </c>
      <c r="O1244">
        <f>VLOOKUP(K1244,RatingLookup!$A$2:$C$8,3,FALSE)</f>
        <v>0.6</v>
      </c>
      <c r="P1244">
        <f t="shared" si="58"/>
        <v>2.1555496785233506</v>
      </c>
      <c r="Q1244" t="str">
        <f t="shared" ca="1" si="59"/>
        <v>No</v>
      </c>
    </row>
    <row r="1245" spans="1:17" x14ac:dyDescent="0.45">
      <c r="A1245" t="s">
        <v>73</v>
      </c>
      <c r="B1245" t="s">
        <v>74</v>
      </c>
      <c r="C1245" t="s">
        <v>35</v>
      </c>
      <c r="D1245" t="s">
        <v>20</v>
      </c>
      <c r="E1245" t="s">
        <v>21</v>
      </c>
      <c r="F1245" s="1">
        <v>45139</v>
      </c>
      <c r="G1245">
        <v>4.99</v>
      </c>
      <c r="H1245">
        <v>84.071200000000005</v>
      </c>
      <c r="I1245">
        <v>14.36</v>
      </c>
      <c r="J1245">
        <v>88.51</v>
      </c>
      <c r="K1245" t="s">
        <v>31</v>
      </c>
      <c r="L1245">
        <v>1173.73</v>
      </c>
      <c r="M1245">
        <f>VLOOKUP(K1245,RatingLookup!$A$2:$C$8,2,FALSE)</f>
        <v>0.04</v>
      </c>
      <c r="N1245">
        <f t="shared" si="57"/>
        <v>3.3960531989175591E-3</v>
      </c>
      <c r="O1245">
        <f>VLOOKUP(K1245,RatingLookup!$A$2:$C$8,3,FALSE)</f>
        <v>0.6</v>
      </c>
      <c r="P1245">
        <f t="shared" si="58"/>
        <v>2.391629712699304</v>
      </c>
      <c r="Q1245" t="str">
        <f t="shared" ca="1" si="59"/>
        <v>No</v>
      </c>
    </row>
    <row r="1246" spans="1:17" x14ac:dyDescent="0.45">
      <c r="A1246" t="s">
        <v>73</v>
      </c>
      <c r="B1246" t="s">
        <v>74</v>
      </c>
      <c r="C1246" t="s">
        <v>35</v>
      </c>
      <c r="D1246" t="s">
        <v>20</v>
      </c>
      <c r="E1246" t="s">
        <v>21</v>
      </c>
      <c r="F1246" s="1">
        <v>45170</v>
      </c>
      <c r="G1246">
        <v>5.56</v>
      </c>
      <c r="H1246">
        <v>88.280199999999994</v>
      </c>
      <c r="I1246">
        <v>12.53</v>
      </c>
      <c r="J1246">
        <v>74.14</v>
      </c>
      <c r="K1246" t="s">
        <v>31</v>
      </c>
      <c r="L1246">
        <v>1106.44</v>
      </c>
      <c r="M1246">
        <f>VLOOKUP(K1246,RatingLookup!$A$2:$C$8,2,FALSE)</f>
        <v>0.04</v>
      </c>
      <c r="N1246">
        <f t="shared" si="57"/>
        <v>3.3960531989175591E-3</v>
      </c>
      <c r="O1246">
        <f>VLOOKUP(K1246,RatingLookup!$A$2:$C$8,3,FALSE)</f>
        <v>0.6</v>
      </c>
      <c r="P1246">
        <f t="shared" si="58"/>
        <v>2.2545174608462064</v>
      </c>
      <c r="Q1246" t="str">
        <f t="shared" ca="1" si="59"/>
        <v>No</v>
      </c>
    </row>
    <row r="1247" spans="1:17" x14ac:dyDescent="0.45">
      <c r="A1247" t="s">
        <v>73</v>
      </c>
      <c r="B1247" t="s">
        <v>74</v>
      </c>
      <c r="C1247" t="s">
        <v>35</v>
      </c>
      <c r="D1247" t="s">
        <v>20</v>
      </c>
      <c r="E1247" t="s">
        <v>21</v>
      </c>
      <c r="F1247" s="1">
        <v>45200</v>
      </c>
      <c r="G1247">
        <v>5.82</v>
      </c>
      <c r="H1247">
        <v>77.936099999999996</v>
      </c>
      <c r="I1247">
        <v>26.74</v>
      </c>
      <c r="J1247">
        <v>92.42</v>
      </c>
      <c r="K1247" t="s">
        <v>31</v>
      </c>
      <c r="L1247">
        <v>1079.53</v>
      </c>
      <c r="M1247">
        <f>VLOOKUP(K1247,RatingLookup!$A$2:$C$8,2,FALSE)</f>
        <v>0.04</v>
      </c>
      <c r="N1247">
        <f t="shared" si="57"/>
        <v>3.3960531989175591E-3</v>
      </c>
      <c r="O1247">
        <f>VLOOKUP(K1247,RatingLookup!$A$2:$C$8,3,FALSE)</f>
        <v>0.6</v>
      </c>
      <c r="P1247">
        <f t="shared" si="58"/>
        <v>2.1996847858964834</v>
      </c>
      <c r="Q1247" t="str">
        <f t="shared" ca="1" si="59"/>
        <v>No</v>
      </c>
    </row>
    <row r="1248" spans="1:17" x14ac:dyDescent="0.45">
      <c r="A1248" t="s">
        <v>73</v>
      </c>
      <c r="B1248" t="s">
        <v>74</v>
      </c>
      <c r="C1248" t="s">
        <v>35</v>
      </c>
      <c r="D1248" t="s">
        <v>20</v>
      </c>
      <c r="E1248" t="s">
        <v>21</v>
      </c>
      <c r="F1248" s="1">
        <v>45231</v>
      </c>
      <c r="G1248">
        <v>6.2</v>
      </c>
      <c r="H1248">
        <v>85.888900000000007</v>
      </c>
      <c r="I1248">
        <v>25.87</v>
      </c>
      <c r="J1248">
        <v>79.38</v>
      </c>
      <c r="K1248" t="s">
        <v>31</v>
      </c>
      <c r="L1248">
        <v>1095.5</v>
      </c>
      <c r="M1248">
        <f>VLOOKUP(K1248,RatingLookup!$A$2:$C$8,2,FALSE)</f>
        <v>0.04</v>
      </c>
      <c r="N1248">
        <f t="shared" si="57"/>
        <v>3.3960531989175591E-3</v>
      </c>
      <c r="O1248">
        <f>VLOOKUP(K1248,RatingLookup!$A$2:$C$8,3,FALSE)</f>
        <v>0.6</v>
      </c>
      <c r="P1248">
        <f t="shared" si="58"/>
        <v>2.2322257676485115</v>
      </c>
      <c r="Q1248" t="str">
        <f t="shared" ca="1" si="59"/>
        <v>No</v>
      </c>
    </row>
    <row r="1249" spans="1:17" x14ac:dyDescent="0.45">
      <c r="A1249" t="s">
        <v>73</v>
      </c>
      <c r="B1249" t="s">
        <v>74</v>
      </c>
      <c r="C1249" t="s">
        <v>35</v>
      </c>
      <c r="D1249" t="s">
        <v>20</v>
      </c>
      <c r="E1249" t="s">
        <v>21</v>
      </c>
      <c r="F1249" s="1">
        <v>45261</v>
      </c>
      <c r="G1249">
        <v>4.93</v>
      </c>
      <c r="H1249">
        <v>83.103700000000003</v>
      </c>
      <c r="I1249">
        <v>28.53</v>
      </c>
      <c r="J1249">
        <v>58.68</v>
      </c>
      <c r="K1249" t="s">
        <v>31</v>
      </c>
      <c r="L1249">
        <v>1178.21</v>
      </c>
      <c r="M1249">
        <f>VLOOKUP(K1249,RatingLookup!$A$2:$C$8,2,FALSE)</f>
        <v>0.04</v>
      </c>
      <c r="N1249">
        <f t="shared" si="57"/>
        <v>3.3960531989175591E-3</v>
      </c>
      <c r="O1249">
        <f>VLOOKUP(K1249,RatingLookup!$A$2:$C$8,3,FALSE)</f>
        <v>0.6</v>
      </c>
      <c r="P1249">
        <f t="shared" si="58"/>
        <v>2.4007583036979945</v>
      </c>
      <c r="Q1249" t="str">
        <f t="shared" ca="1" si="59"/>
        <v>No</v>
      </c>
    </row>
    <row r="1250" spans="1:17" x14ac:dyDescent="0.45">
      <c r="A1250" t="s">
        <v>73</v>
      </c>
      <c r="B1250" t="s">
        <v>74</v>
      </c>
      <c r="C1250" t="s">
        <v>35</v>
      </c>
      <c r="D1250" t="s">
        <v>20</v>
      </c>
      <c r="E1250" t="s">
        <v>21</v>
      </c>
      <c r="F1250" s="1">
        <v>45292</v>
      </c>
      <c r="G1250">
        <v>5.07</v>
      </c>
      <c r="H1250">
        <v>87.595699999999994</v>
      </c>
      <c r="I1250">
        <v>15.96</v>
      </c>
      <c r="J1250">
        <v>85.01</v>
      </c>
      <c r="K1250" t="s">
        <v>31</v>
      </c>
      <c r="L1250">
        <v>1133.03</v>
      </c>
      <c r="M1250">
        <f>VLOOKUP(K1250,RatingLookup!$A$2:$C$8,2,FALSE)</f>
        <v>0.04</v>
      </c>
      <c r="N1250">
        <f t="shared" si="57"/>
        <v>3.3960531989175591E-3</v>
      </c>
      <c r="O1250">
        <f>VLOOKUP(K1250,RatingLookup!$A$2:$C$8,3,FALSE)</f>
        <v>0.6</v>
      </c>
      <c r="P1250">
        <f t="shared" si="58"/>
        <v>2.3086980935817372</v>
      </c>
      <c r="Q1250" t="str">
        <f t="shared" ca="1" si="59"/>
        <v>No</v>
      </c>
    </row>
    <row r="1251" spans="1:17" x14ac:dyDescent="0.45">
      <c r="A1251" t="s">
        <v>73</v>
      </c>
      <c r="B1251" t="s">
        <v>74</v>
      </c>
      <c r="C1251" t="s">
        <v>35</v>
      </c>
      <c r="D1251" t="s">
        <v>20</v>
      </c>
      <c r="E1251" t="s">
        <v>21</v>
      </c>
      <c r="F1251" s="1">
        <v>45323</v>
      </c>
      <c r="G1251">
        <v>4.8</v>
      </c>
      <c r="H1251">
        <v>80.796899999999994</v>
      </c>
      <c r="I1251">
        <v>23.95</v>
      </c>
      <c r="J1251">
        <v>76.59</v>
      </c>
      <c r="K1251" t="s">
        <v>31</v>
      </c>
      <c r="L1251">
        <v>1166.3800000000001</v>
      </c>
      <c r="M1251">
        <f>VLOOKUP(K1251,RatingLookup!$A$2:$C$8,2,FALSE)</f>
        <v>0.04</v>
      </c>
      <c r="N1251">
        <f t="shared" si="57"/>
        <v>3.3960531989175591E-3</v>
      </c>
      <c r="O1251">
        <f>VLOOKUP(K1251,RatingLookup!$A$2:$C$8,3,FALSE)</f>
        <v>0.6</v>
      </c>
      <c r="P1251">
        <f t="shared" si="58"/>
        <v>2.3766531180920776</v>
      </c>
      <c r="Q1251" t="str">
        <f t="shared" ca="1" si="59"/>
        <v>No</v>
      </c>
    </row>
    <row r="1252" spans="1:17" x14ac:dyDescent="0.45">
      <c r="A1252" t="s">
        <v>73</v>
      </c>
      <c r="B1252" t="s">
        <v>74</v>
      </c>
      <c r="C1252" t="s">
        <v>35</v>
      </c>
      <c r="D1252" t="s">
        <v>20</v>
      </c>
      <c r="E1252" t="s">
        <v>21</v>
      </c>
      <c r="F1252" s="1">
        <v>45352</v>
      </c>
      <c r="G1252">
        <v>6.55</v>
      </c>
      <c r="H1252">
        <v>77.980400000000003</v>
      </c>
      <c r="I1252">
        <v>10.97</v>
      </c>
      <c r="J1252">
        <v>75.61</v>
      </c>
      <c r="K1252" t="s">
        <v>31</v>
      </c>
      <c r="L1252">
        <v>1183.5</v>
      </c>
      <c r="M1252">
        <f>VLOOKUP(K1252,RatingLookup!$A$2:$C$8,2,FALSE)</f>
        <v>0.04</v>
      </c>
      <c r="N1252">
        <f t="shared" si="57"/>
        <v>3.3960531989175591E-3</v>
      </c>
      <c r="O1252">
        <f>VLOOKUP(K1252,RatingLookup!$A$2:$C$8,3,FALSE)</f>
        <v>0.6</v>
      </c>
      <c r="P1252">
        <f t="shared" si="58"/>
        <v>2.4115373765513586</v>
      </c>
      <c r="Q1252" t="str">
        <f t="shared" ca="1" si="59"/>
        <v>No</v>
      </c>
    </row>
    <row r="1253" spans="1:17" x14ac:dyDescent="0.45">
      <c r="A1253" t="s">
        <v>73</v>
      </c>
      <c r="B1253" t="s">
        <v>74</v>
      </c>
      <c r="C1253" t="s">
        <v>35</v>
      </c>
      <c r="D1253" t="s">
        <v>20</v>
      </c>
      <c r="E1253" t="s">
        <v>21</v>
      </c>
      <c r="F1253" s="1">
        <v>45383</v>
      </c>
      <c r="G1253">
        <v>5.82</v>
      </c>
      <c r="H1253">
        <v>80.735699999999994</v>
      </c>
      <c r="I1253">
        <v>24.24</v>
      </c>
      <c r="J1253">
        <v>85.49</v>
      </c>
      <c r="K1253" t="s">
        <v>31</v>
      </c>
      <c r="L1253">
        <v>1050</v>
      </c>
      <c r="M1253">
        <f>VLOOKUP(K1253,RatingLookup!$A$2:$C$8,2,FALSE)</f>
        <v>0.04</v>
      </c>
      <c r="N1253">
        <f t="shared" si="57"/>
        <v>3.3960531989175591E-3</v>
      </c>
      <c r="O1253">
        <f>VLOOKUP(K1253,RatingLookup!$A$2:$C$8,3,FALSE)</f>
        <v>0.6</v>
      </c>
      <c r="P1253">
        <f t="shared" si="58"/>
        <v>2.1395135153180624</v>
      </c>
      <c r="Q1253" t="str">
        <f t="shared" ca="1" si="59"/>
        <v>No</v>
      </c>
    </row>
    <row r="1254" spans="1:17" x14ac:dyDescent="0.45">
      <c r="A1254" t="s">
        <v>73</v>
      </c>
      <c r="B1254" t="s">
        <v>74</v>
      </c>
      <c r="C1254" t="s">
        <v>35</v>
      </c>
      <c r="D1254" t="s">
        <v>20</v>
      </c>
      <c r="E1254" t="s">
        <v>21</v>
      </c>
      <c r="F1254" s="1">
        <v>45413</v>
      </c>
      <c r="G1254">
        <v>4.3600000000000003</v>
      </c>
      <c r="H1254">
        <v>83.7928</v>
      </c>
      <c r="I1254">
        <v>12.4</v>
      </c>
      <c r="J1254">
        <v>80.040000000000006</v>
      </c>
      <c r="K1254" t="s">
        <v>31</v>
      </c>
      <c r="L1254">
        <v>1124.2</v>
      </c>
      <c r="M1254">
        <f>VLOOKUP(K1254,RatingLookup!$A$2:$C$8,2,FALSE)</f>
        <v>0.04</v>
      </c>
      <c r="N1254">
        <f t="shared" si="57"/>
        <v>3.3960531989175591E-3</v>
      </c>
      <c r="O1254">
        <f>VLOOKUP(K1254,RatingLookup!$A$2:$C$8,3,FALSE)</f>
        <v>0.6</v>
      </c>
      <c r="P1254">
        <f t="shared" si="58"/>
        <v>2.2907058037338719</v>
      </c>
      <c r="Q1254" t="str">
        <f t="shared" ca="1" si="59"/>
        <v>No</v>
      </c>
    </row>
    <row r="1255" spans="1:17" x14ac:dyDescent="0.45">
      <c r="A1255" t="s">
        <v>73</v>
      </c>
      <c r="B1255" t="s">
        <v>74</v>
      </c>
      <c r="C1255" t="s">
        <v>35</v>
      </c>
      <c r="D1255" t="s">
        <v>20</v>
      </c>
      <c r="E1255" t="s">
        <v>21</v>
      </c>
      <c r="F1255" s="1">
        <v>45444</v>
      </c>
      <c r="G1255">
        <v>6.71</v>
      </c>
      <c r="H1255">
        <v>80.958799999999997</v>
      </c>
      <c r="I1255">
        <v>16.09</v>
      </c>
      <c r="J1255">
        <v>86.17</v>
      </c>
      <c r="K1255" t="s">
        <v>31</v>
      </c>
      <c r="L1255">
        <v>1109.33</v>
      </c>
      <c r="M1255">
        <f>VLOOKUP(K1255,RatingLookup!$A$2:$C$8,2,FALSE)</f>
        <v>0.04</v>
      </c>
      <c r="N1255">
        <f t="shared" si="57"/>
        <v>3.3960531989175591E-3</v>
      </c>
      <c r="O1255">
        <f>VLOOKUP(K1255,RatingLookup!$A$2:$C$8,3,FALSE)</f>
        <v>0.6</v>
      </c>
      <c r="P1255">
        <f t="shared" si="58"/>
        <v>2.2604062170931294</v>
      </c>
      <c r="Q1255" t="str">
        <f t="shared" ca="1" si="59"/>
        <v>No</v>
      </c>
    </row>
    <row r="1256" spans="1:17" x14ac:dyDescent="0.45">
      <c r="A1256" t="s">
        <v>73</v>
      </c>
      <c r="B1256" t="s">
        <v>74</v>
      </c>
      <c r="C1256" t="s">
        <v>35</v>
      </c>
      <c r="D1256" t="s">
        <v>20</v>
      </c>
      <c r="E1256" t="s">
        <v>21</v>
      </c>
      <c r="F1256" s="1">
        <v>45474</v>
      </c>
      <c r="G1256">
        <v>6.3</v>
      </c>
      <c r="H1256">
        <v>82.358900000000006</v>
      </c>
      <c r="I1256">
        <v>12.95</v>
      </c>
      <c r="J1256">
        <v>71.849999999999994</v>
      </c>
      <c r="K1256" t="s">
        <v>31</v>
      </c>
      <c r="L1256">
        <v>1135.02</v>
      </c>
      <c r="M1256">
        <f>VLOOKUP(K1256,RatingLookup!$A$2:$C$8,2,FALSE)</f>
        <v>0.04</v>
      </c>
      <c r="N1256">
        <f t="shared" si="57"/>
        <v>3.3960531989175591E-3</v>
      </c>
      <c r="O1256">
        <f>VLOOKUP(K1256,RatingLookup!$A$2:$C$8,3,FALSE)</f>
        <v>0.6</v>
      </c>
      <c r="P1256">
        <f t="shared" si="58"/>
        <v>2.3127529811012448</v>
      </c>
      <c r="Q1256" t="str">
        <f t="shared" ca="1" si="59"/>
        <v>No</v>
      </c>
    </row>
    <row r="1257" spans="1:17" x14ac:dyDescent="0.45">
      <c r="A1257" t="s">
        <v>73</v>
      </c>
      <c r="B1257" t="s">
        <v>74</v>
      </c>
      <c r="C1257" t="s">
        <v>35</v>
      </c>
      <c r="D1257" t="s">
        <v>20</v>
      </c>
      <c r="E1257" t="s">
        <v>21</v>
      </c>
      <c r="F1257" s="1">
        <v>45505</v>
      </c>
      <c r="G1257">
        <v>6.85</v>
      </c>
      <c r="H1257">
        <v>81.790000000000006</v>
      </c>
      <c r="I1257">
        <v>31.99</v>
      </c>
      <c r="J1257">
        <v>80.39</v>
      </c>
      <c r="K1257" t="s">
        <v>31</v>
      </c>
      <c r="L1257">
        <v>1081.83</v>
      </c>
      <c r="M1257">
        <f>VLOOKUP(K1257,RatingLookup!$A$2:$C$8,2,FALSE)</f>
        <v>0.04</v>
      </c>
      <c r="N1257">
        <f t="shared" si="57"/>
        <v>3.3960531989175591E-3</v>
      </c>
      <c r="O1257">
        <f>VLOOKUP(K1257,RatingLookup!$A$2:$C$8,3,FALSE)</f>
        <v>0.6</v>
      </c>
      <c r="P1257">
        <f t="shared" si="58"/>
        <v>2.2043713393109896</v>
      </c>
      <c r="Q1257" t="str">
        <f t="shared" ca="1" si="59"/>
        <v>No</v>
      </c>
    </row>
    <row r="1258" spans="1:17" x14ac:dyDescent="0.45">
      <c r="A1258" t="s">
        <v>73</v>
      </c>
      <c r="B1258" t="s">
        <v>74</v>
      </c>
      <c r="C1258" t="s">
        <v>35</v>
      </c>
      <c r="D1258" t="s">
        <v>20</v>
      </c>
      <c r="E1258" t="s">
        <v>21</v>
      </c>
      <c r="F1258" s="1">
        <v>45536</v>
      </c>
      <c r="G1258">
        <v>5.05</v>
      </c>
      <c r="H1258">
        <v>81.028999999999996</v>
      </c>
      <c r="I1258">
        <v>9.2100000000000009</v>
      </c>
      <c r="J1258">
        <v>98.26</v>
      </c>
      <c r="K1258" t="s">
        <v>31</v>
      </c>
      <c r="L1258">
        <v>1156.44</v>
      </c>
      <c r="M1258">
        <f>VLOOKUP(K1258,RatingLookup!$A$2:$C$8,2,FALSE)</f>
        <v>0.04</v>
      </c>
      <c r="N1258">
        <f t="shared" si="57"/>
        <v>3.3960531989175591E-3</v>
      </c>
      <c r="O1258">
        <f>VLOOKUP(K1258,RatingLookup!$A$2:$C$8,3,FALSE)</f>
        <v>0.6</v>
      </c>
      <c r="P1258">
        <f t="shared" si="58"/>
        <v>2.3563990568137334</v>
      </c>
      <c r="Q1258" t="str">
        <f t="shared" ca="1" si="59"/>
        <v>No</v>
      </c>
    </row>
    <row r="1259" spans="1:17" x14ac:dyDescent="0.45">
      <c r="A1259" t="s">
        <v>73</v>
      </c>
      <c r="B1259" t="s">
        <v>74</v>
      </c>
      <c r="C1259" t="s">
        <v>35</v>
      </c>
      <c r="D1259" t="s">
        <v>20</v>
      </c>
      <c r="E1259" t="s">
        <v>21</v>
      </c>
      <c r="F1259" s="1">
        <v>45566</v>
      </c>
      <c r="G1259">
        <v>5.66</v>
      </c>
      <c r="H1259">
        <v>81.197699999999998</v>
      </c>
      <c r="I1259">
        <v>12.34</v>
      </c>
      <c r="J1259">
        <v>87.87</v>
      </c>
      <c r="K1259" t="s">
        <v>31</v>
      </c>
      <c r="L1259">
        <v>1081.6600000000001</v>
      </c>
      <c r="M1259">
        <f>VLOOKUP(K1259,RatingLookup!$A$2:$C$8,2,FALSE)</f>
        <v>0.04</v>
      </c>
      <c r="N1259">
        <f t="shared" si="57"/>
        <v>3.3960531989175591E-3</v>
      </c>
      <c r="O1259">
        <f>VLOOKUP(K1259,RatingLookup!$A$2:$C$8,3,FALSE)</f>
        <v>0.6</v>
      </c>
      <c r="P1259">
        <f t="shared" si="58"/>
        <v>2.2040249418847</v>
      </c>
      <c r="Q1259" t="str">
        <f t="shared" ca="1" si="59"/>
        <v>No</v>
      </c>
    </row>
    <row r="1260" spans="1:17" x14ac:dyDescent="0.45">
      <c r="A1260" t="s">
        <v>73</v>
      </c>
      <c r="B1260" t="s">
        <v>74</v>
      </c>
      <c r="C1260" t="s">
        <v>35</v>
      </c>
      <c r="D1260" t="s">
        <v>20</v>
      </c>
      <c r="E1260" t="s">
        <v>21</v>
      </c>
      <c r="F1260" s="1">
        <v>45597</v>
      </c>
      <c r="G1260">
        <v>5.7</v>
      </c>
      <c r="H1260">
        <v>79.003900000000002</v>
      </c>
      <c r="I1260">
        <v>17.27</v>
      </c>
      <c r="J1260">
        <v>69.27</v>
      </c>
      <c r="K1260" t="s">
        <v>31</v>
      </c>
      <c r="L1260">
        <v>1122.21</v>
      </c>
      <c r="M1260">
        <f>VLOOKUP(K1260,RatingLookup!$A$2:$C$8,2,FALSE)</f>
        <v>0.04</v>
      </c>
      <c r="N1260">
        <f t="shared" si="57"/>
        <v>3.3960531989175591E-3</v>
      </c>
      <c r="O1260">
        <f>VLOOKUP(K1260,RatingLookup!$A$2:$C$8,3,FALSE)</f>
        <v>0.6</v>
      </c>
      <c r="P1260">
        <f t="shared" si="58"/>
        <v>2.2866509162143642</v>
      </c>
      <c r="Q1260" t="str">
        <f t="shared" ca="1" si="59"/>
        <v>No</v>
      </c>
    </row>
    <row r="1261" spans="1:17" x14ac:dyDescent="0.45">
      <c r="A1261" t="s">
        <v>73</v>
      </c>
      <c r="B1261" t="s">
        <v>74</v>
      </c>
      <c r="C1261" t="s">
        <v>35</v>
      </c>
      <c r="D1261" t="s">
        <v>20</v>
      </c>
      <c r="E1261" t="s">
        <v>21</v>
      </c>
      <c r="F1261" s="1">
        <v>45627</v>
      </c>
      <c r="G1261">
        <v>6.1</v>
      </c>
      <c r="H1261">
        <v>80.360299999999995</v>
      </c>
      <c r="I1261">
        <v>16.670000000000002</v>
      </c>
      <c r="J1261">
        <v>73.91</v>
      </c>
      <c r="K1261" t="s">
        <v>31</v>
      </c>
      <c r="L1261">
        <v>1118.67</v>
      </c>
      <c r="M1261">
        <f>VLOOKUP(K1261,RatingLookup!$A$2:$C$8,2,FALSE)</f>
        <v>0.04</v>
      </c>
      <c r="N1261">
        <f t="shared" si="57"/>
        <v>3.3960531989175591E-3</v>
      </c>
      <c r="O1261">
        <f>VLOOKUP(K1261,RatingLookup!$A$2:$C$8,3,FALSE)</f>
        <v>0.6</v>
      </c>
      <c r="P1261">
        <f t="shared" si="58"/>
        <v>2.2794376992198635</v>
      </c>
      <c r="Q1261" t="str">
        <f t="shared" ca="1" si="59"/>
        <v>No</v>
      </c>
    </row>
    <row r="1262" spans="1:17" x14ac:dyDescent="0.45">
      <c r="A1262" t="s">
        <v>75</v>
      </c>
      <c r="B1262" t="s">
        <v>76</v>
      </c>
      <c r="C1262" t="s">
        <v>77</v>
      </c>
      <c r="D1262" t="s">
        <v>20</v>
      </c>
      <c r="E1262" t="s">
        <v>21</v>
      </c>
      <c r="F1262" s="1">
        <v>43831</v>
      </c>
      <c r="G1262">
        <v>5.29</v>
      </c>
      <c r="H1262">
        <v>83.816299999999998</v>
      </c>
      <c r="I1262">
        <v>11.84</v>
      </c>
      <c r="J1262">
        <v>83.49</v>
      </c>
      <c r="K1262" t="s">
        <v>30</v>
      </c>
      <c r="L1262">
        <v>1005.71</v>
      </c>
      <c r="M1262">
        <f>VLOOKUP(K1262,RatingLookup!$A$2:$C$8,2,FALSE)</f>
        <v>1.4999999999999999E-2</v>
      </c>
      <c r="N1262">
        <f t="shared" si="57"/>
        <v>1.2586770182638762E-3</v>
      </c>
      <c r="O1262">
        <f>VLOOKUP(K1262,RatingLookup!$A$2:$C$8,3,FALSE)</f>
        <v>0.5</v>
      </c>
      <c r="P1262">
        <f t="shared" si="58"/>
        <v>0.63293203201908155</v>
      </c>
      <c r="Q1262" t="str">
        <f t="shared" ca="1" si="59"/>
        <v>No</v>
      </c>
    </row>
    <row r="1263" spans="1:17" x14ac:dyDescent="0.45">
      <c r="A1263" t="s">
        <v>75</v>
      </c>
      <c r="B1263" t="s">
        <v>76</v>
      </c>
      <c r="C1263" t="s">
        <v>77</v>
      </c>
      <c r="D1263" t="s">
        <v>20</v>
      </c>
      <c r="E1263" t="s">
        <v>21</v>
      </c>
      <c r="F1263" s="1">
        <v>43862</v>
      </c>
      <c r="G1263">
        <v>6.43</v>
      </c>
      <c r="H1263">
        <v>83.516400000000004</v>
      </c>
      <c r="I1263">
        <v>19.7</v>
      </c>
      <c r="J1263">
        <v>77.12</v>
      </c>
      <c r="K1263" t="s">
        <v>30</v>
      </c>
      <c r="L1263">
        <v>938.51</v>
      </c>
      <c r="M1263">
        <f>VLOOKUP(K1263,RatingLookup!$A$2:$C$8,2,FALSE)</f>
        <v>1.4999999999999999E-2</v>
      </c>
      <c r="N1263">
        <f t="shared" si="57"/>
        <v>1.2586770182638762E-3</v>
      </c>
      <c r="O1263">
        <f>VLOOKUP(K1263,RatingLookup!$A$2:$C$8,3,FALSE)</f>
        <v>0.5</v>
      </c>
      <c r="P1263">
        <f t="shared" si="58"/>
        <v>0.59064048420541526</v>
      </c>
      <c r="Q1263" t="str">
        <f t="shared" ca="1" si="59"/>
        <v>No</v>
      </c>
    </row>
    <row r="1264" spans="1:17" x14ac:dyDescent="0.45">
      <c r="A1264" t="s">
        <v>75</v>
      </c>
      <c r="B1264" t="s">
        <v>76</v>
      </c>
      <c r="C1264" t="s">
        <v>77</v>
      </c>
      <c r="D1264" t="s">
        <v>20</v>
      </c>
      <c r="E1264" t="s">
        <v>21</v>
      </c>
      <c r="F1264" s="1">
        <v>43891</v>
      </c>
      <c r="G1264">
        <v>5.62</v>
      </c>
      <c r="H1264">
        <v>80.891099999999994</v>
      </c>
      <c r="I1264">
        <v>20.170000000000002</v>
      </c>
      <c r="J1264">
        <v>63.25</v>
      </c>
      <c r="K1264" t="s">
        <v>30</v>
      </c>
      <c r="L1264">
        <v>1015.53</v>
      </c>
      <c r="M1264">
        <f>VLOOKUP(K1264,RatingLookup!$A$2:$C$8,2,FALSE)</f>
        <v>1.4999999999999999E-2</v>
      </c>
      <c r="N1264">
        <f t="shared" si="57"/>
        <v>1.2586770182638762E-3</v>
      </c>
      <c r="O1264">
        <f>VLOOKUP(K1264,RatingLookup!$A$2:$C$8,3,FALSE)</f>
        <v>0.5</v>
      </c>
      <c r="P1264">
        <f t="shared" si="58"/>
        <v>0.63911213617875706</v>
      </c>
      <c r="Q1264" t="str">
        <f t="shared" ca="1" si="59"/>
        <v>No</v>
      </c>
    </row>
    <row r="1265" spans="1:17" x14ac:dyDescent="0.45">
      <c r="A1265" t="s">
        <v>75</v>
      </c>
      <c r="B1265" t="s">
        <v>76</v>
      </c>
      <c r="C1265" t="s">
        <v>77</v>
      </c>
      <c r="D1265" t="s">
        <v>20</v>
      </c>
      <c r="E1265" t="s">
        <v>21</v>
      </c>
      <c r="F1265" s="1">
        <v>43922</v>
      </c>
      <c r="G1265">
        <v>5.89</v>
      </c>
      <c r="H1265">
        <v>82.5779</v>
      </c>
      <c r="I1265">
        <v>23.57</v>
      </c>
      <c r="J1265">
        <v>76.22</v>
      </c>
      <c r="K1265" t="s">
        <v>30</v>
      </c>
      <c r="L1265">
        <v>1033.95</v>
      </c>
      <c r="M1265">
        <f>VLOOKUP(K1265,RatingLookup!$A$2:$C$8,2,FALSE)</f>
        <v>1.4999999999999999E-2</v>
      </c>
      <c r="N1265">
        <f t="shared" si="57"/>
        <v>1.2586770182638762E-3</v>
      </c>
      <c r="O1265">
        <f>VLOOKUP(K1265,RatingLookup!$A$2:$C$8,3,FALSE)</f>
        <v>0.5</v>
      </c>
      <c r="P1265">
        <f t="shared" si="58"/>
        <v>0.65070455151696749</v>
      </c>
      <c r="Q1265" t="str">
        <f t="shared" ca="1" si="59"/>
        <v>No</v>
      </c>
    </row>
    <row r="1266" spans="1:17" x14ac:dyDescent="0.45">
      <c r="A1266" t="s">
        <v>75</v>
      </c>
      <c r="B1266" t="s">
        <v>76</v>
      </c>
      <c r="C1266" t="s">
        <v>77</v>
      </c>
      <c r="D1266" t="s">
        <v>20</v>
      </c>
      <c r="E1266" t="s">
        <v>21</v>
      </c>
      <c r="F1266" s="1">
        <v>43952</v>
      </c>
      <c r="G1266">
        <v>4.82</v>
      </c>
      <c r="H1266">
        <v>82.431100000000001</v>
      </c>
      <c r="I1266">
        <v>20.39</v>
      </c>
      <c r="J1266">
        <v>83.47</v>
      </c>
      <c r="K1266" t="s">
        <v>30</v>
      </c>
      <c r="L1266">
        <v>1018.07</v>
      </c>
      <c r="M1266">
        <f>VLOOKUP(K1266,RatingLookup!$A$2:$C$8,2,FALSE)</f>
        <v>1.4999999999999999E-2</v>
      </c>
      <c r="N1266">
        <f t="shared" si="57"/>
        <v>1.2586770182638762E-3</v>
      </c>
      <c r="O1266">
        <f>VLOOKUP(K1266,RatingLookup!$A$2:$C$8,3,FALSE)</f>
        <v>0.5</v>
      </c>
      <c r="P1266">
        <f t="shared" si="58"/>
        <v>0.64071065599195232</v>
      </c>
      <c r="Q1266" t="str">
        <f t="shared" ca="1" si="59"/>
        <v>No</v>
      </c>
    </row>
    <row r="1267" spans="1:17" x14ac:dyDescent="0.45">
      <c r="A1267" t="s">
        <v>75</v>
      </c>
      <c r="B1267" t="s">
        <v>76</v>
      </c>
      <c r="C1267" t="s">
        <v>77</v>
      </c>
      <c r="D1267" t="s">
        <v>20</v>
      </c>
      <c r="E1267" t="s">
        <v>21</v>
      </c>
      <c r="F1267" s="1">
        <v>43983</v>
      </c>
      <c r="G1267">
        <v>5.3</v>
      </c>
      <c r="H1267">
        <v>82.272099999999995</v>
      </c>
      <c r="I1267">
        <v>24.93</v>
      </c>
      <c r="J1267">
        <v>76.58</v>
      </c>
      <c r="K1267" t="s">
        <v>30</v>
      </c>
      <c r="L1267">
        <v>990.71</v>
      </c>
      <c r="M1267">
        <f>VLOOKUP(K1267,RatingLookup!$A$2:$C$8,2,FALSE)</f>
        <v>1.4999999999999999E-2</v>
      </c>
      <c r="N1267">
        <f t="shared" si="57"/>
        <v>1.2586770182638762E-3</v>
      </c>
      <c r="O1267">
        <f>VLOOKUP(K1267,RatingLookup!$A$2:$C$8,3,FALSE)</f>
        <v>0.5</v>
      </c>
      <c r="P1267">
        <f t="shared" si="58"/>
        <v>0.62349195438210248</v>
      </c>
      <c r="Q1267" t="str">
        <f t="shared" ca="1" si="59"/>
        <v>No</v>
      </c>
    </row>
    <row r="1268" spans="1:17" x14ac:dyDescent="0.45">
      <c r="A1268" t="s">
        <v>75</v>
      </c>
      <c r="B1268" t="s">
        <v>76</v>
      </c>
      <c r="C1268" t="s">
        <v>77</v>
      </c>
      <c r="D1268" t="s">
        <v>20</v>
      </c>
      <c r="E1268" t="s">
        <v>21</v>
      </c>
      <c r="F1268" s="1">
        <v>44013</v>
      </c>
      <c r="G1268">
        <v>5.17</v>
      </c>
      <c r="H1268">
        <v>82.646000000000001</v>
      </c>
      <c r="I1268">
        <v>17.39</v>
      </c>
      <c r="J1268">
        <v>87.76</v>
      </c>
      <c r="K1268" t="s">
        <v>22</v>
      </c>
      <c r="L1268">
        <v>1010.18</v>
      </c>
      <c r="M1268">
        <f>VLOOKUP(K1268,RatingLookup!$A$2:$C$8,2,FALSE)</f>
        <v>5.0000000000000001E-3</v>
      </c>
      <c r="N1268">
        <f t="shared" si="57"/>
        <v>4.1762458919303302E-4</v>
      </c>
      <c r="O1268">
        <f>VLOOKUP(K1268,RatingLookup!$A$2:$C$8,3,FALSE)</f>
        <v>0.45</v>
      </c>
      <c r="P1268">
        <f t="shared" si="58"/>
        <v>0.18984420337995814</v>
      </c>
      <c r="Q1268" t="str">
        <f t="shared" ca="1" si="59"/>
        <v>No</v>
      </c>
    </row>
    <row r="1269" spans="1:17" x14ac:dyDescent="0.45">
      <c r="A1269" t="s">
        <v>75</v>
      </c>
      <c r="B1269" t="s">
        <v>76</v>
      </c>
      <c r="C1269" t="s">
        <v>77</v>
      </c>
      <c r="D1269" t="s">
        <v>20</v>
      </c>
      <c r="E1269" t="s">
        <v>21</v>
      </c>
      <c r="F1269" s="1">
        <v>44044</v>
      </c>
      <c r="G1269">
        <v>5.18</v>
      </c>
      <c r="H1269">
        <v>82.028899999999993</v>
      </c>
      <c r="I1269">
        <v>16.57</v>
      </c>
      <c r="J1269">
        <v>83.45</v>
      </c>
      <c r="K1269" t="s">
        <v>22</v>
      </c>
      <c r="L1269">
        <v>931.22</v>
      </c>
      <c r="M1269">
        <f>VLOOKUP(K1269,RatingLookup!$A$2:$C$8,2,FALSE)</f>
        <v>5.0000000000000001E-3</v>
      </c>
      <c r="N1269">
        <f t="shared" si="57"/>
        <v>4.1762458919303302E-4</v>
      </c>
      <c r="O1269">
        <f>VLOOKUP(K1269,RatingLookup!$A$2:$C$8,3,FALSE)</f>
        <v>0.45</v>
      </c>
      <c r="P1269">
        <f t="shared" si="58"/>
        <v>0.17500516647675129</v>
      </c>
      <c r="Q1269" t="str">
        <f t="shared" ca="1" si="59"/>
        <v>No</v>
      </c>
    </row>
    <row r="1270" spans="1:17" x14ac:dyDescent="0.45">
      <c r="A1270" t="s">
        <v>75</v>
      </c>
      <c r="B1270" t="s">
        <v>76</v>
      </c>
      <c r="C1270" t="s">
        <v>77</v>
      </c>
      <c r="D1270" t="s">
        <v>20</v>
      </c>
      <c r="E1270" t="s">
        <v>21</v>
      </c>
      <c r="F1270" s="1">
        <v>44075</v>
      </c>
      <c r="G1270">
        <v>5.16</v>
      </c>
      <c r="H1270">
        <v>81.268199999999993</v>
      </c>
      <c r="I1270">
        <v>17.8</v>
      </c>
      <c r="J1270">
        <v>82.66</v>
      </c>
      <c r="K1270" t="s">
        <v>22</v>
      </c>
      <c r="L1270">
        <v>994.35</v>
      </c>
      <c r="M1270">
        <f>VLOOKUP(K1270,RatingLookup!$A$2:$C$8,2,FALSE)</f>
        <v>5.0000000000000001E-3</v>
      </c>
      <c r="N1270">
        <f t="shared" si="57"/>
        <v>4.1762458919303302E-4</v>
      </c>
      <c r="O1270">
        <f>VLOOKUP(K1270,RatingLookup!$A$2:$C$8,3,FALSE)</f>
        <v>0.45</v>
      </c>
      <c r="P1270">
        <f t="shared" si="58"/>
        <v>0.18686925461884157</v>
      </c>
      <c r="Q1270" t="str">
        <f t="shared" ca="1" si="59"/>
        <v>No</v>
      </c>
    </row>
    <row r="1271" spans="1:17" x14ac:dyDescent="0.45">
      <c r="A1271" t="s">
        <v>75</v>
      </c>
      <c r="B1271" t="s">
        <v>76</v>
      </c>
      <c r="C1271" t="s">
        <v>77</v>
      </c>
      <c r="D1271" t="s">
        <v>20</v>
      </c>
      <c r="E1271" t="s">
        <v>21</v>
      </c>
      <c r="F1271" s="1">
        <v>44105</v>
      </c>
      <c r="G1271">
        <v>4.32</v>
      </c>
      <c r="H1271">
        <v>84.086699999999993</v>
      </c>
      <c r="I1271">
        <v>23.09</v>
      </c>
      <c r="J1271">
        <v>86.91</v>
      </c>
      <c r="K1271" t="s">
        <v>22</v>
      </c>
      <c r="L1271">
        <v>1006.79</v>
      </c>
      <c r="M1271">
        <f>VLOOKUP(K1271,RatingLookup!$A$2:$C$8,2,FALSE)</f>
        <v>5.0000000000000001E-3</v>
      </c>
      <c r="N1271">
        <f t="shared" si="57"/>
        <v>4.1762458919303302E-4</v>
      </c>
      <c r="O1271">
        <f>VLOOKUP(K1271,RatingLookup!$A$2:$C$8,3,FALSE)</f>
        <v>0.45</v>
      </c>
      <c r="P1271">
        <f t="shared" si="58"/>
        <v>0.18920711706914417</v>
      </c>
      <c r="Q1271" t="str">
        <f t="shared" ca="1" si="59"/>
        <v>No</v>
      </c>
    </row>
    <row r="1272" spans="1:17" x14ac:dyDescent="0.45">
      <c r="A1272" t="s">
        <v>75</v>
      </c>
      <c r="B1272" t="s">
        <v>76</v>
      </c>
      <c r="C1272" t="s">
        <v>77</v>
      </c>
      <c r="D1272" t="s">
        <v>20</v>
      </c>
      <c r="E1272" t="s">
        <v>21</v>
      </c>
      <c r="F1272" s="1">
        <v>44136</v>
      </c>
      <c r="G1272">
        <v>4.2</v>
      </c>
      <c r="H1272">
        <v>78.656000000000006</v>
      </c>
      <c r="I1272">
        <v>13.99</v>
      </c>
      <c r="J1272">
        <v>62.4</v>
      </c>
      <c r="K1272" t="s">
        <v>22</v>
      </c>
      <c r="L1272">
        <v>987.75</v>
      </c>
      <c r="M1272">
        <f>VLOOKUP(K1272,RatingLookup!$A$2:$C$8,2,FALSE)</f>
        <v>5.0000000000000001E-3</v>
      </c>
      <c r="N1272">
        <f t="shared" si="57"/>
        <v>4.1762458919303302E-4</v>
      </c>
      <c r="O1272">
        <f>VLOOKUP(K1272,RatingLookup!$A$2:$C$8,3,FALSE)</f>
        <v>0.45</v>
      </c>
      <c r="P1272">
        <f t="shared" si="58"/>
        <v>0.1856289095889383</v>
      </c>
      <c r="Q1272" t="str">
        <f t="shared" ca="1" si="59"/>
        <v>No</v>
      </c>
    </row>
    <row r="1273" spans="1:17" x14ac:dyDescent="0.45">
      <c r="A1273" t="s">
        <v>75</v>
      </c>
      <c r="B1273" t="s">
        <v>76</v>
      </c>
      <c r="C1273" t="s">
        <v>77</v>
      </c>
      <c r="D1273" t="s">
        <v>20</v>
      </c>
      <c r="E1273" t="s">
        <v>21</v>
      </c>
      <c r="F1273" s="1">
        <v>44166</v>
      </c>
      <c r="G1273">
        <v>5.22</v>
      </c>
      <c r="H1273">
        <v>82.5715</v>
      </c>
      <c r="I1273">
        <v>15.7</v>
      </c>
      <c r="J1273">
        <v>66.03</v>
      </c>
      <c r="K1273" t="s">
        <v>22</v>
      </c>
      <c r="L1273">
        <v>967.94</v>
      </c>
      <c r="M1273">
        <f>VLOOKUP(K1273,RatingLookup!$A$2:$C$8,2,FALSE)</f>
        <v>5.0000000000000001E-3</v>
      </c>
      <c r="N1273">
        <f t="shared" si="57"/>
        <v>4.1762458919303302E-4</v>
      </c>
      <c r="O1273">
        <f>VLOOKUP(K1273,RatingLookup!$A$2:$C$8,3,FALSE)</f>
        <v>0.45</v>
      </c>
      <c r="P1273">
        <f t="shared" si="58"/>
        <v>0.18190599518857697</v>
      </c>
      <c r="Q1273" t="str">
        <f t="shared" ca="1" si="59"/>
        <v>No</v>
      </c>
    </row>
    <row r="1274" spans="1:17" x14ac:dyDescent="0.45">
      <c r="A1274" t="s">
        <v>75</v>
      </c>
      <c r="B1274" t="s">
        <v>76</v>
      </c>
      <c r="C1274" t="s">
        <v>77</v>
      </c>
      <c r="D1274" t="s">
        <v>20</v>
      </c>
      <c r="E1274" t="s">
        <v>21</v>
      </c>
      <c r="F1274" s="1">
        <v>44197</v>
      </c>
      <c r="G1274">
        <v>6.34</v>
      </c>
      <c r="H1274">
        <v>81.571299999999994</v>
      </c>
      <c r="I1274">
        <v>18.41</v>
      </c>
      <c r="J1274">
        <v>73.239999999999995</v>
      </c>
      <c r="K1274" t="s">
        <v>22</v>
      </c>
      <c r="L1274">
        <v>964.9</v>
      </c>
      <c r="M1274">
        <f>VLOOKUP(K1274,RatingLookup!$A$2:$C$8,2,FALSE)</f>
        <v>5.0000000000000001E-3</v>
      </c>
      <c r="N1274">
        <f t="shared" si="57"/>
        <v>4.1762458919303302E-4</v>
      </c>
      <c r="O1274">
        <f>VLOOKUP(K1274,RatingLookup!$A$2:$C$8,3,FALSE)</f>
        <v>0.45</v>
      </c>
      <c r="P1274">
        <f t="shared" si="58"/>
        <v>0.18133468475056091</v>
      </c>
      <c r="Q1274" t="str">
        <f t="shared" ca="1" si="59"/>
        <v>No</v>
      </c>
    </row>
    <row r="1275" spans="1:17" x14ac:dyDescent="0.45">
      <c r="A1275" t="s">
        <v>75</v>
      </c>
      <c r="B1275" t="s">
        <v>76</v>
      </c>
      <c r="C1275" t="s">
        <v>77</v>
      </c>
      <c r="D1275" t="s">
        <v>20</v>
      </c>
      <c r="E1275" t="s">
        <v>21</v>
      </c>
      <c r="F1275" s="1">
        <v>44228</v>
      </c>
      <c r="G1275">
        <v>5.92</v>
      </c>
      <c r="H1275">
        <v>83.057699999999997</v>
      </c>
      <c r="I1275">
        <v>5</v>
      </c>
      <c r="J1275">
        <v>65.95</v>
      </c>
      <c r="K1275" t="s">
        <v>22</v>
      </c>
      <c r="L1275">
        <v>908.55</v>
      </c>
      <c r="M1275">
        <f>VLOOKUP(K1275,RatingLookup!$A$2:$C$8,2,FALSE)</f>
        <v>5.0000000000000001E-3</v>
      </c>
      <c r="N1275">
        <f t="shared" si="57"/>
        <v>4.1762458919303302E-4</v>
      </c>
      <c r="O1275">
        <f>VLOOKUP(K1275,RatingLookup!$A$2:$C$8,3,FALSE)</f>
        <v>0.45</v>
      </c>
      <c r="P1275">
        <f t="shared" si="58"/>
        <v>0.17074476923009857</v>
      </c>
      <c r="Q1275" t="str">
        <f t="shared" ca="1" si="59"/>
        <v>No</v>
      </c>
    </row>
    <row r="1276" spans="1:17" x14ac:dyDescent="0.45">
      <c r="A1276" t="s">
        <v>75</v>
      </c>
      <c r="B1276" t="s">
        <v>76</v>
      </c>
      <c r="C1276" t="s">
        <v>77</v>
      </c>
      <c r="D1276" t="s">
        <v>20</v>
      </c>
      <c r="E1276" t="s">
        <v>21</v>
      </c>
      <c r="F1276" s="1">
        <v>44256</v>
      </c>
      <c r="G1276">
        <v>5.64</v>
      </c>
      <c r="H1276">
        <v>81.396799999999999</v>
      </c>
      <c r="I1276">
        <v>24.9</v>
      </c>
      <c r="J1276">
        <v>85.01</v>
      </c>
      <c r="K1276" t="s">
        <v>22</v>
      </c>
      <c r="L1276">
        <v>997.44</v>
      </c>
      <c r="M1276">
        <f>VLOOKUP(K1276,RatingLookup!$A$2:$C$8,2,FALSE)</f>
        <v>5.0000000000000001E-3</v>
      </c>
      <c r="N1276">
        <f t="shared" si="57"/>
        <v>4.1762458919303302E-4</v>
      </c>
      <c r="O1276">
        <f>VLOOKUP(K1276,RatingLookup!$A$2:$C$8,3,FALSE)</f>
        <v>0.45</v>
      </c>
      <c r="P1276">
        <f t="shared" si="58"/>
        <v>0.18744996161011448</v>
      </c>
      <c r="Q1276" t="str">
        <f t="shared" ca="1" si="59"/>
        <v>No</v>
      </c>
    </row>
    <row r="1277" spans="1:17" x14ac:dyDescent="0.45">
      <c r="A1277" t="s">
        <v>75</v>
      </c>
      <c r="B1277" t="s">
        <v>76</v>
      </c>
      <c r="C1277" t="s">
        <v>77</v>
      </c>
      <c r="D1277" t="s">
        <v>20</v>
      </c>
      <c r="E1277" t="s">
        <v>21</v>
      </c>
      <c r="F1277" s="1">
        <v>44287</v>
      </c>
      <c r="G1277">
        <v>6.53</v>
      </c>
      <c r="H1277">
        <v>82.55</v>
      </c>
      <c r="I1277">
        <v>21.4</v>
      </c>
      <c r="J1277">
        <v>75.17</v>
      </c>
      <c r="K1277" t="s">
        <v>22</v>
      </c>
      <c r="L1277">
        <v>989.17</v>
      </c>
      <c r="M1277">
        <f>VLOOKUP(K1277,RatingLookup!$A$2:$C$8,2,FALSE)</f>
        <v>5.0000000000000001E-3</v>
      </c>
      <c r="N1277">
        <f t="shared" si="57"/>
        <v>4.1762458919303302E-4</v>
      </c>
      <c r="O1277">
        <f>VLOOKUP(K1277,RatingLookup!$A$2:$C$8,3,FALSE)</f>
        <v>0.45</v>
      </c>
      <c r="P1277">
        <f t="shared" si="58"/>
        <v>0.18589577170143262</v>
      </c>
      <c r="Q1277" t="str">
        <f t="shared" ca="1" si="59"/>
        <v>No</v>
      </c>
    </row>
    <row r="1278" spans="1:17" x14ac:dyDescent="0.45">
      <c r="A1278" t="s">
        <v>75</v>
      </c>
      <c r="B1278" t="s">
        <v>76</v>
      </c>
      <c r="C1278" t="s">
        <v>77</v>
      </c>
      <c r="D1278" t="s">
        <v>20</v>
      </c>
      <c r="E1278" t="s">
        <v>21</v>
      </c>
      <c r="F1278" s="1">
        <v>44317</v>
      </c>
      <c r="G1278">
        <v>6.56</v>
      </c>
      <c r="H1278">
        <v>79.3553</v>
      </c>
      <c r="I1278">
        <v>5</v>
      </c>
      <c r="J1278">
        <v>92.79</v>
      </c>
      <c r="K1278" t="s">
        <v>22</v>
      </c>
      <c r="L1278">
        <v>951.08</v>
      </c>
      <c r="M1278">
        <f>VLOOKUP(K1278,RatingLookup!$A$2:$C$8,2,FALSE)</f>
        <v>5.0000000000000001E-3</v>
      </c>
      <c r="N1278">
        <f t="shared" si="57"/>
        <v>4.1762458919303302E-4</v>
      </c>
      <c r="O1278">
        <f>VLOOKUP(K1278,RatingLookup!$A$2:$C$8,3,FALSE)</f>
        <v>0.45</v>
      </c>
      <c r="P1278">
        <f t="shared" si="58"/>
        <v>0.17873747743036944</v>
      </c>
      <c r="Q1278" t="str">
        <f t="shared" ca="1" si="59"/>
        <v>No</v>
      </c>
    </row>
    <row r="1279" spans="1:17" x14ac:dyDescent="0.45">
      <c r="A1279" t="s">
        <v>75</v>
      </c>
      <c r="B1279" t="s">
        <v>76</v>
      </c>
      <c r="C1279" t="s">
        <v>77</v>
      </c>
      <c r="D1279" t="s">
        <v>20</v>
      </c>
      <c r="E1279" t="s">
        <v>21</v>
      </c>
      <c r="F1279" s="1">
        <v>44348</v>
      </c>
      <c r="G1279">
        <v>5.33</v>
      </c>
      <c r="H1279">
        <v>85.927099999999996</v>
      </c>
      <c r="I1279">
        <v>10.59</v>
      </c>
      <c r="J1279">
        <v>90.27</v>
      </c>
      <c r="K1279" t="s">
        <v>22</v>
      </c>
      <c r="L1279">
        <v>1082.78</v>
      </c>
      <c r="M1279">
        <f>VLOOKUP(K1279,RatingLookup!$A$2:$C$8,2,FALSE)</f>
        <v>5.0000000000000001E-3</v>
      </c>
      <c r="N1279">
        <f t="shared" si="57"/>
        <v>4.1762458919303302E-4</v>
      </c>
      <c r="O1279">
        <f>VLOOKUP(K1279,RatingLookup!$A$2:$C$8,3,FALSE)</f>
        <v>0.45</v>
      </c>
      <c r="P1279">
        <f t="shared" si="58"/>
        <v>0.20348799870889453</v>
      </c>
      <c r="Q1279" t="str">
        <f t="shared" ca="1" si="59"/>
        <v>No</v>
      </c>
    </row>
    <row r="1280" spans="1:17" x14ac:dyDescent="0.45">
      <c r="A1280" t="s">
        <v>75</v>
      </c>
      <c r="B1280" t="s">
        <v>76</v>
      </c>
      <c r="C1280" t="s">
        <v>77</v>
      </c>
      <c r="D1280" t="s">
        <v>20</v>
      </c>
      <c r="E1280" t="s">
        <v>21</v>
      </c>
      <c r="F1280" s="1">
        <v>44378</v>
      </c>
      <c r="G1280">
        <v>6.12</v>
      </c>
      <c r="H1280">
        <v>81.728899999999996</v>
      </c>
      <c r="I1280">
        <v>17.41</v>
      </c>
      <c r="J1280">
        <v>82.69</v>
      </c>
      <c r="K1280" t="s">
        <v>22</v>
      </c>
      <c r="L1280">
        <v>934.87</v>
      </c>
      <c r="M1280">
        <f>VLOOKUP(K1280,RatingLookup!$A$2:$C$8,2,FALSE)</f>
        <v>5.0000000000000001E-3</v>
      </c>
      <c r="N1280">
        <f t="shared" si="57"/>
        <v>4.1762458919303302E-4</v>
      </c>
      <c r="O1280">
        <f>VLOOKUP(K1280,RatingLookup!$A$2:$C$8,3,FALSE)</f>
        <v>0.45</v>
      </c>
      <c r="P1280">
        <f t="shared" si="58"/>
        <v>0.17569111486450084</v>
      </c>
      <c r="Q1280" t="str">
        <f t="shared" ca="1" si="59"/>
        <v>No</v>
      </c>
    </row>
    <row r="1281" spans="1:17" x14ac:dyDescent="0.45">
      <c r="A1281" t="s">
        <v>75</v>
      </c>
      <c r="B1281" t="s">
        <v>76</v>
      </c>
      <c r="C1281" t="s">
        <v>77</v>
      </c>
      <c r="D1281" t="s">
        <v>20</v>
      </c>
      <c r="E1281" t="s">
        <v>21</v>
      </c>
      <c r="F1281" s="1">
        <v>44409</v>
      </c>
      <c r="G1281">
        <v>5.29</v>
      </c>
      <c r="H1281">
        <v>81.465999999999994</v>
      </c>
      <c r="I1281">
        <v>20.04</v>
      </c>
      <c r="J1281">
        <v>74.72</v>
      </c>
      <c r="K1281" t="s">
        <v>22</v>
      </c>
      <c r="L1281">
        <v>1001.36</v>
      </c>
      <c r="M1281">
        <f>VLOOKUP(K1281,RatingLookup!$A$2:$C$8,2,FALSE)</f>
        <v>5.0000000000000001E-3</v>
      </c>
      <c r="N1281">
        <f t="shared" si="57"/>
        <v>4.1762458919303302E-4</v>
      </c>
      <c r="O1281">
        <f>VLOOKUP(K1281,RatingLookup!$A$2:$C$8,3,FALSE)</f>
        <v>0.45</v>
      </c>
      <c r="P1281">
        <f t="shared" si="58"/>
        <v>0.18818665138545101</v>
      </c>
      <c r="Q1281" t="str">
        <f t="shared" ca="1" si="59"/>
        <v>No</v>
      </c>
    </row>
    <row r="1282" spans="1:17" x14ac:dyDescent="0.45">
      <c r="A1282" t="s">
        <v>75</v>
      </c>
      <c r="B1282" t="s">
        <v>76</v>
      </c>
      <c r="C1282" t="s">
        <v>77</v>
      </c>
      <c r="D1282" t="s">
        <v>20</v>
      </c>
      <c r="E1282" t="s">
        <v>21</v>
      </c>
      <c r="F1282" s="1">
        <v>44440</v>
      </c>
      <c r="G1282">
        <v>5.38</v>
      </c>
      <c r="H1282">
        <v>81.885400000000004</v>
      </c>
      <c r="I1282">
        <v>15.86</v>
      </c>
      <c r="J1282">
        <v>80.91</v>
      </c>
      <c r="K1282" t="s">
        <v>22</v>
      </c>
      <c r="L1282">
        <v>994.65</v>
      </c>
      <c r="M1282">
        <f>VLOOKUP(K1282,RatingLookup!$A$2:$C$8,2,FALSE)</f>
        <v>5.0000000000000001E-3</v>
      </c>
      <c r="N1282">
        <f t="shared" ref="N1282:N1345" si="60">1-(1-M1282)^(1/12)</f>
        <v>4.1762458919303302E-4</v>
      </c>
      <c r="O1282">
        <f>VLOOKUP(K1282,RatingLookup!$A$2:$C$8,3,FALSE)</f>
        <v>0.45</v>
      </c>
      <c r="P1282">
        <f t="shared" ref="P1282:P1345" si="61">L1282*N1282*O1282</f>
        <v>0.18692563393838263</v>
      </c>
      <c r="Q1282" t="str">
        <f t="shared" ref="Q1282:Q1345" ca="1" si="62">IF(RAND()&lt;N1282,"Yes","No")</f>
        <v>No</v>
      </c>
    </row>
    <row r="1283" spans="1:17" x14ac:dyDescent="0.45">
      <c r="A1283" t="s">
        <v>75</v>
      </c>
      <c r="B1283" t="s">
        <v>76</v>
      </c>
      <c r="C1283" t="s">
        <v>77</v>
      </c>
      <c r="D1283" t="s">
        <v>20</v>
      </c>
      <c r="E1283" t="s">
        <v>21</v>
      </c>
      <c r="F1283" s="1">
        <v>44470</v>
      </c>
      <c r="G1283">
        <v>6.47</v>
      </c>
      <c r="H1283">
        <v>83.797200000000004</v>
      </c>
      <c r="I1283">
        <v>14.28</v>
      </c>
      <c r="J1283">
        <v>78.459999999999994</v>
      </c>
      <c r="K1283" t="s">
        <v>22</v>
      </c>
      <c r="L1283">
        <v>982.05</v>
      </c>
      <c r="M1283">
        <f>VLOOKUP(K1283,RatingLookup!$A$2:$C$8,2,FALSE)</f>
        <v>5.0000000000000001E-3</v>
      </c>
      <c r="N1283">
        <f t="shared" si="60"/>
        <v>4.1762458919303302E-4</v>
      </c>
      <c r="O1283">
        <f>VLOOKUP(K1283,RatingLookup!$A$2:$C$8,3,FALSE)</f>
        <v>0.45</v>
      </c>
      <c r="P1283">
        <f t="shared" si="61"/>
        <v>0.18455770251765813</v>
      </c>
      <c r="Q1283" t="str">
        <f t="shared" ca="1" si="62"/>
        <v>No</v>
      </c>
    </row>
    <row r="1284" spans="1:17" x14ac:dyDescent="0.45">
      <c r="A1284" t="s">
        <v>75</v>
      </c>
      <c r="B1284" t="s">
        <v>76</v>
      </c>
      <c r="C1284" t="s">
        <v>77</v>
      </c>
      <c r="D1284" t="s">
        <v>20</v>
      </c>
      <c r="E1284" t="s">
        <v>21</v>
      </c>
      <c r="F1284" s="1">
        <v>44501</v>
      </c>
      <c r="G1284">
        <v>4.18</v>
      </c>
      <c r="H1284">
        <v>82.3857</v>
      </c>
      <c r="I1284">
        <v>9.83</v>
      </c>
      <c r="J1284">
        <v>81.400000000000006</v>
      </c>
      <c r="K1284" t="s">
        <v>22</v>
      </c>
      <c r="L1284">
        <v>1029.05</v>
      </c>
      <c r="M1284">
        <f>VLOOKUP(K1284,RatingLookup!$A$2:$C$8,2,FALSE)</f>
        <v>5.0000000000000001E-3</v>
      </c>
      <c r="N1284">
        <f t="shared" si="60"/>
        <v>4.1762458919303302E-4</v>
      </c>
      <c r="O1284">
        <f>VLOOKUP(K1284,RatingLookup!$A$2:$C$8,3,FALSE)</f>
        <v>0.45</v>
      </c>
      <c r="P1284">
        <f t="shared" si="61"/>
        <v>0.19339046257909079</v>
      </c>
      <c r="Q1284" t="str">
        <f t="shared" ca="1" si="62"/>
        <v>No</v>
      </c>
    </row>
    <row r="1285" spans="1:17" x14ac:dyDescent="0.45">
      <c r="A1285" t="s">
        <v>75</v>
      </c>
      <c r="B1285" t="s">
        <v>76</v>
      </c>
      <c r="C1285" t="s">
        <v>77</v>
      </c>
      <c r="D1285" t="s">
        <v>20</v>
      </c>
      <c r="E1285" t="s">
        <v>21</v>
      </c>
      <c r="F1285" s="1">
        <v>44531</v>
      </c>
      <c r="G1285">
        <v>5.14</v>
      </c>
      <c r="H1285">
        <v>80.899199999999993</v>
      </c>
      <c r="I1285">
        <v>11.74</v>
      </c>
      <c r="J1285">
        <v>97.71</v>
      </c>
      <c r="K1285" t="s">
        <v>22</v>
      </c>
      <c r="L1285">
        <v>1093.04</v>
      </c>
      <c r="M1285">
        <f>VLOOKUP(K1285,RatingLookup!$A$2:$C$8,2,FALSE)</f>
        <v>5.0000000000000001E-3</v>
      </c>
      <c r="N1285">
        <f t="shared" si="60"/>
        <v>4.1762458919303302E-4</v>
      </c>
      <c r="O1285">
        <f>VLOOKUP(K1285,RatingLookup!$A$2:$C$8,3,FALSE)</f>
        <v>0.45</v>
      </c>
      <c r="P1285">
        <f t="shared" si="61"/>
        <v>0.20541617143719876</v>
      </c>
      <c r="Q1285" t="str">
        <f t="shared" ca="1" si="62"/>
        <v>No</v>
      </c>
    </row>
    <row r="1286" spans="1:17" x14ac:dyDescent="0.45">
      <c r="A1286" t="s">
        <v>75</v>
      </c>
      <c r="B1286" t="s">
        <v>76</v>
      </c>
      <c r="C1286" t="s">
        <v>77</v>
      </c>
      <c r="D1286" t="s">
        <v>20</v>
      </c>
      <c r="E1286" t="s">
        <v>21</v>
      </c>
      <c r="F1286" s="1">
        <v>44562</v>
      </c>
      <c r="G1286">
        <v>5.03</v>
      </c>
      <c r="H1286">
        <v>81.103200000000001</v>
      </c>
      <c r="I1286">
        <v>12.22</v>
      </c>
      <c r="J1286">
        <v>71.34</v>
      </c>
      <c r="K1286" t="s">
        <v>22</v>
      </c>
      <c r="L1286">
        <v>1075.78</v>
      </c>
      <c r="M1286">
        <f>VLOOKUP(K1286,RatingLookup!$A$2:$C$8,2,FALSE)</f>
        <v>5.0000000000000001E-3</v>
      </c>
      <c r="N1286">
        <f t="shared" si="60"/>
        <v>4.1762458919303302E-4</v>
      </c>
      <c r="O1286">
        <f>VLOOKUP(K1286,RatingLookup!$A$2:$C$8,3,FALSE)</f>
        <v>0.45</v>
      </c>
      <c r="P1286">
        <f t="shared" si="61"/>
        <v>0.20217248125293649</v>
      </c>
      <c r="Q1286" t="str">
        <f t="shared" ca="1" si="62"/>
        <v>No</v>
      </c>
    </row>
    <row r="1287" spans="1:17" x14ac:dyDescent="0.45">
      <c r="A1287" t="s">
        <v>75</v>
      </c>
      <c r="B1287" t="s">
        <v>76</v>
      </c>
      <c r="C1287" t="s">
        <v>77</v>
      </c>
      <c r="D1287" t="s">
        <v>20</v>
      </c>
      <c r="E1287" t="s">
        <v>21</v>
      </c>
      <c r="F1287" s="1">
        <v>44593</v>
      </c>
      <c r="G1287">
        <v>6.67</v>
      </c>
      <c r="H1287">
        <v>83.033900000000003</v>
      </c>
      <c r="I1287">
        <v>9.02</v>
      </c>
      <c r="J1287">
        <v>79.89</v>
      </c>
      <c r="K1287" t="s">
        <v>22</v>
      </c>
      <c r="L1287">
        <v>1052.5899999999999</v>
      </c>
      <c r="M1287">
        <f>VLOOKUP(K1287,RatingLookup!$A$2:$C$8,2,FALSE)</f>
        <v>5.0000000000000001E-3</v>
      </c>
      <c r="N1287">
        <f t="shared" si="60"/>
        <v>4.1762458919303302E-4</v>
      </c>
      <c r="O1287">
        <f>VLOOKUP(K1287,RatingLookup!$A$2:$C$8,3,FALSE)</f>
        <v>0.45</v>
      </c>
      <c r="P1287">
        <f t="shared" si="61"/>
        <v>0.19781435985241258</v>
      </c>
      <c r="Q1287" t="str">
        <f t="shared" ca="1" si="62"/>
        <v>No</v>
      </c>
    </row>
    <row r="1288" spans="1:17" x14ac:dyDescent="0.45">
      <c r="A1288" t="s">
        <v>75</v>
      </c>
      <c r="B1288" t="s">
        <v>76</v>
      </c>
      <c r="C1288" t="s">
        <v>77</v>
      </c>
      <c r="D1288" t="s">
        <v>20</v>
      </c>
      <c r="E1288" t="s">
        <v>21</v>
      </c>
      <c r="F1288" s="1">
        <v>44621</v>
      </c>
      <c r="G1288">
        <v>5.18</v>
      </c>
      <c r="H1288">
        <v>82.065799999999996</v>
      </c>
      <c r="I1288">
        <v>11.44</v>
      </c>
      <c r="J1288">
        <v>82.24</v>
      </c>
      <c r="K1288" t="s">
        <v>22</v>
      </c>
      <c r="L1288">
        <v>1111.6600000000001</v>
      </c>
      <c r="M1288">
        <f>VLOOKUP(K1288,RatingLookup!$A$2:$C$8,2,FALSE)</f>
        <v>5.0000000000000001E-3</v>
      </c>
      <c r="N1288">
        <f t="shared" si="60"/>
        <v>4.1762458919303302E-4</v>
      </c>
      <c r="O1288">
        <f>VLOOKUP(K1288,RatingLookup!$A$2:$C$8,3,FALSE)</f>
        <v>0.45</v>
      </c>
      <c r="P1288">
        <f t="shared" si="61"/>
        <v>0.20891544787004721</v>
      </c>
      <c r="Q1288" t="str">
        <f t="shared" ca="1" si="62"/>
        <v>No</v>
      </c>
    </row>
    <row r="1289" spans="1:17" x14ac:dyDescent="0.45">
      <c r="A1289" t="s">
        <v>75</v>
      </c>
      <c r="B1289" t="s">
        <v>76</v>
      </c>
      <c r="C1289" t="s">
        <v>77</v>
      </c>
      <c r="D1289" t="s">
        <v>20</v>
      </c>
      <c r="E1289" t="s">
        <v>21</v>
      </c>
      <c r="F1289" s="1">
        <v>44652</v>
      </c>
      <c r="G1289">
        <v>5.78</v>
      </c>
      <c r="H1289">
        <v>88.454099999999997</v>
      </c>
      <c r="I1289">
        <v>20</v>
      </c>
      <c r="J1289">
        <v>83.24</v>
      </c>
      <c r="K1289" t="s">
        <v>22</v>
      </c>
      <c r="L1289">
        <v>1062.92</v>
      </c>
      <c r="M1289">
        <f>VLOOKUP(K1289,RatingLookup!$A$2:$C$8,2,FALSE)</f>
        <v>5.0000000000000001E-3</v>
      </c>
      <c r="N1289">
        <f t="shared" si="60"/>
        <v>4.1762458919303302E-4</v>
      </c>
      <c r="O1289">
        <f>VLOOKUP(K1289,RatingLookup!$A$2:$C$8,3,FALSE)</f>
        <v>0.45</v>
      </c>
      <c r="P1289">
        <f t="shared" si="61"/>
        <v>0.19975568775527641</v>
      </c>
      <c r="Q1289" t="str">
        <f t="shared" ca="1" si="62"/>
        <v>No</v>
      </c>
    </row>
    <row r="1290" spans="1:17" x14ac:dyDescent="0.45">
      <c r="A1290" t="s">
        <v>75</v>
      </c>
      <c r="B1290" t="s">
        <v>76</v>
      </c>
      <c r="C1290" t="s">
        <v>77</v>
      </c>
      <c r="D1290" t="s">
        <v>20</v>
      </c>
      <c r="E1290" t="s">
        <v>21</v>
      </c>
      <c r="F1290" s="1">
        <v>44682</v>
      </c>
      <c r="G1290">
        <v>4.54</v>
      </c>
      <c r="H1290">
        <v>81.532200000000003</v>
      </c>
      <c r="I1290">
        <v>15.48</v>
      </c>
      <c r="J1290">
        <v>86.15</v>
      </c>
      <c r="K1290" t="s">
        <v>22</v>
      </c>
      <c r="L1290">
        <v>1066.6199999999999</v>
      </c>
      <c r="M1290">
        <f>VLOOKUP(K1290,RatingLookup!$A$2:$C$8,2,FALSE)</f>
        <v>5.0000000000000001E-3</v>
      </c>
      <c r="N1290">
        <f t="shared" si="60"/>
        <v>4.1762458919303302E-4</v>
      </c>
      <c r="O1290">
        <f>VLOOKUP(K1290,RatingLookup!$A$2:$C$8,3,FALSE)</f>
        <v>0.45</v>
      </c>
      <c r="P1290">
        <f t="shared" si="61"/>
        <v>0.20045103269628278</v>
      </c>
      <c r="Q1290" t="str">
        <f t="shared" ca="1" si="62"/>
        <v>No</v>
      </c>
    </row>
    <row r="1291" spans="1:17" x14ac:dyDescent="0.45">
      <c r="A1291" t="s">
        <v>75</v>
      </c>
      <c r="B1291" t="s">
        <v>76</v>
      </c>
      <c r="C1291" t="s">
        <v>77</v>
      </c>
      <c r="D1291" t="s">
        <v>20</v>
      </c>
      <c r="E1291" t="s">
        <v>21</v>
      </c>
      <c r="F1291" s="1">
        <v>44713</v>
      </c>
      <c r="G1291">
        <v>5.43</v>
      </c>
      <c r="H1291">
        <v>82.541499999999999</v>
      </c>
      <c r="I1291">
        <v>12.85</v>
      </c>
      <c r="J1291">
        <v>67.11</v>
      </c>
      <c r="K1291" t="s">
        <v>22</v>
      </c>
      <c r="L1291">
        <v>1079.31</v>
      </c>
      <c r="M1291">
        <f>VLOOKUP(K1291,RatingLookup!$A$2:$C$8,2,FALSE)</f>
        <v>5.0000000000000001E-3</v>
      </c>
      <c r="N1291">
        <f t="shared" si="60"/>
        <v>4.1762458919303302E-4</v>
      </c>
      <c r="O1291">
        <f>VLOOKUP(K1291,RatingLookup!$A$2:$C$8,3,FALSE)</f>
        <v>0.45</v>
      </c>
      <c r="P1291">
        <f t="shared" si="61"/>
        <v>0.20283587791286961</v>
      </c>
      <c r="Q1291" t="str">
        <f t="shared" ca="1" si="62"/>
        <v>No</v>
      </c>
    </row>
    <row r="1292" spans="1:17" x14ac:dyDescent="0.45">
      <c r="A1292" t="s">
        <v>75</v>
      </c>
      <c r="B1292" t="s">
        <v>76</v>
      </c>
      <c r="C1292" t="s">
        <v>77</v>
      </c>
      <c r="D1292" t="s">
        <v>20</v>
      </c>
      <c r="E1292" t="s">
        <v>21</v>
      </c>
      <c r="F1292" s="1">
        <v>44743</v>
      </c>
      <c r="G1292">
        <v>4.5599999999999996</v>
      </c>
      <c r="H1292">
        <v>80.535499999999999</v>
      </c>
      <c r="I1292">
        <v>24.56</v>
      </c>
      <c r="J1292">
        <v>82.68</v>
      </c>
      <c r="K1292" t="s">
        <v>22</v>
      </c>
      <c r="L1292">
        <v>1007.89</v>
      </c>
      <c r="M1292">
        <f>VLOOKUP(K1292,RatingLookup!$A$2:$C$8,2,FALSE)</f>
        <v>5.0000000000000001E-3</v>
      </c>
      <c r="N1292">
        <f t="shared" si="60"/>
        <v>4.1762458919303302E-4</v>
      </c>
      <c r="O1292">
        <f>VLOOKUP(K1292,RatingLookup!$A$2:$C$8,3,FALSE)</f>
        <v>0.45</v>
      </c>
      <c r="P1292">
        <f t="shared" si="61"/>
        <v>0.18941384124079472</v>
      </c>
      <c r="Q1292" t="str">
        <f t="shared" ca="1" si="62"/>
        <v>No</v>
      </c>
    </row>
    <row r="1293" spans="1:17" x14ac:dyDescent="0.45">
      <c r="A1293" t="s">
        <v>75</v>
      </c>
      <c r="B1293" t="s">
        <v>76</v>
      </c>
      <c r="C1293" t="s">
        <v>77</v>
      </c>
      <c r="D1293" t="s">
        <v>20</v>
      </c>
      <c r="E1293" t="s">
        <v>21</v>
      </c>
      <c r="F1293" s="1">
        <v>44774</v>
      </c>
      <c r="G1293">
        <v>5.54</v>
      </c>
      <c r="H1293">
        <v>87.562799999999996</v>
      </c>
      <c r="I1293">
        <v>21.66</v>
      </c>
      <c r="J1293">
        <v>78.12</v>
      </c>
      <c r="K1293" t="s">
        <v>22</v>
      </c>
      <c r="L1293">
        <v>1013.12</v>
      </c>
      <c r="M1293">
        <f>VLOOKUP(K1293,RatingLookup!$A$2:$C$8,2,FALSE)</f>
        <v>5.0000000000000001E-3</v>
      </c>
      <c r="N1293">
        <f t="shared" si="60"/>
        <v>4.1762458919303302E-4</v>
      </c>
      <c r="O1293">
        <f>VLOOKUP(K1293,RatingLookup!$A$2:$C$8,3,FALSE)</f>
        <v>0.45</v>
      </c>
      <c r="P1293">
        <f t="shared" si="61"/>
        <v>0.19039672071146055</v>
      </c>
      <c r="Q1293" t="str">
        <f t="shared" ca="1" si="62"/>
        <v>No</v>
      </c>
    </row>
    <row r="1294" spans="1:17" x14ac:dyDescent="0.45">
      <c r="A1294" t="s">
        <v>75</v>
      </c>
      <c r="B1294" t="s">
        <v>76</v>
      </c>
      <c r="C1294" t="s">
        <v>77</v>
      </c>
      <c r="D1294" t="s">
        <v>20</v>
      </c>
      <c r="E1294" t="s">
        <v>21</v>
      </c>
      <c r="F1294" s="1">
        <v>44805</v>
      </c>
      <c r="G1294">
        <v>4.82</v>
      </c>
      <c r="H1294">
        <v>84.400499999999994</v>
      </c>
      <c r="I1294">
        <v>19.43</v>
      </c>
      <c r="J1294">
        <v>77.680000000000007</v>
      </c>
      <c r="K1294" t="s">
        <v>22</v>
      </c>
      <c r="L1294">
        <v>969.67</v>
      </c>
      <c r="M1294">
        <f>VLOOKUP(K1294,RatingLookup!$A$2:$C$8,2,FALSE)</f>
        <v>5.0000000000000001E-3</v>
      </c>
      <c r="N1294">
        <f t="shared" si="60"/>
        <v>4.1762458919303302E-4</v>
      </c>
      <c r="O1294">
        <f>VLOOKUP(K1294,RatingLookup!$A$2:$C$8,3,FALSE)</f>
        <v>0.45</v>
      </c>
      <c r="P1294">
        <f t="shared" si="61"/>
        <v>0.18223111593126376</v>
      </c>
      <c r="Q1294" t="str">
        <f t="shared" ca="1" si="62"/>
        <v>No</v>
      </c>
    </row>
    <row r="1295" spans="1:17" x14ac:dyDescent="0.45">
      <c r="A1295" t="s">
        <v>75</v>
      </c>
      <c r="B1295" t="s">
        <v>76</v>
      </c>
      <c r="C1295" t="s">
        <v>77</v>
      </c>
      <c r="D1295" t="s">
        <v>20</v>
      </c>
      <c r="E1295" t="s">
        <v>21</v>
      </c>
      <c r="F1295" s="1">
        <v>44835</v>
      </c>
      <c r="G1295">
        <v>4.7300000000000004</v>
      </c>
      <c r="H1295">
        <v>83.052199999999999</v>
      </c>
      <c r="I1295">
        <v>24.03</v>
      </c>
      <c r="J1295">
        <v>89.12</v>
      </c>
      <c r="K1295" t="s">
        <v>22</v>
      </c>
      <c r="L1295">
        <v>1013.81</v>
      </c>
      <c r="M1295">
        <f>VLOOKUP(K1295,RatingLookup!$A$2:$C$8,2,FALSE)</f>
        <v>5.0000000000000001E-3</v>
      </c>
      <c r="N1295">
        <f t="shared" si="60"/>
        <v>4.1762458919303302E-4</v>
      </c>
      <c r="O1295">
        <f>VLOOKUP(K1295,RatingLookup!$A$2:$C$8,3,FALSE)</f>
        <v>0.45</v>
      </c>
      <c r="P1295">
        <f t="shared" si="61"/>
        <v>0.19052639314640496</v>
      </c>
      <c r="Q1295" t="str">
        <f t="shared" ca="1" si="62"/>
        <v>No</v>
      </c>
    </row>
    <row r="1296" spans="1:17" x14ac:dyDescent="0.45">
      <c r="A1296" t="s">
        <v>75</v>
      </c>
      <c r="B1296" t="s">
        <v>76</v>
      </c>
      <c r="C1296" t="s">
        <v>77</v>
      </c>
      <c r="D1296" t="s">
        <v>20</v>
      </c>
      <c r="E1296" t="s">
        <v>21</v>
      </c>
      <c r="F1296" s="1">
        <v>44866</v>
      </c>
      <c r="G1296">
        <v>5.61</v>
      </c>
      <c r="H1296">
        <v>85.936499999999995</v>
      </c>
      <c r="I1296">
        <v>11.42</v>
      </c>
      <c r="J1296">
        <v>70.540000000000006</v>
      </c>
      <c r="K1296" t="s">
        <v>22</v>
      </c>
      <c r="L1296">
        <v>971.03</v>
      </c>
      <c r="M1296">
        <f>VLOOKUP(K1296,RatingLookup!$A$2:$C$8,2,FALSE)</f>
        <v>5.0000000000000001E-3</v>
      </c>
      <c r="N1296">
        <f t="shared" si="60"/>
        <v>4.1762458919303302E-4</v>
      </c>
      <c r="O1296">
        <f>VLOOKUP(K1296,RatingLookup!$A$2:$C$8,3,FALSE)</f>
        <v>0.45</v>
      </c>
      <c r="P1296">
        <f t="shared" si="61"/>
        <v>0.18248670217984989</v>
      </c>
      <c r="Q1296" t="str">
        <f t="shared" ca="1" si="62"/>
        <v>No</v>
      </c>
    </row>
    <row r="1297" spans="1:17" x14ac:dyDescent="0.45">
      <c r="A1297" t="s">
        <v>75</v>
      </c>
      <c r="B1297" t="s">
        <v>76</v>
      </c>
      <c r="C1297" t="s">
        <v>77</v>
      </c>
      <c r="D1297" t="s">
        <v>20</v>
      </c>
      <c r="E1297" t="s">
        <v>21</v>
      </c>
      <c r="F1297" s="1">
        <v>44896</v>
      </c>
      <c r="G1297">
        <v>5.76</v>
      </c>
      <c r="H1297">
        <v>82.921800000000005</v>
      </c>
      <c r="I1297">
        <v>24.87</v>
      </c>
      <c r="J1297">
        <v>86.35</v>
      </c>
      <c r="K1297" t="s">
        <v>22</v>
      </c>
      <c r="L1297">
        <v>1080.3</v>
      </c>
      <c r="M1297">
        <f>VLOOKUP(K1297,RatingLookup!$A$2:$C$8,2,FALSE)</f>
        <v>5.0000000000000001E-3</v>
      </c>
      <c r="N1297">
        <f t="shared" si="60"/>
        <v>4.1762458919303302E-4</v>
      </c>
      <c r="O1297">
        <f>VLOOKUP(K1297,RatingLookup!$A$2:$C$8,3,FALSE)</f>
        <v>0.45</v>
      </c>
      <c r="P1297">
        <f t="shared" si="61"/>
        <v>0.20302192966735511</v>
      </c>
      <c r="Q1297" t="str">
        <f t="shared" ca="1" si="62"/>
        <v>No</v>
      </c>
    </row>
    <row r="1298" spans="1:17" x14ac:dyDescent="0.45">
      <c r="A1298" t="s">
        <v>75</v>
      </c>
      <c r="B1298" t="s">
        <v>76</v>
      </c>
      <c r="C1298" t="s">
        <v>77</v>
      </c>
      <c r="D1298" t="s">
        <v>20</v>
      </c>
      <c r="E1298" t="s">
        <v>21</v>
      </c>
      <c r="F1298" s="1">
        <v>44927</v>
      </c>
      <c r="G1298">
        <v>5.39</v>
      </c>
      <c r="H1298">
        <v>85.395399999999995</v>
      </c>
      <c r="I1298">
        <v>21.41</v>
      </c>
      <c r="J1298">
        <v>70.44</v>
      </c>
      <c r="K1298" t="s">
        <v>22</v>
      </c>
      <c r="L1298">
        <v>1055.45</v>
      </c>
      <c r="M1298">
        <f>VLOOKUP(K1298,RatingLookup!$A$2:$C$8,2,FALSE)</f>
        <v>5.0000000000000001E-3</v>
      </c>
      <c r="N1298">
        <f t="shared" si="60"/>
        <v>4.1762458919303302E-4</v>
      </c>
      <c r="O1298">
        <f>VLOOKUP(K1298,RatingLookup!$A$2:$C$8,3,FALSE)</f>
        <v>0.45</v>
      </c>
      <c r="P1298">
        <f t="shared" si="61"/>
        <v>0.19835184269870401</v>
      </c>
      <c r="Q1298" t="str">
        <f t="shared" ca="1" si="62"/>
        <v>No</v>
      </c>
    </row>
    <row r="1299" spans="1:17" x14ac:dyDescent="0.45">
      <c r="A1299" t="s">
        <v>75</v>
      </c>
      <c r="B1299" t="s">
        <v>76</v>
      </c>
      <c r="C1299" t="s">
        <v>77</v>
      </c>
      <c r="D1299" t="s">
        <v>20</v>
      </c>
      <c r="E1299" t="s">
        <v>21</v>
      </c>
      <c r="F1299" s="1">
        <v>44958</v>
      </c>
      <c r="G1299">
        <v>5.99</v>
      </c>
      <c r="H1299">
        <v>81.474100000000007</v>
      </c>
      <c r="I1299">
        <v>19.510000000000002</v>
      </c>
      <c r="J1299">
        <v>65.33</v>
      </c>
      <c r="K1299" t="s">
        <v>22</v>
      </c>
      <c r="L1299">
        <v>1071.33</v>
      </c>
      <c r="M1299">
        <f>VLOOKUP(K1299,RatingLookup!$A$2:$C$8,2,FALSE)</f>
        <v>5.0000000000000001E-3</v>
      </c>
      <c r="N1299">
        <f t="shared" si="60"/>
        <v>4.1762458919303302E-4</v>
      </c>
      <c r="O1299">
        <f>VLOOKUP(K1299,RatingLookup!$A$2:$C$8,3,FALSE)</f>
        <v>0.45</v>
      </c>
      <c r="P1299">
        <f t="shared" si="61"/>
        <v>0.20133618801307743</v>
      </c>
      <c r="Q1299" t="str">
        <f t="shared" ca="1" si="62"/>
        <v>No</v>
      </c>
    </row>
    <row r="1300" spans="1:17" x14ac:dyDescent="0.45">
      <c r="A1300" t="s">
        <v>75</v>
      </c>
      <c r="B1300" t="s">
        <v>76</v>
      </c>
      <c r="C1300" t="s">
        <v>77</v>
      </c>
      <c r="D1300" t="s">
        <v>20</v>
      </c>
      <c r="E1300" t="s">
        <v>21</v>
      </c>
      <c r="F1300" s="1">
        <v>44986</v>
      </c>
      <c r="G1300">
        <v>5.81</v>
      </c>
      <c r="H1300">
        <v>81.742099999999994</v>
      </c>
      <c r="I1300">
        <v>13.68</v>
      </c>
      <c r="J1300">
        <v>68.040000000000006</v>
      </c>
      <c r="K1300" t="s">
        <v>22</v>
      </c>
      <c r="L1300">
        <v>1017.65</v>
      </c>
      <c r="M1300">
        <f>VLOOKUP(K1300,RatingLookup!$A$2:$C$8,2,FALSE)</f>
        <v>5.0000000000000001E-3</v>
      </c>
      <c r="N1300">
        <f t="shared" si="60"/>
        <v>4.1762458919303302E-4</v>
      </c>
      <c r="O1300">
        <f>VLOOKUP(K1300,RatingLookup!$A$2:$C$8,3,FALSE)</f>
        <v>0.45</v>
      </c>
      <c r="P1300">
        <f t="shared" si="61"/>
        <v>0.19124804843653051</v>
      </c>
      <c r="Q1300" t="str">
        <f t="shared" ca="1" si="62"/>
        <v>No</v>
      </c>
    </row>
    <row r="1301" spans="1:17" x14ac:dyDescent="0.45">
      <c r="A1301" t="s">
        <v>75</v>
      </c>
      <c r="B1301" t="s">
        <v>76</v>
      </c>
      <c r="C1301" t="s">
        <v>77</v>
      </c>
      <c r="D1301" t="s">
        <v>20</v>
      </c>
      <c r="E1301" t="s">
        <v>21</v>
      </c>
      <c r="F1301" s="1">
        <v>45017</v>
      </c>
      <c r="G1301">
        <v>6.03</v>
      </c>
      <c r="H1301">
        <v>84.927499999999995</v>
      </c>
      <c r="I1301">
        <v>26.75</v>
      </c>
      <c r="J1301">
        <v>69.069999999999993</v>
      </c>
      <c r="K1301" t="s">
        <v>22</v>
      </c>
      <c r="L1301">
        <v>991.98</v>
      </c>
      <c r="M1301">
        <f>VLOOKUP(K1301,RatingLookup!$A$2:$C$8,2,FALSE)</f>
        <v>5.0000000000000001E-3</v>
      </c>
      <c r="N1301">
        <f t="shared" si="60"/>
        <v>4.1762458919303302E-4</v>
      </c>
      <c r="O1301">
        <f>VLOOKUP(K1301,RatingLookup!$A$2:$C$8,3,FALSE)</f>
        <v>0.45</v>
      </c>
      <c r="P1301">
        <f t="shared" si="61"/>
        <v>0.1864238579944672</v>
      </c>
      <c r="Q1301" t="str">
        <f t="shared" ca="1" si="62"/>
        <v>No</v>
      </c>
    </row>
    <row r="1302" spans="1:17" x14ac:dyDescent="0.45">
      <c r="A1302" t="s">
        <v>75</v>
      </c>
      <c r="B1302" t="s">
        <v>76</v>
      </c>
      <c r="C1302" t="s">
        <v>77</v>
      </c>
      <c r="D1302" t="s">
        <v>20</v>
      </c>
      <c r="E1302" t="s">
        <v>21</v>
      </c>
      <c r="F1302" s="1">
        <v>45047</v>
      </c>
      <c r="G1302">
        <v>5.88</v>
      </c>
      <c r="H1302">
        <v>84.822500000000005</v>
      </c>
      <c r="I1302">
        <v>16.95</v>
      </c>
      <c r="J1302">
        <v>77.58</v>
      </c>
      <c r="K1302" t="s">
        <v>30</v>
      </c>
      <c r="L1302">
        <v>1055.8499999999999</v>
      </c>
      <c r="M1302">
        <f>VLOOKUP(K1302,RatingLookup!$A$2:$C$8,2,FALSE)</f>
        <v>1.4999999999999999E-2</v>
      </c>
      <c r="N1302">
        <f t="shared" si="60"/>
        <v>1.2586770182638762E-3</v>
      </c>
      <c r="O1302">
        <f>VLOOKUP(K1302,RatingLookup!$A$2:$C$8,3,FALSE)</f>
        <v>0.5</v>
      </c>
      <c r="P1302">
        <f t="shared" si="61"/>
        <v>0.66448706486695686</v>
      </c>
      <c r="Q1302" t="str">
        <f t="shared" ca="1" si="62"/>
        <v>No</v>
      </c>
    </row>
    <row r="1303" spans="1:17" x14ac:dyDescent="0.45">
      <c r="A1303" t="s">
        <v>75</v>
      </c>
      <c r="B1303" t="s">
        <v>76</v>
      </c>
      <c r="C1303" t="s">
        <v>77</v>
      </c>
      <c r="D1303" t="s">
        <v>20</v>
      </c>
      <c r="E1303" t="s">
        <v>21</v>
      </c>
      <c r="F1303" s="1">
        <v>45078</v>
      </c>
      <c r="G1303">
        <v>5.39</v>
      </c>
      <c r="H1303">
        <v>83.680199999999999</v>
      </c>
      <c r="I1303">
        <v>13.37</v>
      </c>
      <c r="J1303">
        <v>84.18</v>
      </c>
      <c r="K1303" t="s">
        <v>30</v>
      </c>
      <c r="L1303">
        <v>1068.55</v>
      </c>
      <c r="M1303">
        <f>VLOOKUP(K1303,RatingLookup!$A$2:$C$8,2,FALSE)</f>
        <v>1.4999999999999999E-2</v>
      </c>
      <c r="N1303">
        <f t="shared" si="60"/>
        <v>1.2586770182638762E-3</v>
      </c>
      <c r="O1303">
        <f>VLOOKUP(K1303,RatingLookup!$A$2:$C$8,3,FALSE)</f>
        <v>0.5</v>
      </c>
      <c r="P1303">
        <f t="shared" si="61"/>
        <v>0.67247966393293246</v>
      </c>
      <c r="Q1303" t="str">
        <f t="shared" ca="1" si="62"/>
        <v>No</v>
      </c>
    </row>
    <row r="1304" spans="1:17" x14ac:dyDescent="0.45">
      <c r="A1304" t="s">
        <v>75</v>
      </c>
      <c r="B1304" t="s">
        <v>76</v>
      </c>
      <c r="C1304" t="s">
        <v>77</v>
      </c>
      <c r="D1304" t="s">
        <v>20</v>
      </c>
      <c r="E1304" t="s">
        <v>21</v>
      </c>
      <c r="F1304" s="1">
        <v>45108</v>
      </c>
      <c r="G1304">
        <v>4.9000000000000004</v>
      </c>
      <c r="H1304">
        <v>83.796499999999995</v>
      </c>
      <c r="I1304">
        <v>15.57</v>
      </c>
      <c r="J1304">
        <v>86.66</v>
      </c>
      <c r="K1304" t="s">
        <v>30</v>
      </c>
      <c r="L1304">
        <v>1076.31</v>
      </c>
      <c r="M1304">
        <f>VLOOKUP(K1304,RatingLookup!$A$2:$C$8,2,FALSE)</f>
        <v>1.4999999999999999E-2</v>
      </c>
      <c r="N1304">
        <f t="shared" si="60"/>
        <v>1.2586770182638762E-3</v>
      </c>
      <c r="O1304">
        <f>VLOOKUP(K1304,RatingLookup!$A$2:$C$8,3,FALSE)</f>
        <v>0.5</v>
      </c>
      <c r="P1304">
        <f t="shared" si="61"/>
        <v>0.67736333076379629</v>
      </c>
      <c r="Q1304" t="str">
        <f t="shared" ca="1" si="62"/>
        <v>No</v>
      </c>
    </row>
    <row r="1305" spans="1:17" x14ac:dyDescent="0.45">
      <c r="A1305" t="s">
        <v>75</v>
      </c>
      <c r="B1305" t="s">
        <v>76</v>
      </c>
      <c r="C1305" t="s">
        <v>77</v>
      </c>
      <c r="D1305" t="s">
        <v>20</v>
      </c>
      <c r="E1305" t="s">
        <v>21</v>
      </c>
      <c r="F1305" s="1">
        <v>45139</v>
      </c>
      <c r="G1305">
        <v>5.63</v>
      </c>
      <c r="H1305">
        <v>79.824299999999994</v>
      </c>
      <c r="I1305">
        <v>18.079999999999998</v>
      </c>
      <c r="J1305">
        <v>94.49</v>
      </c>
      <c r="K1305" t="s">
        <v>30</v>
      </c>
      <c r="L1305">
        <v>1081.31</v>
      </c>
      <c r="M1305">
        <f>VLOOKUP(K1305,RatingLookup!$A$2:$C$8,2,FALSE)</f>
        <v>1.4999999999999999E-2</v>
      </c>
      <c r="N1305">
        <f t="shared" si="60"/>
        <v>1.2586770182638762E-3</v>
      </c>
      <c r="O1305">
        <f>VLOOKUP(K1305,RatingLookup!$A$2:$C$8,3,FALSE)</f>
        <v>0.5</v>
      </c>
      <c r="P1305">
        <f t="shared" si="61"/>
        <v>0.68051002330945598</v>
      </c>
      <c r="Q1305" t="str">
        <f t="shared" ca="1" si="62"/>
        <v>No</v>
      </c>
    </row>
    <row r="1306" spans="1:17" x14ac:dyDescent="0.45">
      <c r="A1306" t="s">
        <v>75</v>
      </c>
      <c r="B1306" t="s">
        <v>76</v>
      </c>
      <c r="C1306" t="s">
        <v>77</v>
      </c>
      <c r="D1306" t="s">
        <v>20</v>
      </c>
      <c r="E1306" t="s">
        <v>21</v>
      </c>
      <c r="F1306" s="1">
        <v>45170</v>
      </c>
      <c r="G1306">
        <v>6.59</v>
      </c>
      <c r="H1306">
        <v>83.087500000000006</v>
      </c>
      <c r="I1306">
        <v>18.690000000000001</v>
      </c>
      <c r="J1306">
        <v>93.65</v>
      </c>
      <c r="K1306" t="s">
        <v>30</v>
      </c>
      <c r="L1306">
        <v>1044.3399999999999</v>
      </c>
      <c r="M1306">
        <f>VLOOKUP(K1306,RatingLookup!$A$2:$C$8,2,FALSE)</f>
        <v>1.4999999999999999E-2</v>
      </c>
      <c r="N1306">
        <f t="shared" si="60"/>
        <v>1.2586770182638762E-3</v>
      </c>
      <c r="O1306">
        <f>VLOOKUP(K1306,RatingLookup!$A$2:$C$8,3,FALSE)</f>
        <v>0.5</v>
      </c>
      <c r="P1306">
        <f t="shared" si="61"/>
        <v>0.65724337862684823</v>
      </c>
      <c r="Q1306" t="str">
        <f t="shared" ca="1" si="62"/>
        <v>No</v>
      </c>
    </row>
    <row r="1307" spans="1:17" x14ac:dyDescent="0.45">
      <c r="A1307" t="s">
        <v>75</v>
      </c>
      <c r="B1307" t="s">
        <v>76</v>
      </c>
      <c r="C1307" t="s">
        <v>77</v>
      </c>
      <c r="D1307" t="s">
        <v>20</v>
      </c>
      <c r="E1307" t="s">
        <v>21</v>
      </c>
      <c r="F1307" s="1">
        <v>45200</v>
      </c>
      <c r="G1307">
        <v>4.91</v>
      </c>
      <c r="H1307">
        <v>80.835099999999997</v>
      </c>
      <c r="I1307">
        <v>22.43</v>
      </c>
      <c r="J1307">
        <v>78.569999999999993</v>
      </c>
      <c r="K1307" t="s">
        <v>30</v>
      </c>
      <c r="L1307">
        <v>1078.23</v>
      </c>
      <c r="M1307">
        <f>VLOOKUP(K1307,RatingLookup!$A$2:$C$8,2,FALSE)</f>
        <v>1.4999999999999999E-2</v>
      </c>
      <c r="N1307">
        <f t="shared" si="60"/>
        <v>1.2586770182638762E-3</v>
      </c>
      <c r="O1307">
        <f>VLOOKUP(K1307,RatingLookup!$A$2:$C$8,3,FALSE)</f>
        <v>0.5</v>
      </c>
      <c r="P1307">
        <f t="shared" si="61"/>
        <v>0.67857166070132968</v>
      </c>
      <c r="Q1307" t="str">
        <f t="shared" ca="1" si="62"/>
        <v>No</v>
      </c>
    </row>
    <row r="1308" spans="1:17" x14ac:dyDescent="0.45">
      <c r="A1308" t="s">
        <v>75</v>
      </c>
      <c r="B1308" t="s">
        <v>76</v>
      </c>
      <c r="C1308" t="s">
        <v>77</v>
      </c>
      <c r="D1308" t="s">
        <v>20</v>
      </c>
      <c r="E1308" t="s">
        <v>21</v>
      </c>
      <c r="F1308" s="1">
        <v>45231</v>
      </c>
      <c r="G1308">
        <v>5.69</v>
      </c>
      <c r="H1308">
        <v>81.884200000000007</v>
      </c>
      <c r="I1308">
        <v>18.28</v>
      </c>
      <c r="J1308">
        <v>76.069999999999993</v>
      </c>
      <c r="K1308" t="s">
        <v>30</v>
      </c>
      <c r="L1308">
        <v>1061.93</v>
      </c>
      <c r="M1308">
        <f>VLOOKUP(K1308,RatingLookup!$A$2:$C$8,2,FALSE)</f>
        <v>1.4999999999999999E-2</v>
      </c>
      <c r="N1308">
        <f t="shared" si="60"/>
        <v>1.2586770182638762E-3</v>
      </c>
      <c r="O1308">
        <f>VLOOKUP(K1308,RatingLookup!$A$2:$C$8,3,FALSE)</f>
        <v>0.5</v>
      </c>
      <c r="P1308">
        <f t="shared" si="61"/>
        <v>0.66831344300247908</v>
      </c>
      <c r="Q1308" t="str">
        <f t="shared" ca="1" si="62"/>
        <v>No</v>
      </c>
    </row>
    <row r="1309" spans="1:17" x14ac:dyDescent="0.45">
      <c r="A1309" t="s">
        <v>75</v>
      </c>
      <c r="B1309" t="s">
        <v>76</v>
      </c>
      <c r="C1309" t="s">
        <v>77</v>
      </c>
      <c r="D1309" t="s">
        <v>20</v>
      </c>
      <c r="E1309" t="s">
        <v>21</v>
      </c>
      <c r="F1309" s="1">
        <v>45261</v>
      </c>
      <c r="G1309">
        <v>4.99</v>
      </c>
      <c r="H1309">
        <v>83.919300000000007</v>
      </c>
      <c r="I1309">
        <v>10.45</v>
      </c>
      <c r="J1309">
        <v>78.63</v>
      </c>
      <c r="K1309" t="s">
        <v>30</v>
      </c>
      <c r="L1309">
        <v>1020.35</v>
      </c>
      <c r="M1309">
        <f>VLOOKUP(K1309,RatingLookup!$A$2:$C$8,2,FALSE)</f>
        <v>1.4999999999999999E-2</v>
      </c>
      <c r="N1309">
        <f t="shared" si="60"/>
        <v>1.2586770182638762E-3</v>
      </c>
      <c r="O1309">
        <f>VLOOKUP(K1309,RatingLookup!$A$2:$C$8,3,FALSE)</f>
        <v>0.5</v>
      </c>
      <c r="P1309">
        <f t="shared" si="61"/>
        <v>0.64214554779277311</v>
      </c>
      <c r="Q1309" t="str">
        <f t="shared" ca="1" si="62"/>
        <v>No</v>
      </c>
    </row>
    <row r="1310" spans="1:17" x14ac:dyDescent="0.45">
      <c r="A1310" t="s">
        <v>75</v>
      </c>
      <c r="B1310" t="s">
        <v>76</v>
      </c>
      <c r="C1310" t="s">
        <v>77</v>
      </c>
      <c r="D1310" t="s">
        <v>20</v>
      </c>
      <c r="E1310" t="s">
        <v>21</v>
      </c>
      <c r="F1310" s="1">
        <v>45292</v>
      </c>
      <c r="G1310">
        <v>5.62</v>
      </c>
      <c r="H1310">
        <v>82.5672</v>
      </c>
      <c r="I1310">
        <v>23.23</v>
      </c>
      <c r="J1310">
        <v>83.82</v>
      </c>
      <c r="K1310" t="s">
        <v>30</v>
      </c>
      <c r="L1310">
        <v>980.3</v>
      </c>
      <c r="M1310">
        <f>VLOOKUP(K1310,RatingLookup!$A$2:$C$8,2,FALSE)</f>
        <v>1.4999999999999999E-2</v>
      </c>
      <c r="N1310">
        <f t="shared" si="60"/>
        <v>1.2586770182638762E-3</v>
      </c>
      <c r="O1310">
        <f>VLOOKUP(K1310,RatingLookup!$A$2:$C$8,3,FALSE)</f>
        <v>0.5</v>
      </c>
      <c r="P1310">
        <f t="shared" si="61"/>
        <v>0.61694054050203895</v>
      </c>
      <c r="Q1310" t="str">
        <f t="shared" ca="1" si="62"/>
        <v>No</v>
      </c>
    </row>
    <row r="1311" spans="1:17" x14ac:dyDescent="0.45">
      <c r="A1311" t="s">
        <v>75</v>
      </c>
      <c r="B1311" t="s">
        <v>76</v>
      </c>
      <c r="C1311" t="s">
        <v>77</v>
      </c>
      <c r="D1311" t="s">
        <v>20</v>
      </c>
      <c r="E1311" t="s">
        <v>21</v>
      </c>
      <c r="F1311" s="1">
        <v>45323</v>
      </c>
      <c r="G1311">
        <v>4.92</v>
      </c>
      <c r="H1311">
        <v>80.8005</v>
      </c>
      <c r="I1311">
        <v>26.8</v>
      </c>
      <c r="J1311">
        <v>88.55</v>
      </c>
      <c r="K1311" t="s">
        <v>30</v>
      </c>
      <c r="L1311">
        <v>976.4</v>
      </c>
      <c r="M1311">
        <f>VLOOKUP(K1311,RatingLookup!$A$2:$C$8,2,FALSE)</f>
        <v>1.4999999999999999E-2</v>
      </c>
      <c r="N1311">
        <f t="shared" si="60"/>
        <v>1.2586770182638762E-3</v>
      </c>
      <c r="O1311">
        <f>VLOOKUP(K1311,RatingLookup!$A$2:$C$8,3,FALSE)</f>
        <v>0.5</v>
      </c>
      <c r="P1311">
        <f t="shared" si="61"/>
        <v>0.61448612031642436</v>
      </c>
      <c r="Q1311" t="str">
        <f t="shared" ca="1" si="62"/>
        <v>No</v>
      </c>
    </row>
    <row r="1312" spans="1:17" x14ac:dyDescent="0.45">
      <c r="A1312" t="s">
        <v>75</v>
      </c>
      <c r="B1312" t="s">
        <v>76</v>
      </c>
      <c r="C1312" t="s">
        <v>77</v>
      </c>
      <c r="D1312" t="s">
        <v>20</v>
      </c>
      <c r="E1312" t="s">
        <v>21</v>
      </c>
      <c r="F1312" s="1">
        <v>45352</v>
      </c>
      <c r="G1312">
        <v>4.57</v>
      </c>
      <c r="H1312">
        <v>85.343599999999995</v>
      </c>
      <c r="I1312">
        <v>18.850000000000001</v>
      </c>
      <c r="J1312">
        <v>82.25</v>
      </c>
      <c r="K1312" t="s">
        <v>31</v>
      </c>
      <c r="L1312">
        <v>920.19</v>
      </c>
      <c r="M1312">
        <f>VLOOKUP(K1312,RatingLookup!$A$2:$C$8,2,FALSE)</f>
        <v>0.04</v>
      </c>
      <c r="N1312">
        <f t="shared" si="60"/>
        <v>3.3960531989175591E-3</v>
      </c>
      <c r="O1312">
        <f>VLOOKUP(K1312,RatingLookup!$A$2:$C$8,3,FALSE)</f>
        <v>0.6</v>
      </c>
      <c r="P1312">
        <f t="shared" si="61"/>
        <v>1.8750085158671692</v>
      </c>
      <c r="Q1312" t="str">
        <f t="shared" ca="1" si="62"/>
        <v>No</v>
      </c>
    </row>
    <row r="1313" spans="1:17" x14ac:dyDescent="0.45">
      <c r="A1313" t="s">
        <v>75</v>
      </c>
      <c r="B1313" t="s">
        <v>76</v>
      </c>
      <c r="C1313" t="s">
        <v>77</v>
      </c>
      <c r="D1313" t="s">
        <v>20</v>
      </c>
      <c r="E1313" t="s">
        <v>21</v>
      </c>
      <c r="F1313" s="1">
        <v>45383</v>
      </c>
      <c r="G1313">
        <v>5.7</v>
      </c>
      <c r="H1313">
        <v>85.533799999999999</v>
      </c>
      <c r="I1313">
        <v>18.21</v>
      </c>
      <c r="J1313">
        <v>79.41</v>
      </c>
      <c r="K1313" t="s">
        <v>31</v>
      </c>
      <c r="L1313">
        <v>983.38</v>
      </c>
      <c r="M1313">
        <f>VLOOKUP(K1313,RatingLookup!$A$2:$C$8,2,FALSE)</f>
        <v>0.04</v>
      </c>
      <c r="N1313">
        <f t="shared" si="60"/>
        <v>3.3960531989175591E-3</v>
      </c>
      <c r="O1313">
        <f>VLOOKUP(K1313,RatingLookup!$A$2:$C$8,3,FALSE)</f>
        <v>0.6</v>
      </c>
      <c r="P1313">
        <f t="shared" si="61"/>
        <v>2.0037664768509296</v>
      </c>
      <c r="Q1313" t="str">
        <f t="shared" ca="1" si="62"/>
        <v>No</v>
      </c>
    </row>
    <row r="1314" spans="1:17" x14ac:dyDescent="0.45">
      <c r="A1314" t="s">
        <v>75</v>
      </c>
      <c r="B1314" t="s">
        <v>76</v>
      </c>
      <c r="C1314" t="s">
        <v>77</v>
      </c>
      <c r="D1314" t="s">
        <v>20</v>
      </c>
      <c r="E1314" t="s">
        <v>21</v>
      </c>
      <c r="F1314" s="1">
        <v>45413</v>
      </c>
      <c r="G1314">
        <v>5.73</v>
      </c>
      <c r="H1314">
        <v>85.600399999999993</v>
      </c>
      <c r="I1314">
        <v>25.02</v>
      </c>
      <c r="J1314">
        <v>79.91</v>
      </c>
      <c r="K1314" t="s">
        <v>31</v>
      </c>
      <c r="L1314">
        <v>939.16</v>
      </c>
      <c r="M1314">
        <f>VLOOKUP(K1314,RatingLookup!$A$2:$C$8,2,FALSE)</f>
        <v>0.04</v>
      </c>
      <c r="N1314">
        <f t="shared" si="60"/>
        <v>3.3960531989175591E-3</v>
      </c>
      <c r="O1314">
        <f>VLOOKUP(K1314,RatingLookup!$A$2:$C$8,3,FALSE)</f>
        <v>0.6</v>
      </c>
      <c r="P1314">
        <f t="shared" si="61"/>
        <v>1.9136623933772487</v>
      </c>
      <c r="Q1314" t="str">
        <f t="shared" ca="1" si="62"/>
        <v>No</v>
      </c>
    </row>
    <row r="1315" spans="1:17" x14ac:dyDescent="0.45">
      <c r="A1315" t="s">
        <v>75</v>
      </c>
      <c r="B1315" t="s">
        <v>76</v>
      </c>
      <c r="C1315" t="s">
        <v>77</v>
      </c>
      <c r="D1315" t="s">
        <v>20</v>
      </c>
      <c r="E1315" t="s">
        <v>21</v>
      </c>
      <c r="F1315" s="1">
        <v>45444</v>
      </c>
      <c r="G1315">
        <v>5.99</v>
      </c>
      <c r="H1315">
        <v>84.385800000000003</v>
      </c>
      <c r="I1315">
        <v>24.91</v>
      </c>
      <c r="J1315">
        <v>82.91</v>
      </c>
      <c r="K1315" t="s">
        <v>31</v>
      </c>
      <c r="L1315">
        <v>933.53</v>
      </c>
      <c r="M1315">
        <f>VLOOKUP(K1315,RatingLookup!$A$2:$C$8,2,FALSE)</f>
        <v>0.04</v>
      </c>
      <c r="N1315">
        <f t="shared" si="60"/>
        <v>3.3960531989175591E-3</v>
      </c>
      <c r="O1315">
        <f>VLOOKUP(K1315,RatingLookup!$A$2:$C$8,3,FALSE)</f>
        <v>0.6</v>
      </c>
      <c r="P1315">
        <f t="shared" si="61"/>
        <v>1.9021905256713052</v>
      </c>
      <c r="Q1315" t="str">
        <f t="shared" ca="1" si="62"/>
        <v>No</v>
      </c>
    </row>
    <row r="1316" spans="1:17" x14ac:dyDescent="0.45">
      <c r="A1316" t="s">
        <v>75</v>
      </c>
      <c r="B1316" t="s">
        <v>76</v>
      </c>
      <c r="C1316" t="s">
        <v>77</v>
      </c>
      <c r="D1316" t="s">
        <v>20</v>
      </c>
      <c r="E1316" t="s">
        <v>21</v>
      </c>
      <c r="F1316" s="1">
        <v>45474</v>
      </c>
      <c r="G1316">
        <v>4.8899999999999997</v>
      </c>
      <c r="H1316">
        <v>80.800600000000003</v>
      </c>
      <c r="I1316">
        <v>14.36</v>
      </c>
      <c r="J1316">
        <v>88.89</v>
      </c>
      <c r="K1316" t="s">
        <v>31</v>
      </c>
      <c r="L1316">
        <v>1053.18</v>
      </c>
      <c r="M1316">
        <f>VLOOKUP(K1316,RatingLookup!$A$2:$C$8,2,FALSE)</f>
        <v>0.04</v>
      </c>
      <c r="N1316">
        <f t="shared" si="60"/>
        <v>3.3960531989175591E-3</v>
      </c>
      <c r="O1316">
        <f>VLOOKUP(K1316,RatingLookup!$A$2:$C$8,3,FALSE)</f>
        <v>0.6</v>
      </c>
      <c r="P1316">
        <f t="shared" si="61"/>
        <v>2.145993184821597</v>
      </c>
      <c r="Q1316" t="str">
        <f t="shared" ca="1" si="62"/>
        <v>No</v>
      </c>
    </row>
    <row r="1317" spans="1:17" x14ac:dyDescent="0.45">
      <c r="A1317" t="s">
        <v>75</v>
      </c>
      <c r="B1317" t="s">
        <v>76</v>
      </c>
      <c r="C1317" t="s">
        <v>77</v>
      </c>
      <c r="D1317" t="s">
        <v>20</v>
      </c>
      <c r="E1317" t="s">
        <v>21</v>
      </c>
      <c r="F1317" s="1">
        <v>45505</v>
      </c>
      <c r="G1317">
        <v>5.2</v>
      </c>
      <c r="H1317">
        <v>87.350499999999997</v>
      </c>
      <c r="I1317">
        <v>24.05</v>
      </c>
      <c r="J1317">
        <v>72.25</v>
      </c>
      <c r="K1317" t="s">
        <v>31</v>
      </c>
      <c r="L1317">
        <v>864.53</v>
      </c>
      <c r="M1317">
        <f>VLOOKUP(K1317,RatingLookup!$A$2:$C$8,2,FALSE)</f>
        <v>0.04</v>
      </c>
      <c r="N1317">
        <f t="shared" si="60"/>
        <v>3.3960531989175591E-3</v>
      </c>
      <c r="O1317">
        <f>VLOOKUP(K1317,RatingLookup!$A$2:$C$8,3,FALSE)</f>
        <v>0.6</v>
      </c>
      <c r="P1317">
        <f t="shared" si="61"/>
        <v>1.7615939232361182</v>
      </c>
      <c r="Q1317" t="str">
        <f t="shared" ca="1" si="62"/>
        <v>No</v>
      </c>
    </row>
    <row r="1318" spans="1:17" x14ac:dyDescent="0.45">
      <c r="A1318" t="s">
        <v>75</v>
      </c>
      <c r="B1318" t="s">
        <v>76</v>
      </c>
      <c r="C1318" t="s">
        <v>77</v>
      </c>
      <c r="D1318" t="s">
        <v>20</v>
      </c>
      <c r="E1318" t="s">
        <v>21</v>
      </c>
      <c r="F1318" s="1">
        <v>45536</v>
      </c>
      <c r="G1318">
        <v>6.01</v>
      </c>
      <c r="H1318">
        <v>83.854200000000006</v>
      </c>
      <c r="I1318">
        <v>8.11</v>
      </c>
      <c r="J1318">
        <v>72.53</v>
      </c>
      <c r="K1318" t="s">
        <v>31</v>
      </c>
      <c r="L1318">
        <v>943.01</v>
      </c>
      <c r="M1318">
        <f>VLOOKUP(K1318,RatingLookup!$A$2:$C$8,2,FALSE)</f>
        <v>0.04</v>
      </c>
      <c r="N1318">
        <f t="shared" si="60"/>
        <v>3.3960531989175591E-3</v>
      </c>
      <c r="O1318">
        <f>VLOOKUP(K1318,RatingLookup!$A$2:$C$8,3,FALSE)</f>
        <v>0.6</v>
      </c>
      <c r="P1318">
        <f t="shared" si="61"/>
        <v>1.9215072762667482</v>
      </c>
      <c r="Q1318" t="str">
        <f t="shared" ca="1" si="62"/>
        <v>No</v>
      </c>
    </row>
    <row r="1319" spans="1:17" x14ac:dyDescent="0.45">
      <c r="A1319" t="s">
        <v>75</v>
      </c>
      <c r="B1319" t="s">
        <v>76</v>
      </c>
      <c r="C1319" t="s">
        <v>77</v>
      </c>
      <c r="D1319" t="s">
        <v>20</v>
      </c>
      <c r="E1319" t="s">
        <v>21</v>
      </c>
      <c r="F1319" s="1">
        <v>45566</v>
      </c>
      <c r="G1319">
        <v>5.09</v>
      </c>
      <c r="H1319">
        <v>87.613399999999999</v>
      </c>
      <c r="I1319">
        <v>21.97</v>
      </c>
      <c r="J1319">
        <v>95.61</v>
      </c>
      <c r="K1319" t="s">
        <v>31</v>
      </c>
      <c r="L1319">
        <v>936.76</v>
      </c>
      <c r="M1319">
        <f>VLOOKUP(K1319,RatingLookup!$A$2:$C$8,2,FALSE)</f>
        <v>0.04</v>
      </c>
      <c r="N1319">
        <f t="shared" si="60"/>
        <v>3.3960531989175591E-3</v>
      </c>
      <c r="O1319">
        <f>VLOOKUP(K1319,RatingLookup!$A$2:$C$8,3,FALSE)</f>
        <v>0.6</v>
      </c>
      <c r="P1319">
        <f t="shared" si="61"/>
        <v>1.9087720767708076</v>
      </c>
      <c r="Q1319" t="str">
        <f t="shared" ca="1" si="62"/>
        <v>No</v>
      </c>
    </row>
    <row r="1320" spans="1:17" x14ac:dyDescent="0.45">
      <c r="A1320" t="s">
        <v>75</v>
      </c>
      <c r="B1320" t="s">
        <v>76</v>
      </c>
      <c r="C1320" t="s">
        <v>77</v>
      </c>
      <c r="D1320" t="s">
        <v>20</v>
      </c>
      <c r="E1320" t="s">
        <v>21</v>
      </c>
      <c r="F1320" s="1">
        <v>45597</v>
      </c>
      <c r="G1320">
        <v>4.95</v>
      </c>
      <c r="H1320">
        <v>80.761799999999994</v>
      </c>
      <c r="I1320">
        <v>5</v>
      </c>
      <c r="J1320">
        <v>89.34</v>
      </c>
      <c r="K1320" t="s">
        <v>31</v>
      </c>
      <c r="L1320">
        <v>898.97</v>
      </c>
      <c r="M1320">
        <f>VLOOKUP(K1320,RatingLookup!$A$2:$C$8,2,FALSE)</f>
        <v>0.04</v>
      </c>
      <c r="N1320">
        <f t="shared" si="60"/>
        <v>3.3960531989175591E-3</v>
      </c>
      <c r="O1320">
        <f>VLOOKUP(K1320,RatingLookup!$A$2:$C$8,3,FALSE)</f>
        <v>0.6</v>
      </c>
      <c r="P1320">
        <f t="shared" si="61"/>
        <v>1.831769966538551</v>
      </c>
      <c r="Q1320" t="str">
        <f t="shared" ca="1" si="62"/>
        <v>No</v>
      </c>
    </row>
    <row r="1321" spans="1:17" x14ac:dyDescent="0.45">
      <c r="A1321" t="s">
        <v>75</v>
      </c>
      <c r="B1321" t="s">
        <v>76</v>
      </c>
      <c r="C1321" t="s">
        <v>77</v>
      </c>
      <c r="D1321" t="s">
        <v>20</v>
      </c>
      <c r="E1321" t="s">
        <v>21</v>
      </c>
      <c r="F1321" s="1">
        <v>45627</v>
      </c>
      <c r="G1321">
        <v>6.34</v>
      </c>
      <c r="H1321">
        <v>80.3857</v>
      </c>
      <c r="I1321">
        <v>20.32</v>
      </c>
      <c r="J1321">
        <v>62.1</v>
      </c>
      <c r="K1321" t="s">
        <v>31</v>
      </c>
      <c r="L1321">
        <v>987.07</v>
      </c>
      <c r="M1321">
        <f>VLOOKUP(K1321,RatingLookup!$A$2:$C$8,2,FALSE)</f>
        <v>0.04</v>
      </c>
      <c r="N1321">
        <f t="shared" si="60"/>
        <v>3.3960531989175591E-3</v>
      </c>
      <c r="O1321">
        <f>VLOOKUP(K1321,RatingLookup!$A$2:$C$8,3,FALSE)</f>
        <v>0.6</v>
      </c>
      <c r="P1321">
        <f t="shared" si="61"/>
        <v>2.0112853386333329</v>
      </c>
      <c r="Q1321" t="str">
        <f t="shared" ca="1" si="62"/>
        <v>No</v>
      </c>
    </row>
    <row r="1322" spans="1:17" x14ac:dyDescent="0.45">
      <c r="A1322" t="s">
        <v>78</v>
      </c>
      <c r="B1322" t="s">
        <v>79</v>
      </c>
      <c r="C1322" t="s">
        <v>40</v>
      </c>
      <c r="D1322" t="s">
        <v>20</v>
      </c>
      <c r="E1322" t="s">
        <v>21</v>
      </c>
      <c r="F1322" s="1">
        <v>43831</v>
      </c>
      <c r="G1322">
        <v>5.62</v>
      </c>
      <c r="H1322">
        <v>83.168999999999997</v>
      </c>
      <c r="I1322">
        <v>22.79</v>
      </c>
      <c r="J1322">
        <v>61.93</v>
      </c>
      <c r="K1322" t="s">
        <v>30</v>
      </c>
      <c r="L1322">
        <v>339.77</v>
      </c>
      <c r="M1322">
        <f>VLOOKUP(K1322,RatingLookup!$A$2:$C$8,2,FALSE)</f>
        <v>1.4999999999999999E-2</v>
      </c>
      <c r="N1322">
        <f t="shared" si="60"/>
        <v>1.2586770182638762E-3</v>
      </c>
      <c r="O1322">
        <f>VLOOKUP(K1322,RatingLookup!$A$2:$C$8,3,FALSE)</f>
        <v>0.5</v>
      </c>
      <c r="P1322">
        <f t="shared" si="61"/>
        <v>0.2138303452477586</v>
      </c>
      <c r="Q1322" t="str">
        <f t="shared" ca="1" si="62"/>
        <v>No</v>
      </c>
    </row>
    <row r="1323" spans="1:17" x14ac:dyDescent="0.45">
      <c r="A1323" t="s">
        <v>78</v>
      </c>
      <c r="B1323" t="s">
        <v>79</v>
      </c>
      <c r="C1323" t="s">
        <v>40</v>
      </c>
      <c r="D1323" t="s">
        <v>20</v>
      </c>
      <c r="E1323" t="s">
        <v>21</v>
      </c>
      <c r="F1323" s="1">
        <v>43862</v>
      </c>
      <c r="G1323">
        <v>6.16</v>
      </c>
      <c r="H1323">
        <v>82.426100000000005</v>
      </c>
      <c r="I1323">
        <v>25.83</v>
      </c>
      <c r="J1323">
        <v>70.44</v>
      </c>
      <c r="K1323" t="s">
        <v>30</v>
      </c>
      <c r="L1323">
        <v>322.37</v>
      </c>
      <c r="M1323">
        <f>VLOOKUP(K1323,RatingLookup!$A$2:$C$8,2,FALSE)</f>
        <v>1.4999999999999999E-2</v>
      </c>
      <c r="N1323">
        <f t="shared" si="60"/>
        <v>1.2586770182638762E-3</v>
      </c>
      <c r="O1323">
        <f>VLOOKUP(K1323,RatingLookup!$A$2:$C$8,3,FALSE)</f>
        <v>0.5</v>
      </c>
      <c r="P1323">
        <f t="shared" si="61"/>
        <v>0.2028798551888629</v>
      </c>
      <c r="Q1323" t="str">
        <f t="shared" ca="1" si="62"/>
        <v>No</v>
      </c>
    </row>
    <row r="1324" spans="1:17" x14ac:dyDescent="0.45">
      <c r="A1324" t="s">
        <v>78</v>
      </c>
      <c r="B1324" t="s">
        <v>79</v>
      </c>
      <c r="C1324" t="s">
        <v>40</v>
      </c>
      <c r="D1324" t="s">
        <v>20</v>
      </c>
      <c r="E1324" t="s">
        <v>21</v>
      </c>
      <c r="F1324" s="1">
        <v>43891</v>
      </c>
      <c r="G1324">
        <v>4.92</v>
      </c>
      <c r="H1324">
        <v>82.512100000000004</v>
      </c>
      <c r="I1324">
        <v>8.6199999999999992</v>
      </c>
      <c r="J1324">
        <v>69.760000000000005</v>
      </c>
      <c r="K1324" t="s">
        <v>30</v>
      </c>
      <c r="L1324">
        <v>347.39</v>
      </c>
      <c r="M1324">
        <f>VLOOKUP(K1324,RatingLookup!$A$2:$C$8,2,FALSE)</f>
        <v>1.4999999999999999E-2</v>
      </c>
      <c r="N1324">
        <f t="shared" si="60"/>
        <v>1.2586770182638762E-3</v>
      </c>
      <c r="O1324">
        <f>VLOOKUP(K1324,RatingLookup!$A$2:$C$8,3,FALSE)</f>
        <v>0.5</v>
      </c>
      <c r="P1324">
        <f t="shared" si="61"/>
        <v>0.21862590468734397</v>
      </c>
      <c r="Q1324" t="str">
        <f t="shared" ca="1" si="62"/>
        <v>No</v>
      </c>
    </row>
    <row r="1325" spans="1:17" x14ac:dyDescent="0.45">
      <c r="A1325" t="s">
        <v>78</v>
      </c>
      <c r="B1325" t="s">
        <v>79</v>
      </c>
      <c r="C1325" t="s">
        <v>40</v>
      </c>
      <c r="D1325" t="s">
        <v>20</v>
      </c>
      <c r="E1325" t="s">
        <v>21</v>
      </c>
      <c r="F1325" s="1">
        <v>43922</v>
      </c>
      <c r="G1325">
        <v>5.04</v>
      </c>
      <c r="H1325">
        <v>83.197299999999998</v>
      </c>
      <c r="I1325">
        <v>8.77</v>
      </c>
      <c r="J1325">
        <v>76.09</v>
      </c>
      <c r="K1325" t="s">
        <v>30</v>
      </c>
      <c r="L1325">
        <v>349.34</v>
      </c>
      <c r="M1325">
        <f>VLOOKUP(K1325,RatingLookup!$A$2:$C$8,2,FALSE)</f>
        <v>1.4999999999999999E-2</v>
      </c>
      <c r="N1325">
        <f t="shared" si="60"/>
        <v>1.2586770182638762E-3</v>
      </c>
      <c r="O1325">
        <f>VLOOKUP(K1325,RatingLookup!$A$2:$C$8,3,FALSE)</f>
        <v>0.5</v>
      </c>
      <c r="P1325">
        <f t="shared" si="61"/>
        <v>0.21985311478015124</v>
      </c>
      <c r="Q1325" t="str">
        <f t="shared" ca="1" si="62"/>
        <v>No</v>
      </c>
    </row>
    <row r="1326" spans="1:17" x14ac:dyDescent="0.45">
      <c r="A1326" t="s">
        <v>78</v>
      </c>
      <c r="B1326" t="s">
        <v>79</v>
      </c>
      <c r="C1326" t="s">
        <v>40</v>
      </c>
      <c r="D1326" t="s">
        <v>20</v>
      </c>
      <c r="E1326" t="s">
        <v>21</v>
      </c>
      <c r="F1326" s="1">
        <v>43952</v>
      </c>
      <c r="G1326">
        <v>5.27</v>
      </c>
      <c r="H1326">
        <v>79.829599999999999</v>
      </c>
      <c r="I1326">
        <v>18.010000000000002</v>
      </c>
      <c r="J1326">
        <v>80.77</v>
      </c>
      <c r="K1326" t="s">
        <v>30</v>
      </c>
      <c r="L1326">
        <v>345.3</v>
      </c>
      <c r="M1326">
        <f>VLOOKUP(K1326,RatingLookup!$A$2:$C$8,2,FALSE)</f>
        <v>1.4999999999999999E-2</v>
      </c>
      <c r="N1326">
        <f t="shared" si="60"/>
        <v>1.2586770182638762E-3</v>
      </c>
      <c r="O1326">
        <f>VLOOKUP(K1326,RatingLookup!$A$2:$C$8,3,FALSE)</f>
        <v>0.5</v>
      </c>
      <c r="P1326">
        <f t="shared" si="61"/>
        <v>0.21731058720325824</v>
      </c>
      <c r="Q1326" t="str">
        <f t="shared" ca="1" si="62"/>
        <v>No</v>
      </c>
    </row>
    <row r="1327" spans="1:17" x14ac:dyDescent="0.45">
      <c r="A1327" t="s">
        <v>78</v>
      </c>
      <c r="B1327" t="s">
        <v>79</v>
      </c>
      <c r="C1327" t="s">
        <v>40</v>
      </c>
      <c r="D1327" t="s">
        <v>20</v>
      </c>
      <c r="E1327" t="s">
        <v>21</v>
      </c>
      <c r="F1327" s="1">
        <v>43983</v>
      </c>
      <c r="G1327">
        <v>4.91</v>
      </c>
      <c r="H1327">
        <v>84.718299999999999</v>
      </c>
      <c r="I1327">
        <v>18.329999999999998</v>
      </c>
      <c r="J1327">
        <v>67.489999999999995</v>
      </c>
      <c r="K1327" t="s">
        <v>31</v>
      </c>
      <c r="L1327">
        <v>339.12</v>
      </c>
      <c r="M1327">
        <f>VLOOKUP(K1327,RatingLookup!$A$2:$C$8,2,FALSE)</f>
        <v>0.04</v>
      </c>
      <c r="N1327">
        <f t="shared" si="60"/>
        <v>3.3960531989175591E-3</v>
      </c>
      <c r="O1327">
        <f>VLOOKUP(K1327,RatingLookup!$A$2:$C$8,3,FALSE)</f>
        <v>0.6</v>
      </c>
      <c r="P1327">
        <f t="shared" si="61"/>
        <v>0.69100173649015362</v>
      </c>
      <c r="Q1327" t="str">
        <f t="shared" ca="1" si="62"/>
        <v>No</v>
      </c>
    </row>
    <row r="1328" spans="1:17" x14ac:dyDescent="0.45">
      <c r="A1328" t="s">
        <v>78</v>
      </c>
      <c r="B1328" t="s">
        <v>79</v>
      </c>
      <c r="C1328" t="s">
        <v>40</v>
      </c>
      <c r="D1328" t="s">
        <v>20</v>
      </c>
      <c r="E1328" t="s">
        <v>21</v>
      </c>
      <c r="F1328" s="1">
        <v>44013</v>
      </c>
      <c r="G1328">
        <v>6.93</v>
      </c>
      <c r="H1328">
        <v>82.256699999999995</v>
      </c>
      <c r="I1328">
        <v>10.73</v>
      </c>
      <c r="J1328">
        <v>59.05</v>
      </c>
      <c r="K1328" t="s">
        <v>31</v>
      </c>
      <c r="L1328">
        <v>336.84</v>
      </c>
      <c r="M1328">
        <f>VLOOKUP(K1328,RatingLookup!$A$2:$C$8,2,FALSE)</f>
        <v>0.04</v>
      </c>
      <c r="N1328">
        <f t="shared" si="60"/>
        <v>3.3960531989175591E-3</v>
      </c>
      <c r="O1328">
        <f>VLOOKUP(K1328,RatingLookup!$A$2:$C$8,3,FALSE)</f>
        <v>0.6</v>
      </c>
      <c r="P1328">
        <f t="shared" si="61"/>
        <v>0.6863559357140343</v>
      </c>
      <c r="Q1328" t="str">
        <f t="shared" ca="1" si="62"/>
        <v>No</v>
      </c>
    </row>
    <row r="1329" spans="1:17" x14ac:dyDescent="0.45">
      <c r="A1329" t="s">
        <v>78</v>
      </c>
      <c r="B1329" t="s">
        <v>79</v>
      </c>
      <c r="C1329" t="s">
        <v>40</v>
      </c>
      <c r="D1329" t="s">
        <v>20</v>
      </c>
      <c r="E1329" t="s">
        <v>21</v>
      </c>
      <c r="F1329" s="1">
        <v>44044</v>
      </c>
      <c r="G1329">
        <v>4.82</v>
      </c>
      <c r="H1329">
        <v>81.775099999999995</v>
      </c>
      <c r="I1329">
        <v>22.08</v>
      </c>
      <c r="J1329">
        <v>76.349999999999994</v>
      </c>
      <c r="K1329" t="s">
        <v>31</v>
      </c>
      <c r="L1329">
        <v>377.5</v>
      </c>
      <c r="M1329">
        <f>VLOOKUP(K1329,RatingLookup!$A$2:$C$8,2,FALSE)</f>
        <v>0.04</v>
      </c>
      <c r="N1329">
        <f t="shared" si="60"/>
        <v>3.3960531989175591E-3</v>
      </c>
      <c r="O1329">
        <f>VLOOKUP(K1329,RatingLookup!$A$2:$C$8,3,FALSE)</f>
        <v>0.6</v>
      </c>
      <c r="P1329">
        <f t="shared" si="61"/>
        <v>0.76920604955482708</v>
      </c>
      <c r="Q1329" t="str">
        <f t="shared" ca="1" si="62"/>
        <v>No</v>
      </c>
    </row>
    <row r="1330" spans="1:17" x14ac:dyDescent="0.45">
      <c r="A1330" t="s">
        <v>78</v>
      </c>
      <c r="B1330" t="s">
        <v>79</v>
      </c>
      <c r="C1330" t="s">
        <v>40</v>
      </c>
      <c r="D1330" t="s">
        <v>20</v>
      </c>
      <c r="E1330" t="s">
        <v>21</v>
      </c>
      <c r="F1330" s="1">
        <v>44075</v>
      </c>
      <c r="G1330">
        <v>4.63</v>
      </c>
      <c r="H1330">
        <v>79.231899999999996</v>
      </c>
      <c r="I1330">
        <v>21.03</v>
      </c>
      <c r="J1330">
        <v>60.31</v>
      </c>
      <c r="K1330" t="s">
        <v>31</v>
      </c>
      <c r="L1330">
        <v>333.1</v>
      </c>
      <c r="M1330">
        <f>VLOOKUP(K1330,RatingLookup!$A$2:$C$8,2,FALSE)</f>
        <v>0.04</v>
      </c>
      <c r="N1330">
        <f t="shared" si="60"/>
        <v>3.3960531989175591E-3</v>
      </c>
      <c r="O1330">
        <f>VLOOKUP(K1330,RatingLookup!$A$2:$C$8,3,FALSE)</f>
        <v>0.6</v>
      </c>
      <c r="P1330">
        <f t="shared" si="61"/>
        <v>0.67873519233566337</v>
      </c>
      <c r="Q1330" t="str">
        <f t="shared" ca="1" si="62"/>
        <v>No</v>
      </c>
    </row>
    <row r="1331" spans="1:17" x14ac:dyDescent="0.45">
      <c r="A1331" t="s">
        <v>78</v>
      </c>
      <c r="B1331" t="s">
        <v>79</v>
      </c>
      <c r="C1331" t="s">
        <v>40</v>
      </c>
      <c r="D1331" t="s">
        <v>20</v>
      </c>
      <c r="E1331" t="s">
        <v>21</v>
      </c>
      <c r="F1331" s="1">
        <v>44105</v>
      </c>
      <c r="G1331">
        <v>6.21</v>
      </c>
      <c r="H1331">
        <v>83.8489</v>
      </c>
      <c r="I1331">
        <v>30.62</v>
      </c>
      <c r="J1331">
        <v>67.81</v>
      </c>
      <c r="K1331" t="s">
        <v>31</v>
      </c>
      <c r="L1331">
        <v>365.18</v>
      </c>
      <c r="M1331">
        <f>VLOOKUP(K1331,RatingLookup!$A$2:$C$8,2,FALSE)</f>
        <v>0.04</v>
      </c>
      <c r="N1331">
        <f t="shared" si="60"/>
        <v>3.3960531989175591E-3</v>
      </c>
      <c r="O1331">
        <f>VLOOKUP(K1331,RatingLookup!$A$2:$C$8,3,FALSE)</f>
        <v>0.6</v>
      </c>
      <c r="P1331">
        <f t="shared" si="61"/>
        <v>0.74410242430842854</v>
      </c>
      <c r="Q1331" t="str">
        <f t="shared" ca="1" si="62"/>
        <v>No</v>
      </c>
    </row>
    <row r="1332" spans="1:17" x14ac:dyDescent="0.45">
      <c r="A1332" t="s">
        <v>78</v>
      </c>
      <c r="B1332" t="s">
        <v>79</v>
      </c>
      <c r="C1332" t="s">
        <v>40</v>
      </c>
      <c r="D1332" t="s">
        <v>20</v>
      </c>
      <c r="E1332" t="s">
        <v>21</v>
      </c>
      <c r="F1332" s="1">
        <v>44136</v>
      </c>
      <c r="G1332">
        <v>5.46</v>
      </c>
      <c r="H1332">
        <v>80.245000000000005</v>
      </c>
      <c r="I1332">
        <v>23.45</v>
      </c>
      <c r="J1332">
        <v>60.6</v>
      </c>
      <c r="K1332" t="s">
        <v>31</v>
      </c>
      <c r="L1332">
        <v>346.69</v>
      </c>
      <c r="M1332">
        <f>VLOOKUP(K1332,RatingLookup!$A$2:$C$8,2,FALSE)</f>
        <v>0.04</v>
      </c>
      <c r="N1332">
        <f t="shared" si="60"/>
        <v>3.3960531989175591E-3</v>
      </c>
      <c r="O1332">
        <f>VLOOKUP(K1332,RatingLookup!$A$2:$C$8,3,FALSE)</f>
        <v>0.6</v>
      </c>
      <c r="P1332">
        <f t="shared" si="61"/>
        <v>0.70642661011963714</v>
      </c>
      <c r="Q1332" t="str">
        <f t="shared" ca="1" si="62"/>
        <v>No</v>
      </c>
    </row>
    <row r="1333" spans="1:17" x14ac:dyDescent="0.45">
      <c r="A1333" t="s">
        <v>78</v>
      </c>
      <c r="B1333" t="s">
        <v>79</v>
      </c>
      <c r="C1333" t="s">
        <v>40</v>
      </c>
      <c r="D1333" t="s">
        <v>20</v>
      </c>
      <c r="E1333" t="s">
        <v>21</v>
      </c>
      <c r="F1333" s="1">
        <v>44166</v>
      </c>
      <c r="G1333">
        <v>6.14</v>
      </c>
      <c r="H1333">
        <v>86.183199999999999</v>
      </c>
      <c r="I1333">
        <v>16.899999999999999</v>
      </c>
      <c r="J1333">
        <v>60.85</v>
      </c>
      <c r="K1333" t="s">
        <v>31</v>
      </c>
      <c r="L1333">
        <v>345.48</v>
      </c>
      <c r="M1333">
        <f>VLOOKUP(K1333,RatingLookup!$A$2:$C$8,2,FALSE)</f>
        <v>0.04</v>
      </c>
      <c r="N1333">
        <f t="shared" si="60"/>
        <v>3.3960531989175591E-3</v>
      </c>
      <c r="O1333">
        <f>VLOOKUP(K1333,RatingLookup!$A$2:$C$8,3,FALSE)</f>
        <v>0.6</v>
      </c>
      <c r="P1333">
        <f t="shared" si="61"/>
        <v>0.70396107549722298</v>
      </c>
      <c r="Q1333" t="str">
        <f t="shared" ca="1" si="62"/>
        <v>No</v>
      </c>
    </row>
    <row r="1334" spans="1:17" x14ac:dyDescent="0.45">
      <c r="A1334" t="s">
        <v>78</v>
      </c>
      <c r="B1334" t="s">
        <v>79</v>
      </c>
      <c r="C1334" t="s">
        <v>40</v>
      </c>
      <c r="D1334" t="s">
        <v>20</v>
      </c>
      <c r="E1334" t="s">
        <v>21</v>
      </c>
      <c r="F1334" s="1">
        <v>44197</v>
      </c>
      <c r="G1334">
        <v>4.82</v>
      </c>
      <c r="H1334">
        <v>79.108400000000003</v>
      </c>
      <c r="I1334">
        <v>13.35</v>
      </c>
      <c r="J1334">
        <v>72.69</v>
      </c>
      <c r="K1334" t="s">
        <v>31</v>
      </c>
      <c r="L1334">
        <v>337.66</v>
      </c>
      <c r="M1334">
        <f>VLOOKUP(K1334,RatingLookup!$A$2:$C$8,2,FALSE)</f>
        <v>0.04</v>
      </c>
      <c r="N1334">
        <f t="shared" si="60"/>
        <v>3.3960531989175591E-3</v>
      </c>
      <c r="O1334">
        <f>VLOOKUP(K1334,RatingLookup!$A$2:$C$8,3,FALSE)</f>
        <v>0.6</v>
      </c>
      <c r="P1334">
        <f t="shared" si="61"/>
        <v>0.68802679388790189</v>
      </c>
      <c r="Q1334" t="str">
        <f t="shared" ca="1" si="62"/>
        <v>No</v>
      </c>
    </row>
    <row r="1335" spans="1:17" x14ac:dyDescent="0.45">
      <c r="A1335" t="s">
        <v>78</v>
      </c>
      <c r="B1335" t="s">
        <v>79</v>
      </c>
      <c r="C1335" t="s">
        <v>40</v>
      </c>
      <c r="D1335" t="s">
        <v>20</v>
      </c>
      <c r="E1335" t="s">
        <v>21</v>
      </c>
      <c r="F1335" s="1">
        <v>44228</v>
      </c>
      <c r="G1335">
        <v>5.03</v>
      </c>
      <c r="H1335">
        <v>82.551400000000001</v>
      </c>
      <c r="I1335">
        <v>19.14</v>
      </c>
      <c r="J1335">
        <v>94.09</v>
      </c>
      <c r="K1335" t="s">
        <v>31</v>
      </c>
      <c r="L1335">
        <v>345.61</v>
      </c>
      <c r="M1335">
        <f>VLOOKUP(K1335,RatingLookup!$A$2:$C$8,2,FALSE)</f>
        <v>0.04</v>
      </c>
      <c r="N1335">
        <f t="shared" si="60"/>
        <v>3.3960531989175591E-3</v>
      </c>
      <c r="O1335">
        <f>VLOOKUP(K1335,RatingLookup!$A$2:$C$8,3,FALSE)</f>
        <v>0.6</v>
      </c>
      <c r="P1335">
        <f t="shared" si="61"/>
        <v>0.70422596764673862</v>
      </c>
      <c r="Q1335" t="str">
        <f t="shared" ca="1" si="62"/>
        <v>No</v>
      </c>
    </row>
    <row r="1336" spans="1:17" x14ac:dyDescent="0.45">
      <c r="A1336" t="s">
        <v>78</v>
      </c>
      <c r="B1336" t="s">
        <v>79</v>
      </c>
      <c r="C1336" t="s">
        <v>40</v>
      </c>
      <c r="D1336" t="s">
        <v>20</v>
      </c>
      <c r="E1336" t="s">
        <v>21</v>
      </c>
      <c r="F1336" s="1">
        <v>44256</v>
      </c>
      <c r="G1336">
        <v>5.56</v>
      </c>
      <c r="H1336">
        <v>83.819500000000005</v>
      </c>
      <c r="I1336">
        <v>18.010000000000002</v>
      </c>
      <c r="J1336">
        <v>56.97</v>
      </c>
      <c r="K1336" t="s">
        <v>31</v>
      </c>
      <c r="L1336">
        <v>335.23</v>
      </c>
      <c r="M1336">
        <f>VLOOKUP(K1336,RatingLookup!$A$2:$C$8,2,FALSE)</f>
        <v>0.04</v>
      </c>
      <c r="N1336">
        <f t="shared" si="60"/>
        <v>3.3960531989175591E-3</v>
      </c>
      <c r="O1336">
        <f>VLOOKUP(K1336,RatingLookup!$A$2:$C$8,3,FALSE)</f>
        <v>0.6</v>
      </c>
      <c r="P1336">
        <f t="shared" si="61"/>
        <v>0.68307534832387995</v>
      </c>
      <c r="Q1336" t="str">
        <f t="shared" ca="1" si="62"/>
        <v>No</v>
      </c>
    </row>
    <row r="1337" spans="1:17" x14ac:dyDescent="0.45">
      <c r="A1337" t="s">
        <v>78</v>
      </c>
      <c r="B1337" t="s">
        <v>79</v>
      </c>
      <c r="C1337" t="s">
        <v>40</v>
      </c>
      <c r="D1337" t="s">
        <v>20</v>
      </c>
      <c r="E1337" t="s">
        <v>21</v>
      </c>
      <c r="F1337" s="1">
        <v>44287</v>
      </c>
      <c r="G1337">
        <v>5.5</v>
      </c>
      <c r="H1337">
        <v>78.211799999999997</v>
      </c>
      <c r="I1337">
        <v>18.690000000000001</v>
      </c>
      <c r="J1337">
        <v>85.16</v>
      </c>
      <c r="K1337" t="s">
        <v>31</v>
      </c>
      <c r="L1337">
        <v>335.79</v>
      </c>
      <c r="M1337">
        <f>VLOOKUP(K1337,RatingLookup!$A$2:$C$8,2,FALSE)</f>
        <v>0.04</v>
      </c>
      <c r="N1337">
        <f t="shared" si="60"/>
        <v>3.3960531989175591E-3</v>
      </c>
      <c r="O1337">
        <f>VLOOKUP(K1337,RatingLookup!$A$2:$C$8,3,FALSE)</f>
        <v>0.6</v>
      </c>
      <c r="P1337">
        <f t="shared" si="61"/>
        <v>0.68421642219871626</v>
      </c>
      <c r="Q1337" t="str">
        <f t="shared" ca="1" si="62"/>
        <v>No</v>
      </c>
    </row>
    <row r="1338" spans="1:17" x14ac:dyDescent="0.45">
      <c r="A1338" t="s">
        <v>78</v>
      </c>
      <c r="B1338" t="s">
        <v>79</v>
      </c>
      <c r="C1338" t="s">
        <v>40</v>
      </c>
      <c r="D1338" t="s">
        <v>20</v>
      </c>
      <c r="E1338" t="s">
        <v>21</v>
      </c>
      <c r="F1338" s="1">
        <v>44317</v>
      </c>
      <c r="G1338">
        <v>5.46</v>
      </c>
      <c r="H1338">
        <v>82.786799999999999</v>
      </c>
      <c r="I1338">
        <v>26.53</v>
      </c>
      <c r="J1338">
        <v>75.7</v>
      </c>
      <c r="K1338" t="s">
        <v>31</v>
      </c>
      <c r="L1338">
        <v>328.8</v>
      </c>
      <c r="M1338">
        <f>VLOOKUP(K1338,RatingLookup!$A$2:$C$8,2,FALSE)</f>
        <v>0.04</v>
      </c>
      <c r="N1338">
        <f t="shared" si="60"/>
        <v>3.3960531989175591E-3</v>
      </c>
      <c r="O1338">
        <f>VLOOKUP(K1338,RatingLookup!$A$2:$C$8,3,FALSE)</f>
        <v>0.6</v>
      </c>
      <c r="P1338">
        <f t="shared" si="61"/>
        <v>0.66997337508245614</v>
      </c>
      <c r="Q1338" t="str">
        <f t="shared" ca="1" si="62"/>
        <v>No</v>
      </c>
    </row>
    <row r="1339" spans="1:17" x14ac:dyDescent="0.45">
      <c r="A1339" t="s">
        <v>78</v>
      </c>
      <c r="B1339" t="s">
        <v>79</v>
      </c>
      <c r="C1339" t="s">
        <v>40</v>
      </c>
      <c r="D1339" t="s">
        <v>20</v>
      </c>
      <c r="E1339" t="s">
        <v>21</v>
      </c>
      <c r="F1339" s="1">
        <v>44348</v>
      </c>
      <c r="G1339">
        <v>6.03</v>
      </c>
      <c r="H1339">
        <v>83.037899999999993</v>
      </c>
      <c r="I1339">
        <v>17.38</v>
      </c>
      <c r="J1339">
        <v>72.849999999999994</v>
      </c>
      <c r="K1339" t="s">
        <v>31</v>
      </c>
      <c r="L1339">
        <v>328.94</v>
      </c>
      <c r="M1339">
        <f>VLOOKUP(K1339,RatingLookup!$A$2:$C$8,2,FALSE)</f>
        <v>0.04</v>
      </c>
      <c r="N1339">
        <f t="shared" si="60"/>
        <v>3.3960531989175591E-3</v>
      </c>
      <c r="O1339">
        <f>VLOOKUP(K1339,RatingLookup!$A$2:$C$8,3,FALSE)</f>
        <v>0.6</v>
      </c>
      <c r="P1339">
        <f t="shared" si="61"/>
        <v>0.67025864355116516</v>
      </c>
      <c r="Q1339" t="str">
        <f t="shared" ca="1" si="62"/>
        <v>No</v>
      </c>
    </row>
    <row r="1340" spans="1:17" x14ac:dyDescent="0.45">
      <c r="A1340" t="s">
        <v>78</v>
      </c>
      <c r="B1340" t="s">
        <v>79</v>
      </c>
      <c r="C1340" t="s">
        <v>40</v>
      </c>
      <c r="D1340" t="s">
        <v>20</v>
      </c>
      <c r="E1340" t="s">
        <v>21</v>
      </c>
      <c r="F1340" s="1">
        <v>44378</v>
      </c>
      <c r="G1340">
        <v>5.67</v>
      </c>
      <c r="H1340">
        <v>84.409599999999998</v>
      </c>
      <c r="I1340">
        <v>19.75</v>
      </c>
      <c r="J1340">
        <v>79.290000000000006</v>
      </c>
      <c r="K1340" t="s">
        <v>31</v>
      </c>
      <c r="L1340">
        <v>332.82</v>
      </c>
      <c r="M1340">
        <f>VLOOKUP(K1340,RatingLookup!$A$2:$C$8,2,FALSE)</f>
        <v>0.04</v>
      </c>
      <c r="N1340">
        <f t="shared" si="60"/>
        <v>3.3960531989175591E-3</v>
      </c>
      <c r="O1340">
        <f>VLOOKUP(K1340,RatingLookup!$A$2:$C$8,3,FALSE)</f>
        <v>0.6</v>
      </c>
      <c r="P1340">
        <f t="shared" si="61"/>
        <v>0.67816465539824522</v>
      </c>
      <c r="Q1340" t="str">
        <f t="shared" ca="1" si="62"/>
        <v>No</v>
      </c>
    </row>
    <row r="1341" spans="1:17" x14ac:dyDescent="0.45">
      <c r="A1341" t="s">
        <v>78</v>
      </c>
      <c r="B1341" t="s">
        <v>79</v>
      </c>
      <c r="C1341" t="s">
        <v>40</v>
      </c>
      <c r="D1341" t="s">
        <v>20</v>
      </c>
      <c r="E1341" t="s">
        <v>21</v>
      </c>
      <c r="F1341" s="1">
        <v>44409</v>
      </c>
      <c r="G1341">
        <v>6.2</v>
      </c>
      <c r="H1341">
        <v>86.373599999999996</v>
      </c>
      <c r="I1341">
        <v>13.5</v>
      </c>
      <c r="J1341">
        <v>85.69</v>
      </c>
      <c r="K1341" t="s">
        <v>30</v>
      </c>
      <c r="L1341">
        <v>344.93</v>
      </c>
      <c r="M1341">
        <f>VLOOKUP(K1341,RatingLookup!$A$2:$C$8,2,FALSE)</f>
        <v>1.4999999999999999E-2</v>
      </c>
      <c r="N1341">
        <f t="shared" si="60"/>
        <v>1.2586770182638762E-3</v>
      </c>
      <c r="O1341">
        <f>VLOOKUP(K1341,RatingLookup!$A$2:$C$8,3,FALSE)</f>
        <v>0.5</v>
      </c>
      <c r="P1341">
        <f t="shared" si="61"/>
        <v>0.21707773195487942</v>
      </c>
      <c r="Q1341" t="str">
        <f t="shared" ca="1" si="62"/>
        <v>No</v>
      </c>
    </row>
    <row r="1342" spans="1:17" x14ac:dyDescent="0.45">
      <c r="A1342" t="s">
        <v>78</v>
      </c>
      <c r="B1342" t="s">
        <v>79</v>
      </c>
      <c r="C1342" t="s">
        <v>40</v>
      </c>
      <c r="D1342" t="s">
        <v>20</v>
      </c>
      <c r="E1342" t="s">
        <v>21</v>
      </c>
      <c r="F1342" s="1">
        <v>44440</v>
      </c>
      <c r="G1342">
        <v>6.32</v>
      </c>
      <c r="H1342">
        <v>87.180899999999994</v>
      </c>
      <c r="I1342">
        <v>7.91</v>
      </c>
      <c r="J1342">
        <v>73.739999999999995</v>
      </c>
      <c r="K1342" t="s">
        <v>30</v>
      </c>
      <c r="L1342">
        <v>316</v>
      </c>
      <c r="M1342">
        <f>VLOOKUP(K1342,RatingLookup!$A$2:$C$8,2,FALSE)</f>
        <v>1.4999999999999999E-2</v>
      </c>
      <c r="N1342">
        <f t="shared" si="60"/>
        <v>1.2586770182638762E-3</v>
      </c>
      <c r="O1342">
        <f>VLOOKUP(K1342,RatingLookup!$A$2:$C$8,3,FALSE)</f>
        <v>0.5</v>
      </c>
      <c r="P1342">
        <f t="shared" si="61"/>
        <v>0.19887096888569245</v>
      </c>
      <c r="Q1342" t="str">
        <f t="shared" ca="1" si="62"/>
        <v>No</v>
      </c>
    </row>
    <row r="1343" spans="1:17" x14ac:dyDescent="0.45">
      <c r="A1343" t="s">
        <v>78</v>
      </c>
      <c r="B1343" t="s">
        <v>79</v>
      </c>
      <c r="C1343" t="s">
        <v>40</v>
      </c>
      <c r="D1343" t="s">
        <v>20</v>
      </c>
      <c r="E1343" t="s">
        <v>21</v>
      </c>
      <c r="F1343" s="1">
        <v>44470</v>
      </c>
      <c r="G1343">
        <v>4.49</v>
      </c>
      <c r="H1343">
        <v>83.512500000000003</v>
      </c>
      <c r="I1343">
        <v>23.23</v>
      </c>
      <c r="J1343">
        <v>83.18</v>
      </c>
      <c r="K1343" t="s">
        <v>30</v>
      </c>
      <c r="L1343">
        <v>364.66</v>
      </c>
      <c r="M1343">
        <f>VLOOKUP(K1343,RatingLookup!$A$2:$C$8,2,FALSE)</f>
        <v>1.4999999999999999E-2</v>
      </c>
      <c r="N1343">
        <f t="shared" si="60"/>
        <v>1.2586770182638762E-3</v>
      </c>
      <c r="O1343">
        <f>VLOOKUP(K1343,RatingLookup!$A$2:$C$8,3,FALSE)</f>
        <v>0.5</v>
      </c>
      <c r="P1343">
        <f t="shared" si="61"/>
        <v>0.22949458074005258</v>
      </c>
      <c r="Q1343" t="str">
        <f t="shared" ca="1" si="62"/>
        <v>No</v>
      </c>
    </row>
    <row r="1344" spans="1:17" x14ac:dyDescent="0.45">
      <c r="A1344" t="s">
        <v>78</v>
      </c>
      <c r="B1344" t="s">
        <v>79</v>
      </c>
      <c r="C1344" t="s">
        <v>40</v>
      </c>
      <c r="D1344" t="s">
        <v>20</v>
      </c>
      <c r="E1344" t="s">
        <v>21</v>
      </c>
      <c r="F1344" s="1">
        <v>44501</v>
      </c>
      <c r="G1344">
        <v>6.11</v>
      </c>
      <c r="H1344">
        <v>82.470699999999994</v>
      </c>
      <c r="I1344">
        <v>21.59</v>
      </c>
      <c r="J1344">
        <v>53.9</v>
      </c>
      <c r="K1344" t="s">
        <v>30</v>
      </c>
      <c r="L1344">
        <v>336.1</v>
      </c>
      <c r="M1344">
        <f>VLOOKUP(K1344,RatingLookup!$A$2:$C$8,2,FALSE)</f>
        <v>1.4999999999999999E-2</v>
      </c>
      <c r="N1344">
        <f t="shared" si="60"/>
        <v>1.2586770182638762E-3</v>
      </c>
      <c r="O1344">
        <f>VLOOKUP(K1344,RatingLookup!$A$2:$C$8,3,FALSE)</f>
        <v>0.5</v>
      </c>
      <c r="P1344">
        <f t="shared" si="61"/>
        <v>0.21152067291924442</v>
      </c>
      <c r="Q1344" t="str">
        <f t="shared" ca="1" si="62"/>
        <v>No</v>
      </c>
    </row>
    <row r="1345" spans="1:17" x14ac:dyDescent="0.45">
      <c r="A1345" t="s">
        <v>78</v>
      </c>
      <c r="B1345" t="s">
        <v>79</v>
      </c>
      <c r="C1345" t="s">
        <v>40</v>
      </c>
      <c r="D1345" t="s">
        <v>20</v>
      </c>
      <c r="E1345" t="s">
        <v>21</v>
      </c>
      <c r="F1345" s="1">
        <v>44531</v>
      </c>
      <c r="G1345">
        <v>6.09</v>
      </c>
      <c r="H1345">
        <v>84.063199999999995</v>
      </c>
      <c r="I1345">
        <v>18.47</v>
      </c>
      <c r="J1345">
        <v>73.23</v>
      </c>
      <c r="K1345" t="s">
        <v>30</v>
      </c>
      <c r="L1345">
        <v>384.93</v>
      </c>
      <c r="M1345">
        <f>VLOOKUP(K1345,RatingLookup!$A$2:$C$8,2,FALSE)</f>
        <v>1.4999999999999999E-2</v>
      </c>
      <c r="N1345">
        <f t="shared" si="60"/>
        <v>1.2586770182638762E-3</v>
      </c>
      <c r="O1345">
        <f>VLOOKUP(K1345,RatingLookup!$A$2:$C$8,3,FALSE)</f>
        <v>0.5</v>
      </c>
      <c r="P1345">
        <f t="shared" si="61"/>
        <v>0.24225127232015695</v>
      </c>
      <c r="Q1345" t="str">
        <f t="shared" ca="1" si="62"/>
        <v>No</v>
      </c>
    </row>
    <row r="1346" spans="1:17" x14ac:dyDescent="0.45">
      <c r="A1346" t="s">
        <v>78</v>
      </c>
      <c r="B1346" t="s">
        <v>79</v>
      </c>
      <c r="C1346" t="s">
        <v>40</v>
      </c>
      <c r="D1346" t="s">
        <v>20</v>
      </c>
      <c r="E1346" t="s">
        <v>21</v>
      </c>
      <c r="F1346" s="1">
        <v>44562</v>
      </c>
      <c r="G1346">
        <v>6.3</v>
      </c>
      <c r="H1346">
        <v>82.010400000000004</v>
      </c>
      <c r="I1346">
        <v>22.81</v>
      </c>
      <c r="J1346">
        <v>55.01</v>
      </c>
      <c r="K1346" t="s">
        <v>30</v>
      </c>
      <c r="L1346">
        <v>377.56</v>
      </c>
      <c r="M1346">
        <f>VLOOKUP(K1346,RatingLookup!$A$2:$C$8,2,FALSE)</f>
        <v>1.4999999999999999E-2</v>
      </c>
      <c r="N1346">
        <f t="shared" ref="N1346:N1409" si="63">1-(1-M1346)^(1/12)</f>
        <v>1.2586770182638762E-3</v>
      </c>
      <c r="O1346">
        <f>VLOOKUP(K1346,RatingLookup!$A$2:$C$8,3,FALSE)</f>
        <v>0.5</v>
      </c>
      <c r="P1346">
        <f t="shared" ref="P1346:P1409" si="64">L1346*N1346*O1346</f>
        <v>0.23761304750785456</v>
      </c>
      <c r="Q1346" t="str">
        <f t="shared" ref="Q1346:Q1409" ca="1" si="65">IF(RAND()&lt;N1346,"Yes","No")</f>
        <v>No</v>
      </c>
    </row>
    <row r="1347" spans="1:17" x14ac:dyDescent="0.45">
      <c r="A1347" t="s">
        <v>78</v>
      </c>
      <c r="B1347" t="s">
        <v>79</v>
      </c>
      <c r="C1347" t="s">
        <v>40</v>
      </c>
      <c r="D1347" t="s">
        <v>20</v>
      </c>
      <c r="E1347" t="s">
        <v>21</v>
      </c>
      <c r="F1347" s="1">
        <v>44593</v>
      </c>
      <c r="G1347">
        <v>4.8499999999999996</v>
      </c>
      <c r="H1347">
        <v>78.869600000000005</v>
      </c>
      <c r="I1347">
        <v>7.79</v>
      </c>
      <c r="J1347">
        <v>58.87</v>
      </c>
      <c r="K1347" t="s">
        <v>30</v>
      </c>
      <c r="L1347">
        <v>377.86</v>
      </c>
      <c r="M1347">
        <f>VLOOKUP(K1347,RatingLookup!$A$2:$C$8,2,FALSE)</f>
        <v>1.4999999999999999E-2</v>
      </c>
      <c r="N1347">
        <f t="shared" si="63"/>
        <v>1.2586770182638762E-3</v>
      </c>
      <c r="O1347">
        <f>VLOOKUP(K1347,RatingLookup!$A$2:$C$8,3,FALSE)</f>
        <v>0.5</v>
      </c>
      <c r="P1347">
        <f t="shared" si="64"/>
        <v>0.23780184906059415</v>
      </c>
      <c r="Q1347" t="str">
        <f t="shared" ca="1" si="65"/>
        <v>No</v>
      </c>
    </row>
    <row r="1348" spans="1:17" x14ac:dyDescent="0.45">
      <c r="A1348" t="s">
        <v>78</v>
      </c>
      <c r="B1348" t="s">
        <v>79</v>
      </c>
      <c r="C1348" t="s">
        <v>40</v>
      </c>
      <c r="D1348" t="s">
        <v>20</v>
      </c>
      <c r="E1348" t="s">
        <v>21</v>
      </c>
      <c r="F1348" s="1">
        <v>44621</v>
      </c>
      <c r="G1348">
        <v>4.99</v>
      </c>
      <c r="H1348">
        <v>84.940100000000001</v>
      </c>
      <c r="I1348">
        <v>17.46</v>
      </c>
      <c r="J1348">
        <v>79.05</v>
      </c>
      <c r="K1348" t="s">
        <v>22</v>
      </c>
      <c r="L1348">
        <v>351.94</v>
      </c>
      <c r="M1348">
        <f>VLOOKUP(K1348,RatingLookup!$A$2:$C$8,2,FALSE)</f>
        <v>5.0000000000000001E-3</v>
      </c>
      <c r="N1348">
        <f t="shared" si="63"/>
        <v>4.1762458919303302E-4</v>
      </c>
      <c r="O1348">
        <f>VLOOKUP(K1348,RatingLookup!$A$2:$C$8,3,FALSE)</f>
        <v>0.45</v>
      </c>
      <c r="P1348">
        <f t="shared" si="64"/>
        <v>6.6140459064268214E-2</v>
      </c>
      <c r="Q1348" t="str">
        <f t="shared" ca="1" si="65"/>
        <v>No</v>
      </c>
    </row>
    <row r="1349" spans="1:17" x14ac:dyDescent="0.45">
      <c r="A1349" t="s">
        <v>78</v>
      </c>
      <c r="B1349" t="s">
        <v>79</v>
      </c>
      <c r="C1349" t="s">
        <v>40</v>
      </c>
      <c r="D1349" t="s">
        <v>20</v>
      </c>
      <c r="E1349" t="s">
        <v>21</v>
      </c>
      <c r="F1349" s="1">
        <v>44652</v>
      </c>
      <c r="G1349">
        <v>5.64</v>
      </c>
      <c r="H1349">
        <v>81.178799999999995</v>
      </c>
      <c r="I1349">
        <v>13.56</v>
      </c>
      <c r="J1349">
        <v>77.099999999999994</v>
      </c>
      <c r="K1349" t="s">
        <v>22</v>
      </c>
      <c r="L1349">
        <v>357.75</v>
      </c>
      <c r="M1349">
        <f>VLOOKUP(K1349,RatingLookup!$A$2:$C$8,2,FALSE)</f>
        <v>5.0000000000000001E-3</v>
      </c>
      <c r="N1349">
        <f t="shared" si="63"/>
        <v>4.1762458919303302E-4</v>
      </c>
      <c r="O1349">
        <f>VLOOKUP(K1349,RatingLookup!$A$2:$C$8,3,FALSE)</f>
        <v>0.45</v>
      </c>
      <c r="P1349">
        <f t="shared" si="64"/>
        <v>6.7232338552713405E-2</v>
      </c>
      <c r="Q1349" t="str">
        <f t="shared" ca="1" si="65"/>
        <v>No</v>
      </c>
    </row>
    <row r="1350" spans="1:17" x14ac:dyDescent="0.45">
      <c r="A1350" t="s">
        <v>78</v>
      </c>
      <c r="B1350" t="s">
        <v>79</v>
      </c>
      <c r="C1350" t="s">
        <v>40</v>
      </c>
      <c r="D1350" t="s">
        <v>20</v>
      </c>
      <c r="E1350" t="s">
        <v>21</v>
      </c>
      <c r="F1350" s="1">
        <v>44682</v>
      </c>
      <c r="G1350">
        <v>5.71</v>
      </c>
      <c r="H1350">
        <v>82.503699999999995</v>
      </c>
      <c r="I1350">
        <v>30.28</v>
      </c>
      <c r="J1350">
        <v>84.71</v>
      </c>
      <c r="K1350" t="s">
        <v>22</v>
      </c>
      <c r="L1350">
        <v>340.48</v>
      </c>
      <c r="M1350">
        <f>VLOOKUP(K1350,RatingLookup!$A$2:$C$8,2,FALSE)</f>
        <v>5.0000000000000001E-3</v>
      </c>
      <c r="N1350">
        <f t="shared" si="63"/>
        <v>4.1762458919303302E-4</v>
      </c>
      <c r="O1350">
        <f>VLOOKUP(K1350,RatingLookup!$A$2:$C$8,3,FALSE)</f>
        <v>0.45</v>
      </c>
      <c r="P1350">
        <f t="shared" si="64"/>
        <v>6.398676905779975E-2</v>
      </c>
      <c r="Q1350" t="str">
        <f t="shared" ca="1" si="65"/>
        <v>No</v>
      </c>
    </row>
    <row r="1351" spans="1:17" x14ac:dyDescent="0.45">
      <c r="A1351" t="s">
        <v>78</v>
      </c>
      <c r="B1351" t="s">
        <v>79</v>
      </c>
      <c r="C1351" t="s">
        <v>40</v>
      </c>
      <c r="D1351" t="s">
        <v>20</v>
      </c>
      <c r="E1351" t="s">
        <v>21</v>
      </c>
      <c r="F1351" s="1">
        <v>44713</v>
      </c>
      <c r="G1351">
        <v>4.57</v>
      </c>
      <c r="H1351">
        <v>80.631299999999996</v>
      </c>
      <c r="I1351">
        <v>14.81</v>
      </c>
      <c r="J1351">
        <v>78.16</v>
      </c>
      <c r="K1351" t="s">
        <v>22</v>
      </c>
      <c r="L1351">
        <v>353.96</v>
      </c>
      <c r="M1351">
        <f>VLOOKUP(K1351,RatingLookup!$A$2:$C$8,2,FALSE)</f>
        <v>5.0000000000000001E-3</v>
      </c>
      <c r="N1351">
        <f t="shared" si="63"/>
        <v>4.1762458919303302E-4</v>
      </c>
      <c r="O1351">
        <f>VLOOKUP(K1351,RatingLookup!$A$2:$C$8,3,FALSE)</f>
        <v>0.45</v>
      </c>
      <c r="P1351">
        <f t="shared" si="64"/>
        <v>6.6520079815844679E-2</v>
      </c>
      <c r="Q1351" t="str">
        <f t="shared" ca="1" si="65"/>
        <v>No</v>
      </c>
    </row>
    <row r="1352" spans="1:17" x14ac:dyDescent="0.45">
      <c r="A1352" t="s">
        <v>78</v>
      </c>
      <c r="B1352" t="s">
        <v>79</v>
      </c>
      <c r="C1352" t="s">
        <v>40</v>
      </c>
      <c r="D1352" t="s">
        <v>20</v>
      </c>
      <c r="E1352" t="s">
        <v>21</v>
      </c>
      <c r="F1352" s="1">
        <v>44743</v>
      </c>
      <c r="G1352">
        <v>6.01</v>
      </c>
      <c r="H1352">
        <v>79.387200000000007</v>
      </c>
      <c r="I1352">
        <v>18.940000000000001</v>
      </c>
      <c r="J1352">
        <v>66.83</v>
      </c>
      <c r="K1352" t="s">
        <v>22</v>
      </c>
      <c r="L1352">
        <v>349.77</v>
      </c>
      <c r="M1352">
        <f>VLOOKUP(K1352,RatingLookup!$A$2:$C$8,2,FALSE)</f>
        <v>5.0000000000000001E-3</v>
      </c>
      <c r="N1352">
        <f t="shared" si="63"/>
        <v>4.1762458919303302E-4</v>
      </c>
      <c r="O1352">
        <f>VLOOKUP(K1352,RatingLookup!$A$2:$C$8,3,FALSE)</f>
        <v>0.45</v>
      </c>
      <c r="P1352">
        <f t="shared" si="64"/>
        <v>6.5732648652921222E-2</v>
      </c>
      <c r="Q1352" t="str">
        <f t="shared" ca="1" si="65"/>
        <v>No</v>
      </c>
    </row>
    <row r="1353" spans="1:17" x14ac:dyDescent="0.45">
      <c r="A1353" t="s">
        <v>78</v>
      </c>
      <c r="B1353" t="s">
        <v>79</v>
      </c>
      <c r="C1353" t="s">
        <v>40</v>
      </c>
      <c r="D1353" t="s">
        <v>20</v>
      </c>
      <c r="E1353" t="s">
        <v>21</v>
      </c>
      <c r="F1353" s="1">
        <v>44774</v>
      </c>
      <c r="G1353">
        <v>5.79</v>
      </c>
      <c r="H1353">
        <v>83.232100000000003</v>
      </c>
      <c r="I1353">
        <v>26.27</v>
      </c>
      <c r="J1353">
        <v>71.989999999999995</v>
      </c>
      <c r="K1353" t="s">
        <v>22</v>
      </c>
      <c r="L1353">
        <v>354.15</v>
      </c>
      <c r="M1353">
        <f>VLOOKUP(K1353,RatingLookup!$A$2:$C$8,2,FALSE)</f>
        <v>5.0000000000000001E-3</v>
      </c>
      <c r="N1353">
        <f t="shared" si="63"/>
        <v>4.1762458919303302E-4</v>
      </c>
      <c r="O1353">
        <f>VLOOKUP(K1353,RatingLookup!$A$2:$C$8,3,FALSE)</f>
        <v>0.45</v>
      </c>
      <c r="P1353">
        <f t="shared" si="64"/>
        <v>6.6555786718220683E-2</v>
      </c>
      <c r="Q1353" t="str">
        <f t="shared" ca="1" si="65"/>
        <v>No</v>
      </c>
    </row>
    <row r="1354" spans="1:17" x14ac:dyDescent="0.45">
      <c r="A1354" t="s">
        <v>78</v>
      </c>
      <c r="B1354" t="s">
        <v>79</v>
      </c>
      <c r="C1354" t="s">
        <v>40</v>
      </c>
      <c r="D1354" t="s">
        <v>20</v>
      </c>
      <c r="E1354" t="s">
        <v>21</v>
      </c>
      <c r="F1354" s="1">
        <v>44805</v>
      </c>
      <c r="G1354">
        <v>5.85</v>
      </c>
      <c r="H1354">
        <v>83.353099999999998</v>
      </c>
      <c r="I1354">
        <v>14.9</v>
      </c>
      <c r="J1354">
        <v>86.65</v>
      </c>
      <c r="K1354" t="s">
        <v>22</v>
      </c>
      <c r="L1354">
        <v>360.28</v>
      </c>
      <c r="M1354">
        <f>VLOOKUP(K1354,RatingLookup!$A$2:$C$8,2,FALSE)</f>
        <v>5.0000000000000001E-3</v>
      </c>
      <c r="N1354">
        <f t="shared" si="63"/>
        <v>4.1762458919303302E-4</v>
      </c>
      <c r="O1354">
        <f>VLOOKUP(K1354,RatingLookup!$A$2:$C$8,3,FALSE)</f>
        <v>0.45</v>
      </c>
      <c r="P1354">
        <f t="shared" si="64"/>
        <v>6.7707804147509681E-2</v>
      </c>
      <c r="Q1354" t="str">
        <f t="shared" ca="1" si="65"/>
        <v>No</v>
      </c>
    </row>
    <row r="1355" spans="1:17" x14ac:dyDescent="0.45">
      <c r="A1355" t="s">
        <v>78</v>
      </c>
      <c r="B1355" t="s">
        <v>79</v>
      </c>
      <c r="C1355" t="s">
        <v>40</v>
      </c>
      <c r="D1355" t="s">
        <v>20</v>
      </c>
      <c r="E1355" t="s">
        <v>21</v>
      </c>
      <c r="F1355" s="1">
        <v>44835</v>
      </c>
      <c r="G1355">
        <v>5.96</v>
      </c>
      <c r="H1355">
        <v>83.508399999999995</v>
      </c>
      <c r="I1355">
        <v>22.32</v>
      </c>
      <c r="J1355">
        <v>77.53</v>
      </c>
      <c r="K1355" t="s">
        <v>22</v>
      </c>
      <c r="L1355">
        <v>353.14</v>
      </c>
      <c r="M1355">
        <f>VLOOKUP(K1355,RatingLookup!$A$2:$C$8,2,FALSE)</f>
        <v>5.0000000000000001E-3</v>
      </c>
      <c r="N1355">
        <f t="shared" si="63"/>
        <v>4.1762458919303302E-4</v>
      </c>
      <c r="O1355">
        <f>VLOOKUP(K1355,RatingLookup!$A$2:$C$8,3,FALSE)</f>
        <v>0.45</v>
      </c>
      <c r="P1355">
        <f t="shared" si="64"/>
        <v>6.6365976342432464E-2</v>
      </c>
      <c r="Q1355" t="str">
        <f t="shared" ca="1" si="65"/>
        <v>No</v>
      </c>
    </row>
    <row r="1356" spans="1:17" x14ac:dyDescent="0.45">
      <c r="A1356" t="s">
        <v>78</v>
      </c>
      <c r="B1356" t="s">
        <v>79</v>
      </c>
      <c r="C1356" t="s">
        <v>40</v>
      </c>
      <c r="D1356" t="s">
        <v>20</v>
      </c>
      <c r="E1356" t="s">
        <v>21</v>
      </c>
      <c r="F1356" s="1">
        <v>44866</v>
      </c>
      <c r="G1356">
        <v>5.13</v>
      </c>
      <c r="H1356">
        <v>82.059700000000007</v>
      </c>
      <c r="I1356">
        <v>18.84</v>
      </c>
      <c r="J1356">
        <v>85.25</v>
      </c>
      <c r="K1356" t="s">
        <v>22</v>
      </c>
      <c r="L1356">
        <v>368.97</v>
      </c>
      <c r="M1356">
        <f>VLOOKUP(K1356,RatingLookup!$A$2:$C$8,2,FALSE)</f>
        <v>5.0000000000000001E-3</v>
      </c>
      <c r="N1356">
        <f t="shared" si="63"/>
        <v>4.1762458919303302E-4</v>
      </c>
      <c r="O1356">
        <f>VLOOKUP(K1356,RatingLookup!$A$2:$C$8,3,FALSE)</f>
        <v>0.45</v>
      </c>
      <c r="P1356">
        <f t="shared" si="64"/>
        <v>6.9340925103549028E-2</v>
      </c>
      <c r="Q1356" t="str">
        <f t="shared" ca="1" si="65"/>
        <v>No</v>
      </c>
    </row>
    <row r="1357" spans="1:17" x14ac:dyDescent="0.45">
      <c r="A1357" t="s">
        <v>78</v>
      </c>
      <c r="B1357" t="s">
        <v>79</v>
      </c>
      <c r="C1357" t="s">
        <v>40</v>
      </c>
      <c r="D1357" t="s">
        <v>20</v>
      </c>
      <c r="E1357" t="s">
        <v>21</v>
      </c>
      <c r="F1357" s="1">
        <v>44896</v>
      </c>
      <c r="G1357">
        <v>6.05</v>
      </c>
      <c r="H1357">
        <v>84.224299999999999</v>
      </c>
      <c r="I1357">
        <v>20.62</v>
      </c>
      <c r="J1357">
        <v>78.69</v>
      </c>
      <c r="K1357" t="s">
        <v>22</v>
      </c>
      <c r="L1357">
        <v>374.34</v>
      </c>
      <c r="M1357">
        <f>VLOOKUP(K1357,RatingLookup!$A$2:$C$8,2,FALSE)</f>
        <v>5.0000000000000001E-3</v>
      </c>
      <c r="N1357">
        <f t="shared" si="63"/>
        <v>4.1762458919303302E-4</v>
      </c>
      <c r="O1357">
        <f>VLOOKUP(K1357,RatingLookup!$A$2:$C$8,3,FALSE)</f>
        <v>0.45</v>
      </c>
      <c r="P1357">
        <f t="shared" si="64"/>
        <v>7.0350114923333984E-2</v>
      </c>
      <c r="Q1357" t="str">
        <f t="shared" ca="1" si="65"/>
        <v>No</v>
      </c>
    </row>
    <row r="1358" spans="1:17" x14ac:dyDescent="0.45">
      <c r="A1358" t="s">
        <v>78</v>
      </c>
      <c r="B1358" t="s">
        <v>79</v>
      </c>
      <c r="C1358" t="s">
        <v>40</v>
      </c>
      <c r="D1358" t="s">
        <v>20</v>
      </c>
      <c r="E1358" t="s">
        <v>21</v>
      </c>
      <c r="F1358" s="1">
        <v>44927</v>
      </c>
      <c r="G1358">
        <v>5.28</v>
      </c>
      <c r="H1358">
        <v>79.997399999999999</v>
      </c>
      <c r="I1358">
        <v>14.5</v>
      </c>
      <c r="J1358">
        <v>68.459999999999994</v>
      </c>
      <c r="K1358" t="s">
        <v>30</v>
      </c>
      <c r="L1358">
        <v>354.21</v>
      </c>
      <c r="M1358">
        <f>VLOOKUP(K1358,RatingLookup!$A$2:$C$8,2,FALSE)</f>
        <v>1.4999999999999999E-2</v>
      </c>
      <c r="N1358">
        <f t="shared" si="63"/>
        <v>1.2586770182638762E-3</v>
      </c>
      <c r="O1358">
        <f>VLOOKUP(K1358,RatingLookup!$A$2:$C$8,3,FALSE)</f>
        <v>0.5</v>
      </c>
      <c r="P1358">
        <f t="shared" si="64"/>
        <v>0.22291799331962378</v>
      </c>
      <c r="Q1358" t="str">
        <f t="shared" ca="1" si="65"/>
        <v>No</v>
      </c>
    </row>
    <row r="1359" spans="1:17" x14ac:dyDescent="0.45">
      <c r="A1359" t="s">
        <v>78</v>
      </c>
      <c r="B1359" t="s">
        <v>79</v>
      </c>
      <c r="C1359" t="s">
        <v>40</v>
      </c>
      <c r="D1359" t="s">
        <v>20</v>
      </c>
      <c r="E1359" t="s">
        <v>21</v>
      </c>
      <c r="F1359" s="1">
        <v>44958</v>
      </c>
      <c r="G1359">
        <v>5.67</v>
      </c>
      <c r="H1359">
        <v>79.811199999999999</v>
      </c>
      <c r="I1359">
        <v>22.87</v>
      </c>
      <c r="J1359">
        <v>90.14</v>
      </c>
      <c r="K1359" t="s">
        <v>30</v>
      </c>
      <c r="L1359">
        <v>359.6</v>
      </c>
      <c r="M1359">
        <f>VLOOKUP(K1359,RatingLookup!$A$2:$C$8,2,FALSE)</f>
        <v>1.4999999999999999E-2</v>
      </c>
      <c r="N1359">
        <f t="shared" si="63"/>
        <v>1.2586770182638762E-3</v>
      </c>
      <c r="O1359">
        <f>VLOOKUP(K1359,RatingLookup!$A$2:$C$8,3,FALSE)</f>
        <v>0.5</v>
      </c>
      <c r="P1359">
        <f t="shared" si="64"/>
        <v>0.22631012788384497</v>
      </c>
      <c r="Q1359" t="str">
        <f t="shared" ca="1" si="65"/>
        <v>No</v>
      </c>
    </row>
    <row r="1360" spans="1:17" x14ac:dyDescent="0.45">
      <c r="A1360" t="s">
        <v>78</v>
      </c>
      <c r="B1360" t="s">
        <v>79</v>
      </c>
      <c r="C1360" t="s">
        <v>40</v>
      </c>
      <c r="D1360" t="s">
        <v>20</v>
      </c>
      <c r="E1360" t="s">
        <v>21</v>
      </c>
      <c r="F1360" s="1">
        <v>44986</v>
      </c>
      <c r="G1360">
        <v>4.74</v>
      </c>
      <c r="H1360">
        <v>88.2393</v>
      </c>
      <c r="I1360">
        <v>14.47</v>
      </c>
      <c r="J1360">
        <v>88.37</v>
      </c>
      <c r="K1360" t="s">
        <v>30</v>
      </c>
      <c r="L1360">
        <v>381.91</v>
      </c>
      <c r="M1360">
        <f>VLOOKUP(K1360,RatingLookup!$A$2:$C$8,2,FALSE)</f>
        <v>1.4999999999999999E-2</v>
      </c>
      <c r="N1360">
        <f t="shared" si="63"/>
        <v>1.2586770182638762E-3</v>
      </c>
      <c r="O1360">
        <f>VLOOKUP(K1360,RatingLookup!$A$2:$C$8,3,FALSE)</f>
        <v>0.5</v>
      </c>
      <c r="P1360">
        <f t="shared" si="64"/>
        <v>0.24035067002257851</v>
      </c>
      <c r="Q1360" t="str">
        <f t="shared" ca="1" si="65"/>
        <v>No</v>
      </c>
    </row>
    <row r="1361" spans="1:17" x14ac:dyDescent="0.45">
      <c r="A1361" t="s">
        <v>78</v>
      </c>
      <c r="B1361" t="s">
        <v>79</v>
      </c>
      <c r="C1361" t="s">
        <v>40</v>
      </c>
      <c r="D1361" t="s">
        <v>20</v>
      </c>
      <c r="E1361" t="s">
        <v>21</v>
      </c>
      <c r="F1361" s="1">
        <v>45017</v>
      </c>
      <c r="G1361">
        <v>4.7699999999999996</v>
      </c>
      <c r="H1361">
        <v>79.6935</v>
      </c>
      <c r="I1361">
        <v>19.38</v>
      </c>
      <c r="J1361">
        <v>88.83</v>
      </c>
      <c r="K1361" t="s">
        <v>30</v>
      </c>
      <c r="L1361">
        <v>385.06</v>
      </c>
      <c r="M1361">
        <f>VLOOKUP(K1361,RatingLookup!$A$2:$C$8,2,FALSE)</f>
        <v>1.4999999999999999E-2</v>
      </c>
      <c r="N1361">
        <f t="shared" si="63"/>
        <v>1.2586770182638762E-3</v>
      </c>
      <c r="O1361">
        <f>VLOOKUP(K1361,RatingLookup!$A$2:$C$8,3,FALSE)</f>
        <v>0.5</v>
      </c>
      <c r="P1361">
        <f t="shared" si="64"/>
        <v>0.24233308632634409</v>
      </c>
      <c r="Q1361" t="str">
        <f t="shared" ca="1" si="65"/>
        <v>No</v>
      </c>
    </row>
    <row r="1362" spans="1:17" x14ac:dyDescent="0.45">
      <c r="A1362" t="s">
        <v>78</v>
      </c>
      <c r="B1362" t="s">
        <v>79</v>
      </c>
      <c r="C1362" t="s">
        <v>40</v>
      </c>
      <c r="D1362" t="s">
        <v>20</v>
      </c>
      <c r="E1362" t="s">
        <v>21</v>
      </c>
      <c r="F1362" s="1">
        <v>45047</v>
      </c>
      <c r="G1362">
        <v>5.26</v>
      </c>
      <c r="H1362">
        <v>86.660899999999998</v>
      </c>
      <c r="I1362">
        <v>26.63</v>
      </c>
      <c r="J1362">
        <v>81.41</v>
      </c>
      <c r="K1362" t="s">
        <v>30</v>
      </c>
      <c r="L1362">
        <v>353.9</v>
      </c>
      <c r="M1362">
        <f>VLOOKUP(K1362,RatingLookup!$A$2:$C$8,2,FALSE)</f>
        <v>1.4999999999999999E-2</v>
      </c>
      <c r="N1362">
        <f t="shared" si="63"/>
        <v>1.2586770182638762E-3</v>
      </c>
      <c r="O1362">
        <f>VLOOKUP(K1362,RatingLookup!$A$2:$C$8,3,FALSE)</f>
        <v>0.5</v>
      </c>
      <c r="P1362">
        <f t="shared" si="64"/>
        <v>0.22272289838179288</v>
      </c>
      <c r="Q1362" t="str">
        <f t="shared" ca="1" si="65"/>
        <v>No</v>
      </c>
    </row>
    <row r="1363" spans="1:17" x14ac:dyDescent="0.45">
      <c r="A1363" t="s">
        <v>78</v>
      </c>
      <c r="B1363" t="s">
        <v>79</v>
      </c>
      <c r="C1363" t="s">
        <v>40</v>
      </c>
      <c r="D1363" t="s">
        <v>20</v>
      </c>
      <c r="E1363" t="s">
        <v>21</v>
      </c>
      <c r="F1363" s="1">
        <v>45078</v>
      </c>
      <c r="G1363">
        <v>4.8</v>
      </c>
      <c r="H1363">
        <v>82.452100000000002</v>
      </c>
      <c r="I1363">
        <v>13.67</v>
      </c>
      <c r="J1363">
        <v>87.35</v>
      </c>
      <c r="K1363" t="s">
        <v>30</v>
      </c>
      <c r="L1363">
        <v>369.48</v>
      </c>
      <c r="M1363">
        <f>VLOOKUP(K1363,RatingLookup!$A$2:$C$8,2,FALSE)</f>
        <v>1.4999999999999999E-2</v>
      </c>
      <c r="N1363">
        <f t="shared" si="63"/>
        <v>1.2586770182638762E-3</v>
      </c>
      <c r="O1363">
        <f>VLOOKUP(K1363,RatingLookup!$A$2:$C$8,3,FALSE)</f>
        <v>0.5</v>
      </c>
      <c r="P1363">
        <f t="shared" si="64"/>
        <v>0.23252799235406851</v>
      </c>
      <c r="Q1363" t="str">
        <f t="shared" ca="1" si="65"/>
        <v>No</v>
      </c>
    </row>
    <row r="1364" spans="1:17" x14ac:dyDescent="0.45">
      <c r="A1364" t="s">
        <v>78</v>
      </c>
      <c r="B1364" t="s">
        <v>79</v>
      </c>
      <c r="C1364" t="s">
        <v>40</v>
      </c>
      <c r="D1364" t="s">
        <v>20</v>
      </c>
      <c r="E1364" t="s">
        <v>21</v>
      </c>
      <c r="F1364" s="1">
        <v>45108</v>
      </c>
      <c r="G1364">
        <v>5.28</v>
      </c>
      <c r="H1364">
        <v>81.515000000000001</v>
      </c>
      <c r="I1364">
        <v>21.84</v>
      </c>
      <c r="J1364">
        <v>75.81</v>
      </c>
      <c r="K1364" t="s">
        <v>30</v>
      </c>
      <c r="L1364">
        <v>377.82</v>
      </c>
      <c r="M1364">
        <f>VLOOKUP(K1364,RatingLookup!$A$2:$C$8,2,FALSE)</f>
        <v>1.4999999999999999E-2</v>
      </c>
      <c r="N1364">
        <f t="shared" si="63"/>
        <v>1.2586770182638762E-3</v>
      </c>
      <c r="O1364">
        <f>VLOOKUP(K1364,RatingLookup!$A$2:$C$8,3,FALSE)</f>
        <v>0.5</v>
      </c>
      <c r="P1364">
        <f t="shared" si="64"/>
        <v>0.23777667552022885</v>
      </c>
      <c r="Q1364" t="str">
        <f t="shared" ca="1" si="65"/>
        <v>No</v>
      </c>
    </row>
    <row r="1365" spans="1:17" x14ac:dyDescent="0.45">
      <c r="A1365" t="s">
        <v>78</v>
      </c>
      <c r="B1365" t="s">
        <v>79</v>
      </c>
      <c r="C1365" t="s">
        <v>40</v>
      </c>
      <c r="D1365" t="s">
        <v>20</v>
      </c>
      <c r="E1365" t="s">
        <v>21</v>
      </c>
      <c r="F1365" s="1">
        <v>45139</v>
      </c>
      <c r="G1365">
        <v>5.13</v>
      </c>
      <c r="H1365">
        <v>84.341499999999996</v>
      </c>
      <c r="I1365">
        <v>21.16</v>
      </c>
      <c r="J1365">
        <v>89.58</v>
      </c>
      <c r="K1365" t="s">
        <v>30</v>
      </c>
      <c r="L1365">
        <v>374.74</v>
      </c>
      <c r="M1365">
        <f>VLOOKUP(K1365,RatingLookup!$A$2:$C$8,2,FALSE)</f>
        <v>1.4999999999999999E-2</v>
      </c>
      <c r="N1365">
        <f t="shared" si="63"/>
        <v>1.2586770182638762E-3</v>
      </c>
      <c r="O1365">
        <f>VLOOKUP(K1365,RatingLookup!$A$2:$C$8,3,FALSE)</f>
        <v>0.5</v>
      </c>
      <c r="P1365">
        <f t="shared" si="64"/>
        <v>0.2358383129121025</v>
      </c>
      <c r="Q1365" t="str">
        <f t="shared" ca="1" si="65"/>
        <v>No</v>
      </c>
    </row>
    <row r="1366" spans="1:17" x14ac:dyDescent="0.45">
      <c r="A1366" t="s">
        <v>78</v>
      </c>
      <c r="B1366" t="s">
        <v>79</v>
      </c>
      <c r="C1366" t="s">
        <v>40</v>
      </c>
      <c r="D1366" t="s">
        <v>20</v>
      </c>
      <c r="E1366" t="s">
        <v>21</v>
      </c>
      <c r="F1366" s="1">
        <v>45170</v>
      </c>
      <c r="G1366">
        <v>4.82</v>
      </c>
      <c r="H1366">
        <v>87.892200000000003</v>
      </c>
      <c r="I1366">
        <v>24.46</v>
      </c>
      <c r="J1366">
        <v>53.8</v>
      </c>
      <c r="K1366" t="s">
        <v>30</v>
      </c>
      <c r="L1366">
        <v>393.18</v>
      </c>
      <c r="M1366">
        <f>VLOOKUP(K1366,RatingLookup!$A$2:$C$8,2,FALSE)</f>
        <v>1.4999999999999999E-2</v>
      </c>
      <c r="N1366">
        <f t="shared" si="63"/>
        <v>1.2586770182638762E-3</v>
      </c>
      <c r="O1366">
        <f>VLOOKUP(K1366,RatingLookup!$A$2:$C$8,3,FALSE)</f>
        <v>0.5</v>
      </c>
      <c r="P1366">
        <f t="shared" si="64"/>
        <v>0.24744331502049544</v>
      </c>
      <c r="Q1366" t="str">
        <f t="shared" ca="1" si="65"/>
        <v>No</v>
      </c>
    </row>
    <row r="1367" spans="1:17" x14ac:dyDescent="0.45">
      <c r="A1367" t="s">
        <v>78</v>
      </c>
      <c r="B1367" t="s">
        <v>79</v>
      </c>
      <c r="C1367" t="s">
        <v>40</v>
      </c>
      <c r="D1367" t="s">
        <v>20</v>
      </c>
      <c r="E1367" t="s">
        <v>21</v>
      </c>
      <c r="F1367" s="1">
        <v>45200</v>
      </c>
      <c r="G1367">
        <v>4.62</v>
      </c>
      <c r="H1367">
        <v>82.448999999999998</v>
      </c>
      <c r="I1367">
        <v>22.39</v>
      </c>
      <c r="J1367">
        <v>85.61</v>
      </c>
      <c r="K1367" t="s">
        <v>30</v>
      </c>
      <c r="L1367">
        <v>369.13</v>
      </c>
      <c r="M1367">
        <f>VLOOKUP(K1367,RatingLookup!$A$2:$C$8,2,FALSE)</f>
        <v>1.4999999999999999E-2</v>
      </c>
      <c r="N1367">
        <f t="shared" si="63"/>
        <v>1.2586770182638762E-3</v>
      </c>
      <c r="O1367">
        <f>VLOOKUP(K1367,RatingLookup!$A$2:$C$8,3,FALSE)</f>
        <v>0.5</v>
      </c>
      <c r="P1367">
        <f t="shared" si="64"/>
        <v>0.23230772387587231</v>
      </c>
      <c r="Q1367" t="str">
        <f t="shared" ca="1" si="65"/>
        <v>No</v>
      </c>
    </row>
    <row r="1368" spans="1:17" x14ac:dyDescent="0.45">
      <c r="A1368" t="s">
        <v>78</v>
      </c>
      <c r="B1368" t="s">
        <v>79</v>
      </c>
      <c r="C1368" t="s">
        <v>40</v>
      </c>
      <c r="D1368" t="s">
        <v>20</v>
      </c>
      <c r="E1368" t="s">
        <v>21</v>
      </c>
      <c r="F1368" s="1">
        <v>45231</v>
      </c>
      <c r="G1368">
        <v>6.34</v>
      </c>
      <c r="H1368">
        <v>77.908500000000004</v>
      </c>
      <c r="I1368">
        <v>14.9</v>
      </c>
      <c r="J1368">
        <v>88.25</v>
      </c>
      <c r="K1368" t="s">
        <v>30</v>
      </c>
      <c r="L1368">
        <v>389.87</v>
      </c>
      <c r="M1368">
        <f>VLOOKUP(K1368,RatingLookup!$A$2:$C$8,2,FALSE)</f>
        <v>1.4999999999999999E-2</v>
      </c>
      <c r="N1368">
        <f t="shared" si="63"/>
        <v>1.2586770182638762E-3</v>
      </c>
      <c r="O1368">
        <f>VLOOKUP(K1368,RatingLookup!$A$2:$C$8,3,FALSE)</f>
        <v>0.5</v>
      </c>
      <c r="P1368">
        <f t="shared" si="64"/>
        <v>0.24536020455526872</v>
      </c>
      <c r="Q1368" t="str">
        <f t="shared" ca="1" si="65"/>
        <v>No</v>
      </c>
    </row>
    <row r="1369" spans="1:17" x14ac:dyDescent="0.45">
      <c r="A1369" t="s">
        <v>78</v>
      </c>
      <c r="B1369" t="s">
        <v>79</v>
      </c>
      <c r="C1369" t="s">
        <v>40</v>
      </c>
      <c r="D1369" t="s">
        <v>20</v>
      </c>
      <c r="E1369" t="s">
        <v>21</v>
      </c>
      <c r="F1369" s="1">
        <v>45261</v>
      </c>
      <c r="G1369">
        <v>5.76</v>
      </c>
      <c r="H1369">
        <v>83.384500000000003</v>
      </c>
      <c r="I1369">
        <v>19.12</v>
      </c>
      <c r="J1369">
        <v>93.02</v>
      </c>
      <c r="K1369" t="s">
        <v>30</v>
      </c>
      <c r="L1369">
        <v>378.26</v>
      </c>
      <c r="M1369">
        <f>VLOOKUP(K1369,RatingLookup!$A$2:$C$8,2,FALSE)</f>
        <v>1.4999999999999999E-2</v>
      </c>
      <c r="N1369">
        <f t="shared" si="63"/>
        <v>1.2586770182638762E-3</v>
      </c>
      <c r="O1369">
        <f>VLOOKUP(K1369,RatingLookup!$A$2:$C$8,3,FALSE)</f>
        <v>0.5</v>
      </c>
      <c r="P1369">
        <f t="shared" si="64"/>
        <v>0.2380535844642469</v>
      </c>
      <c r="Q1369" t="str">
        <f t="shared" ca="1" si="65"/>
        <v>No</v>
      </c>
    </row>
    <row r="1370" spans="1:17" x14ac:dyDescent="0.45">
      <c r="A1370" t="s">
        <v>78</v>
      </c>
      <c r="B1370" t="s">
        <v>79</v>
      </c>
      <c r="C1370" t="s">
        <v>40</v>
      </c>
      <c r="D1370" t="s">
        <v>20</v>
      </c>
      <c r="E1370" t="s">
        <v>21</v>
      </c>
      <c r="F1370" s="1">
        <v>45292</v>
      </c>
      <c r="G1370">
        <v>5.28</v>
      </c>
      <c r="H1370">
        <v>87.379300000000001</v>
      </c>
      <c r="I1370">
        <v>5</v>
      </c>
      <c r="J1370">
        <v>60</v>
      </c>
      <c r="K1370" t="s">
        <v>30</v>
      </c>
      <c r="L1370">
        <v>357.52</v>
      </c>
      <c r="M1370">
        <f>VLOOKUP(K1370,RatingLookup!$A$2:$C$8,2,FALSE)</f>
        <v>1.4999999999999999E-2</v>
      </c>
      <c r="N1370">
        <f t="shared" si="63"/>
        <v>1.2586770182638762E-3</v>
      </c>
      <c r="O1370">
        <f>VLOOKUP(K1370,RatingLookup!$A$2:$C$8,3,FALSE)</f>
        <v>0.5</v>
      </c>
      <c r="P1370">
        <f t="shared" si="64"/>
        <v>0.2250011037848505</v>
      </c>
      <c r="Q1370" t="str">
        <f t="shared" ca="1" si="65"/>
        <v>No</v>
      </c>
    </row>
    <row r="1371" spans="1:17" x14ac:dyDescent="0.45">
      <c r="A1371" t="s">
        <v>78</v>
      </c>
      <c r="B1371" t="s">
        <v>79</v>
      </c>
      <c r="C1371" t="s">
        <v>40</v>
      </c>
      <c r="D1371" t="s">
        <v>20</v>
      </c>
      <c r="E1371" t="s">
        <v>21</v>
      </c>
      <c r="F1371" s="1">
        <v>45323</v>
      </c>
      <c r="G1371">
        <v>5.25</v>
      </c>
      <c r="H1371">
        <v>82.950199999999995</v>
      </c>
      <c r="I1371">
        <v>17.75</v>
      </c>
      <c r="J1371">
        <v>99.94</v>
      </c>
      <c r="K1371" t="s">
        <v>30</v>
      </c>
      <c r="L1371">
        <v>355.8</v>
      </c>
      <c r="M1371">
        <f>VLOOKUP(K1371,RatingLookup!$A$2:$C$8,2,FALSE)</f>
        <v>1.4999999999999999E-2</v>
      </c>
      <c r="N1371">
        <f t="shared" si="63"/>
        <v>1.2586770182638762E-3</v>
      </c>
      <c r="O1371">
        <f>VLOOKUP(K1371,RatingLookup!$A$2:$C$8,3,FALSE)</f>
        <v>0.5</v>
      </c>
      <c r="P1371">
        <f t="shared" si="64"/>
        <v>0.22391864154914359</v>
      </c>
      <c r="Q1371" t="str">
        <f t="shared" ca="1" si="65"/>
        <v>No</v>
      </c>
    </row>
    <row r="1372" spans="1:17" x14ac:dyDescent="0.45">
      <c r="A1372" t="s">
        <v>78</v>
      </c>
      <c r="B1372" t="s">
        <v>79</v>
      </c>
      <c r="C1372" t="s">
        <v>40</v>
      </c>
      <c r="D1372" t="s">
        <v>20</v>
      </c>
      <c r="E1372" t="s">
        <v>21</v>
      </c>
      <c r="F1372" s="1">
        <v>45352</v>
      </c>
      <c r="G1372">
        <v>5.07</v>
      </c>
      <c r="H1372">
        <v>82.770799999999994</v>
      </c>
      <c r="I1372">
        <v>15.12</v>
      </c>
      <c r="J1372">
        <v>87.37</v>
      </c>
      <c r="K1372" t="s">
        <v>30</v>
      </c>
      <c r="L1372">
        <v>346.3</v>
      </c>
      <c r="M1372">
        <f>VLOOKUP(K1372,RatingLookup!$A$2:$C$8,2,FALSE)</f>
        <v>1.4999999999999999E-2</v>
      </c>
      <c r="N1372">
        <f t="shared" si="63"/>
        <v>1.2586770182638762E-3</v>
      </c>
      <c r="O1372">
        <f>VLOOKUP(K1372,RatingLookup!$A$2:$C$8,3,FALSE)</f>
        <v>0.5</v>
      </c>
      <c r="P1372">
        <f t="shared" si="64"/>
        <v>0.21793992571239018</v>
      </c>
      <c r="Q1372" t="str">
        <f t="shared" ca="1" si="65"/>
        <v>No</v>
      </c>
    </row>
    <row r="1373" spans="1:17" x14ac:dyDescent="0.45">
      <c r="A1373" t="s">
        <v>78</v>
      </c>
      <c r="B1373" t="s">
        <v>79</v>
      </c>
      <c r="C1373" t="s">
        <v>40</v>
      </c>
      <c r="D1373" t="s">
        <v>20</v>
      </c>
      <c r="E1373" t="s">
        <v>21</v>
      </c>
      <c r="F1373" s="1">
        <v>45383</v>
      </c>
      <c r="G1373">
        <v>3.82</v>
      </c>
      <c r="H1373">
        <v>85.701599999999999</v>
      </c>
      <c r="I1373">
        <v>26.59</v>
      </c>
      <c r="J1373">
        <v>70.94</v>
      </c>
      <c r="K1373" t="s">
        <v>30</v>
      </c>
      <c r="L1373">
        <v>372.57</v>
      </c>
      <c r="M1373">
        <f>VLOOKUP(K1373,RatingLookup!$A$2:$C$8,2,FALSE)</f>
        <v>1.4999999999999999E-2</v>
      </c>
      <c r="N1373">
        <f t="shared" si="63"/>
        <v>1.2586770182638762E-3</v>
      </c>
      <c r="O1373">
        <f>VLOOKUP(K1373,RatingLookup!$A$2:$C$8,3,FALSE)</f>
        <v>0.5</v>
      </c>
      <c r="P1373">
        <f t="shared" si="64"/>
        <v>0.23447264834728618</v>
      </c>
      <c r="Q1373" t="str">
        <f t="shared" ca="1" si="65"/>
        <v>No</v>
      </c>
    </row>
    <row r="1374" spans="1:17" x14ac:dyDescent="0.45">
      <c r="A1374" t="s">
        <v>78</v>
      </c>
      <c r="B1374" t="s">
        <v>79</v>
      </c>
      <c r="C1374" t="s">
        <v>40</v>
      </c>
      <c r="D1374" t="s">
        <v>20</v>
      </c>
      <c r="E1374" t="s">
        <v>21</v>
      </c>
      <c r="F1374" s="1">
        <v>45413</v>
      </c>
      <c r="G1374">
        <v>4.97</v>
      </c>
      <c r="H1374">
        <v>84.915000000000006</v>
      </c>
      <c r="I1374">
        <v>17.899999999999999</v>
      </c>
      <c r="J1374">
        <v>71.34</v>
      </c>
      <c r="K1374" t="s">
        <v>30</v>
      </c>
      <c r="L1374">
        <v>380.26</v>
      </c>
      <c r="M1374">
        <f>VLOOKUP(K1374,RatingLookup!$A$2:$C$8,2,FALSE)</f>
        <v>1.4999999999999999E-2</v>
      </c>
      <c r="N1374">
        <f t="shared" si="63"/>
        <v>1.2586770182638762E-3</v>
      </c>
      <c r="O1374">
        <f>VLOOKUP(K1374,RatingLookup!$A$2:$C$8,3,FALSE)</f>
        <v>0.5</v>
      </c>
      <c r="P1374">
        <f t="shared" si="64"/>
        <v>0.23931226148251078</v>
      </c>
      <c r="Q1374" t="str">
        <f t="shared" ca="1" si="65"/>
        <v>No</v>
      </c>
    </row>
    <row r="1375" spans="1:17" x14ac:dyDescent="0.45">
      <c r="A1375" t="s">
        <v>78</v>
      </c>
      <c r="B1375" t="s">
        <v>79</v>
      </c>
      <c r="C1375" t="s">
        <v>40</v>
      </c>
      <c r="D1375" t="s">
        <v>20</v>
      </c>
      <c r="E1375" t="s">
        <v>21</v>
      </c>
      <c r="F1375" s="1">
        <v>45444</v>
      </c>
      <c r="G1375">
        <v>5.93</v>
      </c>
      <c r="H1375">
        <v>83.280199999999994</v>
      </c>
      <c r="I1375">
        <v>15.5</v>
      </c>
      <c r="J1375">
        <v>88.41</v>
      </c>
      <c r="K1375" t="s">
        <v>30</v>
      </c>
      <c r="L1375">
        <v>356.27</v>
      </c>
      <c r="M1375">
        <f>VLOOKUP(K1375,RatingLookup!$A$2:$C$8,2,FALSE)</f>
        <v>1.4999999999999999E-2</v>
      </c>
      <c r="N1375">
        <f t="shared" si="63"/>
        <v>1.2586770182638762E-3</v>
      </c>
      <c r="O1375">
        <f>VLOOKUP(K1375,RatingLookup!$A$2:$C$8,3,FALSE)</f>
        <v>0.5</v>
      </c>
      <c r="P1375">
        <f t="shared" si="64"/>
        <v>0.22421443064843558</v>
      </c>
      <c r="Q1375" t="str">
        <f t="shared" ca="1" si="65"/>
        <v>No</v>
      </c>
    </row>
    <row r="1376" spans="1:17" x14ac:dyDescent="0.45">
      <c r="A1376" t="s">
        <v>78</v>
      </c>
      <c r="B1376" t="s">
        <v>79</v>
      </c>
      <c r="C1376" t="s">
        <v>40</v>
      </c>
      <c r="D1376" t="s">
        <v>20</v>
      </c>
      <c r="E1376" t="s">
        <v>21</v>
      </c>
      <c r="F1376" s="1">
        <v>45474</v>
      </c>
      <c r="G1376">
        <v>5.29</v>
      </c>
      <c r="H1376">
        <v>87.244200000000006</v>
      </c>
      <c r="I1376">
        <v>24.22</v>
      </c>
      <c r="J1376">
        <v>76.16</v>
      </c>
      <c r="K1376" t="s">
        <v>30</v>
      </c>
      <c r="L1376">
        <v>382.18</v>
      </c>
      <c r="M1376">
        <f>VLOOKUP(K1376,RatingLookup!$A$2:$C$8,2,FALSE)</f>
        <v>1.4999999999999999E-2</v>
      </c>
      <c r="N1376">
        <f t="shared" si="63"/>
        <v>1.2586770182638762E-3</v>
      </c>
      <c r="O1376">
        <f>VLOOKUP(K1376,RatingLookup!$A$2:$C$8,3,FALSE)</f>
        <v>0.5</v>
      </c>
      <c r="P1376">
        <f t="shared" si="64"/>
        <v>0.24052059142004412</v>
      </c>
      <c r="Q1376" t="str">
        <f t="shared" ca="1" si="65"/>
        <v>No</v>
      </c>
    </row>
    <row r="1377" spans="1:17" x14ac:dyDescent="0.45">
      <c r="A1377" t="s">
        <v>78</v>
      </c>
      <c r="B1377" t="s">
        <v>79</v>
      </c>
      <c r="C1377" t="s">
        <v>40</v>
      </c>
      <c r="D1377" t="s">
        <v>20</v>
      </c>
      <c r="E1377" t="s">
        <v>21</v>
      </c>
      <c r="F1377" s="1">
        <v>45505</v>
      </c>
      <c r="G1377">
        <v>7.02</v>
      </c>
      <c r="H1377">
        <v>81.613200000000006</v>
      </c>
      <c r="I1377">
        <v>30.17</v>
      </c>
      <c r="J1377">
        <v>93.68</v>
      </c>
      <c r="K1377" t="s">
        <v>30</v>
      </c>
      <c r="L1377">
        <v>362.74</v>
      </c>
      <c r="M1377">
        <f>VLOOKUP(K1377,RatingLookup!$A$2:$C$8,2,FALSE)</f>
        <v>1.4999999999999999E-2</v>
      </c>
      <c r="N1377">
        <f t="shared" si="63"/>
        <v>1.2586770182638762E-3</v>
      </c>
      <c r="O1377">
        <f>VLOOKUP(K1377,RatingLookup!$A$2:$C$8,3,FALSE)</f>
        <v>0.5</v>
      </c>
      <c r="P1377">
        <f t="shared" si="64"/>
        <v>0.22828625080251924</v>
      </c>
      <c r="Q1377" t="str">
        <f t="shared" ca="1" si="65"/>
        <v>No</v>
      </c>
    </row>
    <row r="1378" spans="1:17" x14ac:dyDescent="0.45">
      <c r="A1378" t="s">
        <v>78</v>
      </c>
      <c r="B1378" t="s">
        <v>79</v>
      </c>
      <c r="C1378" t="s">
        <v>40</v>
      </c>
      <c r="D1378" t="s">
        <v>20</v>
      </c>
      <c r="E1378" t="s">
        <v>21</v>
      </c>
      <c r="F1378" s="1">
        <v>45536</v>
      </c>
      <c r="G1378">
        <v>5</v>
      </c>
      <c r="H1378">
        <v>81.623699999999999</v>
      </c>
      <c r="I1378">
        <v>24.39</v>
      </c>
      <c r="J1378">
        <v>72.260000000000005</v>
      </c>
      <c r="K1378" t="s">
        <v>30</v>
      </c>
      <c r="L1378">
        <v>353.96</v>
      </c>
      <c r="M1378">
        <f>VLOOKUP(K1378,RatingLookup!$A$2:$C$8,2,FALSE)</f>
        <v>1.4999999999999999E-2</v>
      </c>
      <c r="N1378">
        <f t="shared" si="63"/>
        <v>1.2586770182638762E-3</v>
      </c>
      <c r="O1378">
        <f>VLOOKUP(K1378,RatingLookup!$A$2:$C$8,3,FALSE)</f>
        <v>0.5</v>
      </c>
      <c r="P1378">
        <f t="shared" si="64"/>
        <v>0.2227606586923408</v>
      </c>
      <c r="Q1378" t="str">
        <f t="shared" ca="1" si="65"/>
        <v>No</v>
      </c>
    </row>
    <row r="1379" spans="1:17" x14ac:dyDescent="0.45">
      <c r="A1379" t="s">
        <v>78</v>
      </c>
      <c r="B1379" t="s">
        <v>79</v>
      </c>
      <c r="C1379" t="s">
        <v>40</v>
      </c>
      <c r="D1379" t="s">
        <v>20</v>
      </c>
      <c r="E1379" t="s">
        <v>21</v>
      </c>
      <c r="F1379" s="1">
        <v>45566</v>
      </c>
      <c r="G1379">
        <v>5.24</v>
      </c>
      <c r="H1379">
        <v>82.005099999999999</v>
      </c>
      <c r="I1379">
        <v>24.64</v>
      </c>
      <c r="J1379">
        <v>83.27</v>
      </c>
      <c r="K1379" t="s">
        <v>30</v>
      </c>
      <c r="L1379">
        <v>365.02</v>
      </c>
      <c r="M1379">
        <f>VLOOKUP(K1379,RatingLookup!$A$2:$C$8,2,FALSE)</f>
        <v>1.4999999999999999E-2</v>
      </c>
      <c r="N1379">
        <f t="shared" si="63"/>
        <v>1.2586770182638762E-3</v>
      </c>
      <c r="O1379">
        <f>VLOOKUP(K1379,RatingLookup!$A$2:$C$8,3,FALSE)</f>
        <v>0.5</v>
      </c>
      <c r="P1379">
        <f t="shared" si="64"/>
        <v>0.22972114260334003</v>
      </c>
      <c r="Q1379" t="str">
        <f t="shared" ca="1" si="65"/>
        <v>No</v>
      </c>
    </row>
    <row r="1380" spans="1:17" x14ac:dyDescent="0.45">
      <c r="A1380" t="s">
        <v>78</v>
      </c>
      <c r="B1380" t="s">
        <v>79</v>
      </c>
      <c r="C1380" t="s">
        <v>40</v>
      </c>
      <c r="D1380" t="s">
        <v>20</v>
      </c>
      <c r="E1380" t="s">
        <v>21</v>
      </c>
      <c r="F1380" s="1">
        <v>45597</v>
      </c>
      <c r="G1380">
        <v>5.46</v>
      </c>
      <c r="H1380">
        <v>82.984499999999997</v>
      </c>
      <c r="I1380">
        <v>24.44</v>
      </c>
      <c r="J1380">
        <v>82.77</v>
      </c>
      <c r="K1380" t="s">
        <v>30</v>
      </c>
      <c r="L1380">
        <v>379.34</v>
      </c>
      <c r="M1380">
        <f>VLOOKUP(K1380,RatingLookup!$A$2:$C$8,2,FALSE)</f>
        <v>1.4999999999999999E-2</v>
      </c>
      <c r="N1380">
        <f t="shared" si="63"/>
        <v>1.2586770182638762E-3</v>
      </c>
      <c r="O1380">
        <f>VLOOKUP(K1380,RatingLookup!$A$2:$C$8,3,FALSE)</f>
        <v>0.5</v>
      </c>
      <c r="P1380">
        <f t="shared" si="64"/>
        <v>0.23873327005410938</v>
      </c>
      <c r="Q1380" t="str">
        <f t="shared" ca="1" si="65"/>
        <v>No</v>
      </c>
    </row>
    <row r="1381" spans="1:17" x14ac:dyDescent="0.45">
      <c r="A1381" t="s">
        <v>78</v>
      </c>
      <c r="B1381" t="s">
        <v>79</v>
      </c>
      <c r="C1381" t="s">
        <v>40</v>
      </c>
      <c r="D1381" t="s">
        <v>20</v>
      </c>
      <c r="E1381" t="s">
        <v>21</v>
      </c>
      <c r="F1381" s="1">
        <v>45627</v>
      </c>
      <c r="G1381">
        <v>6.36</v>
      </c>
      <c r="H1381">
        <v>79.232699999999994</v>
      </c>
      <c r="I1381">
        <v>17.079999999999998</v>
      </c>
      <c r="J1381">
        <v>88.73</v>
      </c>
      <c r="K1381" t="s">
        <v>30</v>
      </c>
      <c r="L1381">
        <v>382.71</v>
      </c>
      <c r="M1381">
        <f>VLOOKUP(K1381,RatingLookup!$A$2:$C$8,2,FALSE)</f>
        <v>1.4999999999999999E-2</v>
      </c>
      <c r="N1381">
        <f t="shared" si="63"/>
        <v>1.2586770182638762E-3</v>
      </c>
      <c r="O1381">
        <f>VLOOKUP(K1381,RatingLookup!$A$2:$C$8,3,FALSE)</f>
        <v>0.5</v>
      </c>
      <c r="P1381">
        <f t="shared" si="64"/>
        <v>0.24085414082988402</v>
      </c>
      <c r="Q1381" t="str">
        <f t="shared" ca="1" si="65"/>
        <v>No</v>
      </c>
    </row>
    <row r="1382" spans="1:17" x14ac:dyDescent="0.45">
      <c r="A1382" t="s">
        <v>80</v>
      </c>
      <c r="B1382" t="s">
        <v>81</v>
      </c>
      <c r="C1382" t="s">
        <v>61</v>
      </c>
      <c r="D1382" t="s">
        <v>20</v>
      </c>
      <c r="E1382" t="s">
        <v>21</v>
      </c>
      <c r="F1382" s="1">
        <v>43831</v>
      </c>
      <c r="G1382">
        <v>4.33</v>
      </c>
      <c r="H1382">
        <v>78.582999999999998</v>
      </c>
      <c r="I1382">
        <v>21.39</v>
      </c>
      <c r="J1382">
        <v>85.62</v>
      </c>
      <c r="K1382" t="s">
        <v>23</v>
      </c>
      <c r="L1382">
        <v>890.86</v>
      </c>
      <c r="M1382">
        <f>VLOOKUP(K1382,RatingLookup!$A$2:$C$8,2,FALSE)</f>
        <v>1E-3</v>
      </c>
      <c r="N1382">
        <f t="shared" si="63"/>
        <v>8.3371552197619714E-5</v>
      </c>
      <c r="O1382">
        <f>VLOOKUP(K1382,RatingLookup!$A$2:$C$8,3,FALSE)</f>
        <v>0.3</v>
      </c>
      <c r="P1382">
        <f t="shared" si="64"/>
        <v>2.2281714297231452E-2</v>
      </c>
      <c r="Q1382" t="str">
        <f t="shared" ca="1" si="65"/>
        <v>No</v>
      </c>
    </row>
    <row r="1383" spans="1:17" x14ac:dyDescent="0.45">
      <c r="A1383" t="s">
        <v>80</v>
      </c>
      <c r="B1383" t="s">
        <v>81</v>
      </c>
      <c r="C1383" t="s">
        <v>61</v>
      </c>
      <c r="D1383" t="s">
        <v>20</v>
      </c>
      <c r="E1383" t="s">
        <v>21</v>
      </c>
      <c r="F1383" s="1">
        <v>43862</v>
      </c>
      <c r="G1383">
        <v>6.35</v>
      </c>
      <c r="H1383">
        <v>81.283900000000003</v>
      </c>
      <c r="I1383">
        <v>17.7</v>
      </c>
      <c r="J1383">
        <v>80.150000000000006</v>
      </c>
      <c r="K1383" t="s">
        <v>23</v>
      </c>
      <c r="L1383">
        <v>1022.54</v>
      </c>
      <c r="M1383">
        <f>VLOOKUP(K1383,RatingLookup!$A$2:$C$8,2,FALSE)</f>
        <v>1E-3</v>
      </c>
      <c r="N1383">
        <f t="shared" si="63"/>
        <v>8.3371552197619714E-5</v>
      </c>
      <c r="O1383">
        <f>VLOOKUP(K1383,RatingLookup!$A$2:$C$8,3,FALSE)</f>
        <v>0.3</v>
      </c>
      <c r="P1383">
        <f t="shared" si="64"/>
        <v>2.5575224095246218E-2</v>
      </c>
      <c r="Q1383" t="str">
        <f t="shared" ca="1" si="65"/>
        <v>No</v>
      </c>
    </row>
    <row r="1384" spans="1:17" x14ac:dyDescent="0.45">
      <c r="A1384" t="s">
        <v>80</v>
      </c>
      <c r="B1384" t="s">
        <v>81</v>
      </c>
      <c r="C1384" t="s">
        <v>61</v>
      </c>
      <c r="D1384" t="s">
        <v>20</v>
      </c>
      <c r="E1384" t="s">
        <v>21</v>
      </c>
      <c r="F1384" s="1">
        <v>43891</v>
      </c>
      <c r="G1384">
        <v>5.04</v>
      </c>
      <c r="H1384">
        <v>82.258099999999999</v>
      </c>
      <c r="I1384">
        <v>23.85</v>
      </c>
      <c r="J1384">
        <v>76.209999999999994</v>
      </c>
      <c r="K1384" t="s">
        <v>23</v>
      </c>
      <c r="L1384">
        <v>1041.78</v>
      </c>
      <c r="M1384">
        <f>VLOOKUP(K1384,RatingLookup!$A$2:$C$8,2,FALSE)</f>
        <v>1E-3</v>
      </c>
      <c r="N1384">
        <f t="shared" si="63"/>
        <v>8.3371552197619714E-5</v>
      </c>
      <c r="O1384">
        <f>VLOOKUP(K1384,RatingLookup!$A$2:$C$8,3,FALSE)</f>
        <v>0.3</v>
      </c>
      <c r="P1384">
        <f t="shared" si="64"/>
        <v>2.6056444694530879E-2</v>
      </c>
      <c r="Q1384" t="str">
        <f t="shared" ca="1" si="65"/>
        <v>No</v>
      </c>
    </row>
    <row r="1385" spans="1:17" x14ac:dyDescent="0.45">
      <c r="A1385" t="s">
        <v>80</v>
      </c>
      <c r="B1385" t="s">
        <v>81</v>
      </c>
      <c r="C1385" t="s">
        <v>61</v>
      </c>
      <c r="D1385" t="s">
        <v>20</v>
      </c>
      <c r="E1385" t="s">
        <v>21</v>
      </c>
      <c r="F1385" s="1">
        <v>43922</v>
      </c>
      <c r="G1385">
        <v>6.07</v>
      </c>
      <c r="H1385">
        <v>85.7042</v>
      </c>
      <c r="I1385">
        <v>18.84</v>
      </c>
      <c r="J1385">
        <v>69.98</v>
      </c>
      <c r="K1385" t="s">
        <v>23</v>
      </c>
      <c r="L1385">
        <v>1015.44</v>
      </c>
      <c r="M1385">
        <f>VLOOKUP(K1385,RatingLookup!$A$2:$C$8,2,FALSE)</f>
        <v>1E-3</v>
      </c>
      <c r="N1385">
        <f t="shared" si="63"/>
        <v>8.3371552197619714E-5</v>
      </c>
      <c r="O1385">
        <f>VLOOKUP(K1385,RatingLookup!$A$2:$C$8,3,FALSE)</f>
        <v>0.3</v>
      </c>
      <c r="P1385">
        <f t="shared" si="64"/>
        <v>2.5397642689065289E-2</v>
      </c>
      <c r="Q1385" t="str">
        <f t="shared" ca="1" si="65"/>
        <v>No</v>
      </c>
    </row>
    <row r="1386" spans="1:17" x14ac:dyDescent="0.45">
      <c r="A1386" t="s">
        <v>80</v>
      </c>
      <c r="B1386" t="s">
        <v>81</v>
      </c>
      <c r="C1386" t="s">
        <v>61</v>
      </c>
      <c r="D1386" t="s">
        <v>20</v>
      </c>
      <c r="E1386" t="s">
        <v>21</v>
      </c>
      <c r="F1386" s="1">
        <v>43952</v>
      </c>
      <c r="G1386">
        <v>5.0999999999999996</v>
      </c>
      <c r="H1386">
        <v>80.009</v>
      </c>
      <c r="I1386">
        <v>25.38</v>
      </c>
      <c r="J1386">
        <v>65.27</v>
      </c>
      <c r="K1386" t="s">
        <v>23</v>
      </c>
      <c r="L1386">
        <v>1037.55</v>
      </c>
      <c r="M1386">
        <f>VLOOKUP(K1386,RatingLookup!$A$2:$C$8,2,FALSE)</f>
        <v>1E-3</v>
      </c>
      <c r="N1386">
        <f t="shared" si="63"/>
        <v>8.3371552197619714E-5</v>
      </c>
      <c r="O1386">
        <f>VLOOKUP(K1386,RatingLookup!$A$2:$C$8,3,FALSE)</f>
        <v>0.3</v>
      </c>
      <c r="P1386">
        <f t="shared" si="64"/>
        <v>2.5950646194792096E-2</v>
      </c>
      <c r="Q1386" t="str">
        <f t="shared" ca="1" si="65"/>
        <v>No</v>
      </c>
    </row>
    <row r="1387" spans="1:17" x14ac:dyDescent="0.45">
      <c r="A1387" t="s">
        <v>80</v>
      </c>
      <c r="B1387" t="s">
        <v>81</v>
      </c>
      <c r="C1387" t="s">
        <v>61</v>
      </c>
      <c r="D1387" t="s">
        <v>20</v>
      </c>
      <c r="E1387" t="s">
        <v>21</v>
      </c>
      <c r="F1387" s="1">
        <v>43983</v>
      </c>
      <c r="G1387">
        <v>5.85</v>
      </c>
      <c r="H1387">
        <v>85.814099999999996</v>
      </c>
      <c r="I1387">
        <v>12.49</v>
      </c>
      <c r="J1387">
        <v>85.03</v>
      </c>
      <c r="K1387" t="s">
        <v>23</v>
      </c>
      <c r="L1387">
        <v>953.79</v>
      </c>
      <c r="M1387">
        <f>VLOOKUP(K1387,RatingLookup!$A$2:$C$8,2,FALSE)</f>
        <v>1E-3</v>
      </c>
      <c r="N1387">
        <f t="shared" si="63"/>
        <v>8.3371552197619714E-5</v>
      </c>
      <c r="O1387">
        <f>VLOOKUP(K1387,RatingLookup!$A$2:$C$8,3,FALSE)</f>
        <v>0.3</v>
      </c>
      <c r="P1387">
        <f t="shared" si="64"/>
        <v>2.3855685831170311E-2</v>
      </c>
      <c r="Q1387" t="str">
        <f t="shared" ca="1" si="65"/>
        <v>No</v>
      </c>
    </row>
    <row r="1388" spans="1:17" x14ac:dyDescent="0.45">
      <c r="A1388" t="s">
        <v>80</v>
      </c>
      <c r="B1388" t="s">
        <v>81</v>
      </c>
      <c r="C1388" t="s">
        <v>61</v>
      </c>
      <c r="D1388" t="s">
        <v>20</v>
      </c>
      <c r="E1388" t="s">
        <v>21</v>
      </c>
      <c r="F1388" s="1">
        <v>44013</v>
      </c>
      <c r="G1388">
        <v>5.82</v>
      </c>
      <c r="H1388">
        <v>79.257300000000001</v>
      </c>
      <c r="I1388">
        <v>26.74</v>
      </c>
      <c r="J1388">
        <v>73.540000000000006</v>
      </c>
      <c r="K1388" t="s">
        <v>23</v>
      </c>
      <c r="L1388">
        <v>992.2</v>
      </c>
      <c r="M1388">
        <f>VLOOKUP(K1388,RatingLookup!$A$2:$C$8,2,FALSE)</f>
        <v>1E-3</v>
      </c>
      <c r="N1388">
        <f t="shared" si="63"/>
        <v>8.3371552197619714E-5</v>
      </c>
      <c r="O1388">
        <f>VLOOKUP(K1388,RatingLookup!$A$2:$C$8,3,FALSE)</f>
        <v>0.3</v>
      </c>
      <c r="P1388">
        <f t="shared" si="64"/>
        <v>2.4816376227143486E-2</v>
      </c>
      <c r="Q1388" t="str">
        <f t="shared" ca="1" si="65"/>
        <v>No</v>
      </c>
    </row>
    <row r="1389" spans="1:17" x14ac:dyDescent="0.45">
      <c r="A1389" t="s">
        <v>80</v>
      </c>
      <c r="B1389" t="s">
        <v>81</v>
      </c>
      <c r="C1389" t="s">
        <v>61</v>
      </c>
      <c r="D1389" t="s">
        <v>20</v>
      </c>
      <c r="E1389" t="s">
        <v>21</v>
      </c>
      <c r="F1389" s="1">
        <v>44044</v>
      </c>
      <c r="G1389">
        <v>5.32</v>
      </c>
      <c r="H1389">
        <v>81.201499999999996</v>
      </c>
      <c r="I1389">
        <v>16.600000000000001</v>
      </c>
      <c r="J1389">
        <v>79.33</v>
      </c>
      <c r="K1389" t="s">
        <v>23</v>
      </c>
      <c r="L1389">
        <v>1105.9100000000001</v>
      </c>
      <c r="M1389">
        <f>VLOOKUP(K1389,RatingLookup!$A$2:$C$8,2,FALSE)</f>
        <v>1E-3</v>
      </c>
      <c r="N1389">
        <f t="shared" si="63"/>
        <v>8.3371552197619714E-5</v>
      </c>
      <c r="O1389">
        <f>VLOOKUP(K1389,RatingLookup!$A$2:$C$8,3,FALSE)</f>
        <v>0.3</v>
      </c>
      <c r="P1389">
        <f t="shared" si="64"/>
        <v>2.7660429987260884E-2</v>
      </c>
      <c r="Q1389" t="str">
        <f t="shared" ca="1" si="65"/>
        <v>No</v>
      </c>
    </row>
    <row r="1390" spans="1:17" x14ac:dyDescent="0.45">
      <c r="A1390" t="s">
        <v>80</v>
      </c>
      <c r="B1390" t="s">
        <v>81</v>
      </c>
      <c r="C1390" t="s">
        <v>61</v>
      </c>
      <c r="D1390" t="s">
        <v>20</v>
      </c>
      <c r="E1390" t="s">
        <v>21</v>
      </c>
      <c r="F1390" s="1">
        <v>44075</v>
      </c>
      <c r="G1390">
        <v>3.97</v>
      </c>
      <c r="H1390">
        <v>82.803899999999999</v>
      </c>
      <c r="I1390">
        <v>9.8000000000000007</v>
      </c>
      <c r="J1390">
        <v>70.930000000000007</v>
      </c>
      <c r="K1390" t="s">
        <v>23</v>
      </c>
      <c r="L1390">
        <v>994.06</v>
      </c>
      <c r="M1390">
        <f>VLOOKUP(K1390,RatingLookup!$A$2:$C$8,2,FALSE)</f>
        <v>1E-3</v>
      </c>
      <c r="N1390">
        <f t="shared" si="63"/>
        <v>8.3371552197619714E-5</v>
      </c>
      <c r="O1390">
        <f>VLOOKUP(K1390,RatingLookup!$A$2:$C$8,3,FALSE)</f>
        <v>0.3</v>
      </c>
      <c r="P1390">
        <f t="shared" si="64"/>
        <v>2.4862897553269755E-2</v>
      </c>
      <c r="Q1390" t="str">
        <f t="shared" ca="1" si="65"/>
        <v>No</v>
      </c>
    </row>
    <row r="1391" spans="1:17" x14ac:dyDescent="0.45">
      <c r="A1391" t="s">
        <v>80</v>
      </c>
      <c r="B1391" t="s">
        <v>81</v>
      </c>
      <c r="C1391" t="s">
        <v>61</v>
      </c>
      <c r="D1391" t="s">
        <v>20</v>
      </c>
      <c r="E1391" t="s">
        <v>21</v>
      </c>
      <c r="F1391" s="1">
        <v>44105</v>
      </c>
      <c r="G1391">
        <v>5.32</v>
      </c>
      <c r="H1391">
        <v>81.6524</v>
      </c>
      <c r="I1391">
        <v>16.649999999999999</v>
      </c>
      <c r="J1391">
        <v>76.099999999999994</v>
      </c>
      <c r="K1391" t="s">
        <v>23</v>
      </c>
      <c r="L1391">
        <v>990.5</v>
      </c>
      <c r="M1391">
        <f>VLOOKUP(K1391,RatingLookup!$A$2:$C$8,2,FALSE)</f>
        <v>1E-3</v>
      </c>
      <c r="N1391">
        <f t="shared" si="63"/>
        <v>8.3371552197619714E-5</v>
      </c>
      <c r="O1391">
        <f>VLOOKUP(K1391,RatingLookup!$A$2:$C$8,3,FALSE)</f>
        <v>0.3</v>
      </c>
      <c r="P1391">
        <f t="shared" si="64"/>
        <v>2.4773856735522699E-2</v>
      </c>
      <c r="Q1391" t="str">
        <f t="shared" ca="1" si="65"/>
        <v>No</v>
      </c>
    </row>
    <row r="1392" spans="1:17" x14ac:dyDescent="0.45">
      <c r="A1392" t="s">
        <v>80</v>
      </c>
      <c r="B1392" t="s">
        <v>81</v>
      </c>
      <c r="C1392" t="s">
        <v>61</v>
      </c>
      <c r="D1392" t="s">
        <v>20</v>
      </c>
      <c r="E1392" t="s">
        <v>21</v>
      </c>
      <c r="F1392" s="1">
        <v>44136</v>
      </c>
      <c r="G1392">
        <v>5.65</v>
      </c>
      <c r="H1392">
        <v>82.377499999999998</v>
      </c>
      <c r="I1392">
        <v>17.39</v>
      </c>
      <c r="J1392">
        <v>68.94</v>
      </c>
      <c r="K1392" t="s">
        <v>23</v>
      </c>
      <c r="L1392">
        <v>987.25</v>
      </c>
      <c r="M1392">
        <f>VLOOKUP(K1392,RatingLookup!$A$2:$C$8,2,FALSE)</f>
        <v>1E-3</v>
      </c>
      <c r="N1392">
        <f t="shared" si="63"/>
        <v>8.3371552197619714E-5</v>
      </c>
      <c r="O1392">
        <f>VLOOKUP(K1392,RatingLookup!$A$2:$C$8,3,FALSE)</f>
        <v>0.3</v>
      </c>
      <c r="P1392">
        <f t="shared" si="64"/>
        <v>2.4692569472130017E-2</v>
      </c>
      <c r="Q1392" t="str">
        <f t="shared" ca="1" si="65"/>
        <v>No</v>
      </c>
    </row>
    <row r="1393" spans="1:17" x14ac:dyDescent="0.45">
      <c r="A1393" t="s">
        <v>80</v>
      </c>
      <c r="B1393" t="s">
        <v>81</v>
      </c>
      <c r="C1393" t="s">
        <v>61</v>
      </c>
      <c r="D1393" t="s">
        <v>20</v>
      </c>
      <c r="E1393" t="s">
        <v>21</v>
      </c>
      <c r="F1393" s="1">
        <v>44166</v>
      </c>
      <c r="G1393">
        <v>4.5199999999999996</v>
      </c>
      <c r="H1393">
        <v>80.459800000000001</v>
      </c>
      <c r="I1393">
        <v>29.86</v>
      </c>
      <c r="J1393">
        <v>74.900000000000006</v>
      </c>
      <c r="K1393" t="s">
        <v>23</v>
      </c>
      <c r="L1393">
        <v>998.34</v>
      </c>
      <c r="M1393">
        <f>VLOOKUP(K1393,RatingLookup!$A$2:$C$8,2,FALSE)</f>
        <v>1E-3</v>
      </c>
      <c r="N1393">
        <f t="shared" si="63"/>
        <v>8.3371552197619714E-5</v>
      </c>
      <c r="O1393">
        <f>VLOOKUP(K1393,RatingLookup!$A$2:$C$8,3,FALSE)</f>
        <v>0.3</v>
      </c>
      <c r="P1393">
        <f t="shared" si="64"/>
        <v>2.4969946626291498E-2</v>
      </c>
      <c r="Q1393" t="str">
        <f t="shared" ca="1" si="65"/>
        <v>No</v>
      </c>
    </row>
    <row r="1394" spans="1:17" x14ac:dyDescent="0.45">
      <c r="A1394" t="s">
        <v>80</v>
      </c>
      <c r="B1394" t="s">
        <v>81</v>
      </c>
      <c r="C1394" t="s">
        <v>61</v>
      </c>
      <c r="D1394" t="s">
        <v>20</v>
      </c>
      <c r="E1394" t="s">
        <v>21</v>
      </c>
      <c r="F1394" s="1">
        <v>44197</v>
      </c>
      <c r="G1394">
        <v>4.83</v>
      </c>
      <c r="H1394">
        <v>80.7971</v>
      </c>
      <c r="I1394">
        <v>17.62</v>
      </c>
      <c r="J1394">
        <v>68.77</v>
      </c>
      <c r="K1394" t="s">
        <v>23</v>
      </c>
      <c r="L1394">
        <v>1040.72</v>
      </c>
      <c r="M1394">
        <f>VLOOKUP(K1394,RatingLookup!$A$2:$C$8,2,FALSE)</f>
        <v>1E-3</v>
      </c>
      <c r="N1394">
        <f t="shared" si="63"/>
        <v>8.3371552197619714E-5</v>
      </c>
      <c r="O1394">
        <f>VLOOKUP(K1394,RatingLookup!$A$2:$C$8,3,FALSE)</f>
        <v>0.3</v>
      </c>
      <c r="P1394">
        <f t="shared" si="64"/>
        <v>2.6029932540932037E-2</v>
      </c>
      <c r="Q1394" t="str">
        <f t="shared" ca="1" si="65"/>
        <v>No</v>
      </c>
    </row>
    <row r="1395" spans="1:17" x14ac:dyDescent="0.45">
      <c r="A1395" t="s">
        <v>80</v>
      </c>
      <c r="B1395" t="s">
        <v>81</v>
      </c>
      <c r="C1395" t="s">
        <v>61</v>
      </c>
      <c r="D1395" t="s">
        <v>20</v>
      </c>
      <c r="E1395" t="s">
        <v>21</v>
      </c>
      <c r="F1395" s="1">
        <v>44228</v>
      </c>
      <c r="G1395">
        <v>4.99</v>
      </c>
      <c r="H1395">
        <v>85.170100000000005</v>
      </c>
      <c r="I1395">
        <v>13.17</v>
      </c>
      <c r="J1395">
        <v>72.47</v>
      </c>
      <c r="K1395" t="s">
        <v>23</v>
      </c>
      <c r="L1395">
        <v>1044.96</v>
      </c>
      <c r="M1395">
        <f>VLOOKUP(K1395,RatingLookup!$A$2:$C$8,2,FALSE)</f>
        <v>1E-3</v>
      </c>
      <c r="N1395">
        <f t="shared" si="63"/>
        <v>8.3371552197619714E-5</v>
      </c>
      <c r="O1395">
        <f>VLOOKUP(K1395,RatingLookup!$A$2:$C$8,3,FALSE)</f>
        <v>0.3</v>
      </c>
      <c r="P1395">
        <f t="shared" si="64"/>
        <v>2.6135981155327406E-2</v>
      </c>
      <c r="Q1395" t="str">
        <f t="shared" ca="1" si="65"/>
        <v>No</v>
      </c>
    </row>
    <row r="1396" spans="1:17" x14ac:dyDescent="0.45">
      <c r="A1396" t="s">
        <v>80</v>
      </c>
      <c r="B1396" t="s">
        <v>81</v>
      </c>
      <c r="C1396" t="s">
        <v>61</v>
      </c>
      <c r="D1396" t="s">
        <v>20</v>
      </c>
      <c r="E1396" t="s">
        <v>21</v>
      </c>
      <c r="F1396" s="1">
        <v>44256</v>
      </c>
      <c r="G1396">
        <v>5</v>
      </c>
      <c r="H1396">
        <v>81.463999999999999</v>
      </c>
      <c r="I1396">
        <v>29.08</v>
      </c>
      <c r="J1396">
        <v>69.78</v>
      </c>
      <c r="K1396" t="s">
        <v>48</v>
      </c>
      <c r="L1396">
        <v>1039.8900000000001</v>
      </c>
      <c r="M1396">
        <f>VLOOKUP(K1396,RatingLookup!$A$2:$C$8,2,FALSE)</f>
        <v>5.0000000000000001E-4</v>
      </c>
      <c r="N1396">
        <f t="shared" si="63"/>
        <v>4.167621832917856E-5</v>
      </c>
      <c r="O1396">
        <f>VLOOKUP(K1396,RatingLookup!$A$2:$C$8,3,FALSE)</f>
        <v>0.25</v>
      </c>
      <c r="P1396">
        <f t="shared" si="64"/>
        <v>1.0834670669582375E-2</v>
      </c>
      <c r="Q1396" t="str">
        <f t="shared" ca="1" si="65"/>
        <v>No</v>
      </c>
    </row>
    <row r="1397" spans="1:17" x14ac:dyDescent="0.45">
      <c r="A1397" t="s">
        <v>80</v>
      </c>
      <c r="B1397" t="s">
        <v>81</v>
      </c>
      <c r="C1397" t="s">
        <v>61</v>
      </c>
      <c r="D1397" t="s">
        <v>20</v>
      </c>
      <c r="E1397" t="s">
        <v>21</v>
      </c>
      <c r="F1397" s="1">
        <v>44287</v>
      </c>
      <c r="G1397">
        <v>5.22</v>
      </c>
      <c r="H1397">
        <v>83.79</v>
      </c>
      <c r="I1397">
        <v>20.170000000000002</v>
      </c>
      <c r="J1397">
        <v>69.400000000000006</v>
      </c>
      <c r="K1397" t="s">
        <v>48</v>
      </c>
      <c r="L1397">
        <v>943.16</v>
      </c>
      <c r="M1397">
        <f>VLOOKUP(K1397,RatingLookup!$A$2:$C$8,2,FALSE)</f>
        <v>5.0000000000000001E-4</v>
      </c>
      <c r="N1397">
        <f t="shared" si="63"/>
        <v>4.167621832917856E-5</v>
      </c>
      <c r="O1397">
        <f>VLOOKUP(K1397,RatingLookup!$A$2:$C$8,3,FALSE)</f>
        <v>0.25</v>
      </c>
      <c r="P1397">
        <f t="shared" si="64"/>
        <v>9.8268355198370128E-3</v>
      </c>
      <c r="Q1397" t="str">
        <f t="shared" ca="1" si="65"/>
        <v>No</v>
      </c>
    </row>
    <row r="1398" spans="1:17" x14ac:dyDescent="0.45">
      <c r="A1398" t="s">
        <v>80</v>
      </c>
      <c r="B1398" t="s">
        <v>81</v>
      </c>
      <c r="C1398" t="s">
        <v>61</v>
      </c>
      <c r="D1398" t="s">
        <v>20</v>
      </c>
      <c r="E1398" t="s">
        <v>21</v>
      </c>
      <c r="F1398" s="1">
        <v>44317</v>
      </c>
      <c r="G1398">
        <v>6.03</v>
      </c>
      <c r="H1398">
        <v>80.944000000000003</v>
      </c>
      <c r="I1398">
        <v>15.65</v>
      </c>
      <c r="J1398">
        <v>67.31</v>
      </c>
      <c r="K1398" t="s">
        <v>48</v>
      </c>
      <c r="L1398">
        <v>928.79</v>
      </c>
      <c r="M1398">
        <f>VLOOKUP(K1398,RatingLookup!$A$2:$C$8,2,FALSE)</f>
        <v>5.0000000000000001E-4</v>
      </c>
      <c r="N1398">
        <f t="shared" si="63"/>
        <v>4.167621832917856E-5</v>
      </c>
      <c r="O1398">
        <f>VLOOKUP(K1398,RatingLookup!$A$2:$C$8,3,FALSE)</f>
        <v>0.25</v>
      </c>
      <c r="P1398">
        <f t="shared" si="64"/>
        <v>9.6771137054894388E-3</v>
      </c>
      <c r="Q1398" t="str">
        <f t="shared" ca="1" si="65"/>
        <v>No</v>
      </c>
    </row>
    <row r="1399" spans="1:17" x14ac:dyDescent="0.45">
      <c r="A1399" t="s">
        <v>80</v>
      </c>
      <c r="B1399" t="s">
        <v>81</v>
      </c>
      <c r="C1399" t="s">
        <v>61</v>
      </c>
      <c r="D1399" t="s">
        <v>20</v>
      </c>
      <c r="E1399" t="s">
        <v>21</v>
      </c>
      <c r="F1399" s="1">
        <v>44348</v>
      </c>
      <c r="G1399">
        <v>5.56</v>
      </c>
      <c r="H1399">
        <v>83.859800000000007</v>
      </c>
      <c r="I1399">
        <v>14.72</v>
      </c>
      <c r="J1399">
        <v>62.21</v>
      </c>
      <c r="K1399" t="s">
        <v>48</v>
      </c>
      <c r="L1399">
        <v>1058.97</v>
      </c>
      <c r="M1399">
        <f>VLOOKUP(K1399,RatingLookup!$A$2:$C$8,2,FALSE)</f>
        <v>5.0000000000000001E-4</v>
      </c>
      <c r="N1399">
        <f t="shared" si="63"/>
        <v>4.167621832917856E-5</v>
      </c>
      <c r="O1399">
        <f>VLOOKUP(K1399,RatingLookup!$A$2:$C$8,3,FALSE)</f>
        <v>0.25</v>
      </c>
      <c r="P1399">
        <f t="shared" si="64"/>
        <v>1.1033466231012555E-2</v>
      </c>
      <c r="Q1399" t="str">
        <f t="shared" ca="1" si="65"/>
        <v>No</v>
      </c>
    </row>
    <row r="1400" spans="1:17" x14ac:dyDescent="0.45">
      <c r="A1400" t="s">
        <v>80</v>
      </c>
      <c r="B1400" t="s">
        <v>81</v>
      </c>
      <c r="C1400" t="s">
        <v>61</v>
      </c>
      <c r="D1400" t="s">
        <v>20</v>
      </c>
      <c r="E1400" t="s">
        <v>21</v>
      </c>
      <c r="F1400" s="1">
        <v>44378</v>
      </c>
      <c r="G1400">
        <v>5.21</v>
      </c>
      <c r="H1400">
        <v>83.861099999999993</v>
      </c>
      <c r="I1400">
        <v>13.4</v>
      </c>
      <c r="J1400">
        <v>79.19</v>
      </c>
      <c r="K1400" t="s">
        <v>48</v>
      </c>
      <c r="L1400">
        <v>946.88</v>
      </c>
      <c r="M1400">
        <f>VLOOKUP(K1400,RatingLookup!$A$2:$C$8,2,FALSE)</f>
        <v>5.0000000000000001E-4</v>
      </c>
      <c r="N1400">
        <f t="shared" si="63"/>
        <v>4.167621832917856E-5</v>
      </c>
      <c r="O1400">
        <f>VLOOKUP(K1400,RatingLookup!$A$2:$C$8,3,FALSE)</f>
        <v>0.25</v>
      </c>
      <c r="P1400">
        <f t="shared" si="64"/>
        <v>9.8655944028831488E-3</v>
      </c>
      <c r="Q1400" t="str">
        <f t="shared" ca="1" si="65"/>
        <v>No</v>
      </c>
    </row>
    <row r="1401" spans="1:17" x14ac:dyDescent="0.45">
      <c r="A1401" t="s">
        <v>80</v>
      </c>
      <c r="B1401" t="s">
        <v>81</v>
      </c>
      <c r="C1401" t="s">
        <v>61</v>
      </c>
      <c r="D1401" t="s">
        <v>20</v>
      </c>
      <c r="E1401" t="s">
        <v>21</v>
      </c>
      <c r="F1401" s="1">
        <v>44409</v>
      </c>
      <c r="G1401">
        <v>6.84</v>
      </c>
      <c r="H1401">
        <v>79.384900000000002</v>
      </c>
      <c r="I1401">
        <v>17.399999999999999</v>
      </c>
      <c r="J1401">
        <v>85.75</v>
      </c>
      <c r="K1401" t="s">
        <v>48</v>
      </c>
      <c r="L1401">
        <v>1064.94</v>
      </c>
      <c r="M1401">
        <f>VLOOKUP(K1401,RatingLookup!$A$2:$C$8,2,FALSE)</f>
        <v>5.0000000000000001E-4</v>
      </c>
      <c r="N1401">
        <f t="shared" si="63"/>
        <v>4.167621832917856E-5</v>
      </c>
      <c r="O1401">
        <f>VLOOKUP(K1401,RatingLookup!$A$2:$C$8,3,FALSE)</f>
        <v>0.25</v>
      </c>
      <c r="P1401">
        <f t="shared" si="64"/>
        <v>1.1095667986868854E-2</v>
      </c>
      <c r="Q1401" t="str">
        <f t="shared" ca="1" si="65"/>
        <v>No</v>
      </c>
    </row>
    <row r="1402" spans="1:17" x14ac:dyDescent="0.45">
      <c r="A1402" t="s">
        <v>80</v>
      </c>
      <c r="B1402" t="s">
        <v>81</v>
      </c>
      <c r="C1402" t="s">
        <v>61</v>
      </c>
      <c r="D1402" t="s">
        <v>20</v>
      </c>
      <c r="E1402" t="s">
        <v>21</v>
      </c>
      <c r="F1402" s="1">
        <v>44440</v>
      </c>
      <c r="G1402">
        <v>5.15</v>
      </c>
      <c r="H1402">
        <v>83.963099999999997</v>
      </c>
      <c r="I1402">
        <v>19.739999999999998</v>
      </c>
      <c r="J1402">
        <v>56.74</v>
      </c>
      <c r="K1402" t="s">
        <v>82</v>
      </c>
      <c r="L1402">
        <v>1037.2</v>
      </c>
      <c r="M1402">
        <f>VLOOKUP(K1402,RatingLookup!$A$2:$C$8,2,FALSE)</f>
        <v>1E-4</v>
      </c>
      <c r="N1402">
        <f t="shared" si="63"/>
        <v>8.3337153021778576E-6</v>
      </c>
      <c r="O1402">
        <f>VLOOKUP(K1402,RatingLookup!$A$2:$C$8,3,FALSE)</f>
        <v>0.2</v>
      </c>
      <c r="P1402">
        <f t="shared" si="64"/>
        <v>1.7287459022837749E-3</v>
      </c>
      <c r="Q1402" t="str">
        <f t="shared" ca="1" si="65"/>
        <v>No</v>
      </c>
    </row>
    <row r="1403" spans="1:17" x14ac:dyDescent="0.45">
      <c r="A1403" t="s">
        <v>80</v>
      </c>
      <c r="B1403" t="s">
        <v>81</v>
      </c>
      <c r="C1403" t="s">
        <v>61</v>
      </c>
      <c r="D1403" t="s">
        <v>20</v>
      </c>
      <c r="E1403" t="s">
        <v>21</v>
      </c>
      <c r="F1403" s="1">
        <v>44470</v>
      </c>
      <c r="G1403">
        <v>5.77</v>
      </c>
      <c r="H1403">
        <v>83.5655</v>
      </c>
      <c r="I1403">
        <v>25.86</v>
      </c>
      <c r="J1403">
        <v>59.94</v>
      </c>
      <c r="K1403" t="s">
        <v>82</v>
      </c>
      <c r="L1403">
        <v>990.31</v>
      </c>
      <c r="M1403">
        <f>VLOOKUP(K1403,RatingLookup!$A$2:$C$8,2,FALSE)</f>
        <v>1E-4</v>
      </c>
      <c r="N1403">
        <f t="shared" si="63"/>
        <v>8.3337153021778576E-6</v>
      </c>
      <c r="O1403">
        <f>VLOOKUP(K1403,RatingLookup!$A$2:$C$8,3,FALSE)</f>
        <v>0.2</v>
      </c>
      <c r="P1403">
        <f t="shared" si="64"/>
        <v>1.6505923201799507E-3</v>
      </c>
      <c r="Q1403" t="str">
        <f t="shared" ca="1" si="65"/>
        <v>No</v>
      </c>
    </row>
    <row r="1404" spans="1:17" x14ac:dyDescent="0.45">
      <c r="A1404" t="s">
        <v>80</v>
      </c>
      <c r="B1404" t="s">
        <v>81</v>
      </c>
      <c r="C1404" t="s">
        <v>61</v>
      </c>
      <c r="D1404" t="s">
        <v>20</v>
      </c>
      <c r="E1404" t="s">
        <v>21</v>
      </c>
      <c r="F1404" s="1">
        <v>44501</v>
      </c>
      <c r="G1404">
        <v>6.21</v>
      </c>
      <c r="H1404">
        <v>78.519300000000001</v>
      </c>
      <c r="I1404">
        <v>16.149999999999999</v>
      </c>
      <c r="J1404">
        <v>81.27</v>
      </c>
      <c r="K1404" t="s">
        <v>82</v>
      </c>
      <c r="L1404">
        <v>920.82</v>
      </c>
      <c r="M1404">
        <f>VLOOKUP(K1404,RatingLookup!$A$2:$C$8,2,FALSE)</f>
        <v>1E-4</v>
      </c>
      <c r="N1404">
        <f t="shared" si="63"/>
        <v>8.3337153021778576E-6</v>
      </c>
      <c r="O1404">
        <f>VLOOKUP(K1404,RatingLookup!$A$2:$C$8,3,FALSE)</f>
        <v>0.2</v>
      </c>
      <c r="P1404">
        <f t="shared" si="64"/>
        <v>1.534770344910283E-3</v>
      </c>
      <c r="Q1404" t="str">
        <f t="shared" ca="1" si="65"/>
        <v>No</v>
      </c>
    </row>
    <row r="1405" spans="1:17" x14ac:dyDescent="0.45">
      <c r="A1405" t="s">
        <v>80</v>
      </c>
      <c r="B1405" t="s">
        <v>81</v>
      </c>
      <c r="C1405" t="s">
        <v>61</v>
      </c>
      <c r="D1405" t="s">
        <v>20</v>
      </c>
      <c r="E1405" t="s">
        <v>21</v>
      </c>
      <c r="F1405" s="1">
        <v>44531</v>
      </c>
      <c r="G1405">
        <v>4.71</v>
      </c>
      <c r="H1405">
        <v>85.401799999999994</v>
      </c>
      <c r="I1405">
        <v>19.55</v>
      </c>
      <c r="J1405">
        <v>101.86</v>
      </c>
      <c r="K1405" t="s">
        <v>82</v>
      </c>
      <c r="L1405">
        <v>1036.26</v>
      </c>
      <c r="M1405">
        <f>VLOOKUP(K1405,RatingLookup!$A$2:$C$8,2,FALSE)</f>
        <v>1E-4</v>
      </c>
      <c r="N1405">
        <f t="shared" si="63"/>
        <v>8.3337153021778576E-6</v>
      </c>
      <c r="O1405">
        <f>VLOOKUP(K1405,RatingLookup!$A$2:$C$8,3,FALSE)</f>
        <v>0.2</v>
      </c>
      <c r="P1405">
        <f t="shared" si="64"/>
        <v>1.7271791638069655E-3</v>
      </c>
      <c r="Q1405" t="str">
        <f t="shared" ca="1" si="65"/>
        <v>No</v>
      </c>
    </row>
    <row r="1406" spans="1:17" x14ac:dyDescent="0.45">
      <c r="A1406" t="s">
        <v>80</v>
      </c>
      <c r="B1406" t="s">
        <v>81</v>
      </c>
      <c r="C1406" t="s">
        <v>61</v>
      </c>
      <c r="D1406" t="s">
        <v>20</v>
      </c>
      <c r="E1406" t="s">
        <v>21</v>
      </c>
      <c r="F1406" s="1">
        <v>44562</v>
      </c>
      <c r="G1406">
        <v>5.63</v>
      </c>
      <c r="H1406">
        <v>84.084699999999998</v>
      </c>
      <c r="I1406">
        <v>23.33</v>
      </c>
      <c r="J1406">
        <v>77.010000000000005</v>
      </c>
      <c r="K1406" t="s">
        <v>82</v>
      </c>
      <c r="L1406">
        <v>1015.39</v>
      </c>
      <c r="M1406">
        <f>VLOOKUP(K1406,RatingLookup!$A$2:$C$8,2,FALSE)</f>
        <v>1E-4</v>
      </c>
      <c r="N1406">
        <f t="shared" si="63"/>
        <v>8.3337153021778576E-6</v>
      </c>
      <c r="O1406">
        <f>VLOOKUP(K1406,RatingLookup!$A$2:$C$8,3,FALSE)</f>
        <v>0.2</v>
      </c>
      <c r="P1406">
        <f t="shared" si="64"/>
        <v>1.6923942361356751E-3</v>
      </c>
      <c r="Q1406" t="str">
        <f t="shared" ca="1" si="65"/>
        <v>No</v>
      </c>
    </row>
    <row r="1407" spans="1:17" x14ac:dyDescent="0.45">
      <c r="A1407" t="s">
        <v>80</v>
      </c>
      <c r="B1407" t="s">
        <v>81</v>
      </c>
      <c r="C1407" t="s">
        <v>61</v>
      </c>
      <c r="D1407" t="s">
        <v>20</v>
      </c>
      <c r="E1407" t="s">
        <v>21</v>
      </c>
      <c r="F1407" s="1">
        <v>44593</v>
      </c>
      <c r="G1407">
        <v>5.8</v>
      </c>
      <c r="H1407">
        <v>83.062399999999997</v>
      </c>
      <c r="I1407">
        <v>20.420000000000002</v>
      </c>
      <c r="J1407">
        <v>67.739999999999995</v>
      </c>
      <c r="K1407" t="s">
        <v>82</v>
      </c>
      <c r="L1407">
        <v>1063.83</v>
      </c>
      <c r="M1407">
        <f>VLOOKUP(K1407,RatingLookup!$A$2:$C$8,2,FALSE)</f>
        <v>1E-4</v>
      </c>
      <c r="N1407">
        <f t="shared" si="63"/>
        <v>8.3337153021778576E-6</v>
      </c>
      <c r="O1407">
        <f>VLOOKUP(K1407,RatingLookup!$A$2:$C$8,3,FALSE)</f>
        <v>0.2</v>
      </c>
      <c r="P1407">
        <f t="shared" si="64"/>
        <v>1.7731312699831741E-3</v>
      </c>
      <c r="Q1407" t="str">
        <f t="shared" ca="1" si="65"/>
        <v>No</v>
      </c>
    </row>
    <row r="1408" spans="1:17" x14ac:dyDescent="0.45">
      <c r="A1408" t="s">
        <v>80</v>
      </c>
      <c r="B1408" t="s">
        <v>81</v>
      </c>
      <c r="C1408" t="s">
        <v>61</v>
      </c>
      <c r="D1408" t="s">
        <v>20</v>
      </c>
      <c r="E1408" t="s">
        <v>21</v>
      </c>
      <c r="F1408" s="1">
        <v>44621</v>
      </c>
      <c r="G1408">
        <v>5.48</v>
      </c>
      <c r="H1408">
        <v>85.360299999999995</v>
      </c>
      <c r="I1408">
        <v>21.75</v>
      </c>
      <c r="J1408">
        <v>96.81</v>
      </c>
      <c r="K1408" t="s">
        <v>82</v>
      </c>
      <c r="L1408">
        <v>969.99</v>
      </c>
      <c r="M1408">
        <f>VLOOKUP(K1408,RatingLookup!$A$2:$C$8,2,FALSE)</f>
        <v>1E-4</v>
      </c>
      <c r="N1408">
        <f t="shared" si="63"/>
        <v>8.3337153021778576E-6</v>
      </c>
      <c r="O1408">
        <f>VLOOKUP(K1408,RatingLookup!$A$2:$C$8,3,FALSE)</f>
        <v>0.2</v>
      </c>
      <c r="P1408">
        <f t="shared" si="64"/>
        <v>1.6167241011919001E-3</v>
      </c>
      <c r="Q1408" t="str">
        <f t="shared" ca="1" si="65"/>
        <v>No</v>
      </c>
    </row>
    <row r="1409" spans="1:17" x14ac:dyDescent="0.45">
      <c r="A1409" t="s">
        <v>80</v>
      </c>
      <c r="B1409" t="s">
        <v>81</v>
      </c>
      <c r="C1409" t="s">
        <v>61</v>
      </c>
      <c r="D1409" t="s">
        <v>20</v>
      </c>
      <c r="E1409" t="s">
        <v>21</v>
      </c>
      <c r="F1409" s="1">
        <v>44652</v>
      </c>
      <c r="G1409">
        <v>5.2</v>
      </c>
      <c r="H1409">
        <v>79.728200000000001</v>
      </c>
      <c r="I1409">
        <v>9.3800000000000008</v>
      </c>
      <c r="J1409">
        <v>56.37</v>
      </c>
      <c r="K1409" t="s">
        <v>82</v>
      </c>
      <c r="L1409">
        <v>913.56</v>
      </c>
      <c r="M1409">
        <f>VLOOKUP(K1409,RatingLookup!$A$2:$C$8,2,FALSE)</f>
        <v>1E-4</v>
      </c>
      <c r="N1409">
        <f t="shared" si="63"/>
        <v>8.3337153021778576E-6</v>
      </c>
      <c r="O1409">
        <f>VLOOKUP(K1409,RatingLookup!$A$2:$C$8,3,FALSE)</f>
        <v>0.2</v>
      </c>
      <c r="P1409">
        <f t="shared" si="64"/>
        <v>1.5226697902915207E-3</v>
      </c>
      <c r="Q1409" t="str">
        <f t="shared" ca="1" si="65"/>
        <v>No</v>
      </c>
    </row>
    <row r="1410" spans="1:17" x14ac:dyDescent="0.45">
      <c r="A1410" t="s">
        <v>80</v>
      </c>
      <c r="B1410" t="s">
        <v>81</v>
      </c>
      <c r="C1410" t="s">
        <v>61</v>
      </c>
      <c r="D1410" t="s">
        <v>20</v>
      </c>
      <c r="E1410" t="s">
        <v>21</v>
      </c>
      <c r="F1410" s="1">
        <v>44682</v>
      </c>
      <c r="G1410">
        <v>4.76</v>
      </c>
      <c r="H1410">
        <v>80.912300000000002</v>
      </c>
      <c r="I1410">
        <v>15.39</v>
      </c>
      <c r="J1410">
        <v>68.150000000000006</v>
      </c>
      <c r="K1410" t="s">
        <v>82</v>
      </c>
      <c r="L1410">
        <v>1106.48</v>
      </c>
      <c r="M1410">
        <f>VLOOKUP(K1410,RatingLookup!$A$2:$C$8,2,FALSE)</f>
        <v>1E-4</v>
      </c>
      <c r="N1410">
        <f t="shared" ref="N1410:N1473" si="66">1-(1-M1410)^(1/12)</f>
        <v>8.3337153021778576E-6</v>
      </c>
      <c r="O1410">
        <f>VLOOKUP(K1410,RatingLookup!$A$2:$C$8,3,FALSE)</f>
        <v>0.2</v>
      </c>
      <c r="P1410">
        <f t="shared" ref="P1410:P1473" si="67">L1410*N1410*O1410</f>
        <v>1.8442178615107514E-3</v>
      </c>
      <c r="Q1410" t="str">
        <f t="shared" ref="Q1410:Q1473" ca="1" si="68">IF(RAND()&lt;N1410,"Yes","No")</f>
        <v>No</v>
      </c>
    </row>
    <row r="1411" spans="1:17" x14ac:dyDescent="0.45">
      <c r="A1411" t="s">
        <v>80</v>
      </c>
      <c r="B1411" t="s">
        <v>81</v>
      </c>
      <c r="C1411" t="s">
        <v>61</v>
      </c>
      <c r="D1411" t="s">
        <v>20</v>
      </c>
      <c r="E1411" t="s">
        <v>21</v>
      </c>
      <c r="F1411" s="1">
        <v>44713</v>
      </c>
      <c r="G1411">
        <v>6.35</v>
      </c>
      <c r="H1411">
        <v>83.281199999999998</v>
      </c>
      <c r="I1411">
        <v>14.66</v>
      </c>
      <c r="J1411">
        <v>69.430000000000007</v>
      </c>
      <c r="K1411" t="s">
        <v>82</v>
      </c>
      <c r="L1411">
        <v>1023.71</v>
      </c>
      <c r="M1411">
        <f>VLOOKUP(K1411,RatingLookup!$A$2:$C$8,2,FALSE)</f>
        <v>1E-4</v>
      </c>
      <c r="N1411">
        <f t="shared" si="66"/>
        <v>8.3337153021778576E-6</v>
      </c>
      <c r="O1411">
        <f>VLOOKUP(K1411,RatingLookup!$A$2:$C$8,3,FALSE)</f>
        <v>0.2</v>
      </c>
      <c r="P1411">
        <f t="shared" si="67"/>
        <v>1.7062615383984991E-3</v>
      </c>
      <c r="Q1411" t="str">
        <f t="shared" ca="1" si="68"/>
        <v>No</v>
      </c>
    </row>
    <row r="1412" spans="1:17" x14ac:dyDescent="0.45">
      <c r="A1412" t="s">
        <v>80</v>
      </c>
      <c r="B1412" t="s">
        <v>81</v>
      </c>
      <c r="C1412" t="s">
        <v>61</v>
      </c>
      <c r="D1412" t="s">
        <v>20</v>
      </c>
      <c r="E1412" t="s">
        <v>21</v>
      </c>
      <c r="F1412" s="1">
        <v>44743</v>
      </c>
      <c r="G1412">
        <v>5.89</v>
      </c>
      <c r="H1412">
        <v>85.589399999999998</v>
      </c>
      <c r="I1412">
        <v>15.32</v>
      </c>
      <c r="J1412">
        <v>65.47</v>
      </c>
      <c r="K1412" t="s">
        <v>82</v>
      </c>
      <c r="L1412">
        <v>1062.3499999999999</v>
      </c>
      <c r="M1412">
        <f>VLOOKUP(K1412,RatingLookup!$A$2:$C$8,2,FALSE)</f>
        <v>1E-4</v>
      </c>
      <c r="N1412">
        <f t="shared" si="66"/>
        <v>8.3337153021778576E-6</v>
      </c>
      <c r="O1412">
        <f>VLOOKUP(K1412,RatingLookup!$A$2:$C$8,3,FALSE)</f>
        <v>0.2</v>
      </c>
      <c r="P1412">
        <f t="shared" si="67"/>
        <v>1.7706644902537292E-3</v>
      </c>
      <c r="Q1412" t="str">
        <f t="shared" ca="1" si="68"/>
        <v>No</v>
      </c>
    </row>
    <row r="1413" spans="1:17" x14ac:dyDescent="0.45">
      <c r="A1413" t="s">
        <v>80</v>
      </c>
      <c r="B1413" t="s">
        <v>81</v>
      </c>
      <c r="C1413" t="s">
        <v>61</v>
      </c>
      <c r="D1413" t="s">
        <v>20</v>
      </c>
      <c r="E1413" t="s">
        <v>21</v>
      </c>
      <c r="F1413" s="1">
        <v>44774</v>
      </c>
      <c r="G1413">
        <v>4.41</v>
      </c>
      <c r="H1413">
        <v>81.673000000000002</v>
      </c>
      <c r="I1413">
        <v>9.35</v>
      </c>
      <c r="J1413">
        <v>74.44</v>
      </c>
      <c r="K1413" t="s">
        <v>82</v>
      </c>
      <c r="L1413">
        <v>1113.32</v>
      </c>
      <c r="M1413">
        <f>VLOOKUP(K1413,RatingLookup!$A$2:$C$8,2,FALSE)</f>
        <v>1E-4</v>
      </c>
      <c r="N1413">
        <f t="shared" si="66"/>
        <v>8.3337153021778576E-6</v>
      </c>
      <c r="O1413">
        <f>VLOOKUP(K1413,RatingLookup!$A$2:$C$8,3,FALSE)</f>
        <v>0.2</v>
      </c>
      <c r="P1413">
        <f t="shared" si="67"/>
        <v>1.8556183840441305E-3</v>
      </c>
      <c r="Q1413" t="str">
        <f t="shared" ca="1" si="68"/>
        <v>No</v>
      </c>
    </row>
    <row r="1414" spans="1:17" x14ac:dyDescent="0.45">
      <c r="A1414" t="s">
        <v>80</v>
      </c>
      <c r="B1414" t="s">
        <v>81</v>
      </c>
      <c r="C1414" t="s">
        <v>61</v>
      </c>
      <c r="D1414" t="s">
        <v>20</v>
      </c>
      <c r="E1414" t="s">
        <v>21</v>
      </c>
      <c r="F1414" s="1">
        <v>44805</v>
      </c>
      <c r="G1414">
        <v>5.86</v>
      </c>
      <c r="H1414">
        <v>85.544300000000007</v>
      </c>
      <c r="I1414">
        <v>11.34</v>
      </c>
      <c r="J1414">
        <v>80.760000000000005</v>
      </c>
      <c r="K1414" t="s">
        <v>82</v>
      </c>
      <c r="L1414">
        <v>1031.55</v>
      </c>
      <c r="M1414">
        <f>VLOOKUP(K1414,RatingLookup!$A$2:$C$8,2,FALSE)</f>
        <v>1E-4</v>
      </c>
      <c r="N1414">
        <f t="shared" si="66"/>
        <v>8.3337153021778576E-6</v>
      </c>
      <c r="O1414">
        <f>VLOOKUP(K1414,RatingLookup!$A$2:$C$8,3,FALSE)</f>
        <v>0.2</v>
      </c>
      <c r="P1414">
        <f t="shared" si="67"/>
        <v>1.7193288039923139E-3</v>
      </c>
      <c r="Q1414" t="str">
        <f t="shared" ca="1" si="68"/>
        <v>No</v>
      </c>
    </row>
    <row r="1415" spans="1:17" x14ac:dyDescent="0.45">
      <c r="A1415" t="s">
        <v>80</v>
      </c>
      <c r="B1415" t="s">
        <v>81</v>
      </c>
      <c r="C1415" t="s">
        <v>61</v>
      </c>
      <c r="D1415" t="s">
        <v>20</v>
      </c>
      <c r="E1415" t="s">
        <v>21</v>
      </c>
      <c r="F1415" s="1">
        <v>44835</v>
      </c>
      <c r="G1415">
        <v>5.56</v>
      </c>
      <c r="H1415">
        <v>84.421899999999994</v>
      </c>
      <c r="I1415">
        <v>13.41</v>
      </c>
      <c r="J1415">
        <v>82.89</v>
      </c>
      <c r="K1415" t="s">
        <v>82</v>
      </c>
      <c r="L1415">
        <v>961.73</v>
      </c>
      <c r="M1415">
        <f>VLOOKUP(K1415,RatingLookup!$A$2:$C$8,2,FALSE)</f>
        <v>1E-4</v>
      </c>
      <c r="N1415">
        <f t="shared" si="66"/>
        <v>8.3337153021778576E-6</v>
      </c>
      <c r="O1415">
        <f>VLOOKUP(K1415,RatingLookup!$A$2:$C$8,3,FALSE)</f>
        <v>0.2</v>
      </c>
      <c r="P1415">
        <f t="shared" si="67"/>
        <v>1.6029568035127026E-3</v>
      </c>
      <c r="Q1415" t="str">
        <f t="shared" ca="1" si="68"/>
        <v>No</v>
      </c>
    </row>
    <row r="1416" spans="1:17" x14ac:dyDescent="0.45">
      <c r="A1416" t="s">
        <v>80</v>
      </c>
      <c r="B1416" t="s">
        <v>81</v>
      </c>
      <c r="C1416" t="s">
        <v>61</v>
      </c>
      <c r="D1416" t="s">
        <v>20</v>
      </c>
      <c r="E1416" t="s">
        <v>21</v>
      </c>
      <c r="F1416" s="1">
        <v>44866</v>
      </c>
      <c r="G1416">
        <v>6.02</v>
      </c>
      <c r="H1416">
        <v>82.004499999999993</v>
      </c>
      <c r="I1416">
        <v>28.91</v>
      </c>
      <c r="J1416">
        <v>65.3</v>
      </c>
      <c r="K1416" t="s">
        <v>82</v>
      </c>
      <c r="L1416">
        <v>1019.44</v>
      </c>
      <c r="M1416">
        <f>VLOOKUP(K1416,RatingLookup!$A$2:$C$8,2,FALSE)</f>
        <v>1E-4</v>
      </c>
      <c r="N1416">
        <f t="shared" si="66"/>
        <v>8.3337153021778576E-6</v>
      </c>
      <c r="O1416">
        <f>VLOOKUP(K1416,RatingLookup!$A$2:$C$8,3,FALSE)</f>
        <v>0.2</v>
      </c>
      <c r="P1416">
        <f t="shared" si="67"/>
        <v>1.6991445455304393E-3</v>
      </c>
      <c r="Q1416" t="str">
        <f t="shared" ca="1" si="68"/>
        <v>No</v>
      </c>
    </row>
    <row r="1417" spans="1:17" x14ac:dyDescent="0.45">
      <c r="A1417" t="s">
        <v>80</v>
      </c>
      <c r="B1417" t="s">
        <v>81</v>
      </c>
      <c r="C1417" t="s">
        <v>61</v>
      </c>
      <c r="D1417" t="s">
        <v>20</v>
      </c>
      <c r="E1417" t="s">
        <v>21</v>
      </c>
      <c r="F1417" s="1">
        <v>44896</v>
      </c>
      <c r="G1417">
        <v>5.67</v>
      </c>
      <c r="H1417">
        <v>75.679400000000001</v>
      </c>
      <c r="I1417">
        <v>17.75</v>
      </c>
      <c r="J1417">
        <v>67.260000000000005</v>
      </c>
      <c r="K1417" t="s">
        <v>82</v>
      </c>
      <c r="L1417">
        <v>976.14</v>
      </c>
      <c r="M1417">
        <f>VLOOKUP(K1417,RatingLookup!$A$2:$C$8,2,FALSE)</f>
        <v>1E-4</v>
      </c>
      <c r="N1417">
        <f t="shared" si="66"/>
        <v>8.3337153021778576E-6</v>
      </c>
      <c r="O1417">
        <f>VLOOKUP(K1417,RatingLookup!$A$2:$C$8,3,FALSE)</f>
        <v>0.2</v>
      </c>
      <c r="P1417">
        <f t="shared" si="67"/>
        <v>1.6269745710135791E-3</v>
      </c>
      <c r="Q1417" t="str">
        <f t="shared" ca="1" si="68"/>
        <v>No</v>
      </c>
    </row>
    <row r="1418" spans="1:17" x14ac:dyDescent="0.45">
      <c r="A1418" t="s">
        <v>80</v>
      </c>
      <c r="B1418" t="s">
        <v>81</v>
      </c>
      <c r="C1418" t="s">
        <v>61</v>
      </c>
      <c r="D1418" t="s">
        <v>20</v>
      </c>
      <c r="E1418" t="s">
        <v>21</v>
      </c>
      <c r="F1418" s="1">
        <v>44927</v>
      </c>
      <c r="G1418">
        <v>5.0199999999999996</v>
      </c>
      <c r="H1418">
        <v>78.214299999999994</v>
      </c>
      <c r="I1418">
        <v>19.46</v>
      </c>
      <c r="J1418">
        <v>79.64</v>
      </c>
      <c r="K1418" t="s">
        <v>82</v>
      </c>
      <c r="L1418">
        <v>1015.04</v>
      </c>
      <c r="M1418">
        <f>VLOOKUP(K1418,RatingLookup!$A$2:$C$8,2,FALSE)</f>
        <v>1E-4</v>
      </c>
      <c r="N1418">
        <f t="shared" si="66"/>
        <v>8.3337153021778576E-6</v>
      </c>
      <c r="O1418">
        <f>VLOOKUP(K1418,RatingLookup!$A$2:$C$8,3,FALSE)</f>
        <v>0.2</v>
      </c>
      <c r="P1418">
        <f t="shared" si="67"/>
        <v>1.6918108760645225E-3</v>
      </c>
      <c r="Q1418" t="str">
        <f t="shared" ca="1" si="68"/>
        <v>No</v>
      </c>
    </row>
    <row r="1419" spans="1:17" x14ac:dyDescent="0.45">
      <c r="A1419" t="s">
        <v>80</v>
      </c>
      <c r="B1419" t="s">
        <v>81</v>
      </c>
      <c r="C1419" t="s">
        <v>61</v>
      </c>
      <c r="D1419" t="s">
        <v>20</v>
      </c>
      <c r="E1419" t="s">
        <v>21</v>
      </c>
      <c r="F1419" s="1">
        <v>44958</v>
      </c>
      <c r="G1419">
        <v>6.1</v>
      </c>
      <c r="H1419">
        <v>80.474999999999994</v>
      </c>
      <c r="I1419">
        <v>5</v>
      </c>
      <c r="J1419">
        <v>77.25</v>
      </c>
      <c r="K1419" t="s">
        <v>82</v>
      </c>
      <c r="L1419">
        <v>1020.18</v>
      </c>
      <c r="M1419">
        <f>VLOOKUP(K1419,RatingLookup!$A$2:$C$8,2,FALSE)</f>
        <v>1E-4</v>
      </c>
      <c r="N1419">
        <f t="shared" si="66"/>
        <v>8.3337153021778576E-6</v>
      </c>
      <c r="O1419">
        <f>VLOOKUP(K1419,RatingLookup!$A$2:$C$8,3,FALSE)</f>
        <v>0.2</v>
      </c>
      <c r="P1419">
        <f t="shared" si="67"/>
        <v>1.7003779353951612E-3</v>
      </c>
      <c r="Q1419" t="str">
        <f t="shared" ca="1" si="68"/>
        <v>No</v>
      </c>
    </row>
    <row r="1420" spans="1:17" x14ac:dyDescent="0.45">
      <c r="A1420" t="s">
        <v>80</v>
      </c>
      <c r="B1420" t="s">
        <v>81</v>
      </c>
      <c r="C1420" t="s">
        <v>61</v>
      </c>
      <c r="D1420" t="s">
        <v>20</v>
      </c>
      <c r="E1420" t="s">
        <v>21</v>
      </c>
      <c r="F1420" s="1">
        <v>44986</v>
      </c>
      <c r="G1420">
        <v>5.25</v>
      </c>
      <c r="H1420">
        <v>83.114199999999997</v>
      </c>
      <c r="I1420">
        <v>24.2</v>
      </c>
      <c r="J1420">
        <v>83.97</v>
      </c>
      <c r="K1420" t="s">
        <v>82</v>
      </c>
      <c r="L1420">
        <v>1125.97</v>
      </c>
      <c r="M1420">
        <f>VLOOKUP(K1420,RatingLookup!$A$2:$C$8,2,FALSE)</f>
        <v>1E-4</v>
      </c>
      <c r="N1420">
        <f t="shared" si="66"/>
        <v>8.3337153021778576E-6</v>
      </c>
      <c r="O1420">
        <f>VLOOKUP(K1420,RatingLookup!$A$2:$C$8,3,FALSE)</f>
        <v>0.2</v>
      </c>
      <c r="P1420">
        <f t="shared" si="67"/>
        <v>1.8767026837586407E-3</v>
      </c>
      <c r="Q1420" t="str">
        <f t="shared" ca="1" si="68"/>
        <v>No</v>
      </c>
    </row>
    <row r="1421" spans="1:17" x14ac:dyDescent="0.45">
      <c r="A1421" t="s">
        <v>80</v>
      </c>
      <c r="B1421" t="s">
        <v>81</v>
      </c>
      <c r="C1421" t="s">
        <v>61</v>
      </c>
      <c r="D1421" t="s">
        <v>20</v>
      </c>
      <c r="E1421" t="s">
        <v>21</v>
      </c>
      <c r="F1421" s="1">
        <v>45017</v>
      </c>
      <c r="G1421">
        <v>5.03</v>
      </c>
      <c r="H1421">
        <v>80.690600000000003</v>
      </c>
      <c r="I1421">
        <v>20.76</v>
      </c>
      <c r="J1421">
        <v>81.489999999999995</v>
      </c>
      <c r="K1421" t="s">
        <v>48</v>
      </c>
      <c r="L1421">
        <v>961.9</v>
      </c>
      <c r="M1421">
        <f>VLOOKUP(K1421,RatingLookup!$A$2:$C$8,2,FALSE)</f>
        <v>5.0000000000000001E-4</v>
      </c>
      <c r="N1421">
        <f t="shared" si="66"/>
        <v>4.167621832917856E-5</v>
      </c>
      <c r="O1421">
        <f>VLOOKUP(K1421,RatingLookup!$A$2:$C$8,3,FALSE)</f>
        <v>0.25</v>
      </c>
      <c r="P1421">
        <f t="shared" si="67"/>
        <v>1.0022088602709214E-2</v>
      </c>
      <c r="Q1421" t="str">
        <f t="shared" ca="1" si="68"/>
        <v>No</v>
      </c>
    </row>
    <row r="1422" spans="1:17" x14ac:dyDescent="0.45">
      <c r="A1422" t="s">
        <v>80</v>
      </c>
      <c r="B1422" t="s">
        <v>81</v>
      </c>
      <c r="C1422" t="s">
        <v>61</v>
      </c>
      <c r="D1422" t="s">
        <v>20</v>
      </c>
      <c r="E1422" t="s">
        <v>21</v>
      </c>
      <c r="F1422" s="1">
        <v>45047</v>
      </c>
      <c r="G1422">
        <v>5.27</v>
      </c>
      <c r="H1422">
        <v>76.680700000000002</v>
      </c>
      <c r="I1422">
        <v>18.11</v>
      </c>
      <c r="J1422">
        <v>93.66</v>
      </c>
      <c r="K1422" t="s">
        <v>48</v>
      </c>
      <c r="L1422">
        <v>1021.03</v>
      </c>
      <c r="M1422">
        <f>VLOOKUP(K1422,RatingLookup!$A$2:$C$8,2,FALSE)</f>
        <v>5.0000000000000001E-4</v>
      </c>
      <c r="N1422">
        <f t="shared" si="66"/>
        <v>4.167621832917856E-5</v>
      </c>
      <c r="O1422">
        <f>VLOOKUP(K1422,RatingLookup!$A$2:$C$8,3,FALSE)</f>
        <v>0.25</v>
      </c>
      <c r="P1422">
        <f t="shared" si="67"/>
        <v>1.0638167300160296E-2</v>
      </c>
      <c r="Q1422" t="str">
        <f t="shared" ca="1" si="68"/>
        <v>No</v>
      </c>
    </row>
    <row r="1423" spans="1:17" x14ac:dyDescent="0.45">
      <c r="A1423" t="s">
        <v>80</v>
      </c>
      <c r="B1423" t="s">
        <v>81</v>
      </c>
      <c r="C1423" t="s">
        <v>61</v>
      </c>
      <c r="D1423" t="s">
        <v>20</v>
      </c>
      <c r="E1423" t="s">
        <v>21</v>
      </c>
      <c r="F1423" s="1">
        <v>45078</v>
      </c>
      <c r="G1423">
        <v>6.36</v>
      </c>
      <c r="H1423">
        <v>82.807199999999995</v>
      </c>
      <c r="I1423">
        <v>13.88</v>
      </c>
      <c r="J1423">
        <v>82.4</v>
      </c>
      <c r="K1423" t="s">
        <v>48</v>
      </c>
      <c r="L1423">
        <v>1021.04</v>
      </c>
      <c r="M1423">
        <f>VLOOKUP(K1423,RatingLookup!$A$2:$C$8,2,FALSE)</f>
        <v>5.0000000000000001E-4</v>
      </c>
      <c r="N1423">
        <f t="shared" si="66"/>
        <v>4.167621832917856E-5</v>
      </c>
      <c r="O1423">
        <f>VLOOKUP(K1423,RatingLookup!$A$2:$C$8,3,FALSE)</f>
        <v>0.25</v>
      </c>
      <c r="P1423">
        <f t="shared" si="67"/>
        <v>1.0638271490706119E-2</v>
      </c>
      <c r="Q1423" t="str">
        <f t="shared" ca="1" si="68"/>
        <v>No</v>
      </c>
    </row>
    <row r="1424" spans="1:17" x14ac:dyDescent="0.45">
      <c r="A1424" t="s">
        <v>80</v>
      </c>
      <c r="B1424" t="s">
        <v>81</v>
      </c>
      <c r="C1424" t="s">
        <v>61</v>
      </c>
      <c r="D1424" t="s">
        <v>20</v>
      </c>
      <c r="E1424" t="s">
        <v>21</v>
      </c>
      <c r="F1424" s="1">
        <v>45108</v>
      </c>
      <c r="G1424">
        <v>5.55</v>
      </c>
      <c r="H1424">
        <v>84.330799999999996</v>
      </c>
      <c r="I1424">
        <v>24.58</v>
      </c>
      <c r="J1424">
        <v>94</v>
      </c>
      <c r="K1424" t="s">
        <v>48</v>
      </c>
      <c r="L1424">
        <v>1029.55</v>
      </c>
      <c r="M1424">
        <f>VLOOKUP(K1424,RatingLookup!$A$2:$C$8,2,FALSE)</f>
        <v>5.0000000000000001E-4</v>
      </c>
      <c r="N1424">
        <f t="shared" si="66"/>
        <v>4.167621832917856E-5</v>
      </c>
      <c r="O1424">
        <f>VLOOKUP(K1424,RatingLookup!$A$2:$C$8,3,FALSE)</f>
        <v>0.25</v>
      </c>
      <c r="P1424">
        <f t="shared" si="67"/>
        <v>1.0726937645201447E-2</v>
      </c>
      <c r="Q1424" t="str">
        <f t="shared" ca="1" si="68"/>
        <v>No</v>
      </c>
    </row>
    <row r="1425" spans="1:17" x14ac:dyDescent="0.45">
      <c r="A1425" t="s">
        <v>80</v>
      </c>
      <c r="B1425" t="s">
        <v>81</v>
      </c>
      <c r="C1425" t="s">
        <v>61</v>
      </c>
      <c r="D1425" t="s">
        <v>20</v>
      </c>
      <c r="E1425" t="s">
        <v>21</v>
      </c>
      <c r="F1425" s="1">
        <v>45139</v>
      </c>
      <c r="G1425">
        <v>5.26</v>
      </c>
      <c r="H1425">
        <v>83.7624</v>
      </c>
      <c r="I1425">
        <v>23.37</v>
      </c>
      <c r="J1425">
        <v>84.86</v>
      </c>
      <c r="K1425" t="s">
        <v>48</v>
      </c>
      <c r="L1425">
        <v>1045.76</v>
      </c>
      <c r="M1425">
        <f>VLOOKUP(K1425,RatingLookup!$A$2:$C$8,2,FALSE)</f>
        <v>5.0000000000000001E-4</v>
      </c>
      <c r="N1425">
        <f t="shared" si="66"/>
        <v>4.167621832917856E-5</v>
      </c>
      <c r="O1425">
        <f>VLOOKUP(K1425,RatingLookup!$A$2:$C$8,3,FALSE)</f>
        <v>0.25</v>
      </c>
      <c r="P1425">
        <f t="shared" si="67"/>
        <v>1.0895830519980443E-2</v>
      </c>
      <c r="Q1425" t="str">
        <f t="shared" ca="1" si="68"/>
        <v>No</v>
      </c>
    </row>
    <row r="1426" spans="1:17" x14ac:dyDescent="0.45">
      <c r="A1426" t="s">
        <v>80</v>
      </c>
      <c r="B1426" t="s">
        <v>81</v>
      </c>
      <c r="C1426" t="s">
        <v>61</v>
      </c>
      <c r="D1426" t="s">
        <v>20</v>
      </c>
      <c r="E1426" t="s">
        <v>21</v>
      </c>
      <c r="F1426" s="1">
        <v>45170</v>
      </c>
      <c r="G1426">
        <v>5.32</v>
      </c>
      <c r="H1426">
        <v>80.504499999999993</v>
      </c>
      <c r="I1426">
        <v>28.22</v>
      </c>
      <c r="J1426">
        <v>85.01</v>
      </c>
      <c r="K1426" t="s">
        <v>48</v>
      </c>
      <c r="L1426">
        <v>1153.1400000000001</v>
      </c>
      <c r="M1426">
        <f>VLOOKUP(K1426,RatingLookup!$A$2:$C$8,2,FALSE)</f>
        <v>5.0000000000000001E-4</v>
      </c>
      <c r="N1426">
        <f t="shared" si="66"/>
        <v>4.167621832917856E-5</v>
      </c>
      <c r="O1426">
        <f>VLOOKUP(K1426,RatingLookup!$A$2:$C$8,3,FALSE)</f>
        <v>0.25</v>
      </c>
      <c r="P1426">
        <f t="shared" si="67"/>
        <v>1.2014628601027243E-2</v>
      </c>
      <c r="Q1426" t="str">
        <f t="shared" ca="1" si="68"/>
        <v>No</v>
      </c>
    </row>
    <row r="1427" spans="1:17" x14ac:dyDescent="0.45">
      <c r="A1427" t="s">
        <v>80</v>
      </c>
      <c r="B1427" t="s">
        <v>81</v>
      </c>
      <c r="C1427" t="s">
        <v>61</v>
      </c>
      <c r="D1427" t="s">
        <v>20</v>
      </c>
      <c r="E1427" t="s">
        <v>21</v>
      </c>
      <c r="F1427" s="1">
        <v>45200</v>
      </c>
      <c r="G1427">
        <v>6.88</v>
      </c>
      <c r="H1427">
        <v>79.505099999999999</v>
      </c>
      <c r="I1427">
        <v>19.96</v>
      </c>
      <c r="J1427">
        <v>82.65</v>
      </c>
      <c r="K1427" t="s">
        <v>48</v>
      </c>
      <c r="L1427">
        <v>980.91</v>
      </c>
      <c r="M1427">
        <f>VLOOKUP(K1427,RatingLookup!$A$2:$C$8,2,FALSE)</f>
        <v>5.0000000000000001E-4</v>
      </c>
      <c r="N1427">
        <f t="shared" si="66"/>
        <v>4.167621832917856E-5</v>
      </c>
      <c r="O1427">
        <f>VLOOKUP(K1427,RatingLookup!$A$2:$C$8,3,FALSE)</f>
        <v>0.25</v>
      </c>
      <c r="P1427">
        <f t="shared" si="67"/>
        <v>1.0220154830318635E-2</v>
      </c>
      <c r="Q1427" t="str">
        <f t="shared" ca="1" si="68"/>
        <v>No</v>
      </c>
    </row>
    <row r="1428" spans="1:17" x14ac:dyDescent="0.45">
      <c r="A1428" t="s">
        <v>80</v>
      </c>
      <c r="B1428" t="s">
        <v>81</v>
      </c>
      <c r="C1428" t="s">
        <v>61</v>
      </c>
      <c r="D1428" t="s">
        <v>20</v>
      </c>
      <c r="E1428" t="s">
        <v>21</v>
      </c>
      <c r="F1428" s="1">
        <v>45231</v>
      </c>
      <c r="G1428">
        <v>5.61</v>
      </c>
      <c r="H1428">
        <v>80.374099999999999</v>
      </c>
      <c r="I1428">
        <v>14.73</v>
      </c>
      <c r="J1428">
        <v>64.69</v>
      </c>
      <c r="K1428" t="s">
        <v>48</v>
      </c>
      <c r="L1428">
        <v>986.44</v>
      </c>
      <c r="M1428">
        <f>VLOOKUP(K1428,RatingLookup!$A$2:$C$8,2,FALSE)</f>
        <v>5.0000000000000001E-4</v>
      </c>
      <c r="N1428">
        <f t="shared" si="66"/>
        <v>4.167621832917856E-5</v>
      </c>
      <c r="O1428">
        <f>VLOOKUP(K1428,RatingLookup!$A$2:$C$8,3,FALSE)</f>
        <v>0.25</v>
      </c>
      <c r="P1428">
        <f t="shared" si="67"/>
        <v>1.0277772202158725E-2</v>
      </c>
      <c r="Q1428" t="str">
        <f t="shared" ca="1" si="68"/>
        <v>No</v>
      </c>
    </row>
    <row r="1429" spans="1:17" x14ac:dyDescent="0.45">
      <c r="A1429" t="s">
        <v>80</v>
      </c>
      <c r="B1429" t="s">
        <v>81</v>
      </c>
      <c r="C1429" t="s">
        <v>61</v>
      </c>
      <c r="D1429" t="s">
        <v>20</v>
      </c>
      <c r="E1429" t="s">
        <v>21</v>
      </c>
      <c r="F1429" s="1">
        <v>45261</v>
      </c>
      <c r="G1429">
        <v>5.28</v>
      </c>
      <c r="H1429">
        <v>85.408600000000007</v>
      </c>
      <c r="I1429">
        <v>25.63</v>
      </c>
      <c r="J1429">
        <v>98.03</v>
      </c>
      <c r="K1429" t="s">
        <v>48</v>
      </c>
      <c r="L1429">
        <v>1071.55</v>
      </c>
      <c r="M1429">
        <f>VLOOKUP(K1429,RatingLookup!$A$2:$C$8,2,FALSE)</f>
        <v>5.0000000000000001E-4</v>
      </c>
      <c r="N1429">
        <f t="shared" si="66"/>
        <v>4.167621832917856E-5</v>
      </c>
      <c r="O1429">
        <f>VLOOKUP(K1429,RatingLookup!$A$2:$C$8,3,FALSE)</f>
        <v>0.25</v>
      </c>
      <c r="P1429">
        <f t="shared" si="67"/>
        <v>1.1164537937657822E-2</v>
      </c>
      <c r="Q1429" t="str">
        <f t="shared" ca="1" si="68"/>
        <v>No</v>
      </c>
    </row>
    <row r="1430" spans="1:17" x14ac:dyDescent="0.45">
      <c r="A1430" t="s">
        <v>80</v>
      </c>
      <c r="B1430" t="s">
        <v>81</v>
      </c>
      <c r="C1430" t="s">
        <v>61</v>
      </c>
      <c r="D1430" t="s">
        <v>20</v>
      </c>
      <c r="E1430" t="s">
        <v>21</v>
      </c>
      <c r="F1430" s="1">
        <v>45292</v>
      </c>
      <c r="G1430">
        <v>5.79</v>
      </c>
      <c r="H1430">
        <v>78.918700000000001</v>
      </c>
      <c r="I1430">
        <v>30.29</v>
      </c>
      <c r="J1430">
        <v>60.49</v>
      </c>
      <c r="K1430" t="s">
        <v>48</v>
      </c>
      <c r="L1430">
        <v>1112.6300000000001</v>
      </c>
      <c r="M1430">
        <f>VLOOKUP(K1430,RatingLookup!$A$2:$C$8,2,FALSE)</f>
        <v>5.0000000000000001E-4</v>
      </c>
      <c r="N1430">
        <f t="shared" si="66"/>
        <v>4.167621832917856E-5</v>
      </c>
      <c r="O1430">
        <f>VLOOKUP(K1430,RatingLookup!$A$2:$C$8,3,FALSE)</f>
        <v>0.25</v>
      </c>
      <c r="P1430">
        <f t="shared" si="67"/>
        <v>1.1592552699898487E-2</v>
      </c>
      <c r="Q1430" t="str">
        <f t="shared" ca="1" si="68"/>
        <v>No</v>
      </c>
    </row>
    <row r="1431" spans="1:17" x14ac:dyDescent="0.45">
      <c r="A1431" t="s">
        <v>80</v>
      </c>
      <c r="B1431" t="s">
        <v>81</v>
      </c>
      <c r="C1431" t="s">
        <v>61</v>
      </c>
      <c r="D1431" t="s">
        <v>20</v>
      </c>
      <c r="E1431" t="s">
        <v>21</v>
      </c>
      <c r="F1431" s="1">
        <v>45323</v>
      </c>
      <c r="G1431">
        <v>5.53</v>
      </c>
      <c r="H1431">
        <v>82.684700000000007</v>
      </c>
      <c r="I1431">
        <v>14.88</v>
      </c>
      <c r="J1431">
        <v>66.09</v>
      </c>
      <c r="K1431" t="s">
        <v>48</v>
      </c>
      <c r="L1431">
        <v>977.67</v>
      </c>
      <c r="M1431">
        <f>VLOOKUP(K1431,RatingLookup!$A$2:$C$8,2,FALSE)</f>
        <v>5.0000000000000001E-4</v>
      </c>
      <c r="N1431">
        <f t="shared" si="66"/>
        <v>4.167621832917856E-5</v>
      </c>
      <c r="O1431">
        <f>VLOOKUP(K1431,RatingLookup!$A$2:$C$8,3,FALSE)</f>
        <v>0.25</v>
      </c>
      <c r="P1431">
        <f t="shared" si="67"/>
        <v>1.0186397093472001E-2</v>
      </c>
      <c r="Q1431" t="str">
        <f t="shared" ca="1" si="68"/>
        <v>No</v>
      </c>
    </row>
    <row r="1432" spans="1:17" x14ac:dyDescent="0.45">
      <c r="A1432" t="s">
        <v>80</v>
      </c>
      <c r="B1432" t="s">
        <v>81</v>
      </c>
      <c r="C1432" t="s">
        <v>61</v>
      </c>
      <c r="D1432" t="s">
        <v>20</v>
      </c>
      <c r="E1432" t="s">
        <v>21</v>
      </c>
      <c r="F1432" s="1">
        <v>45352</v>
      </c>
      <c r="G1432">
        <v>5.13</v>
      </c>
      <c r="H1432">
        <v>82.032499999999999</v>
      </c>
      <c r="I1432">
        <v>11.74</v>
      </c>
      <c r="J1432">
        <v>80.38</v>
      </c>
      <c r="K1432" t="s">
        <v>48</v>
      </c>
      <c r="L1432">
        <v>998.68</v>
      </c>
      <c r="M1432">
        <f>VLOOKUP(K1432,RatingLookup!$A$2:$C$8,2,FALSE)</f>
        <v>5.0000000000000001E-4</v>
      </c>
      <c r="N1432">
        <f t="shared" si="66"/>
        <v>4.167621832917856E-5</v>
      </c>
      <c r="O1432">
        <f>VLOOKUP(K1432,RatingLookup!$A$2:$C$8,3,FALSE)</f>
        <v>0.25</v>
      </c>
      <c r="P1432">
        <f t="shared" si="67"/>
        <v>1.0405301430246011E-2</v>
      </c>
      <c r="Q1432" t="str">
        <f t="shared" ca="1" si="68"/>
        <v>No</v>
      </c>
    </row>
    <row r="1433" spans="1:17" x14ac:dyDescent="0.45">
      <c r="A1433" t="s">
        <v>80</v>
      </c>
      <c r="B1433" t="s">
        <v>81</v>
      </c>
      <c r="C1433" t="s">
        <v>61</v>
      </c>
      <c r="D1433" t="s">
        <v>20</v>
      </c>
      <c r="E1433" t="s">
        <v>21</v>
      </c>
      <c r="F1433" s="1">
        <v>45383</v>
      </c>
      <c r="G1433">
        <v>5.72</v>
      </c>
      <c r="H1433">
        <v>82.785399999999996</v>
      </c>
      <c r="I1433">
        <v>15.81</v>
      </c>
      <c r="J1433">
        <v>94.56</v>
      </c>
      <c r="K1433" t="s">
        <v>48</v>
      </c>
      <c r="L1433">
        <v>1044.78</v>
      </c>
      <c r="M1433">
        <f>VLOOKUP(K1433,RatingLookup!$A$2:$C$8,2,FALSE)</f>
        <v>5.0000000000000001E-4</v>
      </c>
      <c r="N1433">
        <f t="shared" si="66"/>
        <v>4.167621832917856E-5</v>
      </c>
      <c r="O1433">
        <f>VLOOKUP(K1433,RatingLookup!$A$2:$C$8,3,FALSE)</f>
        <v>0.25</v>
      </c>
      <c r="P1433">
        <f t="shared" si="67"/>
        <v>1.0885619846489794E-2</v>
      </c>
      <c r="Q1433" t="str">
        <f t="shared" ca="1" si="68"/>
        <v>No</v>
      </c>
    </row>
    <row r="1434" spans="1:17" x14ac:dyDescent="0.45">
      <c r="A1434" t="s">
        <v>80</v>
      </c>
      <c r="B1434" t="s">
        <v>81</v>
      </c>
      <c r="C1434" t="s">
        <v>61</v>
      </c>
      <c r="D1434" t="s">
        <v>20</v>
      </c>
      <c r="E1434" t="s">
        <v>21</v>
      </c>
      <c r="F1434" s="1">
        <v>45413</v>
      </c>
      <c r="G1434">
        <v>5.67</v>
      </c>
      <c r="H1434">
        <v>86.571799999999996</v>
      </c>
      <c r="I1434">
        <v>14.9</v>
      </c>
      <c r="J1434">
        <v>77.84</v>
      </c>
      <c r="K1434" t="s">
        <v>48</v>
      </c>
      <c r="L1434">
        <v>1090</v>
      </c>
      <c r="M1434">
        <f>VLOOKUP(K1434,RatingLookup!$A$2:$C$8,2,FALSE)</f>
        <v>5.0000000000000001E-4</v>
      </c>
      <c r="N1434">
        <f t="shared" si="66"/>
        <v>4.167621832917856E-5</v>
      </c>
      <c r="O1434">
        <f>VLOOKUP(K1434,RatingLookup!$A$2:$C$8,3,FALSE)</f>
        <v>0.25</v>
      </c>
      <c r="P1434">
        <f t="shared" si="67"/>
        <v>1.1356769494701158E-2</v>
      </c>
      <c r="Q1434" t="str">
        <f t="shared" ca="1" si="68"/>
        <v>No</v>
      </c>
    </row>
    <row r="1435" spans="1:17" x14ac:dyDescent="0.45">
      <c r="A1435" t="s">
        <v>80</v>
      </c>
      <c r="B1435" t="s">
        <v>81</v>
      </c>
      <c r="C1435" t="s">
        <v>61</v>
      </c>
      <c r="D1435" t="s">
        <v>20</v>
      </c>
      <c r="E1435" t="s">
        <v>21</v>
      </c>
      <c r="F1435" s="1">
        <v>45444</v>
      </c>
      <c r="G1435">
        <v>5.73</v>
      </c>
      <c r="H1435">
        <v>86.078400000000002</v>
      </c>
      <c r="I1435">
        <v>22.75</v>
      </c>
      <c r="J1435">
        <v>99.92</v>
      </c>
      <c r="K1435" t="s">
        <v>48</v>
      </c>
      <c r="L1435">
        <v>986.08</v>
      </c>
      <c r="M1435">
        <f>VLOOKUP(K1435,RatingLookup!$A$2:$C$8,2,FALSE)</f>
        <v>5.0000000000000001E-4</v>
      </c>
      <c r="N1435">
        <f t="shared" si="66"/>
        <v>4.167621832917856E-5</v>
      </c>
      <c r="O1435">
        <f>VLOOKUP(K1435,RatingLookup!$A$2:$C$8,3,FALSE)</f>
        <v>0.25</v>
      </c>
      <c r="P1435">
        <f t="shared" si="67"/>
        <v>1.0274021342509099E-2</v>
      </c>
      <c r="Q1435" t="str">
        <f t="shared" ca="1" si="68"/>
        <v>No</v>
      </c>
    </row>
    <row r="1436" spans="1:17" x14ac:dyDescent="0.45">
      <c r="A1436" t="s">
        <v>80</v>
      </c>
      <c r="B1436" t="s">
        <v>81</v>
      </c>
      <c r="C1436" t="s">
        <v>61</v>
      </c>
      <c r="D1436" t="s">
        <v>20</v>
      </c>
      <c r="E1436" t="s">
        <v>21</v>
      </c>
      <c r="F1436" s="1">
        <v>45474</v>
      </c>
      <c r="G1436">
        <v>5.33</v>
      </c>
      <c r="H1436">
        <v>87.050399999999996</v>
      </c>
      <c r="I1436">
        <v>15.34</v>
      </c>
      <c r="J1436">
        <v>74.38</v>
      </c>
      <c r="K1436" t="s">
        <v>48</v>
      </c>
      <c r="L1436">
        <v>1081.68</v>
      </c>
      <c r="M1436">
        <f>VLOOKUP(K1436,RatingLookup!$A$2:$C$8,2,FALSE)</f>
        <v>5.0000000000000001E-4</v>
      </c>
      <c r="N1436">
        <f t="shared" si="66"/>
        <v>4.167621832917856E-5</v>
      </c>
      <c r="O1436">
        <f>VLOOKUP(K1436,RatingLookup!$A$2:$C$8,3,FALSE)</f>
        <v>0.25</v>
      </c>
      <c r="P1436">
        <f t="shared" si="67"/>
        <v>1.1270082960576466E-2</v>
      </c>
      <c r="Q1436" t="str">
        <f t="shared" ca="1" si="68"/>
        <v>No</v>
      </c>
    </row>
    <row r="1437" spans="1:17" x14ac:dyDescent="0.45">
      <c r="A1437" t="s">
        <v>80</v>
      </c>
      <c r="B1437" t="s">
        <v>81</v>
      </c>
      <c r="C1437" t="s">
        <v>61</v>
      </c>
      <c r="D1437" t="s">
        <v>20</v>
      </c>
      <c r="E1437" t="s">
        <v>21</v>
      </c>
      <c r="F1437" s="1">
        <v>45505</v>
      </c>
      <c r="G1437">
        <v>6.01</v>
      </c>
      <c r="H1437">
        <v>81.462000000000003</v>
      </c>
      <c r="I1437">
        <v>18.489999999999998</v>
      </c>
      <c r="J1437">
        <v>94.68</v>
      </c>
      <c r="K1437" t="s">
        <v>48</v>
      </c>
      <c r="L1437">
        <v>1049.4000000000001</v>
      </c>
      <c r="M1437">
        <f>VLOOKUP(K1437,RatingLookup!$A$2:$C$8,2,FALSE)</f>
        <v>5.0000000000000001E-4</v>
      </c>
      <c r="N1437">
        <f t="shared" si="66"/>
        <v>4.167621832917856E-5</v>
      </c>
      <c r="O1437">
        <f>VLOOKUP(K1437,RatingLookup!$A$2:$C$8,3,FALSE)</f>
        <v>0.25</v>
      </c>
      <c r="P1437">
        <f t="shared" si="67"/>
        <v>1.0933755878659997E-2</v>
      </c>
      <c r="Q1437" t="str">
        <f t="shared" ca="1" si="68"/>
        <v>No</v>
      </c>
    </row>
    <row r="1438" spans="1:17" x14ac:dyDescent="0.45">
      <c r="A1438" t="s">
        <v>80</v>
      </c>
      <c r="B1438" t="s">
        <v>81</v>
      </c>
      <c r="C1438" t="s">
        <v>61</v>
      </c>
      <c r="D1438" t="s">
        <v>20</v>
      </c>
      <c r="E1438" t="s">
        <v>21</v>
      </c>
      <c r="F1438" s="1">
        <v>45536</v>
      </c>
      <c r="G1438">
        <v>5.48</v>
      </c>
      <c r="H1438">
        <v>82.284099999999995</v>
      </c>
      <c r="I1438">
        <v>19.48</v>
      </c>
      <c r="J1438">
        <v>76.59</v>
      </c>
      <c r="K1438" t="s">
        <v>48</v>
      </c>
      <c r="L1438">
        <v>1130.31</v>
      </c>
      <c r="M1438">
        <f>VLOOKUP(K1438,RatingLookup!$A$2:$C$8,2,FALSE)</f>
        <v>5.0000000000000001E-4</v>
      </c>
      <c r="N1438">
        <f t="shared" si="66"/>
        <v>4.167621832917856E-5</v>
      </c>
      <c r="O1438">
        <f>VLOOKUP(K1438,RatingLookup!$A$2:$C$8,3,FALSE)</f>
        <v>0.25</v>
      </c>
      <c r="P1438">
        <f t="shared" si="67"/>
        <v>1.1776761584913455E-2</v>
      </c>
      <c r="Q1438" t="str">
        <f t="shared" ca="1" si="68"/>
        <v>No</v>
      </c>
    </row>
    <row r="1439" spans="1:17" x14ac:dyDescent="0.45">
      <c r="A1439" t="s">
        <v>80</v>
      </c>
      <c r="B1439" t="s">
        <v>81</v>
      </c>
      <c r="C1439" t="s">
        <v>61</v>
      </c>
      <c r="D1439" t="s">
        <v>20</v>
      </c>
      <c r="E1439" t="s">
        <v>21</v>
      </c>
      <c r="F1439" s="1">
        <v>45566</v>
      </c>
      <c r="G1439">
        <v>5.51</v>
      </c>
      <c r="H1439">
        <v>87.905699999999996</v>
      </c>
      <c r="I1439">
        <v>20.07</v>
      </c>
      <c r="J1439">
        <v>83.03</v>
      </c>
      <c r="K1439" t="s">
        <v>48</v>
      </c>
      <c r="L1439">
        <v>1023.08</v>
      </c>
      <c r="M1439">
        <f>VLOOKUP(K1439,RatingLookup!$A$2:$C$8,2,FALSE)</f>
        <v>5.0000000000000001E-4</v>
      </c>
      <c r="N1439">
        <f t="shared" si="66"/>
        <v>4.167621832917856E-5</v>
      </c>
      <c r="O1439">
        <f>VLOOKUP(K1439,RatingLookup!$A$2:$C$8,3,FALSE)</f>
        <v>0.25</v>
      </c>
      <c r="P1439">
        <f t="shared" si="67"/>
        <v>1.0659526362054E-2</v>
      </c>
      <c r="Q1439" t="str">
        <f t="shared" ca="1" si="68"/>
        <v>No</v>
      </c>
    </row>
    <row r="1440" spans="1:17" x14ac:dyDescent="0.45">
      <c r="A1440" t="s">
        <v>80</v>
      </c>
      <c r="B1440" t="s">
        <v>81</v>
      </c>
      <c r="C1440" t="s">
        <v>61</v>
      </c>
      <c r="D1440" t="s">
        <v>20</v>
      </c>
      <c r="E1440" t="s">
        <v>21</v>
      </c>
      <c r="F1440" s="1">
        <v>45597</v>
      </c>
      <c r="G1440">
        <v>6.18</v>
      </c>
      <c r="H1440">
        <v>84.275000000000006</v>
      </c>
      <c r="I1440">
        <v>30.07</v>
      </c>
      <c r="J1440">
        <v>81.78</v>
      </c>
      <c r="K1440" t="s">
        <v>48</v>
      </c>
      <c r="L1440">
        <v>1007.13</v>
      </c>
      <c r="M1440">
        <f>VLOOKUP(K1440,RatingLookup!$A$2:$C$8,2,FALSE)</f>
        <v>5.0000000000000001E-4</v>
      </c>
      <c r="N1440">
        <f t="shared" si="66"/>
        <v>4.167621832917856E-5</v>
      </c>
      <c r="O1440">
        <f>VLOOKUP(K1440,RatingLookup!$A$2:$C$8,3,FALSE)</f>
        <v>0.25</v>
      </c>
      <c r="P1440">
        <f t="shared" si="67"/>
        <v>1.0493342441466401E-2</v>
      </c>
      <c r="Q1440" t="str">
        <f t="shared" ca="1" si="68"/>
        <v>No</v>
      </c>
    </row>
    <row r="1441" spans="1:17" x14ac:dyDescent="0.45">
      <c r="A1441" t="s">
        <v>80</v>
      </c>
      <c r="B1441" t="s">
        <v>81</v>
      </c>
      <c r="C1441" t="s">
        <v>61</v>
      </c>
      <c r="D1441" t="s">
        <v>20</v>
      </c>
      <c r="E1441" t="s">
        <v>21</v>
      </c>
      <c r="F1441" s="1">
        <v>45627</v>
      </c>
      <c r="G1441">
        <v>4.84</v>
      </c>
      <c r="H1441">
        <v>79.0685</v>
      </c>
      <c r="I1441">
        <v>17.920000000000002</v>
      </c>
      <c r="J1441">
        <v>79.17</v>
      </c>
      <c r="K1441" t="s">
        <v>48</v>
      </c>
      <c r="L1441">
        <v>1027.3599999999999</v>
      </c>
      <c r="M1441">
        <f>VLOOKUP(K1441,RatingLookup!$A$2:$C$8,2,FALSE)</f>
        <v>5.0000000000000001E-4</v>
      </c>
      <c r="N1441">
        <f t="shared" si="66"/>
        <v>4.167621832917856E-5</v>
      </c>
      <c r="O1441">
        <f>VLOOKUP(K1441,RatingLookup!$A$2:$C$8,3,FALSE)</f>
        <v>0.25</v>
      </c>
      <c r="P1441">
        <f t="shared" si="67"/>
        <v>1.070411991566622E-2</v>
      </c>
      <c r="Q1441" t="str">
        <f t="shared" ca="1" si="68"/>
        <v>No</v>
      </c>
    </row>
    <row r="1442" spans="1:17" x14ac:dyDescent="0.45">
      <c r="A1442" t="s">
        <v>83</v>
      </c>
      <c r="B1442" t="s">
        <v>84</v>
      </c>
      <c r="C1442" t="s">
        <v>85</v>
      </c>
      <c r="D1442" t="s">
        <v>20</v>
      </c>
      <c r="E1442" t="s">
        <v>21</v>
      </c>
      <c r="F1442" s="1">
        <v>43831</v>
      </c>
      <c r="G1442">
        <v>4.93</v>
      </c>
      <c r="H1442">
        <v>78.533799999999999</v>
      </c>
      <c r="I1442">
        <v>22.97</v>
      </c>
      <c r="J1442">
        <v>77.83</v>
      </c>
      <c r="K1442" t="s">
        <v>30</v>
      </c>
      <c r="L1442">
        <v>2861.45</v>
      </c>
      <c r="M1442">
        <f>VLOOKUP(K1442,RatingLookup!$A$2:$C$8,2,FALSE)</f>
        <v>1.4999999999999999E-2</v>
      </c>
      <c r="N1442">
        <f t="shared" si="66"/>
        <v>1.2586770182638762E-3</v>
      </c>
      <c r="O1442">
        <f>VLOOKUP(K1442,RatingLookup!$A$2:$C$8,3,FALSE)</f>
        <v>0.5</v>
      </c>
      <c r="P1442">
        <f t="shared" si="67"/>
        <v>1.8008206769555841</v>
      </c>
      <c r="Q1442" t="str">
        <f t="shared" ca="1" si="68"/>
        <v>No</v>
      </c>
    </row>
    <row r="1443" spans="1:17" x14ac:dyDescent="0.45">
      <c r="A1443" t="s">
        <v>83</v>
      </c>
      <c r="B1443" t="s">
        <v>84</v>
      </c>
      <c r="C1443" t="s">
        <v>85</v>
      </c>
      <c r="D1443" t="s">
        <v>20</v>
      </c>
      <c r="E1443" t="s">
        <v>21</v>
      </c>
      <c r="F1443" s="1">
        <v>43862</v>
      </c>
      <c r="G1443">
        <v>4.26</v>
      </c>
      <c r="H1443">
        <v>80.179900000000004</v>
      </c>
      <c r="I1443">
        <v>11.12</v>
      </c>
      <c r="J1443">
        <v>73.87</v>
      </c>
      <c r="K1443" t="s">
        <v>30</v>
      </c>
      <c r="L1443">
        <v>2982.58</v>
      </c>
      <c r="M1443">
        <f>VLOOKUP(K1443,RatingLookup!$A$2:$C$8,2,FALSE)</f>
        <v>1.4999999999999999E-2</v>
      </c>
      <c r="N1443">
        <f t="shared" si="66"/>
        <v>1.2586770182638762E-3</v>
      </c>
      <c r="O1443">
        <f>VLOOKUP(K1443,RatingLookup!$A$2:$C$8,3,FALSE)</f>
        <v>0.5</v>
      </c>
      <c r="P1443">
        <f t="shared" si="67"/>
        <v>1.8770524505667359</v>
      </c>
      <c r="Q1443" t="str">
        <f t="shared" ca="1" si="68"/>
        <v>No</v>
      </c>
    </row>
    <row r="1444" spans="1:17" x14ac:dyDescent="0.45">
      <c r="A1444" t="s">
        <v>83</v>
      </c>
      <c r="B1444" t="s">
        <v>84</v>
      </c>
      <c r="C1444" t="s">
        <v>85</v>
      </c>
      <c r="D1444" t="s">
        <v>20</v>
      </c>
      <c r="E1444" t="s">
        <v>21</v>
      </c>
      <c r="F1444" s="1">
        <v>43891</v>
      </c>
      <c r="G1444">
        <v>4.75</v>
      </c>
      <c r="H1444">
        <v>80.983000000000004</v>
      </c>
      <c r="I1444">
        <v>25.13</v>
      </c>
      <c r="J1444">
        <v>76.45</v>
      </c>
      <c r="K1444" t="s">
        <v>30</v>
      </c>
      <c r="L1444">
        <v>3102.89</v>
      </c>
      <c r="M1444">
        <f>VLOOKUP(K1444,RatingLookup!$A$2:$C$8,2,FALSE)</f>
        <v>1.4999999999999999E-2</v>
      </c>
      <c r="N1444">
        <f t="shared" si="66"/>
        <v>1.2586770182638762E-3</v>
      </c>
      <c r="O1444">
        <f>VLOOKUP(K1444,RatingLookup!$A$2:$C$8,3,FALSE)</f>
        <v>0.5</v>
      </c>
      <c r="P1444">
        <f t="shared" si="67"/>
        <v>1.9527681666003993</v>
      </c>
      <c r="Q1444" t="str">
        <f t="shared" ca="1" si="68"/>
        <v>No</v>
      </c>
    </row>
    <row r="1445" spans="1:17" x14ac:dyDescent="0.45">
      <c r="A1445" t="s">
        <v>83</v>
      </c>
      <c r="B1445" t="s">
        <v>84</v>
      </c>
      <c r="C1445" t="s">
        <v>85</v>
      </c>
      <c r="D1445" t="s">
        <v>20</v>
      </c>
      <c r="E1445" t="s">
        <v>21</v>
      </c>
      <c r="F1445" s="1">
        <v>43922</v>
      </c>
      <c r="G1445">
        <v>6.43</v>
      </c>
      <c r="H1445">
        <v>85.373699999999999</v>
      </c>
      <c r="I1445">
        <v>15.81</v>
      </c>
      <c r="J1445">
        <v>72.34</v>
      </c>
      <c r="K1445" t="s">
        <v>30</v>
      </c>
      <c r="L1445">
        <v>2673.46</v>
      </c>
      <c r="M1445">
        <f>VLOOKUP(K1445,RatingLookup!$A$2:$C$8,2,FALSE)</f>
        <v>1.4999999999999999E-2</v>
      </c>
      <c r="N1445">
        <f t="shared" si="66"/>
        <v>1.2586770182638762E-3</v>
      </c>
      <c r="O1445">
        <f>VLOOKUP(K1445,RatingLookup!$A$2:$C$8,3,FALSE)</f>
        <v>0.5</v>
      </c>
      <c r="P1445">
        <f t="shared" si="67"/>
        <v>1.6825113306238713</v>
      </c>
      <c r="Q1445" t="str">
        <f t="shared" ca="1" si="68"/>
        <v>No</v>
      </c>
    </row>
    <row r="1446" spans="1:17" x14ac:dyDescent="0.45">
      <c r="A1446" t="s">
        <v>83</v>
      </c>
      <c r="B1446" t="s">
        <v>84</v>
      </c>
      <c r="C1446" t="s">
        <v>85</v>
      </c>
      <c r="D1446" t="s">
        <v>20</v>
      </c>
      <c r="E1446" t="s">
        <v>21</v>
      </c>
      <c r="F1446" s="1">
        <v>43952</v>
      </c>
      <c r="G1446">
        <v>5.97</v>
      </c>
      <c r="H1446">
        <v>75.742800000000003</v>
      </c>
      <c r="I1446">
        <v>23.89</v>
      </c>
      <c r="J1446">
        <v>61.22</v>
      </c>
      <c r="K1446" t="s">
        <v>30</v>
      </c>
      <c r="L1446">
        <v>3158.35</v>
      </c>
      <c r="M1446">
        <f>VLOOKUP(K1446,RatingLookup!$A$2:$C$8,2,FALSE)</f>
        <v>1.4999999999999999E-2</v>
      </c>
      <c r="N1446">
        <f t="shared" si="66"/>
        <v>1.2586770182638762E-3</v>
      </c>
      <c r="O1446">
        <f>VLOOKUP(K1446,RatingLookup!$A$2:$C$8,3,FALSE)</f>
        <v>0.5</v>
      </c>
      <c r="P1446">
        <f t="shared" si="67"/>
        <v>1.9876712803168568</v>
      </c>
      <c r="Q1446" t="str">
        <f t="shared" ca="1" si="68"/>
        <v>No</v>
      </c>
    </row>
    <row r="1447" spans="1:17" x14ac:dyDescent="0.45">
      <c r="A1447" t="s">
        <v>83</v>
      </c>
      <c r="B1447" t="s">
        <v>84</v>
      </c>
      <c r="C1447" t="s">
        <v>85</v>
      </c>
      <c r="D1447" t="s">
        <v>20</v>
      </c>
      <c r="E1447" t="s">
        <v>21</v>
      </c>
      <c r="F1447" s="1">
        <v>43983</v>
      </c>
      <c r="G1447">
        <v>5.74</v>
      </c>
      <c r="H1447">
        <v>78.766400000000004</v>
      </c>
      <c r="I1447">
        <v>7.52</v>
      </c>
      <c r="J1447">
        <v>86.41</v>
      </c>
      <c r="K1447" t="s">
        <v>30</v>
      </c>
      <c r="L1447">
        <v>3050.04</v>
      </c>
      <c r="M1447">
        <f>VLOOKUP(K1447,RatingLookup!$A$2:$C$8,2,FALSE)</f>
        <v>1.4999999999999999E-2</v>
      </c>
      <c r="N1447">
        <f t="shared" si="66"/>
        <v>1.2586770182638762E-3</v>
      </c>
      <c r="O1447">
        <f>VLOOKUP(K1447,RatingLookup!$A$2:$C$8,3,FALSE)</f>
        <v>0.5</v>
      </c>
      <c r="P1447">
        <f t="shared" si="67"/>
        <v>1.9195076263927766</v>
      </c>
      <c r="Q1447" t="str">
        <f t="shared" ca="1" si="68"/>
        <v>No</v>
      </c>
    </row>
    <row r="1448" spans="1:17" x14ac:dyDescent="0.45">
      <c r="A1448" t="s">
        <v>83</v>
      </c>
      <c r="B1448" t="s">
        <v>84</v>
      </c>
      <c r="C1448" t="s">
        <v>85</v>
      </c>
      <c r="D1448" t="s">
        <v>20</v>
      </c>
      <c r="E1448" t="s">
        <v>21</v>
      </c>
      <c r="F1448" s="1">
        <v>44013</v>
      </c>
      <c r="G1448">
        <v>5.86</v>
      </c>
      <c r="H1448">
        <v>87.144099999999995</v>
      </c>
      <c r="I1448">
        <v>6.29</v>
      </c>
      <c r="J1448">
        <v>75.040000000000006</v>
      </c>
      <c r="K1448" t="s">
        <v>22</v>
      </c>
      <c r="L1448">
        <v>2775.92</v>
      </c>
      <c r="M1448">
        <f>VLOOKUP(K1448,RatingLookup!$A$2:$C$8,2,FALSE)</f>
        <v>5.0000000000000001E-3</v>
      </c>
      <c r="N1448">
        <f t="shared" si="66"/>
        <v>4.1762458919303302E-4</v>
      </c>
      <c r="O1448">
        <f>VLOOKUP(K1448,RatingLookup!$A$2:$C$8,3,FALSE)</f>
        <v>0.45</v>
      </c>
      <c r="P1448">
        <f t="shared" si="67"/>
        <v>0.52168160233472594</v>
      </c>
      <c r="Q1448" t="str">
        <f t="shared" ca="1" si="68"/>
        <v>No</v>
      </c>
    </row>
    <row r="1449" spans="1:17" x14ac:dyDescent="0.45">
      <c r="A1449" t="s">
        <v>83</v>
      </c>
      <c r="B1449" t="s">
        <v>84</v>
      </c>
      <c r="C1449" t="s">
        <v>85</v>
      </c>
      <c r="D1449" t="s">
        <v>20</v>
      </c>
      <c r="E1449" t="s">
        <v>21</v>
      </c>
      <c r="F1449" s="1">
        <v>44044</v>
      </c>
      <c r="G1449">
        <v>5.51</v>
      </c>
      <c r="H1449">
        <v>79.954599999999999</v>
      </c>
      <c r="I1449">
        <v>19.07</v>
      </c>
      <c r="J1449">
        <v>86.44</v>
      </c>
      <c r="K1449" t="s">
        <v>22</v>
      </c>
      <c r="L1449">
        <v>2904.74</v>
      </c>
      <c r="M1449">
        <f>VLOOKUP(K1449,RatingLookup!$A$2:$C$8,2,FALSE)</f>
        <v>5.0000000000000001E-3</v>
      </c>
      <c r="N1449">
        <f t="shared" si="66"/>
        <v>4.1762458919303302E-4</v>
      </c>
      <c r="O1449">
        <f>VLOOKUP(K1449,RatingLookup!$A$2:$C$8,3,FALSE)</f>
        <v>0.45</v>
      </c>
      <c r="P1449">
        <f t="shared" si="67"/>
        <v>0.54589088214565684</v>
      </c>
      <c r="Q1449" t="str">
        <f t="shared" ca="1" si="68"/>
        <v>No</v>
      </c>
    </row>
    <row r="1450" spans="1:17" x14ac:dyDescent="0.45">
      <c r="A1450" t="s">
        <v>83</v>
      </c>
      <c r="B1450" t="s">
        <v>84</v>
      </c>
      <c r="C1450" t="s">
        <v>85</v>
      </c>
      <c r="D1450" t="s">
        <v>20</v>
      </c>
      <c r="E1450" t="s">
        <v>21</v>
      </c>
      <c r="F1450" s="1">
        <v>44075</v>
      </c>
      <c r="G1450">
        <v>6.36</v>
      </c>
      <c r="H1450">
        <v>84.769900000000007</v>
      </c>
      <c r="I1450">
        <v>30.36</v>
      </c>
      <c r="J1450">
        <v>79.91</v>
      </c>
      <c r="K1450" t="s">
        <v>22</v>
      </c>
      <c r="L1450">
        <v>2954.65</v>
      </c>
      <c r="M1450">
        <f>VLOOKUP(K1450,RatingLookup!$A$2:$C$8,2,FALSE)</f>
        <v>5.0000000000000001E-3</v>
      </c>
      <c r="N1450">
        <f t="shared" si="66"/>
        <v>4.1762458919303302E-4</v>
      </c>
      <c r="O1450">
        <f>VLOOKUP(K1450,RatingLookup!$A$2:$C$8,3,FALSE)</f>
        <v>0.45</v>
      </c>
      <c r="P1450">
        <f t="shared" si="67"/>
        <v>0.55527052160663781</v>
      </c>
      <c r="Q1450" t="str">
        <f t="shared" ca="1" si="68"/>
        <v>No</v>
      </c>
    </row>
    <row r="1451" spans="1:17" x14ac:dyDescent="0.45">
      <c r="A1451" t="s">
        <v>83</v>
      </c>
      <c r="B1451" t="s">
        <v>84</v>
      </c>
      <c r="C1451" t="s">
        <v>85</v>
      </c>
      <c r="D1451" t="s">
        <v>20</v>
      </c>
      <c r="E1451" t="s">
        <v>21</v>
      </c>
      <c r="F1451" s="1">
        <v>44105</v>
      </c>
      <c r="G1451">
        <v>4.55</v>
      </c>
      <c r="H1451">
        <v>81.956199999999995</v>
      </c>
      <c r="I1451">
        <v>32.270000000000003</v>
      </c>
      <c r="J1451">
        <v>73.83</v>
      </c>
      <c r="K1451" t="s">
        <v>22</v>
      </c>
      <c r="L1451">
        <v>2717</v>
      </c>
      <c r="M1451">
        <f>VLOOKUP(K1451,RatingLookup!$A$2:$C$8,2,FALSE)</f>
        <v>5.0000000000000001E-3</v>
      </c>
      <c r="N1451">
        <f t="shared" si="66"/>
        <v>4.1762458919303302E-4</v>
      </c>
      <c r="O1451">
        <f>VLOOKUP(K1451,RatingLookup!$A$2:$C$8,3,FALSE)</f>
        <v>0.45</v>
      </c>
      <c r="P1451">
        <f t="shared" si="67"/>
        <v>0.51060870397686176</v>
      </c>
      <c r="Q1451" t="str">
        <f t="shared" ca="1" si="68"/>
        <v>No</v>
      </c>
    </row>
    <row r="1452" spans="1:17" x14ac:dyDescent="0.45">
      <c r="A1452" t="s">
        <v>83</v>
      </c>
      <c r="B1452" t="s">
        <v>84</v>
      </c>
      <c r="C1452" t="s">
        <v>85</v>
      </c>
      <c r="D1452" t="s">
        <v>20</v>
      </c>
      <c r="E1452" t="s">
        <v>21</v>
      </c>
      <c r="F1452" s="1">
        <v>44136</v>
      </c>
      <c r="G1452">
        <v>5.22</v>
      </c>
      <c r="H1452">
        <v>87.519199999999998</v>
      </c>
      <c r="I1452">
        <v>6.82</v>
      </c>
      <c r="J1452">
        <v>88.49</v>
      </c>
      <c r="K1452" t="s">
        <v>22</v>
      </c>
      <c r="L1452">
        <v>2929.61</v>
      </c>
      <c r="M1452">
        <f>VLOOKUP(K1452,RatingLookup!$A$2:$C$8,2,FALSE)</f>
        <v>5.0000000000000001E-3</v>
      </c>
      <c r="N1452">
        <f t="shared" si="66"/>
        <v>4.1762458919303302E-4</v>
      </c>
      <c r="O1452">
        <f>VLOOKUP(K1452,RatingLookup!$A$2:$C$8,3,FALSE)</f>
        <v>0.45</v>
      </c>
      <c r="P1452">
        <f t="shared" si="67"/>
        <v>0.55056472773561071</v>
      </c>
      <c r="Q1452" t="str">
        <f t="shared" ca="1" si="68"/>
        <v>No</v>
      </c>
    </row>
    <row r="1453" spans="1:17" x14ac:dyDescent="0.45">
      <c r="A1453" t="s">
        <v>83</v>
      </c>
      <c r="B1453" t="s">
        <v>84</v>
      </c>
      <c r="C1453" t="s">
        <v>85</v>
      </c>
      <c r="D1453" t="s">
        <v>20</v>
      </c>
      <c r="E1453" t="s">
        <v>21</v>
      </c>
      <c r="F1453" s="1">
        <v>44166</v>
      </c>
      <c r="G1453">
        <v>4.93</v>
      </c>
      <c r="H1453">
        <v>81.4739</v>
      </c>
      <c r="I1453">
        <v>16.309999999999999</v>
      </c>
      <c r="J1453">
        <v>78.849999999999994</v>
      </c>
      <c r="K1453" t="s">
        <v>22</v>
      </c>
      <c r="L1453">
        <v>2908.98</v>
      </c>
      <c r="M1453">
        <f>VLOOKUP(K1453,RatingLookup!$A$2:$C$8,2,FALSE)</f>
        <v>5.0000000000000001E-3</v>
      </c>
      <c r="N1453">
        <f t="shared" si="66"/>
        <v>4.1762458919303302E-4</v>
      </c>
      <c r="O1453">
        <f>VLOOKUP(K1453,RatingLookup!$A$2:$C$8,3,FALSE)</f>
        <v>0.45</v>
      </c>
      <c r="P1453">
        <f t="shared" si="67"/>
        <v>0.54668770986183712</v>
      </c>
      <c r="Q1453" t="str">
        <f t="shared" ca="1" si="68"/>
        <v>No</v>
      </c>
    </row>
    <row r="1454" spans="1:17" x14ac:dyDescent="0.45">
      <c r="A1454" t="s">
        <v>83</v>
      </c>
      <c r="B1454" t="s">
        <v>84</v>
      </c>
      <c r="C1454" t="s">
        <v>85</v>
      </c>
      <c r="D1454" t="s">
        <v>20</v>
      </c>
      <c r="E1454" t="s">
        <v>21</v>
      </c>
      <c r="F1454" s="1">
        <v>44197</v>
      </c>
      <c r="G1454">
        <v>5.67</v>
      </c>
      <c r="H1454">
        <v>85.317999999999998</v>
      </c>
      <c r="I1454">
        <v>20.53</v>
      </c>
      <c r="J1454">
        <v>82.65</v>
      </c>
      <c r="K1454" t="s">
        <v>30</v>
      </c>
      <c r="L1454">
        <v>3117.43</v>
      </c>
      <c r="M1454">
        <f>VLOOKUP(K1454,RatingLookup!$A$2:$C$8,2,FALSE)</f>
        <v>1.4999999999999999E-2</v>
      </c>
      <c r="N1454">
        <f t="shared" si="66"/>
        <v>1.2586770182638762E-3</v>
      </c>
      <c r="O1454">
        <f>VLOOKUP(K1454,RatingLookup!$A$2:$C$8,3,FALSE)</f>
        <v>0.5</v>
      </c>
      <c r="P1454">
        <f t="shared" si="67"/>
        <v>1.9619187485231777</v>
      </c>
      <c r="Q1454" t="str">
        <f t="shared" ca="1" si="68"/>
        <v>No</v>
      </c>
    </row>
    <row r="1455" spans="1:17" x14ac:dyDescent="0.45">
      <c r="A1455" t="s">
        <v>83</v>
      </c>
      <c r="B1455" t="s">
        <v>84</v>
      </c>
      <c r="C1455" t="s">
        <v>85</v>
      </c>
      <c r="D1455" t="s">
        <v>20</v>
      </c>
      <c r="E1455" t="s">
        <v>21</v>
      </c>
      <c r="F1455" s="1">
        <v>44228</v>
      </c>
      <c r="G1455">
        <v>6.68</v>
      </c>
      <c r="H1455">
        <v>88.437700000000007</v>
      </c>
      <c r="I1455">
        <v>15.13</v>
      </c>
      <c r="J1455">
        <v>74.13</v>
      </c>
      <c r="K1455" t="s">
        <v>30</v>
      </c>
      <c r="L1455">
        <v>2922.46</v>
      </c>
      <c r="M1455">
        <f>VLOOKUP(K1455,RatingLookup!$A$2:$C$8,2,FALSE)</f>
        <v>1.4999999999999999E-2</v>
      </c>
      <c r="N1455">
        <f t="shared" si="66"/>
        <v>1.2586770182638762E-3</v>
      </c>
      <c r="O1455">
        <f>VLOOKUP(K1455,RatingLookup!$A$2:$C$8,3,FALSE)</f>
        <v>0.5</v>
      </c>
      <c r="P1455">
        <f t="shared" si="67"/>
        <v>1.839216619397724</v>
      </c>
      <c r="Q1455" t="str">
        <f t="shared" ca="1" si="68"/>
        <v>No</v>
      </c>
    </row>
    <row r="1456" spans="1:17" x14ac:dyDescent="0.45">
      <c r="A1456" t="s">
        <v>83</v>
      </c>
      <c r="B1456" t="s">
        <v>84</v>
      </c>
      <c r="C1456" t="s">
        <v>85</v>
      </c>
      <c r="D1456" t="s">
        <v>20</v>
      </c>
      <c r="E1456" t="s">
        <v>21</v>
      </c>
      <c r="F1456" s="1">
        <v>44256</v>
      </c>
      <c r="G1456">
        <v>5.2</v>
      </c>
      <c r="H1456">
        <v>81.5959</v>
      </c>
      <c r="I1456">
        <v>16.11</v>
      </c>
      <c r="J1456">
        <v>72.69</v>
      </c>
      <c r="K1456" t="s">
        <v>30</v>
      </c>
      <c r="L1456">
        <v>2917.87</v>
      </c>
      <c r="M1456">
        <f>VLOOKUP(K1456,RatingLookup!$A$2:$C$8,2,FALSE)</f>
        <v>1.4999999999999999E-2</v>
      </c>
      <c r="N1456">
        <f t="shared" si="66"/>
        <v>1.2586770182638762E-3</v>
      </c>
      <c r="O1456">
        <f>VLOOKUP(K1456,RatingLookup!$A$2:$C$8,3,FALSE)</f>
        <v>0.5</v>
      </c>
      <c r="P1456">
        <f t="shared" si="67"/>
        <v>1.8363279556408083</v>
      </c>
      <c r="Q1456" t="str">
        <f t="shared" ca="1" si="68"/>
        <v>No</v>
      </c>
    </row>
    <row r="1457" spans="1:17" x14ac:dyDescent="0.45">
      <c r="A1457" t="s">
        <v>83</v>
      </c>
      <c r="B1457" t="s">
        <v>84</v>
      </c>
      <c r="C1457" t="s">
        <v>85</v>
      </c>
      <c r="D1457" t="s">
        <v>20</v>
      </c>
      <c r="E1457" t="s">
        <v>21</v>
      </c>
      <c r="F1457" s="1">
        <v>44287</v>
      </c>
      <c r="G1457">
        <v>5.97</v>
      </c>
      <c r="H1457">
        <v>84.249799999999993</v>
      </c>
      <c r="I1457">
        <v>11.71</v>
      </c>
      <c r="J1457">
        <v>74.8</v>
      </c>
      <c r="K1457" t="s">
        <v>30</v>
      </c>
      <c r="L1457">
        <v>2953.45</v>
      </c>
      <c r="M1457">
        <f>VLOOKUP(K1457,RatingLookup!$A$2:$C$8,2,FALSE)</f>
        <v>1.4999999999999999E-2</v>
      </c>
      <c r="N1457">
        <f t="shared" si="66"/>
        <v>1.2586770182638762E-3</v>
      </c>
      <c r="O1457">
        <f>VLOOKUP(K1457,RatingLookup!$A$2:$C$8,3,FALSE)</f>
        <v>0.5</v>
      </c>
      <c r="P1457">
        <f t="shared" si="67"/>
        <v>1.8587198197957224</v>
      </c>
      <c r="Q1457" t="str">
        <f t="shared" ca="1" si="68"/>
        <v>No</v>
      </c>
    </row>
    <row r="1458" spans="1:17" x14ac:dyDescent="0.45">
      <c r="A1458" t="s">
        <v>83</v>
      </c>
      <c r="B1458" t="s">
        <v>84</v>
      </c>
      <c r="C1458" t="s">
        <v>85</v>
      </c>
      <c r="D1458" t="s">
        <v>20</v>
      </c>
      <c r="E1458" t="s">
        <v>21</v>
      </c>
      <c r="F1458" s="1">
        <v>44317</v>
      </c>
      <c r="G1458">
        <v>5.61</v>
      </c>
      <c r="H1458">
        <v>82.791200000000003</v>
      </c>
      <c r="I1458">
        <v>18.38</v>
      </c>
      <c r="J1458">
        <v>84.71</v>
      </c>
      <c r="K1458" t="s">
        <v>30</v>
      </c>
      <c r="L1458">
        <v>2914.81</v>
      </c>
      <c r="M1458">
        <f>VLOOKUP(K1458,RatingLookup!$A$2:$C$8,2,FALSE)</f>
        <v>1.4999999999999999E-2</v>
      </c>
      <c r="N1458">
        <f t="shared" si="66"/>
        <v>1.2586770182638762E-3</v>
      </c>
      <c r="O1458">
        <f>VLOOKUP(K1458,RatingLookup!$A$2:$C$8,3,FALSE)</f>
        <v>0.5</v>
      </c>
      <c r="P1458">
        <f t="shared" si="67"/>
        <v>1.8344021798028645</v>
      </c>
      <c r="Q1458" t="str">
        <f t="shared" ca="1" si="68"/>
        <v>No</v>
      </c>
    </row>
    <row r="1459" spans="1:17" x14ac:dyDescent="0.45">
      <c r="A1459" t="s">
        <v>83</v>
      </c>
      <c r="B1459" t="s">
        <v>84</v>
      </c>
      <c r="C1459" t="s">
        <v>85</v>
      </c>
      <c r="D1459" t="s">
        <v>20</v>
      </c>
      <c r="E1459" t="s">
        <v>21</v>
      </c>
      <c r="F1459" s="1">
        <v>44348</v>
      </c>
      <c r="G1459">
        <v>4.63</v>
      </c>
      <c r="H1459">
        <v>85.648499999999999</v>
      </c>
      <c r="I1459">
        <v>5</v>
      </c>
      <c r="J1459">
        <v>75.7</v>
      </c>
      <c r="K1459" t="s">
        <v>30</v>
      </c>
      <c r="L1459">
        <v>3019.38</v>
      </c>
      <c r="M1459">
        <f>VLOOKUP(K1459,RatingLookup!$A$2:$C$8,2,FALSE)</f>
        <v>1.4999999999999999E-2</v>
      </c>
      <c r="N1459">
        <f t="shared" si="66"/>
        <v>1.2586770182638762E-3</v>
      </c>
      <c r="O1459">
        <f>VLOOKUP(K1459,RatingLookup!$A$2:$C$8,3,FALSE)</f>
        <v>0.5</v>
      </c>
      <c r="P1459">
        <f t="shared" si="67"/>
        <v>1.9002121077027914</v>
      </c>
      <c r="Q1459" t="str">
        <f t="shared" ca="1" si="68"/>
        <v>No</v>
      </c>
    </row>
    <row r="1460" spans="1:17" x14ac:dyDescent="0.45">
      <c r="A1460" t="s">
        <v>83</v>
      </c>
      <c r="B1460" t="s">
        <v>84</v>
      </c>
      <c r="C1460" t="s">
        <v>85</v>
      </c>
      <c r="D1460" t="s">
        <v>20</v>
      </c>
      <c r="E1460" t="s">
        <v>21</v>
      </c>
      <c r="F1460" s="1">
        <v>44378</v>
      </c>
      <c r="G1460">
        <v>6.21</v>
      </c>
      <c r="H1460">
        <v>87.575299999999999</v>
      </c>
      <c r="I1460">
        <v>24.25</v>
      </c>
      <c r="J1460">
        <v>73.56</v>
      </c>
      <c r="K1460" t="s">
        <v>30</v>
      </c>
      <c r="L1460">
        <v>3203.53</v>
      </c>
      <c r="M1460">
        <f>VLOOKUP(K1460,RatingLookup!$A$2:$C$8,2,FALSE)</f>
        <v>1.4999999999999999E-2</v>
      </c>
      <c r="N1460">
        <f t="shared" si="66"/>
        <v>1.2586770182638762E-3</v>
      </c>
      <c r="O1460">
        <f>VLOOKUP(K1460,RatingLookup!$A$2:$C$8,3,FALSE)</f>
        <v>0.5</v>
      </c>
      <c r="P1460">
        <f t="shared" si="67"/>
        <v>2.0161047941594377</v>
      </c>
      <c r="Q1460" t="str">
        <f t="shared" ca="1" si="68"/>
        <v>No</v>
      </c>
    </row>
    <row r="1461" spans="1:17" x14ac:dyDescent="0.45">
      <c r="A1461" t="s">
        <v>83</v>
      </c>
      <c r="B1461" t="s">
        <v>84</v>
      </c>
      <c r="C1461" t="s">
        <v>85</v>
      </c>
      <c r="D1461" t="s">
        <v>20</v>
      </c>
      <c r="E1461" t="s">
        <v>21</v>
      </c>
      <c r="F1461" s="1">
        <v>44409</v>
      </c>
      <c r="G1461">
        <v>6.05</v>
      </c>
      <c r="H1461">
        <v>81.282300000000006</v>
      </c>
      <c r="I1461">
        <v>16.420000000000002</v>
      </c>
      <c r="J1461">
        <v>86.64</v>
      </c>
      <c r="K1461" t="s">
        <v>22</v>
      </c>
      <c r="L1461">
        <v>2989.62</v>
      </c>
      <c r="M1461">
        <f>VLOOKUP(K1461,RatingLookup!$A$2:$C$8,2,FALSE)</f>
        <v>5.0000000000000001E-3</v>
      </c>
      <c r="N1461">
        <f t="shared" si="66"/>
        <v>4.1762458919303302E-4</v>
      </c>
      <c r="O1461">
        <f>VLOOKUP(K1461,RatingLookup!$A$2:$C$8,3,FALSE)</f>
        <v>0.45</v>
      </c>
      <c r="P1461">
        <f t="shared" si="67"/>
        <v>0.56184247095447393</v>
      </c>
      <c r="Q1461" t="str">
        <f t="shared" ca="1" si="68"/>
        <v>No</v>
      </c>
    </row>
    <row r="1462" spans="1:17" x14ac:dyDescent="0.45">
      <c r="A1462" t="s">
        <v>83</v>
      </c>
      <c r="B1462" t="s">
        <v>84</v>
      </c>
      <c r="C1462" t="s">
        <v>85</v>
      </c>
      <c r="D1462" t="s">
        <v>20</v>
      </c>
      <c r="E1462" t="s">
        <v>21</v>
      </c>
      <c r="F1462" s="1">
        <v>44440</v>
      </c>
      <c r="G1462">
        <v>5.72</v>
      </c>
      <c r="H1462">
        <v>85.048699999999997</v>
      </c>
      <c r="I1462">
        <v>13.7</v>
      </c>
      <c r="J1462">
        <v>83.89</v>
      </c>
      <c r="K1462" t="s">
        <v>22</v>
      </c>
      <c r="L1462">
        <v>2877.59</v>
      </c>
      <c r="M1462">
        <f>VLOOKUP(K1462,RatingLookup!$A$2:$C$8,2,FALSE)</f>
        <v>5.0000000000000001E-3</v>
      </c>
      <c r="N1462">
        <f t="shared" si="66"/>
        <v>4.1762458919303302E-4</v>
      </c>
      <c r="O1462">
        <f>VLOOKUP(K1462,RatingLookup!$A$2:$C$8,3,FALSE)</f>
        <v>0.45</v>
      </c>
      <c r="P1462">
        <f t="shared" si="67"/>
        <v>0.54078855372719092</v>
      </c>
      <c r="Q1462" t="str">
        <f t="shared" ca="1" si="68"/>
        <v>No</v>
      </c>
    </row>
    <row r="1463" spans="1:17" x14ac:dyDescent="0.45">
      <c r="A1463" t="s">
        <v>83</v>
      </c>
      <c r="B1463" t="s">
        <v>84</v>
      </c>
      <c r="C1463" t="s">
        <v>85</v>
      </c>
      <c r="D1463" t="s">
        <v>20</v>
      </c>
      <c r="E1463" t="s">
        <v>21</v>
      </c>
      <c r="F1463" s="1">
        <v>44470</v>
      </c>
      <c r="G1463">
        <v>5.95</v>
      </c>
      <c r="H1463">
        <v>80.676500000000004</v>
      </c>
      <c r="I1463">
        <v>20.57</v>
      </c>
      <c r="J1463">
        <v>71.12</v>
      </c>
      <c r="K1463" t="s">
        <v>22</v>
      </c>
      <c r="L1463">
        <v>2959.04</v>
      </c>
      <c r="M1463">
        <f>VLOOKUP(K1463,RatingLookup!$A$2:$C$8,2,FALSE)</f>
        <v>5.0000000000000001E-3</v>
      </c>
      <c r="N1463">
        <f t="shared" si="66"/>
        <v>4.1762458919303302E-4</v>
      </c>
      <c r="O1463">
        <f>VLOOKUP(K1463,RatingLookup!$A$2:$C$8,3,FALSE)</f>
        <v>0.45</v>
      </c>
      <c r="P1463">
        <f t="shared" si="67"/>
        <v>0.55609553898258857</v>
      </c>
      <c r="Q1463" t="str">
        <f t="shared" ca="1" si="68"/>
        <v>No</v>
      </c>
    </row>
    <row r="1464" spans="1:17" x14ac:dyDescent="0.45">
      <c r="A1464" t="s">
        <v>83</v>
      </c>
      <c r="B1464" t="s">
        <v>84</v>
      </c>
      <c r="C1464" t="s">
        <v>85</v>
      </c>
      <c r="D1464" t="s">
        <v>20</v>
      </c>
      <c r="E1464" t="s">
        <v>21</v>
      </c>
      <c r="F1464" s="1">
        <v>44501</v>
      </c>
      <c r="G1464">
        <v>5.18</v>
      </c>
      <c r="H1464">
        <v>83.221999999999994</v>
      </c>
      <c r="I1464">
        <v>22.01</v>
      </c>
      <c r="J1464">
        <v>71.12</v>
      </c>
      <c r="K1464" t="s">
        <v>22</v>
      </c>
      <c r="L1464">
        <v>3000.5</v>
      </c>
      <c r="M1464">
        <f>VLOOKUP(K1464,RatingLookup!$A$2:$C$8,2,FALSE)</f>
        <v>5.0000000000000001E-3</v>
      </c>
      <c r="N1464">
        <f t="shared" si="66"/>
        <v>4.1762458919303302E-4</v>
      </c>
      <c r="O1464">
        <f>VLOOKUP(K1464,RatingLookup!$A$2:$C$8,3,FALSE)</f>
        <v>0.45</v>
      </c>
      <c r="P1464">
        <f t="shared" si="67"/>
        <v>0.56388716094316305</v>
      </c>
      <c r="Q1464" t="str">
        <f t="shared" ca="1" si="68"/>
        <v>No</v>
      </c>
    </row>
    <row r="1465" spans="1:17" x14ac:dyDescent="0.45">
      <c r="A1465" t="s">
        <v>83</v>
      </c>
      <c r="B1465" t="s">
        <v>84</v>
      </c>
      <c r="C1465" t="s">
        <v>85</v>
      </c>
      <c r="D1465" t="s">
        <v>20</v>
      </c>
      <c r="E1465" t="s">
        <v>21</v>
      </c>
      <c r="F1465" s="1">
        <v>44531</v>
      </c>
      <c r="G1465">
        <v>6.51</v>
      </c>
      <c r="H1465">
        <v>78.260900000000007</v>
      </c>
      <c r="I1465">
        <v>13.34</v>
      </c>
      <c r="J1465">
        <v>68.37</v>
      </c>
      <c r="K1465" t="s">
        <v>22</v>
      </c>
      <c r="L1465">
        <v>3344.6</v>
      </c>
      <c r="M1465">
        <f>VLOOKUP(K1465,RatingLookup!$A$2:$C$8,2,FALSE)</f>
        <v>5.0000000000000001E-3</v>
      </c>
      <c r="N1465">
        <f t="shared" si="66"/>
        <v>4.1762458919303302E-4</v>
      </c>
      <c r="O1465">
        <f>VLOOKUP(K1465,RatingLookup!$A$2:$C$8,3,FALSE)</f>
        <v>0.45</v>
      </c>
      <c r="P1465">
        <f t="shared" si="67"/>
        <v>0.62855424045675823</v>
      </c>
      <c r="Q1465" t="str">
        <f t="shared" ca="1" si="68"/>
        <v>No</v>
      </c>
    </row>
    <row r="1466" spans="1:17" x14ac:dyDescent="0.45">
      <c r="A1466" t="s">
        <v>83</v>
      </c>
      <c r="B1466" t="s">
        <v>84</v>
      </c>
      <c r="C1466" t="s">
        <v>85</v>
      </c>
      <c r="D1466" t="s">
        <v>20</v>
      </c>
      <c r="E1466" t="s">
        <v>21</v>
      </c>
      <c r="F1466" s="1">
        <v>44562</v>
      </c>
      <c r="G1466">
        <v>5.52</v>
      </c>
      <c r="H1466">
        <v>80.764899999999997</v>
      </c>
      <c r="I1466">
        <v>11.61</v>
      </c>
      <c r="J1466">
        <v>81.349999999999994</v>
      </c>
      <c r="K1466" t="s">
        <v>22</v>
      </c>
      <c r="L1466">
        <v>3309.76</v>
      </c>
      <c r="M1466">
        <f>VLOOKUP(K1466,RatingLookup!$A$2:$C$8,2,FALSE)</f>
        <v>5.0000000000000001E-3</v>
      </c>
      <c r="N1466">
        <f t="shared" si="66"/>
        <v>4.1762458919303302E-4</v>
      </c>
      <c r="O1466">
        <f>VLOOKUP(K1466,RatingLookup!$A$2:$C$8,3,FALSE)</f>
        <v>0.45</v>
      </c>
      <c r="P1466">
        <f t="shared" si="67"/>
        <v>0.62200672214738983</v>
      </c>
      <c r="Q1466" t="str">
        <f t="shared" ca="1" si="68"/>
        <v>No</v>
      </c>
    </row>
    <row r="1467" spans="1:17" x14ac:dyDescent="0.45">
      <c r="A1467" t="s">
        <v>83</v>
      </c>
      <c r="B1467" t="s">
        <v>84</v>
      </c>
      <c r="C1467" t="s">
        <v>85</v>
      </c>
      <c r="D1467" t="s">
        <v>20</v>
      </c>
      <c r="E1467" t="s">
        <v>21</v>
      </c>
      <c r="F1467" s="1">
        <v>44593</v>
      </c>
      <c r="G1467">
        <v>5.53</v>
      </c>
      <c r="H1467">
        <v>79.758200000000002</v>
      </c>
      <c r="I1467">
        <v>14.47</v>
      </c>
      <c r="J1467">
        <v>88.86</v>
      </c>
      <c r="K1467" t="s">
        <v>22</v>
      </c>
      <c r="L1467">
        <v>2739.58</v>
      </c>
      <c r="M1467">
        <f>VLOOKUP(K1467,RatingLookup!$A$2:$C$8,2,FALSE)</f>
        <v>5.0000000000000001E-3</v>
      </c>
      <c r="N1467">
        <f t="shared" si="66"/>
        <v>4.1762458919303302E-4</v>
      </c>
      <c r="O1467">
        <f>VLOOKUP(K1467,RatingLookup!$A$2:$C$8,3,FALSE)</f>
        <v>0.45</v>
      </c>
      <c r="P1467">
        <f t="shared" si="67"/>
        <v>0.51485218742765226</v>
      </c>
      <c r="Q1467" t="str">
        <f t="shared" ca="1" si="68"/>
        <v>No</v>
      </c>
    </row>
    <row r="1468" spans="1:17" x14ac:dyDescent="0.45">
      <c r="A1468" t="s">
        <v>83</v>
      </c>
      <c r="B1468" t="s">
        <v>84</v>
      </c>
      <c r="C1468" t="s">
        <v>85</v>
      </c>
      <c r="D1468" t="s">
        <v>20</v>
      </c>
      <c r="E1468" t="s">
        <v>21</v>
      </c>
      <c r="F1468" s="1">
        <v>44621</v>
      </c>
      <c r="G1468">
        <v>6.47</v>
      </c>
      <c r="H1468">
        <v>83.733599999999996</v>
      </c>
      <c r="I1468">
        <v>27.67</v>
      </c>
      <c r="J1468">
        <v>81.27</v>
      </c>
      <c r="K1468" t="s">
        <v>22</v>
      </c>
      <c r="L1468">
        <v>3155.36</v>
      </c>
      <c r="M1468">
        <f>VLOOKUP(K1468,RatingLookup!$A$2:$C$8,2,FALSE)</f>
        <v>5.0000000000000001E-3</v>
      </c>
      <c r="N1468">
        <f t="shared" si="66"/>
        <v>4.1762458919303302E-4</v>
      </c>
      <c r="O1468">
        <f>VLOOKUP(K1468,RatingLookup!$A$2:$C$8,3,FALSE)</f>
        <v>0.45</v>
      </c>
      <c r="P1468">
        <f t="shared" si="67"/>
        <v>0.59299016569025798</v>
      </c>
      <c r="Q1468" t="str">
        <f t="shared" ca="1" si="68"/>
        <v>No</v>
      </c>
    </row>
    <row r="1469" spans="1:17" x14ac:dyDescent="0.45">
      <c r="A1469" t="s">
        <v>83</v>
      </c>
      <c r="B1469" t="s">
        <v>84</v>
      </c>
      <c r="C1469" t="s">
        <v>85</v>
      </c>
      <c r="D1469" t="s">
        <v>20</v>
      </c>
      <c r="E1469" t="s">
        <v>21</v>
      </c>
      <c r="F1469" s="1">
        <v>44652</v>
      </c>
      <c r="G1469">
        <v>4.22</v>
      </c>
      <c r="H1469">
        <v>82.692999999999998</v>
      </c>
      <c r="I1469">
        <v>18.079999999999998</v>
      </c>
      <c r="J1469">
        <v>82.23</v>
      </c>
      <c r="K1469" t="s">
        <v>22</v>
      </c>
      <c r="L1469">
        <v>3123.48</v>
      </c>
      <c r="M1469">
        <f>VLOOKUP(K1469,RatingLookup!$A$2:$C$8,2,FALSE)</f>
        <v>5.0000000000000001E-3</v>
      </c>
      <c r="N1469">
        <f t="shared" si="66"/>
        <v>4.1762458919303302E-4</v>
      </c>
      <c r="O1469">
        <f>VLOOKUP(K1469,RatingLookup!$A$2:$C$8,3,FALSE)</f>
        <v>0.45</v>
      </c>
      <c r="P1469">
        <f t="shared" si="67"/>
        <v>0.58699892333369463</v>
      </c>
      <c r="Q1469" t="str">
        <f t="shared" ca="1" si="68"/>
        <v>No</v>
      </c>
    </row>
    <row r="1470" spans="1:17" x14ac:dyDescent="0.45">
      <c r="A1470" t="s">
        <v>83</v>
      </c>
      <c r="B1470" t="s">
        <v>84</v>
      </c>
      <c r="C1470" t="s">
        <v>85</v>
      </c>
      <c r="D1470" t="s">
        <v>20</v>
      </c>
      <c r="E1470" t="s">
        <v>21</v>
      </c>
      <c r="F1470" s="1">
        <v>44682</v>
      </c>
      <c r="G1470">
        <v>6.22</v>
      </c>
      <c r="H1470">
        <v>85.590599999999995</v>
      </c>
      <c r="I1470">
        <v>19.61</v>
      </c>
      <c r="J1470">
        <v>98.62</v>
      </c>
      <c r="K1470" t="s">
        <v>22</v>
      </c>
      <c r="L1470">
        <v>3266.25</v>
      </c>
      <c r="M1470">
        <f>VLOOKUP(K1470,RatingLookup!$A$2:$C$8,2,FALSE)</f>
        <v>5.0000000000000001E-3</v>
      </c>
      <c r="N1470">
        <f t="shared" si="66"/>
        <v>4.1762458919303302E-4</v>
      </c>
      <c r="O1470">
        <f>VLOOKUP(K1470,RatingLookup!$A$2:$C$8,3,FALSE)</f>
        <v>0.45</v>
      </c>
      <c r="P1470">
        <f t="shared" si="67"/>
        <v>0.6138298415032849</v>
      </c>
      <c r="Q1470" t="str">
        <f t="shared" ca="1" si="68"/>
        <v>No</v>
      </c>
    </row>
    <row r="1471" spans="1:17" x14ac:dyDescent="0.45">
      <c r="A1471" t="s">
        <v>83</v>
      </c>
      <c r="B1471" t="s">
        <v>84</v>
      </c>
      <c r="C1471" t="s">
        <v>85</v>
      </c>
      <c r="D1471" t="s">
        <v>20</v>
      </c>
      <c r="E1471" t="s">
        <v>21</v>
      </c>
      <c r="F1471" s="1">
        <v>44713</v>
      </c>
      <c r="G1471">
        <v>5.0199999999999996</v>
      </c>
      <c r="H1471">
        <v>78.394499999999994</v>
      </c>
      <c r="I1471">
        <v>15.58</v>
      </c>
      <c r="J1471">
        <v>69.150000000000006</v>
      </c>
      <c r="K1471" t="s">
        <v>22</v>
      </c>
      <c r="L1471">
        <v>2981.56</v>
      </c>
      <c r="M1471">
        <f>VLOOKUP(K1471,RatingLookup!$A$2:$C$8,2,FALSE)</f>
        <v>5.0000000000000001E-3</v>
      </c>
      <c r="N1471">
        <f t="shared" si="66"/>
        <v>4.1762458919303302E-4</v>
      </c>
      <c r="O1471">
        <f>VLOOKUP(K1471,RatingLookup!$A$2:$C$8,3,FALSE)</f>
        <v>0.45</v>
      </c>
      <c r="P1471">
        <f t="shared" si="67"/>
        <v>0.56032774656947082</v>
      </c>
      <c r="Q1471" t="str">
        <f t="shared" ca="1" si="68"/>
        <v>No</v>
      </c>
    </row>
    <row r="1472" spans="1:17" x14ac:dyDescent="0.45">
      <c r="A1472" t="s">
        <v>83</v>
      </c>
      <c r="B1472" t="s">
        <v>84</v>
      </c>
      <c r="C1472" t="s">
        <v>85</v>
      </c>
      <c r="D1472" t="s">
        <v>20</v>
      </c>
      <c r="E1472" t="s">
        <v>21</v>
      </c>
      <c r="F1472" s="1">
        <v>44743</v>
      </c>
      <c r="G1472">
        <v>6.2</v>
      </c>
      <c r="H1472">
        <v>83.632999999999996</v>
      </c>
      <c r="I1472">
        <v>12.08</v>
      </c>
      <c r="J1472">
        <v>72.430000000000007</v>
      </c>
      <c r="K1472" t="s">
        <v>22</v>
      </c>
      <c r="L1472">
        <v>3159.49</v>
      </c>
      <c r="M1472">
        <f>VLOOKUP(K1472,RatingLookup!$A$2:$C$8,2,FALSE)</f>
        <v>5.0000000000000001E-3</v>
      </c>
      <c r="N1472">
        <f t="shared" si="66"/>
        <v>4.1762458919303302E-4</v>
      </c>
      <c r="O1472">
        <f>VLOOKUP(K1472,RatingLookup!$A$2:$C$8,3,FALSE)</f>
        <v>0.45</v>
      </c>
      <c r="P1472">
        <f t="shared" si="67"/>
        <v>0.59376632098927318</v>
      </c>
      <c r="Q1472" t="str">
        <f t="shared" ca="1" si="68"/>
        <v>No</v>
      </c>
    </row>
    <row r="1473" spans="1:17" x14ac:dyDescent="0.45">
      <c r="A1473" t="s">
        <v>83</v>
      </c>
      <c r="B1473" t="s">
        <v>84</v>
      </c>
      <c r="C1473" t="s">
        <v>85</v>
      </c>
      <c r="D1473" t="s">
        <v>20</v>
      </c>
      <c r="E1473" t="s">
        <v>21</v>
      </c>
      <c r="F1473" s="1">
        <v>44774</v>
      </c>
      <c r="G1473">
        <v>5</v>
      </c>
      <c r="H1473">
        <v>82.499099999999999</v>
      </c>
      <c r="I1473">
        <v>17.350000000000001</v>
      </c>
      <c r="J1473">
        <v>89.2</v>
      </c>
      <c r="K1473" t="s">
        <v>22</v>
      </c>
      <c r="L1473">
        <v>3236.29</v>
      </c>
      <c r="M1473">
        <f>VLOOKUP(K1473,RatingLookup!$A$2:$C$8,2,FALSE)</f>
        <v>5.0000000000000001E-3</v>
      </c>
      <c r="N1473">
        <f t="shared" si="66"/>
        <v>4.1762458919303302E-4</v>
      </c>
      <c r="O1473">
        <f>VLOOKUP(K1473,RatingLookup!$A$2:$C$8,3,FALSE)</f>
        <v>0.45</v>
      </c>
      <c r="P1473">
        <f t="shared" si="67"/>
        <v>0.6081994267917844</v>
      </c>
      <c r="Q1473" t="str">
        <f t="shared" ca="1" si="68"/>
        <v>No</v>
      </c>
    </row>
    <row r="1474" spans="1:17" x14ac:dyDescent="0.45">
      <c r="A1474" t="s">
        <v>83</v>
      </c>
      <c r="B1474" t="s">
        <v>84</v>
      </c>
      <c r="C1474" t="s">
        <v>85</v>
      </c>
      <c r="D1474" t="s">
        <v>20</v>
      </c>
      <c r="E1474" t="s">
        <v>21</v>
      </c>
      <c r="F1474" s="1">
        <v>44805</v>
      </c>
      <c r="G1474">
        <v>5.76</v>
      </c>
      <c r="H1474">
        <v>82.6875</v>
      </c>
      <c r="I1474">
        <v>20.67</v>
      </c>
      <c r="J1474">
        <v>66.86</v>
      </c>
      <c r="K1474" t="s">
        <v>22</v>
      </c>
      <c r="L1474">
        <v>2861.35</v>
      </c>
      <c r="M1474">
        <f>VLOOKUP(K1474,RatingLookup!$A$2:$C$8,2,FALSE)</f>
        <v>5.0000000000000001E-3</v>
      </c>
      <c r="N1474">
        <f t="shared" ref="N1474:N1537" si="69">1-(1-M1474)^(1/12)</f>
        <v>4.1762458919303302E-4</v>
      </c>
      <c r="O1474">
        <f>VLOOKUP(K1474,RatingLookup!$A$2:$C$8,3,FALSE)</f>
        <v>0.45</v>
      </c>
      <c r="P1474">
        <f t="shared" ref="P1474:P1537" si="70">L1474*N1474*O1474</f>
        <v>0.53773655322936831</v>
      </c>
      <c r="Q1474" t="str">
        <f t="shared" ref="Q1474:Q1537" ca="1" si="71">IF(RAND()&lt;N1474,"Yes","No")</f>
        <v>No</v>
      </c>
    </row>
    <row r="1475" spans="1:17" x14ac:dyDescent="0.45">
      <c r="A1475" t="s">
        <v>83</v>
      </c>
      <c r="B1475" t="s">
        <v>84</v>
      </c>
      <c r="C1475" t="s">
        <v>85</v>
      </c>
      <c r="D1475" t="s">
        <v>20</v>
      </c>
      <c r="E1475" t="s">
        <v>21</v>
      </c>
      <c r="F1475" s="1">
        <v>44835</v>
      </c>
      <c r="G1475">
        <v>5.48</v>
      </c>
      <c r="H1475">
        <v>78.908299999999997</v>
      </c>
      <c r="I1475">
        <v>10.15</v>
      </c>
      <c r="J1475">
        <v>74.13</v>
      </c>
      <c r="K1475" t="s">
        <v>22</v>
      </c>
      <c r="L1475">
        <v>2846.09</v>
      </c>
      <c r="M1475">
        <f>VLOOKUP(K1475,RatingLookup!$A$2:$C$8,2,FALSE)</f>
        <v>5.0000000000000001E-3</v>
      </c>
      <c r="N1475">
        <f t="shared" si="69"/>
        <v>4.1762458919303302E-4</v>
      </c>
      <c r="O1475">
        <f>VLOOKUP(K1475,RatingLookup!$A$2:$C$8,3,FALSE)</f>
        <v>0.45</v>
      </c>
      <c r="P1475">
        <f t="shared" si="70"/>
        <v>0.53486872517537976</v>
      </c>
      <c r="Q1475" t="str">
        <f t="shared" ca="1" si="71"/>
        <v>No</v>
      </c>
    </row>
    <row r="1476" spans="1:17" x14ac:dyDescent="0.45">
      <c r="A1476" t="s">
        <v>83</v>
      </c>
      <c r="B1476" t="s">
        <v>84</v>
      </c>
      <c r="C1476" t="s">
        <v>85</v>
      </c>
      <c r="D1476" t="s">
        <v>20</v>
      </c>
      <c r="E1476" t="s">
        <v>21</v>
      </c>
      <c r="F1476" s="1">
        <v>44866</v>
      </c>
      <c r="G1476">
        <v>5.14</v>
      </c>
      <c r="H1476">
        <v>83.849900000000005</v>
      </c>
      <c r="I1476">
        <v>23.98</v>
      </c>
      <c r="J1476">
        <v>80.47</v>
      </c>
      <c r="K1476" t="s">
        <v>22</v>
      </c>
      <c r="L1476">
        <v>3067.53</v>
      </c>
      <c r="M1476">
        <f>VLOOKUP(K1476,RatingLookup!$A$2:$C$8,2,FALSE)</f>
        <v>5.0000000000000001E-3</v>
      </c>
      <c r="N1476">
        <f t="shared" si="69"/>
        <v>4.1762458919303302E-4</v>
      </c>
      <c r="O1476">
        <f>VLOOKUP(K1476,RatingLookup!$A$2:$C$8,3,FALSE)</f>
        <v>0.45</v>
      </c>
      <c r="P1476">
        <f t="shared" si="70"/>
        <v>0.57648418023928705</v>
      </c>
      <c r="Q1476" t="str">
        <f t="shared" ca="1" si="71"/>
        <v>No</v>
      </c>
    </row>
    <row r="1477" spans="1:17" x14ac:dyDescent="0.45">
      <c r="A1477" t="s">
        <v>83</v>
      </c>
      <c r="B1477" t="s">
        <v>84</v>
      </c>
      <c r="C1477" t="s">
        <v>85</v>
      </c>
      <c r="D1477" t="s">
        <v>20</v>
      </c>
      <c r="E1477" t="s">
        <v>21</v>
      </c>
      <c r="F1477" s="1">
        <v>44896</v>
      </c>
      <c r="G1477">
        <v>4.91</v>
      </c>
      <c r="H1477">
        <v>82.150700000000001</v>
      </c>
      <c r="I1477">
        <v>13.61</v>
      </c>
      <c r="J1477">
        <v>80.31</v>
      </c>
      <c r="K1477" t="s">
        <v>22</v>
      </c>
      <c r="L1477">
        <v>3082.79</v>
      </c>
      <c r="M1477">
        <f>VLOOKUP(K1477,RatingLookup!$A$2:$C$8,2,FALSE)</f>
        <v>5.0000000000000001E-3</v>
      </c>
      <c r="N1477">
        <f t="shared" si="69"/>
        <v>4.1762458919303302E-4</v>
      </c>
      <c r="O1477">
        <f>VLOOKUP(K1477,RatingLookup!$A$2:$C$8,3,FALSE)</f>
        <v>0.45</v>
      </c>
      <c r="P1477">
        <f t="shared" si="70"/>
        <v>0.57935200829327571</v>
      </c>
      <c r="Q1477" t="str">
        <f t="shared" ca="1" si="71"/>
        <v>No</v>
      </c>
    </row>
    <row r="1478" spans="1:17" x14ac:dyDescent="0.45">
      <c r="A1478" t="s">
        <v>83</v>
      </c>
      <c r="B1478" t="s">
        <v>84</v>
      </c>
      <c r="C1478" t="s">
        <v>85</v>
      </c>
      <c r="D1478" t="s">
        <v>20</v>
      </c>
      <c r="E1478" t="s">
        <v>21</v>
      </c>
      <c r="F1478" s="1">
        <v>44927</v>
      </c>
      <c r="G1478">
        <v>5.27</v>
      </c>
      <c r="H1478">
        <v>79.416399999999996</v>
      </c>
      <c r="I1478">
        <v>10.97</v>
      </c>
      <c r="J1478">
        <v>83.74</v>
      </c>
      <c r="K1478" t="s">
        <v>30</v>
      </c>
      <c r="L1478">
        <v>3206.59</v>
      </c>
      <c r="M1478">
        <f>VLOOKUP(K1478,RatingLookup!$A$2:$C$8,2,FALSE)</f>
        <v>1.4999999999999999E-2</v>
      </c>
      <c r="N1478">
        <f t="shared" si="69"/>
        <v>1.2586770182638762E-3</v>
      </c>
      <c r="O1478">
        <f>VLOOKUP(K1478,RatingLookup!$A$2:$C$8,3,FALSE)</f>
        <v>0.5</v>
      </c>
      <c r="P1478">
        <f t="shared" si="70"/>
        <v>2.0180305699973817</v>
      </c>
      <c r="Q1478" t="str">
        <f t="shared" ca="1" si="71"/>
        <v>No</v>
      </c>
    </row>
    <row r="1479" spans="1:17" x14ac:dyDescent="0.45">
      <c r="A1479" t="s">
        <v>83</v>
      </c>
      <c r="B1479" t="s">
        <v>84</v>
      </c>
      <c r="C1479" t="s">
        <v>85</v>
      </c>
      <c r="D1479" t="s">
        <v>20</v>
      </c>
      <c r="E1479" t="s">
        <v>21</v>
      </c>
      <c r="F1479" s="1">
        <v>44958</v>
      </c>
      <c r="G1479">
        <v>5.23</v>
      </c>
      <c r="H1479">
        <v>83.695800000000006</v>
      </c>
      <c r="I1479">
        <v>15.99</v>
      </c>
      <c r="J1479">
        <v>70.17</v>
      </c>
      <c r="K1479" t="s">
        <v>30</v>
      </c>
      <c r="L1479">
        <v>3124.5</v>
      </c>
      <c r="M1479">
        <f>VLOOKUP(K1479,RatingLookup!$A$2:$C$8,2,FALSE)</f>
        <v>1.4999999999999999E-2</v>
      </c>
      <c r="N1479">
        <f t="shared" si="69"/>
        <v>1.2586770182638762E-3</v>
      </c>
      <c r="O1479">
        <f>VLOOKUP(K1479,RatingLookup!$A$2:$C$8,3,FALSE)</f>
        <v>0.5</v>
      </c>
      <c r="P1479">
        <f t="shared" si="70"/>
        <v>1.9663681717827406</v>
      </c>
      <c r="Q1479" t="str">
        <f t="shared" ca="1" si="71"/>
        <v>No</v>
      </c>
    </row>
    <row r="1480" spans="1:17" x14ac:dyDescent="0.45">
      <c r="A1480" t="s">
        <v>83</v>
      </c>
      <c r="B1480" t="s">
        <v>84</v>
      </c>
      <c r="C1480" t="s">
        <v>85</v>
      </c>
      <c r="D1480" t="s">
        <v>20</v>
      </c>
      <c r="E1480" t="s">
        <v>21</v>
      </c>
      <c r="F1480" s="1">
        <v>44986</v>
      </c>
      <c r="G1480">
        <v>4.8099999999999996</v>
      </c>
      <c r="H1480">
        <v>87.494500000000002</v>
      </c>
      <c r="I1480">
        <v>10.130000000000001</v>
      </c>
      <c r="J1480">
        <v>81.64</v>
      </c>
      <c r="K1480" t="s">
        <v>30</v>
      </c>
      <c r="L1480">
        <v>3118.9</v>
      </c>
      <c r="M1480">
        <f>VLOOKUP(K1480,RatingLookup!$A$2:$C$8,2,FALSE)</f>
        <v>1.4999999999999999E-2</v>
      </c>
      <c r="N1480">
        <f t="shared" si="69"/>
        <v>1.2586770182638762E-3</v>
      </c>
      <c r="O1480">
        <f>VLOOKUP(K1480,RatingLookup!$A$2:$C$8,3,FALSE)</f>
        <v>0.5</v>
      </c>
      <c r="P1480">
        <f t="shared" si="70"/>
        <v>1.9628438761316018</v>
      </c>
      <c r="Q1480" t="str">
        <f t="shared" ca="1" si="71"/>
        <v>No</v>
      </c>
    </row>
    <row r="1481" spans="1:17" x14ac:dyDescent="0.45">
      <c r="A1481" t="s">
        <v>83</v>
      </c>
      <c r="B1481" t="s">
        <v>84</v>
      </c>
      <c r="C1481" t="s">
        <v>85</v>
      </c>
      <c r="D1481" t="s">
        <v>20</v>
      </c>
      <c r="E1481" t="s">
        <v>21</v>
      </c>
      <c r="F1481" s="1">
        <v>45017</v>
      </c>
      <c r="G1481">
        <v>5.54</v>
      </c>
      <c r="H1481">
        <v>83.809299999999993</v>
      </c>
      <c r="I1481">
        <v>17.14</v>
      </c>
      <c r="J1481">
        <v>84.74</v>
      </c>
      <c r="K1481" t="s">
        <v>30</v>
      </c>
      <c r="L1481">
        <v>3108.44</v>
      </c>
      <c r="M1481">
        <f>VLOOKUP(K1481,RatingLookup!$A$2:$C$8,2,FALSE)</f>
        <v>1.4999999999999999E-2</v>
      </c>
      <c r="N1481">
        <f t="shared" si="69"/>
        <v>1.2586770182638762E-3</v>
      </c>
      <c r="O1481">
        <f>VLOOKUP(K1481,RatingLookup!$A$2:$C$8,3,FALSE)</f>
        <v>0.5</v>
      </c>
      <c r="P1481">
        <f t="shared" si="70"/>
        <v>1.9562609953260817</v>
      </c>
      <c r="Q1481" t="str">
        <f t="shared" ca="1" si="71"/>
        <v>No</v>
      </c>
    </row>
    <row r="1482" spans="1:17" x14ac:dyDescent="0.45">
      <c r="A1482" t="s">
        <v>83</v>
      </c>
      <c r="B1482" t="s">
        <v>84</v>
      </c>
      <c r="C1482" t="s">
        <v>85</v>
      </c>
      <c r="D1482" t="s">
        <v>20</v>
      </c>
      <c r="E1482" t="s">
        <v>21</v>
      </c>
      <c r="F1482" s="1">
        <v>45047</v>
      </c>
      <c r="G1482">
        <v>5.0999999999999996</v>
      </c>
      <c r="H1482">
        <v>90.628799999999998</v>
      </c>
      <c r="I1482">
        <v>22.36</v>
      </c>
      <c r="J1482">
        <v>89.53</v>
      </c>
      <c r="K1482" t="s">
        <v>30</v>
      </c>
      <c r="L1482">
        <v>3050.21</v>
      </c>
      <c r="M1482">
        <f>VLOOKUP(K1482,RatingLookup!$A$2:$C$8,2,FALSE)</f>
        <v>1.4999999999999999E-2</v>
      </c>
      <c r="N1482">
        <f t="shared" si="69"/>
        <v>1.2586770182638762E-3</v>
      </c>
      <c r="O1482">
        <f>VLOOKUP(K1482,RatingLookup!$A$2:$C$8,3,FALSE)</f>
        <v>0.5</v>
      </c>
      <c r="P1482">
        <f t="shared" si="70"/>
        <v>1.9196146139393291</v>
      </c>
      <c r="Q1482" t="str">
        <f t="shared" ca="1" si="71"/>
        <v>No</v>
      </c>
    </row>
    <row r="1483" spans="1:17" x14ac:dyDescent="0.45">
      <c r="A1483" t="s">
        <v>83</v>
      </c>
      <c r="B1483" t="s">
        <v>84</v>
      </c>
      <c r="C1483" t="s">
        <v>85</v>
      </c>
      <c r="D1483" t="s">
        <v>20</v>
      </c>
      <c r="E1483" t="s">
        <v>21</v>
      </c>
      <c r="F1483" s="1">
        <v>45078</v>
      </c>
      <c r="G1483">
        <v>4.99</v>
      </c>
      <c r="H1483">
        <v>81.193200000000004</v>
      </c>
      <c r="I1483">
        <v>16.690000000000001</v>
      </c>
      <c r="J1483">
        <v>88.55</v>
      </c>
      <c r="K1483" t="s">
        <v>30</v>
      </c>
      <c r="L1483">
        <v>3173.72</v>
      </c>
      <c r="M1483">
        <f>VLOOKUP(K1483,RatingLookup!$A$2:$C$8,2,FALSE)</f>
        <v>1.4999999999999999E-2</v>
      </c>
      <c r="N1483">
        <f t="shared" si="69"/>
        <v>1.2586770182638762E-3</v>
      </c>
      <c r="O1483">
        <f>VLOOKUP(K1483,RatingLookup!$A$2:$C$8,3,FALSE)</f>
        <v>0.5</v>
      </c>
      <c r="P1483">
        <f t="shared" si="70"/>
        <v>1.9973442132022146</v>
      </c>
      <c r="Q1483" t="str">
        <f t="shared" ca="1" si="71"/>
        <v>No</v>
      </c>
    </row>
    <row r="1484" spans="1:17" x14ac:dyDescent="0.45">
      <c r="A1484" t="s">
        <v>83</v>
      </c>
      <c r="B1484" t="s">
        <v>84</v>
      </c>
      <c r="C1484" t="s">
        <v>85</v>
      </c>
      <c r="D1484" t="s">
        <v>20</v>
      </c>
      <c r="E1484" t="s">
        <v>21</v>
      </c>
      <c r="F1484" s="1">
        <v>45108</v>
      </c>
      <c r="G1484">
        <v>6.41</v>
      </c>
      <c r="H1484">
        <v>81.182599999999994</v>
      </c>
      <c r="I1484">
        <v>26.54</v>
      </c>
      <c r="J1484">
        <v>80.42</v>
      </c>
      <c r="K1484" t="s">
        <v>30</v>
      </c>
      <c r="L1484">
        <v>3009.61</v>
      </c>
      <c r="M1484">
        <f>VLOOKUP(K1484,RatingLookup!$A$2:$C$8,2,FALSE)</f>
        <v>1.4999999999999999E-2</v>
      </c>
      <c r="N1484">
        <f t="shared" si="69"/>
        <v>1.2586770182638762E-3</v>
      </c>
      <c r="O1484">
        <f>VLOOKUP(K1484,RatingLookup!$A$2:$C$8,3,FALSE)</f>
        <v>0.5</v>
      </c>
      <c r="P1484">
        <f t="shared" si="70"/>
        <v>1.8940634704685724</v>
      </c>
      <c r="Q1484" t="str">
        <f t="shared" ca="1" si="71"/>
        <v>No</v>
      </c>
    </row>
    <row r="1485" spans="1:17" x14ac:dyDescent="0.45">
      <c r="A1485" t="s">
        <v>83</v>
      </c>
      <c r="B1485" t="s">
        <v>84</v>
      </c>
      <c r="C1485" t="s">
        <v>85</v>
      </c>
      <c r="D1485" t="s">
        <v>20</v>
      </c>
      <c r="E1485" t="s">
        <v>21</v>
      </c>
      <c r="F1485" s="1">
        <v>45139</v>
      </c>
      <c r="G1485">
        <v>5.43</v>
      </c>
      <c r="H1485">
        <v>82.936400000000006</v>
      </c>
      <c r="I1485">
        <v>22.02</v>
      </c>
      <c r="J1485">
        <v>88.09</v>
      </c>
      <c r="K1485" t="s">
        <v>30</v>
      </c>
      <c r="L1485">
        <v>3135.6</v>
      </c>
      <c r="M1485">
        <f>VLOOKUP(K1485,RatingLookup!$A$2:$C$8,2,FALSE)</f>
        <v>1.4999999999999999E-2</v>
      </c>
      <c r="N1485">
        <f t="shared" si="69"/>
        <v>1.2586770182638762E-3</v>
      </c>
      <c r="O1485">
        <f>VLOOKUP(K1485,RatingLookup!$A$2:$C$8,3,FALSE)</f>
        <v>0.5</v>
      </c>
      <c r="P1485">
        <f t="shared" si="70"/>
        <v>1.9733538292341051</v>
      </c>
      <c r="Q1485" t="str">
        <f t="shared" ca="1" si="71"/>
        <v>No</v>
      </c>
    </row>
    <row r="1486" spans="1:17" x14ac:dyDescent="0.45">
      <c r="A1486" t="s">
        <v>83</v>
      </c>
      <c r="B1486" t="s">
        <v>84</v>
      </c>
      <c r="C1486" t="s">
        <v>85</v>
      </c>
      <c r="D1486" t="s">
        <v>20</v>
      </c>
      <c r="E1486" t="s">
        <v>21</v>
      </c>
      <c r="F1486" s="1">
        <v>45170</v>
      </c>
      <c r="G1486">
        <v>5.51</v>
      </c>
      <c r="H1486">
        <v>78.144800000000004</v>
      </c>
      <c r="I1486">
        <v>20.74</v>
      </c>
      <c r="J1486">
        <v>83.25</v>
      </c>
      <c r="K1486" t="s">
        <v>30</v>
      </c>
      <c r="L1486">
        <v>3066.46</v>
      </c>
      <c r="M1486">
        <f>VLOOKUP(K1486,RatingLookup!$A$2:$C$8,2,FALSE)</f>
        <v>1.4999999999999999E-2</v>
      </c>
      <c r="N1486">
        <f t="shared" si="69"/>
        <v>1.2586770182638762E-3</v>
      </c>
      <c r="O1486">
        <f>VLOOKUP(K1486,RatingLookup!$A$2:$C$8,3,FALSE)</f>
        <v>0.5</v>
      </c>
      <c r="P1486">
        <f t="shared" si="70"/>
        <v>1.9298413647127231</v>
      </c>
      <c r="Q1486" t="str">
        <f t="shared" ca="1" si="71"/>
        <v>No</v>
      </c>
    </row>
    <row r="1487" spans="1:17" x14ac:dyDescent="0.45">
      <c r="A1487" t="s">
        <v>83</v>
      </c>
      <c r="B1487" t="s">
        <v>84</v>
      </c>
      <c r="C1487" t="s">
        <v>85</v>
      </c>
      <c r="D1487" t="s">
        <v>20</v>
      </c>
      <c r="E1487" t="s">
        <v>21</v>
      </c>
      <c r="F1487" s="1">
        <v>45200</v>
      </c>
      <c r="G1487">
        <v>5.38</v>
      </c>
      <c r="H1487">
        <v>83.25</v>
      </c>
      <c r="I1487">
        <v>13.45</v>
      </c>
      <c r="J1487">
        <v>95.68</v>
      </c>
      <c r="K1487" t="s">
        <v>30</v>
      </c>
      <c r="L1487">
        <v>3023.95</v>
      </c>
      <c r="M1487">
        <f>VLOOKUP(K1487,RatingLookup!$A$2:$C$8,2,FALSE)</f>
        <v>1.4999999999999999E-2</v>
      </c>
      <c r="N1487">
        <f t="shared" si="69"/>
        <v>1.2586770182638762E-3</v>
      </c>
      <c r="O1487">
        <f>VLOOKUP(K1487,RatingLookup!$A$2:$C$8,3,FALSE)</f>
        <v>0.5</v>
      </c>
      <c r="P1487">
        <f t="shared" si="70"/>
        <v>1.9030881846895242</v>
      </c>
      <c r="Q1487" t="str">
        <f t="shared" ca="1" si="71"/>
        <v>No</v>
      </c>
    </row>
    <row r="1488" spans="1:17" x14ac:dyDescent="0.45">
      <c r="A1488" t="s">
        <v>83</v>
      </c>
      <c r="B1488" t="s">
        <v>84</v>
      </c>
      <c r="C1488" t="s">
        <v>85</v>
      </c>
      <c r="D1488" t="s">
        <v>20</v>
      </c>
      <c r="E1488" t="s">
        <v>21</v>
      </c>
      <c r="F1488" s="1">
        <v>45231</v>
      </c>
      <c r="G1488">
        <v>6.12</v>
      </c>
      <c r="H1488">
        <v>82.403700000000001</v>
      </c>
      <c r="I1488">
        <v>9.11</v>
      </c>
      <c r="J1488">
        <v>69.319999999999993</v>
      </c>
      <c r="K1488" t="s">
        <v>30</v>
      </c>
      <c r="L1488">
        <v>2965.98</v>
      </c>
      <c r="M1488">
        <f>VLOOKUP(K1488,RatingLookup!$A$2:$C$8,2,FALSE)</f>
        <v>1.4999999999999999E-2</v>
      </c>
      <c r="N1488">
        <f t="shared" si="69"/>
        <v>1.2586770182638762E-3</v>
      </c>
      <c r="O1488">
        <f>VLOOKUP(K1488,RatingLookup!$A$2:$C$8,3,FALSE)</f>
        <v>0.5</v>
      </c>
      <c r="P1488">
        <f t="shared" si="70"/>
        <v>1.8666054313151459</v>
      </c>
      <c r="Q1488" t="str">
        <f t="shared" ca="1" si="71"/>
        <v>No</v>
      </c>
    </row>
    <row r="1489" spans="1:17" x14ac:dyDescent="0.45">
      <c r="A1489" t="s">
        <v>83</v>
      </c>
      <c r="B1489" t="s">
        <v>84</v>
      </c>
      <c r="C1489" t="s">
        <v>85</v>
      </c>
      <c r="D1489" t="s">
        <v>20</v>
      </c>
      <c r="E1489" t="s">
        <v>21</v>
      </c>
      <c r="F1489" s="1">
        <v>45261</v>
      </c>
      <c r="G1489">
        <v>5.15</v>
      </c>
      <c r="H1489">
        <v>82.285700000000006</v>
      </c>
      <c r="I1489">
        <v>21.9</v>
      </c>
      <c r="J1489">
        <v>80.98</v>
      </c>
      <c r="K1489" t="s">
        <v>30</v>
      </c>
      <c r="L1489">
        <v>3162.87</v>
      </c>
      <c r="M1489">
        <f>VLOOKUP(K1489,RatingLookup!$A$2:$C$8,2,FALSE)</f>
        <v>1.4999999999999999E-2</v>
      </c>
      <c r="N1489">
        <f t="shared" si="69"/>
        <v>1.2586770182638762E-3</v>
      </c>
      <c r="O1489">
        <f>VLOOKUP(K1489,RatingLookup!$A$2:$C$8,3,FALSE)</f>
        <v>0.5</v>
      </c>
      <c r="P1489">
        <f t="shared" si="70"/>
        <v>1.990515890378133</v>
      </c>
      <c r="Q1489" t="str">
        <f t="shared" ca="1" si="71"/>
        <v>No</v>
      </c>
    </row>
    <row r="1490" spans="1:17" x14ac:dyDescent="0.45">
      <c r="A1490" t="s">
        <v>83</v>
      </c>
      <c r="B1490" t="s">
        <v>84</v>
      </c>
      <c r="C1490" t="s">
        <v>85</v>
      </c>
      <c r="D1490" t="s">
        <v>20</v>
      </c>
      <c r="E1490" t="s">
        <v>21</v>
      </c>
      <c r="F1490" s="1">
        <v>45292</v>
      </c>
      <c r="G1490">
        <v>5.96</v>
      </c>
      <c r="H1490">
        <v>78.427099999999996</v>
      </c>
      <c r="I1490">
        <v>14.45</v>
      </c>
      <c r="J1490">
        <v>63.83</v>
      </c>
      <c r="K1490" t="s">
        <v>30</v>
      </c>
      <c r="L1490">
        <v>3021.06</v>
      </c>
      <c r="M1490">
        <f>VLOOKUP(K1490,RatingLookup!$A$2:$C$8,2,FALSE)</f>
        <v>1.4999999999999999E-2</v>
      </c>
      <c r="N1490">
        <f t="shared" si="69"/>
        <v>1.2586770182638762E-3</v>
      </c>
      <c r="O1490">
        <f>VLOOKUP(K1490,RatingLookup!$A$2:$C$8,3,FALSE)</f>
        <v>0.5</v>
      </c>
      <c r="P1490">
        <f t="shared" si="70"/>
        <v>1.9012693963981329</v>
      </c>
      <c r="Q1490" t="str">
        <f t="shared" ca="1" si="71"/>
        <v>No</v>
      </c>
    </row>
    <row r="1491" spans="1:17" x14ac:dyDescent="0.45">
      <c r="A1491" t="s">
        <v>83</v>
      </c>
      <c r="B1491" t="s">
        <v>84</v>
      </c>
      <c r="C1491" t="s">
        <v>85</v>
      </c>
      <c r="D1491" t="s">
        <v>20</v>
      </c>
      <c r="E1491" t="s">
        <v>21</v>
      </c>
      <c r="F1491" s="1">
        <v>45323</v>
      </c>
      <c r="G1491">
        <v>5.98</v>
      </c>
      <c r="H1491">
        <v>84.712800000000001</v>
      </c>
      <c r="I1491">
        <v>19.28</v>
      </c>
      <c r="J1491">
        <v>90.86</v>
      </c>
      <c r="K1491" t="s">
        <v>30</v>
      </c>
      <c r="L1491">
        <v>3365.85</v>
      </c>
      <c r="M1491">
        <f>VLOOKUP(K1491,RatingLookup!$A$2:$C$8,2,FALSE)</f>
        <v>1.4999999999999999E-2</v>
      </c>
      <c r="N1491">
        <f t="shared" si="69"/>
        <v>1.2586770182638762E-3</v>
      </c>
      <c r="O1491">
        <f>VLOOKUP(K1491,RatingLookup!$A$2:$C$8,3,FALSE)</f>
        <v>0.5</v>
      </c>
      <c r="P1491">
        <f t="shared" si="70"/>
        <v>2.1182590209617338</v>
      </c>
      <c r="Q1491" t="str">
        <f t="shared" ca="1" si="71"/>
        <v>No</v>
      </c>
    </row>
    <row r="1492" spans="1:17" x14ac:dyDescent="0.45">
      <c r="A1492" t="s">
        <v>83</v>
      </c>
      <c r="B1492" t="s">
        <v>84</v>
      </c>
      <c r="C1492" t="s">
        <v>85</v>
      </c>
      <c r="D1492" t="s">
        <v>20</v>
      </c>
      <c r="E1492" t="s">
        <v>21</v>
      </c>
      <c r="F1492" s="1">
        <v>45352</v>
      </c>
      <c r="G1492">
        <v>4.63</v>
      </c>
      <c r="H1492">
        <v>87.110200000000006</v>
      </c>
      <c r="I1492">
        <v>23.15</v>
      </c>
      <c r="J1492">
        <v>61.39</v>
      </c>
      <c r="K1492" t="s">
        <v>22</v>
      </c>
      <c r="L1492">
        <v>3187.24</v>
      </c>
      <c r="M1492">
        <f>VLOOKUP(K1492,RatingLookup!$A$2:$C$8,2,FALSE)</f>
        <v>5.0000000000000001E-3</v>
      </c>
      <c r="N1492">
        <f t="shared" si="69"/>
        <v>4.1762458919303302E-4</v>
      </c>
      <c r="O1492">
        <f>VLOOKUP(K1492,RatingLookup!$A$2:$C$8,3,FALSE)</f>
        <v>0.45</v>
      </c>
      <c r="P1492">
        <f t="shared" si="70"/>
        <v>0.5989814080468211</v>
      </c>
      <c r="Q1492" t="str">
        <f t="shared" ca="1" si="71"/>
        <v>No</v>
      </c>
    </row>
    <row r="1493" spans="1:17" x14ac:dyDescent="0.45">
      <c r="A1493" t="s">
        <v>83</v>
      </c>
      <c r="B1493" t="s">
        <v>84</v>
      </c>
      <c r="C1493" t="s">
        <v>85</v>
      </c>
      <c r="D1493" t="s">
        <v>20</v>
      </c>
      <c r="E1493" t="s">
        <v>21</v>
      </c>
      <c r="F1493" s="1">
        <v>45383</v>
      </c>
      <c r="G1493">
        <v>5.69</v>
      </c>
      <c r="H1493">
        <v>80.833799999999997</v>
      </c>
      <c r="I1493">
        <v>10.59</v>
      </c>
      <c r="J1493">
        <v>73.97</v>
      </c>
      <c r="K1493" t="s">
        <v>22</v>
      </c>
      <c r="L1493">
        <v>3179.83</v>
      </c>
      <c r="M1493">
        <f>VLOOKUP(K1493,RatingLookup!$A$2:$C$8,2,FALSE)</f>
        <v>5.0000000000000001E-3</v>
      </c>
      <c r="N1493">
        <f t="shared" si="69"/>
        <v>4.1762458919303302E-4</v>
      </c>
      <c r="O1493">
        <f>VLOOKUP(K1493,RatingLookup!$A$2:$C$8,3,FALSE)</f>
        <v>0.45</v>
      </c>
      <c r="P1493">
        <f t="shared" si="70"/>
        <v>0.59758883885415703</v>
      </c>
      <c r="Q1493" t="str">
        <f t="shared" ca="1" si="71"/>
        <v>No</v>
      </c>
    </row>
    <row r="1494" spans="1:17" x14ac:dyDescent="0.45">
      <c r="A1494" t="s">
        <v>83</v>
      </c>
      <c r="B1494" t="s">
        <v>84</v>
      </c>
      <c r="C1494" t="s">
        <v>85</v>
      </c>
      <c r="D1494" t="s">
        <v>20</v>
      </c>
      <c r="E1494" t="s">
        <v>21</v>
      </c>
      <c r="F1494" s="1">
        <v>45413</v>
      </c>
      <c r="G1494">
        <v>5.88</v>
      </c>
      <c r="H1494">
        <v>85.605599999999995</v>
      </c>
      <c r="I1494">
        <v>17.52</v>
      </c>
      <c r="J1494">
        <v>78.3</v>
      </c>
      <c r="K1494" t="s">
        <v>22</v>
      </c>
      <c r="L1494">
        <v>3241.29</v>
      </c>
      <c r="M1494">
        <f>VLOOKUP(K1494,RatingLookup!$A$2:$C$8,2,FALSE)</f>
        <v>5.0000000000000001E-3</v>
      </c>
      <c r="N1494">
        <f t="shared" si="69"/>
        <v>4.1762458919303302E-4</v>
      </c>
      <c r="O1494">
        <f>VLOOKUP(K1494,RatingLookup!$A$2:$C$8,3,FALSE)</f>
        <v>0.45</v>
      </c>
      <c r="P1494">
        <f t="shared" si="70"/>
        <v>0.6091390821174687</v>
      </c>
      <c r="Q1494" t="str">
        <f t="shared" ca="1" si="71"/>
        <v>No</v>
      </c>
    </row>
    <row r="1495" spans="1:17" x14ac:dyDescent="0.45">
      <c r="A1495" t="s">
        <v>83</v>
      </c>
      <c r="B1495" t="s">
        <v>84</v>
      </c>
      <c r="C1495" t="s">
        <v>85</v>
      </c>
      <c r="D1495" t="s">
        <v>20</v>
      </c>
      <c r="E1495" t="s">
        <v>21</v>
      </c>
      <c r="F1495" s="1">
        <v>45444</v>
      </c>
      <c r="G1495">
        <v>6.03</v>
      </c>
      <c r="H1495">
        <v>82.071899999999999</v>
      </c>
      <c r="I1495">
        <v>19.579999999999998</v>
      </c>
      <c r="J1495">
        <v>76.73</v>
      </c>
      <c r="K1495" t="s">
        <v>22</v>
      </c>
      <c r="L1495">
        <v>3049.25</v>
      </c>
      <c r="M1495">
        <f>VLOOKUP(K1495,RatingLookup!$A$2:$C$8,2,FALSE)</f>
        <v>5.0000000000000001E-3</v>
      </c>
      <c r="N1495">
        <f t="shared" si="69"/>
        <v>4.1762458919303302E-4</v>
      </c>
      <c r="O1495">
        <f>VLOOKUP(K1495,RatingLookup!$A$2:$C$8,3,FALSE)</f>
        <v>0.45</v>
      </c>
      <c r="P1495">
        <f t="shared" si="70"/>
        <v>0.57304880036858519</v>
      </c>
      <c r="Q1495" t="str">
        <f t="shared" ca="1" si="71"/>
        <v>No</v>
      </c>
    </row>
    <row r="1496" spans="1:17" x14ac:dyDescent="0.45">
      <c r="A1496" t="s">
        <v>83</v>
      </c>
      <c r="B1496" t="s">
        <v>84</v>
      </c>
      <c r="C1496" t="s">
        <v>85</v>
      </c>
      <c r="D1496" t="s">
        <v>20</v>
      </c>
      <c r="E1496" t="s">
        <v>21</v>
      </c>
      <c r="F1496" s="1">
        <v>45474</v>
      </c>
      <c r="G1496">
        <v>5.72</v>
      </c>
      <c r="H1496">
        <v>81.572500000000005</v>
      </c>
      <c r="I1496">
        <v>26.22</v>
      </c>
      <c r="J1496">
        <v>104.98</v>
      </c>
      <c r="K1496" t="s">
        <v>22</v>
      </c>
      <c r="L1496">
        <v>3231.92</v>
      </c>
      <c r="M1496">
        <f>VLOOKUP(K1496,RatingLookup!$A$2:$C$8,2,FALSE)</f>
        <v>5.0000000000000001E-3</v>
      </c>
      <c r="N1496">
        <f t="shared" si="69"/>
        <v>4.1762458919303302E-4</v>
      </c>
      <c r="O1496">
        <f>VLOOKUP(K1496,RatingLookup!$A$2:$C$8,3,FALSE)</f>
        <v>0.45</v>
      </c>
      <c r="P1496">
        <f t="shared" si="70"/>
        <v>0.60737816803713629</v>
      </c>
      <c r="Q1496" t="str">
        <f t="shared" ca="1" si="71"/>
        <v>No</v>
      </c>
    </row>
    <row r="1497" spans="1:17" x14ac:dyDescent="0.45">
      <c r="A1497" t="s">
        <v>83</v>
      </c>
      <c r="B1497" t="s">
        <v>84</v>
      </c>
      <c r="C1497" t="s">
        <v>85</v>
      </c>
      <c r="D1497" t="s">
        <v>20</v>
      </c>
      <c r="E1497" t="s">
        <v>21</v>
      </c>
      <c r="F1497" s="1">
        <v>45505</v>
      </c>
      <c r="G1497">
        <v>5.48</v>
      </c>
      <c r="H1497">
        <v>80.819299999999998</v>
      </c>
      <c r="I1497">
        <v>21.32</v>
      </c>
      <c r="J1497">
        <v>95.27</v>
      </c>
      <c r="K1497" t="s">
        <v>22</v>
      </c>
      <c r="L1497">
        <v>3494.65</v>
      </c>
      <c r="M1497">
        <f>VLOOKUP(K1497,RatingLookup!$A$2:$C$8,2,FALSE)</f>
        <v>5.0000000000000001E-3</v>
      </c>
      <c r="N1497">
        <f t="shared" si="69"/>
        <v>4.1762458919303302E-4</v>
      </c>
      <c r="O1497">
        <f>VLOOKUP(K1497,RatingLookup!$A$2:$C$8,3,FALSE)</f>
        <v>0.45</v>
      </c>
      <c r="P1497">
        <f t="shared" si="70"/>
        <v>0.65675329678054484</v>
      </c>
      <c r="Q1497" t="str">
        <f t="shared" ca="1" si="71"/>
        <v>No</v>
      </c>
    </row>
    <row r="1498" spans="1:17" x14ac:dyDescent="0.45">
      <c r="A1498" t="s">
        <v>83</v>
      </c>
      <c r="B1498" t="s">
        <v>84</v>
      </c>
      <c r="C1498" t="s">
        <v>85</v>
      </c>
      <c r="D1498" t="s">
        <v>20</v>
      </c>
      <c r="E1498" t="s">
        <v>21</v>
      </c>
      <c r="F1498" s="1">
        <v>45536</v>
      </c>
      <c r="G1498">
        <v>5.7</v>
      </c>
      <c r="H1498">
        <v>80.822699999999998</v>
      </c>
      <c r="I1498">
        <v>14.48</v>
      </c>
      <c r="J1498">
        <v>85.62</v>
      </c>
      <c r="K1498" t="s">
        <v>22</v>
      </c>
      <c r="L1498">
        <v>3095.83</v>
      </c>
      <c r="M1498">
        <f>VLOOKUP(K1498,RatingLookup!$A$2:$C$8,2,FALSE)</f>
        <v>5.0000000000000001E-3</v>
      </c>
      <c r="N1498">
        <f t="shared" si="69"/>
        <v>4.1762458919303302E-4</v>
      </c>
      <c r="O1498">
        <f>VLOOKUP(K1498,RatingLookup!$A$2:$C$8,3,FALSE)</f>
        <v>0.45</v>
      </c>
      <c r="P1498">
        <f t="shared" si="70"/>
        <v>0.58180262938266036</v>
      </c>
      <c r="Q1498" t="str">
        <f t="shared" ca="1" si="71"/>
        <v>No</v>
      </c>
    </row>
    <row r="1499" spans="1:17" x14ac:dyDescent="0.45">
      <c r="A1499" t="s">
        <v>83</v>
      </c>
      <c r="B1499" t="s">
        <v>84</v>
      </c>
      <c r="C1499" t="s">
        <v>85</v>
      </c>
      <c r="D1499" t="s">
        <v>20</v>
      </c>
      <c r="E1499" t="s">
        <v>21</v>
      </c>
      <c r="F1499" s="1">
        <v>45566</v>
      </c>
      <c r="G1499">
        <v>5.59</v>
      </c>
      <c r="H1499">
        <v>82.906999999999996</v>
      </c>
      <c r="I1499">
        <v>14.82</v>
      </c>
      <c r="J1499">
        <v>88.28</v>
      </c>
      <c r="K1499" t="s">
        <v>23</v>
      </c>
      <c r="L1499">
        <v>3135.79</v>
      </c>
      <c r="M1499">
        <f>VLOOKUP(K1499,RatingLookup!$A$2:$C$8,2,FALSE)</f>
        <v>1E-3</v>
      </c>
      <c r="N1499">
        <f t="shared" si="69"/>
        <v>8.3371552197619714E-5</v>
      </c>
      <c r="O1499">
        <f>VLOOKUP(K1499,RatingLookup!$A$2:$C$8,3,FALSE)</f>
        <v>0.3</v>
      </c>
      <c r="P1499">
        <f t="shared" si="70"/>
        <v>7.8430703899732168E-2</v>
      </c>
      <c r="Q1499" t="str">
        <f t="shared" ca="1" si="71"/>
        <v>No</v>
      </c>
    </row>
    <row r="1500" spans="1:17" x14ac:dyDescent="0.45">
      <c r="A1500" t="s">
        <v>83</v>
      </c>
      <c r="B1500" t="s">
        <v>84</v>
      </c>
      <c r="C1500" t="s">
        <v>85</v>
      </c>
      <c r="D1500" t="s">
        <v>20</v>
      </c>
      <c r="E1500" t="s">
        <v>21</v>
      </c>
      <c r="F1500" s="1">
        <v>45597</v>
      </c>
      <c r="G1500">
        <v>5.64</v>
      </c>
      <c r="H1500">
        <v>86.901899999999998</v>
      </c>
      <c r="I1500">
        <v>19.100000000000001</v>
      </c>
      <c r="J1500">
        <v>83.62</v>
      </c>
      <c r="K1500" t="s">
        <v>23</v>
      </c>
      <c r="L1500">
        <v>3506.85</v>
      </c>
      <c r="M1500">
        <f>VLOOKUP(K1500,RatingLookup!$A$2:$C$8,2,FALSE)</f>
        <v>1E-3</v>
      </c>
      <c r="N1500">
        <f t="shared" si="69"/>
        <v>8.3371552197619714E-5</v>
      </c>
      <c r="O1500">
        <f>VLOOKUP(K1500,RatingLookup!$A$2:$C$8,3,FALSE)</f>
        <v>0.3</v>
      </c>
      <c r="P1500">
        <f t="shared" si="70"/>
        <v>8.7711458347266805E-2</v>
      </c>
      <c r="Q1500" t="str">
        <f t="shared" ca="1" si="71"/>
        <v>No</v>
      </c>
    </row>
    <row r="1501" spans="1:17" x14ac:dyDescent="0.45">
      <c r="A1501" t="s">
        <v>83</v>
      </c>
      <c r="B1501" t="s">
        <v>84</v>
      </c>
      <c r="C1501" t="s">
        <v>85</v>
      </c>
      <c r="D1501" t="s">
        <v>20</v>
      </c>
      <c r="E1501" t="s">
        <v>21</v>
      </c>
      <c r="F1501" s="1">
        <v>45627</v>
      </c>
      <c r="G1501">
        <v>6.22</v>
      </c>
      <c r="H1501">
        <v>81.672300000000007</v>
      </c>
      <c r="I1501">
        <v>14.97</v>
      </c>
      <c r="J1501">
        <v>82.31</v>
      </c>
      <c r="K1501" t="s">
        <v>23</v>
      </c>
      <c r="L1501">
        <v>3214.51</v>
      </c>
      <c r="M1501">
        <f>VLOOKUP(K1501,RatingLookup!$A$2:$C$8,2,FALSE)</f>
        <v>1E-3</v>
      </c>
      <c r="N1501">
        <f t="shared" si="69"/>
        <v>8.3371552197619714E-5</v>
      </c>
      <c r="O1501">
        <f>VLOOKUP(K1501,RatingLookup!$A$2:$C$8,3,FALSE)</f>
        <v>0.3</v>
      </c>
      <c r="P1501">
        <f t="shared" si="70"/>
        <v>8.0399606476431171E-2</v>
      </c>
      <c r="Q1501" t="str">
        <f t="shared" ca="1" si="71"/>
        <v>No</v>
      </c>
    </row>
    <row r="1502" spans="1:17" x14ac:dyDescent="0.45">
      <c r="A1502" t="s">
        <v>86</v>
      </c>
      <c r="B1502" t="s">
        <v>87</v>
      </c>
      <c r="C1502" t="s">
        <v>77</v>
      </c>
      <c r="D1502" t="s">
        <v>20</v>
      </c>
      <c r="E1502" t="s">
        <v>21</v>
      </c>
      <c r="F1502" s="1">
        <v>43831</v>
      </c>
      <c r="G1502">
        <v>5.81</v>
      </c>
      <c r="H1502">
        <v>80.951999999999998</v>
      </c>
      <c r="I1502">
        <v>15.15</v>
      </c>
      <c r="J1502">
        <v>74.13</v>
      </c>
      <c r="K1502" t="s">
        <v>30</v>
      </c>
      <c r="L1502">
        <v>587.41999999999996</v>
      </c>
      <c r="M1502">
        <f>VLOOKUP(K1502,RatingLookup!$A$2:$C$8,2,FALSE)</f>
        <v>1.4999999999999999E-2</v>
      </c>
      <c r="N1502">
        <f t="shared" si="69"/>
        <v>1.2586770182638762E-3</v>
      </c>
      <c r="O1502">
        <f>VLOOKUP(K1502,RatingLookup!$A$2:$C$8,3,FALSE)</f>
        <v>0.5</v>
      </c>
      <c r="P1502">
        <f t="shared" si="70"/>
        <v>0.36968602703428305</v>
      </c>
      <c r="Q1502" t="str">
        <f t="shared" ca="1" si="71"/>
        <v>No</v>
      </c>
    </row>
    <row r="1503" spans="1:17" x14ac:dyDescent="0.45">
      <c r="A1503" t="s">
        <v>86</v>
      </c>
      <c r="B1503" t="s">
        <v>87</v>
      </c>
      <c r="C1503" t="s">
        <v>77</v>
      </c>
      <c r="D1503" t="s">
        <v>20</v>
      </c>
      <c r="E1503" t="s">
        <v>21</v>
      </c>
      <c r="F1503" s="1">
        <v>43862</v>
      </c>
      <c r="G1503">
        <v>5.05</v>
      </c>
      <c r="H1503">
        <v>83.000299999999996</v>
      </c>
      <c r="I1503">
        <v>8.65</v>
      </c>
      <c r="J1503">
        <v>81.05</v>
      </c>
      <c r="K1503" t="s">
        <v>30</v>
      </c>
      <c r="L1503">
        <v>577.79</v>
      </c>
      <c r="M1503">
        <f>VLOOKUP(K1503,RatingLookup!$A$2:$C$8,2,FALSE)</f>
        <v>1.4999999999999999E-2</v>
      </c>
      <c r="N1503">
        <f t="shared" si="69"/>
        <v>1.2586770182638762E-3</v>
      </c>
      <c r="O1503">
        <f>VLOOKUP(K1503,RatingLookup!$A$2:$C$8,3,FALSE)</f>
        <v>0.5</v>
      </c>
      <c r="P1503">
        <f t="shared" si="70"/>
        <v>0.36362549719134252</v>
      </c>
      <c r="Q1503" t="str">
        <f t="shared" ca="1" si="71"/>
        <v>No</v>
      </c>
    </row>
    <row r="1504" spans="1:17" x14ac:dyDescent="0.45">
      <c r="A1504" t="s">
        <v>86</v>
      </c>
      <c r="B1504" t="s">
        <v>87</v>
      </c>
      <c r="C1504" t="s">
        <v>77</v>
      </c>
      <c r="D1504" t="s">
        <v>20</v>
      </c>
      <c r="E1504" t="s">
        <v>21</v>
      </c>
      <c r="F1504" s="1">
        <v>43891</v>
      </c>
      <c r="G1504">
        <v>5.26</v>
      </c>
      <c r="H1504">
        <v>78.203599999999994</v>
      </c>
      <c r="I1504">
        <v>21.13</v>
      </c>
      <c r="J1504">
        <v>71.930000000000007</v>
      </c>
      <c r="K1504" t="s">
        <v>30</v>
      </c>
      <c r="L1504">
        <v>566.69000000000005</v>
      </c>
      <c r="M1504">
        <f>VLOOKUP(K1504,RatingLookup!$A$2:$C$8,2,FALSE)</f>
        <v>1.4999999999999999E-2</v>
      </c>
      <c r="N1504">
        <f t="shared" si="69"/>
        <v>1.2586770182638762E-3</v>
      </c>
      <c r="O1504">
        <f>VLOOKUP(K1504,RatingLookup!$A$2:$C$8,3,FALSE)</f>
        <v>0.5</v>
      </c>
      <c r="P1504">
        <f t="shared" si="70"/>
        <v>0.35663983973997804</v>
      </c>
      <c r="Q1504" t="str">
        <f t="shared" ca="1" si="71"/>
        <v>No</v>
      </c>
    </row>
    <row r="1505" spans="1:17" x14ac:dyDescent="0.45">
      <c r="A1505" t="s">
        <v>86</v>
      </c>
      <c r="B1505" t="s">
        <v>87</v>
      </c>
      <c r="C1505" t="s">
        <v>77</v>
      </c>
      <c r="D1505" t="s">
        <v>20</v>
      </c>
      <c r="E1505" t="s">
        <v>21</v>
      </c>
      <c r="F1505" s="1">
        <v>43922</v>
      </c>
      <c r="G1505">
        <v>5.07</v>
      </c>
      <c r="H1505">
        <v>79.444500000000005</v>
      </c>
      <c r="I1505">
        <v>10.94</v>
      </c>
      <c r="J1505">
        <v>84.03</v>
      </c>
      <c r="K1505" t="s">
        <v>30</v>
      </c>
      <c r="L1505">
        <v>535.52</v>
      </c>
      <c r="M1505">
        <f>VLOOKUP(K1505,RatingLookup!$A$2:$C$8,2,FALSE)</f>
        <v>1.4999999999999999E-2</v>
      </c>
      <c r="N1505">
        <f t="shared" si="69"/>
        <v>1.2586770182638762E-3</v>
      </c>
      <c r="O1505">
        <f>VLOOKUP(K1505,RatingLookup!$A$2:$C$8,3,FALSE)</f>
        <v>0.5</v>
      </c>
      <c r="P1505">
        <f t="shared" si="70"/>
        <v>0.33702335841033548</v>
      </c>
      <c r="Q1505" t="str">
        <f t="shared" ca="1" si="71"/>
        <v>No</v>
      </c>
    </row>
    <row r="1506" spans="1:17" x14ac:dyDescent="0.45">
      <c r="A1506" t="s">
        <v>86</v>
      </c>
      <c r="B1506" t="s">
        <v>87</v>
      </c>
      <c r="C1506" t="s">
        <v>77</v>
      </c>
      <c r="D1506" t="s">
        <v>20</v>
      </c>
      <c r="E1506" t="s">
        <v>21</v>
      </c>
      <c r="F1506" s="1">
        <v>43952</v>
      </c>
      <c r="G1506">
        <v>6.76</v>
      </c>
      <c r="H1506">
        <v>77.207899999999995</v>
      </c>
      <c r="I1506">
        <v>20.63</v>
      </c>
      <c r="J1506">
        <v>75.790000000000006</v>
      </c>
      <c r="K1506" t="s">
        <v>30</v>
      </c>
      <c r="L1506">
        <v>526.12</v>
      </c>
      <c r="M1506">
        <f>VLOOKUP(K1506,RatingLookup!$A$2:$C$8,2,FALSE)</f>
        <v>1.4999999999999999E-2</v>
      </c>
      <c r="N1506">
        <f t="shared" si="69"/>
        <v>1.2586770182638762E-3</v>
      </c>
      <c r="O1506">
        <f>VLOOKUP(K1506,RatingLookup!$A$2:$C$8,3,FALSE)</f>
        <v>0.5</v>
      </c>
      <c r="P1506">
        <f t="shared" si="70"/>
        <v>0.33110757642449529</v>
      </c>
      <c r="Q1506" t="str">
        <f t="shared" ca="1" si="71"/>
        <v>No</v>
      </c>
    </row>
    <row r="1507" spans="1:17" x14ac:dyDescent="0.45">
      <c r="A1507" t="s">
        <v>86</v>
      </c>
      <c r="B1507" t="s">
        <v>87</v>
      </c>
      <c r="C1507" t="s">
        <v>77</v>
      </c>
      <c r="D1507" t="s">
        <v>20</v>
      </c>
      <c r="E1507" t="s">
        <v>21</v>
      </c>
      <c r="F1507" s="1">
        <v>43983</v>
      </c>
      <c r="G1507">
        <v>5.17</v>
      </c>
      <c r="H1507">
        <v>81.446799999999996</v>
      </c>
      <c r="I1507">
        <v>19.600000000000001</v>
      </c>
      <c r="J1507">
        <v>66.14</v>
      </c>
      <c r="K1507" t="s">
        <v>30</v>
      </c>
      <c r="L1507">
        <v>571.84</v>
      </c>
      <c r="M1507">
        <f>VLOOKUP(K1507,RatingLookup!$A$2:$C$8,2,FALSE)</f>
        <v>1.4999999999999999E-2</v>
      </c>
      <c r="N1507">
        <f t="shared" si="69"/>
        <v>1.2586770182638762E-3</v>
      </c>
      <c r="O1507">
        <f>VLOOKUP(K1507,RatingLookup!$A$2:$C$8,3,FALSE)</f>
        <v>0.5</v>
      </c>
      <c r="P1507">
        <f t="shared" si="70"/>
        <v>0.35988093306200752</v>
      </c>
      <c r="Q1507" t="str">
        <f t="shared" ca="1" si="71"/>
        <v>No</v>
      </c>
    </row>
    <row r="1508" spans="1:17" x14ac:dyDescent="0.45">
      <c r="A1508" t="s">
        <v>86</v>
      </c>
      <c r="B1508" t="s">
        <v>87</v>
      </c>
      <c r="C1508" t="s">
        <v>77</v>
      </c>
      <c r="D1508" t="s">
        <v>20</v>
      </c>
      <c r="E1508" t="s">
        <v>21</v>
      </c>
      <c r="F1508" s="1">
        <v>44013</v>
      </c>
      <c r="G1508">
        <v>4.9800000000000004</v>
      </c>
      <c r="H1508">
        <v>81.096699999999998</v>
      </c>
      <c r="I1508">
        <v>26.77</v>
      </c>
      <c r="J1508">
        <v>66.540000000000006</v>
      </c>
      <c r="K1508" t="s">
        <v>30</v>
      </c>
      <c r="L1508">
        <v>522.92999999999995</v>
      </c>
      <c r="M1508">
        <f>VLOOKUP(K1508,RatingLookup!$A$2:$C$8,2,FALSE)</f>
        <v>1.4999999999999999E-2</v>
      </c>
      <c r="N1508">
        <f t="shared" si="69"/>
        <v>1.2586770182638762E-3</v>
      </c>
      <c r="O1508">
        <f>VLOOKUP(K1508,RatingLookup!$A$2:$C$8,3,FALSE)</f>
        <v>0.5</v>
      </c>
      <c r="P1508">
        <f t="shared" si="70"/>
        <v>0.32909998658036438</v>
      </c>
      <c r="Q1508" t="str">
        <f t="shared" ca="1" si="71"/>
        <v>No</v>
      </c>
    </row>
    <row r="1509" spans="1:17" x14ac:dyDescent="0.45">
      <c r="A1509" t="s">
        <v>86</v>
      </c>
      <c r="B1509" t="s">
        <v>87</v>
      </c>
      <c r="C1509" t="s">
        <v>77</v>
      </c>
      <c r="D1509" t="s">
        <v>20</v>
      </c>
      <c r="E1509" t="s">
        <v>21</v>
      </c>
      <c r="F1509" s="1">
        <v>44044</v>
      </c>
      <c r="G1509">
        <v>5.12</v>
      </c>
      <c r="H1509">
        <v>81.433099999999996</v>
      </c>
      <c r="I1509">
        <v>16.5</v>
      </c>
      <c r="J1509">
        <v>83.13</v>
      </c>
      <c r="K1509" t="s">
        <v>30</v>
      </c>
      <c r="L1509">
        <v>541.47</v>
      </c>
      <c r="M1509">
        <f>VLOOKUP(K1509,RatingLookup!$A$2:$C$8,2,FALSE)</f>
        <v>1.4999999999999999E-2</v>
      </c>
      <c r="N1509">
        <f t="shared" si="69"/>
        <v>1.2586770182638762E-3</v>
      </c>
      <c r="O1509">
        <f>VLOOKUP(K1509,RatingLookup!$A$2:$C$8,3,FALSE)</f>
        <v>0.5</v>
      </c>
      <c r="P1509">
        <f t="shared" si="70"/>
        <v>0.34076792253967053</v>
      </c>
      <c r="Q1509" t="str">
        <f t="shared" ca="1" si="71"/>
        <v>No</v>
      </c>
    </row>
    <row r="1510" spans="1:17" x14ac:dyDescent="0.45">
      <c r="A1510" t="s">
        <v>86</v>
      </c>
      <c r="B1510" t="s">
        <v>87</v>
      </c>
      <c r="C1510" t="s">
        <v>77</v>
      </c>
      <c r="D1510" t="s">
        <v>20</v>
      </c>
      <c r="E1510" t="s">
        <v>21</v>
      </c>
      <c r="F1510" s="1">
        <v>44075</v>
      </c>
      <c r="G1510">
        <v>4.45</v>
      </c>
      <c r="H1510">
        <v>82.286900000000003</v>
      </c>
      <c r="I1510">
        <v>24.31</v>
      </c>
      <c r="J1510">
        <v>76.59</v>
      </c>
      <c r="K1510" t="s">
        <v>30</v>
      </c>
      <c r="L1510">
        <v>588.77</v>
      </c>
      <c r="M1510">
        <f>VLOOKUP(K1510,RatingLookup!$A$2:$C$8,2,FALSE)</f>
        <v>1.4999999999999999E-2</v>
      </c>
      <c r="N1510">
        <f t="shared" si="69"/>
        <v>1.2586770182638762E-3</v>
      </c>
      <c r="O1510">
        <f>VLOOKUP(K1510,RatingLookup!$A$2:$C$8,3,FALSE)</f>
        <v>0.5</v>
      </c>
      <c r="P1510">
        <f t="shared" si="70"/>
        <v>0.37053563402161122</v>
      </c>
      <c r="Q1510" t="str">
        <f t="shared" ca="1" si="71"/>
        <v>No</v>
      </c>
    </row>
    <row r="1511" spans="1:17" x14ac:dyDescent="0.45">
      <c r="A1511" t="s">
        <v>86</v>
      </c>
      <c r="B1511" t="s">
        <v>87</v>
      </c>
      <c r="C1511" t="s">
        <v>77</v>
      </c>
      <c r="D1511" t="s">
        <v>20</v>
      </c>
      <c r="E1511" t="s">
        <v>21</v>
      </c>
      <c r="F1511" s="1">
        <v>44105</v>
      </c>
      <c r="G1511">
        <v>4.84</v>
      </c>
      <c r="H1511">
        <v>83.096400000000003</v>
      </c>
      <c r="I1511">
        <v>16.27</v>
      </c>
      <c r="J1511">
        <v>72.349999999999994</v>
      </c>
      <c r="K1511" t="s">
        <v>30</v>
      </c>
      <c r="L1511">
        <v>582.29999999999995</v>
      </c>
      <c r="M1511">
        <f>VLOOKUP(K1511,RatingLookup!$A$2:$C$8,2,FALSE)</f>
        <v>1.4999999999999999E-2</v>
      </c>
      <c r="N1511">
        <f t="shared" si="69"/>
        <v>1.2586770182638762E-3</v>
      </c>
      <c r="O1511">
        <f>VLOOKUP(K1511,RatingLookup!$A$2:$C$8,3,FALSE)</f>
        <v>0.5</v>
      </c>
      <c r="P1511">
        <f t="shared" si="70"/>
        <v>0.36646381386752752</v>
      </c>
      <c r="Q1511" t="str">
        <f t="shared" ca="1" si="71"/>
        <v>No</v>
      </c>
    </row>
    <row r="1512" spans="1:17" x14ac:dyDescent="0.45">
      <c r="A1512" t="s">
        <v>86</v>
      </c>
      <c r="B1512" t="s">
        <v>87</v>
      </c>
      <c r="C1512" t="s">
        <v>77</v>
      </c>
      <c r="D1512" t="s">
        <v>20</v>
      </c>
      <c r="E1512" t="s">
        <v>21</v>
      </c>
      <c r="F1512" s="1">
        <v>44136</v>
      </c>
      <c r="G1512">
        <v>5.64</v>
      </c>
      <c r="H1512">
        <v>81.284599999999998</v>
      </c>
      <c r="I1512">
        <v>8.89</v>
      </c>
      <c r="J1512">
        <v>82.63</v>
      </c>
      <c r="K1512" t="s">
        <v>30</v>
      </c>
      <c r="L1512">
        <v>572.01</v>
      </c>
      <c r="M1512">
        <f>VLOOKUP(K1512,RatingLookup!$A$2:$C$8,2,FALSE)</f>
        <v>1.4999999999999999E-2</v>
      </c>
      <c r="N1512">
        <f t="shared" si="69"/>
        <v>1.2586770182638762E-3</v>
      </c>
      <c r="O1512">
        <f>VLOOKUP(K1512,RatingLookup!$A$2:$C$8,3,FALSE)</f>
        <v>0.5</v>
      </c>
      <c r="P1512">
        <f t="shared" si="70"/>
        <v>0.35998792060855994</v>
      </c>
      <c r="Q1512" t="str">
        <f t="shared" ca="1" si="71"/>
        <v>No</v>
      </c>
    </row>
    <row r="1513" spans="1:17" x14ac:dyDescent="0.45">
      <c r="A1513" t="s">
        <v>86</v>
      </c>
      <c r="B1513" t="s">
        <v>87</v>
      </c>
      <c r="C1513" t="s">
        <v>77</v>
      </c>
      <c r="D1513" t="s">
        <v>20</v>
      </c>
      <c r="E1513" t="s">
        <v>21</v>
      </c>
      <c r="F1513" s="1">
        <v>44166</v>
      </c>
      <c r="G1513">
        <v>5.7</v>
      </c>
      <c r="H1513">
        <v>81.8416</v>
      </c>
      <c r="I1513">
        <v>15.47</v>
      </c>
      <c r="J1513">
        <v>88.6</v>
      </c>
      <c r="K1513" t="s">
        <v>30</v>
      </c>
      <c r="L1513">
        <v>557.09</v>
      </c>
      <c r="M1513">
        <f>VLOOKUP(K1513,RatingLookup!$A$2:$C$8,2,FALSE)</f>
        <v>1.4999999999999999E-2</v>
      </c>
      <c r="N1513">
        <f t="shared" si="69"/>
        <v>1.2586770182638762E-3</v>
      </c>
      <c r="O1513">
        <f>VLOOKUP(K1513,RatingLookup!$A$2:$C$8,3,FALSE)</f>
        <v>0.5</v>
      </c>
      <c r="P1513">
        <f t="shared" si="70"/>
        <v>0.35059819005231141</v>
      </c>
      <c r="Q1513" t="str">
        <f t="shared" ca="1" si="71"/>
        <v>No</v>
      </c>
    </row>
    <row r="1514" spans="1:17" x14ac:dyDescent="0.45">
      <c r="A1514" t="s">
        <v>86</v>
      </c>
      <c r="B1514" t="s">
        <v>87</v>
      </c>
      <c r="C1514" t="s">
        <v>77</v>
      </c>
      <c r="D1514" t="s">
        <v>20</v>
      </c>
      <c r="E1514" t="s">
        <v>21</v>
      </c>
      <c r="F1514" s="1">
        <v>44197</v>
      </c>
      <c r="G1514">
        <v>6.23</v>
      </c>
      <c r="H1514">
        <v>82.8309</v>
      </c>
      <c r="I1514">
        <v>17.46</v>
      </c>
      <c r="J1514">
        <v>72.400000000000006</v>
      </c>
      <c r="K1514" t="s">
        <v>30</v>
      </c>
      <c r="L1514">
        <v>564.4</v>
      </c>
      <c r="M1514">
        <f>VLOOKUP(K1514,RatingLookup!$A$2:$C$8,2,FALSE)</f>
        <v>1.4999999999999999E-2</v>
      </c>
      <c r="N1514">
        <f t="shared" si="69"/>
        <v>1.2586770182638762E-3</v>
      </c>
      <c r="O1514">
        <f>VLOOKUP(K1514,RatingLookup!$A$2:$C$8,3,FALSE)</f>
        <v>0.5</v>
      </c>
      <c r="P1514">
        <f t="shared" si="70"/>
        <v>0.35519865455406585</v>
      </c>
      <c r="Q1514" t="str">
        <f t="shared" ca="1" si="71"/>
        <v>No</v>
      </c>
    </row>
    <row r="1515" spans="1:17" x14ac:dyDescent="0.45">
      <c r="A1515" t="s">
        <v>86</v>
      </c>
      <c r="B1515" t="s">
        <v>87</v>
      </c>
      <c r="C1515" t="s">
        <v>77</v>
      </c>
      <c r="D1515" t="s">
        <v>20</v>
      </c>
      <c r="E1515" t="s">
        <v>21</v>
      </c>
      <c r="F1515" s="1">
        <v>44228</v>
      </c>
      <c r="G1515">
        <v>4.9800000000000004</v>
      </c>
      <c r="H1515">
        <v>83.666499999999999</v>
      </c>
      <c r="I1515">
        <v>11.64</v>
      </c>
      <c r="J1515">
        <v>80.849999999999994</v>
      </c>
      <c r="K1515" t="s">
        <v>30</v>
      </c>
      <c r="L1515">
        <v>572.01</v>
      </c>
      <c r="M1515">
        <f>VLOOKUP(K1515,RatingLookup!$A$2:$C$8,2,FALSE)</f>
        <v>1.4999999999999999E-2</v>
      </c>
      <c r="N1515">
        <f t="shared" si="69"/>
        <v>1.2586770182638762E-3</v>
      </c>
      <c r="O1515">
        <f>VLOOKUP(K1515,RatingLookup!$A$2:$C$8,3,FALSE)</f>
        <v>0.5</v>
      </c>
      <c r="P1515">
        <f t="shared" si="70"/>
        <v>0.35998792060855994</v>
      </c>
      <c r="Q1515" t="str">
        <f t="shared" ca="1" si="71"/>
        <v>No</v>
      </c>
    </row>
    <row r="1516" spans="1:17" x14ac:dyDescent="0.45">
      <c r="A1516" t="s">
        <v>86</v>
      </c>
      <c r="B1516" t="s">
        <v>87</v>
      </c>
      <c r="C1516" t="s">
        <v>77</v>
      </c>
      <c r="D1516" t="s">
        <v>20</v>
      </c>
      <c r="E1516" t="s">
        <v>21</v>
      </c>
      <c r="F1516" s="1">
        <v>44256</v>
      </c>
      <c r="G1516">
        <v>5.5</v>
      </c>
      <c r="H1516">
        <v>84.487700000000004</v>
      </c>
      <c r="I1516">
        <v>11.86</v>
      </c>
      <c r="J1516">
        <v>71.91</v>
      </c>
      <c r="K1516" t="s">
        <v>30</v>
      </c>
      <c r="L1516">
        <v>559.20000000000005</v>
      </c>
      <c r="M1516">
        <f>VLOOKUP(K1516,RatingLookup!$A$2:$C$8,2,FALSE)</f>
        <v>1.4999999999999999E-2</v>
      </c>
      <c r="N1516">
        <f t="shared" si="69"/>
        <v>1.2586770182638762E-3</v>
      </c>
      <c r="O1516">
        <f>VLOOKUP(K1516,RatingLookup!$A$2:$C$8,3,FALSE)</f>
        <v>0.5</v>
      </c>
      <c r="P1516">
        <f t="shared" si="70"/>
        <v>0.35192609430657984</v>
      </c>
      <c r="Q1516" t="str">
        <f t="shared" ca="1" si="71"/>
        <v>No</v>
      </c>
    </row>
    <row r="1517" spans="1:17" x14ac:dyDescent="0.45">
      <c r="A1517" t="s">
        <v>86</v>
      </c>
      <c r="B1517" t="s">
        <v>87</v>
      </c>
      <c r="C1517" t="s">
        <v>77</v>
      </c>
      <c r="D1517" t="s">
        <v>20</v>
      </c>
      <c r="E1517" t="s">
        <v>21</v>
      </c>
      <c r="F1517" s="1">
        <v>44287</v>
      </c>
      <c r="G1517">
        <v>6.1</v>
      </c>
      <c r="H1517">
        <v>85.168700000000001</v>
      </c>
      <c r="I1517">
        <v>6.81</v>
      </c>
      <c r="J1517">
        <v>86.48</v>
      </c>
      <c r="K1517" t="s">
        <v>30</v>
      </c>
      <c r="L1517">
        <v>602.64</v>
      </c>
      <c r="M1517">
        <f>VLOOKUP(K1517,RatingLookup!$A$2:$C$8,2,FALSE)</f>
        <v>1.4999999999999999E-2</v>
      </c>
      <c r="N1517">
        <f t="shared" si="69"/>
        <v>1.2586770182638762E-3</v>
      </c>
      <c r="O1517">
        <f>VLOOKUP(K1517,RatingLookup!$A$2:$C$8,3,FALSE)</f>
        <v>0.5</v>
      </c>
      <c r="P1517">
        <f t="shared" si="70"/>
        <v>0.37926455914327117</v>
      </c>
      <c r="Q1517" t="str">
        <f t="shared" ca="1" si="71"/>
        <v>No</v>
      </c>
    </row>
    <row r="1518" spans="1:17" x14ac:dyDescent="0.45">
      <c r="A1518" t="s">
        <v>86</v>
      </c>
      <c r="B1518" t="s">
        <v>87</v>
      </c>
      <c r="C1518" t="s">
        <v>77</v>
      </c>
      <c r="D1518" t="s">
        <v>20</v>
      </c>
      <c r="E1518" t="s">
        <v>21</v>
      </c>
      <c r="F1518" s="1">
        <v>44317</v>
      </c>
      <c r="G1518">
        <v>5.36</v>
      </c>
      <c r="H1518">
        <v>78.401399999999995</v>
      </c>
      <c r="I1518">
        <v>5.75</v>
      </c>
      <c r="J1518">
        <v>72.98</v>
      </c>
      <c r="K1518" t="s">
        <v>30</v>
      </c>
      <c r="L1518">
        <v>571.15</v>
      </c>
      <c r="M1518">
        <f>VLOOKUP(K1518,RatingLookup!$A$2:$C$8,2,FALSE)</f>
        <v>1.4999999999999999E-2</v>
      </c>
      <c r="N1518">
        <f t="shared" si="69"/>
        <v>1.2586770182638762E-3</v>
      </c>
      <c r="O1518">
        <f>VLOOKUP(K1518,RatingLookup!$A$2:$C$8,3,FALSE)</f>
        <v>0.5</v>
      </c>
      <c r="P1518">
        <f t="shared" si="70"/>
        <v>0.35944668949070646</v>
      </c>
      <c r="Q1518" t="str">
        <f t="shared" ca="1" si="71"/>
        <v>No</v>
      </c>
    </row>
    <row r="1519" spans="1:17" x14ac:dyDescent="0.45">
      <c r="A1519" t="s">
        <v>86</v>
      </c>
      <c r="B1519" t="s">
        <v>87</v>
      </c>
      <c r="C1519" t="s">
        <v>77</v>
      </c>
      <c r="D1519" t="s">
        <v>20</v>
      </c>
      <c r="E1519" t="s">
        <v>21</v>
      </c>
      <c r="F1519" s="1">
        <v>44348</v>
      </c>
      <c r="G1519">
        <v>5.61</v>
      </c>
      <c r="H1519">
        <v>81.349999999999994</v>
      </c>
      <c r="I1519">
        <v>12.01</v>
      </c>
      <c r="J1519">
        <v>82.16</v>
      </c>
      <c r="K1519" t="s">
        <v>30</v>
      </c>
      <c r="L1519">
        <v>576.17999999999995</v>
      </c>
      <c r="M1519">
        <f>VLOOKUP(K1519,RatingLookup!$A$2:$C$8,2,FALSE)</f>
        <v>1.4999999999999999E-2</v>
      </c>
      <c r="N1519">
        <f t="shared" si="69"/>
        <v>1.2586770182638762E-3</v>
      </c>
      <c r="O1519">
        <f>VLOOKUP(K1519,RatingLookup!$A$2:$C$8,3,FALSE)</f>
        <v>0.5</v>
      </c>
      <c r="P1519">
        <f t="shared" si="70"/>
        <v>0.36261226219164006</v>
      </c>
      <c r="Q1519" t="str">
        <f t="shared" ca="1" si="71"/>
        <v>No</v>
      </c>
    </row>
    <row r="1520" spans="1:17" x14ac:dyDescent="0.45">
      <c r="A1520" t="s">
        <v>86</v>
      </c>
      <c r="B1520" t="s">
        <v>87</v>
      </c>
      <c r="C1520" t="s">
        <v>77</v>
      </c>
      <c r="D1520" t="s">
        <v>20</v>
      </c>
      <c r="E1520" t="s">
        <v>21</v>
      </c>
      <c r="F1520" s="1">
        <v>44378</v>
      </c>
      <c r="G1520">
        <v>5.01</v>
      </c>
      <c r="H1520">
        <v>82.038600000000002</v>
      </c>
      <c r="I1520">
        <v>17.93</v>
      </c>
      <c r="J1520">
        <v>67.319999999999993</v>
      </c>
      <c r="K1520" t="s">
        <v>30</v>
      </c>
      <c r="L1520">
        <v>523.89</v>
      </c>
      <c r="M1520">
        <f>VLOOKUP(K1520,RatingLookup!$A$2:$C$8,2,FALSE)</f>
        <v>1.4999999999999999E-2</v>
      </c>
      <c r="N1520">
        <f t="shared" si="69"/>
        <v>1.2586770182638762E-3</v>
      </c>
      <c r="O1520">
        <f>VLOOKUP(K1520,RatingLookup!$A$2:$C$8,3,FALSE)</f>
        <v>0.5</v>
      </c>
      <c r="P1520">
        <f t="shared" si="70"/>
        <v>0.32970415154913107</v>
      </c>
      <c r="Q1520" t="str">
        <f t="shared" ca="1" si="71"/>
        <v>No</v>
      </c>
    </row>
    <row r="1521" spans="1:17" x14ac:dyDescent="0.45">
      <c r="A1521" t="s">
        <v>86</v>
      </c>
      <c r="B1521" t="s">
        <v>87</v>
      </c>
      <c r="C1521" t="s">
        <v>77</v>
      </c>
      <c r="D1521" t="s">
        <v>20</v>
      </c>
      <c r="E1521" t="s">
        <v>21</v>
      </c>
      <c r="F1521" s="1">
        <v>44409</v>
      </c>
      <c r="G1521">
        <v>5.63</v>
      </c>
      <c r="H1521">
        <v>84.9495</v>
      </c>
      <c r="I1521">
        <v>13.59</v>
      </c>
      <c r="J1521">
        <v>79.040000000000006</v>
      </c>
      <c r="K1521" t="s">
        <v>30</v>
      </c>
      <c r="L1521">
        <v>532.20000000000005</v>
      </c>
      <c r="M1521">
        <f>VLOOKUP(K1521,RatingLookup!$A$2:$C$8,2,FALSE)</f>
        <v>1.4999999999999999E-2</v>
      </c>
      <c r="N1521">
        <f t="shared" si="69"/>
        <v>1.2586770182638762E-3</v>
      </c>
      <c r="O1521">
        <f>VLOOKUP(K1521,RatingLookup!$A$2:$C$8,3,FALSE)</f>
        <v>0.5</v>
      </c>
      <c r="P1521">
        <f t="shared" si="70"/>
        <v>0.33493395456001751</v>
      </c>
      <c r="Q1521" t="str">
        <f t="shared" ca="1" si="71"/>
        <v>No</v>
      </c>
    </row>
    <row r="1522" spans="1:17" x14ac:dyDescent="0.45">
      <c r="A1522" t="s">
        <v>86</v>
      </c>
      <c r="B1522" t="s">
        <v>87</v>
      </c>
      <c r="C1522" t="s">
        <v>77</v>
      </c>
      <c r="D1522" t="s">
        <v>20</v>
      </c>
      <c r="E1522" t="s">
        <v>21</v>
      </c>
      <c r="F1522" s="1">
        <v>44440</v>
      </c>
      <c r="G1522">
        <v>6.35</v>
      </c>
      <c r="H1522">
        <v>87.476100000000002</v>
      </c>
      <c r="I1522">
        <v>24.34</v>
      </c>
      <c r="J1522">
        <v>81.760000000000005</v>
      </c>
      <c r="K1522" t="s">
        <v>30</v>
      </c>
      <c r="L1522">
        <v>597.9</v>
      </c>
      <c r="M1522">
        <f>VLOOKUP(K1522,RatingLookup!$A$2:$C$8,2,FALSE)</f>
        <v>1.4999999999999999E-2</v>
      </c>
      <c r="N1522">
        <f t="shared" si="69"/>
        <v>1.2586770182638762E-3</v>
      </c>
      <c r="O1522">
        <f>VLOOKUP(K1522,RatingLookup!$A$2:$C$8,3,FALSE)</f>
        <v>0.5</v>
      </c>
      <c r="P1522">
        <f t="shared" si="70"/>
        <v>0.37628149460998578</v>
      </c>
      <c r="Q1522" t="str">
        <f t="shared" ca="1" si="71"/>
        <v>No</v>
      </c>
    </row>
    <row r="1523" spans="1:17" x14ac:dyDescent="0.45">
      <c r="A1523" t="s">
        <v>86</v>
      </c>
      <c r="B1523" t="s">
        <v>87</v>
      </c>
      <c r="C1523" t="s">
        <v>77</v>
      </c>
      <c r="D1523" t="s">
        <v>20</v>
      </c>
      <c r="E1523" t="s">
        <v>21</v>
      </c>
      <c r="F1523" s="1">
        <v>44470</v>
      </c>
      <c r="G1523">
        <v>5.91</v>
      </c>
      <c r="H1523">
        <v>84.626900000000006</v>
      </c>
      <c r="I1523">
        <v>30.98</v>
      </c>
      <c r="J1523">
        <v>86.34</v>
      </c>
      <c r="K1523" t="s">
        <v>30</v>
      </c>
      <c r="L1523">
        <v>521.49</v>
      </c>
      <c r="M1523">
        <f>VLOOKUP(K1523,RatingLookup!$A$2:$C$8,2,FALSE)</f>
        <v>1.4999999999999999E-2</v>
      </c>
      <c r="N1523">
        <f t="shared" si="69"/>
        <v>1.2586770182638762E-3</v>
      </c>
      <c r="O1523">
        <f>VLOOKUP(K1523,RatingLookup!$A$2:$C$8,3,FALSE)</f>
        <v>0.5</v>
      </c>
      <c r="P1523">
        <f t="shared" si="70"/>
        <v>0.32819373912721439</v>
      </c>
      <c r="Q1523" t="str">
        <f t="shared" ca="1" si="71"/>
        <v>No</v>
      </c>
    </row>
    <row r="1524" spans="1:17" x14ac:dyDescent="0.45">
      <c r="A1524" t="s">
        <v>86</v>
      </c>
      <c r="B1524" t="s">
        <v>87</v>
      </c>
      <c r="C1524" t="s">
        <v>77</v>
      </c>
      <c r="D1524" t="s">
        <v>20</v>
      </c>
      <c r="E1524" t="s">
        <v>21</v>
      </c>
      <c r="F1524" s="1">
        <v>44501</v>
      </c>
      <c r="G1524">
        <v>5.42</v>
      </c>
      <c r="H1524">
        <v>80.6798</v>
      </c>
      <c r="I1524">
        <v>19.21</v>
      </c>
      <c r="J1524">
        <v>76.92</v>
      </c>
      <c r="K1524" t="s">
        <v>22</v>
      </c>
      <c r="L1524">
        <v>525.25</v>
      </c>
      <c r="M1524">
        <f>VLOOKUP(K1524,RatingLookup!$A$2:$C$8,2,FALSE)</f>
        <v>5.0000000000000001E-3</v>
      </c>
      <c r="N1524">
        <f t="shared" si="69"/>
        <v>4.1762458919303302E-4</v>
      </c>
      <c r="O1524">
        <f>VLOOKUP(K1524,RatingLookup!$A$2:$C$8,3,FALSE)</f>
        <v>0.45</v>
      </c>
      <c r="P1524">
        <f t="shared" si="70"/>
        <v>9.871079196313827E-2</v>
      </c>
      <c r="Q1524" t="str">
        <f t="shared" ca="1" si="71"/>
        <v>No</v>
      </c>
    </row>
    <row r="1525" spans="1:17" x14ac:dyDescent="0.45">
      <c r="A1525" t="s">
        <v>86</v>
      </c>
      <c r="B1525" t="s">
        <v>87</v>
      </c>
      <c r="C1525" t="s">
        <v>77</v>
      </c>
      <c r="D1525" t="s">
        <v>20</v>
      </c>
      <c r="E1525" t="s">
        <v>21</v>
      </c>
      <c r="F1525" s="1">
        <v>44531</v>
      </c>
      <c r="G1525">
        <v>5.12</v>
      </c>
      <c r="H1525">
        <v>83.629199999999997</v>
      </c>
      <c r="I1525">
        <v>14.45</v>
      </c>
      <c r="J1525">
        <v>87.71</v>
      </c>
      <c r="K1525" t="s">
        <v>22</v>
      </c>
      <c r="L1525">
        <v>524.59</v>
      </c>
      <c r="M1525">
        <f>VLOOKUP(K1525,RatingLookup!$A$2:$C$8,2,FALSE)</f>
        <v>5.0000000000000001E-3</v>
      </c>
      <c r="N1525">
        <f t="shared" si="69"/>
        <v>4.1762458919303302E-4</v>
      </c>
      <c r="O1525">
        <f>VLOOKUP(K1525,RatingLookup!$A$2:$C$8,3,FALSE)</f>
        <v>0.45</v>
      </c>
      <c r="P1525">
        <f t="shared" si="70"/>
        <v>9.8586757460147945E-2</v>
      </c>
      <c r="Q1525" t="str">
        <f t="shared" ca="1" si="71"/>
        <v>No</v>
      </c>
    </row>
    <row r="1526" spans="1:17" x14ac:dyDescent="0.45">
      <c r="A1526" t="s">
        <v>86</v>
      </c>
      <c r="B1526" t="s">
        <v>87</v>
      </c>
      <c r="C1526" t="s">
        <v>77</v>
      </c>
      <c r="D1526" t="s">
        <v>20</v>
      </c>
      <c r="E1526" t="s">
        <v>21</v>
      </c>
      <c r="F1526" s="1">
        <v>44562</v>
      </c>
      <c r="G1526">
        <v>4.55</v>
      </c>
      <c r="H1526">
        <v>82.492699999999999</v>
      </c>
      <c r="I1526">
        <v>9.5399999999999991</v>
      </c>
      <c r="J1526">
        <v>79.63</v>
      </c>
      <c r="K1526" t="s">
        <v>22</v>
      </c>
      <c r="L1526">
        <v>596.77</v>
      </c>
      <c r="M1526">
        <f>VLOOKUP(K1526,RatingLookup!$A$2:$C$8,2,FALSE)</f>
        <v>5.0000000000000001E-3</v>
      </c>
      <c r="N1526">
        <f t="shared" si="69"/>
        <v>4.1762458919303302E-4</v>
      </c>
      <c r="O1526">
        <f>VLOOKUP(K1526,RatingLookup!$A$2:$C$8,3,FALSE)</f>
        <v>0.45</v>
      </c>
      <c r="P1526">
        <f t="shared" si="70"/>
        <v>0.11215162174172684</v>
      </c>
      <c r="Q1526" t="str">
        <f t="shared" ca="1" si="71"/>
        <v>No</v>
      </c>
    </row>
    <row r="1527" spans="1:17" x14ac:dyDescent="0.45">
      <c r="A1527" t="s">
        <v>86</v>
      </c>
      <c r="B1527" t="s">
        <v>87</v>
      </c>
      <c r="C1527" t="s">
        <v>77</v>
      </c>
      <c r="D1527" t="s">
        <v>20</v>
      </c>
      <c r="E1527" t="s">
        <v>21</v>
      </c>
      <c r="F1527" s="1">
        <v>44593</v>
      </c>
      <c r="G1527">
        <v>5.66</v>
      </c>
      <c r="H1527">
        <v>83.484700000000004</v>
      </c>
      <c r="I1527">
        <v>24.69</v>
      </c>
      <c r="J1527">
        <v>77.23</v>
      </c>
      <c r="K1527" t="s">
        <v>22</v>
      </c>
      <c r="L1527">
        <v>553.15</v>
      </c>
      <c r="M1527">
        <f>VLOOKUP(K1527,RatingLookup!$A$2:$C$8,2,FALSE)</f>
        <v>5.0000000000000001E-3</v>
      </c>
      <c r="N1527">
        <f t="shared" si="69"/>
        <v>4.1762458919303302E-4</v>
      </c>
      <c r="O1527">
        <f>VLOOKUP(K1527,RatingLookup!$A$2:$C$8,3,FALSE)</f>
        <v>0.45</v>
      </c>
      <c r="P1527">
        <f t="shared" si="70"/>
        <v>0.1039540686804568</v>
      </c>
      <c r="Q1527" t="str">
        <f t="shared" ca="1" si="71"/>
        <v>No</v>
      </c>
    </row>
    <row r="1528" spans="1:17" x14ac:dyDescent="0.45">
      <c r="A1528" t="s">
        <v>86</v>
      </c>
      <c r="B1528" t="s">
        <v>87</v>
      </c>
      <c r="C1528" t="s">
        <v>77</v>
      </c>
      <c r="D1528" t="s">
        <v>20</v>
      </c>
      <c r="E1528" t="s">
        <v>21</v>
      </c>
      <c r="F1528" s="1">
        <v>44621</v>
      </c>
      <c r="G1528">
        <v>4.87</v>
      </c>
      <c r="H1528">
        <v>84.480500000000006</v>
      </c>
      <c r="I1528">
        <v>21.68</v>
      </c>
      <c r="J1528">
        <v>60.95</v>
      </c>
      <c r="K1528" t="s">
        <v>22</v>
      </c>
      <c r="L1528">
        <v>553.94000000000005</v>
      </c>
      <c r="M1528">
        <f>VLOOKUP(K1528,RatingLookup!$A$2:$C$8,2,FALSE)</f>
        <v>5.0000000000000001E-3</v>
      </c>
      <c r="N1528">
        <f t="shared" si="69"/>
        <v>4.1762458919303302E-4</v>
      </c>
      <c r="O1528">
        <f>VLOOKUP(K1528,RatingLookup!$A$2:$C$8,3,FALSE)</f>
        <v>0.45</v>
      </c>
      <c r="P1528">
        <f t="shared" si="70"/>
        <v>0.10410253422191493</v>
      </c>
      <c r="Q1528" t="str">
        <f t="shared" ca="1" si="71"/>
        <v>No</v>
      </c>
    </row>
    <row r="1529" spans="1:17" x14ac:dyDescent="0.45">
      <c r="A1529" t="s">
        <v>86</v>
      </c>
      <c r="B1529" t="s">
        <v>87</v>
      </c>
      <c r="C1529" t="s">
        <v>77</v>
      </c>
      <c r="D1529" t="s">
        <v>20</v>
      </c>
      <c r="E1529" t="s">
        <v>21</v>
      </c>
      <c r="F1529" s="1">
        <v>44652</v>
      </c>
      <c r="G1529">
        <v>4.84</v>
      </c>
      <c r="H1529">
        <v>83.660499999999999</v>
      </c>
      <c r="I1529">
        <v>14.33</v>
      </c>
      <c r="J1529">
        <v>74.510000000000005</v>
      </c>
      <c r="K1529" t="s">
        <v>22</v>
      </c>
      <c r="L1529">
        <v>539.25</v>
      </c>
      <c r="M1529">
        <f>VLOOKUP(K1529,RatingLookup!$A$2:$C$8,2,FALSE)</f>
        <v>5.0000000000000001E-3</v>
      </c>
      <c r="N1529">
        <f t="shared" si="69"/>
        <v>4.1762458919303302E-4</v>
      </c>
      <c r="O1529">
        <f>VLOOKUP(K1529,RatingLookup!$A$2:$C$8,3,FALSE)</f>
        <v>0.45</v>
      </c>
      <c r="P1529">
        <f t="shared" si="70"/>
        <v>0.10134182687505437</v>
      </c>
      <c r="Q1529" t="str">
        <f t="shared" ca="1" si="71"/>
        <v>No</v>
      </c>
    </row>
    <row r="1530" spans="1:17" x14ac:dyDescent="0.45">
      <c r="A1530" t="s">
        <v>86</v>
      </c>
      <c r="B1530" t="s">
        <v>87</v>
      </c>
      <c r="C1530" t="s">
        <v>77</v>
      </c>
      <c r="D1530" t="s">
        <v>20</v>
      </c>
      <c r="E1530" t="s">
        <v>21</v>
      </c>
      <c r="F1530" s="1">
        <v>44682</v>
      </c>
      <c r="G1530">
        <v>6.37</v>
      </c>
      <c r="H1530">
        <v>80.773099999999999</v>
      </c>
      <c r="I1530">
        <v>18.850000000000001</v>
      </c>
      <c r="J1530">
        <v>85.01</v>
      </c>
      <c r="K1530" t="s">
        <v>22</v>
      </c>
      <c r="L1530">
        <v>532.76</v>
      </c>
      <c r="M1530">
        <f>VLOOKUP(K1530,RatingLookup!$A$2:$C$8,2,FALSE)</f>
        <v>5.0000000000000001E-3</v>
      </c>
      <c r="N1530">
        <f t="shared" si="69"/>
        <v>4.1762458919303302E-4</v>
      </c>
      <c r="O1530">
        <f>VLOOKUP(K1530,RatingLookup!$A$2:$C$8,3,FALSE)</f>
        <v>0.45</v>
      </c>
      <c r="P1530">
        <f t="shared" si="70"/>
        <v>0.10012215426231613</v>
      </c>
      <c r="Q1530" t="str">
        <f t="shared" ca="1" si="71"/>
        <v>No</v>
      </c>
    </row>
    <row r="1531" spans="1:17" x14ac:dyDescent="0.45">
      <c r="A1531" t="s">
        <v>86</v>
      </c>
      <c r="B1531" t="s">
        <v>87</v>
      </c>
      <c r="C1531" t="s">
        <v>77</v>
      </c>
      <c r="D1531" t="s">
        <v>20</v>
      </c>
      <c r="E1531" t="s">
        <v>21</v>
      </c>
      <c r="F1531" s="1">
        <v>44713</v>
      </c>
      <c r="G1531">
        <v>4.87</v>
      </c>
      <c r="H1531">
        <v>81.675399999999996</v>
      </c>
      <c r="I1531">
        <v>14.96</v>
      </c>
      <c r="J1531">
        <v>57.95</v>
      </c>
      <c r="K1531" t="s">
        <v>22</v>
      </c>
      <c r="L1531">
        <v>582.21</v>
      </c>
      <c r="M1531">
        <f>VLOOKUP(K1531,RatingLookup!$A$2:$C$8,2,FALSE)</f>
        <v>5.0000000000000001E-3</v>
      </c>
      <c r="N1531">
        <f t="shared" si="69"/>
        <v>4.1762458919303302E-4</v>
      </c>
      <c r="O1531">
        <f>VLOOKUP(K1531,RatingLookup!$A$2:$C$8,3,FALSE)</f>
        <v>0.45</v>
      </c>
      <c r="P1531">
        <f t="shared" si="70"/>
        <v>0.1094153454333341</v>
      </c>
      <c r="Q1531" t="str">
        <f t="shared" ca="1" si="71"/>
        <v>No</v>
      </c>
    </row>
    <row r="1532" spans="1:17" x14ac:dyDescent="0.45">
      <c r="A1532" t="s">
        <v>86</v>
      </c>
      <c r="B1532" t="s">
        <v>87</v>
      </c>
      <c r="C1532" t="s">
        <v>77</v>
      </c>
      <c r="D1532" t="s">
        <v>20</v>
      </c>
      <c r="E1532" t="s">
        <v>21</v>
      </c>
      <c r="F1532" s="1">
        <v>44743</v>
      </c>
      <c r="G1532">
        <v>5.45</v>
      </c>
      <c r="H1532">
        <v>81.450299999999999</v>
      </c>
      <c r="I1532">
        <v>15.5</v>
      </c>
      <c r="J1532">
        <v>73</v>
      </c>
      <c r="K1532" t="s">
        <v>22</v>
      </c>
      <c r="L1532">
        <v>552.64</v>
      </c>
      <c r="M1532">
        <f>VLOOKUP(K1532,RatingLookup!$A$2:$C$8,2,FALSE)</f>
        <v>5.0000000000000001E-3</v>
      </c>
      <c r="N1532">
        <f t="shared" si="69"/>
        <v>4.1762458919303302E-4</v>
      </c>
      <c r="O1532">
        <f>VLOOKUP(K1532,RatingLookup!$A$2:$C$8,3,FALSE)</f>
        <v>0.45</v>
      </c>
      <c r="P1532">
        <f t="shared" si="70"/>
        <v>0.103858223837237</v>
      </c>
      <c r="Q1532" t="str">
        <f t="shared" ca="1" si="71"/>
        <v>No</v>
      </c>
    </row>
    <row r="1533" spans="1:17" x14ac:dyDescent="0.45">
      <c r="A1533" t="s">
        <v>86</v>
      </c>
      <c r="B1533" t="s">
        <v>87</v>
      </c>
      <c r="C1533" t="s">
        <v>77</v>
      </c>
      <c r="D1533" t="s">
        <v>20</v>
      </c>
      <c r="E1533" t="s">
        <v>21</v>
      </c>
      <c r="F1533" s="1">
        <v>44774</v>
      </c>
      <c r="G1533">
        <v>5</v>
      </c>
      <c r="H1533">
        <v>83.385300000000001</v>
      </c>
      <c r="I1533">
        <v>18.78</v>
      </c>
      <c r="J1533">
        <v>97.52</v>
      </c>
      <c r="K1533" t="s">
        <v>22</v>
      </c>
      <c r="L1533">
        <v>555.17999999999995</v>
      </c>
      <c r="M1533">
        <f>VLOOKUP(K1533,RatingLookup!$A$2:$C$8,2,FALSE)</f>
        <v>5.0000000000000001E-3</v>
      </c>
      <c r="N1533">
        <f t="shared" si="69"/>
        <v>4.1762458919303302E-4</v>
      </c>
      <c r="O1533">
        <f>VLOOKUP(K1533,RatingLookup!$A$2:$C$8,3,FALSE)</f>
        <v>0.45</v>
      </c>
      <c r="P1533">
        <f t="shared" si="70"/>
        <v>0.10433556874268463</v>
      </c>
      <c r="Q1533" t="str">
        <f t="shared" ca="1" si="71"/>
        <v>No</v>
      </c>
    </row>
    <row r="1534" spans="1:17" x14ac:dyDescent="0.45">
      <c r="A1534" t="s">
        <v>86</v>
      </c>
      <c r="B1534" t="s">
        <v>87</v>
      </c>
      <c r="C1534" t="s">
        <v>77</v>
      </c>
      <c r="D1534" t="s">
        <v>20</v>
      </c>
      <c r="E1534" t="s">
        <v>21</v>
      </c>
      <c r="F1534" s="1">
        <v>44805</v>
      </c>
      <c r="G1534">
        <v>6.17</v>
      </c>
      <c r="H1534">
        <v>81.989900000000006</v>
      </c>
      <c r="I1534">
        <v>19.579999999999998</v>
      </c>
      <c r="J1534">
        <v>84.91</v>
      </c>
      <c r="K1534" t="s">
        <v>22</v>
      </c>
      <c r="L1534">
        <v>568.57000000000005</v>
      </c>
      <c r="M1534">
        <f>VLOOKUP(K1534,RatingLookup!$A$2:$C$8,2,FALSE)</f>
        <v>5.0000000000000001E-3</v>
      </c>
      <c r="N1534">
        <f t="shared" si="69"/>
        <v>4.1762458919303302E-4</v>
      </c>
      <c r="O1534">
        <f>VLOOKUP(K1534,RatingLookup!$A$2:$C$8,3,FALSE)</f>
        <v>0.45</v>
      </c>
      <c r="P1534">
        <f t="shared" si="70"/>
        <v>0.10685196570486727</v>
      </c>
      <c r="Q1534" t="str">
        <f t="shared" ca="1" si="71"/>
        <v>No</v>
      </c>
    </row>
    <row r="1535" spans="1:17" x14ac:dyDescent="0.45">
      <c r="A1535" t="s">
        <v>86</v>
      </c>
      <c r="B1535" t="s">
        <v>87</v>
      </c>
      <c r="C1535" t="s">
        <v>77</v>
      </c>
      <c r="D1535" t="s">
        <v>20</v>
      </c>
      <c r="E1535" t="s">
        <v>21</v>
      </c>
      <c r="F1535" s="1">
        <v>44835</v>
      </c>
      <c r="G1535">
        <v>4.87</v>
      </c>
      <c r="H1535">
        <v>84.177000000000007</v>
      </c>
      <c r="I1535">
        <v>22.16</v>
      </c>
      <c r="J1535">
        <v>94.14</v>
      </c>
      <c r="K1535" t="s">
        <v>22</v>
      </c>
      <c r="L1535">
        <v>595.37</v>
      </c>
      <c r="M1535">
        <f>VLOOKUP(K1535,RatingLookup!$A$2:$C$8,2,FALSE)</f>
        <v>5.0000000000000001E-3</v>
      </c>
      <c r="N1535">
        <f t="shared" si="69"/>
        <v>4.1762458919303302E-4</v>
      </c>
      <c r="O1535">
        <f>VLOOKUP(K1535,RatingLookup!$A$2:$C$8,3,FALSE)</f>
        <v>0.45</v>
      </c>
      <c r="P1535">
        <f t="shared" si="70"/>
        <v>0.11188851825053524</v>
      </c>
      <c r="Q1535" t="str">
        <f t="shared" ca="1" si="71"/>
        <v>No</v>
      </c>
    </row>
    <row r="1536" spans="1:17" x14ac:dyDescent="0.45">
      <c r="A1536" t="s">
        <v>86</v>
      </c>
      <c r="B1536" t="s">
        <v>87</v>
      </c>
      <c r="C1536" t="s">
        <v>77</v>
      </c>
      <c r="D1536" t="s">
        <v>20</v>
      </c>
      <c r="E1536" t="s">
        <v>21</v>
      </c>
      <c r="F1536" s="1">
        <v>44866</v>
      </c>
      <c r="G1536">
        <v>5.16</v>
      </c>
      <c r="H1536">
        <v>83.121099999999998</v>
      </c>
      <c r="I1536">
        <v>22.74</v>
      </c>
      <c r="J1536">
        <v>80.91</v>
      </c>
      <c r="K1536" t="s">
        <v>22</v>
      </c>
      <c r="L1536">
        <v>616.51</v>
      </c>
      <c r="M1536">
        <f>VLOOKUP(K1536,RatingLookup!$A$2:$C$8,2,FALSE)</f>
        <v>5.0000000000000001E-3</v>
      </c>
      <c r="N1536">
        <f t="shared" si="69"/>
        <v>4.1762458919303302E-4</v>
      </c>
      <c r="O1536">
        <f>VLOOKUP(K1536,RatingLookup!$A$2:$C$8,3,FALSE)</f>
        <v>0.45</v>
      </c>
      <c r="P1536">
        <f t="shared" si="70"/>
        <v>0.11586138096752856</v>
      </c>
      <c r="Q1536" t="str">
        <f t="shared" ca="1" si="71"/>
        <v>No</v>
      </c>
    </row>
    <row r="1537" spans="1:17" x14ac:dyDescent="0.45">
      <c r="A1537" t="s">
        <v>86</v>
      </c>
      <c r="B1537" t="s">
        <v>87</v>
      </c>
      <c r="C1537" t="s">
        <v>77</v>
      </c>
      <c r="D1537" t="s">
        <v>20</v>
      </c>
      <c r="E1537" t="s">
        <v>21</v>
      </c>
      <c r="F1537" s="1">
        <v>44896</v>
      </c>
      <c r="G1537">
        <v>5.27</v>
      </c>
      <c r="H1537">
        <v>86.067300000000003</v>
      </c>
      <c r="I1537">
        <v>25.44</v>
      </c>
      <c r="J1537">
        <v>75.459999999999994</v>
      </c>
      <c r="K1537" t="s">
        <v>22</v>
      </c>
      <c r="L1537">
        <v>597.78</v>
      </c>
      <c r="M1537">
        <f>VLOOKUP(K1537,RatingLookup!$A$2:$C$8,2,FALSE)</f>
        <v>5.0000000000000001E-3</v>
      </c>
      <c r="N1537">
        <f t="shared" si="69"/>
        <v>4.1762458919303302E-4</v>
      </c>
      <c r="O1537">
        <f>VLOOKUP(K1537,RatingLookup!$A$2:$C$8,3,FALSE)</f>
        <v>0.45</v>
      </c>
      <c r="P1537">
        <f t="shared" si="70"/>
        <v>0.11234143211751509</v>
      </c>
      <c r="Q1537" t="str">
        <f t="shared" ca="1" si="71"/>
        <v>No</v>
      </c>
    </row>
    <row r="1538" spans="1:17" x14ac:dyDescent="0.45">
      <c r="A1538" t="s">
        <v>86</v>
      </c>
      <c r="B1538" t="s">
        <v>87</v>
      </c>
      <c r="C1538" t="s">
        <v>77</v>
      </c>
      <c r="D1538" t="s">
        <v>20</v>
      </c>
      <c r="E1538" t="s">
        <v>21</v>
      </c>
      <c r="F1538" s="1">
        <v>44927</v>
      </c>
      <c r="G1538">
        <v>5.41</v>
      </c>
      <c r="H1538">
        <v>79.455600000000004</v>
      </c>
      <c r="I1538">
        <v>25.55</v>
      </c>
      <c r="J1538">
        <v>86.83</v>
      </c>
      <c r="K1538" t="s">
        <v>22</v>
      </c>
      <c r="L1538">
        <v>577.48</v>
      </c>
      <c r="M1538">
        <f>VLOOKUP(K1538,RatingLookup!$A$2:$C$8,2,FALSE)</f>
        <v>5.0000000000000001E-3</v>
      </c>
      <c r="N1538">
        <f t="shared" ref="N1538:N1601" si="72">1-(1-M1538)^(1/12)</f>
        <v>4.1762458919303302E-4</v>
      </c>
      <c r="O1538">
        <f>VLOOKUP(K1538,RatingLookup!$A$2:$C$8,3,FALSE)</f>
        <v>0.45</v>
      </c>
      <c r="P1538">
        <f t="shared" ref="P1538:P1601" si="73">L1538*N1538*O1538</f>
        <v>0.10852643149523672</v>
      </c>
      <c r="Q1538" t="str">
        <f t="shared" ref="Q1538:Q1601" ca="1" si="74">IF(RAND()&lt;N1538,"Yes","No")</f>
        <v>No</v>
      </c>
    </row>
    <row r="1539" spans="1:17" x14ac:dyDescent="0.45">
      <c r="A1539" t="s">
        <v>86</v>
      </c>
      <c r="B1539" t="s">
        <v>87</v>
      </c>
      <c r="C1539" t="s">
        <v>77</v>
      </c>
      <c r="D1539" t="s">
        <v>20</v>
      </c>
      <c r="E1539" t="s">
        <v>21</v>
      </c>
      <c r="F1539" s="1">
        <v>44958</v>
      </c>
      <c r="G1539">
        <v>5.26</v>
      </c>
      <c r="H1539">
        <v>82.304900000000004</v>
      </c>
      <c r="I1539">
        <v>12.51</v>
      </c>
      <c r="J1539">
        <v>87.68</v>
      </c>
      <c r="K1539" t="s">
        <v>22</v>
      </c>
      <c r="L1539">
        <v>620.78</v>
      </c>
      <c r="M1539">
        <f>VLOOKUP(K1539,RatingLookup!$A$2:$C$8,2,FALSE)</f>
        <v>5.0000000000000001E-3</v>
      </c>
      <c r="N1539">
        <f t="shared" si="72"/>
        <v>4.1762458919303302E-4</v>
      </c>
      <c r="O1539">
        <f>VLOOKUP(K1539,RatingLookup!$A$2:$C$8,3,FALSE)</f>
        <v>0.45</v>
      </c>
      <c r="P1539">
        <f t="shared" si="73"/>
        <v>0.11666384661566297</v>
      </c>
      <c r="Q1539" t="str">
        <f t="shared" ca="1" si="74"/>
        <v>No</v>
      </c>
    </row>
    <row r="1540" spans="1:17" x14ac:dyDescent="0.45">
      <c r="A1540" t="s">
        <v>86</v>
      </c>
      <c r="B1540" t="s">
        <v>87</v>
      </c>
      <c r="C1540" t="s">
        <v>77</v>
      </c>
      <c r="D1540" t="s">
        <v>20</v>
      </c>
      <c r="E1540" t="s">
        <v>21</v>
      </c>
      <c r="F1540" s="1">
        <v>44986</v>
      </c>
      <c r="G1540">
        <v>5.37</v>
      </c>
      <c r="H1540">
        <v>84.221800000000002</v>
      </c>
      <c r="I1540">
        <v>23.37</v>
      </c>
      <c r="J1540">
        <v>60.41</v>
      </c>
      <c r="K1540" t="s">
        <v>22</v>
      </c>
      <c r="L1540">
        <v>609.46</v>
      </c>
      <c r="M1540">
        <f>VLOOKUP(K1540,RatingLookup!$A$2:$C$8,2,FALSE)</f>
        <v>5.0000000000000001E-3</v>
      </c>
      <c r="N1540">
        <f t="shared" si="72"/>
        <v>4.1762458919303302E-4</v>
      </c>
      <c r="O1540">
        <f>VLOOKUP(K1540,RatingLookup!$A$2:$C$8,3,FALSE)</f>
        <v>0.45</v>
      </c>
      <c r="P1540">
        <f t="shared" si="73"/>
        <v>0.11453646695831367</v>
      </c>
      <c r="Q1540" t="str">
        <f t="shared" ca="1" si="74"/>
        <v>No</v>
      </c>
    </row>
    <row r="1541" spans="1:17" x14ac:dyDescent="0.45">
      <c r="A1541" t="s">
        <v>86</v>
      </c>
      <c r="B1541" t="s">
        <v>87</v>
      </c>
      <c r="C1541" t="s">
        <v>77</v>
      </c>
      <c r="D1541" t="s">
        <v>20</v>
      </c>
      <c r="E1541" t="s">
        <v>21</v>
      </c>
      <c r="F1541" s="1">
        <v>45017</v>
      </c>
      <c r="G1541">
        <v>4.75</v>
      </c>
      <c r="H1541">
        <v>85.5852</v>
      </c>
      <c r="I1541">
        <v>26.74</v>
      </c>
      <c r="J1541">
        <v>68.239999999999995</v>
      </c>
      <c r="K1541" t="s">
        <v>22</v>
      </c>
      <c r="L1541">
        <v>564.54</v>
      </c>
      <c r="M1541">
        <f>VLOOKUP(K1541,RatingLookup!$A$2:$C$8,2,FALSE)</f>
        <v>5.0000000000000001E-3</v>
      </c>
      <c r="N1541">
        <f t="shared" si="72"/>
        <v>4.1762458919303302E-4</v>
      </c>
      <c r="O1541">
        <f>VLOOKUP(K1541,RatingLookup!$A$2:$C$8,3,FALSE)</f>
        <v>0.45</v>
      </c>
      <c r="P1541">
        <f t="shared" si="73"/>
        <v>0.10609460351236569</v>
      </c>
      <c r="Q1541" t="str">
        <f t="shared" ca="1" si="74"/>
        <v>No</v>
      </c>
    </row>
    <row r="1542" spans="1:17" x14ac:dyDescent="0.45">
      <c r="A1542" t="s">
        <v>86</v>
      </c>
      <c r="B1542" t="s">
        <v>87</v>
      </c>
      <c r="C1542" t="s">
        <v>77</v>
      </c>
      <c r="D1542" t="s">
        <v>20</v>
      </c>
      <c r="E1542" t="s">
        <v>21</v>
      </c>
      <c r="F1542" s="1">
        <v>45047</v>
      </c>
      <c r="G1542">
        <v>5.63</v>
      </c>
      <c r="H1542">
        <v>85.993099999999998</v>
      </c>
      <c r="I1542">
        <v>13.23</v>
      </c>
      <c r="J1542">
        <v>72.709999999999994</v>
      </c>
      <c r="K1542" t="s">
        <v>22</v>
      </c>
      <c r="L1542">
        <v>632.42999999999995</v>
      </c>
      <c r="M1542">
        <f>VLOOKUP(K1542,RatingLookup!$A$2:$C$8,2,FALSE)</f>
        <v>5.0000000000000001E-3</v>
      </c>
      <c r="N1542">
        <f t="shared" si="72"/>
        <v>4.1762458919303302E-4</v>
      </c>
      <c r="O1542">
        <f>VLOOKUP(K1542,RatingLookup!$A$2:$C$8,3,FALSE)</f>
        <v>0.45</v>
      </c>
      <c r="P1542">
        <f t="shared" si="73"/>
        <v>0.11885324352450743</v>
      </c>
      <c r="Q1542" t="str">
        <f t="shared" ca="1" si="74"/>
        <v>No</v>
      </c>
    </row>
    <row r="1543" spans="1:17" x14ac:dyDescent="0.45">
      <c r="A1543" t="s">
        <v>86</v>
      </c>
      <c r="B1543" t="s">
        <v>87</v>
      </c>
      <c r="C1543" t="s">
        <v>77</v>
      </c>
      <c r="D1543" t="s">
        <v>20</v>
      </c>
      <c r="E1543" t="s">
        <v>21</v>
      </c>
      <c r="F1543" s="1">
        <v>45078</v>
      </c>
      <c r="G1543">
        <v>4.8</v>
      </c>
      <c r="H1543">
        <v>80.0428</v>
      </c>
      <c r="I1543">
        <v>23.18</v>
      </c>
      <c r="J1543">
        <v>83.31</v>
      </c>
      <c r="K1543" t="s">
        <v>22</v>
      </c>
      <c r="L1543">
        <v>630.73</v>
      </c>
      <c r="M1543">
        <f>VLOOKUP(K1543,RatingLookup!$A$2:$C$8,2,FALSE)</f>
        <v>5.0000000000000001E-3</v>
      </c>
      <c r="N1543">
        <f t="shared" si="72"/>
        <v>4.1762458919303302E-4</v>
      </c>
      <c r="O1543">
        <f>VLOOKUP(K1543,RatingLookup!$A$2:$C$8,3,FALSE)</f>
        <v>0.45</v>
      </c>
      <c r="P1543">
        <f t="shared" si="73"/>
        <v>0.11853376071377478</v>
      </c>
      <c r="Q1543" t="str">
        <f t="shared" ca="1" si="74"/>
        <v>No</v>
      </c>
    </row>
    <row r="1544" spans="1:17" x14ac:dyDescent="0.45">
      <c r="A1544" t="s">
        <v>86</v>
      </c>
      <c r="B1544" t="s">
        <v>87</v>
      </c>
      <c r="C1544" t="s">
        <v>77</v>
      </c>
      <c r="D1544" t="s">
        <v>20</v>
      </c>
      <c r="E1544" t="s">
        <v>21</v>
      </c>
      <c r="F1544" s="1">
        <v>45108</v>
      </c>
      <c r="G1544">
        <v>6.1</v>
      </c>
      <c r="H1544">
        <v>82.215400000000002</v>
      </c>
      <c r="I1544">
        <v>26.49</v>
      </c>
      <c r="J1544">
        <v>87.36</v>
      </c>
      <c r="K1544" t="s">
        <v>22</v>
      </c>
      <c r="L1544">
        <v>620.79999999999995</v>
      </c>
      <c r="M1544">
        <f>VLOOKUP(K1544,RatingLookup!$A$2:$C$8,2,FALSE)</f>
        <v>5.0000000000000001E-3</v>
      </c>
      <c r="N1544">
        <f t="shared" si="72"/>
        <v>4.1762458919303302E-4</v>
      </c>
      <c r="O1544">
        <f>VLOOKUP(K1544,RatingLookup!$A$2:$C$8,3,FALSE)</f>
        <v>0.45</v>
      </c>
      <c r="P1544">
        <f t="shared" si="73"/>
        <v>0.11666760523696569</v>
      </c>
      <c r="Q1544" t="str">
        <f t="shared" ca="1" si="74"/>
        <v>No</v>
      </c>
    </row>
    <row r="1545" spans="1:17" x14ac:dyDescent="0.45">
      <c r="A1545" t="s">
        <v>86</v>
      </c>
      <c r="B1545" t="s">
        <v>87</v>
      </c>
      <c r="C1545" t="s">
        <v>77</v>
      </c>
      <c r="D1545" t="s">
        <v>20</v>
      </c>
      <c r="E1545" t="s">
        <v>21</v>
      </c>
      <c r="F1545" s="1">
        <v>45139</v>
      </c>
      <c r="G1545">
        <v>6.92</v>
      </c>
      <c r="H1545">
        <v>81.847899999999996</v>
      </c>
      <c r="I1545">
        <v>22.1</v>
      </c>
      <c r="J1545">
        <v>74.28</v>
      </c>
      <c r="K1545" t="s">
        <v>22</v>
      </c>
      <c r="L1545">
        <v>605.82000000000005</v>
      </c>
      <c r="M1545">
        <f>VLOOKUP(K1545,RatingLookup!$A$2:$C$8,2,FALSE)</f>
        <v>5.0000000000000001E-3</v>
      </c>
      <c r="N1545">
        <f t="shared" si="72"/>
        <v>4.1762458919303302E-4</v>
      </c>
      <c r="O1545">
        <f>VLOOKUP(K1545,RatingLookup!$A$2:$C$8,3,FALSE)</f>
        <v>0.45</v>
      </c>
      <c r="P1545">
        <f t="shared" si="73"/>
        <v>0.1138523978812155</v>
      </c>
      <c r="Q1545" t="str">
        <f t="shared" ca="1" si="74"/>
        <v>No</v>
      </c>
    </row>
    <row r="1546" spans="1:17" x14ac:dyDescent="0.45">
      <c r="A1546" t="s">
        <v>86</v>
      </c>
      <c r="B1546" t="s">
        <v>87</v>
      </c>
      <c r="C1546" t="s">
        <v>77</v>
      </c>
      <c r="D1546" t="s">
        <v>20</v>
      </c>
      <c r="E1546" t="s">
        <v>21</v>
      </c>
      <c r="F1546" s="1">
        <v>45170</v>
      </c>
      <c r="G1546">
        <v>6.75</v>
      </c>
      <c r="H1546">
        <v>83.866900000000001</v>
      </c>
      <c r="I1546">
        <v>18.809999999999999</v>
      </c>
      <c r="J1546">
        <v>71.08</v>
      </c>
      <c r="K1546" t="s">
        <v>30</v>
      </c>
      <c r="L1546">
        <v>619.46</v>
      </c>
      <c r="M1546">
        <f>VLOOKUP(K1546,RatingLookup!$A$2:$C$8,2,FALSE)</f>
        <v>1.4999999999999999E-2</v>
      </c>
      <c r="N1546">
        <f t="shared" si="72"/>
        <v>1.2586770182638762E-3</v>
      </c>
      <c r="O1546">
        <f>VLOOKUP(K1546,RatingLookup!$A$2:$C$8,3,FALSE)</f>
        <v>0.5</v>
      </c>
      <c r="P1546">
        <f t="shared" si="73"/>
        <v>0.38985003286687042</v>
      </c>
      <c r="Q1546" t="str">
        <f t="shared" ca="1" si="74"/>
        <v>No</v>
      </c>
    </row>
    <row r="1547" spans="1:17" x14ac:dyDescent="0.45">
      <c r="A1547" t="s">
        <v>86</v>
      </c>
      <c r="B1547" t="s">
        <v>87</v>
      </c>
      <c r="C1547" t="s">
        <v>77</v>
      </c>
      <c r="D1547" t="s">
        <v>20</v>
      </c>
      <c r="E1547" t="s">
        <v>21</v>
      </c>
      <c r="F1547" s="1">
        <v>45200</v>
      </c>
      <c r="G1547">
        <v>5.3</v>
      </c>
      <c r="H1547">
        <v>86.060299999999998</v>
      </c>
      <c r="I1547">
        <v>23.95</v>
      </c>
      <c r="J1547">
        <v>67.27</v>
      </c>
      <c r="K1547" t="s">
        <v>30</v>
      </c>
      <c r="L1547">
        <v>544.34</v>
      </c>
      <c r="M1547">
        <f>VLOOKUP(K1547,RatingLookup!$A$2:$C$8,2,FALSE)</f>
        <v>1.4999999999999999E-2</v>
      </c>
      <c r="N1547">
        <f t="shared" si="72"/>
        <v>1.2586770182638762E-3</v>
      </c>
      <c r="O1547">
        <f>VLOOKUP(K1547,RatingLookup!$A$2:$C$8,3,FALSE)</f>
        <v>0.5</v>
      </c>
      <c r="P1547">
        <f t="shared" si="73"/>
        <v>0.34257412406087923</v>
      </c>
      <c r="Q1547" t="str">
        <f t="shared" ca="1" si="74"/>
        <v>No</v>
      </c>
    </row>
    <row r="1548" spans="1:17" x14ac:dyDescent="0.45">
      <c r="A1548" t="s">
        <v>86</v>
      </c>
      <c r="B1548" t="s">
        <v>87</v>
      </c>
      <c r="C1548" t="s">
        <v>77</v>
      </c>
      <c r="D1548" t="s">
        <v>20</v>
      </c>
      <c r="E1548" t="s">
        <v>21</v>
      </c>
      <c r="F1548" s="1">
        <v>45231</v>
      </c>
      <c r="G1548">
        <v>6.41</v>
      </c>
      <c r="H1548">
        <v>83.635999999999996</v>
      </c>
      <c r="I1548">
        <v>27.28</v>
      </c>
      <c r="J1548">
        <v>71.790000000000006</v>
      </c>
      <c r="K1548" t="s">
        <v>30</v>
      </c>
      <c r="L1548">
        <v>548.37</v>
      </c>
      <c r="M1548">
        <f>VLOOKUP(K1548,RatingLookup!$A$2:$C$8,2,FALSE)</f>
        <v>1.4999999999999999E-2</v>
      </c>
      <c r="N1548">
        <f t="shared" si="72"/>
        <v>1.2586770182638762E-3</v>
      </c>
      <c r="O1548">
        <f>VLOOKUP(K1548,RatingLookup!$A$2:$C$8,3,FALSE)</f>
        <v>0.5</v>
      </c>
      <c r="P1548">
        <f t="shared" si="73"/>
        <v>0.34511035825268088</v>
      </c>
      <c r="Q1548" t="str">
        <f t="shared" ca="1" si="74"/>
        <v>No</v>
      </c>
    </row>
    <row r="1549" spans="1:17" x14ac:dyDescent="0.45">
      <c r="A1549" t="s">
        <v>86</v>
      </c>
      <c r="B1549" t="s">
        <v>87</v>
      </c>
      <c r="C1549" t="s">
        <v>77</v>
      </c>
      <c r="D1549" t="s">
        <v>20</v>
      </c>
      <c r="E1549" t="s">
        <v>21</v>
      </c>
      <c r="F1549" s="1">
        <v>45261</v>
      </c>
      <c r="G1549">
        <v>5.1100000000000003</v>
      </c>
      <c r="H1549">
        <v>88.746200000000002</v>
      </c>
      <c r="I1549">
        <v>10.28</v>
      </c>
      <c r="J1549">
        <v>90.11</v>
      </c>
      <c r="K1549" t="s">
        <v>30</v>
      </c>
      <c r="L1549">
        <v>617.69000000000005</v>
      </c>
      <c r="M1549">
        <f>VLOOKUP(K1549,RatingLookup!$A$2:$C$8,2,FALSE)</f>
        <v>1.4999999999999999E-2</v>
      </c>
      <c r="N1549">
        <f t="shared" si="72"/>
        <v>1.2586770182638762E-3</v>
      </c>
      <c r="O1549">
        <f>VLOOKUP(K1549,RatingLookup!$A$2:$C$8,3,FALSE)</f>
        <v>0.5</v>
      </c>
      <c r="P1549">
        <f t="shared" si="73"/>
        <v>0.38873610370570688</v>
      </c>
      <c r="Q1549" t="str">
        <f t="shared" ca="1" si="74"/>
        <v>No</v>
      </c>
    </row>
    <row r="1550" spans="1:17" x14ac:dyDescent="0.45">
      <c r="A1550" t="s">
        <v>86</v>
      </c>
      <c r="B1550" t="s">
        <v>87</v>
      </c>
      <c r="C1550" t="s">
        <v>77</v>
      </c>
      <c r="D1550" t="s">
        <v>20</v>
      </c>
      <c r="E1550" t="s">
        <v>21</v>
      </c>
      <c r="F1550" s="1">
        <v>45292</v>
      </c>
      <c r="G1550">
        <v>5.58</v>
      </c>
      <c r="H1550">
        <v>84.110799999999998</v>
      </c>
      <c r="I1550">
        <v>23.04</v>
      </c>
      <c r="J1550">
        <v>89.6</v>
      </c>
      <c r="K1550" t="s">
        <v>30</v>
      </c>
      <c r="L1550">
        <v>598.24</v>
      </c>
      <c r="M1550">
        <f>VLOOKUP(K1550,RatingLookup!$A$2:$C$8,2,FALSE)</f>
        <v>1.4999999999999999E-2</v>
      </c>
      <c r="N1550">
        <f t="shared" si="72"/>
        <v>1.2586770182638762E-3</v>
      </c>
      <c r="O1550">
        <f>VLOOKUP(K1550,RatingLookup!$A$2:$C$8,3,FALSE)</f>
        <v>0.5</v>
      </c>
      <c r="P1550">
        <f t="shared" si="73"/>
        <v>0.37649546970309067</v>
      </c>
      <c r="Q1550" t="str">
        <f t="shared" ca="1" si="74"/>
        <v>No</v>
      </c>
    </row>
    <row r="1551" spans="1:17" x14ac:dyDescent="0.45">
      <c r="A1551" t="s">
        <v>86</v>
      </c>
      <c r="B1551" t="s">
        <v>87</v>
      </c>
      <c r="C1551" t="s">
        <v>77</v>
      </c>
      <c r="D1551" t="s">
        <v>20</v>
      </c>
      <c r="E1551" t="s">
        <v>21</v>
      </c>
      <c r="F1551" s="1">
        <v>45323</v>
      </c>
      <c r="G1551">
        <v>6.57</v>
      </c>
      <c r="H1551">
        <v>80.160399999999996</v>
      </c>
      <c r="I1551">
        <v>13.07</v>
      </c>
      <c r="J1551">
        <v>70.63</v>
      </c>
      <c r="K1551" t="s">
        <v>30</v>
      </c>
      <c r="L1551">
        <v>625.71</v>
      </c>
      <c r="M1551">
        <f>VLOOKUP(K1551,RatingLookup!$A$2:$C$8,2,FALSE)</f>
        <v>1.4999999999999999E-2</v>
      </c>
      <c r="N1551">
        <f t="shared" si="72"/>
        <v>1.2586770182638762E-3</v>
      </c>
      <c r="O1551">
        <f>VLOOKUP(K1551,RatingLookup!$A$2:$C$8,3,FALSE)</f>
        <v>0.5</v>
      </c>
      <c r="P1551">
        <f t="shared" si="73"/>
        <v>0.39378339854894501</v>
      </c>
      <c r="Q1551" t="str">
        <f t="shared" ca="1" si="74"/>
        <v>No</v>
      </c>
    </row>
    <row r="1552" spans="1:17" x14ac:dyDescent="0.45">
      <c r="A1552" t="s">
        <v>86</v>
      </c>
      <c r="B1552" t="s">
        <v>87</v>
      </c>
      <c r="C1552" t="s">
        <v>77</v>
      </c>
      <c r="D1552" t="s">
        <v>20</v>
      </c>
      <c r="E1552" t="s">
        <v>21</v>
      </c>
      <c r="F1552" s="1">
        <v>45352</v>
      </c>
      <c r="G1552">
        <v>5.18</v>
      </c>
      <c r="H1552">
        <v>83.998199999999997</v>
      </c>
      <c r="I1552">
        <v>22.84</v>
      </c>
      <c r="J1552">
        <v>69.84</v>
      </c>
      <c r="K1552" t="s">
        <v>30</v>
      </c>
      <c r="L1552">
        <v>557.19000000000005</v>
      </c>
      <c r="M1552">
        <f>VLOOKUP(K1552,RatingLookup!$A$2:$C$8,2,FALSE)</f>
        <v>1.4999999999999999E-2</v>
      </c>
      <c r="N1552">
        <f t="shared" si="72"/>
        <v>1.2586770182638762E-3</v>
      </c>
      <c r="O1552">
        <f>VLOOKUP(K1552,RatingLookup!$A$2:$C$8,3,FALSE)</f>
        <v>0.5</v>
      </c>
      <c r="P1552">
        <f t="shared" si="73"/>
        <v>0.35066112390322463</v>
      </c>
      <c r="Q1552" t="str">
        <f t="shared" ca="1" si="74"/>
        <v>No</v>
      </c>
    </row>
    <row r="1553" spans="1:17" x14ac:dyDescent="0.45">
      <c r="A1553" t="s">
        <v>86</v>
      </c>
      <c r="B1553" t="s">
        <v>87</v>
      </c>
      <c r="C1553" t="s">
        <v>77</v>
      </c>
      <c r="D1553" t="s">
        <v>20</v>
      </c>
      <c r="E1553" t="s">
        <v>21</v>
      </c>
      <c r="F1553" s="1">
        <v>45383</v>
      </c>
      <c r="G1553">
        <v>5.67</v>
      </c>
      <c r="H1553">
        <v>79.655900000000003</v>
      </c>
      <c r="I1553">
        <v>16.88</v>
      </c>
      <c r="J1553">
        <v>78.28</v>
      </c>
      <c r="K1553" t="s">
        <v>30</v>
      </c>
      <c r="L1553">
        <v>529.52</v>
      </c>
      <c r="M1553">
        <f>VLOOKUP(K1553,RatingLookup!$A$2:$C$8,2,FALSE)</f>
        <v>1.4999999999999999E-2</v>
      </c>
      <c r="N1553">
        <f t="shared" si="72"/>
        <v>1.2586770182638762E-3</v>
      </c>
      <c r="O1553">
        <f>VLOOKUP(K1553,RatingLookup!$A$2:$C$8,3,FALSE)</f>
        <v>0.5</v>
      </c>
      <c r="P1553">
        <f t="shared" si="73"/>
        <v>0.33324732735554385</v>
      </c>
      <c r="Q1553" t="str">
        <f t="shared" ca="1" si="74"/>
        <v>No</v>
      </c>
    </row>
    <row r="1554" spans="1:17" x14ac:dyDescent="0.45">
      <c r="A1554" t="s">
        <v>86</v>
      </c>
      <c r="B1554" t="s">
        <v>87</v>
      </c>
      <c r="C1554" t="s">
        <v>77</v>
      </c>
      <c r="D1554" t="s">
        <v>20</v>
      </c>
      <c r="E1554" t="s">
        <v>21</v>
      </c>
      <c r="F1554" s="1">
        <v>45413</v>
      </c>
      <c r="G1554">
        <v>6.4</v>
      </c>
      <c r="H1554">
        <v>81.307900000000004</v>
      </c>
      <c r="I1554">
        <v>15.91</v>
      </c>
      <c r="J1554">
        <v>67.78</v>
      </c>
      <c r="K1554" t="s">
        <v>30</v>
      </c>
      <c r="L1554">
        <v>634.32000000000005</v>
      </c>
      <c r="M1554">
        <f>VLOOKUP(K1554,RatingLookup!$A$2:$C$8,2,FALSE)</f>
        <v>1.4999999999999999E-2</v>
      </c>
      <c r="N1554">
        <f t="shared" si="72"/>
        <v>1.2586770182638762E-3</v>
      </c>
      <c r="O1554">
        <f>VLOOKUP(K1554,RatingLookup!$A$2:$C$8,3,FALSE)</f>
        <v>0.5</v>
      </c>
      <c r="P1554">
        <f t="shared" si="73"/>
        <v>0.39920200311257104</v>
      </c>
      <c r="Q1554" t="str">
        <f t="shared" ca="1" si="74"/>
        <v>No</v>
      </c>
    </row>
    <row r="1555" spans="1:17" x14ac:dyDescent="0.45">
      <c r="A1555" t="s">
        <v>86</v>
      </c>
      <c r="B1555" t="s">
        <v>87</v>
      </c>
      <c r="C1555" t="s">
        <v>77</v>
      </c>
      <c r="D1555" t="s">
        <v>20</v>
      </c>
      <c r="E1555" t="s">
        <v>21</v>
      </c>
      <c r="F1555" s="1">
        <v>45444</v>
      </c>
      <c r="G1555">
        <v>5.77</v>
      </c>
      <c r="H1555">
        <v>82.955699999999993</v>
      </c>
      <c r="I1555">
        <v>8.9700000000000006</v>
      </c>
      <c r="J1555">
        <v>74.06</v>
      </c>
      <c r="K1555" t="s">
        <v>30</v>
      </c>
      <c r="L1555">
        <v>604.95000000000005</v>
      </c>
      <c r="M1555">
        <f>VLOOKUP(K1555,RatingLookup!$A$2:$C$8,2,FALSE)</f>
        <v>1.4999999999999999E-2</v>
      </c>
      <c r="N1555">
        <f t="shared" si="72"/>
        <v>1.2586770182638762E-3</v>
      </c>
      <c r="O1555">
        <f>VLOOKUP(K1555,RatingLookup!$A$2:$C$8,3,FALSE)</f>
        <v>0.5</v>
      </c>
      <c r="P1555">
        <f t="shared" si="73"/>
        <v>0.38071833109936598</v>
      </c>
      <c r="Q1555" t="str">
        <f t="shared" ca="1" si="74"/>
        <v>No</v>
      </c>
    </row>
    <row r="1556" spans="1:17" x14ac:dyDescent="0.45">
      <c r="A1556" t="s">
        <v>86</v>
      </c>
      <c r="B1556" t="s">
        <v>87</v>
      </c>
      <c r="C1556" t="s">
        <v>77</v>
      </c>
      <c r="D1556" t="s">
        <v>20</v>
      </c>
      <c r="E1556" t="s">
        <v>21</v>
      </c>
      <c r="F1556" s="1">
        <v>45474</v>
      </c>
      <c r="G1556">
        <v>4.3899999999999997</v>
      </c>
      <c r="H1556">
        <v>83.653599999999997</v>
      </c>
      <c r="I1556">
        <v>16.82</v>
      </c>
      <c r="J1556">
        <v>81.16</v>
      </c>
      <c r="K1556" t="s">
        <v>30</v>
      </c>
      <c r="L1556">
        <v>603.74</v>
      </c>
      <c r="M1556">
        <f>VLOOKUP(K1556,RatingLookup!$A$2:$C$8,2,FALSE)</f>
        <v>1.4999999999999999E-2</v>
      </c>
      <c r="N1556">
        <f t="shared" si="72"/>
        <v>1.2586770182638762E-3</v>
      </c>
      <c r="O1556">
        <f>VLOOKUP(K1556,RatingLookup!$A$2:$C$8,3,FALSE)</f>
        <v>0.5</v>
      </c>
      <c r="P1556">
        <f t="shared" si="73"/>
        <v>0.37995683150331633</v>
      </c>
      <c r="Q1556" t="str">
        <f t="shared" ca="1" si="74"/>
        <v>No</v>
      </c>
    </row>
    <row r="1557" spans="1:17" x14ac:dyDescent="0.45">
      <c r="A1557" t="s">
        <v>86</v>
      </c>
      <c r="B1557" t="s">
        <v>87</v>
      </c>
      <c r="C1557" t="s">
        <v>77</v>
      </c>
      <c r="D1557" t="s">
        <v>20</v>
      </c>
      <c r="E1557" t="s">
        <v>21</v>
      </c>
      <c r="F1557" s="1">
        <v>45505</v>
      </c>
      <c r="G1557">
        <v>5.39</v>
      </c>
      <c r="H1557">
        <v>82.437700000000007</v>
      </c>
      <c r="I1557">
        <v>10.58</v>
      </c>
      <c r="J1557">
        <v>79.37</v>
      </c>
      <c r="K1557" t="s">
        <v>30</v>
      </c>
      <c r="L1557">
        <v>593.91</v>
      </c>
      <c r="M1557">
        <f>VLOOKUP(K1557,RatingLookup!$A$2:$C$8,2,FALSE)</f>
        <v>1.4999999999999999E-2</v>
      </c>
      <c r="N1557">
        <f t="shared" si="72"/>
        <v>1.2586770182638762E-3</v>
      </c>
      <c r="O1557">
        <f>VLOOKUP(K1557,RatingLookup!$A$2:$C$8,3,FALSE)</f>
        <v>0.5</v>
      </c>
      <c r="P1557">
        <f t="shared" si="73"/>
        <v>0.37377043395854936</v>
      </c>
      <c r="Q1557" t="str">
        <f t="shared" ca="1" si="74"/>
        <v>No</v>
      </c>
    </row>
    <row r="1558" spans="1:17" x14ac:dyDescent="0.45">
      <c r="A1558" t="s">
        <v>86</v>
      </c>
      <c r="B1558" t="s">
        <v>87</v>
      </c>
      <c r="C1558" t="s">
        <v>77</v>
      </c>
      <c r="D1558" t="s">
        <v>20</v>
      </c>
      <c r="E1558" t="s">
        <v>21</v>
      </c>
      <c r="F1558" s="1">
        <v>45536</v>
      </c>
      <c r="G1558">
        <v>5.55</v>
      </c>
      <c r="H1558">
        <v>77.026499999999999</v>
      </c>
      <c r="I1558">
        <v>20.6</v>
      </c>
      <c r="J1558">
        <v>78.569999999999993</v>
      </c>
      <c r="K1558" t="s">
        <v>30</v>
      </c>
      <c r="L1558">
        <v>563.91</v>
      </c>
      <c r="M1558">
        <f>VLOOKUP(K1558,RatingLookup!$A$2:$C$8,2,FALSE)</f>
        <v>1.4999999999999999E-2</v>
      </c>
      <c r="N1558">
        <f t="shared" si="72"/>
        <v>1.2586770182638762E-3</v>
      </c>
      <c r="O1558">
        <f>VLOOKUP(K1558,RatingLookup!$A$2:$C$8,3,FALSE)</f>
        <v>0.5</v>
      </c>
      <c r="P1558">
        <f t="shared" si="73"/>
        <v>0.35489027868459122</v>
      </c>
      <c r="Q1558" t="str">
        <f t="shared" ca="1" si="74"/>
        <v>No</v>
      </c>
    </row>
    <row r="1559" spans="1:17" x14ac:dyDescent="0.45">
      <c r="A1559" t="s">
        <v>86</v>
      </c>
      <c r="B1559" t="s">
        <v>87</v>
      </c>
      <c r="C1559" t="s">
        <v>77</v>
      </c>
      <c r="D1559" t="s">
        <v>20</v>
      </c>
      <c r="E1559" t="s">
        <v>21</v>
      </c>
      <c r="F1559" s="1">
        <v>45566</v>
      </c>
      <c r="G1559">
        <v>5.69</v>
      </c>
      <c r="H1559">
        <v>80.784599999999998</v>
      </c>
      <c r="I1559">
        <v>20.3</v>
      </c>
      <c r="J1559">
        <v>73.680000000000007</v>
      </c>
      <c r="K1559" t="s">
        <v>30</v>
      </c>
      <c r="L1559">
        <v>576.45000000000005</v>
      </c>
      <c r="M1559">
        <f>VLOOKUP(K1559,RatingLookup!$A$2:$C$8,2,FALSE)</f>
        <v>1.4999999999999999E-2</v>
      </c>
      <c r="N1559">
        <f t="shared" si="72"/>
        <v>1.2586770182638762E-3</v>
      </c>
      <c r="O1559">
        <f>VLOOKUP(K1559,RatingLookup!$A$2:$C$8,3,FALSE)</f>
        <v>0.5</v>
      </c>
      <c r="P1559">
        <f t="shared" si="73"/>
        <v>0.36278218358910574</v>
      </c>
      <c r="Q1559" t="str">
        <f t="shared" ca="1" si="74"/>
        <v>No</v>
      </c>
    </row>
    <row r="1560" spans="1:17" x14ac:dyDescent="0.45">
      <c r="A1560" t="s">
        <v>86</v>
      </c>
      <c r="B1560" t="s">
        <v>87</v>
      </c>
      <c r="C1560" t="s">
        <v>77</v>
      </c>
      <c r="D1560" t="s">
        <v>20</v>
      </c>
      <c r="E1560" t="s">
        <v>21</v>
      </c>
      <c r="F1560" s="1">
        <v>45597</v>
      </c>
      <c r="G1560">
        <v>5.45</v>
      </c>
      <c r="H1560">
        <v>84.803100000000001</v>
      </c>
      <c r="I1560">
        <v>26.78</v>
      </c>
      <c r="J1560">
        <v>91.69</v>
      </c>
      <c r="K1560" t="s">
        <v>30</v>
      </c>
      <c r="L1560">
        <v>646.26</v>
      </c>
      <c r="M1560">
        <f>VLOOKUP(K1560,RatingLookup!$A$2:$C$8,2,FALSE)</f>
        <v>1.4999999999999999E-2</v>
      </c>
      <c r="N1560">
        <f t="shared" si="72"/>
        <v>1.2586770182638762E-3</v>
      </c>
      <c r="O1560">
        <f>VLOOKUP(K1560,RatingLookup!$A$2:$C$8,3,FALSE)</f>
        <v>0.5</v>
      </c>
      <c r="P1560">
        <f t="shared" si="73"/>
        <v>0.40671630491160632</v>
      </c>
      <c r="Q1560" t="str">
        <f t="shared" ca="1" si="74"/>
        <v>No</v>
      </c>
    </row>
    <row r="1561" spans="1:17" x14ac:dyDescent="0.45">
      <c r="A1561" t="s">
        <v>86</v>
      </c>
      <c r="B1561" t="s">
        <v>87</v>
      </c>
      <c r="C1561" t="s">
        <v>77</v>
      </c>
      <c r="D1561" t="s">
        <v>20</v>
      </c>
      <c r="E1561" t="s">
        <v>21</v>
      </c>
      <c r="F1561" s="1">
        <v>45627</v>
      </c>
      <c r="G1561">
        <v>5.23</v>
      </c>
      <c r="H1561">
        <v>83.271199999999993</v>
      </c>
      <c r="I1561">
        <v>9.33</v>
      </c>
      <c r="J1561">
        <v>81.739999999999995</v>
      </c>
      <c r="K1561" t="s">
        <v>30</v>
      </c>
      <c r="L1561">
        <v>596.75</v>
      </c>
      <c r="M1561">
        <f>VLOOKUP(K1561,RatingLookup!$A$2:$C$8,2,FALSE)</f>
        <v>1.4999999999999999E-2</v>
      </c>
      <c r="N1561">
        <f t="shared" si="72"/>
        <v>1.2586770182638762E-3</v>
      </c>
      <c r="O1561">
        <f>VLOOKUP(K1561,RatingLookup!$A$2:$C$8,3,FALSE)</f>
        <v>0.5</v>
      </c>
      <c r="P1561">
        <f t="shared" si="73"/>
        <v>0.3755577553244841</v>
      </c>
      <c r="Q1561" t="str">
        <f t="shared" ca="1" si="74"/>
        <v>No</v>
      </c>
    </row>
    <row r="1562" spans="1:17" x14ac:dyDescent="0.45">
      <c r="A1562" t="s">
        <v>88</v>
      </c>
      <c r="B1562" t="s">
        <v>89</v>
      </c>
      <c r="C1562" t="s">
        <v>40</v>
      </c>
      <c r="D1562" t="s">
        <v>20</v>
      </c>
      <c r="E1562" t="s">
        <v>21</v>
      </c>
      <c r="F1562" s="1">
        <v>43831</v>
      </c>
      <c r="G1562">
        <v>5.62</v>
      </c>
      <c r="H1562">
        <v>83.1571</v>
      </c>
      <c r="I1562">
        <v>11.86</v>
      </c>
      <c r="J1562">
        <v>68.900000000000006</v>
      </c>
      <c r="K1562" t="s">
        <v>22</v>
      </c>
      <c r="L1562">
        <v>456.28</v>
      </c>
      <c r="M1562">
        <f>VLOOKUP(K1562,RatingLookup!$A$2:$C$8,2,FALSE)</f>
        <v>5.0000000000000001E-3</v>
      </c>
      <c r="N1562">
        <f t="shared" si="72"/>
        <v>4.1762458919303302E-4</v>
      </c>
      <c r="O1562">
        <f>VLOOKUP(K1562,RatingLookup!$A$2:$C$8,3,FALSE)</f>
        <v>0.45</v>
      </c>
      <c r="P1562">
        <f t="shared" si="73"/>
        <v>8.57491864006487E-2</v>
      </c>
      <c r="Q1562" t="str">
        <f t="shared" ca="1" si="74"/>
        <v>No</v>
      </c>
    </row>
    <row r="1563" spans="1:17" x14ac:dyDescent="0.45">
      <c r="A1563" t="s">
        <v>88</v>
      </c>
      <c r="B1563" t="s">
        <v>89</v>
      </c>
      <c r="C1563" t="s">
        <v>40</v>
      </c>
      <c r="D1563" t="s">
        <v>20</v>
      </c>
      <c r="E1563" t="s">
        <v>21</v>
      </c>
      <c r="F1563" s="1">
        <v>43862</v>
      </c>
      <c r="G1563">
        <v>5.73</v>
      </c>
      <c r="H1563">
        <v>79.350300000000004</v>
      </c>
      <c r="I1563">
        <v>18.170000000000002</v>
      </c>
      <c r="J1563">
        <v>76.760000000000005</v>
      </c>
      <c r="K1563" t="s">
        <v>22</v>
      </c>
      <c r="L1563">
        <v>474.74</v>
      </c>
      <c r="M1563">
        <f>VLOOKUP(K1563,RatingLookup!$A$2:$C$8,2,FALSE)</f>
        <v>5.0000000000000001E-3</v>
      </c>
      <c r="N1563">
        <f t="shared" si="72"/>
        <v>4.1762458919303302E-4</v>
      </c>
      <c r="O1563">
        <f>VLOOKUP(K1563,RatingLookup!$A$2:$C$8,3,FALSE)</f>
        <v>0.45</v>
      </c>
      <c r="P1563">
        <f t="shared" si="73"/>
        <v>8.9218393863075215E-2</v>
      </c>
      <c r="Q1563" t="str">
        <f t="shared" ca="1" si="74"/>
        <v>No</v>
      </c>
    </row>
    <row r="1564" spans="1:17" x14ac:dyDescent="0.45">
      <c r="A1564" t="s">
        <v>88</v>
      </c>
      <c r="B1564" t="s">
        <v>89</v>
      </c>
      <c r="C1564" t="s">
        <v>40</v>
      </c>
      <c r="D1564" t="s">
        <v>20</v>
      </c>
      <c r="E1564" t="s">
        <v>21</v>
      </c>
      <c r="F1564" s="1">
        <v>43891</v>
      </c>
      <c r="G1564">
        <v>4.88</v>
      </c>
      <c r="H1564">
        <v>81.4923</v>
      </c>
      <c r="I1564">
        <v>19.850000000000001</v>
      </c>
      <c r="J1564">
        <v>72.61</v>
      </c>
      <c r="K1564" t="s">
        <v>22</v>
      </c>
      <c r="L1564">
        <v>430.41</v>
      </c>
      <c r="M1564">
        <f>VLOOKUP(K1564,RatingLookup!$A$2:$C$8,2,FALSE)</f>
        <v>5.0000000000000001E-3</v>
      </c>
      <c r="N1564">
        <f t="shared" si="72"/>
        <v>4.1762458919303302E-4</v>
      </c>
      <c r="O1564">
        <f>VLOOKUP(K1564,RatingLookup!$A$2:$C$8,3,FALSE)</f>
        <v>0.45</v>
      </c>
      <c r="P1564">
        <f t="shared" si="73"/>
        <v>8.0887409745558012E-2</v>
      </c>
      <c r="Q1564" t="str">
        <f t="shared" ca="1" si="74"/>
        <v>No</v>
      </c>
    </row>
    <row r="1565" spans="1:17" x14ac:dyDescent="0.45">
      <c r="A1565" t="s">
        <v>88</v>
      </c>
      <c r="B1565" t="s">
        <v>89</v>
      </c>
      <c r="C1565" t="s">
        <v>40</v>
      </c>
      <c r="D1565" t="s">
        <v>20</v>
      </c>
      <c r="E1565" t="s">
        <v>21</v>
      </c>
      <c r="F1565" s="1">
        <v>43922</v>
      </c>
      <c r="G1565">
        <v>4.63</v>
      </c>
      <c r="H1565">
        <v>82.612200000000001</v>
      </c>
      <c r="I1565">
        <v>21.54</v>
      </c>
      <c r="J1565">
        <v>78.69</v>
      </c>
      <c r="K1565" t="s">
        <v>22</v>
      </c>
      <c r="L1565">
        <v>480.35</v>
      </c>
      <c r="M1565">
        <f>VLOOKUP(K1565,RatingLookup!$A$2:$C$8,2,FALSE)</f>
        <v>5.0000000000000001E-3</v>
      </c>
      <c r="N1565">
        <f t="shared" si="72"/>
        <v>4.1762458919303302E-4</v>
      </c>
      <c r="O1565">
        <f>VLOOKUP(K1565,RatingLookup!$A$2:$C$8,3,FALSE)</f>
        <v>0.45</v>
      </c>
      <c r="P1565">
        <f t="shared" si="73"/>
        <v>9.0272687138493041E-2</v>
      </c>
      <c r="Q1565" t="str">
        <f t="shared" ca="1" si="74"/>
        <v>No</v>
      </c>
    </row>
    <row r="1566" spans="1:17" x14ac:dyDescent="0.45">
      <c r="A1566" t="s">
        <v>88</v>
      </c>
      <c r="B1566" t="s">
        <v>89</v>
      </c>
      <c r="C1566" t="s">
        <v>40</v>
      </c>
      <c r="D1566" t="s">
        <v>20</v>
      </c>
      <c r="E1566" t="s">
        <v>21</v>
      </c>
      <c r="F1566" s="1">
        <v>43952</v>
      </c>
      <c r="G1566">
        <v>5.0199999999999996</v>
      </c>
      <c r="H1566">
        <v>81.304699999999997</v>
      </c>
      <c r="I1566">
        <v>24.34</v>
      </c>
      <c r="J1566">
        <v>84.73</v>
      </c>
      <c r="K1566" t="s">
        <v>22</v>
      </c>
      <c r="L1566">
        <v>473.54</v>
      </c>
      <c r="M1566">
        <f>VLOOKUP(K1566,RatingLookup!$A$2:$C$8,2,FALSE)</f>
        <v>5.0000000000000001E-3</v>
      </c>
      <c r="N1566">
        <f t="shared" si="72"/>
        <v>4.1762458919303302E-4</v>
      </c>
      <c r="O1566">
        <f>VLOOKUP(K1566,RatingLookup!$A$2:$C$8,3,FALSE)</f>
        <v>0.45</v>
      </c>
      <c r="P1566">
        <f t="shared" si="73"/>
        <v>8.8992876584910993E-2</v>
      </c>
      <c r="Q1566" t="str">
        <f t="shared" ca="1" si="74"/>
        <v>No</v>
      </c>
    </row>
    <row r="1567" spans="1:17" x14ac:dyDescent="0.45">
      <c r="A1567" t="s">
        <v>88</v>
      </c>
      <c r="B1567" t="s">
        <v>89</v>
      </c>
      <c r="C1567" t="s">
        <v>40</v>
      </c>
      <c r="D1567" t="s">
        <v>20</v>
      </c>
      <c r="E1567" t="s">
        <v>21</v>
      </c>
      <c r="F1567" s="1">
        <v>43983</v>
      </c>
      <c r="G1567">
        <v>4.87</v>
      </c>
      <c r="H1567">
        <v>85.738600000000005</v>
      </c>
      <c r="I1567">
        <v>7.41</v>
      </c>
      <c r="J1567">
        <v>66.78</v>
      </c>
      <c r="K1567" t="s">
        <v>22</v>
      </c>
      <c r="L1567">
        <v>494.6</v>
      </c>
      <c r="M1567">
        <f>VLOOKUP(K1567,RatingLookup!$A$2:$C$8,2,FALSE)</f>
        <v>5.0000000000000001E-3</v>
      </c>
      <c r="N1567">
        <f t="shared" si="72"/>
        <v>4.1762458919303302E-4</v>
      </c>
      <c r="O1567">
        <f>VLOOKUP(K1567,RatingLookup!$A$2:$C$8,3,FALSE)</f>
        <v>0.45</v>
      </c>
      <c r="P1567">
        <f t="shared" si="73"/>
        <v>9.2950704816693375E-2</v>
      </c>
      <c r="Q1567" t="str">
        <f t="shared" ca="1" si="74"/>
        <v>No</v>
      </c>
    </row>
    <row r="1568" spans="1:17" x14ac:dyDescent="0.45">
      <c r="A1568" t="s">
        <v>88</v>
      </c>
      <c r="B1568" t="s">
        <v>89</v>
      </c>
      <c r="C1568" t="s">
        <v>40</v>
      </c>
      <c r="D1568" t="s">
        <v>20</v>
      </c>
      <c r="E1568" t="s">
        <v>21</v>
      </c>
      <c r="F1568" s="1">
        <v>44013</v>
      </c>
      <c r="G1568">
        <v>6.42</v>
      </c>
      <c r="H1568">
        <v>80.286600000000007</v>
      </c>
      <c r="I1568">
        <v>9.06</v>
      </c>
      <c r="J1568">
        <v>83.5</v>
      </c>
      <c r="K1568" t="s">
        <v>22</v>
      </c>
      <c r="L1568">
        <v>499.46</v>
      </c>
      <c r="M1568">
        <f>VLOOKUP(K1568,RatingLookup!$A$2:$C$8,2,FALSE)</f>
        <v>5.0000000000000001E-3</v>
      </c>
      <c r="N1568">
        <f t="shared" si="72"/>
        <v>4.1762458919303302E-4</v>
      </c>
      <c r="O1568">
        <f>VLOOKUP(K1568,RatingLookup!$A$2:$C$8,3,FALSE)</f>
        <v>0.45</v>
      </c>
      <c r="P1568">
        <f t="shared" si="73"/>
        <v>9.3864049793258519E-2</v>
      </c>
      <c r="Q1568" t="str">
        <f t="shared" ca="1" si="74"/>
        <v>No</v>
      </c>
    </row>
    <row r="1569" spans="1:17" x14ac:dyDescent="0.45">
      <c r="A1569" t="s">
        <v>88</v>
      </c>
      <c r="B1569" t="s">
        <v>89</v>
      </c>
      <c r="C1569" t="s">
        <v>40</v>
      </c>
      <c r="D1569" t="s">
        <v>20</v>
      </c>
      <c r="E1569" t="s">
        <v>21</v>
      </c>
      <c r="F1569" s="1">
        <v>44044</v>
      </c>
      <c r="G1569">
        <v>6.27</v>
      </c>
      <c r="H1569">
        <v>84.239500000000007</v>
      </c>
      <c r="I1569">
        <v>19.95</v>
      </c>
      <c r="J1569">
        <v>90.16</v>
      </c>
      <c r="K1569" t="s">
        <v>22</v>
      </c>
      <c r="L1569">
        <v>459.45</v>
      </c>
      <c r="M1569">
        <f>VLOOKUP(K1569,RatingLookup!$A$2:$C$8,2,FALSE)</f>
        <v>5.0000000000000001E-3</v>
      </c>
      <c r="N1569">
        <f t="shared" si="72"/>
        <v>4.1762458919303302E-4</v>
      </c>
      <c r="O1569">
        <f>VLOOKUP(K1569,RatingLookup!$A$2:$C$8,3,FALSE)</f>
        <v>0.45</v>
      </c>
      <c r="P1569">
        <f t="shared" si="73"/>
        <v>8.6344927877132563E-2</v>
      </c>
      <c r="Q1569" t="str">
        <f t="shared" ca="1" si="74"/>
        <v>No</v>
      </c>
    </row>
    <row r="1570" spans="1:17" x14ac:dyDescent="0.45">
      <c r="A1570" t="s">
        <v>88</v>
      </c>
      <c r="B1570" t="s">
        <v>89</v>
      </c>
      <c r="C1570" t="s">
        <v>40</v>
      </c>
      <c r="D1570" t="s">
        <v>20</v>
      </c>
      <c r="E1570" t="s">
        <v>21</v>
      </c>
      <c r="F1570" s="1">
        <v>44075</v>
      </c>
      <c r="G1570">
        <v>6</v>
      </c>
      <c r="H1570">
        <v>81.673900000000003</v>
      </c>
      <c r="I1570">
        <v>23.72</v>
      </c>
      <c r="J1570">
        <v>91.85</v>
      </c>
      <c r="K1570" t="s">
        <v>22</v>
      </c>
      <c r="L1570">
        <v>457.54</v>
      </c>
      <c r="M1570">
        <f>VLOOKUP(K1570,RatingLookup!$A$2:$C$8,2,FALSE)</f>
        <v>5.0000000000000001E-3</v>
      </c>
      <c r="N1570">
        <f t="shared" si="72"/>
        <v>4.1762458919303302E-4</v>
      </c>
      <c r="O1570">
        <f>VLOOKUP(K1570,RatingLookup!$A$2:$C$8,3,FALSE)</f>
        <v>0.45</v>
      </c>
      <c r="P1570">
        <f t="shared" si="73"/>
        <v>8.598597954272115E-2</v>
      </c>
      <c r="Q1570" t="str">
        <f t="shared" ca="1" si="74"/>
        <v>No</v>
      </c>
    </row>
    <row r="1571" spans="1:17" x14ac:dyDescent="0.45">
      <c r="A1571" t="s">
        <v>88</v>
      </c>
      <c r="B1571" t="s">
        <v>89</v>
      </c>
      <c r="C1571" t="s">
        <v>40</v>
      </c>
      <c r="D1571" t="s">
        <v>20</v>
      </c>
      <c r="E1571" t="s">
        <v>21</v>
      </c>
      <c r="F1571" s="1">
        <v>44105</v>
      </c>
      <c r="G1571">
        <v>5.4</v>
      </c>
      <c r="H1571">
        <v>83.769900000000007</v>
      </c>
      <c r="I1571">
        <v>13.46</v>
      </c>
      <c r="J1571">
        <v>77.88</v>
      </c>
      <c r="K1571" t="s">
        <v>22</v>
      </c>
      <c r="L1571">
        <v>493.37</v>
      </c>
      <c r="M1571">
        <f>VLOOKUP(K1571,RatingLookup!$A$2:$C$8,2,FALSE)</f>
        <v>5.0000000000000001E-3</v>
      </c>
      <c r="N1571">
        <f t="shared" si="72"/>
        <v>4.1762458919303302E-4</v>
      </c>
      <c r="O1571">
        <f>VLOOKUP(K1571,RatingLookup!$A$2:$C$8,3,FALSE)</f>
        <v>0.45</v>
      </c>
      <c r="P1571">
        <f t="shared" si="73"/>
        <v>9.2719549606575025E-2</v>
      </c>
      <c r="Q1571" t="str">
        <f t="shared" ca="1" si="74"/>
        <v>No</v>
      </c>
    </row>
    <row r="1572" spans="1:17" x14ac:dyDescent="0.45">
      <c r="A1572" t="s">
        <v>88</v>
      </c>
      <c r="B1572" t="s">
        <v>89</v>
      </c>
      <c r="C1572" t="s">
        <v>40</v>
      </c>
      <c r="D1572" t="s">
        <v>20</v>
      </c>
      <c r="E1572" t="s">
        <v>21</v>
      </c>
      <c r="F1572" s="1">
        <v>44136</v>
      </c>
      <c r="G1572">
        <v>5.29</v>
      </c>
      <c r="H1572">
        <v>83.849100000000007</v>
      </c>
      <c r="I1572">
        <v>9.98</v>
      </c>
      <c r="J1572">
        <v>69.069999999999993</v>
      </c>
      <c r="K1572" t="s">
        <v>22</v>
      </c>
      <c r="L1572">
        <v>477.43</v>
      </c>
      <c r="M1572">
        <f>VLOOKUP(K1572,RatingLookup!$A$2:$C$8,2,FALSE)</f>
        <v>5.0000000000000001E-3</v>
      </c>
      <c r="N1572">
        <f t="shared" si="72"/>
        <v>4.1762458919303302E-4</v>
      </c>
      <c r="O1572">
        <f>VLOOKUP(K1572,RatingLookup!$A$2:$C$8,3,FALSE)</f>
        <v>0.45</v>
      </c>
      <c r="P1572">
        <f t="shared" si="73"/>
        <v>8.9723928428293395E-2</v>
      </c>
      <c r="Q1572" t="str">
        <f t="shared" ca="1" si="74"/>
        <v>No</v>
      </c>
    </row>
    <row r="1573" spans="1:17" x14ac:dyDescent="0.45">
      <c r="A1573" t="s">
        <v>88</v>
      </c>
      <c r="B1573" t="s">
        <v>89</v>
      </c>
      <c r="C1573" t="s">
        <v>40</v>
      </c>
      <c r="D1573" t="s">
        <v>20</v>
      </c>
      <c r="E1573" t="s">
        <v>21</v>
      </c>
      <c r="F1573" s="1">
        <v>44166</v>
      </c>
      <c r="G1573">
        <v>6.15</v>
      </c>
      <c r="H1573">
        <v>84.732299999999995</v>
      </c>
      <c r="I1573">
        <v>27.8</v>
      </c>
      <c r="J1573">
        <v>90.96</v>
      </c>
      <c r="K1573" t="s">
        <v>22</v>
      </c>
      <c r="L1573">
        <v>425.87</v>
      </c>
      <c r="M1573">
        <f>VLOOKUP(K1573,RatingLookup!$A$2:$C$8,2,FALSE)</f>
        <v>5.0000000000000001E-3</v>
      </c>
      <c r="N1573">
        <f t="shared" si="72"/>
        <v>4.1762458919303302E-4</v>
      </c>
      <c r="O1573">
        <f>VLOOKUP(K1573,RatingLookup!$A$2:$C$8,3,FALSE)</f>
        <v>0.45</v>
      </c>
      <c r="P1573">
        <f t="shared" si="73"/>
        <v>8.0034202709836647E-2</v>
      </c>
      <c r="Q1573" t="str">
        <f t="shared" ca="1" si="74"/>
        <v>No</v>
      </c>
    </row>
    <row r="1574" spans="1:17" x14ac:dyDescent="0.45">
      <c r="A1574" t="s">
        <v>88</v>
      </c>
      <c r="B1574" t="s">
        <v>89</v>
      </c>
      <c r="C1574" t="s">
        <v>40</v>
      </c>
      <c r="D1574" t="s">
        <v>20</v>
      </c>
      <c r="E1574" t="s">
        <v>21</v>
      </c>
      <c r="F1574" s="1">
        <v>44197</v>
      </c>
      <c r="G1574">
        <v>6.88</v>
      </c>
      <c r="H1574">
        <v>85.452799999999996</v>
      </c>
      <c r="I1574">
        <v>12.03</v>
      </c>
      <c r="J1574">
        <v>85.22</v>
      </c>
      <c r="K1574" t="s">
        <v>22</v>
      </c>
      <c r="L1574">
        <v>488.88</v>
      </c>
      <c r="M1574">
        <f>VLOOKUP(K1574,RatingLookup!$A$2:$C$8,2,FALSE)</f>
        <v>5.0000000000000001E-3</v>
      </c>
      <c r="N1574">
        <f t="shared" si="72"/>
        <v>4.1762458919303302E-4</v>
      </c>
      <c r="O1574">
        <f>VLOOKUP(K1574,RatingLookup!$A$2:$C$8,3,FALSE)</f>
        <v>0.45</v>
      </c>
      <c r="P1574">
        <f t="shared" si="73"/>
        <v>9.1875739124110498E-2</v>
      </c>
      <c r="Q1574" t="str">
        <f t="shared" ca="1" si="74"/>
        <v>No</v>
      </c>
    </row>
    <row r="1575" spans="1:17" x14ac:dyDescent="0.45">
      <c r="A1575" t="s">
        <v>88</v>
      </c>
      <c r="B1575" t="s">
        <v>89</v>
      </c>
      <c r="C1575" t="s">
        <v>40</v>
      </c>
      <c r="D1575" t="s">
        <v>20</v>
      </c>
      <c r="E1575" t="s">
        <v>21</v>
      </c>
      <c r="F1575" s="1">
        <v>44228</v>
      </c>
      <c r="G1575">
        <v>4.84</v>
      </c>
      <c r="H1575">
        <v>76.278499999999994</v>
      </c>
      <c r="I1575">
        <v>17.38</v>
      </c>
      <c r="J1575">
        <v>71.239999999999995</v>
      </c>
      <c r="K1575" t="s">
        <v>22</v>
      </c>
      <c r="L1575">
        <v>447.69</v>
      </c>
      <c r="M1575">
        <f>VLOOKUP(K1575,RatingLookup!$A$2:$C$8,2,FALSE)</f>
        <v>5.0000000000000001E-3</v>
      </c>
      <c r="N1575">
        <f t="shared" si="72"/>
        <v>4.1762458919303302E-4</v>
      </c>
      <c r="O1575">
        <f>VLOOKUP(K1575,RatingLookup!$A$2:$C$8,3,FALSE)</f>
        <v>0.45</v>
      </c>
      <c r="P1575">
        <f t="shared" si="73"/>
        <v>8.4134858551123029E-2</v>
      </c>
      <c r="Q1575" t="str">
        <f t="shared" ca="1" si="74"/>
        <v>No</v>
      </c>
    </row>
    <row r="1576" spans="1:17" x14ac:dyDescent="0.45">
      <c r="A1576" t="s">
        <v>88</v>
      </c>
      <c r="B1576" t="s">
        <v>89</v>
      </c>
      <c r="C1576" t="s">
        <v>40</v>
      </c>
      <c r="D1576" t="s">
        <v>20</v>
      </c>
      <c r="E1576" t="s">
        <v>21</v>
      </c>
      <c r="F1576" s="1">
        <v>44256</v>
      </c>
      <c r="G1576">
        <v>5.52</v>
      </c>
      <c r="H1576">
        <v>82.3185</v>
      </c>
      <c r="I1576">
        <v>22.35</v>
      </c>
      <c r="J1576">
        <v>60.37</v>
      </c>
      <c r="K1576" t="s">
        <v>22</v>
      </c>
      <c r="L1576">
        <v>527.21</v>
      </c>
      <c r="M1576">
        <f>VLOOKUP(K1576,RatingLookup!$A$2:$C$8,2,FALSE)</f>
        <v>5.0000000000000001E-3</v>
      </c>
      <c r="N1576">
        <f t="shared" si="72"/>
        <v>4.1762458919303302E-4</v>
      </c>
      <c r="O1576">
        <f>VLOOKUP(K1576,RatingLookup!$A$2:$C$8,3,FALSE)</f>
        <v>0.45</v>
      </c>
      <c r="P1576">
        <f t="shared" si="73"/>
        <v>9.9079136850806535E-2</v>
      </c>
      <c r="Q1576" t="str">
        <f t="shared" ca="1" si="74"/>
        <v>No</v>
      </c>
    </row>
    <row r="1577" spans="1:17" x14ac:dyDescent="0.45">
      <c r="A1577" t="s">
        <v>88</v>
      </c>
      <c r="B1577" t="s">
        <v>89</v>
      </c>
      <c r="C1577" t="s">
        <v>40</v>
      </c>
      <c r="D1577" t="s">
        <v>20</v>
      </c>
      <c r="E1577" t="s">
        <v>21</v>
      </c>
      <c r="F1577" s="1">
        <v>44287</v>
      </c>
      <c r="G1577">
        <v>6.55</v>
      </c>
      <c r="H1577">
        <v>84.442700000000002</v>
      </c>
      <c r="I1577">
        <v>15.66</v>
      </c>
      <c r="J1577">
        <v>70.430000000000007</v>
      </c>
      <c r="K1577" t="s">
        <v>22</v>
      </c>
      <c r="L1577">
        <v>461.98</v>
      </c>
      <c r="M1577">
        <f>VLOOKUP(K1577,RatingLookup!$A$2:$C$8,2,FALSE)</f>
        <v>5.0000000000000001E-3</v>
      </c>
      <c r="N1577">
        <f t="shared" si="72"/>
        <v>4.1762458919303302E-4</v>
      </c>
      <c r="O1577">
        <f>VLOOKUP(K1577,RatingLookup!$A$2:$C$8,3,FALSE)</f>
        <v>0.45</v>
      </c>
      <c r="P1577">
        <f t="shared" si="73"/>
        <v>8.6820393471928839E-2</v>
      </c>
      <c r="Q1577" t="str">
        <f t="shared" ca="1" si="74"/>
        <v>No</v>
      </c>
    </row>
    <row r="1578" spans="1:17" x14ac:dyDescent="0.45">
      <c r="A1578" t="s">
        <v>88</v>
      </c>
      <c r="B1578" t="s">
        <v>89</v>
      </c>
      <c r="C1578" t="s">
        <v>40</v>
      </c>
      <c r="D1578" t="s">
        <v>20</v>
      </c>
      <c r="E1578" t="s">
        <v>21</v>
      </c>
      <c r="F1578" s="1">
        <v>44317</v>
      </c>
      <c r="G1578">
        <v>7.2</v>
      </c>
      <c r="H1578">
        <v>85.720299999999995</v>
      </c>
      <c r="I1578">
        <v>17.100000000000001</v>
      </c>
      <c r="J1578">
        <v>75.44</v>
      </c>
      <c r="K1578" t="s">
        <v>22</v>
      </c>
      <c r="L1578">
        <v>495.68</v>
      </c>
      <c r="M1578">
        <f>VLOOKUP(K1578,RatingLookup!$A$2:$C$8,2,FALSE)</f>
        <v>5.0000000000000001E-3</v>
      </c>
      <c r="N1578">
        <f t="shared" si="72"/>
        <v>4.1762458919303302E-4</v>
      </c>
      <c r="O1578">
        <f>VLOOKUP(K1578,RatingLookup!$A$2:$C$8,3,FALSE)</f>
        <v>0.45</v>
      </c>
      <c r="P1578">
        <f t="shared" si="73"/>
        <v>9.3153670367041183E-2</v>
      </c>
      <c r="Q1578" t="str">
        <f t="shared" ca="1" si="74"/>
        <v>No</v>
      </c>
    </row>
    <row r="1579" spans="1:17" x14ac:dyDescent="0.45">
      <c r="A1579" t="s">
        <v>88</v>
      </c>
      <c r="B1579" t="s">
        <v>89</v>
      </c>
      <c r="C1579" t="s">
        <v>40</v>
      </c>
      <c r="D1579" t="s">
        <v>20</v>
      </c>
      <c r="E1579" t="s">
        <v>21</v>
      </c>
      <c r="F1579" s="1">
        <v>44348</v>
      </c>
      <c r="G1579">
        <v>5.98</v>
      </c>
      <c r="H1579">
        <v>83.547300000000007</v>
      </c>
      <c r="I1579">
        <v>25.82</v>
      </c>
      <c r="J1579">
        <v>79.8</v>
      </c>
      <c r="K1579" t="s">
        <v>22</v>
      </c>
      <c r="L1579">
        <v>453.93</v>
      </c>
      <c r="M1579">
        <f>VLOOKUP(K1579,RatingLookup!$A$2:$C$8,2,FALSE)</f>
        <v>5.0000000000000001E-3</v>
      </c>
      <c r="N1579">
        <f t="shared" si="72"/>
        <v>4.1762458919303302E-4</v>
      </c>
      <c r="O1579">
        <f>VLOOKUP(K1579,RatingLookup!$A$2:$C$8,3,FALSE)</f>
        <v>0.45</v>
      </c>
      <c r="P1579">
        <f t="shared" si="73"/>
        <v>8.5307548397577079E-2</v>
      </c>
      <c r="Q1579" t="str">
        <f t="shared" ca="1" si="74"/>
        <v>No</v>
      </c>
    </row>
    <row r="1580" spans="1:17" x14ac:dyDescent="0.45">
      <c r="A1580" t="s">
        <v>88</v>
      </c>
      <c r="B1580" t="s">
        <v>89</v>
      </c>
      <c r="C1580" t="s">
        <v>40</v>
      </c>
      <c r="D1580" t="s">
        <v>20</v>
      </c>
      <c r="E1580" t="s">
        <v>21</v>
      </c>
      <c r="F1580" s="1">
        <v>44378</v>
      </c>
      <c r="G1580">
        <v>5.34</v>
      </c>
      <c r="H1580">
        <v>82.655799999999999</v>
      </c>
      <c r="I1580">
        <v>7.09</v>
      </c>
      <c r="J1580">
        <v>80.040000000000006</v>
      </c>
      <c r="K1580" t="s">
        <v>23</v>
      </c>
      <c r="L1580">
        <v>458.32</v>
      </c>
      <c r="M1580">
        <f>VLOOKUP(K1580,RatingLookup!$A$2:$C$8,2,FALSE)</f>
        <v>1E-3</v>
      </c>
      <c r="N1580">
        <f t="shared" si="72"/>
        <v>8.3371552197619714E-5</v>
      </c>
      <c r="O1580">
        <f>VLOOKUP(K1580,RatingLookup!$A$2:$C$8,3,FALSE)</f>
        <v>0.3</v>
      </c>
      <c r="P1580">
        <f t="shared" si="73"/>
        <v>1.1463254940963919E-2</v>
      </c>
      <c r="Q1580" t="str">
        <f t="shared" ca="1" si="74"/>
        <v>No</v>
      </c>
    </row>
    <row r="1581" spans="1:17" x14ac:dyDescent="0.45">
      <c r="A1581" t="s">
        <v>88</v>
      </c>
      <c r="B1581" t="s">
        <v>89</v>
      </c>
      <c r="C1581" t="s">
        <v>40</v>
      </c>
      <c r="D1581" t="s">
        <v>20</v>
      </c>
      <c r="E1581" t="s">
        <v>21</v>
      </c>
      <c r="F1581" s="1">
        <v>44409</v>
      </c>
      <c r="G1581">
        <v>4.59</v>
      </c>
      <c r="H1581">
        <v>85.202799999999996</v>
      </c>
      <c r="I1581">
        <v>18.13</v>
      </c>
      <c r="J1581">
        <v>56.13</v>
      </c>
      <c r="K1581" t="s">
        <v>23</v>
      </c>
      <c r="L1581">
        <v>458.87</v>
      </c>
      <c r="M1581">
        <f>VLOOKUP(K1581,RatingLookup!$A$2:$C$8,2,FALSE)</f>
        <v>1E-3</v>
      </c>
      <c r="N1581">
        <f t="shared" si="72"/>
        <v>8.3371552197619714E-5</v>
      </c>
      <c r="O1581">
        <f>VLOOKUP(K1581,RatingLookup!$A$2:$C$8,3,FALSE)</f>
        <v>0.3</v>
      </c>
      <c r="P1581">
        <f t="shared" si="73"/>
        <v>1.1477011247076526E-2</v>
      </c>
      <c r="Q1581" t="str">
        <f t="shared" ca="1" si="74"/>
        <v>No</v>
      </c>
    </row>
    <row r="1582" spans="1:17" x14ac:dyDescent="0.45">
      <c r="A1582" t="s">
        <v>88</v>
      </c>
      <c r="B1582" t="s">
        <v>89</v>
      </c>
      <c r="C1582" t="s">
        <v>40</v>
      </c>
      <c r="D1582" t="s">
        <v>20</v>
      </c>
      <c r="E1582" t="s">
        <v>21</v>
      </c>
      <c r="F1582" s="1">
        <v>44440</v>
      </c>
      <c r="G1582">
        <v>5.2</v>
      </c>
      <c r="H1582">
        <v>73.986800000000002</v>
      </c>
      <c r="I1582">
        <v>15.09</v>
      </c>
      <c r="J1582">
        <v>87.71</v>
      </c>
      <c r="K1582" t="s">
        <v>23</v>
      </c>
      <c r="L1582">
        <v>512.61</v>
      </c>
      <c r="M1582">
        <f>VLOOKUP(K1582,RatingLookup!$A$2:$C$8,2,FALSE)</f>
        <v>1E-3</v>
      </c>
      <c r="N1582">
        <f t="shared" si="72"/>
        <v>8.3371552197619714E-5</v>
      </c>
      <c r="O1582">
        <f>VLOOKUP(K1582,RatingLookup!$A$2:$C$8,3,FALSE)</f>
        <v>0.3</v>
      </c>
      <c r="P1582">
        <f t="shared" si="73"/>
        <v>1.2821127411606553E-2</v>
      </c>
      <c r="Q1582" t="str">
        <f t="shared" ca="1" si="74"/>
        <v>No</v>
      </c>
    </row>
    <row r="1583" spans="1:17" x14ac:dyDescent="0.45">
      <c r="A1583" t="s">
        <v>88</v>
      </c>
      <c r="B1583" t="s">
        <v>89</v>
      </c>
      <c r="C1583" t="s">
        <v>40</v>
      </c>
      <c r="D1583" t="s">
        <v>20</v>
      </c>
      <c r="E1583" t="s">
        <v>21</v>
      </c>
      <c r="F1583" s="1">
        <v>44470</v>
      </c>
      <c r="G1583">
        <v>5.14</v>
      </c>
      <c r="H1583">
        <v>87.128299999999996</v>
      </c>
      <c r="I1583">
        <v>8.7200000000000006</v>
      </c>
      <c r="J1583">
        <v>69</v>
      </c>
      <c r="K1583" t="s">
        <v>23</v>
      </c>
      <c r="L1583">
        <v>500.41</v>
      </c>
      <c r="M1583">
        <f>VLOOKUP(K1583,RatingLookup!$A$2:$C$8,2,FALSE)</f>
        <v>1E-3</v>
      </c>
      <c r="N1583">
        <f t="shared" si="72"/>
        <v>8.3371552197619714E-5</v>
      </c>
      <c r="O1583">
        <f>VLOOKUP(K1583,RatingLookup!$A$2:$C$8,3,FALSE)</f>
        <v>0.3</v>
      </c>
      <c r="P1583">
        <f t="shared" si="73"/>
        <v>1.2515987530563264E-2</v>
      </c>
      <c r="Q1583" t="str">
        <f t="shared" ca="1" si="74"/>
        <v>No</v>
      </c>
    </row>
    <row r="1584" spans="1:17" x14ac:dyDescent="0.45">
      <c r="A1584" t="s">
        <v>88</v>
      </c>
      <c r="B1584" t="s">
        <v>89</v>
      </c>
      <c r="C1584" t="s">
        <v>40</v>
      </c>
      <c r="D1584" t="s">
        <v>20</v>
      </c>
      <c r="E1584" t="s">
        <v>21</v>
      </c>
      <c r="F1584" s="1">
        <v>44501</v>
      </c>
      <c r="G1584">
        <v>5.31</v>
      </c>
      <c r="H1584">
        <v>84.092100000000002</v>
      </c>
      <c r="I1584">
        <v>12.1</v>
      </c>
      <c r="J1584">
        <v>69.88</v>
      </c>
      <c r="K1584" t="s">
        <v>22</v>
      </c>
      <c r="L1584">
        <v>454.85</v>
      </c>
      <c r="M1584">
        <f>VLOOKUP(K1584,RatingLookup!$A$2:$C$8,2,FALSE)</f>
        <v>5.0000000000000001E-3</v>
      </c>
      <c r="N1584">
        <f t="shared" si="72"/>
        <v>4.1762458919303302E-4</v>
      </c>
      <c r="O1584">
        <f>VLOOKUP(K1584,RatingLookup!$A$2:$C$8,3,FALSE)</f>
        <v>0.45</v>
      </c>
      <c r="P1584">
        <f t="shared" si="73"/>
        <v>8.5480444977502998E-2</v>
      </c>
      <c r="Q1584" t="str">
        <f t="shared" ca="1" si="74"/>
        <v>No</v>
      </c>
    </row>
    <row r="1585" spans="1:17" x14ac:dyDescent="0.45">
      <c r="A1585" t="s">
        <v>88</v>
      </c>
      <c r="B1585" t="s">
        <v>89</v>
      </c>
      <c r="C1585" t="s">
        <v>40</v>
      </c>
      <c r="D1585" t="s">
        <v>20</v>
      </c>
      <c r="E1585" t="s">
        <v>21</v>
      </c>
      <c r="F1585" s="1">
        <v>44531</v>
      </c>
      <c r="G1585">
        <v>5.0999999999999996</v>
      </c>
      <c r="H1585">
        <v>79.556600000000003</v>
      </c>
      <c r="I1585">
        <v>16.329999999999998</v>
      </c>
      <c r="J1585">
        <v>50.81</v>
      </c>
      <c r="K1585" t="s">
        <v>23</v>
      </c>
      <c r="L1585">
        <v>488.2</v>
      </c>
      <c r="M1585">
        <f>VLOOKUP(K1585,RatingLookup!$A$2:$C$8,2,FALSE)</f>
        <v>1E-3</v>
      </c>
      <c r="N1585">
        <f t="shared" si="72"/>
        <v>8.3371552197619714E-5</v>
      </c>
      <c r="O1585">
        <f>VLOOKUP(K1585,RatingLookup!$A$2:$C$8,3,FALSE)</f>
        <v>0.3</v>
      </c>
      <c r="P1585">
        <f t="shared" si="73"/>
        <v>1.2210597534863383E-2</v>
      </c>
      <c r="Q1585" t="str">
        <f t="shared" ca="1" si="74"/>
        <v>No</v>
      </c>
    </row>
    <row r="1586" spans="1:17" x14ac:dyDescent="0.45">
      <c r="A1586" t="s">
        <v>88</v>
      </c>
      <c r="B1586" t="s">
        <v>89</v>
      </c>
      <c r="C1586" t="s">
        <v>40</v>
      </c>
      <c r="D1586" t="s">
        <v>20</v>
      </c>
      <c r="E1586" t="s">
        <v>21</v>
      </c>
      <c r="F1586" s="1">
        <v>44562</v>
      </c>
      <c r="G1586">
        <v>5.03</v>
      </c>
      <c r="H1586">
        <v>83.124700000000004</v>
      </c>
      <c r="I1586">
        <v>19.12</v>
      </c>
      <c r="J1586">
        <v>85.13</v>
      </c>
      <c r="K1586" t="s">
        <v>23</v>
      </c>
      <c r="L1586">
        <v>462.37</v>
      </c>
      <c r="M1586">
        <f>VLOOKUP(K1586,RatingLookup!$A$2:$C$8,2,FALSE)</f>
        <v>1E-3</v>
      </c>
      <c r="N1586">
        <f t="shared" si="72"/>
        <v>8.3371552197619714E-5</v>
      </c>
      <c r="O1586">
        <f>VLOOKUP(K1586,RatingLookup!$A$2:$C$8,3,FALSE)</f>
        <v>0.3</v>
      </c>
      <c r="P1586">
        <f t="shared" si="73"/>
        <v>1.1564551376884027E-2</v>
      </c>
      <c r="Q1586" t="str">
        <f t="shared" ca="1" si="74"/>
        <v>No</v>
      </c>
    </row>
    <row r="1587" spans="1:17" x14ac:dyDescent="0.45">
      <c r="A1587" t="s">
        <v>88</v>
      </c>
      <c r="B1587" t="s">
        <v>89</v>
      </c>
      <c r="C1587" t="s">
        <v>40</v>
      </c>
      <c r="D1587" t="s">
        <v>20</v>
      </c>
      <c r="E1587" t="s">
        <v>21</v>
      </c>
      <c r="F1587" s="1">
        <v>44593</v>
      </c>
      <c r="G1587">
        <v>5.0999999999999996</v>
      </c>
      <c r="H1587">
        <v>81.893799999999999</v>
      </c>
      <c r="I1587">
        <v>12.2</v>
      </c>
      <c r="J1587">
        <v>81.680000000000007</v>
      </c>
      <c r="K1587" t="s">
        <v>23</v>
      </c>
      <c r="L1587">
        <v>459.39</v>
      </c>
      <c r="M1587">
        <f>VLOOKUP(K1587,RatingLookup!$A$2:$C$8,2,FALSE)</f>
        <v>1E-3</v>
      </c>
      <c r="N1587">
        <f t="shared" si="72"/>
        <v>8.3371552197619714E-5</v>
      </c>
      <c r="O1587">
        <f>VLOOKUP(K1587,RatingLookup!$A$2:$C$8,3,FALSE)</f>
        <v>0.3</v>
      </c>
      <c r="P1587">
        <f t="shared" si="73"/>
        <v>1.1490017209219355E-2</v>
      </c>
      <c r="Q1587" t="str">
        <f t="shared" ca="1" si="74"/>
        <v>No</v>
      </c>
    </row>
    <row r="1588" spans="1:17" x14ac:dyDescent="0.45">
      <c r="A1588" t="s">
        <v>88</v>
      </c>
      <c r="B1588" t="s">
        <v>89</v>
      </c>
      <c r="C1588" t="s">
        <v>40</v>
      </c>
      <c r="D1588" t="s">
        <v>20</v>
      </c>
      <c r="E1588" t="s">
        <v>21</v>
      </c>
      <c r="F1588" s="1">
        <v>44621</v>
      </c>
      <c r="G1588">
        <v>5.76</v>
      </c>
      <c r="H1588">
        <v>82.959699999999998</v>
      </c>
      <c r="I1588">
        <v>10.34</v>
      </c>
      <c r="J1588">
        <v>91.49</v>
      </c>
      <c r="K1588" t="s">
        <v>23</v>
      </c>
      <c r="L1588">
        <v>509.73</v>
      </c>
      <c r="M1588">
        <f>VLOOKUP(K1588,RatingLookup!$A$2:$C$8,2,FALSE)</f>
        <v>1E-3</v>
      </c>
      <c r="N1588">
        <f t="shared" si="72"/>
        <v>8.3371552197619714E-5</v>
      </c>
      <c r="O1588">
        <f>VLOOKUP(K1588,RatingLookup!$A$2:$C$8,3,FALSE)</f>
        <v>0.3</v>
      </c>
      <c r="P1588">
        <f t="shared" si="73"/>
        <v>1.2749094390507807E-2</v>
      </c>
      <c r="Q1588" t="str">
        <f t="shared" ca="1" si="74"/>
        <v>No</v>
      </c>
    </row>
    <row r="1589" spans="1:17" x14ac:dyDescent="0.45">
      <c r="A1589" t="s">
        <v>88</v>
      </c>
      <c r="B1589" t="s">
        <v>89</v>
      </c>
      <c r="C1589" t="s">
        <v>40</v>
      </c>
      <c r="D1589" t="s">
        <v>20</v>
      </c>
      <c r="E1589" t="s">
        <v>21</v>
      </c>
      <c r="F1589" s="1">
        <v>44652</v>
      </c>
      <c r="G1589">
        <v>5.41</v>
      </c>
      <c r="H1589">
        <v>87.013400000000004</v>
      </c>
      <c r="I1589">
        <v>23.24</v>
      </c>
      <c r="J1589">
        <v>70.12</v>
      </c>
      <c r="K1589" t="s">
        <v>23</v>
      </c>
      <c r="L1589">
        <v>510.05</v>
      </c>
      <c r="M1589">
        <f>VLOOKUP(K1589,RatingLookup!$A$2:$C$8,2,FALSE)</f>
        <v>1E-3</v>
      </c>
      <c r="N1589">
        <f t="shared" si="72"/>
        <v>8.3371552197619714E-5</v>
      </c>
      <c r="O1589">
        <f>VLOOKUP(K1589,RatingLookup!$A$2:$C$8,3,FALSE)</f>
        <v>0.3</v>
      </c>
      <c r="P1589">
        <f t="shared" si="73"/>
        <v>1.275709805951878E-2</v>
      </c>
      <c r="Q1589" t="str">
        <f t="shared" ca="1" si="74"/>
        <v>No</v>
      </c>
    </row>
    <row r="1590" spans="1:17" x14ac:dyDescent="0.45">
      <c r="A1590" t="s">
        <v>88</v>
      </c>
      <c r="B1590" t="s">
        <v>89</v>
      </c>
      <c r="C1590" t="s">
        <v>40</v>
      </c>
      <c r="D1590" t="s">
        <v>20</v>
      </c>
      <c r="E1590" t="s">
        <v>21</v>
      </c>
      <c r="F1590" s="1">
        <v>44682</v>
      </c>
      <c r="G1590">
        <v>5.49</v>
      </c>
      <c r="H1590">
        <v>80.254599999999996</v>
      </c>
      <c r="I1590">
        <v>21.8</v>
      </c>
      <c r="J1590">
        <v>84.09</v>
      </c>
      <c r="K1590" t="s">
        <v>22</v>
      </c>
      <c r="L1590">
        <v>449.81</v>
      </c>
      <c r="M1590">
        <f>VLOOKUP(K1590,RatingLookup!$A$2:$C$8,2,FALSE)</f>
        <v>5.0000000000000001E-3</v>
      </c>
      <c r="N1590">
        <f t="shared" si="72"/>
        <v>4.1762458919303302E-4</v>
      </c>
      <c r="O1590">
        <f>VLOOKUP(K1590,RatingLookup!$A$2:$C$8,3,FALSE)</f>
        <v>0.45</v>
      </c>
      <c r="P1590">
        <f t="shared" si="73"/>
        <v>8.4533272409213184E-2</v>
      </c>
      <c r="Q1590" t="str">
        <f t="shared" ca="1" si="74"/>
        <v>No</v>
      </c>
    </row>
    <row r="1591" spans="1:17" x14ac:dyDescent="0.45">
      <c r="A1591" t="s">
        <v>88</v>
      </c>
      <c r="B1591" t="s">
        <v>89</v>
      </c>
      <c r="C1591" t="s">
        <v>40</v>
      </c>
      <c r="D1591" t="s">
        <v>20</v>
      </c>
      <c r="E1591" t="s">
        <v>21</v>
      </c>
      <c r="F1591" s="1">
        <v>44713</v>
      </c>
      <c r="G1591">
        <v>5.01</v>
      </c>
      <c r="H1591">
        <v>84.210700000000003</v>
      </c>
      <c r="I1591">
        <v>5</v>
      </c>
      <c r="J1591">
        <v>74.98</v>
      </c>
      <c r="K1591" t="s">
        <v>22</v>
      </c>
      <c r="L1591">
        <v>495.74</v>
      </c>
      <c r="M1591">
        <f>VLOOKUP(K1591,RatingLookup!$A$2:$C$8,2,FALSE)</f>
        <v>5.0000000000000001E-3</v>
      </c>
      <c r="N1591">
        <f t="shared" si="72"/>
        <v>4.1762458919303302E-4</v>
      </c>
      <c r="O1591">
        <f>VLOOKUP(K1591,RatingLookup!$A$2:$C$8,3,FALSE)</f>
        <v>0.45</v>
      </c>
      <c r="P1591">
        <f t="shared" si="73"/>
        <v>9.3164946230949383E-2</v>
      </c>
      <c r="Q1591" t="str">
        <f t="shared" ca="1" si="74"/>
        <v>No</v>
      </c>
    </row>
    <row r="1592" spans="1:17" x14ac:dyDescent="0.45">
      <c r="A1592" t="s">
        <v>88</v>
      </c>
      <c r="B1592" t="s">
        <v>89</v>
      </c>
      <c r="C1592" t="s">
        <v>40</v>
      </c>
      <c r="D1592" t="s">
        <v>20</v>
      </c>
      <c r="E1592" t="s">
        <v>21</v>
      </c>
      <c r="F1592" s="1">
        <v>44743</v>
      </c>
      <c r="G1592">
        <v>5.05</v>
      </c>
      <c r="H1592">
        <v>81.830100000000002</v>
      </c>
      <c r="I1592">
        <v>12.73</v>
      </c>
      <c r="J1592">
        <v>84.6</v>
      </c>
      <c r="K1592" t="s">
        <v>22</v>
      </c>
      <c r="L1592">
        <v>464.44</v>
      </c>
      <c r="M1592">
        <f>VLOOKUP(K1592,RatingLookup!$A$2:$C$8,2,FALSE)</f>
        <v>5.0000000000000001E-3</v>
      </c>
      <c r="N1592">
        <f t="shared" si="72"/>
        <v>4.1762458919303302E-4</v>
      </c>
      <c r="O1592">
        <f>VLOOKUP(K1592,RatingLookup!$A$2:$C$8,3,FALSE)</f>
        <v>0.45</v>
      </c>
      <c r="P1592">
        <f t="shared" si="73"/>
        <v>8.7282703892165511E-2</v>
      </c>
      <c r="Q1592" t="str">
        <f t="shared" ca="1" si="74"/>
        <v>No</v>
      </c>
    </row>
    <row r="1593" spans="1:17" x14ac:dyDescent="0.45">
      <c r="A1593" t="s">
        <v>88</v>
      </c>
      <c r="B1593" t="s">
        <v>89</v>
      </c>
      <c r="C1593" t="s">
        <v>40</v>
      </c>
      <c r="D1593" t="s">
        <v>20</v>
      </c>
      <c r="E1593" t="s">
        <v>21</v>
      </c>
      <c r="F1593" s="1">
        <v>44774</v>
      </c>
      <c r="G1593">
        <v>4.88</v>
      </c>
      <c r="H1593">
        <v>83.933199999999999</v>
      </c>
      <c r="I1593">
        <v>22.15</v>
      </c>
      <c r="J1593">
        <v>80.959999999999994</v>
      </c>
      <c r="K1593" t="s">
        <v>22</v>
      </c>
      <c r="L1593">
        <v>463.1</v>
      </c>
      <c r="M1593">
        <f>VLOOKUP(K1593,RatingLookup!$A$2:$C$8,2,FALSE)</f>
        <v>5.0000000000000001E-3</v>
      </c>
      <c r="N1593">
        <f t="shared" si="72"/>
        <v>4.1762458919303302E-4</v>
      </c>
      <c r="O1593">
        <f>VLOOKUP(K1593,RatingLookup!$A$2:$C$8,3,FALSE)</f>
        <v>0.45</v>
      </c>
      <c r="P1593">
        <f t="shared" si="73"/>
        <v>8.7030876264882123E-2</v>
      </c>
      <c r="Q1593" t="str">
        <f t="shared" ca="1" si="74"/>
        <v>No</v>
      </c>
    </row>
    <row r="1594" spans="1:17" x14ac:dyDescent="0.45">
      <c r="A1594" t="s">
        <v>88</v>
      </c>
      <c r="B1594" t="s">
        <v>89</v>
      </c>
      <c r="C1594" t="s">
        <v>40</v>
      </c>
      <c r="D1594" t="s">
        <v>20</v>
      </c>
      <c r="E1594" t="s">
        <v>21</v>
      </c>
      <c r="F1594" s="1">
        <v>44805</v>
      </c>
      <c r="G1594">
        <v>6.15</v>
      </c>
      <c r="H1594">
        <v>83.378299999999996</v>
      </c>
      <c r="I1594">
        <v>8.64</v>
      </c>
      <c r="J1594">
        <v>92.73</v>
      </c>
      <c r="K1594" t="s">
        <v>22</v>
      </c>
      <c r="L1594">
        <v>478.25</v>
      </c>
      <c r="M1594">
        <f>VLOOKUP(K1594,RatingLookup!$A$2:$C$8,2,FALSE)</f>
        <v>5.0000000000000001E-3</v>
      </c>
      <c r="N1594">
        <f t="shared" si="72"/>
        <v>4.1762458919303302E-4</v>
      </c>
      <c r="O1594">
        <f>VLOOKUP(K1594,RatingLookup!$A$2:$C$8,3,FALSE)</f>
        <v>0.45</v>
      </c>
      <c r="P1594">
        <f t="shared" si="73"/>
        <v>8.9878031901705624E-2</v>
      </c>
      <c r="Q1594" t="str">
        <f t="shared" ca="1" si="74"/>
        <v>No</v>
      </c>
    </row>
    <row r="1595" spans="1:17" x14ac:dyDescent="0.45">
      <c r="A1595" t="s">
        <v>88</v>
      </c>
      <c r="B1595" t="s">
        <v>89</v>
      </c>
      <c r="C1595" t="s">
        <v>40</v>
      </c>
      <c r="D1595" t="s">
        <v>20</v>
      </c>
      <c r="E1595" t="s">
        <v>21</v>
      </c>
      <c r="F1595" s="1">
        <v>44835</v>
      </c>
      <c r="G1595">
        <v>5.89</v>
      </c>
      <c r="H1595">
        <v>83.796499999999995</v>
      </c>
      <c r="I1595">
        <v>17.14</v>
      </c>
      <c r="J1595">
        <v>54.08</v>
      </c>
      <c r="K1595" t="s">
        <v>22</v>
      </c>
      <c r="L1595">
        <v>460.14</v>
      </c>
      <c r="M1595">
        <f>VLOOKUP(K1595,RatingLookup!$A$2:$C$8,2,FALSE)</f>
        <v>5.0000000000000001E-3</v>
      </c>
      <c r="N1595">
        <f t="shared" si="72"/>
        <v>4.1762458919303302E-4</v>
      </c>
      <c r="O1595">
        <f>VLOOKUP(K1595,RatingLookup!$A$2:$C$8,3,FALSE)</f>
        <v>0.45</v>
      </c>
      <c r="P1595">
        <f t="shared" si="73"/>
        <v>8.6474600312077002E-2</v>
      </c>
      <c r="Q1595" t="str">
        <f t="shared" ca="1" si="74"/>
        <v>No</v>
      </c>
    </row>
    <row r="1596" spans="1:17" x14ac:dyDescent="0.45">
      <c r="A1596" t="s">
        <v>88</v>
      </c>
      <c r="B1596" t="s">
        <v>89</v>
      </c>
      <c r="C1596" t="s">
        <v>40</v>
      </c>
      <c r="D1596" t="s">
        <v>20</v>
      </c>
      <c r="E1596" t="s">
        <v>21</v>
      </c>
      <c r="F1596" s="1">
        <v>44866</v>
      </c>
      <c r="G1596">
        <v>5.39</v>
      </c>
      <c r="H1596">
        <v>83.050299999999993</v>
      </c>
      <c r="I1596">
        <v>16.54</v>
      </c>
      <c r="J1596">
        <v>89.28</v>
      </c>
      <c r="K1596" t="s">
        <v>22</v>
      </c>
      <c r="L1596">
        <v>500.51</v>
      </c>
      <c r="M1596">
        <f>VLOOKUP(K1596,RatingLookup!$A$2:$C$8,2,FALSE)</f>
        <v>5.0000000000000001E-3</v>
      </c>
      <c r="N1596">
        <f t="shared" si="72"/>
        <v>4.1762458919303302E-4</v>
      </c>
      <c r="O1596">
        <f>VLOOKUP(K1596,RatingLookup!$A$2:$C$8,3,FALSE)</f>
        <v>0.45</v>
      </c>
      <c r="P1596">
        <f t="shared" si="73"/>
        <v>9.4061377411652242E-2</v>
      </c>
      <c r="Q1596" t="str">
        <f t="shared" ca="1" si="74"/>
        <v>No</v>
      </c>
    </row>
    <row r="1597" spans="1:17" x14ac:dyDescent="0.45">
      <c r="A1597" t="s">
        <v>88</v>
      </c>
      <c r="B1597" t="s">
        <v>89</v>
      </c>
      <c r="C1597" t="s">
        <v>40</v>
      </c>
      <c r="D1597" t="s">
        <v>20</v>
      </c>
      <c r="E1597" t="s">
        <v>21</v>
      </c>
      <c r="F1597" s="1">
        <v>44896</v>
      </c>
      <c r="G1597">
        <v>5.6</v>
      </c>
      <c r="H1597">
        <v>79.842200000000005</v>
      </c>
      <c r="I1597">
        <v>19.420000000000002</v>
      </c>
      <c r="J1597">
        <v>106.32</v>
      </c>
      <c r="K1597" t="s">
        <v>22</v>
      </c>
      <c r="L1597">
        <v>508.15</v>
      </c>
      <c r="M1597">
        <f>VLOOKUP(K1597,RatingLookup!$A$2:$C$8,2,FALSE)</f>
        <v>5.0000000000000001E-3</v>
      </c>
      <c r="N1597">
        <f t="shared" si="72"/>
        <v>4.1762458919303302E-4</v>
      </c>
      <c r="O1597">
        <f>VLOOKUP(K1597,RatingLookup!$A$2:$C$8,3,FALSE)</f>
        <v>0.45</v>
      </c>
      <c r="P1597">
        <f t="shared" si="73"/>
        <v>9.549717074929788E-2</v>
      </c>
      <c r="Q1597" t="str">
        <f t="shared" ca="1" si="74"/>
        <v>No</v>
      </c>
    </row>
    <row r="1598" spans="1:17" x14ac:dyDescent="0.45">
      <c r="A1598" t="s">
        <v>88</v>
      </c>
      <c r="B1598" t="s">
        <v>89</v>
      </c>
      <c r="C1598" t="s">
        <v>40</v>
      </c>
      <c r="D1598" t="s">
        <v>20</v>
      </c>
      <c r="E1598" t="s">
        <v>21</v>
      </c>
      <c r="F1598" s="1">
        <v>44927</v>
      </c>
      <c r="G1598">
        <v>5.03</v>
      </c>
      <c r="H1598">
        <v>84.505799999999994</v>
      </c>
      <c r="I1598">
        <v>18.440000000000001</v>
      </c>
      <c r="J1598">
        <v>80.42</v>
      </c>
      <c r="K1598" t="s">
        <v>22</v>
      </c>
      <c r="L1598">
        <v>494.42</v>
      </c>
      <c r="M1598">
        <f>VLOOKUP(K1598,RatingLookup!$A$2:$C$8,2,FALSE)</f>
        <v>5.0000000000000001E-3</v>
      </c>
      <c r="N1598">
        <f t="shared" si="72"/>
        <v>4.1762458919303302E-4</v>
      </c>
      <c r="O1598">
        <f>VLOOKUP(K1598,RatingLookup!$A$2:$C$8,3,FALSE)</f>
        <v>0.45</v>
      </c>
      <c r="P1598">
        <f t="shared" si="73"/>
        <v>9.2916877224968733E-2</v>
      </c>
      <c r="Q1598" t="str">
        <f t="shared" ca="1" si="74"/>
        <v>No</v>
      </c>
    </row>
    <row r="1599" spans="1:17" x14ac:dyDescent="0.45">
      <c r="A1599" t="s">
        <v>88</v>
      </c>
      <c r="B1599" t="s">
        <v>89</v>
      </c>
      <c r="C1599" t="s">
        <v>40</v>
      </c>
      <c r="D1599" t="s">
        <v>20</v>
      </c>
      <c r="E1599" t="s">
        <v>21</v>
      </c>
      <c r="F1599" s="1">
        <v>44958</v>
      </c>
      <c r="G1599">
        <v>5.35</v>
      </c>
      <c r="H1599">
        <v>81.7667</v>
      </c>
      <c r="I1599">
        <v>10.84</v>
      </c>
      <c r="J1599">
        <v>67.45</v>
      </c>
      <c r="K1599" t="s">
        <v>22</v>
      </c>
      <c r="L1599">
        <v>497.98</v>
      </c>
      <c r="M1599">
        <f>VLOOKUP(K1599,RatingLookup!$A$2:$C$8,2,FALSE)</f>
        <v>5.0000000000000001E-3</v>
      </c>
      <c r="N1599">
        <f t="shared" si="72"/>
        <v>4.1762458919303302E-4</v>
      </c>
      <c r="O1599">
        <f>VLOOKUP(K1599,RatingLookup!$A$2:$C$8,3,FALSE)</f>
        <v>0.45</v>
      </c>
      <c r="P1599">
        <f t="shared" si="73"/>
        <v>9.3585911816855966E-2</v>
      </c>
      <c r="Q1599" t="str">
        <f t="shared" ca="1" si="74"/>
        <v>No</v>
      </c>
    </row>
    <row r="1600" spans="1:17" x14ac:dyDescent="0.45">
      <c r="A1600" t="s">
        <v>88</v>
      </c>
      <c r="B1600" t="s">
        <v>89</v>
      </c>
      <c r="C1600" t="s">
        <v>40</v>
      </c>
      <c r="D1600" t="s">
        <v>20</v>
      </c>
      <c r="E1600" t="s">
        <v>21</v>
      </c>
      <c r="F1600" s="1">
        <v>44986</v>
      </c>
      <c r="G1600">
        <v>7.2</v>
      </c>
      <c r="H1600">
        <v>88.983400000000003</v>
      </c>
      <c r="I1600">
        <v>22.24</v>
      </c>
      <c r="J1600">
        <v>86.02</v>
      </c>
      <c r="K1600" t="s">
        <v>22</v>
      </c>
      <c r="L1600">
        <v>470.9</v>
      </c>
      <c r="M1600">
        <f>VLOOKUP(K1600,RatingLookup!$A$2:$C$8,2,FALSE)</f>
        <v>5.0000000000000001E-3</v>
      </c>
      <c r="N1600">
        <f t="shared" si="72"/>
        <v>4.1762458919303302E-4</v>
      </c>
      <c r="O1600">
        <f>VLOOKUP(K1600,RatingLookup!$A$2:$C$8,3,FALSE)</f>
        <v>0.45</v>
      </c>
      <c r="P1600">
        <f t="shared" si="73"/>
        <v>8.8496738572949651E-2</v>
      </c>
      <c r="Q1600" t="str">
        <f t="shared" ca="1" si="74"/>
        <v>No</v>
      </c>
    </row>
    <row r="1601" spans="1:17" x14ac:dyDescent="0.45">
      <c r="A1601" t="s">
        <v>88</v>
      </c>
      <c r="B1601" t="s">
        <v>89</v>
      </c>
      <c r="C1601" t="s">
        <v>40</v>
      </c>
      <c r="D1601" t="s">
        <v>20</v>
      </c>
      <c r="E1601" t="s">
        <v>21</v>
      </c>
      <c r="F1601" s="1">
        <v>45017</v>
      </c>
      <c r="G1601">
        <v>4.79</v>
      </c>
      <c r="H1601">
        <v>84.562700000000007</v>
      </c>
      <c r="I1601">
        <v>7.8</v>
      </c>
      <c r="J1601">
        <v>100.37</v>
      </c>
      <c r="K1601" t="s">
        <v>22</v>
      </c>
      <c r="L1601">
        <v>497.25</v>
      </c>
      <c r="M1601">
        <f>VLOOKUP(K1601,RatingLookup!$A$2:$C$8,2,FALSE)</f>
        <v>5.0000000000000001E-3</v>
      </c>
      <c r="N1601">
        <f t="shared" si="72"/>
        <v>4.1762458919303302E-4</v>
      </c>
      <c r="O1601">
        <f>VLOOKUP(K1601,RatingLookup!$A$2:$C$8,3,FALSE)</f>
        <v>0.45</v>
      </c>
      <c r="P1601">
        <f t="shared" si="73"/>
        <v>9.3448722139306051E-2</v>
      </c>
      <c r="Q1601" t="str">
        <f t="shared" ca="1" si="74"/>
        <v>No</v>
      </c>
    </row>
    <row r="1602" spans="1:17" x14ac:dyDescent="0.45">
      <c r="A1602" t="s">
        <v>88</v>
      </c>
      <c r="B1602" t="s">
        <v>89</v>
      </c>
      <c r="C1602" t="s">
        <v>40</v>
      </c>
      <c r="D1602" t="s">
        <v>20</v>
      </c>
      <c r="E1602" t="s">
        <v>21</v>
      </c>
      <c r="F1602" s="1">
        <v>45047</v>
      </c>
      <c r="G1602">
        <v>4.96</v>
      </c>
      <c r="H1602">
        <v>80.368600000000001</v>
      </c>
      <c r="I1602">
        <v>12.43</v>
      </c>
      <c r="J1602">
        <v>76.44</v>
      </c>
      <c r="K1602" t="s">
        <v>22</v>
      </c>
      <c r="L1602">
        <v>546.34</v>
      </c>
      <c r="M1602">
        <f>VLOOKUP(K1602,RatingLookup!$A$2:$C$8,2,FALSE)</f>
        <v>5.0000000000000001E-3</v>
      </c>
      <c r="N1602">
        <f t="shared" ref="N1602:N1665" si="75">1-(1-M1602)^(1/12)</f>
        <v>4.1762458919303302E-4</v>
      </c>
      <c r="O1602">
        <f>VLOOKUP(K1602,RatingLookup!$A$2:$C$8,3,FALSE)</f>
        <v>0.45</v>
      </c>
      <c r="P1602">
        <f t="shared" ref="P1602:P1665" si="76">L1602*N1602*O1602</f>
        <v>0.10267425812687475</v>
      </c>
      <c r="Q1602" t="str">
        <f t="shared" ref="Q1602:Q1665" ca="1" si="77">IF(RAND()&lt;N1602,"Yes","No")</f>
        <v>No</v>
      </c>
    </row>
    <row r="1603" spans="1:17" x14ac:dyDescent="0.45">
      <c r="A1603" t="s">
        <v>88</v>
      </c>
      <c r="B1603" t="s">
        <v>89</v>
      </c>
      <c r="C1603" t="s">
        <v>40</v>
      </c>
      <c r="D1603" t="s">
        <v>20</v>
      </c>
      <c r="E1603" t="s">
        <v>21</v>
      </c>
      <c r="F1603" s="1">
        <v>45078</v>
      </c>
      <c r="G1603">
        <v>5.56</v>
      </c>
      <c r="H1603">
        <v>82.458100000000002</v>
      </c>
      <c r="I1603">
        <v>11.85</v>
      </c>
      <c r="J1603">
        <v>63.11</v>
      </c>
      <c r="K1603" t="s">
        <v>22</v>
      </c>
      <c r="L1603">
        <v>483.07</v>
      </c>
      <c r="M1603">
        <f>VLOOKUP(K1603,RatingLookup!$A$2:$C$8,2,FALSE)</f>
        <v>5.0000000000000001E-3</v>
      </c>
      <c r="N1603">
        <f t="shared" si="75"/>
        <v>4.1762458919303302E-4</v>
      </c>
      <c r="O1603">
        <f>VLOOKUP(K1603,RatingLookup!$A$2:$C$8,3,FALSE)</f>
        <v>0.45</v>
      </c>
      <c r="P1603">
        <f t="shared" si="76"/>
        <v>9.0783859635665307E-2</v>
      </c>
      <c r="Q1603" t="str">
        <f t="shared" ca="1" si="77"/>
        <v>No</v>
      </c>
    </row>
    <row r="1604" spans="1:17" x14ac:dyDescent="0.45">
      <c r="A1604" t="s">
        <v>88</v>
      </c>
      <c r="B1604" t="s">
        <v>89</v>
      </c>
      <c r="C1604" t="s">
        <v>40</v>
      </c>
      <c r="D1604" t="s">
        <v>20</v>
      </c>
      <c r="E1604" t="s">
        <v>21</v>
      </c>
      <c r="F1604" s="1">
        <v>45108</v>
      </c>
      <c r="G1604">
        <v>5.65</v>
      </c>
      <c r="H1604">
        <v>83.812200000000004</v>
      </c>
      <c r="I1604">
        <v>18.02</v>
      </c>
      <c r="J1604">
        <v>74.39</v>
      </c>
      <c r="K1604" t="s">
        <v>22</v>
      </c>
      <c r="L1604">
        <v>475.34</v>
      </c>
      <c r="M1604">
        <f>VLOOKUP(K1604,RatingLookup!$A$2:$C$8,2,FALSE)</f>
        <v>5.0000000000000001E-3</v>
      </c>
      <c r="N1604">
        <f t="shared" si="75"/>
        <v>4.1762458919303302E-4</v>
      </c>
      <c r="O1604">
        <f>VLOOKUP(K1604,RatingLookup!$A$2:$C$8,3,FALSE)</f>
        <v>0.45</v>
      </c>
      <c r="P1604">
        <f t="shared" si="76"/>
        <v>8.933115250215734E-2</v>
      </c>
      <c r="Q1604" t="str">
        <f t="shared" ca="1" si="77"/>
        <v>No</v>
      </c>
    </row>
    <row r="1605" spans="1:17" x14ac:dyDescent="0.45">
      <c r="A1605" t="s">
        <v>88</v>
      </c>
      <c r="B1605" t="s">
        <v>89</v>
      </c>
      <c r="C1605" t="s">
        <v>40</v>
      </c>
      <c r="D1605" t="s">
        <v>20</v>
      </c>
      <c r="E1605" t="s">
        <v>21</v>
      </c>
      <c r="F1605" s="1">
        <v>45139</v>
      </c>
      <c r="G1605">
        <v>4.62</v>
      </c>
      <c r="H1605">
        <v>87.352800000000002</v>
      </c>
      <c r="I1605">
        <v>19.89</v>
      </c>
      <c r="J1605">
        <v>74.88</v>
      </c>
      <c r="K1605" t="s">
        <v>22</v>
      </c>
      <c r="L1605">
        <v>540.99</v>
      </c>
      <c r="M1605">
        <f>VLOOKUP(K1605,RatingLookup!$A$2:$C$8,2,FALSE)</f>
        <v>5.0000000000000001E-3</v>
      </c>
      <c r="N1605">
        <f t="shared" si="75"/>
        <v>4.1762458919303302E-4</v>
      </c>
      <c r="O1605">
        <f>VLOOKUP(K1605,RatingLookup!$A$2:$C$8,3,FALSE)</f>
        <v>0.45</v>
      </c>
      <c r="P1605">
        <f t="shared" si="76"/>
        <v>0.10166882692839252</v>
      </c>
      <c r="Q1605" t="str">
        <f t="shared" ca="1" si="77"/>
        <v>No</v>
      </c>
    </row>
    <row r="1606" spans="1:17" x14ac:dyDescent="0.45">
      <c r="A1606" t="s">
        <v>88</v>
      </c>
      <c r="B1606" t="s">
        <v>89</v>
      </c>
      <c r="C1606" t="s">
        <v>40</v>
      </c>
      <c r="D1606" t="s">
        <v>20</v>
      </c>
      <c r="E1606" t="s">
        <v>21</v>
      </c>
      <c r="F1606" s="1">
        <v>45170</v>
      </c>
      <c r="G1606">
        <v>5.35</v>
      </c>
      <c r="H1606">
        <v>83.143100000000004</v>
      </c>
      <c r="I1606">
        <v>22.79</v>
      </c>
      <c r="J1606">
        <v>96.02</v>
      </c>
      <c r="K1606" t="s">
        <v>22</v>
      </c>
      <c r="L1606">
        <v>496.14</v>
      </c>
      <c r="M1606">
        <f>VLOOKUP(K1606,RatingLookup!$A$2:$C$8,2,FALSE)</f>
        <v>5.0000000000000001E-3</v>
      </c>
      <c r="N1606">
        <f t="shared" si="75"/>
        <v>4.1762458919303302E-4</v>
      </c>
      <c r="O1606">
        <f>VLOOKUP(K1606,RatingLookup!$A$2:$C$8,3,FALSE)</f>
        <v>0.45</v>
      </c>
      <c r="P1606">
        <f t="shared" si="76"/>
        <v>9.3240118657004128E-2</v>
      </c>
      <c r="Q1606" t="str">
        <f t="shared" ca="1" si="77"/>
        <v>No</v>
      </c>
    </row>
    <row r="1607" spans="1:17" x14ac:dyDescent="0.45">
      <c r="A1607" t="s">
        <v>88</v>
      </c>
      <c r="B1607" t="s">
        <v>89</v>
      </c>
      <c r="C1607" t="s">
        <v>40</v>
      </c>
      <c r="D1607" t="s">
        <v>20</v>
      </c>
      <c r="E1607" t="s">
        <v>21</v>
      </c>
      <c r="F1607" s="1">
        <v>45200</v>
      </c>
      <c r="G1607">
        <v>4.91</v>
      </c>
      <c r="H1607">
        <v>84.452600000000004</v>
      </c>
      <c r="I1607">
        <v>17.86</v>
      </c>
      <c r="J1607">
        <v>77.11</v>
      </c>
      <c r="K1607" t="s">
        <v>22</v>
      </c>
      <c r="L1607">
        <v>491.04</v>
      </c>
      <c r="M1607">
        <f>VLOOKUP(K1607,RatingLookup!$A$2:$C$8,2,FALSE)</f>
        <v>5.0000000000000001E-3</v>
      </c>
      <c r="N1607">
        <f t="shared" si="75"/>
        <v>4.1762458919303302E-4</v>
      </c>
      <c r="O1607">
        <f>VLOOKUP(K1607,RatingLookup!$A$2:$C$8,3,FALSE)</f>
        <v>0.45</v>
      </c>
      <c r="P1607">
        <f t="shared" si="76"/>
        <v>9.2281670224806128E-2</v>
      </c>
      <c r="Q1607" t="str">
        <f t="shared" ca="1" si="77"/>
        <v>No</v>
      </c>
    </row>
    <row r="1608" spans="1:17" x14ac:dyDescent="0.45">
      <c r="A1608" t="s">
        <v>88</v>
      </c>
      <c r="B1608" t="s">
        <v>89</v>
      </c>
      <c r="C1608" t="s">
        <v>40</v>
      </c>
      <c r="D1608" t="s">
        <v>20</v>
      </c>
      <c r="E1608" t="s">
        <v>21</v>
      </c>
      <c r="F1608" s="1">
        <v>45231</v>
      </c>
      <c r="G1608">
        <v>4.7699999999999996</v>
      </c>
      <c r="H1608">
        <v>87.462000000000003</v>
      </c>
      <c r="I1608">
        <v>19.07</v>
      </c>
      <c r="J1608">
        <v>78.81</v>
      </c>
      <c r="K1608" t="s">
        <v>22</v>
      </c>
      <c r="L1608">
        <v>512.91999999999996</v>
      </c>
      <c r="M1608">
        <f>VLOOKUP(K1608,RatingLookup!$A$2:$C$8,2,FALSE)</f>
        <v>5.0000000000000001E-3</v>
      </c>
      <c r="N1608">
        <f t="shared" si="75"/>
        <v>4.1762458919303302E-4</v>
      </c>
      <c r="O1608">
        <f>VLOOKUP(K1608,RatingLookup!$A$2:$C$8,3,FALSE)</f>
        <v>0.45</v>
      </c>
      <c r="P1608">
        <f t="shared" si="76"/>
        <v>9.6393601930000711E-2</v>
      </c>
      <c r="Q1608" t="str">
        <f t="shared" ca="1" si="77"/>
        <v>No</v>
      </c>
    </row>
    <row r="1609" spans="1:17" x14ac:dyDescent="0.45">
      <c r="A1609" t="s">
        <v>88</v>
      </c>
      <c r="B1609" t="s">
        <v>89</v>
      </c>
      <c r="C1609" t="s">
        <v>40</v>
      </c>
      <c r="D1609" t="s">
        <v>20</v>
      </c>
      <c r="E1609" t="s">
        <v>21</v>
      </c>
      <c r="F1609" s="1">
        <v>45261</v>
      </c>
      <c r="G1609">
        <v>4.91</v>
      </c>
      <c r="H1609">
        <v>85.754199999999997</v>
      </c>
      <c r="I1609">
        <v>9.74</v>
      </c>
      <c r="J1609">
        <v>84.21</v>
      </c>
      <c r="K1609" t="s">
        <v>22</v>
      </c>
      <c r="L1609">
        <v>490.98</v>
      </c>
      <c r="M1609">
        <f>VLOOKUP(K1609,RatingLookup!$A$2:$C$8,2,FALSE)</f>
        <v>5.0000000000000001E-3</v>
      </c>
      <c r="N1609">
        <f t="shared" si="75"/>
        <v>4.1762458919303302E-4</v>
      </c>
      <c r="O1609">
        <f>VLOOKUP(K1609,RatingLookup!$A$2:$C$8,3,FALSE)</f>
        <v>0.45</v>
      </c>
      <c r="P1609">
        <f t="shared" si="76"/>
        <v>9.2270394360897914E-2</v>
      </c>
      <c r="Q1609" t="str">
        <f t="shared" ca="1" si="77"/>
        <v>No</v>
      </c>
    </row>
    <row r="1610" spans="1:17" x14ac:dyDescent="0.45">
      <c r="A1610" t="s">
        <v>88</v>
      </c>
      <c r="B1610" t="s">
        <v>89</v>
      </c>
      <c r="C1610" t="s">
        <v>40</v>
      </c>
      <c r="D1610" t="s">
        <v>20</v>
      </c>
      <c r="E1610" t="s">
        <v>21</v>
      </c>
      <c r="F1610" s="1">
        <v>45292</v>
      </c>
      <c r="G1610">
        <v>5.41</v>
      </c>
      <c r="H1610">
        <v>84.125</v>
      </c>
      <c r="I1610">
        <v>26.55</v>
      </c>
      <c r="J1610">
        <v>87.71</v>
      </c>
      <c r="K1610" t="s">
        <v>22</v>
      </c>
      <c r="L1610">
        <v>471.23</v>
      </c>
      <c r="M1610">
        <f>VLOOKUP(K1610,RatingLookup!$A$2:$C$8,2,FALSE)</f>
        <v>5.0000000000000001E-3</v>
      </c>
      <c r="N1610">
        <f t="shared" si="75"/>
        <v>4.1762458919303302E-4</v>
      </c>
      <c r="O1610">
        <f>VLOOKUP(K1610,RatingLookup!$A$2:$C$8,3,FALSE)</f>
        <v>0.45</v>
      </c>
      <c r="P1610">
        <f t="shared" si="76"/>
        <v>8.8558755824444835E-2</v>
      </c>
      <c r="Q1610" t="str">
        <f t="shared" ca="1" si="77"/>
        <v>No</v>
      </c>
    </row>
    <row r="1611" spans="1:17" x14ac:dyDescent="0.45">
      <c r="A1611" t="s">
        <v>88</v>
      </c>
      <c r="B1611" t="s">
        <v>89</v>
      </c>
      <c r="C1611" t="s">
        <v>40</v>
      </c>
      <c r="D1611" t="s">
        <v>20</v>
      </c>
      <c r="E1611" t="s">
        <v>21</v>
      </c>
      <c r="F1611" s="1">
        <v>45323</v>
      </c>
      <c r="G1611">
        <v>5.17</v>
      </c>
      <c r="H1611">
        <v>82.002600000000001</v>
      </c>
      <c r="I1611">
        <v>20.170000000000002</v>
      </c>
      <c r="J1611">
        <v>81.819999999999993</v>
      </c>
      <c r="K1611" t="s">
        <v>22</v>
      </c>
      <c r="L1611">
        <v>506.39</v>
      </c>
      <c r="M1611">
        <f>VLOOKUP(K1611,RatingLookup!$A$2:$C$8,2,FALSE)</f>
        <v>5.0000000000000001E-3</v>
      </c>
      <c r="N1611">
        <f t="shared" si="75"/>
        <v>4.1762458919303302E-4</v>
      </c>
      <c r="O1611">
        <f>VLOOKUP(K1611,RatingLookup!$A$2:$C$8,3,FALSE)</f>
        <v>0.45</v>
      </c>
      <c r="P1611">
        <f t="shared" si="76"/>
        <v>9.5166412074656995E-2</v>
      </c>
      <c r="Q1611" t="str">
        <f t="shared" ca="1" si="77"/>
        <v>No</v>
      </c>
    </row>
    <row r="1612" spans="1:17" x14ac:dyDescent="0.45">
      <c r="A1612" t="s">
        <v>88</v>
      </c>
      <c r="B1612" t="s">
        <v>89</v>
      </c>
      <c r="C1612" t="s">
        <v>40</v>
      </c>
      <c r="D1612" t="s">
        <v>20</v>
      </c>
      <c r="E1612" t="s">
        <v>21</v>
      </c>
      <c r="F1612" s="1">
        <v>45352</v>
      </c>
      <c r="G1612">
        <v>4.1399999999999997</v>
      </c>
      <c r="H1612">
        <v>83.263900000000007</v>
      </c>
      <c r="I1612">
        <v>10.81</v>
      </c>
      <c r="J1612">
        <v>101.37</v>
      </c>
      <c r="K1612" t="s">
        <v>22</v>
      </c>
      <c r="L1612">
        <v>515.36</v>
      </c>
      <c r="M1612">
        <f>VLOOKUP(K1612,RatingLookup!$A$2:$C$8,2,FALSE)</f>
        <v>5.0000000000000001E-3</v>
      </c>
      <c r="N1612">
        <f t="shared" si="75"/>
        <v>4.1762458919303302E-4</v>
      </c>
      <c r="O1612">
        <f>VLOOKUP(K1612,RatingLookup!$A$2:$C$8,3,FALSE)</f>
        <v>0.45</v>
      </c>
      <c r="P1612">
        <f t="shared" si="76"/>
        <v>9.6852153728934673E-2</v>
      </c>
      <c r="Q1612" t="str">
        <f t="shared" ca="1" si="77"/>
        <v>No</v>
      </c>
    </row>
    <row r="1613" spans="1:17" x14ac:dyDescent="0.45">
      <c r="A1613" t="s">
        <v>88</v>
      </c>
      <c r="B1613" t="s">
        <v>89</v>
      </c>
      <c r="C1613" t="s">
        <v>40</v>
      </c>
      <c r="D1613" t="s">
        <v>20</v>
      </c>
      <c r="E1613" t="s">
        <v>21</v>
      </c>
      <c r="F1613" s="1">
        <v>45383</v>
      </c>
      <c r="G1613">
        <v>4.79</v>
      </c>
      <c r="H1613">
        <v>86.066800000000001</v>
      </c>
      <c r="I1613">
        <v>14.17</v>
      </c>
      <c r="J1613">
        <v>87.26</v>
      </c>
      <c r="K1613" t="s">
        <v>22</v>
      </c>
      <c r="L1613">
        <v>531.30999999999995</v>
      </c>
      <c r="M1613">
        <f>VLOOKUP(K1613,RatingLookup!$A$2:$C$8,2,FALSE)</f>
        <v>5.0000000000000001E-3</v>
      </c>
      <c r="N1613">
        <f t="shared" si="75"/>
        <v>4.1762458919303302E-4</v>
      </c>
      <c r="O1613">
        <f>VLOOKUP(K1613,RatingLookup!$A$2:$C$8,3,FALSE)</f>
        <v>0.45</v>
      </c>
      <c r="P1613">
        <f t="shared" si="76"/>
        <v>9.9849654217867664E-2</v>
      </c>
      <c r="Q1613" t="str">
        <f t="shared" ca="1" si="77"/>
        <v>No</v>
      </c>
    </row>
    <row r="1614" spans="1:17" x14ac:dyDescent="0.45">
      <c r="A1614" t="s">
        <v>88</v>
      </c>
      <c r="B1614" t="s">
        <v>89</v>
      </c>
      <c r="C1614" t="s">
        <v>40</v>
      </c>
      <c r="D1614" t="s">
        <v>20</v>
      </c>
      <c r="E1614" t="s">
        <v>21</v>
      </c>
      <c r="F1614" s="1">
        <v>45413</v>
      </c>
      <c r="G1614">
        <v>5.37</v>
      </c>
      <c r="H1614">
        <v>80.930000000000007</v>
      </c>
      <c r="I1614">
        <v>30.22</v>
      </c>
      <c r="J1614">
        <v>85.11</v>
      </c>
      <c r="K1614" t="s">
        <v>22</v>
      </c>
      <c r="L1614">
        <v>522.96</v>
      </c>
      <c r="M1614">
        <f>VLOOKUP(K1614,RatingLookup!$A$2:$C$8,2,FALSE)</f>
        <v>5.0000000000000001E-3</v>
      </c>
      <c r="N1614">
        <f t="shared" si="75"/>
        <v>4.1762458919303302E-4</v>
      </c>
      <c r="O1614">
        <f>VLOOKUP(K1614,RatingLookup!$A$2:$C$8,3,FALSE)</f>
        <v>0.45</v>
      </c>
      <c r="P1614">
        <f t="shared" si="76"/>
        <v>9.8280429823974863E-2</v>
      </c>
      <c r="Q1614" t="str">
        <f t="shared" ca="1" si="77"/>
        <v>No</v>
      </c>
    </row>
    <row r="1615" spans="1:17" x14ac:dyDescent="0.45">
      <c r="A1615" t="s">
        <v>88</v>
      </c>
      <c r="B1615" t="s">
        <v>89</v>
      </c>
      <c r="C1615" t="s">
        <v>40</v>
      </c>
      <c r="D1615" t="s">
        <v>20</v>
      </c>
      <c r="E1615" t="s">
        <v>21</v>
      </c>
      <c r="F1615" s="1">
        <v>45444</v>
      </c>
      <c r="G1615">
        <v>5.79</v>
      </c>
      <c r="H1615">
        <v>81.943700000000007</v>
      </c>
      <c r="I1615">
        <v>19.489999999999998</v>
      </c>
      <c r="J1615">
        <v>73.81</v>
      </c>
      <c r="K1615" t="s">
        <v>22</v>
      </c>
      <c r="L1615">
        <v>480.43</v>
      </c>
      <c r="M1615">
        <f>VLOOKUP(K1615,RatingLookup!$A$2:$C$8,2,FALSE)</f>
        <v>5.0000000000000001E-3</v>
      </c>
      <c r="N1615">
        <f t="shared" si="75"/>
        <v>4.1762458919303302E-4</v>
      </c>
      <c r="O1615">
        <f>VLOOKUP(K1615,RatingLookup!$A$2:$C$8,3,FALSE)</f>
        <v>0.45</v>
      </c>
      <c r="P1615">
        <f t="shared" si="76"/>
        <v>9.0287721623703993E-2</v>
      </c>
      <c r="Q1615" t="str">
        <f t="shared" ca="1" si="77"/>
        <v>No</v>
      </c>
    </row>
    <row r="1616" spans="1:17" x14ac:dyDescent="0.45">
      <c r="A1616" t="s">
        <v>88</v>
      </c>
      <c r="B1616" t="s">
        <v>89</v>
      </c>
      <c r="C1616" t="s">
        <v>40</v>
      </c>
      <c r="D1616" t="s">
        <v>20</v>
      </c>
      <c r="E1616" t="s">
        <v>21</v>
      </c>
      <c r="F1616" s="1">
        <v>45474</v>
      </c>
      <c r="G1616">
        <v>5.53</v>
      </c>
      <c r="H1616">
        <v>81.972800000000007</v>
      </c>
      <c r="I1616">
        <v>14.97</v>
      </c>
      <c r="J1616">
        <v>71.12</v>
      </c>
      <c r="K1616" t="s">
        <v>22</v>
      </c>
      <c r="L1616">
        <v>501.72</v>
      </c>
      <c r="M1616">
        <f>VLOOKUP(K1616,RatingLookup!$A$2:$C$8,2,FALSE)</f>
        <v>5.0000000000000001E-3</v>
      </c>
      <c r="N1616">
        <f t="shared" si="75"/>
        <v>4.1762458919303302E-4</v>
      </c>
      <c r="O1616">
        <f>VLOOKUP(K1616,RatingLookup!$A$2:$C$8,3,FALSE)</f>
        <v>0.45</v>
      </c>
      <c r="P1616">
        <f t="shared" si="76"/>
        <v>9.428877400046784E-2</v>
      </c>
      <c r="Q1616" t="str">
        <f t="shared" ca="1" si="77"/>
        <v>No</v>
      </c>
    </row>
    <row r="1617" spans="1:17" x14ac:dyDescent="0.45">
      <c r="A1617" t="s">
        <v>88</v>
      </c>
      <c r="B1617" t="s">
        <v>89</v>
      </c>
      <c r="C1617" t="s">
        <v>40</v>
      </c>
      <c r="D1617" t="s">
        <v>20</v>
      </c>
      <c r="E1617" t="s">
        <v>21</v>
      </c>
      <c r="F1617" s="1">
        <v>45505</v>
      </c>
      <c r="G1617">
        <v>6.03</v>
      </c>
      <c r="H1617">
        <v>85.249399999999994</v>
      </c>
      <c r="I1617">
        <v>22.96</v>
      </c>
      <c r="J1617">
        <v>89.37</v>
      </c>
      <c r="K1617" t="s">
        <v>22</v>
      </c>
      <c r="L1617">
        <v>530.22</v>
      </c>
      <c r="M1617">
        <f>VLOOKUP(K1617,RatingLookup!$A$2:$C$8,2,FALSE)</f>
        <v>5.0000000000000001E-3</v>
      </c>
      <c r="N1617">
        <f t="shared" si="75"/>
        <v>4.1762458919303302E-4</v>
      </c>
      <c r="O1617">
        <f>VLOOKUP(K1617,RatingLookup!$A$2:$C$8,3,FALSE)</f>
        <v>0.45</v>
      </c>
      <c r="P1617">
        <f t="shared" si="76"/>
        <v>9.9644809356868494E-2</v>
      </c>
      <c r="Q1617" t="str">
        <f t="shared" ca="1" si="77"/>
        <v>No</v>
      </c>
    </row>
    <row r="1618" spans="1:17" x14ac:dyDescent="0.45">
      <c r="A1618" t="s">
        <v>88</v>
      </c>
      <c r="B1618" t="s">
        <v>89</v>
      </c>
      <c r="C1618" t="s">
        <v>40</v>
      </c>
      <c r="D1618" t="s">
        <v>20</v>
      </c>
      <c r="E1618" t="s">
        <v>21</v>
      </c>
      <c r="F1618" s="1">
        <v>45536</v>
      </c>
      <c r="G1618">
        <v>6.57</v>
      </c>
      <c r="H1618">
        <v>87.447599999999994</v>
      </c>
      <c r="I1618">
        <v>18.66</v>
      </c>
      <c r="J1618">
        <v>86.63</v>
      </c>
      <c r="K1618" t="s">
        <v>22</v>
      </c>
      <c r="L1618">
        <v>520.62</v>
      </c>
      <c r="M1618">
        <f>VLOOKUP(K1618,RatingLookup!$A$2:$C$8,2,FALSE)</f>
        <v>5.0000000000000001E-3</v>
      </c>
      <c r="N1618">
        <f t="shared" si="75"/>
        <v>4.1762458919303302E-4</v>
      </c>
      <c r="O1618">
        <f>VLOOKUP(K1618,RatingLookup!$A$2:$C$8,3,FALSE)</f>
        <v>0.45</v>
      </c>
      <c r="P1618">
        <f t="shared" si="76"/>
        <v>9.7840671131554591E-2</v>
      </c>
      <c r="Q1618" t="str">
        <f t="shared" ca="1" si="77"/>
        <v>No</v>
      </c>
    </row>
    <row r="1619" spans="1:17" x14ac:dyDescent="0.45">
      <c r="A1619" t="s">
        <v>88</v>
      </c>
      <c r="B1619" t="s">
        <v>89</v>
      </c>
      <c r="C1619" t="s">
        <v>40</v>
      </c>
      <c r="D1619" t="s">
        <v>20</v>
      </c>
      <c r="E1619" t="s">
        <v>21</v>
      </c>
      <c r="F1619" s="1">
        <v>45566</v>
      </c>
      <c r="G1619">
        <v>6.55</v>
      </c>
      <c r="H1619">
        <v>81.95</v>
      </c>
      <c r="I1619">
        <v>37.94</v>
      </c>
      <c r="J1619">
        <v>68.11</v>
      </c>
      <c r="K1619" t="s">
        <v>22</v>
      </c>
      <c r="L1619">
        <v>504.92</v>
      </c>
      <c r="M1619">
        <f>VLOOKUP(K1619,RatingLookup!$A$2:$C$8,2,FALSE)</f>
        <v>5.0000000000000001E-3</v>
      </c>
      <c r="N1619">
        <f t="shared" si="75"/>
        <v>4.1762458919303302E-4</v>
      </c>
      <c r="O1619">
        <f>VLOOKUP(K1619,RatingLookup!$A$2:$C$8,3,FALSE)</f>
        <v>0.45</v>
      </c>
      <c r="P1619">
        <f t="shared" si="76"/>
        <v>9.4890153408905803E-2</v>
      </c>
      <c r="Q1619" t="str">
        <f t="shared" ca="1" si="77"/>
        <v>No</v>
      </c>
    </row>
    <row r="1620" spans="1:17" x14ac:dyDescent="0.45">
      <c r="A1620" t="s">
        <v>88</v>
      </c>
      <c r="B1620" t="s">
        <v>89</v>
      </c>
      <c r="C1620" t="s">
        <v>40</v>
      </c>
      <c r="D1620" t="s">
        <v>20</v>
      </c>
      <c r="E1620" t="s">
        <v>21</v>
      </c>
      <c r="F1620" s="1">
        <v>45597</v>
      </c>
      <c r="G1620">
        <v>3.86</v>
      </c>
      <c r="H1620">
        <v>76.802499999999995</v>
      </c>
      <c r="I1620">
        <v>14.39</v>
      </c>
      <c r="J1620">
        <v>63.17</v>
      </c>
      <c r="K1620" t="s">
        <v>22</v>
      </c>
      <c r="L1620">
        <v>531.19000000000005</v>
      </c>
      <c r="M1620">
        <f>VLOOKUP(K1620,RatingLookup!$A$2:$C$8,2,FALSE)</f>
        <v>5.0000000000000001E-3</v>
      </c>
      <c r="N1620">
        <f t="shared" si="75"/>
        <v>4.1762458919303302E-4</v>
      </c>
      <c r="O1620">
        <f>VLOOKUP(K1620,RatingLookup!$A$2:$C$8,3,FALSE)</f>
        <v>0.45</v>
      </c>
      <c r="P1620">
        <f t="shared" si="76"/>
        <v>9.9827102490051264E-2</v>
      </c>
      <c r="Q1620" t="str">
        <f t="shared" ca="1" si="77"/>
        <v>No</v>
      </c>
    </row>
    <row r="1621" spans="1:17" x14ac:dyDescent="0.45">
      <c r="A1621" t="s">
        <v>88</v>
      </c>
      <c r="B1621" t="s">
        <v>89</v>
      </c>
      <c r="C1621" t="s">
        <v>40</v>
      </c>
      <c r="D1621" t="s">
        <v>20</v>
      </c>
      <c r="E1621" t="s">
        <v>21</v>
      </c>
      <c r="F1621" s="1">
        <v>45627</v>
      </c>
      <c r="G1621">
        <v>5.66</v>
      </c>
      <c r="H1621">
        <v>77.845399999999998</v>
      </c>
      <c r="I1621">
        <v>9.61</v>
      </c>
      <c r="J1621">
        <v>93.3</v>
      </c>
      <c r="K1621" t="s">
        <v>22</v>
      </c>
      <c r="L1621">
        <v>509.94</v>
      </c>
      <c r="M1621">
        <f>VLOOKUP(K1621,RatingLookup!$A$2:$C$8,2,FALSE)</f>
        <v>5.0000000000000001E-3</v>
      </c>
      <c r="N1621">
        <f t="shared" si="75"/>
        <v>4.1762458919303302E-4</v>
      </c>
      <c r="O1621">
        <f>VLOOKUP(K1621,RatingLookup!$A$2:$C$8,3,FALSE)</f>
        <v>0.45</v>
      </c>
      <c r="P1621">
        <f t="shared" si="76"/>
        <v>9.5833567355892865E-2</v>
      </c>
      <c r="Q1621" t="str">
        <f t="shared" ca="1" si="77"/>
        <v>No</v>
      </c>
    </row>
    <row r="1622" spans="1:17" x14ac:dyDescent="0.45">
      <c r="A1622" t="s">
        <v>90</v>
      </c>
      <c r="B1622" t="s">
        <v>91</v>
      </c>
      <c r="C1622" t="s">
        <v>43</v>
      </c>
      <c r="D1622" t="s">
        <v>20</v>
      </c>
      <c r="E1622" t="s">
        <v>21</v>
      </c>
      <c r="F1622" s="1">
        <v>43831</v>
      </c>
      <c r="G1622">
        <v>6.36</v>
      </c>
      <c r="H1622">
        <v>84.797499999999999</v>
      </c>
      <c r="I1622">
        <v>11.1</v>
      </c>
      <c r="J1622">
        <v>83.82</v>
      </c>
      <c r="K1622" t="s">
        <v>32</v>
      </c>
      <c r="L1622">
        <v>2489.5</v>
      </c>
      <c r="M1622">
        <f>VLOOKUP(K1622,RatingLookup!$A$2:$C$8,2,FALSE)</f>
        <v>0.12</v>
      </c>
      <c r="N1622">
        <f t="shared" si="75"/>
        <v>1.0596241035318976E-2</v>
      </c>
      <c r="O1622">
        <f>VLOOKUP(K1622,RatingLookup!$A$2:$C$8,3,FALSE)</f>
        <v>0.7</v>
      </c>
      <c r="P1622">
        <f t="shared" si="76"/>
        <v>18.465539440198611</v>
      </c>
      <c r="Q1622" t="str">
        <f t="shared" ca="1" si="77"/>
        <v>No</v>
      </c>
    </row>
    <row r="1623" spans="1:17" x14ac:dyDescent="0.45">
      <c r="A1623" t="s">
        <v>90</v>
      </c>
      <c r="B1623" t="s">
        <v>91</v>
      </c>
      <c r="C1623" t="s">
        <v>43</v>
      </c>
      <c r="D1623" t="s">
        <v>20</v>
      </c>
      <c r="E1623" t="s">
        <v>21</v>
      </c>
      <c r="F1623" s="1">
        <v>43862</v>
      </c>
      <c r="G1623">
        <v>4.32</v>
      </c>
      <c r="H1623">
        <v>78.615099999999998</v>
      </c>
      <c r="I1623">
        <v>32.65</v>
      </c>
      <c r="J1623">
        <v>65.819999999999993</v>
      </c>
      <c r="K1623" t="s">
        <v>32</v>
      </c>
      <c r="L1623">
        <v>2469.5</v>
      </c>
      <c r="M1623">
        <f>VLOOKUP(K1623,RatingLookup!$A$2:$C$8,2,FALSE)</f>
        <v>0.12</v>
      </c>
      <c r="N1623">
        <f t="shared" si="75"/>
        <v>1.0596241035318976E-2</v>
      </c>
      <c r="O1623">
        <f>VLOOKUP(K1623,RatingLookup!$A$2:$C$8,3,FALSE)</f>
        <v>0.7</v>
      </c>
      <c r="P1623">
        <f t="shared" si="76"/>
        <v>18.317192065704148</v>
      </c>
      <c r="Q1623" t="str">
        <f t="shared" ca="1" si="77"/>
        <v>No</v>
      </c>
    </row>
    <row r="1624" spans="1:17" x14ac:dyDescent="0.45">
      <c r="A1624" t="s">
        <v>90</v>
      </c>
      <c r="B1624" t="s">
        <v>91</v>
      </c>
      <c r="C1624" t="s">
        <v>43</v>
      </c>
      <c r="D1624" t="s">
        <v>20</v>
      </c>
      <c r="E1624" t="s">
        <v>21</v>
      </c>
      <c r="F1624" s="1">
        <v>43891</v>
      </c>
      <c r="G1624">
        <v>5.43</v>
      </c>
      <c r="H1624">
        <v>84.453000000000003</v>
      </c>
      <c r="I1624">
        <v>23.67</v>
      </c>
      <c r="J1624">
        <v>76.38</v>
      </c>
      <c r="K1624" t="s">
        <v>32</v>
      </c>
      <c r="L1624">
        <v>2311.08</v>
      </c>
      <c r="M1624">
        <f>VLOOKUP(K1624,RatingLookup!$A$2:$C$8,2,FALSE)</f>
        <v>0.12</v>
      </c>
      <c r="N1624">
        <f t="shared" si="75"/>
        <v>1.0596241035318976E-2</v>
      </c>
      <c r="O1624">
        <f>VLOOKUP(K1624,RatingLookup!$A$2:$C$8,3,FALSE)</f>
        <v>0.7</v>
      </c>
      <c r="P1624">
        <f t="shared" si="76"/>
        <v>17.142132512333482</v>
      </c>
      <c r="Q1624" t="str">
        <f t="shared" ca="1" si="77"/>
        <v>No</v>
      </c>
    </row>
    <row r="1625" spans="1:17" x14ac:dyDescent="0.45">
      <c r="A1625" t="s">
        <v>90</v>
      </c>
      <c r="B1625" t="s">
        <v>91</v>
      </c>
      <c r="C1625" t="s">
        <v>43</v>
      </c>
      <c r="D1625" t="s">
        <v>20</v>
      </c>
      <c r="E1625" t="s">
        <v>21</v>
      </c>
      <c r="F1625" s="1">
        <v>43922</v>
      </c>
      <c r="G1625">
        <v>5.16</v>
      </c>
      <c r="H1625">
        <v>77.643900000000002</v>
      </c>
      <c r="I1625">
        <v>19.37</v>
      </c>
      <c r="J1625">
        <v>78.260000000000005</v>
      </c>
      <c r="K1625" t="s">
        <v>32</v>
      </c>
      <c r="L1625">
        <v>2541.37</v>
      </c>
      <c r="M1625">
        <f>VLOOKUP(K1625,RatingLookup!$A$2:$C$8,2,FALSE)</f>
        <v>0.12</v>
      </c>
      <c r="N1625">
        <f t="shared" si="75"/>
        <v>1.0596241035318976E-2</v>
      </c>
      <c r="O1625">
        <f>VLOOKUP(K1625,RatingLookup!$A$2:$C$8,3,FALSE)</f>
        <v>0.7</v>
      </c>
      <c r="P1625">
        <f t="shared" si="76"/>
        <v>18.850278355950007</v>
      </c>
      <c r="Q1625" t="str">
        <f t="shared" ca="1" si="77"/>
        <v>No</v>
      </c>
    </row>
    <row r="1626" spans="1:17" x14ac:dyDescent="0.45">
      <c r="A1626" t="s">
        <v>90</v>
      </c>
      <c r="B1626" t="s">
        <v>91</v>
      </c>
      <c r="C1626" t="s">
        <v>43</v>
      </c>
      <c r="D1626" t="s">
        <v>20</v>
      </c>
      <c r="E1626" t="s">
        <v>21</v>
      </c>
      <c r="F1626" s="1">
        <v>43952</v>
      </c>
      <c r="G1626">
        <v>4.7699999999999996</v>
      </c>
      <c r="H1626">
        <v>79.1995</v>
      </c>
      <c r="I1626">
        <v>27.23</v>
      </c>
      <c r="J1626">
        <v>61.71</v>
      </c>
      <c r="K1626" t="s">
        <v>32</v>
      </c>
      <c r="L1626">
        <v>2676.47</v>
      </c>
      <c r="M1626">
        <f>VLOOKUP(K1626,RatingLookup!$A$2:$C$8,2,FALSE)</f>
        <v>0.12</v>
      </c>
      <c r="N1626">
        <f t="shared" si="75"/>
        <v>1.0596241035318976E-2</v>
      </c>
      <c r="O1626">
        <f>VLOOKUP(K1626,RatingLookup!$A$2:$C$8,3,FALSE)</f>
        <v>0.7</v>
      </c>
      <c r="P1626">
        <f t="shared" si="76"/>
        <v>19.852364870660125</v>
      </c>
      <c r="Q1626" t="str">
        <f t="shared" ca="1" si="77"/>
        <v>No</v>
      </c>
    </row>
    <row r="1627" spans="1:17" x14ac:dyDescent="0.45">
      <c r="A1627" t="s">
        <v>90</v>
      </c>
      <c r="B1627" t="s">
        <v>91</v>
      </c>
      <c r="C1627" t="s">
        <v>43</v>
      </c>
      <c r="D1627" t="s">
        <v>20</v>
      </c>
      <c r="E1627" t="s">
        <v>21</v>
      </c>
      <c r="F1627" s="1">
        <v>43983</v>
      </c>
      <c r="G1627">
        <v>4.95</v>
      </c>
      <c r="H1627">
        <v>79.807699999999997</v>
      </c>
      <c r="I1627">
        <v>23.16</v>
      </c>
      <c r="J1627">
        <v>80.989999999999995</v>
      </c>
      <c r="K1627" t="s">
        <v>32</v>
      </c>
      <c r="L1627">
        <v>2620.89</v>
      </c>
      <c r="M1627">
        <f>VLOOKUP(K1627,RatingLookup!$A$2:$C$8,2,FALSE)</f>
        <v>0.12</v>
      </c>
      <c r="N1627">
        <f t="shared" si="75"/>
        <v>1.0596241035318976E-2</v>
      </c>
      <c r="O1627">
        <f>VLOOKUP(K1627,RatingLookup!$A$2:$C$8,3,FALSE)</f>
        <v>0.7</v>
      </c>
      <c r="P1627">
        <f t="shared" si="76"/>
        <v>19.440107516940003</v>
      </c>
      <c r="Q1627" t="str">
        <f t="shared" ca="1" si="77"/>
        <v>No</v>
      </c>
    </row>
    <row r="1628" spans="1:17" x14ac:dyDescent="0.45">
      <c r="A1628" t="s">
        <v>90</v>
      </c>
      <c r="B1628" t="s">
        <v>91</v>
      </c>
      <c r="C1628" t="s">
        <v>43</v>
      </c>
      <c r="D1628" t="s">
        <v>20</v>
      </c>
      <c r="E1628" t="s">
        <v>21</v>
      </c>
      <c r="F1628" s="1">
        <v>44013</v>
      </c>
      <c r="G1628">
        <v>4.37</v>
      </c>
      <c r="H1628">
        <v>83.454099999999997</v>
      </c>
      <c r="I1628">
        <v>17.84</v>
      </c>
      <c r="J1628">
        <v>64.83</v>
      </c>
      <c r="K1628" t="s">
        <v>32</v>
      </c>
      <c r="L1628">
        <v>2651.19</v>
      </c>
      <c r="M1628">
        <f>VLOOKUP(K1628,RatingLookup!$A$2:$C$8,2,FALSE)</f>
        <v>0.12</v>
      </c>
      <c r="N1628">
        <f t="shared" si="75"/>
        <v>1.0596241035318976E-2</v>
      </c>
      <c r="O1628">
        <f>VLOOKUP(K1628,RatingLookup!$A$2:$C$8,3,FALSE)</f>
        <v>0.7</v>
      </c>
      <c r="P1628">
        <f t="shared" si="76"/>
        <v>19.664853789299123</v>
      </c>
      <c r="Q1628" t="str">
        <f t="shared" ca="1" si="77"/>
        <v>No</v>
      </c>
    </row>
    <row r="1629" spans="1:17" x14ac:dyDescent="0.45">
      <c r="A1629" t="s">
        <v>90</v>
      </c>
      <c r="B1629" t="s">
        <v>91</v>
      </c>
      <c r="C1629" t="s">
        <v>43</v>
      </c>
      <c r="D1629" t="s">
        <v>20</v>
      </c>
      <c r="E1629" t="s">
        <v>21</v>
      </c>
      <c r="F1629" s="1">
        <v>44044</v>
      </c>
      <c r="G1629">
        <v>5.64</v>
      </c>
      <c r="H1629">
        <v>77.819100000000006</v>
      </c>
      <c r="I1629">
        <v>10.65</v>
      </c>
      <c r="J1629">
        <v>72.37</v>
      </c>
      <c r="K1629" t="s">
        <v>32</v>
      </c>
      <c r="L1629">
        <v>2450.41</v>
      </c>
      <c r="M1629">
        <f>VLOOKUP(K1629,RatingLookup!$A$2:$C$8,2,FALSE)</f>
        <v>0.12</v>
      </c>
      <c r="N1629">
        <f t="shared" si="75"/>
        <v>1.0596241035318976E-2</v>
      </c>
      <c r="O1629">
        <f>VLOOKUP(K1629,RatingLookup!$A$2:$C$8,3,FALSE)</f>
        <v>0.7</v>
      </c>
      <c r="P1629">
        <f t="shared" si="76"/>
        <v>18.175594496749177</v>
      </c>
      <c r="Q1629" t="str">
        <f t="shared" ca="1" si="77"/>
        <v>No</v>
      </c>
    </row>
    <row r="1630" spans="1:17" x14ac:dyDescent="0.45">
      <c r="A1630" t="s">
        <v>90</v>
      </c>
      <c r="B1630" t="s">
        <v>91</v>
      </c>
      <c r="C1630" t="s">
        <v>43</v>
      </c>
      <c r="D1630" t="s">
        <v>20</v>
      </c>
      <c r="E1630" t="s">
        <v>21</v>
      </c>
      <c r="F1630" s="1">
        <v>44075</v>
      </c>
      <c r="G1630">
        <v>4.83</v>
      </c>
      <c r="H1630">
        <v>83.413600000000002</v>
      </c>
      <c r="I1630">
        <v>17.34</v>
      </c>
      <c r="J1630">
        <v>56.59</v>
      </c>
      <c r="K1630" t="s">
        <v>32</v>
      </c>
      <c r="L1630">
        <v>2302.54</v>
      </c>
      <c r="M1630">
        <f>VLOOKUP(K1630,RatingLookup!$A$2:$C$8,2,FALSE)</f>
        <v>0.12</v>
      </c>
      <c r="N1630">
        <f t="shared" si="75"/>
        <v>1.0596241035318976E-2</v>
      </c>
      <c r="O1630">
        <f>VLOOKUP(K1630,RatingLookup!$A$2:$C$8,3,FALSE)</f>
        <v>0.7</v>
      </c>
      <c r="P1630">
        <f t="shared" si="76"/>
        <v>17.078788183424347</v>
      </c>
      <c r="Q1630" t="str">
        <f t="shared" ca="1" si="77"/>
        <v>No</v>
      </c>
    </row>
    <row r="1631" spans="1:17" x14ac:dyDescent="0.45">
      <c r="A1631" t="s">
        <v>90</v>
      </c>
      <c r="B1631" t="s">
        <v>91</v>
      </c>
      <c r="C1631" t="s">
        <v>43</v>
      </c>
      <c r="D1631" t="s">
        <v>20</v>
      </c>
      <c r="E1631" t="s">
        <v>21</v>
      </c>
      <c r="F1631" s="1">
        <v>44105</v>
      </c>
      <c r="G1631">
        <v>5.39</v>
      </c>
      <c r="H1631">
        <v>81.794499999999999</v>
      </c>
      <c r="I1631">
        <v>18.72</v>
      </c>
      <c r="J1631">
        <v>62.9</v>
      </c>
      <c r="K1631" t="s">
        <v>32</v>
      </c>
      <c r="L1631">
        <v>2393.8000000000002</v>
      </c>
      <c r="M1631">
        <f>VLOOKUP(K1631,RatingLookup!$A$2:$C$8,2,FALSE)</f>
        <v>0.12</v>
      </c>
      <c r="N1631">
        <f t="shared" si="75"/>
        <v>1.0596241035318976E-2</v>
      </c>
      <c r="O1631">
        <f>VLOOKUP(K1631,RatingLookup!$A$2:$C$8,3,FALSE)</f>
        <v>0.7</v>
      </c>
      <c r="P1631">
        <f t="shared" si="76"/>
        <v>17.755697253242598</v>
      </c>
      <c r="Q1631" t="str">
        <f t="shared" ca="1" si="77"/>
        <v>No</v>
      </c>
    </row>
    <row r="1632" spans="1:17" x14ac:dyDescent="0.45">
      <c r="A1632" t="s">
        <v>90</v>
      </c>
      <c r="B1632" t="s">
        <v>91</v>
      </c>
      <c r="C1632" t="s">
        <v>43</v>
      </c>
      <c r="D1632" t="s">
        <v>20</v>
      </c>
      <c r="E1632" t="s">
        <v>21</v>
      </c>
      <c r="F1632" s="1">
        <v>44136</v>
      </c>
      <c r="G1632">
        <v>6.07</v>
      </c>
      <c r="H1632">
        <v>74.980900000000005</v>
      </c>
      <c r="I1632">
        <v>16.510000000000002</v>
      </c>
      <c r="J1632">
        <v>59.38</v>
      </c>
      <c r="K1632" t="s">
        <v>32</v>
      </c>
      <c r="L1632">
        <v>2404.44</v>
      </c>
      <c r="M1632">
        <f>VLOOKUP(K1632,RatingLookup!$A$2:$C$8,2,FALSE)</f>
        <v>0.12</v>
      </c>
      <c r="N1632">
        <f t="shared" si="75"/>
        <v>1.0596241035318976E-2</v>
      </c>
      <c r="O1632">
        <f>VLOOKUP(K1632,RatingLookup!$A$2:$C$8,3,FALSE)</f>
        <v>0.7</v>
      </c>
      <c r="P1632">
        <f t="shared" si="76"/>
        <v>17.834618056473651</v>
      </c>
      <c r="Q1632" t="str">
        <f t="shared" ca="1" si="77"/>
        <v>No</v>
      </c>
    </row>
    <row r="1633" spans="1:17" x14ac:dyDescent="0.45">
      <c r="A1633" t="s">
        <v>90</v>
      </c>
      <c r="B1633" t="s">
        <v>91</v>
      </c>
      <c r="C1633" t="s">
        <v>43</v>
      </c>
      <c r="D1633" t="s">
        <v>20</v>
      </c>
      <c r="E1633" t="s">
        <v>21</v>
      </c>
      <c r="F1633" s="1">
        <v>44166</v>
      </c>
      <c r="G1633">
        <v>4.5999999999999996</v>
      </c>
      <c r="H1633">
        <v>79.7714</v>
      </c>
      <c r="I1633">
        <v>13.21</v>
      </c>
      <c r="J1633">
        <v>71.400000000000006</v>
      </c>
      <c r="K1633" t="s">
        <v>32</v>
      </c>
      <c r="L1633">
        <v>2445.77</v>
      </c>
      <c r="M1633">
        <f>VLOOKUP(K1633,RatingLookup!$A$2:$C$8,2,FALSE)</f>
        <v>0.12</v>
      </c>
      <c r="N1633">
        <f t="shared" si="75"/>
        <v>1.0596241035318976E-2</v>
      </c>
      <c r="O1633">
        <f>VLOOKUP(K1633,RatingLookup!$A$2:$C$8,3,FALSE)</f>
        <v>0.7</v>
      </c>
      <c r="P1633">
        <f t="shared" si="76"/>
        <v>18.141177905866464</v>
      </c>
      <c r="Q1633" t="str">
        <f t="shared" ca="1" si="77"/>
        <v>No</v>
      </c>
    </row>
    <row r="1634" spans="1:17" x14ac:dyDescent="0.45">
      <c r="A1634" t="s">
        <v>90</v>
      </c>
      <c r="B1634" t="s">
        <v>91</v>
      </c>
      <c r="C1634" t="s">
        <v>43</v>
      </c>
      <c r="D1634" t="s">
        <v>20</v>
      </c>
      <c r="E1634" t="s">
        <v>21</v>
      </c>
      <c r="F1634" s="1">
        <v>44197</v>
      </c>
      <c r="G1634">
        <v>5.0999999999999996</v>
      </c>
      <c r="H1634">
        <v>81.073700000000002</v>
      </c>
      <c r="I1634">
        <v>20.22</v>
      </c>
      <c r="J1634">
        <v>81.709999999999994</v>
      </c>
      <c r="K1634" t="s">
        <v>32</v>
      </c>
      <c r="L1634">
        <v>2234.65</v>
      </c>
      <c r="M1634">
        <f>VLOOKUP(K1634,RatingLookup!$A$2:$C$8,2,FALSE)</f>
        <v>0.12</v>
      </c>
      <c r="N1634">
        <f t="shared" si="75"/>
        <v>1.0596241035318976E-2</v>
      </c>
      <c r="O1634">
        <f>VLOOKUP(K1634,RatingLookup!$A$2:$C$8,3,FALSE)</f>
        <v>0.7</v>
      </c>
      <c r="P1634">
        <f t="shared" si="76"/>
        <v>16.575223020702886</v>
      </c>
      <c r="Q1634" t="str">
        <f t="shared" ca="1" si="77"/>
        <v>No</v>
      </c>
    </row>
    <row r="1635" spans="1:17" x14ac:dyDescent="0.45">
      <c r="A1635" t="s">
        <v>90</v>
      </c>
      <c r="B1635" t="s">
        <v>91</v>
      </c>
      <c r="C1635" t="s">
        <v>43</v>
      </c>
      <c r="D1635" t="s">
        <v>20</v>
      </c>
      <c r="E1635" t="s">
        <v>21</v>
      </c>
      <c r="F1635" s="1">
        <v>44228</v>
      </c>
      <c r="G1635">
        <v>5.7</v>
      </c>
      <c r="H1635">
        <v>80.6554</v>
      </c>
      <c r="I1635">
        <v>19.05</v>
      </c>
      <c r="J1635">
        <v>75.959999999999994</v>
      </c>
      <c r="K1635" t="s">
        <v>32</v>
      </c>
      <c r="L1635">
        <v>2460.5700000000002</v>
      </c>
      <c r="M1635">
        <f>VLOOKUP(K1635,RatingLookup!$A$2:$C$8,2,FALSE)</f>
        <v>0.12</v>
      </c>
      <c r="N1635">
        <f t="shared" si="75"/>
        <v>1.0596241035318976E-2</v>
      </c>
      <c r="O1635">
        <f>VLOOKUP(K1635,RatingLookup!$A$2:$C$8,3,FALSE)</f>
        <v>0.7</v>
      </c>
      <c r="P1635">
        <f t="shared" si="76"/>
        <v>18.25095496299237</v>
      </c>
      <c r="Q1635" t="str">
        <f t="shared" ca="1" si="77"/>
        <v>No</v>
      </c>
    </row>
    <row r="1636" spans="1:17" x14ac:dyDescent="0.45">
      <c r="A1636" t="s">
        <v>90</v>
      </c>
      <c r="B1636" t="s">
        <v>91</v>
      </c>
      <c r="C1636" t="s">
        <v>43</v>
      </c>
      <c r="D1636" t="s">
        <v>20</v>
      </c>
      <c r="E1636" t="s">
        <v>21</v>
      </c>
      <c r="F1636" s="1">
        <v>44256</v>
      </c>
      <c r="G1636">
        <v>5.25</v>
      </c>
      <c r="H1636">
        <v>81.607100000000003</v>
      </c>
      <c r="I1636">
        <v>13.9</v>
      </c>
      <c r="J1636">
        <v>87.35</v>
      </c>
      <c r="K1636" t="s">
        <v>32</v>
      </c>
      <c r="L1636">
        <v>2441.14</v>
      </c>
      <c r="M1636">
        <f>VLOOKUP(K1636,RatingLookup!$A$2:$C$8,2,FALSE)</f>
        <v>0.12</v>
      </c>
      <c r="N1636">
        <f t="shared" si="75"/>
        <v>1.0596241035318976E-2</v>
      </c>
      <c r="O1636">
        <f>VLOOKUP(K1636,RatingLookup!$A$2:$C$8,3,FALSE)</f>
        <v>0.7</v>
      </c>
      <c r="P1636">
        <f t="shared" si="76"/>
        <v>18.106835488670995</v>
      </c>
      <c r="Q1636" t="str">
        <f t="shared" ca="1" si="77"/>
        <v>No</v>
      </c>
    </row>
    <row r="1637" spans="1:17" x14ac:dyDescent="0.45">
      <c r="A1637" t="s">
        <v>90</v>
      </c>
      <c r="B1637" t="s">
        <v>91</v>
      </c>
      <c r="C1637" t="s">
        <v>43</v>
      </c>
      <c r="D1637" t="s">
        <v>20</v>
      </c>
      <c r="E1637" t="s">
        <v>21</v>
      </c>
      <c r="F1637" s="1">
        <v>44287</v>
      </c>
      <c r="G1637">
        <v>5.69</v>
      </c>
      <c r="H1637">
        <v>84.911199999999994</v>
      </c>
      <c r="I1637">
        <v>25.52</v>
      </c>
      <c r="J1637">
        <v>92.13</v>
      </c>
      <c r="K1637" t="s">
        <v>32</v>
      </c>
      <c r="L1637">
        <v>2288.92</v>
      </c>
      <c r="M1637">
        <f>VLOOKUP(K1637,RatingLookup!$A$2:$C$8,2,FALSE)</f>
        <v>0.12</v>
      </c>
      <c r="N1637">
        <f t="shared" si="75"/>
        <v>1.0596241035318976E-2</v>
      </c>
      <c r="O1637">
        <f>VLOOKUP(K1637,RatingLookup!$A$2:$C$8,3,FALSE)</f>
        <v>0.7</v>
      </c>
      <c r="P1637">
        <f t="shared" si="76"/>
        <v>16.977763621393617</v>
      </c>
      <c r="Q1637" t="str">
        <f t="shared" ca="1" si="77"/>
        <v>No</v>
      </c>
    </row>
    <row r="1638" spans="1:17" x14ac:dyDescent="0.45">
      <c r="A1638" t="s">
        <v>90</v>
      </c>
      <c r="B1638" t="s">
        <v>91</v>
      </c>
      <c r="C1638" t="s">
        <v>43</v>
      </c>
      <c r="D1638" t="s">
        <v>20</v>
      </c>
      <c r="E1638" t="s">
        <v>21</v>
      </c>
      <c r="F1638" s="1">
        <v>44317</v>
      </c>
      <c r="G1638">
        <v>4.97</v>
      </c>
      <c r="H1638">
        <v>81.411900000000003</v>
      </c>
      <c r="I1638">
        <v>19.489999999999998</v>
      </c>
      <c r="J1638">
        <v>74.3</v>
      </c>
      <c r="K1638" t="s">
        <v>32</v>
      </c>
      <c r="L1638">
        <v>2409</v>
      </c>
      <c r="M1638">
        <f>VLOOKUP(K1638,RatingLookup!$A$2:$C$8,2,FALSE)</f>
        <v>0.12</v>
      </c>
      <c r="N1638">
        <f t="shared" si="75"/>
        <v>1.0596241035318976E-2</v>
      </c>
      <c r="O1638">
        <f>VLOOKUP(K1638,RatingLookup!$A$2:$C$8,3,FALSE)</f>
        <v>0.7</v>
      </c>
      <c r="P1638">
        <f t="shared" si="76"/>
        <v>17.86844125785839</v>
      </c>
      <c r="Q1638" t="str">
        <f t="shared" ca="1" si="77"/>
        <v>No</v>
      </c>
    </row>
    <row r="1639" spans="1:17" x14ac:dyDescent="0.45">
      <c r="A1639" t="s">
        <v>90</v>
      </c>
      <c r="B1639" t="s">
        <v>91</v>
      </c>
      <c r="C1639" t="s">
        <v>43</v>
      </c>
      <c r="D1639" t="s">
        <v>20</v>
      </c>
      <c r="E1639" t="s">
        <v>21</v>
      </c>
      <c r="F1639" s="1">
        <v>44348</v>
      </c>
      <c r="G1639">
        <v>4.8099999999999996</v>
      </c>
      <c r="H1639">
        <v>82.245599999999996</v>
      </c>
      <c r="I1639">
        <v>19.14</v>
      </c>
      <c r="J1639">
        <v>92.85</v>
      </c>
      <c r="K1639" t="s">
        <v>32</v>
      </c>
      <c r="L1639">
        <v>2367.83</v>
      </c>
      <c r="M1639">
        <f>VLOOKUP(K1639,RatingLookup!$A$2:$C$8,2,FALSE)</f>
        <v>0.12</v>
      </c>
      <c r="N1639">
        <f t="shared" si="75"/>
        <v>1.0596241035318976E-2</v>
      </c>
      <c r="O1639">
        <f>VLOOKUP(K1639,RatingLookup!$A$2:$C$8,3,FALSE)</f>
        <v>0.7</v>
      </c>
      <c r="P1639">
        <f t="shared" si="76"/>
        <v>17.563068187461532</v>
      </c>
      <c r="Q1639" t="str">
        <f t="shared" ca="1" si="77"/>
        <v>No</v>
      </c>
    </row>
    <row r="1640" spans="1:17" x14ac:dyDescent="0.45">
      <c r="A1640" t="s">
        <v>90</v>
      </c>
      <c r="B1640" t="s">
        <v>91</v>
      </c>
      <c r="C1640" t="s">
        <v>43</v>
      </c>
      <c r="D1640" t="s">
        <v>20</v>
      </c>
      <c r="E1640" t="s">
        <v>21</v>
      </c>
      <c r="F1640" s="1">
        <v>44378</v>
      </c>
      <c r="G1640">
        <v>3.6</v>
      </c>
      <c r="H1640">
        <v>81.566599999999994</v>
      </c>
      <c r="I1640">
        <v>15.28</v>
      </c>
      <c r="J1640">
        <v>79.41</v>
      </c>
      <c r="K1640" t="s">
        <v>32</v>
      </c>
      <c r="L1640">
        <v>2552.85</v>
      </c>
      <c r="M1640">
        <f>VLOOKUP(K1640,RatingLookup!$A$2:$C$8,2,FALSE)</f>
        <v>0.12</v>
      </c>
      <c r="N1640">
        <f t="shared" si="75"/>
        <v>1.0596241035318976E-2</v>
      </c>
      <c r="O1640">
        <f>VLOOKUP(K1640,RatingLookup!$A$2:$C$8,3,FALSE)</f>
        <v>0.7</v>
      </c>
      <c r="P1640">
        <f t="shared" si="76"/>
        <v>18.935429748909833</v>
      </c>
      <c r="Q1640" t="str">
        <f t="shared" ca="1" si="77"/>
        <v>No</v>
      </c>
    </row>
    <row r="1641" spans="1:17" x14ac:dyDescent="0.45">
      <c r="A1641" t="s">
        <v>90</v>
      </c>
      <c r="B1641" t="s">
        <v>91</v>
      </c>
      <c r="C1641" t="s">
        <v>43</v>
      </c>
      <c r="D1641" t="s">
        <v>20</v>
      </c>
      <c r="E1641" t="s">
        <v>21</v>
      </c>
      <c r="F1641" s="1">
        <v>44409</v>
      </c>
      <c r="G1641">
        <v>6.43</v>
      </c>
      <c r="H1641">
        <v>81.094499999999996</v>
      </c>
      <c r="I1641">
        <v>15.95</v>
      </c>
      <c r="J1641">
        <v>80.569999999999993</v>
      </c>
      <c r="K1641" t="s">
        <v>32</v>
      </c>
      <c r="L1641">
        <v>2404.1799999999998</v>
      </c>
      <c r="M1641">
        <f>VLOOKUP(K1641,RatingLookup!$A$2:$C$8,2,FALSE)</f>
        <v>0.12</v>
      </c>
      <c r="N1641">
        <f t="shared" si="75"/>
        <v>1.0596241035318976E-2</v>
      </c>
      <c r="O1641">
        <f>VLOOKUP(K1641,RatingLookup!$A$2:$C$8,3,FALSE)</f>
        <v>0.7</v>
      </c>
      <c r="P1641">
        <f t="shared" si="76"/>
        <v>17.832689540605223</v>
      </c>
      <c r="Q1641" t="str">
        <f t="shared" ca="1" si="77"/>
        <v>No</v>
      </c>
    </row>
    <row r="1642" spans="1:17" x14ac:dyDescent="0.45">
      <c r="A1642" t="s">
        <v>90</v>
      </c>
      <c r="B1642" t="s">
        <v>91</v>
      </c>
      <c r="C1642" t="s">
        <v>43</v>
      </c>
      <c r="D1642" t="s">
        <v>20</v>
      </c>
      <c r="E1642" t="s">
        <v>21</v>
      </c>
      <c r="F1642" s="1">
        <v>44440</v>
      </c>
      <c r="G1642">
        <v>4.9800000000000004</v>
      </c>
      <c r="H1642">
        <v>80.136600000000001</v>
      </c>
      <c r="I1642">
        <v>28.13</v>
      </c>
      <c r="J1642">
        <v>69.3</v>
      </c>
      <c r="K1642" t="s">
        <v>32</v>
      </c>
      <c r="L1642">
        <v>2403.4299999999998</v>
      </c>
      <c r="M1642">
        <f>VLOOKUP(K1642,RatingLookup!$A$2:$C$8,2,FALSE)</f>
        <v>0.12</v>
      </c>
      <c r="N1642">
        <f t="shared" si="75"/>
        <v>1.0596241035318976E-2</v>
      </c>
      <c r="O1642">
        <f>VLOOKUP(K1642,RatingLookup!$A$2:$C$8,3,FALSE)</f>
        <v>0.7</v>
      </c>
      <c r="P1642">
        <f t="shared" si="76"/>
        <v>17.827126514061678</v>
      </c>
      <c r="Q1642" t="str">
        <f t="shared" ca="1" si="77"/>
        <v>No</v>
      </c>
    </row>
    <row r="1643" spans="1:17" x14ac:dyDescent="0.45">
      <c r="A1643" t="s">
        <v>90</v>
      </c>
      <c r="B1643" t="s">
        <v>91</v>
      </c>
      <c r="C1643" t="s">
        <v>43</v>
      </c>
      <c r="D1643" t="s">
        <v>20</v>
      </c>
      <c r="E1643" t="s">
        <v>21</v>
      </c>
      <c r="F1643" s="1">
        <v>44470</v>
      </c>
      <c r="G1643">
        <v>6.08</v>
      </c>
      <c r="H1643">
        <v>84.8827</v>
      </c>
      <c r="I1643">
        <v>20.55</v>
      </c>
      <c r="J1643">
        <v>55.25</v>
      </c>
      <c r="K1643" t="s">
        <v>32</v>
      </c>
      <c r="L1643">
        <v>2548.92</v>
      </c>
      <c r="M1643">
        <f>VLOOKUP(K1643,RatingLookup!$A$2:$C$8,2,FALSE)</f>
        <v>0.12</v>
      </c>
      <c r="N1643">
        <f t="shared" si="75"/>
        <v>1.0596241035318976E-2</v>
      </c>
      <c r="O1643">
        <f>VLOOKUP(K1643,RatingLookup!$A$2:$C$8,3,FALSE)</f>
        <v>0.7</v>
      </c>
      <c r="P1643">
        <f t="shared" si="76"/>
        <v>18.906279489821671</v>
      </c>
      <c r="Q1643" t="str">
        <f t="shared" ca="1" si="77"/>
        <v>No</v>
      </c>
    </row>
    <row r="1644" spans="1:17" x14ac:dyDescent="0.45">
      <c r="A1644" t="s">
        <v>90</v>
      </c>
      <c r="B1644" t="s">
        <v>91</v>
      </c>
      <c r="C1644" t="s">
        <v>43</v>
      </c>
      <c r="D1644" t="s">
        <v>20</v>
      </c>
      <c r="E1644" t="s">
        <v>21</v>
      </c>
      <c r="F1644" s="1">
        <v>44501</v>
      </c>
      <c r="G1644">
        <v>6.02</v>
      </c>
      <c r="H1644">
        <v>83.286299999999997</v>
      </c>
      <c r="I1644">
        <v>28.25</v>
      </c>
      <c r="J1644">
        <v>85.7</v>
      </c>
      <c r="K1644" t="s">
        <v>32</v>
      </c>
      <c r="L1644">
        <v>2532.6799999999998</v>
      </c>
      <c r="M1644">
        <f>VLOOKUP(K1644,RatingLookup!$A$2:$C$8,2,FALSE)</f>
        <v>0.12</v>
      </c>
      <c r="N1644">
        <f t="shared" si="75"/>
        <v>1.0596241035318976E-2</v>
      </c>
      <c r="O1644">
        <f>VLOOKUP(K1644,RatingLookup!$A$2:$C$8,3,FALSE)</f>
        <v>0.7</v>
      </c>
      <c r="P1644">
        <f t="shared" si="76"/>
        <v>18.785821421732162</v>
      </c>
      <c r="Q1644" t="str">
        <f t="shared" ca="1" si="77"/>
        <v>No</v>
      </c>
    </row>
    <row r="1645" spans="1:17" x14ac:dyDescent="0.45">
      <c r="A1645" t="s">
        <v>90</v>
      </c>
      <c r="B1645" t="s">
        <v>91</v>
      </c>
      <c r="C1645" t="s">
        <v>43</v>
      </c>
      <c r="D1645" t="s">
        <v>20</v>
      </c>
      <c r="E1645" t="s">
        <v>21</v>
      </c>
      <c r="F1645" s="1">
        <v>44531</v>
      </c>
      <c r="G1645">
        <v>6.12</v>
      </c>
      <c r="H1645">
        <v>78.281300000000002</v>
      </c>
      <c r="I1645">
        <v>23.57</v>
      </c>
      <c r="J1645">
        <v>89.62</v>
      </c>
      <c r="K1645" t="s">
        <v>32</v>
      </c>
      <c r="L1645">
        <v>2309.6999999999998</v>
      </c>
      <c r="M1645">
        <f>VLOOKUP(K1645,RatingLookup!$A$2:$C$8,2,FALSE)</f>
        <v>0.12</v>
      </c>
      <c r="N1645">
        <f t="shared" si="75"/>
        <v>1.0596241035318976E-2</v>
      </c>
      <c r="O1645">
        <f>VLOOKUP(K1645,RatingLookup!$A$2:$C$8,3,FALSE)</f>
        <v>0.7</v>
      </c>
      <c r="P1645">
        <f t="shared" si="76"/>
        <v>17.131896543493365</v>
      </c>
      <c r="Q1645" t="str">
        <f t="shared" ca="1" si="77"/>
        <v>No</v>
      </c>
    </row>
    <row r="1646" spans="1:17" x14ac:dyDescent="0.45">
      <c r="A1646" t="s">
        <v>90</v>
      </c>
      <c r="B1646" t="s">
        <v>91</v>
      </c>
      <c r="C1646" t="s">
        <v>43</v>
      </c>
      <c r="D1646" t="s">
        <v>20</v>
      </c>
      <c r="E1646" t="s">
        <v>21</v>
      </c>
      <c r="F1646" s="1">
        <v>44562</v>
      </c>
      <c r="G1646">
        <v>4.63</v>
      </c>
      <c r="H1646">
        <v>82.0578</v>
      </c>
      <c r="I1646">
        <v>16.350000000000001</v>
      </c>
      <c r="J1646">
        <v>75.16</v>
      </c>
      <c r="K1646" t="s">
        <v>32</v>
      </c>
      <c r="L1646">
        <v>2627.65</v>
      </c>
      <c r="M1646">
        <f>VLOOKUP(K1646,RatingLookup!$A$2:$C$8,2,FALSE)</f>
        <v>0.12</v>
      </c>
      <c r="N1646">
        <f t="shared" si="75"/>
        <v>1.0596241035318976E-2</v>
      </c>
      <c r="O1646">
        <f>VLOOKUP(K1646,RatingLookup!$A$2:$C$8,3,FALSE)</f>
        <v>0.7</v>
      </c>
      <c r="P1646">
        <f t="shared" si="76"/>
        <v>19.490248929519137</v>
      </c>
      <c r="Q1646" t="str">
        <f t="shared" ca="1" si="77"/>
        <v>No</v>
      </c>
    </row>
    <row r="1647" spans="1:17" x14ac:dyDescent="0.45">
      <c r="A1647" t="s">
        <v>90</v>
      </c>
      <c r="B1647" t="s">
        <v>91</v>
      </c>
      <c r="C1647" t="s">
        <v>43</v>
      </c>
      <c r="D1647" t="s">
        <v>20</v>
      </c>
      <c r="E1647" t="s">
        <v>21</v>
      </c>
      <c r="F1647" s="1">
        <v>44593</v>
      </c>
      <c r="G1647">
        <v>5.12</v>
      </c>
      <c r="H1647">
        <v>84.850899999999996</v>
      </c>
      <c r="I1647">
        <v>17.420000000000002</v>
      </c>
      <c r="J1647">
        <v>89.28</v>
      </c>
      <c r="K1647" t="s">
        <v>32</v>
      </c>
      <c r="L1647">
        <v>2113.84</v>
      </c>
      <c r="M1647">
        <f>VLOOKUP(K1647,RatingLookup!$A$2:$C$8,2,FALSE)</f>
        <v>0.12</v>
      </c>
      <c r="N1647">
        <f t="shared" si="75"/>
        <v>1.0596241035318976E-2</v>
      </c>
      <c r="O1647">
        <f>VLOOKUP(K1647,RatingLookup!$A$2:$C$8,3,FALSE)</f>
        <v>0.7</v>
      </c>
      <c r="P1647">
        <f t="shared" si="76"/>
        <v>15.679130705069065</v>
      </c>
      <c r="Q1647" t="str">
        <f t="shared" ca="1" si="77"/>
        <v>No</v>
      </c>
    </row>
    <row r="1648" spans="1:17" x14ac:dyDescent="0.45">
      <c r="A1648" t="s">
        <v>90</v>
      </c>
      <c r="B1648" t="s">
        <v>91</v>
      </c>
      <c r="C1648" t="s">
        <v>43</v>
      </c>
      <c r="D1648" t="s">
        <v>20</v>
      </c>
      <c r="E1648" t="s">
        <v>21</v>
      </c>
      <c r="F1648" s="1">
        <v>44621</v>
      </c>
      <c r="G1648">
        <v>6.05</v>
      </c>
      <c r="H1648">
        <v>80.915000000000006</v>
      </c>
      <c r="I1648">
        <v>23.24</v>
      </c>
      <c r="J1648">
        <v>72.33</v>
      </c>
      <c r="K1648" t="s">
        <v>32</v>
      </c>
      <c r="L1648">
        <v>2400.1799999999998</v>
      </c>
      <c r="M1648">
        <f>VLOOKUP(K1648,RatingLookup!$A$2:$C$8,2,FALSE)</f>
        <v>0.12</v>
      </c>
      <c r="N1648">
        <f t="shared" si="75"/>
        <v>1.0596241035318976E-2</v>
      </c>
      <c r="O1648">
        <f>VLOOKUP(K1648,RatingLookup!$A$2:$C$8,3,FALSE)</f>
        <v>0.7</v>
      </c>
      <c r="P1648">
        <f t="shared" si="76"/>
        <v>17.803020065706328</v>
      </c>
      <c r="Q1648" t="str">
        <f t="shared" ca="1" si="77"/>
        <v>No</v>
      </c>
    </row>
    <row r="1649" spans="1:17" x14ac:dyDescent="0.45">
      <c r="A1649" t="s">
        <v>90</v>
      </c>
      <c r="B1649" t="s">
        <v>91</v>
      </c>
      <c r="C1649" t="s">
        <v>43</v>
      </c>
      <c r="D1649" t="s">
        <v>20</v>
      </c>
      <c r="E1649" t="s">
        <v>21</v>
      </c>
      <c r="F1649" s="1">
        <v>44652</v>
      </c>
      <c r="G1649">
        <v>6.05</v>
      </c>
      <c r="H1649">
        <v>83.377300000000005</v>
      </c>
      <c r="I1649">
        <v>16.54</v>
      </c>
      <c r="J1649">
        <v>71.02</v>
      </c>
      <c r="K1649" t="s">
        <v>32</v>
      </c>
      <c r="L1649">
        <v>2149.66</v>
      </c>
      <c r="M1649">
        <f>VLOOKUP(K1649,RatingLookup!$A$2:$C$8,2,FALSE)</f>
        <v>0.12</v>
      </c>
      <c r="N1649">
        <f t="shared" si="75"/>
        <v>1.0596241035318976E-2</v>
      </c>
      <c r="O1649">
        <f>VLOOKUP(K1649,RatingLookup!$A$2:$C$8,3,FALSE)</f>
        <v>0.7</v>
      </c>
      <c r="P1649">
        <f t="shared" si="76"/>
        <v>15.94482085278865</v>
      </c>
      <c r="Q1649" t="str">
        <f t="shared" ca="1" si="77"/>
        <v>No</v>
      </c>
    </row>
    <row r="1650" spans="1:17" x14ac:dyDescent="0.45">
      <c r="A1650" t="s">
        <v>90</v>
      </c>
      <c r="B1650" t="s">
        <v>91</v>
      </c>
      <c r="C1650" t="s">
        <v>43</v>
      </c>
      <c r="D1650" t="s">
        <v>20</v>
      </c>
      <c r="E1650" t="s">
        <v>21</v>
      </c>
      <c r="F1650" s="1">
        <v>44682</v>
      </c>
      <c r="G1650">
        <v>5.88</v>
      </c>
      <c r="H1650">
        <v>83.905000000000001</v>
      </c>
      <c r="I1650">
        <v>24.98</v>
      </c>
      <c r="J1650">
        <v>88.87</v>
      </c>
      <c r="K1650" t="s">
        <v>32</v>
      </c>
      <c r="L1650">
        <v>2794.4</v>
      </c>
      <c r="M1650">
        <f>VLOOKUP(K1650,RatingLookup!$A$2:$C$8,2,FALSE)</f>
        <v>0.12</v>
      </c>
      <c r="N1650">
        <f t="shared" si="75"/>
        <v>1.0596241035318976E-2</v>
      </c>
      <c r="O1650">
        <f>VLOOKUP(K1650,RatingLookup!$A$2:$C$8,3,FALSE)</f>
        <v>0.7</v>
      </c>
      <c r="P1650">
        <f t="shared" si="76"/>
        <v>20.727095164366741</v>
      </c>
      <c r="Q1650" t="str">
        <f t="shared" ca="1" si="77"/>
        <v>No</v>
      </c>
    </row>
    <row r="1651" spans="1:17" x14ac:dyDescent="0.45">
      <c r="A1651" t="s">
        <v>90</v>
      </c>
      <c r="B1651" t="s">
        <v>91</v>
      </c>
      <c r="C1651" t="s">
        <v>43</v>
      </c>
      <c r="D1651" t="s">
        <v>20</v>
      </c>
      <c r="E1651" t="s">
        <v>21</v>
      </c>
      <c r="F1651" s="1">
        <v>44713</v>
      </c>
      <c r="G1651">
        <v>5.81</v>
      </c>
      <c r="H1651">
        <v>86.594800000000006</v>
      </c>
      <c r="I1651">
        <v>21.43</v>
      </c>
      <c r="J1651">
        <v>56.66</v>
      </c>
      <c r="K1651" t="s">
        <v>32</v>
      </c>
      <c r="L1651">
        <v>2452.4899999999998</v>
      </c>
      <c r="M1651">
        <f>VLOOKUP(K1651,RatingLookup!$A$2:$C$8,2,FALSE)</f>
        <v>0.12</v>
      </c>
      <c r="N1651">
        <f t="shared" si="75"/>
        <v>1.0596241035318976E-2</v>
      </c>
      <c r="O1651">
        <f>VLOOKUP(K1651,RatingLookup!$A$2:$C$8,3,FALSE)</f>
        <v>0.7</v>
      </c>
      <c r="P1651">
        <f t="shared" si="76"/>
        <v>18.191022623696604</v>
      </c>
      <c r="Q1651" t="str">
        <f t="shared" ca="1" si="77"/>
        <v>No</v>
      </c>
    </row>
    <row r="1652" spans="1:17" x14ac:dyDescent="0.45">
      <c r="A1652" t="s">
        <v>90</v>
      </c>
      <c r="B1652" t="s">
        <v>91</v>
      </c>
      <c r="C1652" t="s">
        <v>43</v>
      </c>
      <c r="D1652" t="s">
        <v>20</v>
      </c>
      <c r="E1652" t="s">
        <v>21</v>
      </c>
      <c r="F1652" s="1">
        <v>44743</v>
      </c>
      <c r="G1652">
        <v>5.12</v>
      </c>
      <c r="H1652">
        <v>79.295199999999994</v>
      </c>
      <c r="I1652">
        <v>19.72</v>
      </c>
      <c r="J1652">
        <v>62.74</v>
      </c>
      <c r="K1652" t="s">
        <v>32</v>
      </c>
      <c r="L1652">
        <v>2509.25</v>
      </c>
      <c r="M1652">
        <f>VLOOKUP(K1652,RatingLookup!$A$2:$C$8,2,FALSE)</f>
        <v>0.12</v>
      </c>
      <c r="N1652">
        <f t="shared" si="75"/>
        <v>1.0596241035318976E-2</v>
      </c>
      <c r="O1652">
        <f>VLOOKUP(K1652,RatingLookup!$A$2:$C$8,3,FALSE)</f>
        <v>0.7</v>
      </c>
      <c r="P1652">
        <f t="shared" si="76"/>
        <v>18.612032472511899</v>
      </c>
      <c r="Q1652" t="str">
        <f t="shared" ca="1" si="77"/>
        <v>No</v>
      </c>
    </row>
    <row r="1653" spans="1:17" x14ac:dyDescent="0.45">
      <c r="A1653" t="s">
        <v>90</v>
      </c>
      <c r="B1653" t="s">
        <v>91</v>
      </c>
      <c r="C1653" t="s">
        <v>43</v>
      </c>
      <c r="D1653" t="s">
        <v>20</v>
      </c>
      <c r="E1653" t="s">
        <v>21</v>
      </c>
      <c r="F1653" s="1">
        <v>44774</v>
      </c>
      <c r="G1653">
        <v>5.94</v>
      </c>
      <c r="H1653">
        <v>82.159800000000004</v>
      </c>
      <c r="I1653">
        <v>12.55</v>
      </c>
      <c r="J1653">
        <v>77.33</v>
      </c>
      <c r="K1653" t="s">
        <v>32</v>
      </c>
      <c r="L1653">
        <v>2067</v>
      </c>
      <c r="M1653">
        <f>VLOOKUP(K1653,RatingLookup!$A$2:$C$8,2,FALSE)</f>
        <v>0.12</v>
      </c>
      <c r="N1653">
        <f t="shared" si="75"/>
        <v>1.0596241035318976E-2</v>
      </c>
      <c r="O1653">
        <f>VLOOKUP(K1653,RatingLookup!$A$2:$C$8,3,FALSE)</f>
        <v>0.7</v>
      </c>
      <c r="P1653">
        <f t="shared" si="76"/>
        <v>15.331701154003024</v>
      </c>
      <c r="Q1653" t="str">
        <f t="shared" ca="1" si="77"/>
        <v>No</v>
      </c>
    </row>
    <row r="1654" spans="1:17" x14ac:dyDescent="0.45">
      <c r="A1654" t="s">
        <v>90</v>
      </c>
      <c r="B1654" t="s">
        <v>91</v>
      </c>
      <c r="C1654" t="s">
        <v>43</v>
      </c>
      <c r="D1654" t="s">
        <v>20</v>
      </c>
      <c r="E1654" t="s">
        <v>21</v>
      </c>
      <c r="F1654" s="1">
        <v>44805</v>
      </c>
      <c r="G1654">
        <v>6.01</v>
      </c>
      <c r="H1654">
        <v>83.389499999999998</v>
      </c>
      <c r="I1654">
        <v>24.5</v>
      </c>
      <c r="J1654">
        <v>83.67</v>
      </c>
      <c r="K1654" t="s">
        <v>32</v>
      </c>
      <c r="L1654">
        <v>2508.38</v>
      </c>
      <c r="M1654">
        <f>VLOOKUP(K1654,RatingLookup!$A$2:$C$8,2,FALSE)</f>
        <v>0.12</v>
      </c>
      <c r="N1654">
        <f t="shared" si="75"/>
        <v>1.0596241035318976E-2</v>
      </c>
      <c r="O1654">
        <f>VLOOKUP(K1654,RatingLookup!$A$2:$C$8,3,FALSE)</f>
        <v>0.7</v>
      </c>
      <c r="P1654">
        <f t="shared" si="76"/>
        <v>18.605579361721389</v>
      </c>
      <c r="Q1654" t="str">
        <f t="shared" ca="1" si="77"/>
        <v>No</v>
      </c>
    </row>
    <row r="1655" spans="1:17" x14ac:dyDescent="0.45">
      <c r="A1655" t="s">
        <v>90</v>
      </c>
      <c r="B1655" t="s">
        <v>91</v>
      </c>
      <c r="C1655" t="s">
        <v>43</v>
      </c>
      <c r="D1655" t="s">
        <v>20</v>
      </c>
      <c r="E1655" t="s">
        <v>21</v>
      </c>
      <c r="F1655" s="1">
        <v>44835</v>
      </c>
      <c r="G1655">
        <v>7.07</v>
      </c>
      <c r="H1655">
        <v>83.71</v>
      </c>
      <c r="I1655">
        <v>19.760000000000002</v>
      </c>
      <c r="J1655">
        <v>90.17</v>
      </c>
      <c r="K1655" t="s">
        <v>32</v>
      </c>
      <c r="L1655">
        <v>2325.4</v>
      </c>
      <c r="M1655">
        <f>VLOOKUP(K1655,RatingLookup!$A$2:$C$8,2,FALSE)</f>
        <v>0.12</v>
      </c>
      <c r="N1655">
        <f t="shared" si="75"/>
        <v>1.0596241035318976E-2</v>
      </c>
      <c r="O1655">
        <f>VLOOKUP(K1655,RatingLookup!$A$2:$C$8,3,FALSE)</f>
        <v>0.7</v>
      </c>
      <c r="P1655">
        <f t="shared" si="76"/>
        <v>17.248349232471522</v>
      </c>
      <c r="Q1655" t="str">
        <f t="shared" ca="1" si="77"/>
        <v>No</v>
      </c>
    </row>
    <row r="1656" spans="1:17" x14ac:dyDescent="0.45">
      <c r="A1656" t="s">
        <v>90</v>
      </c>
      <c r="B1656" t="s">
        <v>91</v>
      </c>
      <c r="C1656" t="s">
        <v>43</v>
      </c>
      <c r="D1656" t="s">
        <v>20</v>
      </c>
      <c r="E1656" t="s">
        <v>21</v>
      </c>
      <c r="F1656" s="1">
        <v>44866</v>
      </c>
      <c r="G1656">
        <v>5.54</v>
      </c>
      <c r="H1656">
        <v>82.849800000000002</v>
      </c>
      <c r="I1656">
        <v>24.08</v>
      </c>
      <c r="J1656">
        <v>61.44</v>
      </c>
      <c r="K1656" t="s">
        <v>32</v>
      </c>
      <c r="L1656">
        <v>2633.91</v>
      </c>
      <c r="M1656">
        <f>VLOOKUP(K1656,RatingLookup!$A$2:$C$8,2,FALSE)</f>
        <v>0.12</v>
      </c>
      <c r="N1656">
        <f t="shared" si="75"/>
        <v>1.0596241035318976E-2</v>
      </c>
      <c r="O1656">
        <f>VLOOKUP(K1656,RatingLookup!$A$2:$C$8,3,FALSE)</f>
        <v>0.7</v>
      </c>
      <c r="P1656">
        <f t="shared" si="76"/>
        <v>19.536681657735901</v>
      </c>
      <c r="Q1656" t="str">
        <f t="shared" ca="1" si="77"/>
        <v>No</v>
      </c>
    </row>
    <row r="1657" spans="1:17" x14ac:dyDescent="0.45">
      <c r="A1657" t="s">
        <v>90</v>
      </c>
      <c r="B1657" t="s">
        <v>91</v>
      </c>
      <c r="C1657" t="s">
        <v>43</v>
      </c>
      <c r="D1657" t="s">
        <v>20</v>
      </c>
      <c r="E1657" t="s">
        <v>21</v>
      </c>
      <c r="F1657" s="1">
        <v>44896</v>
      </c>
      <c r="G1657">
        <v>5.79</v>
      </c>
      <c r="H1657">
        <v>82.958799999999997</v>
      </c>
      <c r="I1657">
        <v>19.48</v>
      </c>
      <c r="J1657">
        <v>76.349999999999994</v>
      </c>
      <c r="K1657" t="s">
        <v>32</v>
      </c>
      <c r="L1657">
        <v>2559.14</v>
      </c>
      <c r="M1657">
        <f>VLOOKUP(K1657,RatingLookup!$A$2:$C$8,2,FALSE)</f>
        <v>0.12</v>
      </c>
      <c r="N1657">
        <f t="shared" si="75"/>
        <v>1.0596241035318976E-2</v>
      </c>
      <c r="O1657">
        <f>VLOOKUP(K1657,RatingLookup!$A$2:$C$8,3,FALSE)</f>
        <v>0.7</v>
      </c>
      <c r="P1657">
        <f t="shared" si="76"/>
        <v>18.982084998188341</v>
      </c>
      <c r="Q1657" t="str">
        <f t="shared" ca="1" si="77"/>
        <v>No</v>
      </c>
    </row>
    <row r="1658" spans="1:17" x14ac:dyDescent="0.45">
      <c r="A1658" t="s">
        <v>90</v>
      </c>
      <c r="B1658" t="s">
        <v>91</v>
      </c>
      <c r="C1658" t="s">
        <v>43</v>
      </c>
      <c r="D1658" t="s">
        <v>20</v>
      </c>
      <c r="E1658" t="s">
        <v>21</v>
      </c>
      <c r="F1658" s="1">
        <v>44927</v>
      </c>
      <c r="G1658">
        <v>6.1</v>
      </c>
      <c r="H1658">
        <v>85.677400000000006</v>
      </c>
      <c r="I1658">
        <v>28.36</v>
      </c>
      <c r="J1658">
        <v>84.94</v>
      </c>
      <c r="K1658" t="s">
        <v>32</v>
      </c>
      <c r="L1658">
        <v>2517.06</v>
      </c>
      <c r="M1658">
        <f>VLOOKUP(K1658,RatingLookup!$A$2:$C$8,2,FALSE)</f>
        <v>0.12</v>
      </c>
      <c r="N1658">
        <f t="shared" si="75"/>
        <v>1.0596241035318976E-2</v>
      </c>
      <c r="O1658">
        <f>VLOOKUP(K1658,RatingLookup!$A$2:$C$8,3,FALSE)</f>
        <v>0.7</v>
      </c>
      <c r="P1658">
        <f t="shared" si="76"/>
        <v>18.669962122251984</v>
      </c>
      <c r="Q1658" t="str">
        <f t="shared" ca="1" si="77"/>
        <v>No</v>
      </c>
    </row>
    <row r="1659" spans="1:17" x14ac:dyDescent="0.45">
      <c r="A1659" t="s">
        <v>90</v>
      </c>
      <c r="B1659" t="s">
        <v>91</v>
      </c>
      <c r="C1659" t="s">
        <v>43</v>
      </c>
      <c r="D1659" t="s">
        <v>20</v>
      </c>
      <c r="E1659" t="s">
        <v>21</v>
      </c>
      <c r="F1659" s="1">
        <v>44958</v>
      </c>
      <c r="G1659">
        <v>5.34</v>
      </c>
      <c r="H1659">
        <v>84.066199999999995</v>
      </c>
      <c r="I1659">
        <v>9.4</v>
      </c>
      <c r="J1659">
        <v>74.819999999999993</v>
      </c>
      <c r="K1659" t="s">
        <v>32</v>
      </c>
      <c r="L1659">
        <v>2370.2199999999998</v>
      </c>
      <c r="M1659">
        <f>VLOOKUP(K1659,RatingLookup!$A$2:$C$8,2,FALSE)</f>
        <v>0.12</v>
      </c>
      <c r="N1659">
        <f t="shared" si="75"/>
        <v>1.0596241035318976E-2</v>
      </c>
      <c r="O1659">
        <f>VLOOKUP(K1659,RatingLookup!$A$2:$C$8,3,FALSE)</f>
        <v>0.7</v>
      </c>
      <c r="P1659">
        <f t="shared" si="76"/>
        <v>17.580795698713619</v>
      </c>
      <c r="Q1659" t="str">
        <f t="shared" ca="1" si="77"/>
        <v>No</v>
      </c>
    </row>
    <row r="1660" spans="1:17" x14ac:dyDescent="0.45">
      <c r="A1660" t="s">
        <v>90</v>
      </c>
      <c r="B1660" t="s">
        <v>91</v>
      </c>
      <c r="C1660" t="s">
        <v>43</v>
      </c>
      <c r="D1660" t="s">
        <v>20</v>
      </c>
      <c r="E1660" t="s">
        <v>21</v>
      </c>
      <c r="F1660" s="1">
        <v>44986</v>
      </c>
      <c r="G1660">
        <v>5.82</v>
      </c>
      <c r="H1660">
        <v>88.761799999999994</v>
      </c>
      <c r="I1660">
        <v>23.92</v>
      </c>
      <c r="J1660">
        <v>70.7</v>
      </c>
      <c r="K1660" t="s">
        <v>32</v>
      </c>
      <c r="L1660">
        <v>2318.1</v>
      </c>
      <c r="M1660">
        <f>VLOOKUP(K1660,RatingLookup!$A$2:$C$8,2,FALSE)</f>
        <v>0.12</v>
      </c>
      <c r="N1660">
        <f t="shared" si="75"/>
        <v>1.0596241035318976E-2</v>
      </c>
      <c r="O1660">
        <f>VLOOKUP(K1660,RatingLookup!$A$2:$C$8,3,FALSE)</f>
        <v>0.7</v>
      </c>
      <c r="P1660">
        <f t="shared" si="76"/>
        <v>17.194202440781041</v>
      </c>
      <c r="Q1660" t="str">
        <f t="shared" ca="1" si="77"/>
        <v>No</v>
      </c>
    </row>
    <row r="1661" spans="1:17" x14ac:dyDescent="0.45">
      <c r="A1661" t="s">
        <v>90</v>
      </c>
      <c r="B1661" t="s">
        <v>91</v>
      </c>
      <c r="C1661" t="s">
        <v>43</v>
      </c>
      <c r="D1661" t="s">
        <v>20</v>
      </c>
      <c r="E1661" t="s">
        <v>21</v>
      </c>
      <c r="F1661" s="1">
        <v>45017</v>
      </c>
      <c r="G1661">
        <v>6.33</v>
      </c>
      <c r="H1661">
        <v>83.813100000000006</v>
      </c>
      <c r="I1661">
        <v>16.239999999999998</v>
      </c>
      <c r="J1661">
        <v>72.09</v>
      </c>
      <c r="K1661" t="s">
        <v>31</v>
      </c>
      <c r="L1661">
        <v>2340.54</v>
      </c>
      <c r="M1661">
        <f>VLOOKUP(K1661,RatingLookup!$A$2:$C$8,2,FALSE)</f>
        <v>0.04</v>
      </c>
      <c r="N1661">
        <f t="shared" si="75"/>
        <v>3.3960531989175591E-3</v>
      </c>
      <c r="O1661">
        <f>VLOOKUP(K1661,RatingLookup!$A$2:$C$8,3,FALSE)</f>
        <v>0.6</v>
      </c>
      <c r="P1661">
        <f t="shared" si="76"/>
        <v>4.7691590125167016</v>
      </c>
      <c r="Q1661" t="str">
        <f t="shared" ca="1" si="77"/>
        <v>No</v>
      </c>
    </row>
    <row r="1662" spans="1:17" x14ac:dyDescent="0.45">
      <c r="A1662" t="s">
        <v>90</v>
      </c>
      <c r="B1662" t="s">
        <v>91</v>
      </c>
      <c r="C1662" t="s">
        <v>43</v>
      </c>
      <c r="D1662" t="s">
        <v>20</v>
      </c>
      <c r="E1662" t="s">
        <v>21</v>
      </c>
      <c r="F1662" s="1">
        <v>45047</v>
      </c>
      <c r="G1662">
        <v>4.68</v>
      </c>
      <c r="H1662">
        <v>82.717399999999998</v>
      </c>
      <c r="I1662">
        <v>22.59</v>
      </c>
      <c r="J1662">
        <v>98.86</v>
      </c>
      <c r="K1662" t="s">
        <v>31</v>
      </c>
      <c r="L1662">
        <v>2301.0500000000002</v>
      </c>
      <c r="M1662">
        <f>VLOOKUP(K1662,RatingLookup!$A$2:$C$8,2,FALSE)</f>
        <v>0.04</v>
      </c>
      <c r="N1662">
        <f t="shared" si="75"/>
        <v>3.3960531989175591E-3</v>
      </c>
      <c r="O1662">
        <f>VLOOKUP(K1662,RatingLookup!$A$2:$C$8,3,FALSE)</f>
        <v>0.6</v>
      </c>
      <c r="P1662">
        <f t="shared" si="76"/>
        <v>4.6886929280215499</v>
      </c>
      <c r="Q1662" t="str">
        <f t="shared" ca="1" si="77"/>
        <v>No</v>
      </c>
    </row>
    <row r="1663" spans="1:17" x14ac:dyDescent="0.45">
      <c r="A1663" t="s">
        <v>90</v>
      </c>
      <c r="B1663" t="s">
        <v>91</v>
      </c>
      <c r="C1663" t="s">
        <v>43</v>
      </c>
      <c r="D1663" t="s">
        <v>20</v>
      </c>
      <c r="E1663" t="s">
        <v>21</v>
      </c>
      <c r="F1663" s="1">
        <v>45078</v>
      </c>
      <c r="G1663">
        <v>4.83</v>
      </c>
      <c r="H1663">
        <v>85.328500000000005</v>
      </c>
      <c r="I1663">
        <v>13.4</v>
      </c>
      <c r="J1663">
        <v>85.59</v>
      </c>
      <c r="K1663" t="s">
        <v>31</v>
      </c>
      <c r="L1663">
        <v>2440.4299999999998</v>
      </c>
      <c r="M1663">
        <f>VLOOKUP(K1663,RatingLookup!$A$2:$C$8,2,FALSE)</f>
        <v>0.04</v>
      </c>
      <c r="N1663">
        <f t="shared" si="75"/>
        <v>3.3960531989175591E-3</v>
      </c>
      <c r="O1663">
        <f>VLOOKUP(K1663,RatingLookup!$A$2:$C$8,3,FALSE)</f>
        <v>0.6</v>
      </c>
      <c r="P1663">
        <f t="shared" si="76"/>
        <v>4.9726980649406265</v>
      </c>
      <c r="Q1663" t="str">
        <f t="shared" ca="1" si="77"/>
        <v>No</v>
      </c>
    </row>
    <row r="1664" spans="1:17" x14ac:dyDescent="0.45">
      <c r="A1664" t="s">
        <v>90</v>
      </c>
      <c r="B1664" t="s">
        <v>91</v>
      </c>
      <c r="C1664" t="s">
        <v>43</v>
      </c>
      <c r="D1664" t="s">
        <v>20</v>
      </c>
      <c r="E1664" t="s">
        <v>21</v>
      </c>
      <c r="F1664" s="1">
        <v>45108</v>
      </c>
      <c r="G1664">
        <v>5.26</v>
      </c>
      <c r="H1664">
        <v>83.498800000000003</v>
      </c>
      <c r="I1664">
        <v>20.37</v>
      </c>
      <c r="J1664">
        <v>69.959999999999994</v>
      </c>
      <c r="K1664" t="s">
        <v>31</v>
      </c>
      <c r="L1664">
        <v>2214.06</v>
      </c>
      <c r="M1664">
        <f>VLOOKUP(K1664,RatingLookup!$A$2:$C$8,2,FALSE)</f>
        <v>0.04</v>
      </c>
      <c r="N1664">
        <f t="shared" si="75"/>
        <v>3.3960531989175591E-3</v>
      </c>
      <c r="O1664">
        <f>VLOOKUP(K1664,RatingLookup!$A$2:$C$8,3,FALSE)</f>
        <v>0.6</v>
      </c>
      <c r="P1664">
        <f t="shared" si="76"/>
        <v>4.5114393273572464</v>
      </c>
      <c r="Q1664" t="str">
        <f t="shared" ca="1" si="77"/>
        <v>No</v>
      </c>
    </row>
    <row r="1665" spans="1:17" x14ac:dyDescent="0.45">
      <c r="A1665" t="s">
        <v>90</v>
      </c>
      <c r="B1665" t="s">
        <v>91</v>
      </c>
      <c r="C1665" t="s">
        <v>43</v>
      </c>
      <c r="D1665" t="s">
        <v>20</v>
      </c>
      <c r="E1665" t="s">
        <v>21</v>
      </c>
      <c r="F1665" s="1">
        <v>45139</v>
      </c>
      <c r="G1665">
        <v>6.11</v>
      </c>
      <c r="H1665">
        <v>81.183999999999997</v>
      </c>
      <c r="I1665">
        <v>13.91</v>
      </c>
      <c r="J1665">
        <v>69.180000000000007</v>
      </c>
      <c r="K1665" t="s">
        <v>31</v>
      </c>
      <c r="L1665">
        <v>2347.0700000000002</v>
      </c>
      <c r="M1665">
        <f>VLOOKUP(K1665,RatingLookup!$A$2:$C$8,2,FALSE)</f>
        <v>0.04</v>
      </c>
      <c r="N1665">
        <f t="shared" si="75"/>
        <v>3.3960531989175591E-3</v>
      </c>
      <c r="O1665">
        <f>VLOOKUP(K1665,RatingLookup!$A$2:$C$8,3,FALSE)</f>
        <v>0.6</v>
      </c>
      <c r="P1665">
        <f t="shared" si="76"/>
        <v>4.7824647489500611</v>
      </c>
      <c r="Q1665" t="str">
        <f t="shared" ca="1" si="77"/>
        <v>No</v>
      </c>
    </row>
    <row r="1666" spans="1:17" x14ac:dyDescent="0.45">
      <c r="A1666" t="s">
        <v>90</v>
      </c>
      <c r="B1666" t="s">
        <v>91</v>
      </c>
      <c r="C1666" t="s">
        <v>43</v>
      </c>
      <c r="D1666" t="s">
        <v>20</v>
      </c>
      <c r="E1666" t="s">
        <v>21</v>
      </c>
      <c r="F1666" s="1">
        <v>45170</v>
      </c>
      <c r="G1666">
        <v>6.44</v>
      </c>
      <c r="H1666">
        <v>81.274600000000007</v>
      </c>
      <c r="I1666">
        <v>20.37</v>
      </c>
      <c r="J1666">
        <v>70.569999999999993</v>
      </c>
      <c r="K1666" t="s">
        <v>31</v>
      </c>
      <c r="L1666">
        <v>2288.83</v>
      </c>
      <c r="M1666">
        <f>VLOOKUP(K1666,RatingLookup!$A$2:$C$8,2,FALSE)</f>
        <v>0.04</v>
      </c>
      <c r="N1666">
        <f t="shared" ref="N1666:N1729" si="78">1-(1-M1666)^(1/12)</f>
        <v>3.3960531989175591E-3</v>
      </c>
      <c r="O1666">
        <f>VLOOKUP(K1666,RatingLookup!$A$2:$C$8,3,FALSE)</f>
        <v>0.6</v>
      </c>
      <c r="P1666">
        <f t="shared" ref="P1666:P1729" si="79">L1666*N1666*O1666</f>
        <v>4.6637930659670861</v>
      </c>
      <c r="Q1666" t="str">
        <f t="shared" ref="Q1666:Q1729" ca="1" si="80">IF(RAND()&lt;N1666,"Yes","No")</f>
        <v>No</v>
      </c>
    </row>
    <row r="1667" spans="1:17" x14ac:dyDescent="0.45">
      <c r="A1667" t="s">
        <v>90</v>
      </c>
      <c r="B1667" t="s">
        <v>91</v>
      </c>
      <c r="C1667" t="s">
        <v>43</v>
      </c>
      <c r="D1667" t="s">
        <v>20</v>
      </c>
      <c r="E1667" t="s">
        <v>21</v>
      </c>
      <c r="F1667" s="1">
        <v>45200</v>
      </c>
      <c r="G1667">
        <v>5.45</v>
      </c>
      <c r="H1667">
        <v>84.000600000000006</v>
      </c>
      <c r="I1667">
        <v>25.46</v>
      </c>
      <c r="J1667">
        <v>68.7</v>
      </c>
      <c r="K1667" t="s">
        <v>31</v>
      </c>
      <c r="L1667">
        <v>2385.9</v>
      </c>
      <c r="M1667">
        <f>VLOOKUP(K1667,RatingLookup!$A$2:$C$8,2,FALSE)</f>
        <v>0.04</v>
      </c>
      <c r="N1667">
        <f t="shared" si="78"/>
        <v>3.3960531989175591E-3</v>
      </c>
      <c r="O1667">
        <f>VLOOKUP(K1667,RatingLookup!$A$2:$C$8,3,FALSE)</f>
        <v>0.6</v>
      </c>
      <c r="P1667">
        <f t="shared" si="79"/>
        <v>4.8615859963784418</v>
      </c>
      <c r="Q1667" t="str">
        <f t="shared" ca="1" si="80"/>
        <v>No</v>
      </c>
    </row>
    <row r="1668" spans="1:17" x14ac:dyDescent="0.45">
      <c r="A1668" t="s">
        <v>90</v>
      </c>
      <c r="B1668" t="s">
        <v>91</v>
      </c>
      <c r="C1668" t="s">
        <v>43</v>
      </c>
      <c r="D1668" t="s">
        <v>20</v>
      </c>
      <c r="E1668" t="s">
        <v>21</v>
      </c>
      <c r="F1668" s="1">
        <v>45231</v>
      </c>
      <c r="G1668">
        <v>4.82</v>
      </c>
      <c r="H1668">
        <v>84.107399999999998</v>
      </c>
      <c r="I1668">
        <v>10.8</v>
      </c>
      <c r="J1668">
        <v>78.87</v>
      </c>
      <c r="K1668" t="s">
        <v>31</v>
      </c>
      <c r="L1668">
        <v>2126.66</v>
      </c>
      <c r="M1668">
        <f>VLOOKUP(K1668,RatingLookup!$A$2:$C$8,2,FALSE)</f>
        <v>0.04</v>
      </c>
      <c r="N1668">
        <f t="shared" si="78"/>
        <v>3.3960531989175591E-3</v>
      </c>
      <c r="O1668">
        <f>VLOOKUP(K1668,RatingLookup!$A$2:$C$8,3,FALSE)</f>
        <v>0.6</v>
      </c>
      <c r="P1668">
        <f t="shared" si="79"/>
        <v>4.3333502976060094</v>
      </c>
      <c r="Q1668" t="str">
        <f t="shared" ca="1" si="80"/>
        <v>No</v>
      </c>
    </row>
    <row r="1669" spans="1:17" x14ac:dyDescent="0.45">
      <c r="A1669" t="s">
        <v>90</v>
      </c>
      <c r="B1669" t="s">
        <v>91</v>
      </c>
      <c r="C1669" t="s">
        <v>43</v>
      </c>
      <c r="D1669" t="s">
        <v>20</v>
      </c>
      <c r="E1669" t="s">
        <v>21</v>
      </c>
      <c r="F1669" s="1">
        <v>45261</v>
      </c>
      <c r="G1669">
        <v>5.44</v>
      </c>
      <c r="H1669">
        <v>81.845699999999994</v>
      </c>
      <c r="I1669">
        <v>19.68</v>
      </c>
      <c r="J1669">
        <v>77.17</v>
      </c>
      <c r="K1669" t="s">
        <v>31</v>
      </c>
      <c r="L1669">
        <v>2221.91</v>
      </c>
      <c r="M1669">
        <f>VLOOKUP(K1669,RatingLookup!$A$2:$C$8,2,FALSE)</f>
        <v>0.04</v>
      </c>
      <c r="N1669">
        <f t="shared" si="78"/>
        <v>3.3960531989175591E-3</v>
      </c>
      <c r="O1669">
        <f>VLOOKUP(K1669,RatingLookup!$A$2:$C$8,3,FALSE)</f>
        <v>0.6</v>
      </c>
      <c r="P1669">
        <f t="shared" si="79"/>
        <v>4.527434737924148</v>
      </c>
      <c r="Q1669" t="str">
        <f t="shared" ca="1" si="80"/>
        <v>No</v>
      </c>
    </row>
    <row r="1670" spans="1:17" x14ac:dyDescent="0.45">
      <c r="A1670" t="s">
        <v>90</v>
      </c>
      <c r="B1670" t="s">
        <v>91</v>
      </c>
      <c r="C1670" t="s">
        <v>43</v>
      </c>
      <c r="D1670" t="s">
        <v>20</v>
      </c>
      <c r="E1670" t="s">
        <v>21</v>
      </c>
      <c r="F1670" s="1">
        <v>45292</v>
      </c>
      <c r="G1670">
        <v>5.62</v>
      </c>
      <c r="H1670">
        <v>83.365899999999996</v>
      </c>
      <c r="I1670">
        <v>22.98</v>
      </c>
      <c r="J1670">
        <v>74.8</v>
      </c>
      <c r="K1670" t="s">
        <v>31</v>
      </c>
      <c r="L1670">
        <v>2166.11</v>
      </c>
      <c r="M1670">
        <f>VLOOKUP(K1670,RatingLookup!$A$2:$C$8,2,FALSE)</f>
        <v>0.04</v>
      </c>
      <c r="N1670">
        <f t="shared" si="78"/>
        <v>3.3960531989175591E-3</v>
      </c>
      <c r="O1670">
        <f>VLOOKUP(K1670,RatingLookup!$A$2:$C$8,3,FALSE)</f>
        <v>0.6</v>
      </c>
      <c r="P1670">
        <f t="shared" si="79"/>
        <v>4.413734876824388</v>
      </c>
      <c r="Q1670" t="str">
        <f t="shared" ca="1" si="80"/>
        <v>No</v>
      </c>
    </row>
    <row r="1671" spans="1:17" x14ac:dyDescent="0.45">
      <c r="A1671" t="s">
        <v>90</v>
      </c>
      <c r="B1671" t="s">
        <v>91</v>
      </c>
      <c r="C1671" t="s">
        <v>43</v>
      </c>
      <c r="D1671" t="s">
        <v>20</v>
      </c>
      <c r="E1671" t="s">
        <v>21</v>
      </c>
      <c r="F1671" s="1">
        <v>45323</v>
      </c>
      <c r="G1671">
        <v>5.31</v>
      </c>
      <c r="H1671">
        <v>83.007599999999996</v>
      </c>
      <c r="I1671">
        <v>11.99</v>
      </c>
      <c r="J1671">
        <v>69.2</v>
      </c>
      <c r="K1671" t="s">
        <v>31</v>
      </c>
      <c r="L1671">
        <v>2414.96</v>
      </c>
      <c r="M1671">
        <f>VLOOKUP(K1671,RatingLookup!$A$2:$C$8,2,FALSE)</f>
        <v>0.04</v>
      </c>
      <c r="N1671">
        <f t="shared" si="78"/>
        <v>3.3960531989175591E-3</v>
      </c>
      <c r="O1671">
        <f>VLOOKUP(K1671,RatingLookup!$A$2:$C$8,3,FALSE)</f>
        <v>0.6</v>
      </c>
      <c r="P1671">
        <f t="shared" si="79"/>
        <v>4.9207995799547684</v>
      </c>
      <c r="Q1671" t="str">
        <f t="shared" ca="1" si="80"/>
        <v>No</v>
      </c>
    </row>
    <row r="1672" spans="1:17" x14ac:dyDescent="0.45">
      <c r="A1672" t="s">
        <v>90</v>
      </c>
      <c r="B1672" t="s">
        <v>91</v>
      </c>
      <c r="C1672" t="s">
        <v>43</v>
      </c>
      <c r="D1672" t="s">
        <v>20</v>
      </c>
      <c r="E1672" t="s">
        <v>21</v>
      </c>
      <c r="F1672" s="1">
        <v>45352</v>
      </c>
      <c r="G1672">
        <v>6.53</v>
      </c>
      <c r="H1672">
        <v>79.242999999999995</v>
      </c>
      <c r="I1672">
        <v>16.489999999999998</v>
      </c>
      <c r="J1672">
        <v>81.239999999999995</v>
      </c>
      <c r="K1672" t="s">
        <v>31</v>
      </c>
      <c r="L1672">
        <v>2403.1999999999998</v>
      </c>
      <c r="M1672">
        <f>VLOOKUP(K1672,RatingLookup!$A$2:$C$8,2,FALSE)</f>
        <v>0.04</v>
      </c>
      <c r="N1672">
        <f t="shared" si="78"/>
        <v>3.3960531989175591E-3</v>
      </c>
      <c r="O1672">
        <f>VLOOKUP(K1672,RatingLookup!$A$2:$C$8,3,FALSE)</f>
        <v>0.6</v>
      </c>
      <c r="P1672">
        <f t="shared" si="79"/>
        <v>4.8968370285832066</v>
      </c>
      <c r="Q1672" t="str">
        <f t="shared" ca="1" si="80"/>
        <v>No</v>
      </c>
    </row>
    <row r="1673" spans="1:17" x14ac:dyDescent="0.45">
      <c r="A1673" t="s">
        <v>90</v>
      </c>
      <c r="B1673" t="s">
        <v>91</v>
      </c>
      <c r="C1673" t="s">
        <v>43</v>
      </c>
      <c r="D1673" t="s">
        <v>20</v>
      </c>
      <c r="E1673" t="s">
        <v>21</v>
      </c>
      <c r="F1673" s="1">
        <v>45383</v>
      </c>
      <c r="G1673">
        <v>6.11</v>
      </c>
      <c r="H1673">
        <v>84.8416</v>
      </c>
      <c r="I1673">
        <v>25.85</v>
      </c>
      <c r="J1673">
        <v>80.709999999999994</v>
      </c>
      <c r="K1673" t="s">
        <v>31</v>
      </c>
      <c r="L1673">
        <v>2285.73</v>
      </c>
      <c r="M1673">
        <f>VLOOKUP(K1673,RatingLookup!$A$2:$C$8,2,FALSE)</f>
        <v>0.04</v>
      </c>
      <c r="N1673">
        <f t="shared" si="78"/>
        <v>3.3960531989175591E-3</v>
      </c>
      <c r="O1673">
        <f>VLOOKUP(K1673,RatingLookup!$A$2:$C$8,3,FALSE)</f>
        <v>0.6</v>
      </c>
      <c r="P1673">
        <f t="shared" si="79"/>
        <v>4.6574764070170991</v>
      </c>
      <c r="Q1673" t="str">
        <f t="shared" ca="1" si="80"/>
        <v>No</v>
      </c>
    </row>
    <row r="1674" spans="1:17" x14ac:dyDescent="0.45">
      <c r="A1674" t="s">
        <v>90</v>
      </c>
      <c r="B1674" t="s">
        <v>91</v>
      </c>
      <c r="C1674" t="s">
        <v>43</v>
      </c>
      <c r="D1674" t="s">
        <v>20</v>
      </c>
      <c r="E1674" t="s">
        <v>21</v>
      </c>
      <c r="F1674" s="1">
        <v>45413</v>
      </c>
      <c r="G1674">
        <v>5.35</v>
      </c>
      <c r="H1674">
        <v>80.359499999999997</v>
      </c>
      <c r="I1674">
        <v>20</v>
      </c>
      <c r="J1674">
        <v>90.24</v>
      </c>
      <c r="K1674" t="s">
        <v>31</v>
      </c>
      <c r="L1674">
        <v>2299.23</v>
      </c>
      <c r="M1674">
        <f>VLOOKUP(K1674,RatingLookup!$A$2:$C$8,2,FALSE)</f>
        <v>0.04</v>
      </c>
      <c r="N1674">
        <f t="shared" si="78"/>
        <v>3.3960531989175591E-3</v>
      </c>
      <c r="O1674">
        <f>VLOOKUP(K1674,RatingLookup!$A$2:$C$8,3,FALSE)</f>
        <v>0.6</v>
      </c>
      <c r="P1674">
        <f t="shared" si="79"/>
        <v>4.684984437928331</v>
      </c>
      <c r="Q1674" t="str">
        <f t="shared" ca="1" si="80"/>
        <v>No</v>
      </c>
    </row>
    <row r="1675" spans="1:17" x14ac:dyDescent="0.45">
      <c r="A1675" t="s">
        <v>90</v>
      </c>
      <c r="B1675" t="s">
        <v>91</v>
      </c>
      <c r="C1675" t="s">
        <v>43</v>
      </c>
      <c r="D1675" t="s">
        <v>20</v>
      </c>
      <c r="E1675" t="s">
        <v>21</v>
      </c>
      <c r="F1675" s="1">
        <v>45444</v>
      </c>
      <c r="G1675">
        <v>5.42</v>
      </c>
      <c r="H1675">
        <v>81.646799999999999</v>
      </c>
      <c r="I1675">
        <v>20.93</v>
      </c>
      <c r="J1675">
        <v>73.34</v>
      </c>
      <c r="K1675" t="s">
        <v>31</v>
      </c>
      <c r="L1675">
        <v>2289.04</v>
      </c>
      <c r="M1675">
        <f>VLOOKUP(K1675,RatingLookup!$A$2:$C$8,2,FALSE)</f>
        <v>0.04</v>
      </c>
      <c r="N1675">
        <f t="shared" si="78"/>
        <v>3.3960531989175591E-3</v>
      </c>
      <c r="O1675">
        <f>VLOOKUP(K1675,RatingLookup!$A$2:$C$8,3,FALSE)</f>
        <v>0.6</v>
      </c>
      <c r="P1675">
        <f t="shared" si="79"/>
        <v>4.6642209686701488</v>
      </c>
      <c r="Q1675" t="str">
        <f t="shared" ca="1" si="80"/>
        <v>No</v>
      </c>
    </row>
    <row r="1676" spans="1:17" x14ac:dyDescent="0.45">
      <c r="A1676" t="s">
        <v>90</v>
      </c>
      <c r="B1676" t="s">
        <v>91</v>
      </c>
      <c r="C1676" t="s">
        <v>43</v>
      </c>
      <c r="D1676" t="s">
        <v>20</v>
      </c>
      <c r="E1676" t="s">
        <v>21</v>
      </c>
      <c r="F1676" s="1">
        <v>45474</v>
      </c>
      <c r="G1676">
        <v>5.88</v>
      </c>
      <c r="H1676">
        <v>79.627099999999999</v>
      </c>
      <c r="I1676">
        <v>25.99</v>
      </c>
      <c r="J1676">
        <v>68.61</v>
      </c>
      <c r="K1676" t="s">
        <v>31</v>
      </c>
      <c r="L1676">
        <v>2372.79</v>
      </c>
      <c r="M1676">
        <f>VLOOKUP(K1676,RatingLookup!$A$2:$C$8,2,FALSE)</f>
        <v>0.04</v>
      </c>
      <c r="N1676">
        <f t="shared" si="78"/>
        <v>3.3960531989175591E-3</v>
      </c>
      <c r="O1676">
        <f>VLOOKUP(K1676,RatingLookup!$A$2:$C$8,3,FALSE)</f>
        <v>0.6</v>
      </c>
      <c r="P1676">
        <f t="shared" si="79"/>
        <v>4.8348726419157568</v>
      </c>
      <c r="Q1676" t="str">
        <f t="shared" ca="1" si="80"/>
        <v>No</v>
      </c>
    </row>
    <row r="1677" spans="1:17" x14ac:dyDescent="0.45">
      <c r="A1677" t="s">
        <v>90</v>
      </c>
      <c r="B1677" t="s">
        <v>91</v>
      </c>
      <c r="C1677" t="s">
        <v>43</v>
      </c>
      <c r="D1677" t="s">
        <v>20</v>
      </c>
      <c r="E1677" t="s">
        <v>21</v>
      </c>
      <c r="F1677" s="1">
        <v>45505</v>
      </c>
      <c r="G1677">
        <v>5.79</v>
      </c>
      <c r="H1677">
        <v>82.889899999999997</v>
      </c>
      <c r="I1677">
        <v>18.07</v>
      </c>
      <c r="J1677">
        <v>86.47</v>
      </c>
      <c r="K1677" t="s">
        <v>31</v>
      </c>
      <c r="L1677">
        <v>2386.81</v>
      </c>
      <c r="M1677">
        <f>VLOOKUP(K1677,RatingLookup!$A$2:$C$8,2,FALSE)</f>
        <v>0.04</v>
      </c>
      <c r="N1677">
        <f t="shared" si="78"/>
        <v>3.3960531989175591E-3</v>
      </c>
      <c r="O1677">
        <f>VLOOKUP(K1677,RatingLookup!$A$2:$C$8,3,FALSE)</f>
        <v>0.6</v>
      </c>
      <c r="P1677">
        <f t="shared" si="79"/>
        <v>4.8634402414250513</v>
      </c>
      <c r="Q1677" t="str">
        <f t="shared" ca="1" si="80"/>
        <v>No</v>
      </c>
    </row>
    <row r="1678" spans="1:17" x14ac:dyDescent="0.45">
      <c r="A1678" t="s">
        <v>90</v>
      </c>
      <c r="B1678" t="s">
        <v>91</v>
      </c>
      <c r="C1678" t="s">
        <v>43</v>
      </c>
      <c r="D1678" t="s">
        <v>20</v>
      </c>
      <c r="E1678" t="s">
        <v>21</v>
      </c>
      <c r="F1678" s="1">
        <v>45536</v>
      </c>
      <c r="G1678">
        <v>5.29</v>
      </c>
      <c r="H1678">
        <v>84.047399999999996</v>
      </c>
      <c r="I1678">
        <v>18.12</v>
      </c>
      <c r="J1678">
        <v>74.59</v>
      </c>
      <c r="K1678" t="s">
        <v>31</v>
      </c>
      <c r="L1678">
        <v>2308.56</v>
      </c>
      <c r="M1678">
        <f>VLOOKUP(K1678,RatingLookup!$A$2:$C$8,2,FALSE)</f>
        <v>0.04</v>
      </c>
      <c r="N1678">
        <f t="shared" si="78"/>
        <v>3.3960531989175591E-3</v>
      </c>
      <c r="O1678">
        <f>VLOOKUP(K1678,RatingLookup!$A$2:$C$8,3,FALSE)</f>
        <v>0.6</v>
      </c>
      <c r="P1678">
        <f t="shared" si="79"/>
        <v>4.7039955437358723</v>
      </c>
      <c r="Q1678" t="str">
        <f t="shared" ca="1" si="80"/>
        <v>No</v>
      </c>
    </row>
    <row r="1679" spans="1:17" x14ac:dyDescent="0.45">
      <c r="A1679" t="s">
        <v>90</v>
      </c>
      <c r="B1679" t="s">
        <v>91</v>
      </c>
      <c r="C1679" t="s">
        <v>43</v>
      </c>
      <c r="D1679" t="s">
        <v>20</v>
      </c>
      <c r="E1679" t="s">
        <v>21</v>
      </c>
      <c r="F1679" s="1">
        <v>45566</v>
      </c>
      <c r="G1679">
        <v>5.79</v>
      </c>
      <c r="H1679">
        <v>80.709599999999995</v>
      </c>
      <c r="I1679">
        <v>10.26</v>
      </c>
      <c r="J1679">
        <v>55.71</v>
      </c>
      <c r="K1679" t="s">
        <v>31</v>
      </c>
      <c r="L1679">
        <v>2230.65</v>
      </c>
      <c r="M1679">
        <f>VLOOKUP(K1679,RatingLookup!$A$2:$C$8,2,FALSE)</f>
        <v>0.04</v>
      </c>
      <c r="N1679">
        <f t="shared" si="78"/>
        <v>3.3960531989175591E-3</v>
      </c>
      <c r="O1679">
        <f>VLOOKUP(K1679,RatingLookup!$A$2:$C$8,3,FALSE)</f>
        <v>0.6</v>
      </c>
      <c r="P1679">
        <f t="shared" si="79"/>
        <v>4.5452436408992725</v>
      </c>
      <c r="Q1679" t="str">
        <f t="shared" ca="1" si="80"/>
        <v>No</v>
      </c>
    </row>
    <row r="1680" spans="1:17" x14ac:dyDescent="0.45">
      <c r="A1680" t="s">
        <v>90</v>
      </c>
      <c r="B1680" t="s">
        <v>91</v>
      </c>
      <c r="C1680" t="s">
        <v>43</v>
      </c>
      <c r="D1680" t="s">
        <v>20</v>
      </c>
      <c r="E1680" t="s">
        <v>21</v>
      </c>
      <c r="F1680" s="1">
        <v>45597</v>
      </c>
      <c r="G1680">
        <v>6.62</v>
      </c>
      <c r="H1680">
        <v>82.364500000000007</v>
      </c>
      <c r="I1680">
        <v>16.350000000000001</v>
      </c>
      <c r="J1680">
        <v>97.97</v>
      </c>
      <c r="K1680" t="s">
        <v>31</v>
      </c>
      <c r="L1680">
        <v>2394.8000000000002</v>
      </c>
      <c r="M1680">
        <f>VLOOKUP(K1680,RatingLookup!$A$2:$C$8,2,FALSE)</f>
        <v>0.04</v>
      </c>
      <c r="N1680">
        <f t="shared" si="78"/>
        <v>3.3960531989175591E-3</v>
      </c>
      <c r="O1680">
        <f>VLOOKUP(K1680,RatingLookup!$A$2:$C$8,3,FALSE)</f>
        <v>0.6</v>
      </c>
      <c r="P1680">
        <f t="shared" si="79"/>
        <v>4.8797209204606622</v>
      </c>
      <c r="Q1680" t="str">
        <f t="shared" ca="1" si="80"/>
        <v>No</v>
      </c>
    </row>
    <row r="1681" spans="1:17" x14ac:dyDescent="0.45">
      <c r="A1681" t="s">
        <v>90</v>
      </c>
      <c r="B1681" t="s">
        <v>91</v>
      </c>
      <c r="C1681" t="s">
        <v>43</v>
      </c>
      <c r="D1681" t="s">
        <v>20</v>
      </c>
      <c r="E1681" t="s">
        <v>21</v>
      </c>
      <c r="F1681" s="1">
        <v>45627</v>
      </c>
      <c r="G1681">
        <v>4.93</v>
      </c>
      <c r="H1681">
        <v>79.610299999999995</v>
      </c>
      <c r="I1681">
        <v>21.97</v>
      </c>
      <c r="J1681">
        <v>67.28</v>
      </c>
      <c r="K1681" t="s">
        <v>31</v>
      </c>
      <c r="L1681">
        <v>2493.87</v>
      </c>
      <c r="M1681">
        <f>VLOOKUP(K1681,RatingLookup!$A$2:$C$8,2,FALSE)</f>
        <v>0.04</v>
      </c>
      <c r="N1681">
        <f t="shared" si="78"/>
        <v>3.3960531989175591E-3</v>
      </c>
      <c r="O1681">
        <f>VLOOKUP(K1681,RatingLookup!$A$2:$C$8,3,FALSE)</f>
        <v>0.6</v>
      </c>
      <c r="P1681">
        <f t="shared" si="79"/>
        <v>5.0815891147107193</v>
      </c>
      <c r="Q1681" t="str">
        <f t="shared" ca="1" si="80"/>
        <v>No</v>
      </c>
    </row>
    <row r="1682" spans="1:17" x14ac:dyDescent="0.45">
      <c r="A1682" t="s">
        <v>92</v>
      </c>
      <c r="B1682" t="s">
        <v>93</v>
      </c>
      <c r="C1682" t="s">
        <v>19</v>
      </c>
      <c r="D1682" t="s">
        <v>20</v>
      </c>
      <c r="E1682" t="s">
        <v>21</v>
      </c>
      <c r="F1682" s="1">
        <v>43831</v>
      </c>
      <c r="G1682">
        <v>5.37</v>
      </c>
      <c r="H1682">
        <v>77.546000000000006</v>
      </c>
      <c r="I1682">
        <v>15.35</v>
      </c>
      <c r="J1682">
        <v>84.3</v>
      </c>
      <c r="K1682" t="s">
        <v>30</v>
      </c>
      <c r="L1682">
        <v>1835.05</v>
      </c>
      <c r="M1682">
        <f>VLOOKUP(K1682,RatingLookup!$A$2:$C$8,2,FALSE)</f>
        <v>1.4999999999999999E-2</v>
      </c>
      <c r="N1682">
        <f t="shared" si="78"/>
        <v>1.2586770182638762E-3</v>
      </c>
      <c r="O1682">
        <f>VLOOKUP(K1682,RatingLookup!$A$2:$C$8,3,FALSE)</f>
        <v>0.5</v>
      </c>
      <c r="P1682">
        <f t="shared" si="79"/>
        <v>1.154867631182563</v>
      </c>
      <c r="Q1682" t="str">
        <f t="shared" ca="1" si="80"/>
        <v>No</v>
      </c>
    </row>
    <row r="1683" spans="1:17" x14ac:dyDescent="0.45">
      <c r="A1683" t="s">
        <v>92</v>
      </c>
      <c r="B1683" t="s">
        <v>93</v>
      </c>
      <c r="C1683" t="s">
        <v>19</v>
      </c>
      <c r="D1683" t="s">
        <v>20</v>
      </c>
      <c r="E1683" t="s">
        <v>21</v>
      </c>
      <c r="F1683" s="1">
        <v>43862</v>
      </c>
      <c r="G1683">
        <v>5.67</v>
      </c>
      <c r="H1683">
        <v>84.119699999999995</v>
      </c>
      <c r="I1683">
        <v>18.82</v>
      </c>
      <c r="J1683">
        <v>75.81</v>
      </c>
      <c r="K1683" t="s">
        <v>30</v>
      </c>
      <c r="L1683">
        <v>1681.3</v>
      </c>
      <c r="M1683">
        <f>VLOOKUP(K1683,RatingLookup!$A$2:$C$8,2,FALSE)</f>
        <v>1.4999999999999999E-2</v>
      </c>
      <c r="N1683">
        <f t="shared" si="78"/>
        <v>1.2586770182638762E-3</v>
      </c>
      <c r="O1683">
        <f>VLOOKUP(K1683,RatingLookup!$A$2:$C$8,3,FALSE)</f>
        <v>0.5</v>
      </c>
      <c r="P1683">
        <f t="shared" si="79"/>
        <v>1.0581068354035275</v>
      </c>
      <c r="Q1683" t="str">
        <f t="shared" ca="1" si="80"/>
        <v>No</v>
      </c>
    </row>
    <row r="1684" spans="1:17" x14ac:dyDescent="0.45">
      <c r="A1684" t="s">
        <v>92</v>
      </c>
      <c r="B1684" t="s">
        <v>93</v>
      </c>
      <c r="C1684" t="s">
        <v>19</v>
      </c>
      <c r="D1684" t="s">
        <v>20</v>
      </c>
      <c r="E1684" t="s">
        <v>21</v>
      </c>
      <c r="F1684" s="1">
        <v>43891</v>
      </c>
      <c r="G1684">
        <v>6.6</v>
      </c>
      <c r="H1684">
        <v>76.956699999999998</v>
      </c>
      <c r="I1684">
        <v>16.61</v>
      </c>
      <c r="J1684">
        <v>65.88</v>
      </c>
      <c r="K1684" t="s">
        <v>30</v>
      </c>
      <c r="L1684">
        <v>1767.25</v>
      </c>
      <c r="M1684">
        <f>VLOOKUP(K1684,RatingLookup!$A$2:$C$8,2,FALSE)</f>
        <v>1.4999999999999999E-2</v>
      </c>
      <c r="N1684">
        <f t="shared" si="78"/>
        <v>1.2586770182638762E-3</v>
      </c>
      <c r="O1684">
        <f>VLOOKUP(K1684,RatingLookup!$A$2:$C$8,3,FALSE)</f>
        <v>0.5</v>
      </c>
      <c r="P1684">
        <f t="shared" si="79"/>
        <v>1.1121984802634177</v>
      </c>
      <c r="Q1684" t="str">
        <f t="shared" ca="1" si="80"/>
        <v>No</v>
      </c>
    </row>
    <row r="1685" spans="1:17" x14ac:dyDescent="0.45">
      <c r="A1685" t="s">
        <v>92</v>
      </c>
      <c r="B1685" t="s">
        <v>93</v>
      </c>
      <c r="C1685" t="s">
        <v>19</v>
      </c>
      <c r="D1685" t="s">
        <v>20</v>
      </c>
      <c r="E1685" t="s">
        <v>21</v>
      </c>
      <c r="F1685" s="1">
        <v>43922</v>
      </c>
      <c r="G1685">
        <v>5.42</v>
      </c>
      <c r="H1685">
        <v>79.357500000000002</v>
      </c>
      <c r="I1685">
        <v>14.89</v>
      </c>
      <c r="J1685">
        <v>88.54</v>
      </c>
      <c r="K1685" t="s">
        <v>30</v>
      </c>
      <c r="L1685">
        <v>1577.48</v>
      </c>
      <c r="M1685">
        <f>VLOOKUP(K1685,RatingLookup!$A$2:$C$8,2,FALSE)</f>
        <v>1.4999999999999999E-2</v>
      </c>
      <c r="N1685">
        <f t="shared" si="78"/>
        <v>1.2586770182638762E-3</v>
      </c>
      <c r="O1685">
        <f>VLOOKUP(K1685,RatingLookup!$A$2:$C$8,3,FALSE)</f>
        <v>0.5</v>
      </c>
      <c r="P1685">
        <f t="shared" si="79"/>
        <v>0.99276891138544976</v>
      </c>
      <c r="Q1685" t="str">
        <f t="shared" ca="1" si="80"/>
        <v>No</v>
      </c>
    </row>
    <row r="1686" spans="1:17" x14ac:dyDescent="0.45">
      <c r="A1686" t="s">
        <v>92</v>
      </c>
      <c r="B1686" t="s">
        <v>93</v>
      </c>
      <c r="C1686" t="s">
        <v>19</v>
      </c>
      <c r="D1686" t="s">
        <v>20</v>
      </c>
      <c r="E1686" t="s">
        <v>21</v>
      </c>
      <c r="F1686" s="1">
        <v>43952</v>
      </c>
      <c r="G1686">
        <v>6.32</v>
      </c>
      <c r="H1686">
        <v>80.626900000000006</v>
      </c>
      <c r="I1686">
        <v>20.190000000000001</v>
      </c>
      <c r="J1686">
        <v>82.16</v>
      </c>
      <c r="K1686" t="s">
        <v>30</v>
      </c>
      <c r="L1686">
        <v>1605.14</v>
      </c>
      <c r="M1686">
        <f>VLOOKUP(K1686,RatingLookup!$A$2:$C$8,2,FALSE)</f>
        <v>1.4999999999999999E-2</v>
      </c>
      <c r="N1686">
        <f t="shared" si="78"/>
        <v>1.2586770182638762E-3</v>
      </c>
      <c r="O1686">
        <f>VLOOKUP(K1686,RatingLookup!$A$2:$C$8,3,FALSE)</f>
        <v>0.5</v>
      </c>
      <c r="P1686">
        <f t="shared" si="79"/>
        <v>1.0101764145480392</v>
      </c>
      <c r="Q1686" t="str">
        <f t="shared" ca="1" si="80"/>
        <v>No</v>
      </c>
    </row>
    <row r="1687" spans="1:17" x14ac:dyDescent="0.45">
      <c r="A1687" t="s">
        <v>92</v>
      </c>
      <c r="B1687" t="s">
        <v>93</v>
      </c>
      <c r="C1687" t="s">
        <v>19</v>
      </c>
      <c r="D1687" t="s">
        <v>20</v>
      </c>
      <c r="E1687" t="s">
        <v>21</v>
      </c>
      <c r="F1687" s="1">
        <v>43983</v>
      </c>
      <c r="G1687">
        <v>4.3600000000000003</v>
      </c>
      <c r="H1687">
        <v>81.948700000000002</v>
      </c>
      <c r="I1687">
        <v>17.77</v>
      </c>
      <c r="J1687">
        <v>70.510000000000005</v>
      </c>
      <c r="K1687" t="s">
        <v>30</v>
      </c>
      <c r="L1687">
        <v>1629.03</v>
      </c>
      <c r="M1687">
        <f>VLOOKUP(K1687,RatingLookup!$A$2:$C$8,2,FALSE)</f>
        <v>1.4999999999999999E-2</v>
      </c>
      <c r="N1687">
        <f t="shared" si="78"/>
        <v>1.2586770182638762E-3</v>
      </c>
      <c r="O1687">
        <f>VLOOKUP(K1687,RatingLookup!$A$2:$C$8,3,FALSE)</f>
        <v>0.5</v>
      </c>
      <c r="P1687">
        <f t="shared" si="79"/>
        <v>1.0252113115312012</v>
      </c>
      <c r="Q1687" t="str">
        <f t="shared" ca="1" si="80"/>
        <v>No</v>
      </c>
    </row>
    <row r="1688" spans="1:17" x14ac:dyDescent="0.45">
      <c r="A1688" t="s">
        <v>92</v>
      </c>
      <c r="B1688" t="s">
        <v>93</v>
      </c>
      <c r="C1688" t="s">
        <v>19</v>
      </c>
      <c r="D1688" t="s">
        <v>20</v>
      </c>
      <c r="E1688" t="s">
        <v>21</v>
      </c>
      <c r="F1688" s="1">
        <v>44013</v>
      </c>
      <c r="G1688">
        <v>5.44</v>
      </c>
      <c r="H1688">
        <v>80.712599999999995</v>
      </c>
      <c r="I1688">
        <v>19.89</v>
      </c>
      <c r="J1688">
        <v>86.69</v>
      </c>
      <c r="K1688" t="s">
        <v>30</v>
      </c>
      <c r="L1688">
        <v>1775.03</v>
      </c>
      <c r="M1688">
        <f>VLOOKUP(K1688,RatingLookup!$A$2:$C$8,2,FALSE)</f>
        <v>1.4999999999999999E-2</v>
      </c>
      <c r="N1688">
        <f t="shared" si="78"/>
        <v>1.2586770182638762E-3</v>
      </c>
      <c r="O1688">
        <f>VLOOKUP(K1688,RatingLookup!$A$2:$C$8,3,FALSE)</f>
        <v>0.5</v>
      </c>
      <c r="P1688">
        <f t="shared" si="79"/>
        <v>1.1170947338644641</v>
      </c>
      <c r="Q1688" t="str">
        <f t="shared" ca="1" si="80"/>
        <v>No</v>
      </c>
    </row>
    <row r="1689" spans="1:17" x14ac:dyDescent="0.45">
      <c r="A1689" t="s">
        <v>92</v>
      </c>
      <c r="B1689" t="s">
        <v>93</v>
      </c>
      <c r="C1689" t="s">
        <v>19</v>
      </c>
      <c r="D1689" t="s">
        <v>20</v>
      </c>
      <c r="E1689" t="s">
        <v>21</v>
      </c>
      <c r="F1689" s="1">
        <v>44044</v>
      </c>
      <c r="G1689">
        <v>6.27</v>
      </c>
      <c r="H1689">
        <v>78.967600000000004</v>
      </c>
      <c r="I1689">
        <v>16.079999999999998</v>
      </c>
      <c r="J1689">
        <v>72.63</v>
      </c>
      <c r="K1689" t="s">
        <v>30</v>
      </c>
      <c r="L1689">
        <v>1627.39</v>
      </c>
      <c r="M1689">
        <f>VLOOKUP(K1689,RatingLookup!$A$2:$C$8,2,FALSE)</f>
        <v>1.4999999999999999E-2</v>
      </c>
      <c r="N1689">
        <f t="shared" si="78"/>
        <v>1.2586770182638762E-3</v>
      </c>
      <c r="O1689">
        <f>VLOOKUP(K1689,RatingLookup!$A$2:$C$8,3,FALSE)</f>
        <v>0.5</v>
      </c>
      <c r="P1689">
        <f t="shared" si="79"/>
        <v>1.0241791963762248</v>
      </c>
      <c r="Q1689" t="str">
        <f t="shared" ca="1" si="80"/>
        <v>No</v>
      </c>
    </row>
    <row r="1690" spans="1:17" x14ac:dyDescent="0.45">
      <c r="A1690" t="s">
        <v>92</v>
      </c>
      <c r="B1690" t="s">
        <v>93</v>
      </c>
      <c r="C1690" t="s">
        <v>19</v>
      </c>
      <c r="D1690" t="s">
        <v>20</v>
      </c>
      <c r="E1690" t="s">
        <v>21</v>
      </c>
      <c r="F1690" s="1">
        <v>44075</v>
      </c>
      <c r="G1690">
        <v>5.13</v>
      </c>
      <c r="H1690">
        <v>77.915800000000004</v>
      </c>
      <c r="I1690">
        <v>10.11</v>
      </c>
      <c r="J1690">
        <v>76.25</v>
      </c>
      <c r="K1690" t="s">
        <v>30</v>
      </c>
      <c r="L1690">
        <v>1687.79</v>
      </c>
      <c r="M1690">
        <f>VLOOKUP(K1690,RatingLookup!$A$2:$C$8,2,FALSE)</f>
        <v>1.4999999999999999E-2</v>
      </c>
      <c r="N1690">
        <f t="shared" si="78"/>
        <v>1.2586770182638762E-3</v>
      </c>
      <c r="O1690">
        <f>VLOOKUP(K1690,RatingLookup!$A$2:$C$8,3,FALSE)</f>
        <v>0.5</v>
      </c>
      <c r="P1690">
        <f t="shared" si="79"/>
        <v>1.0621912423277937</v>
      </c>
      <c r="Q1690" t="str">
        <f t="shared" ca="1" si="80"/>
        <v>No</v>
      </c>
    </row>
    <row r="1691" spans="1:17" x14ac:dyDescent="0.45">
      <c r="A1691" t="s">
        <v>92</v>
      </c>
      <c r="B1691" t="s">
        <v>93</v>
      </c>
      <c r="C1691" t="s">
        <v>19</v>
      </c>
      <c r="D1691" t="s">
        <v>20</v>
      </c>
      <c r="E1691" t="s">
        <v>21</v>
      </c>
      <c r="F1691" s="1">
        <v>44105</v>
      </c>
      <c r="G1691">
        <v>5.79</v>
      </c>
      <c r="H1691">
        <v>85.306299999999993</v>
      </c>
      <c r="I1691">
        <v>17.86</v>
      </c>
      <c r="J1691">
        <v>69.58</v>
      </c>
      <c r="K1691" t="s">
        <v>30</v>
      </c>
      <c r="L1691">
        <v>1586.06</v>
      </c>
      <c r="M1691">
        <f>VLOOKUP(K1691,RatingLookup!$A$2:$C$8,2,FALSE)</f>
        <v>1.4999999999999999E-2</v>
      </c>
      <c r="N1691">
        <f t="shared" si="78"/>
        <v>1.2586770182638762E-3</v>
      </c>
      <c r="O1691">
        <f>VLOOKUP(K1691,RatingLookup!$A$2:$C$8,3,FALSE)</f>
        <v>0.5</v>
      </c>
      <c r="P1691">
        <f t="shared" si="79"/>
        <v>0.99816863579380177</v>
      </c>
      <c r="Q1691" t="str">
        <f t="shared" ca="1" si="80"/>
        <v>No</v>
      </c>
    </row>
    <row r="1692" spans="1:17" x14ac:dyDescent="0.45">
      <c r="A1692" t="s">
        <v>92</v>
      </c>
      <c r="B1692" t="s">
        <v>93</v>
      </c>
      <c r="C1692" t="s">
        <v>19</v>
      </c>
      <c r="D1692" t="s">
        <v>20</v>
      </c>
      <c r="E1692" t="s">
        <v>21</v>
      </c>
      <c r="F1692" s="1">
        <v>44136</v>
      </c>
      <c r="G1692">
        <v>5.32</v>
      </c>
      <c r="H1692">
        <v>83.818899999999999</v>
      </c>
      <c r="I1692">
        <v>28.53</v>
      </c>
      <c r="J1692">
        <v>84.41</v>
      </c>
      <c r="K1692" t="s">
        <v>31</v>
      </c>
      <c r="L1692">
        <v>1638.28</v>
      </c>
      <c r="M1692">
        <f>VLOOKUP(K1692,RatingLookup!$A$2:$C$8,2,FALSE)</f>
        <v>0.04</v>
      </c>
      <c r="N1692">
        <f t="shared" si="78"/>
        <v>3.3960531989175591E-3</v>
      </c>
      <c r="O1692">
        <f>VLOOKUP(K1692,RatingLookup!$A$2:$C$8,3,FALSE)</f>
        <v>0.6</v>
      </c>
      <c r="P1692">
        <f t="shared" si="79"/>
        <v>3.338211620833595</v>
      </c>
      <c r="Q1692" t="str">
        <f t="shared" ca="1" si="80"/>
        <v>No</v>
      </c>
    </row>
    <row r="1693" spans="1:17" x14ac:dyDescent="0.45">
      <c r="A1693" t="s">
        <v>92</v>
      </c>
      <c r="B1693" t="s">
        <v>93</v>
      </c>
      <c r="C1693" t="s">
        <v>19</v>
      </c>
      <c r="D1693" t="s">
        <v>20</v>
      </c>
      <c r="E1693" t="s">
        <v>21</v>
      </c>
      <c r="F1693" s="1">
        <v>44166</v>
      </c>
      <c r="G1693">
        <v>4.83</v>
      </c>
      <c r="H1693">
        <v>78.923500000000004</v>
      </c>
      <c r="I1693">
        <v>24.74</v>
      </c>
      <c r="J1693">
        <v>81.790000000000006</v>
      </c>
      <c r="K1693" t="s">
        <v>31</v>
      </c>
      <c r="L1693">
        <v>1567.44</v>
      </c>
      <c r="M1693">
        <f>VLOOKUP(K1693,RatingLookup!$A$2:$C$8,2,FALSE)</f>
        <v>0.04</v>
      </c>
      <c r="N1693">
        <f t="shared" si="78"/>
        <v>3.3960531989175591E-3</v>
      </c>
      <c r="O1693">
        <f>VLOOKUP(K1693,RatingLookup!$A$2:$C$8,3,FALSE)</f>
        <v>0.6</v>
      </c>
      <c r="P1693">
        <f t="shared" si="79"/>
        <v>3.1938657756668034</v>
      </c>
      <c r="Q1693" t="str">
        <f t="shared" ca="1" si="80"/>
        <v>No</v>
      </c>
    </row>
    <row r="1694" spans="1:17" x14ac:dyDescent="0.45">
      <c r="A1694" t="s">
        <v>92</v>
      </c>
      <c r="B1694" t="s">
        <v>93</v>
      </c>
      <c r="C1694" t="s">
        <v>19</v>
      </c>
      <c r="D1694" t="s">
        <v>20</v>
      </c>
      <c r="E1694" t="s">
        <v>21</v>
      </c>
      <c r="F1694" s="1">
        <v>44197</v>
      </c>
      <c r="G1694">
        <v>4.51</v>
      </c>
      <c r="H1694">
        <v>82.449799999999996</v>
      </c>
      <c r="I1694">
        <v>15.78</v>
      </c>
      <c r="J1694">
        <v>84.2</v>
      </c>
      <c r="K1694" t="s">
        <v>31</v>
      </c>
      <c r="L1694">
        <v>1719.36</v>
      </c>
      <c r="M1694">
        <f>VLOOKUP(K1694,RatingLookup!$A$2:$C$8,2,FALSE)</f>
        <v>0.04</v>
      </c>
      <c r="N1694">
        <f t="shared" si="78"/>
        <v>3.3960531989175591E-3</v>
      </c>
      <c r="O1694">
        <f>VLOOKUP(K1694,RatingLookup!$A$2:$C$8,3,FALSE)</f>
        <v>0.6</v>
      </c>
      <c r="P1694">
        <f t="shared" si="79"/>
        <v>3.5034228168545365</v>
      </c>
      <c r="Q1694" t="str">
        <f t="shared" ca="1" si="80"/>
        <v>No</v>
      </c>
    </row>
    <row r="1695" spans="1:17" x14ac:dyDescent="0.45">
      <c r="A1695" t="s">
        <v>92</v>
      </c>
      <c r="B1695" t="s">
        <v>93</v>
      </c>
      <c r="C1695" t="s">
        <v>19</v>
      </c>
      <c r="D1695" t="s">
        <v>20</v>
      </c>
      <c r="E1695" t="s">
        <v>21</v>
      </c>
      <c r="F1695" s="1">
        <v>44228</v>
      </c>
      <c r="G1695">
        <v>5.01</v>
      </c>
      <c r="H1695">
        <v>84.479900000000001</v>
      </c>
      <c r="I1695">
        <v>16.52</v>
      </c>
      <c r="J1695">
        <v>76.489999999999995</v>
      </c>
      <c r="K1695" t="s">
        <v>31</v>
      </c>
      <c r="L1695">
        <v>1653.41</v>
      </c>
      <c r="M1695">
        <f>VLOOKUP(K1695,RatingLookup!$A$2:$C$8,2,FALSE)</f>
        <v>0.04</v>
      </c>
      <c r="N1695">
        <f t="shared" si="78"/>
        <v>3.3960531989175591E-3</v>
      </c>
      <c r="O1695">
        <f>VLOOKUP(K1695,RatingLookup!$A$2:$C$8,3,FALSE)</f>
        <v>0.6</v>
      </c>
      <c r="P1695">
        <f t="shared" si="79"/>
        <v>3.3690409917733688</v>
      </c>
      <c r="Q1695" t="str">
        <f t="shared" ca="1" si="80"/>
        <v>No</v>
      </c>
    </row>
    <row r="1696" spans="1:17" x14ac:dyDescent="0.45">
      <c r="A1696" t="s">
        <v>92</v>
      </c>
      <c r="B1696" t="s">
        <v>93</v>
      </c>
      <c r="C1696" t="s">
        <v>19</v>
      </c>
      <c r="D1696" t="s">
        <v>20</v>
      </c>
      <c r="E1696" t="s">
        <v>21</v>
      </c>
      <c r="F1696" s="1">
        <v>44256</v>
      </c>
      <c r="G1696">
        <v>4.5</v>
      </c>
      <c r="H1696">
        <v>80.493200000000002</v>
      </c>
      <c r="I1696">
        <v>22.71</v>
      </c>
      <c r="J1696">
        <v>73.56</v>
      </c>
      <c r="K1696" t="s">
        <v>31</v>
      </c>
      <c r="L1696">
        <v>1650.56</v>
      </c>
      <c r="M1696">
        <f>VLOOKUP(K1696,RatingLookup!$A$2:$C$8,2,FALSE)</f>
        <v>0.04</v>
      </c>
      <c r="N1696">
        <f t="shared" si="78"/>
        <v>3.3960531989175591E-3</v>
      </c>
      <c r="O1696">
        <f>VLOOKUP(K1696,RatingLookup!$A$2:$C$8,3,FALSE)</f>
        <v>0.6</v>
      </c>
      <c r="P1696">
        <f t="shared" si="79"/>
        <v>3.3632337408032194</v>
      </c>
      <c r="Q1696" t="str">
        <f t="shared" ca="1" si="80"/>
        <v>No</v>
      </c>
    </row>
    <row r="1697" spans="1:17" x14ac:dyDescent="0.45">
      <c r="A1697" t="s">
        <v>92</v>
      </c>
      <c r="B1697" t="s">
        <v>93</v>
      </c>
      <c r="C1697" t="s">
        <v>19</v>
      </c>
      <c r="D1697" t="s">
        <v>20</v>
      </c>
      <c r="E1697" t="s">
        <v>21</v>
      </c>
      <c r="F1697" s="1">
        <v>44287</v>
      </c>
      <c r="G1697">
        <v>5.24</v>
      </c>
      <c r="H1697">
        <v>82.106800000000007</v>
      </c>
      <c r="I1697">
        <v>7.68</v>
      </c>
      <c r="J1697">
        <v>64.709999999999994</v>
      </c>
      <c r="K1697" t="s">
        <v>31</v>
      </c>
      <c r="L1697">
        <v>1620.71</v>
      </c>
      <c r="M1697">
        <f>VLOOKUP(K1697,RatingLookup!$A$2:$C$8,2,FALSE)</f>
        <v>0.04</v>
      </c>
      <c r="N1697">
        <f t="shared" si="78"/>
        <v>3.3960531989175591E-3</v>
      </c>
      <c r="O1697">
        <f>VLOOKUP(K1697,RatingLookup!$A$2:$C$8,3,FALSE)</f>
        <v>0.6</v>
      </c>
      <c r="P1697">
        <f t="shared" si="79"/>
        <v>3.3024104280106061</v>
      </c>
      <c r="Q1697" t="str">
        <f t="shared" ca="1" si="80"/>
        <v>No</v>
      </c>
    </row>
    <row r="1698" spans="1:17" x14ac:dyDescent="0.45">
      <c r="A1698" t="s">
        <v>92</v>
      </c>
      <c r="B1698" t="s">
        <v>93</v>
      </c>
      <c r="C1698" t="s">
        <v>19</v>
      </c>
      <c r="D1698" t="s">
        <v>20</v>
      </c>
      <c r="E1698" t="s">
        <v>21</v>
      </c>
      <c r="F1698" s="1">
        <v>44317</v>
      </c>
      <c r="G1698">
        <v>5.68</v>
      </c>
      <c r="H1698">
        <v>81.710499999999996</v>
      </c>
      <c r="I1698">
        <v>21.55</v>
      </c>
      <c r="J1698">
        <v>64.23</v>
      </c>
      <c r="K1698" t="s">
        <v>31</v>
      </c>
      <c r="L1698">
        <v>1654.05</v>
      </c>
      <c r="M1698">
        <f>VLOOKUP(K1698,RatingLookup!$A$2:$C$8,2,FALSE)</f>
        <v>0.04</v>
      </c>
      <c r="N1698">
        <f t="shared" si="78"/>
        <v>3.3960531989175591E-3</v>
      </c>
      <c r="O1698">
        <f>VLOOKUP(K1698,RatingLookup!$A$2:$C$8,3,FALSE)</f>
        <v>0.6</v>
      </c>
      <c r="P1698">
        <f t="shared" si="79"/>
        <v>3.3703450762017533</v>
      </c>
      <c r="Q1698" t="str">
        <f t="shared" ca="1" si="80"/>
        <v>No</v>
      </c>
    </row>
    <row r="1699" spans="1:17" x14ac:dyDescent="0.45">
      <c r="A1699" t="s">
        <v>92</v>
      </c>
      <c r="B1699" t="s">
        <v>93</v>
      </c>
      <c r="C1699" t="s">
        <v>19</v>
      </c>
      <c r="D1699" t="s">
        <v>20</v>
      </c>
      <c r="E1699" t="s">
        <v>21</v>
      </c>
      <c r="F1699" s="1">
        <v>44348</v>
      </c>
      <c r="G1699">
        <v>5.12</v>
      </c>
      <c r="H1699">
        <v>81.0792</v>
      </c>
      <c r="I1699">
        <v>17.71</v>
      </c>
      <c r="J1699">
        <v>65.16</v>
      </c>
      <c r="K1699" t="s">
        <v>31</v>
      </c>
      <c r="L1699">
        <v>1739.55</v>
      </c>
      <c r="M1699">
        <f>VLOOKUP(K1699,RatingLookup!$A$2:$C$8,2,FALSE)</f>
        <v>0.04</v>
      </c>
      <c r="N1699">
        <f t="shared" si="78"/>
        <v>3.3960531989175591E-3</v>
      </c>
      <c r="O1699">
        <f>VLOOKUP(K1699,RatingLookup!$A$2:$C$8,3,FALSE)</f>
        <v>0.6</v>
      </c>
      <c r="P1699">
        <f t="shared" si="79"/>
        <v>3.5445626053062238</v>
      </c>
      <c r="Q1699" t="str">
        <f t="shared" ca="1" si="80"/>
        <v>No</v>
      </c>
    </row>
    <row r="1700" spans="1:17" x14ac:dyDescent="0.45">
      <c r="A1700" t="s">
        <v>92</v>
      </c>
      <c r="B1700" t="s">
        <v>93</v>
      </c>
      <c r="C1700" t="s">
        <v>19</v>
      </c>
      <c r="D1700" t="s">
        <v>20</v>
      </c>
      <c r="E1700" t="s">
        <v>21</v>
      </c>
      <c r="F1700" s="1">
        <v>44378</v>
      </c>
      <c r="G1700">
        <v>5.58</v>
      </c>
      <c r="H1700">
        <v>81.528700000000001</v>
      </c>
      <c r="I1700">
        <v>16.28</v>
      </c>
      <c r="J1700">
        <v>65.81</v>
      </c>
      <c r="K1700" t="s">
        <v>30</v>
      </c>
      <c r="L1700">
        <v>1738.42</v>
      </c>
      <c r="M1700">
        <f>VLOOKUP(K1700,RatingLookup!$A$2:$C$8,2,FALSE)</f>
        <v>1.4999999999999999E-2</v>
      </c>
      <c r="N1700">
        <f t="shared" si="78"/>
        <v>1.2586770182638762E-3</v>
      </c>
      <c r="O1700">
        <f>VLOOKUP(K1700,RatingLookup!$A$2:$C$8,3,FALSE)</f>
        <v>0.5</v>
      </c>
      <c r="P1700">
        <f t="shared" si="79"/>
        <v>1.0940546510451439</v>
      </c>
      <c r="Q1700" t="str">
        <f t="shared" ca="1" si="80"/>
        <v>No</v>
      </c>
    </row>
    <row r="1701" spans="1:17" x14ac:dyDescent="0.45">
      <c r="A1701" t="s">
        <v>92</v>
      </c>
      <c r="B1701" t="s">
        <v>93</v>
      </c>
      <c r="C1701" t="s">
        <v>19</v>
      </c>
      <c r="D1701" t="s">
        <v>20</v>
      </c>
      <c r="E1701" t="s">
        <v>21</v>
      </c>
      <c r="F1701" s="1">
        <v>44409</v>
      </c>
      <c r="G1701">
        <v>5.75</v>
      </c>
      <c r="H1701">
        <v>80.743499999999997</v>
      </c>
      <c r="I1701">
        <v>16.12</v>
      </c>
      <c r="J1701">
        <v>95.44</v>
      </c>
      <c r="K1701" t="s">
        <v>30</v>
      </c>
      <c r="L1701">
        <v>1850.74</v>
      </c>
      <c r="M1701">
        <f>VLOOKUP(K1701,RatingLookup!$A$2:$C$8,2,FALSE)</f>
        <v>1.4999999999999999E-2</v>
      </c>
      <c r="N1701">
        <f t="shared" si="78"/>
        <v>1.2586770182638762E-3</v>
      </c>
      <c r="O1701">
        <f>VLOOKUP(K1701,RatingLookup!$A$2:$C$8,3,FALSE)</f>
        <v>0.5</v>
      </c>
      <c r="P1701">
        <f t="shared" si="79"/>
        <v>1.1647419523908431</v>
      </c>
      <c r="Q1701" t="str">
        <f t="shared" ca="1" si="80"/>
        <v>No</v>
      </c>
    </row>
    <row r="1702" spans="1:17" x14ac:dyDescent="0.45">
      <c r="A1702" t="s">
        <v>92</v>
      </c>
      <c r="B1702" t="s">
        <v>93</v>
      </c>
      <c r="C1702" t="s">
        <v>19</v>
      </c>
      <c r="D1702" t="s">
        <v>20</v>
      </c>
      <c r="E1702" t="s">
        <v>21</v>
      </c>
      <c r="F1702" s="1">
        <v>44440</v>
      </c>
      <c r="G1702">
        <v>4.87</v>
      </c>
      <c r="H1702">
        <v>86.365600000000001</v>
      </c>
      <c r="I1702">
        <v>14.76</v>
      </c>
      <c r="J1702">
        <v>62.26</v>
      </c>
      <c r="K1702" t="s">
        <v>30</v>
      </c>
      <c r="L1702">
        <v>1819.52</v>
      </c>
      <c r="M1702">
        <f>VLOOKUP(K1702,RatingLookup!$A$2:$C$8,2,FALSE)</f>
        <v>1.4999999999999999E-2</v>
      </c>
      <c r="N1702">
        <f t="shared" si="78"/>
        <v>1.2586770182638762E-3</v>
      </c>
      <c r="O1702">
        <f>VLOOKUP(K1702,RatingLookup!$A$2:$C$8,3,FALSE)</f>
        <v>0.5</v>
      </c>
      <c r="P1702">
        <f t="shared" si="79"/>
        <v>1.145094004135744</v>
      </c>
      <c r="Q1702" t="str">
        <f t="shared" ca="1" si="80"/>
        <v>No</v>
      </c>
    </row>
    <row r="1703" spans="1:17" x14ac:dyDescent="0.45">
      <c r="A1703" t="s">
        <v>92</v>
      </c>
      <c r="B1703" t="s">
        <v>93</v>
      </c>
      <c r="C1703" t="s">
        <v>19</v>
      </c>
      <c r="D1703" t="s">
        <v>20</v>
      </c>
      <c r="E1703" t="s">
        <v>21</v>
      </c>
      <c r="F1703" s="1">
        <v>44470</v>
      </c>
      <c r="G1703">
        <v>5.86</v>
      </c>
      <c r="H1703">
        <v>82.340299999999999</v>
      </c>
      <c r="I1703">
        <v>19.940000000000001</v>
      </c>
      <c r="J1703">
        <v>72.569999999999993</v>
      </c>
      <c r="K1703" t="s">
        <v>30</v>
      </c>
      <c r="L1703">
        <v>1828.83</v>
      </c>
      <c r="M1703">
        <f>VLOOKUP(K1703,RatingLookup!$A$2:$C$8,2,FALSE)</f>
        <v>1.4999999999999999E-2</v>
      </c>
      <c r="N1703">
        <f t="shared" si="78"/>
        <v>1.2586770182638762E-3</v>
      </c>
      <c r="O1703">
        <f>VLOOKUP(K1703,RatingLookup!$A$2:$C$8,3,FALSE)</f>
        <v>0.5</v>
      </c>
      <c r="P1703">
        <f t="shared" si="79"/>
        <v>1.1509531456557622</v>
      </c>
      <c r="Q1703" t="str">
        <f t="shared" ca="1" si="80"/>
        <v>No</v>
      </c>
    </row>
    <row r="1704" spans="1:17" x14ac:dyDescent="0.45">
      <c r="A1704" t="s">
        <v>92</v>
      </c>
      <c r="B1704" t="s">
        <v>93</v>
      </c>
      <c r="C1704" t="s">
        <v>19</v>
      </c>
      <c r="D1704" t="s">
        <v>20</v>
      </c>
      <c r="E1704" t="s">
        <v>21</v>
      </c>
      <c r="F1704" s="1">
        <v>44501</v>
      </c>
      <c r="G1704">
        <v>6.31</v>
      </c>
      <c r="H1704">
        <v>78.482699999999994</v>
      </c>
      <c r="I1704">
        <v>24.1</v>
      </c>
      <c r="J1704">
        <v>66.489999999999995</v>
      </c>
      <c r="K1704" t="s">
        <v>30</v>
      </c>
      <c r="L1704">
        <v>1935.84</v>
      </c>
      <c r="M1704">
        <f>VLOOKUP(K1704,RatingLookup!$A$2:$C$8,2,FALSE)</f>
        <v>1.4999999999999999E-2</v>
      </c>
      <c r="N1704">
        <f t="shared" si="78"/>
        <v>1.2586770182638762E-3</v>
      </c>
      <c r="O1704">
        <f>VLOOKUP(K1704,RatingLookup!$A$2:$C$8,3,FALSE)</f>
        <v>0.5</v>
      </c>
      <c r="P1704">
        <f t="shared" si="79"/>
        <v>1.218298659517971</v>
      </c>
      <c r="Q1704" t="str">
        <f t="shared" ca="1" si="80"/>
        <v>No</v>
      </c>
    </row>
    <row r="1705" spans="1:17" x14ac:dyDescent="0.45">
      <c r="A1705" t="s">
        <v>92</v>
      </c>
      <c r="B1705" t="s">
        <v>93</v>
      </c>
      <c r="C1705" t="s">
        <v>19</v>
      </c>
      <c r="D1705" t="s">
        <v>20</v>
      </c>
      <c r="E1705" t="s">
        <v>21</v>
      </c>
      <c r="F1705" s="1">
        <v>44531</v>
      </c>
      <c r="G1705">
        <v>6.41</v>
      </c>
      <c r="H1705">
        <v>81.316199999999995</v>
      </c>
      <c r="I1705">
        <v>13.38</v>
      </c>
      <c r="J1705">
        <v>78.400000000000006</v>
      </c>
      <c r="K1705" t="s">
        <v>31</v>
      </c>
      <c r="L1705">
        <v>1762.65</v>
      </c>
      <c r="M1705">
        <f>VLOOKUP(K1705,RatingLookup!$A$2:$C$8,2,FALSE)</f>
        <v>0.04</v>
      </c>
      <c r="N1705">
        <f t="shared" si="78"/>
        <v>3.3960531989175591E-3</v>
      </c>
      <c r="O1705">
        <f>VLOOKUP(K1705,RatingLookup!$A$2:$C$8,3,FALSE)</f>
        <v>0.6</v>
      </c>
      <c r="P1705">
        <f t="shared" si="79"/>
        <v>3.5916319026432215</v>
      </c>
      <c r="Q1705" t="str">
        <f t="shared" ca="1" si="80"/>
        <v>No</v>
      </c>
    </row>
    <row r="1706" spans="1:17" x14ac:dyDescent="0.45">
      <c r="A1706" t="s">
        <v>92</v>
      </c>
      <c r="B1706" t="s">
        <v>93</v>
      </c>
      <c r="C1706" t="s">
        <v>19</v>
      </c>
      <c r="D1706" t="s">
        <v>20</v>
      </c>
      <c r="E1706" t="s">
        <v>21</v>
      </c>
      <c r="F1706" s="1">
        <v>44562</v>
      </c>
      <c r="G1706">
        <v>4.37</v>
      </c>
      <c r="H1706">
        <v>80.482399999999998</v>
      </c>
      <c r="I1706">
        <v>22.02</v>
      </c>
      <c r="J1706">
        <v>79.56</v>
      </c>
      <c r="K1706" t="s">
        <v>31</v>
      </c>
      <c r="L1706">
        <v>1691.42</v>
      </c>
      <c r="M1706">
        <f>VLOOKUP(K1706,RatingLookup!$A$2:$C$8,2,FALSE)</f>
        <v>0.04</v>
      </c>
      <c r="N1706">
        <f t="shared" si="78"/>
        <v>3.3960531989175591E-3</v>
      </c>
      <c r="O1706">
        <f>VLOOKUP(K1706,RatingLookup!$A$2:$C$8,3,FALSE)</f>
        <v>0.6</v>
      </c>
      <c r="P1706">
        <f t="shared" si="79"/>
        <v>3.4464913810278826</v>
      </c>
      <c r="Q1706" t="str">
        <f t="shared" ca="1" si="80"/>
        <v>No</v>
      </c>
    </row>
    <row r="1707" spans="1:17" x14ac:dyDescent="0.45">
      <c r="A1707" t="s">
        <v>92</v>
      </c>
      <c r="B1707" t="s">
        <v>93</v>
      </c>
      <c r="C1707" t="s">
        <v>19</v>
      </c>
      <c r="D1707" t="s">
        <v>20</v>
      </c>
      <c r="E1707" t="s">
        <v>21</v>
      </c>
      <c r="F1707" s="1">
        <v>44593</v>
      </c>
      <c r="G1707">
        <v>5.24</v>
      </c>
      <c r="H1707">
        <v>83.272400000000005</v>
      </c>
      <c r="I1707">
        <v>25.28</v>
      </c>
      <c r="J1707">
        <v>75.099999999999994</v>
      </c>
      <c r="K1707" t="s">
        <v>31</v>
      </c>
      <c r="L1707">
        <v>1440</v>
      </c>
      <c r="M1707">
        <f>VLOOKUP(K1707,RatingLookup!$A$2:$C$8,2,FALSE)</f>
        <v>0.04</v>
      </c>
      <c r="N1707">
        <f t="shared" si="78"/>
        <v>3.3960531989175591E-3</v>
      </c>
      <c r="O1707">
        <f>VLOOKUP(K1707,RatingLookup!$A$2:$C$8,3,FALSE)</f>
        <v>0.6</v>
      </c>
      <c r="P1707">
        <f t="shared" si="79"/>
        <v>2.934189963864771</v>
      </c>
      <c r="Q1707" t="str">
        <f t="shared" ca="1" si="80"/>
        <v>No</v>
      </c>
    </row>
    <row r="1708" spans="1:17" x14ac:dyDescent="0.45">
      <c r="A1708" t="s">
        <v>92</v>
      </c>
      <c r="B1708" t="s">
        <v>93</v>
      </c>
      <c r="C1708" t="s">
        <v>19</v>
      </c>
      <c r="D1708" t="s">
        <v>20</v>
      </c>
      <c r="E1708" t="s">
        <v>21</v>
      </c>
      <c r="F1708" s="1">
        <v>44621</v>
      </c>
      <c r="G1708">
        <v>5.41</v>
      </c>
      <c r="H1708">
        <v>82.178100000000001</v>
      </c>
      <c r="I1708">
        <v>21.68</v>
      </c>
      <c r="J1708">
        <v>84.18</v>
      </c>
      <c r="K1708" t="s">
        <v>31</v>
      </c>
      <c r="L1708">
        <v>1499.28</v>
      </c>
      <c r="M1708">
        <f>VLOOKUP(K1708,RatingLookup!$A$2:$C$8,2,FALSE)</f>
        <v>0.04</v>
      </c>
      <c r="N1708">
        <f t="shared" si="78"/>
        <v>3.3960531989175591E-3</v>
      </c>
      <c r="O1708">
        <f>VLOOKUP(K1708,RatingLookup!$A$2:$C$8,3,FALSE)</f>
        <v>0.6</v>
      </c>
      <c r="P1708">
        <f t="shared" si="79"/>
        <v>3.0549807840438707</v>
      </c>
      <c r="Q1708" t="str">
        <f t="shared" ca="1" si="80"/>
        <v>No</v>
      </c>
    </row>
    <row r="1709" spans="1:17" x14ac:dyDescent="0.45">
      <c r="A1709" t="s">
        <v>92</v>
      </c>
      <c r="B1709" t="s">
        <v>93</v>
      </c>
      <c r="C1709" t="s">
        <v>19</v>
      </c>
      <c r="D1709" t="s">
        <v>20</v>
      </c>
      <c r="E1709" t="s">
        <v>21</v>
      </c>
      <c r="F1709" s="1">
        <v>44652</v>
      </c>
      <c r="G1709">
        <v>5.49</v>
      </c>
      <c r="H1709">
        <v>77.615600000000001</v>
      </c>
      <c r="I1709">
        <v>26.48</v>
      </c>
      <c r="J1709">
        <v>77.77</v>
      </c>
      <c r="K1709" t="s">
        <v>31</v>
      </c>
      <c r="L1709">
        <v>1673.72</v>
      </c>
      <c r="M1709">
        <f>VLOOKUP(K1709,RatingLookup!$A$2:$C$8,2,FALSE)</f>
        <v>0.04</v>
      </c>
      <c r="N1709">
        <f t="shared" si="78"/>
        <v>3.3960531989175591E-3</v>
      </c>
      <c r="O1709">
        <f>VLOOKUP(K1709,RatingLookup!$A$2:$C$8,3,FALSE)</f>
        <v>0.6</v>
      </c>
      <c r="P1709">
        <f t="shared" si="79"/>
        <v>3.4104252960553785</v>
      </c>
      <c r="Q1709" t="str">
        <f t="shared" ca="1" si="80"/>
        <v>No</v>
      </c>
    </row>
    <row r="1710" spans="1:17" x14ac:dyDescent="0.45">
      <c r="A1710" t="s">
        <v>92</v>
      </c>
      <c r="B1710" t="s">
        <v>93</v>
      </c>
      <c r="C1710" t="s">
        <v>19</v>
      </c>
      <c r="D1710" t="s">
        <v>20</v>
      </c>
      <c r="E1710" t="s">
        <v>21</v>
      </c>
      <c r="F1710" s="1">
        <v>44682</v>
      </c>
      <c r="G1710">
        <v>4.58</v>
      </c>
      <c r="H1710">
        <v>82.343900000000005</v>
      </c>
      <c r="I1710">
        <v>22.61</v>
      </c>
      <c r="J1710">
        <v>78.37</v>
      </c>
      <c r="K1710" t="s">
        <v>31</v>
      </c>
      <c r="L1710">
        <v>1783.6</v>
      </c>
      <c r="M1710">
        <f>VLOOKUP(K1710,RatingLookup!$A$2:$C$8,2,FALSE)</f>
        <v>0.04</v>
      </c>
      <c r="N1710">
        <f t="shared" si="78"/>
        <v>3.3960531989175591E-3</v>
      </c>
      <c r="O1710">
        <f>VLOOKUP(K1710,RatingLookup!$A$2:$C$8,3,FALSE)</f>
        <v>0.6</v>
      </c>
      <c r="P1710">
        <f t="shared" si="79"/>
        <v>3.6343202913536148</v>
      </c>
      <c r="Q1710" t="str">
        <f t="shared" ca="1" si="80"/>
        <v>No</v>
      </c>
    </row>
    <row r="1711" spans="1:17" x14ac:dyDescent="0.45">
      <c r="A1711" t="s">
        <v>92</v>
      </c>
      <c r="B1711" t="s">
        <v>93</v>
      </c>
      <c r="C1711" t="s">
        <v>19</v>
      </c>
      <c r="D1711" t="s">
        <v>20</v>
      </c>
      <c r="E1711" t="s">
        <v>21</v>
      </c>
      <c r="F1711" s="1">
        <v>44713</v>
      </c>
      <c r="G1711">
        <v>4.99</v>
      </c>
      <c r="H1711">
        <v>85.692800000000005</v>
      </c>
      <c r="I1711">
        <v>23.61</v>
      </c>
      <c r="J1711">
        <v>78.790000000000006</v>
      </c>
      <c r="K1711" t="s">
        <v>31</v>
      </c>
      <c r="L1711">
        <v>1664.21</v>
      </c>
      <c r="M1711">
        <f>VLOOKUP(K1711,RatingLookup!$A$2:$C$8,2,FALSE)</f>
        <v>0.04</v>
      </c>
      <c r="N1711">
        <f t="shared" si="78"/>
        <v>3.3960531989175591E-3</v>
      </c>
      <c r="O1711">
        <f>VLOOKUP(K1711,RatingLookup!$A$2:$C$8,3,FALSE)</f>
        <v>0.6</v>
      </c>
      <c r="P1711">
        <f t="shared" si="79"/>
        <v>3.3910474165023547</v>
      </c>
      <c r="Q1711" t="str">
        <f t="shared" ca="1" si="80"/>
        <v>No</v>
      </c>
    </row>
    <row r="1712" spans="1:17" x14ac:dyDescent="0.45">
      <c r="A1712" t="s">
        <v>92</v>
      </c>
      <c r="B1712" t="s">
        <v>93</v>
      </c>
      <c r="C1712" t="s">
        <v>19</v>
      </c>
      <c r="D1712" t="s">
        <v>20</v>
      </c>
      <c r="E1712" t="s">
        <v>21</v>
      </c>
      <c r="F1712" s="1">
        <v>44743</v>
      </c>
      <c r="G1712">
        <v>5.85</v>
      </c>
      <c r="H1712">
        <v>82.227199999999996</v>
      </c>
      <c r="I1712">
        <v>18.96</v>
      </c>
      <c r="J1712">
        <v>87.92</v>
      </c>
      <c r="K1712" t="s">
        <v>31</v>
      </c>
      <c r="L1712">
        <v>1487.23</v>
      </c>
      <c r="M1712">
        <f>VLOOKUP(K1712,RatingLookup!$A$2:$C$8,2,FALSE)</f>
        <v>0.04</v>
      </c>
      <c r="N1712">
        <f t="shared" si="78"/>
        <v>3.3960531989175591E-3</v>
      </c>
      <c r="O1712">
        <f>VLOOKUP(K1712,RatingLookup!$A$2:$C$8,3,FALSE)</f>
        <v>0.6</v>
      </c>
      <c r="P1712">
        <f t="shared" si="79"/>
        <v>3.030427319415697</v>
      </c>
      <c r="Q1712" t="str">
        <f t="shared" ca="1" si="80"/>
        <v>No</v>
      </c>
    </row>
    <row r="1713" spans="1:17" x14ac:dyDescent="0.45">
      <c r="A1713" t="s">
        <v>92</v>
      </c>
      <c r="B1713" t="s">
        <v>93</v>
      </c>
      <c r="C1713" t="s">
        <v>19</v>
      </c>
      <c r="D1713" t="s">
        <v>20</v>
      </c>
      <c r="E1713" t="s">
        <v>21</v>
      </c>
      <c r="F1713" s="1">
        <v>44774</v>
      </c>
      <c r="G1713">
        <v>5.72</v>
      </c>
      <c r="H1713">
        <v>79.509299999999996</v>
      </c>
      <c r="I1713">
        <v>16.29</v>
      </c>
      <c r="J1713">
        <v>62.93</v>
      </c>
      <c r="K1713" t="s">
        <v>31</v>
      </c>
      <c r="L1713">
        <v>1653.76</v>
      </c>
      <c r="M1713">
        <f>VLOOKUP(K1713,RatingLookup!$A$2:$C$8,2,FALSE)</f>
        <v>0.04</v>
      </c>
      <c r="N1713">
        <f t="shared" si="78"/>
        <v>3.3960531989175591E-3</v>
      </c>
      <c r="O1713">
        <f>VLOOKUP(K1713,RatingLookup!$A$2:$C$8,3,FALSE)</f>
        <v>0.6</v>
      </c>
      <c r="P1713">
        <f t="shared" si="79"/>
        <v>3.3697541629451417</v>
      </c>
      <c r="Q1713" t="str">
        <f t="shared" ca="1" si="80"/>
        <v>No</v>
      </c>
    </row>
    <row r="1714" spans="1:17" x14ac:dyDescent="0.45">
      <c r="A1714" t="s">
        <v>92</v>
      </c>
      <c r="B1714" t="s">
        <v>93</v>
      </c>
      <c r="C1714" t="s">
        <v>19</v>
      </c>
      <c r="D1714" t="s">
        <v>20</v>
      </c>
      <c r="E1714" t="s">
        <v>21</v>
      </c>
      <c r="F1714" s="1">
        <v>44805</v>
      </c>
      <c r="G1714">
        <v>5.42</v>
      </c>
      <c r="H1714">
        <v>83.1297</v>
      </c>
      <c r="I1714">
        <v>21.34</v>
      </c>
      <c r="J1714">
        <v>66.22</v>
      </c>
      <c r="K1714" t="s">
        <v>31</v>
      </c>
      <c r="L1714">
        <v>1662.9</v>
      </c>
      <c r="M1714">
        <f>VLOOKUP(K1714,RatingLookup!$A$2:$C$8,2,FALSE)</f>
        <v>0.04</v>
      </c>
      <c r="N1714">
        <f t="shared" si="78"/>
        <v>3.3960531989175591E-3</v>
      </c>
      <c r="O1714">
        <f>VLOOKUP(K1714,RatingLookup!$A$2:$C$8,3,FALSE)</f>
        <v>0.6</v>
      </c>
      <c r="P1714">
        <f t="shared" si="79"/>
        <v>3.3883781186880055</v>
      </c>
      <c r="Q1714" t="str">
        <f t="shared" ca="1" si="80"/>
        <v>No</v>
      </c>
    </row>
    <row r="1715" spans="1:17" x14ac:dyDescent="0.45">
      <c r="A1715" t="s">
        <v>92</v>
      </c>
      <c r="B1715" t="s">
        <v>93</v>
      </c>
      <c r="C1715" t="s">
        <v>19</v>
      </c>
      <c r="D1715" t="s">
        <v>20</v>
      </c>
      <c r="E1715" t="s">
        <v>21</v>
      </c>
      <c r="F1715" s="1">
        <v>44835</v>
      </c>
      <c r="G1715">
        <v>6.37</v>
      </c>
      <c r="H1715">
        <v>80.255700000000004</v>
      </c>
      <c r="I1715">
        <v>20.51</v>
      </c>
      <c r="J1715">
        <v>91.25</v>
      </c>
      <c r="K1715" t="s">
        <v>31</v>
      </c>
      <c r="L1715">
        <v>1541.88</v>
      </c>
      <c r="M1715">
        <f>VLOOKUP(K1715,RatingLookup!$A$2:$C$8,2,FALSE)</f>
        <v>0.04</v>
      </c>
      <c r="N1715">
        <f t="shared" si="78"/>
        <v>3.3960531989175591E-3</v>
      </c>
      <c r="O1715">
        <f>VLOOKUP(K1715,RatingLookup!$A$2:$C$8,3,FALSE)</f>
        <v>0.6</v>
      </c>
      <c r="P1715">
        <f t="shared" si="79"/>
        <v>3.1417839038082036</v>
      </c>
      <c r="Q1715" t="str">
        <f t="shared" ca="1" si="80"/>
        <v>No</v>
      </c>
    </row>
    <row r="1716" spans="1:17" x14ac:dyDescent="0.45">
      <c r="A1716" t="s">
        <v>92</v>
      </c>
      <c r="B1716" t="s">
        <v>93</v>
      </c>
      <c r="C1716" t="s">
        <v>19</v>
      </c>
      <c r="D1716" t="s">
        <v>20</v>
      </c>
      <c r="E1716" t="s">
        <v>21</v>
      </c>
      <c r="F1716" s="1">
        <v>44866</v>
      </c>
      <c r="G1716">
        <v>5.98</v>
      </c>
      <c r="H1716">
        <v>82.124899999999997</v>
      </c>
      <c r="I1716">
        <v>24.75</v>
      </c>
      <c r="J1716">
        <v>70.16</v>
      </c>
      <c r="K1716" t="s">
        <v>31</v>
      </c>
      <c r="L1716">
        <v>1631.97</v>
      </c>
      <c r="M1716">
        <f>VLOOKUP(K1716,RatingLookup!$A$2:$C$8,2,FALSE)</f>
        <v>0.04</v>
      </c>
      <c r="N1716">
        <f t="shared" si="78"/>
        <v>3.3960531989175591E-3</v>
      </c>
      <c r="O1716">
        <f>VLOOKUP(K1716,RatingLookup!$A$2:$C$8,3,FALSE)</f>
        <v>0.6</v>
      </c>
      <c r="P1716">
        <f t="shared" si="79"/>
        <v>3.3253541634224932</v>
      </c>
      <c r="Q1716" t="str">
        <f t="shared" ca="1" si="80"/>
        <v>No</v>
      </c>
    </row>
    <row r="1717" spans="1:17" x14ac:dyDescent="0.45">
      <c r="A1717" t="s">
        <v>92</v>
      </c>
      <c r="B1717" t="s">
        <v>93</v>
      </c>
      <c r="C1717" t="s">
        <v>19</v>
      </c>
      <c r="D1717" t="s">
        <v>20</v>
      </c>
      <c r="E1717" t="s">
        <v>21</v>
      </c>
      <c r="F1717" s="1">
        <v>44896</v>
      </c>
      <c r="G1717">
        <v>4.59</v>
      </c>
      <c r="H1717">
        <v>84.052000000000007</v>
      </c>
      <c r="I1717">
        <v>21.65</v>
      </c>
      <c r="J1717">
        <v>77.59</v>
      </c>
      <c r="K1717" t="s">
        <v>31</v>
      </c>
      <c r="L1717">
        <v>1515.66</v>
      </c>
      <c r="M1717">
        <f>VLOOKUP(K1717,RatingLookup!$A$2:$C$8,2,FALSE)</f>
        <v>0.04</v>
      </c>
      <c r="N1717">
        <f t="shared" si="78"/>
        <v>3.3960531989175591E-3</v>
      </c>
      <c r="O1717">
        <f>VLOOKUP(K1717,RatingLookup!$A$2:$C$8,3,FALSE)</f>
        <v>0.6</v>
      </c>
      <c r="P1717">
        <f t="shared" si="79"/>
        <v>3.0883571948828328</v>
      </c>
      <c r="Q1717" t="str">
        <f t="shared" ca="1" si="80"/>
        <v>No</v>
      </c>
    </row>
    <row r="1718" spans="1:17" x14ac:dyDescent="0.45">
      <c r="A1718" t="s">
        <v>92</v>
      </c>
      <c r="B1718" t="s">
        <v>93</v>
      </c>
      <c r="C1718" t="s">
        <v>19</v>
      </c>
      <c r="D1718" t="s">
        <v>20</v>
      </c>
      <c r="E1718" t="s">
        <v>21</v>
      </c>
      <c r="F1718" s="1">
        <v>44927</v>
      </c>
      <c r="G1718">
        <v>5.45</v>
      </c>
      <c r="H1718">
        <v>84.584699999999998</v>
      </c>
      <c r="I1718">
        <v>11.51</v>
      </c>
      <c r="J1718">
        <v>87.43</v>
      </c>
      <c r="K1718" t="s">
        <v>30</v>
      </c>
      <c r="L1718">
        <v>1899.18</v>
      </c>
      <c r="M1718">
        <f>VLOOKUP(K1718,RatingLookup!$A$2:$C$8,2,FALSE)</f>
        <v>1.4999999999999999E-2</v>
      </c>
      <c r="N1718">
        <f t="shared" si="78"/>
        <v>1.2586770182638762E-3</v>
      </c>
      <c r="O1718">
        <f>VLOOKUP(K1718,RatingLookup!$A$2:$C$8,3,FALSE)</f>
        <v>0.5</v>
      </c>
      <c r="P1718">
        <f t="shared" si="79"/>
        <v>1.1952271097731944</v>
      </c>
      <c r="Q1718" t="str">
        <f t="shared" ca="1" si="80"/>
        <v>No</v>
      </c>
    </row>
    <row r="1719" spans="1:17" x14ac:dyDescent="0.45">
      <c r="A1719" t="s">
        <v>92</v>
      </c>
      <c r="B1719" t="s">
        <v>93</v>
      </c>
      <c r="C1719" t="s">
        <v>19</v>
      </c>
      <c r="D1719" t="s">
        <v>20</v>
      </c>
      <c r="E1719" t="s">
        <v>21</v>
      </c>
      <c r="F1719" s="1">
        <v>44958</v>
      </c>
      <c r="G1719">
        <v>5.08</v>
      </c>
      <c r="H1719">
        <v>85.173000000000002</v>
      </c>
      <c r="I1719">
        <v>19.71</v>
      </c>
      <c r="J1719">
        <v>90.69</v>
      </c>
      <c r="K1719" t="s">
        <v>30</v>
      </c>
      <c r="L1719">
        <v>1875.34</v>
      </c>
      <c r="M1719">
        <f>VLOOKUP(K1719,RatingLookup!$A$2:$C$8,2,FALSE)</f>
        <v>1.4999999999999999E-2</v>
      </c>
      <c r="N1719">
        <f t="shared" si="78"/>
        <v>1.2586770182638762E-3</v>
      </c>
      <c r="O1719">
        <f>VLOOKUP(K1719,RatingLookup!$A$2:$C$8,3,FALSE)</f>
        <v>0.5</v>
      </c>
      <c r="P1719">
        <f t="shared" si="79"/>
        <v>1.1802236797154888</v>
      </c>
      <c r="Q1719" t="str">
        <f t="shared" ca="1" si="80"/>
        <v>No</v>
      </c>
    </row>
    <row r="1720" spans="1:17" x14ac:dyDescent="0.45">
      <c r="A1720" t="s">
        <v>92</v>
      </c>
      <c r="B1720" t="s">
        <v>93</v>
      </c>
      <c r="C1720" t="s">
        <v>19</v>
      </c>
      <c r="D1720" t="s">
        <v>20</v>
      </c>
      <c r="E1720" t="s">
        <v>21</v>
      </c>
      <c r="F1720" s="1">
        <v>44986</v>
      </c>
      <c r="G1720">
        <v>5.91</v>
      </c>
      <c r="H1720">
        <v>83.566599999999994</v>
      </c>
      <c r="I1720">
        <v>12.48</v>
      </c>
      <c r="J1720">
        <v>72.02</v>
      </c>
      <c r="K1720" t="s">
        <v>30</v>
      </c>
      <c r="L1720">
        <v>1696.84</v>
      </c>
      <c r="M1720">
        <f>VLOOKUP(K1720,RatingLookup!$A$2:$C$8,2,FALSE)</f>
        <v>1.4999999999999999E-2</v>
      </c>
      <c r="N1720">
        <f t="shared" si="78"/>
        <v>1.2586770182638762E-3</v>
      </c>
      <c r="O1720">
        <f>VLOOKUP(K1720,RatingLookup!$A$2:$C$8,3,FALSE)</f>
        <v>0.5</v>
      </c>
      <c r="P1720">
        <f t="shared" si="79"/>
        <v>1.0678867558354379</v>
      </c>
      <c r="Q1720" t="str">
        <f t="shared" ca="1" si="80"/>
        <v>No</v>
      </c>
    </row>
    <row r="1721" spans="1:17" x14ac:dyDescent="0.45">
      <c r="A1721" t="s">
        <v>92</v>
      </c>
      <c r="B1721" t="s">
        <v>93</v>
      </c>
      <c r="C1721" t="s">
        <v>19</v>
      </c>
      <c r="D1721" t="s">
        <v>20</v>
      </c>
      <c r="E1721" t="s">
        <v>21</v>
      </c>
      <c r="F1721" s="1">
        <v>45017</v>
      </c>
      <c r="G1721">
        <v>5.59</v>
      </c>
      <c r="H1721">
        <v>84.757099999999994</v>
      </c>
      <c r="I1721">
        <v>17.03</v>
      </c>
      <c r="J1721">
        <v>101.1</v>
      </c>
      <c r="K1721" t="s">
        <v>30</v>
      </c>
      <c r="L1721">
        <v>1761.04</v>
      </c>
      <c r="M1721">
        <f>VLOOKUP(K1721,RatingLookup!$A$2:$C$8,2,FALSE)</f>
        <v>1.4999999999999999E-2</v>
      </c>
      <c r="N1721">
        <f t="shared" si="78"/>
        <v>1.2586770182638762E-3</v>
      </c>
      <c r="O1721">
        <f>VLOOKUP(K1721,RatingLookup!$A$2:$C$8,3,FALSE)</f>
        <v>0.5</v>
      </c>
      <c r="P1721">
        <f t="shared" si="79"/>
        <v>1.1082902881217083</v>
      </c>
      <c r="Q1721" t="str">
        <f t="shared" ca="1" si="80"/>
        <v>No</v>
      </c>
    </row>
    <row r="1722" spans="1:17" x14ac:dyDescent="0.45">
      <c r="A1722" t="s">
        <v>92</v>
      </c>
      <c r="B1722" t="s">
        <v>93</v>
      </c>
      <c r="C1722" t="s">
        <v>19</v>
      </c>
      <c r="D1722" t="s">
        <v>20</v>
      </c>
      <c r="E1722" t="s">
        <v>21</v>
      </c>
      <c r="F1722" s="1">
        <v>45047</v>
      </c>
      <c r="G1722">
        <v>5.29</v>
      </c>
      <c r="H1722">
        <v>83.896900000000002</v>
      </c>
      <c r="I1722">
        <v>9.2799999999999994</v>
      </c>
      <c r="J1722">
        <v>69.459999999999994</v>
      </c>
      <c r="K1722" t="s">
        <v>30</v>
      </c>
      <c r="L1722">
        <v>1719.94</v>
      </c>
      <c r="M1722">
        <f>VLOOKUP(K1722,RatingLookup!$A$2:$C$8,2,FALSE)</f>
        <v>1.4999999999999999E-2</v>
      </c>
      <c r="N1722">
        <f t="shared" si="78"/>
        <v>1.2586770182638762E-3</v>
      </c>
      <c r="O1722">
        <f>VLOOKUP(K1722,RatingLookup!$A$2:$C$8,3,FALSE)</f>
        <v>0.5</v>
      </c>
      <c r="P1722">
        <f t="shared" si="79"/>
        <v>1.0824244753963856</v>
      </c>
      <c r="Q1722" t="str">
        <f t="shared" ca="1" si="80"/>
        <v>No</v>
      </c>
    </row>
    <row r="1723" spans="1:17" x14ac:dyDescent="0.45">
      <c r="A1723" t="s">
        <v>92</v>
      </c>
      <c r="B1723" t="s">
        <v>93</v>
      </c>
      <c r="C1723" t="s">
        <v>19</v>
      </c>
      <c r="D1723" t="s">
        <v>20</v>
      </c>
      <c r="E1723" t="s">
        <v>21</v>
      </c>
      <c r="F1723" s="1">
        <v>45078</v>
      </c>
      <c r="G1723">
        <v>5.03</v>
      </c>
      <c r="H1723">
        <v>85.5471</v>
      </c>
      <c r="I1723">
        <v>14.25</v>
      </c>
      <c r="J1723">
        <v>79.33</v>
      </c>
      <c r="K1723" t="s">
        <v>30</v>
      </c>
      <c r="L1723">
        <v>1726.66</v>
      </c>
      <c r="M1723">
        <f>VLOOKUP(K1723,RatingLookup!$A$2:$C$8,2,FALSE)</f>
        <v>1.4999999999999999E-2</v>
      </c>
      <c r="N1723">
        <f t="shared" si="78"/>
        <v>1.2586770182638762E-3</v>
      </c>
      <c r="O1723">
        <f>VLOOKUP(K1723,RatingLookup!$A$2:$C$8,3,FALSE)</f>
        <v>0.5</v>
      </c>
      <c r="P1723">
        <f t="shared" si="79"/>
        <v>1.0866536301777523</v>
      </c>
      <c r="Q1723" t="str">
        <f t="shared" ca="1" si="80"/>
        <v>No</v>
      </c>
    </row>
    <row r="1724" spans="1:17" x14ac:dyDescent="0.45">
      <c r="A1724" t="s">
        <v>92</v>
      </c>
      <c r="B1724" t="s">
        <v>93</v>
      </c>
      <c r="C1724" t="s">
        <v>19</v>
      </c>
      <c r="D1724" t="s">
        <v>20</v>
      </c>
      <c r="E1724" t="s">
        <v>21</v>
      </c>
      <c r="F1724" s="1">
        <v>45108</v>
      </c>
      <c r="G1724">
        <v>5.38</v>
      </c>
      <c r="H1724">
        <v>83.465999999999994</v>
      </c>
      <c r="I1724">
        <v>16.86</v>
      </c>
      <c r="J1724">
        <v>91.47</v>
      </c>
      <c r="K1724" t="s">
        <v>30</v>
      </c>
      <c r="L1724">
        <v>1621.36</v>
      </c>
      <c r="M1724">
        <f>VLOOKUP(K1724,RatingLookup!$A$2:$C$8,2,FALSE)</f>
        <v>1.4999999999999999E-2</v>
      </c>
      <c r="N1724">
        <f t="shared" si="78"/>
        <v>1.2586770182638762E-3</v>
      </c>
      <c r="O1724">
        <f>VLOOKUP(K1724,RatingLookup!$A$2:$C$8,3,FALSE)</f>
        <v>0.5</v>
      </c>
      <c r="P1724">
        <f t="shared" si="79"/>
        <v>1.0203842851661591</v>
      </c>
      <c r="Q1724" t="str">
        <f t="shared" ca="1" si="80"/>
        <v>No</v>
      </c>
    </row>
    <row r="1725" spans="1:17" x14ac:dyDescent="0.45">
      <c r="A1725" t="s">
        <v>92</v>
      </c>
      <c r="B1725" t="s">
        <v>93</v>
      </c>
      <c r="C1725" t="s">
        <v>19</v>
      </c>
      <c r="D1725" t="s">
        <v>20</v>
      </c>
      <c r="E1725" t="s">
        <v>21</v>
      </c>
      <c r="F1725" s="1">
        <v>45139</v>
      </c>
      <c r="G1725">
        <v>6.13</v>
      </c>
      <c r="H1725">
        <v>82.835999999999999</v>
      </c>
      <c r="I1725">
        <v>23.09</v>
      </c>
      <c r="J1725">
        <v>70.5</v>
      </c>
      <c r="K1725" t="s">
        <v>30</v>
      </c>
      <c r="L1725">
        <v>1710.96</v>
      </c>
      <c r="M1725">
        <f>VLOOKUP(K1725,RatingLookup!$A$2:$C$8,2,FALSE)</f>
        <v>1.4999999999999999E-2</v>
      </c>
      <c r="N1725">
        <f t="shared" si="78"/>
        <v>1.2586770182638762E-3</v>
      </c>
      <c r="O1725">
        <f>VLOOKUP(K1725,RatingLookup!$A$2:$C$8,3,FALSE)</f>
        <v>0.5</v>
      </c>
      <c r="P1725">
        <f t="shared" si="79"/>
        <v>1.0767730155843809</v>
      </c>
      <c r="Q1725" t="str">
        <f t="shared" ca="1" si="80"/>
        <v>No</v>
      </c>
    </row>
    <row r="1726" spans="1:17" x14ac:dyDescent="0.45">
      <c r="A1726" t="s">
        <v>92</v>
      </c>
      <c r="B1726" t="s">
        <v>93</v>
      </c>
      <c r="C1726" t="s">
        <v>19</v>
      </c>
      <c r="D1726" t="s">
        <v>20</v>
      </c>
      <c r="E1726" t="s">
        <v>21</v>
      </c>
      <c r="F1726" s="1">
        <v>45170</v>
      </c>
      <c r="G1726">
        <v>5.48</v>
      </c>
      <c r="H1726">
        <v>80.8857</v>
      </c>
      <c r="I1726">
        <v>12.83</v>
      </c>
      <c r="J1726">
        <v>63.02</v>
      </c>
      <c r="K1726" t="s">
        <v>30</v>
      </c>
      <c r="L1726">
        <v>1840.28</v>
      </c>
      <c r="M1726">
        <f>VLOOKUP(K1726,RatingLookup!$A$2:$C$8,2,FALSE)</f>
        <v>1.4999999999999999E-2</v>
      </c>
      <c r="N1726">
        <f t="shared" si="78"/>
        <v>1.2586770182638762E-3</v>
      </c>
      <c r="O1726">
        <f>VLOOKUP(K1726,RatingLookup!$A$2:$C$8,3,FALSE)</f>
        <v>0.5</v>
      </c>
      <c r="P1726">
        <f t="shared" si="79"/>
        <v>1.1581590715853232</v>
      </c>
      <c r="Q1726" t="str">
        <f t="shared" ca="1" si="80"/>
        <v>No</v>
      </c>
    </row>
    <row r="1727" spans="1:17" x14ac:dyDescent="0.45">
      <c r="A1727" t="s">
        <v>92</v>
      </c>
      <c r="B1727" t="s">
        <v>93</v>
      </c>
      <c r="C1727" t="s">
        <v>19</v>
      </c>
      <c r="D1727" t="s">
        <v>20</v>
      </c>
      <c r="E1727" t="s">
        <v>21</v>
      </c>
      <c r="F1727" s="1">
        <v>45200</v>
      </c>
      <c r="G1727">
        <v>5.6</v>
      </c>
      <c r="H1727">
        <v>80.1678</v>
      </c>
      <c r="I1727">
        <v>15.68</v>
      </c>
      <c r="J1727">
        <v>77.52</v>
      </c>
      <c r="K1727" t="s">
        <v>30</v>
      </c>
      <c r="L1727">
        <v>1778.74</v>
      </c>
      <c r="M1727">
        <f>VLOOKUP(K1727,RatingLookup!$A$2:$C$8,2,FALSE)</f>
        <v>1.4999999999999999E-2</v>
      </c>
      <c r="N1727">
        <f t="shared" si="78"/>
        <v>1.2586770182638762E-3</v>
      </c>
      <c r="O1727">
        <f>VLOOKUP(K1727,RatingLookup!$A$2:$C$8,3,FALSE)</f>
        <v>0.5</v>
      </c>
      <c r="P1727">
        <f t="shared" si="79"/>
        <v>1.1194295797333436</v>
      </c>
      <c r="Q1727" t="str">
        <f t="shared" ca="1" si="80"/>
        <v>No</v>
      </c>
    </row>
    <row r="1728" spans="1:17" x14ac:dyDescent="0.45">
      <c r="A1728" t="s">
        <v>92</v>
      </c>
      <c r="B1728" t="s">
        <v>93</v>
      </c>
      <c r="C1728" t="s">
        <v>19</v>
      </c>
      <c r="D1728" t="s">
        <v>20</v>
      </c>
      <c r="E1728" t="s">
        <v>21</v>
      </c>
      <c r="F1728" s="1">
        <v>45231</v>
      </c>
      <c r="G1728">
        <v>5.74</v>
      </c>
      <c r="H1728">
        <v>78.606300000000005</v>
      </c>
      <c r="I1728">
        <v>21.51</v>
      </c>
      <c r="J1728">
        <v>77.47</v>
      </c>
      <c r="K1728" t="s">
        <v>30</v>
      </c>
      <c r="L1728">
        <v>1875.15</v>
      </c>
      <c r="M1728">
        <f>VLOOKUP(K1728,RatingLookup!$A$2:$C$8,2,FALSE)</f>
        <v>1.4999999999999999E-2</v>
      </c>
      <c r="N1728">
        <f t="shared" si="78"/>
        <v>1.2586770182638762E-3</v>
      </c>
      <c r="O1728">
        <f>VLOOKUP(K1728,RatingLookup!$A$2:$C$8,3,FALSE)</f>
        <v>0.5</v>
      </c>
      <c r="P1728">
        <f t="shared" si="79"/>
        <v>1.1801041053987538</v>
      </c>
      <c r="Q1728" t="str">
        <f t="shared" ca="1" si="80"/>
        <v>No</v>
      </c>
    </row>
    <row r="1729" spans="1:17" x14ac:dyDescent="0.45">
      <c r="A1729" t="s">
        <v>92</v>
      </c>
      <c r="B1729" t="s">
        <v>93</v>
      </c>
      <c r="C1729" t="s">
        <v>19</v>
      </c>
      <c r="D1729" t="s">
        <v>20</v>
      </c>
      <c r="E1729" t="s">
        <v>21</v>
      </c>
      <c r="F1729" s="1">
        <v>45261</v>
      </c>
      <c r="G1729">
        <v>5.0999999999999996</v>
      </c>
      <c r="H1729">
        <v>83.204700000000003</v>
      </c>
      <c r="I1729">
        <v>6.71</v>
      </c>
      <c r="J1729">
        <v>88.53</v>
      </c>
      <c r="K1729" t="s">
        <v>30</v>
      </c>
      <c r="L1729">
        <v>1938.39</v>
      </c>
      <c r="M1729">
        <f>VLOOKUP(K1729,RatingLookup!$A$2:$C$8,2,FALSE)</f>
        <v>1.4999999999999999E-2</v>
      </c>
      <c r="N1729">
        <f t="shared" si="78"/>
        <v>1.2586770182638762E-3</v>
      </c>
      <c r="O1729">
        <f>VLOOKUP(K1729,RatingLookup!$A$2:$C$8,3,FALSE)</f>
        <v>0.5</v>
      </c>
      <c r="P1729">
        <f t="shared" si="79"/>
        <v>1.2199034727162577</v>
      </c>
      <c r="Q1729" t="str">
        <f t="shared" ca="1" si="80"/>
        <v>No</v>
      </c>
    </row>
    <row r="1730" spans="1:17" x14ac:dyDescent="0.45">
      <c r="A1730" t="s">
        <v>92</v>
      </c>
      <c r="B1730" t="s">
        <v>93</v>
      </c>
      <c r="C1730" t="s">
        <v>19</v>
      </c>
      <c r="D1730" t="s">
        <v>20</v>
      </c>
      <c r="E1730" t="s">
        <v>21</v>
      </c>
      <c r="F1730" s="1">
        <v>45292</v>
      </c>
      <c r="G1730">
        <v>5.77</v>
      </c>
      <c r="H1730">
        <v>79.084400000000002</v>
      </c>
      <c r="I1730">
        <v>14.47</v>
      </c>
      <c r="J1730">
        <v>71.69</v>
      </c>
      <c r="K1730" t="s">
        <v>30</v>
      </c>
      <c r="L1730">
        <v>2008.26</v>
      </c>
      <c r="M1730">
        <f>VLOOKUP(K1730,RatingLookup!$A$2:$C$8,2,FALSE)</f>
        <v>1.4999999999999999E-2</v>
      </c>
      <c r="N1730">
        <f t="shared" ref="N1730:N1793" si="81">1-(1-M1730)^(1/12)</f>
        <v>1.2586770182638762E-3</v>
      </c>
      <c r="O1730">
        <f>VLOOKUP(K1730,RatingLookup!$A$2:$C$8,3,FALSE)</f>
        <v>0.5</v>
      </c>
      <c r="P1730">
        <f t="shared" ref="P1730:P1793" si="82">L1730*N1730*O1730</f>
        <v>1.263875354349306</v>
      </c>
      <c r="Q1730" t="str">
        <f t="shared" ref="Q1730:Q1793" ca="1" si="83">IF(RAND()&lt;N1730,"Yes","No")</f>
        <v>No</v>
      </c>
    </row>
    <row r="1731" spans="1:17" x14ac:dyDescent="0.45">
      <c r="A1731" t="s">
        <v>92</v>
      </c>
      <c r="B1731" t="s">
        <v>93</v>
      </c>
      <c r="C1731" t="s">
        <v>19</v>
      </c>
      <c r="D1731" t="s">
        <v>20</v>
      </c>
      <c r="E1731" t="s">
        <v>21</v>
      </c>
      <c r="F1731" s="1">
        <v>45323</v>
      </c>
      <c r="G1731">
        <v>6.13</v>
      </c>
      <c r="H1731">
        <v>83.508099999999999</v>
      </c>
      <c r="I1731">
        <v>22.54</v>
      </c>
      <c r="J1731">
        <v>69.36</v>
      </c>
      <c r="K1731" t="s">
        <v>30</v>
      </c>
      <c r="L1731">
        <v>1909.77</v>
      </c>
      <c r="M1731">
        <f>VLOOKUP(K1731,RatingLookup!$A$2:$C$8,2,FALSE)</f>
        <v>1.4999999999999999E-2</v>
      </c>
      <c r="N1731">
        <f t="shared" si="81"/>
        <v>1.2586770182638762E-3</v>
      </c>
      <c r="O1731">
        <f>VLOOKUP(K1731,RatingLookup!$A$2:$C$8,3,FALSE)</f>
        <v>0.5</v>
      </c>
      <c r="P1731">
        <f t="shared" si="82"/>
        <v>1.2018918045849014</v>
      </c>
      <c r="Q1731" t="str">
        <f t="shared" ca="1" si="83"/>
        <v>No</v>
      </c>
    </row>
    <row r="1732" spans="1:17" x14ac:dyDescent="0.45">
      <c r="A1732" t="s">
        <v>92</v>
      </c>
      <c r="B1732" t="s">
        <v>93</v>
      </c>
      <c r="C1732" t="s">
        <v>19</v>
      </c>
      <c r="D1732" t="s">
        <v>20</v>
      </c>
      <c r="E1732" t="s">
        <v>21</v>
      </c>
      <c r="F1732" s="1">
        <v>45352</v>
      </c>
      <c r="G1732">
        <v>5.85</v>
      </c>
      <c r="H1732">
        <v>83.864400000000003</v>
      </c>
      <c r="I1732">
        <v>19.14</v>
      </c>
      <c r="J1732">
        <v>88.4</v>
      </c>
      <c r="K1732" t="s">
        <v>30</v>
      </c>
      <c r="L1732">
        <v>1684.82</v>
      </c>
      <c r="M1732">
        <f>VLOOKUP(K1732,RatingLookup!$A$2:$C$8,2,FALSE)</f>
        <v>1.4999999999999999E-2</v>
      </c>
      <c r="N1732">
        <f t="shared" si="81"/>
        <v>1.2586770182638762E-3</v>
      </c>
      <c r="O1732">
        <f>VLOOKUP(K1732,RatingLookup!$A$2:$C$8,3,FALSE)</f>
        <v>0.5</v>
      </c>
      <c r="P1732">
        <f t="shared" si="82"/>
        <v>1.0603221069556719</v>
      </c>
      <c r="Q1732" t="str">
        <f t="shared" ca="1" si="83"/>
        <v>No</v>
      </c>
    </row>
    <row r="1733" spans="1:17" x14ac:dyDescent="0.45">
      <c r="A1733" t="s">
        <v>92</v>
      </c>
      <c r="B1733" t="s">
        <v>93</v>
      </c>
      <c r="C1733" t="s">
        <v>19</v>
      </c>
      <c r="D1733" t="s">
        <v>20</v>
      </c>
      <c r="E1733" t="s">
        <v>21</v>
      </c>
      <c r="F1733" s="1">
        <v>45383</v>
      </c>
      <c r="G1733">
        <v>6.61</v>
      </c>
      <c r="H1733">
        <v>87.669600000000003</v>
      </c>
      <c r="I1733">
        <v>14.76</v>
      </c>
      <c r="J1733">
        <v>90.33</v>
      </c>
      <c r="K1733" t="s">
        <v>30</v>
      </c>
      <c r="L1733">
        <v>1768.95</v>
      </c>
      <c r="M1733">
        <f>VLOOKUP(K1733,RatingLookup!$A$2:$C$8,2,FALSE)</f>
        <v>1.4999999999999999E-2</v>
      </c>
      <c r="N1733">
        <f t="shared" si="81"/>
        <v>1.2586770182638762E-3</v>
      </c>
      <c r="O1733">
        <f>VLOOKUP(K1733,RatingLookup!$A$2:$C$8,3,FALSE)</f>
        <v>0.5</v>
      </c>
      <c r="P1733">
        <f t="shared" si="82"/>
        <v>1.113268355728942</v>
      </c>
      <c r="Q1733" t="str">
        <f t="shared" ca="1" si="83"/>
        <v>No</v>
      </c>
    </row>
    <row r="1734" spans="1:17" x14ac:dyDescent="0.45">
      <c r="A1734" t="s">
        <v>92</v>
      </c>
      <c r="B1734" t="s">
        <v>93</v>
      </c>
      <c r="C1734" t="s">
        <v>19</v>
      </c>
      <c r="D1734" t="s">
        <v>20</v>
      </c>
      <c r="E1734" t="s">
        <v>21</v>
      </c>
      <c r="F1734" s="1">
        <v>45413</v>
      </c>
      <c r="G1734">
        <v>5.84</v>
      </c>
      <c r="H1734">
        <v>85.575699999999998</v>
      </c>
      <c r="I1734">
        <v>20.39</v>
      </c>
      <c r="J1734">
        <v>64.22</v>
      </c>
      <c r="K1734" t="s">
        <v>30</v>
      </c>
      <c r="L1734">
        <v>1848.31</v>
      </c>
      <c r="M1734">
        <f>VLOOKUP(K1734,RatingLookup!$A$2:$C$8,2,FALSE)</f>
        <v>1.4999999999999999E-2</v>
      </c>
      <c r="N1734">
        <f t="shared" si="81"/>
        <v>1.2586770182638762E-3</v>
      </c>
      <c r="O1734">
        <f>VLOOKUP(K1734,RatingLookup!$A$2:$C$8,3,FALSE)</f>
        <v>0.5</v>
      </c>
      <c r="P1734">
        <f t="shared" si="82"/>
        <v>1.1632126598136525</v>
      </c>
      <c r="Q1734" t="str">
        <f t="shared" ca="1" si="83"/>
        <v>No</v>
      </c>
    </row>
    <row r="1735" spans="1:17" x14ac:dyDescent="0.45">
      <c r="A1735" t="s">
        <v>92</v>
      </c>
      <c r="B1735" t="s">
        <v>93</v>
      </c>
      <c r="C1735" t="s">
        <v>19</v>
      </c>
      <c r="D1735" t="s">
        <v>20</v>
      </c>
      <c r="E1735" t="s">
        <v>21</v>
      </c>
      <c r="F1735" s="1">
        <v>45444</v>
      </c>
      <c r="G1735">
        <v>5.41</v>
      </c>
      <c r="H1735">
        <v>85.894599999999997</v>
      </c>
      <c r="I1735">
        <v>19.100000000000001</v>
      </c>
      <c r="J1735">
        <v>89.53</v>
      </c>
      <c r="K1735" t="s">
        <v>30</v>
      </c>
      <c r="L1735">
        <v>1834.93</v>
      </c>
      <c r="M1735">
        <f>VLOOKUP(K1735,RatingLookup!$A$2:$C$8,2,FALSE)</f>
        <v>1.4999999999999999E-2</v>
      </c>
      <c r="N1735">
        <f t="shared" si="81"/>
        <v>1.2586770182638762E-3</v>
      </c>
      <c r="O1735">
        <f>VLOOKUP(K1735,RatingLookup!$A$2:$C$8,3,FALSE)</f>
        <v>0.5</v>
      </c>
      <c r="P1735">
        <f t="shared" si="82"/>
        <v>1.1547921105614674</v>
      </c>
      <c r="Q1735" t="str">
        <f t="shared" ca="1" si="83"/>
        <v>No</v>
      </c>
    </row>
    <row r="1736" spans="1:17" x14ac:dyDescent="0.45">
      <c r="A1736" t="s">
        <v>92</v>
      </c>
      <c r="B1736" t="s">
        <v>93</v>
      </c>
      <c r="C1736" t="s">
        <v>19</v>
      </c>
      <c r="D1736" t="s">
        <v>20</v>
      </c>
      <c r="E1736" t="s">
        <v>21</v>
      </c>
      <c r="F1736" s="1">
        <v>45474</v>
      </c>
      <c r="G1736">
        <v>4.9800000000000004</v>
      </c>
      <c r="H1736">
        <v>86.285399999999996</v>
      </c>
      <c r="I1736">
        <v>20.86</v>
      </c>
      <c r="J1736">
        <v>88.72</v>
      </c>
      <c r="K1736" t="s">
        <v>30</v>
      </c>
      <c r="L1736">
        <v>1760.98</v>
      </c>
      <c r="M1736">
        <f>VLOOKUP(K1736,RatingLookup!$A$2:$C$8,2,FALSE)</f>
        <v>1.4999999999999999E-2</v>
      </c>
      <c r="N1736">
        <f t="shared" si="81"/>
        <v>1.2586770182638762E-3</v>
      </c>
      <c r="O1736">
        <f>VLOOKUP(K1736,RatingLookup!$A$2:$C$8,3,FALSE)</f>
        <v>0.5</v>
      </c>
      <c r="P1736">
        <f t="shared" si="82"/>
        <v>1.1082525278111603</v>
      </c>
      <c r="Q1736" t="str">
        <f t="shared" ca="1" si="83"/>
        <v>No</v>
      </c>
    </row>
    <row r="1737" spans="1:17" x14ac:dyDescent="0.45">
      <c r="A1737" t="s">
        <v>92</v>
      </c>
      <c r="B1737" t="s">
        <v>93</v>
      </c>
      <c r="C1737" t="s">
        <v>19</v>
      </c>
      <c r="D1737" t="s">
        <v>20</v>
      </c>
      <c r="E1737" t="s">
        <v>21</v>
      </c>
      <c r="F1737" s="1">
        <v>45505</v>
      </c>
      <c r="G1737">
        <v>6.09</v>
      </c>
      <c r="H1737">
        <v>87.529600000000002</v>
      </c>
      <c r="I1737">
        <v>5</v>
      </c>
      <c r="J1737">
        <v>110.4</v>
      </c>
      <c r="K1737" t="s">
        <v>30</v>
      </c>
      <c r="L1737">
        <v>1862.18</v>
      </c>
      <c r="M1737">
        <f>VLOOKUP(K1737,RatingLookup!$A$2:$C$8,2,FALSE)</f>
        <v>1.4999999999999999E-2</v>
      </c>
      <c r="N1737">
        <f t="shared" si="81"/>
        <v>1.2586770182638762E-3</v>
      </c>
      <c r="O1737">
        <f>VLOOKUP(K1737,RatingLookup!$A$2:$C$8,3,FALSE)</f>
        <v>0.5</v>
      </c>
      <c r="P1737">
        <f t="shared" si="82"/>
        <v>1.1719415849353125</v>
      </c>
      <c r="Q1737" t="str">
        <f t="shared" ca="1" si="83"/>
        <v>No</v>
      </c>
    </row>
    <row r="1738" spans="1:17" x14ac:dyDescent="0.45">
      <c r="A1738" t="s">
        <v>92</v>
      </c>
      <c r="B1738" t="s">
        <v>93</v>
      </c>
      <c r="C1738" t="s">
        <v>19</v>
      </c>
      <c r="D1738" t="s">
        <v>20</v>
      </c>
      <c r="E1738" t="s">
        <v>21</v>
      </c>
      <c r="F1738" s="1">
        <v>45536</v>
      </c>
      <c r="G1738">
        <v>5.92</v>
      </c>
      <c r="H1738">
        <v>82.288899999999998</v>
      </c>
      <c r="I1738">
        <v>31.33</v>
      </c>
      <c r="J1738">
        <v>95.36</v>
      </c>
      <c r="K1738" t="s">
        <v>30</v>
      </c>
      <c r="L1738">
        <v>2063.4699999999998</v>
      </c>
      <c r="M1738">
        <f>VLOOKUP(K1738,RatingLookup!$A$2:$C$8,2,FALSE)</f>
        <v>1.4999999999999999E-2</v>
      </c>
      <c r="N1738">
        <f t="shared" si="81"/>
        <v>1.2586770182638762E-3</v>
      </c>
      <c r="O1738">
        <f>VLOOKUP(K1738,RatingLookup!$A$2:$C$8,3,FALSE)</f>
        <v>0.5</v>
      </c>
      <c r="P1738">
        <f t="shared" si="82"/>
        <v>1.2986211334384803</v>
      </c>
      <c r="Q1738" t="str">
        <f t="shared" ca="1" si="83"/>
        <v>No</v>
      </c>
    </row>
    <row r="1739" spans="1:17" x14ac:dyDescent="0.45">
      <c r="A1739" t="s">
        <v>92</v>
      </c>
      <c r="B1739" t="s">
        <v>93</v>
      </c>
      <c r="C1739" t="s">
        <v>19</v>
      </c>
      <c r="D1739" t="s">
        <v>20</v>
      </c>
      <c r="E1739" t="s">
        <v>21</v>
      </c>
      <c r="F1739" s="1">
        <v>45566</v>
      </c>
      <c r="G1739">
        <v>4.7699999999999996</v>
      </c>
      <c r="H1739">
        <v>80.411299999999997</v>
      </c>
      <c r="I1739">
        <v>17.18</v>
      </c>
      <c r="J1739">
        <v>77.62</v>
      </c>
      <c r="K1739" t="s">
        <v>30</v>
      </c>
      <c r="L1739">
        <v>1836.62</v>
      </c>
      <c r="M1739">
        <f>VLOOKUP(K1739,RatingLookup!$A$2:$C$8,2,FALSE)</f>
        <v>1.4999999999999999E-2</v>
      </c>
      <c r="N1739">
        <f t="shared" si="81"/>
        <v>1.2586770182638762E-3</v>
      </c>
      <c r="O1739">
        <f>VLOOKUP(K1739,RatingLookup!$A$2:$C$8,3,FALSE)</f>
        <v>0.5</v>
      </c>
      <c r="P1739">
        <f t="shared" si="82"/>
        <v>1.1558556926419001</v>
      </c>
      <c r="Q1739" t="str">
        <f t="shared" ca="1" si="83"/>
        <v>No</v>
      </c>
    </row>
    <row r="1740" spans="1:17" x14ac:dyDescent="0.45">
      <c r="A1740" t="s">
        <v>92</v>
      </c>
      <c r="B1740" t="s">
        <v>93</v>
      </c>
      <c r="C1740" t="s">
        <v>19</v>
      </c>
      <c r="D1740" t="s">
        <v>20</v>
      </c>
      <c r="E1740" t="s">
        <v>21</v>
      </c>
      <c r="F1740" s="1">
        <v>45597</v>
      </c>
      <c r="G1740">
        <v>5.69</v>
      </c>
      <c r="H1740">
        <v>87.278800000000004</v>
      </c>
      <c r="I1740">
        <v>24.13</v>
      </c>
      <c r="J1740">
        <v>69.010000000000005</v>
      </c>
      <c r="K1740" t="s">
        <v>30</v>
      </c>
      <c r="L1740">
        <v>1792.37</v>
      </c>
      <c r="M1740">
        <f>VLOOKUP(K1740,RatingLookup!$A$2:$C$8,2,FALSE)</f>
        <v>1.4999999999999999E-2</v>
      </c>
      <c r="N1740">
        <f t="shared" si="81"/>
        <v>1.2586770182638762E-3</v>
      </c>
      <c r="O1740">
        <f>VLOOKUP(K1740,RatingLookup!$A$2:$C$8,3,FALSE)</f>
        <v>0.5</v>
      </c>
      <c r="P1740">
        <f t="shared" si="82"/>
        <v>1.1280074636128119</v>
      </c>
      <c r="Q1740" t="str">
        <f t="shared" ca="1" si="83"/>
        <v>No</v>
      </c>
    </row>
    <row r="1741" spans="1:17" x14ac:dyDescent="0.45">
      <c r="A1741" t="s">
        <v>92</v>
      </c>
      <c r="B1741" t="s">
        <v>93</v>
      </c>
      <c r="C1741" t="s">
        <v>19</v>
      </c>
      <c r="D1741" t="s">
        <v>20</v>
      </c>
      <c r="E1741" t="s">
        <v>21</v>
      </c>
      <c r="F1741" s="1">
        <v>45627</v>
      </c>
      <c r="G1741">
        <v>5.45</v>
      </c>
      <c r="H1741">
        <v>84.279799999999994</v>
      </c>
      <c r="I1741">
        <v>25.63</v>
      </c>
      <c r="J1741">
        <v>83.73</v>
      </c>
      <c r="K1741" t="s">
        <v>30</v>
      </c>
      <c r="L1741">
        <v>1860.97</v>
      </c>
      <c r="M1741">
        <f>VLOOKUP(K1741,RatingLookup!$A$2:$C$8,2,FALSE)</f>
        <v>1.4999999999999999E-2</v>
      </c>
      <c r="N1741">
        <f t="shared" si="81"/>
        <v>1.2586770182638762E-3</v>
      </c>
      <c r="O1741">
        <f>VLOOKUP(K1741,RatingLookup!$A$2:$C$8,3,FALSE)</f>
        <v>0.5</v>
      </c>
      <c r="P1741">
        <f t="shared" si="82"/>
        <v>1.1711800853392629</v>
      </c>
      <c r="Q1741" t="str">
        <f t="shared" ca="1" si="83"/>
        <v>No</v>
      </c>
    </row>
    <row r="1742" spans="1:17" x14ac:dyDescent="0.45">
      <c r="A1742" t="s">
        <v>94</v>
      </c>
      <c r="B1742" t="s">
        <v>95</v>
      </c>
      <c r="C1742" t="s">
        <v>26</v>
      </c>
      <c r="D1742" t="s">
        <v>20</v>
      </c>
      <c r="E1742" t="s">
        <v>21</v>
      </c>
      <c r="F1742" s="1">
        <v>43831</v>
      </c>
      <c r="G1742">
        <v>4.3499999999999996</v>
      </c>
      <c r="H1742">
        <v>83.104900000000001</v>
      </c>
      <c r="I1742">
        <v>23.05</v>
      </c>
      <c r="J1742">
        <v>61.81</v>
      </c>
      <c r="K1742" t="s">
        <v>30</v>
      </c>
      <c r="L1742">
        <v>11667.4</v>
      </c>
      <c r="M1742">
        <f>VLOOKUP(K1742,RatingLookup!$A$2:$C$8,2,FALSE)</f>
        <v>1.4999999999999999E-2</v>
      </c>
      <c r="N1742">
        <f t="shared" si="81"/>
        <v>1.2586770182638762E-3</v>
      </c>
      <c r="O1742">
        <f>VLOOKUP(K1742,RatingLookup!$A$2:$C$8,3,FALSE)</f>
        <v>0.5</v>
      </c>
      <c r="P1742">
        <f t="shared" si="82"/>
        <v>7.3427441214459748</v>
      </c>
      <c r="Q1742" t="str">
        <f t="shared" ca="1" si="83"/>
        <v>No</v>
      </c>
    </row>
    <row r="1743" spans="1:17" x14ac:dyDescent="0.45">
      <c r="A1743" t="s">
        <v>94</v>
      </c>
      <c r="B1743" t="s">
        <v>95</v>
      </c>
      <c r="C1743" t="s">
        <v>26</v>
      </c>
      <c r="D1743" t="s">
        <v>20</v>
      </c>
      <c r="E1743" t="s">
        <v>21</v>
      </c>
      <c r="F1743" s="1">
        <v>43862</v>
      </c>
      <c r="G1743">
        <v>5.44</v>
      </c>
      <c r="H1743">
        <v>84.315399999999997</v>
      </c>
      <c r="I1743">
        <v>24.88</v>
      </c>
      <c r="J1743">
        <v>73.150000000000006</v>
      </c>
      <c r="K1743" t="s">
        <v>30</v>
      </c>
      <c r="L1743">
        <v>11775.23</v>
      </c>
      <c r="M1743">
        <f>VLOOKUP(K1743,RatingLookup!$A$2:$C$8,2,FALSE)</f>
        <v>1.4999999999999999E-2</v>
      </c>
      <c r="N1743">
        <f t="shared" si="81"/>
        <v>1.2586770182638762E-3</v>
      </c>
      <c r="O1743">
        <f>VLOOKUP(K1743,RatingLookup!$A$2:$C$8,3,FALSE)</f>
        <v>0.5</v>
      </c>
      <c r="P1743">
        <f t="shared" si="82"/>
        <v>7.4106056928856718</v>
      </c>
      <c r="Q1743" t="str">
        <f t="shared" ca="1" si="83"/>
        <v>No</v>
      </c>
    </row>
    <row r="1744" spans="1:17" x14ac:dyDescent="0.45">
      <c r="A1744" t="s">
        <v>94</v>
      </c>
      <c r="B1744" t="s">
        <v>95</v>
      </c>
      <c r="C1744" t="s">
        <v>26</v>
      </c>
      <c r="D1744" t="s">
        <v>20</v>
      </c>
      <c r="E1744" t="s">
        <v>21</v>
      </c>
      <c r="F1744" s="1">
        <v>43891</v>
      </c>
      <c r="G1744">
        <v>6.15</v>
      </c>
      <c r="H1744">
        <v>79.291200000000003</v>
      </c>
      <c r="I1744">
        <v>15.48</v>
      </c>
      <c r="J1744">
        <v>77.06</v>
      </c>
      <c r="K1744" t="s">
        <v>30</v>
      </c>
      <c r="L1744">
        <v>12897.91</v>
      </c>
      <c r="M1744">
        <f>VLOOKUP(K1744,RatingLookup!$A$2:$C$8,2,FALSE)</f>
        <v>1.4999999999999999E-2</v>
      </c>
      <c r="N1744">
        <f t="shared" si="81"/>
        <v>1.2586770182638762E-3</v>
      </c>
      <c r="O1744">
        <f>VLOOKUP(K1744,RatingLookup!$A$2:$C$8,3,FALSE)</f>
        <v>0.5</v>
      </c>
      <c r="P1744">
        <f t="shared" si="82"/>
        <v>8.1171514503179161</v>
      </c>
      <c r="Q1744" t="str">
        <f t="shared" ca="1" si="83"/>
        <v>No</v>
      </c>
    </row>
    <row r="1745" spans="1:17" x14ac:dyDescent="0.45">
      <c r="A1745" t="s">
        <v>94</v>
      </c>
      <c r="B1745" t="s">
        <v>95</v>
      </c>
      <c r="C1745" t="s">
        <v>26</v>
      </c>
      <c r="D1745" t="s">
        <v>20</v>
      </c>
      <c r="E1745" t="s">
        <v>21</v>
      </c>
      <c r="F1745" s="1">
        <v>43922</v>
      </c>
      <c r="G1745">
        <v>5.26</v>
      </c>
      <c r="H1745">
        <v>83.717399999999998</v>
      </c>
      <c r="I1745">
        <v>31.16</v>
      </c>
      <c r="J1745">
        <v>86.23</v>
      </c>
      <c r="K1745" t="s">
        <v>30</v>
      </c>
      <c r="L1745">
        <v>11577.32</v>
      </c>
      <c r="M1745">
        <f>VLOOKUP(K1745,RatingLookup!$A$2:$C$8,2,FALSE)</f>
        <v>1.4999999999999999E-2</v>
      </c>
      <c r="N1745">
        <f t="shared" si="81"/>
        <v>1.2586770182638762E-3</v>
      </c>
      <c r="O1745">
        <f>VLOOKUP(K1745,RatingLookup!$A$2:$C$8,3,FALSE)</f>
        <v>0.5</v>
      </c>
      <c r="P1745">
        <f t="shared" si="82"/>
        <v>7.2860533085433694</v>
      </c>
      <c r="Q1745" t="str">
        <f t="shared" ca="1" si="83"/>
        <v>No</v>
      </c>
    </row>
    <row r="1746" spans="1:17" x14ac:dyDescent="0.45">
      <c r="A1746" t="s">
        <v>94</v>
      </c>
      <c r="B1746" t="s">
        <v>95</v>
      </c>
      <c r="C1746" t="s">
        <v>26</v>
      </c>
      <c r="D1746" t="s">
        <v>20</v>
      </c>
      <c r="E1746" t="s">
        <v>21</v>
      </c>
      <c r="F1746" s="1">
        <v>43952</v>
      </c>
      <c r="G1746">
        <v>5.33</v>
      </c>
      <c r="H1746">
        <v>80.018500000000003</v>
      </c>
      <c r="I1746">
        <v>10.25</v>
      </c>
      <c r="J1746">
        <v>78.81</v>
      </c>
      <c r="K1746" t="s">
        <v>30</v>
      </c>
      <c r="L1746">
        <v>12063.37</v>
      </c>
      <c r="M1746">
        <f>VLOOKUP(K1746,RatingLookup!$A$2:$C$8,2,FALSE)</f>
        <v>1.4999999999999999E-2</v>
      </c>
      <c r="N1746">
        <f t="shared" si="81"/>
        <v>1.2586770182638762E-3</v>
      </c>
      <c r="O1746">
        <f>VLOOKUP(K1746,RatingLookup!$A$2:$C$8,3,FALSE)</f>
        <v>0.5</v>
      </c>
      <c r="P1746">
        <f t="shared" si="82"/>
        <v>7.5919432909069489</v>
      </c>
      <c r="Q1746" t="str">
        <f t="shared" ca="1" si="83"/>
        <v>No</v>
      </c>
    </row>
    <row r="1747" spans="1:17" x14ac:dyDescent="0.45">
      <c r="A1747" t="s">
        <v>94</v>
      </c>
      <c r="B1747" t="s">
        <v>95</v>
      </c>
      <c r="C1747" t="s">
        <v>26</v>
      </c>
      <c r="D1747" t="s">
        <v>20</v>
      </c>
      <c r="E1747" t="s">
        <v>21</v>
      </c>
      <c r="F1747" s="1">
        <v>43983</v>
      </c>
      <c r="G1747">
        <v>5.95</v>
      </c>
      <c r="H1747">
        <v>78.703900000000004</v>
      </c>
      <c r="I1747">
        <v>9.27</v>
      </c>
      <c r="J1747">
        <v>67.3</v>
      </c>
      <c r="K1747" t="s">
        <v>30</v>
      </c>
      <c r="L1747">
        <v>11723.51</v>
      </c>
      <c r="M1747">
        <f>VLOOKUP(K1747,RatingLookup!$A$2:$C$8,2,FALSE)</f>
        <v>1.4999999999999999E-2</v>
      </c>
      <c r="N1747">
        <f t="shared" si="81"/>
        <v>1.2586770182638762E-3</v>
      </c>
      <c r="O1747">
        <f>VLOOKUP(K1747,RatingLookup!$A$2:$C$8,3,FALSE)</f>
        <v>0.5</v>
      </c>
      <c r="P1747">
        <f t="shared" si="82"/>
        <v>7.3780563051933683</v>
      </c>
      <c r="Q1747" t="str">
        <f t="shared" ca="1" si="83"/>
        <v>No</v>
      </c>
    </row>
    <row r="1748" spans="1:17" x14ac:dyDescent="0.45">
      <c r="A1748" t="s">
        <v>94</v>
      </c>
      <c r="B1748" t="s">
        <v>95</v>
      </c>
      <c r="C1748" t="s">
        <v>26</v>
      </c>
      <c r="D1748" t="s">
        <v>20</v>
      </c>
      <c r="E1748" t="s">
        <v>21</v>
      </c>
      <c r="F1748" s="1">
        <v>44013</v>
      </c>
      <c r="G1748">
        <v>5.0599999999999996</v>
      </c>
      <c r="H1748">
        <v>79.8262</v>
      </c>
      <c r="I1748">
        <v>24.45</v>
      </c>
      <c r="J1748">
        <v>77.67</v>
      </c>
      <c r="K1748" t="s">
        <v>30</v>
      </c>
      <c r="L1748">
        <v>12219.09</v>
      </c>
      <c r="M1748">
        <f>VLOOKUP(K1748,RatingLookup!$A$2:$C$8,2,FALSE)</f>
        <v>1.4999999999999999E-2</v>
      </c>
      <c r="N1748">
        <f t="shared" si="81"/>
        <v>1.2586770182638762E-3</v>
      </c>
      <c r="O1748">
        <f>VLOOKUP(K1748,RatingLookup!$A$2:$C$8,3,FALSE)</f>
        <v>0.5</v>
      </c>
      <c r="P1748">
        <f t="shared" si="82"/>
        <v>7.689943883548974</v>
      </c>
      <c r="Q1748" t="str">
        <f t="shared" ca="1" si="83"/>
        <v>No</v>
      </c>
    </row>
    <row r="1749" spans="1:17" x14ac:dyDescent="0.45">
      <c r="A1749" t="s">
        <v>94</v>
      </c>
      <c r="B1749" t="s">
        <v>95</v>
      </c>
      <c r="C1749" t="s">
        <v>26</v>
      </c>
      <c r="D1749" t="s">
        <v>20</v>
      </c>
      <c r="E1749" t="s">
        <v>21</v>
      </c>
      <c r="F1749" s="1">
        <v>44044</v>
      </c>
      <c r="G1749">
        <v>5.47</v>
      </c>
      <c r="H1749">
        <v>81.770399999999995</v>
      </c>
      <c r="I1749">
        <v>11.85</v>
      </c>
      <c r="J1749">
        <v>95.24</v>
      </c>
      <c r="K1749" t="s">
        <v>30</v>
      </c>
      <c r="L1749">
        <v>12564.38</v>
      </c>
      <c r="M1749">
        <f>VLOOKUP(K1749,RatingLookup!$A$2:$C$8,2,FALSE)</f>
        <v>1.4999999999999999E-2</v>
      </c>
      <c r="N1749">
        <f t="shared" si="81"/>
        <v>1.2586770182638762E-3</v>
      </c>
      <c r="O1749">
        <f>VLOOKUP(K1749,RatingLookup!$A$2:$C$8,3,FALSE)</f>
        <v>0.5</v>
      </c>
      <c r="P1749">
        <f t="shared" si="82"/>
        <v>7.9072481773671406</v>
      </c>
      <c r="Q1749" t="str">
        <f t="shared" ca="1" si="83"/>
        <v>No</v>
      </c>
    </row>
    <row r="1750" spans="1:17" x14ac:dyDescent="0.45">
      <c r="A1750" t="s">
        <v>94</v>
      </c>
      <c r="B1750" t="s">
        <v>95</v>
      </c>
      <c r="C1750" t="s">
        <v>26</v>
      </c>
      <c r="D1750" t="s">
        <v>20</v>
      </c>
      <c r="E1750" t="s">
        <v>21</v>
      </c>
      <c r="F1750" s="1">
        <v>44075</v>
      </c>
      <c r="G1750">
        <v>5.4</v>
      </c>
      <c r="H1750">
        <v>87.544899999999998</v>
      </c>
      <c r="I1750">
        <v>20.54</v>
      </c>
      <c r="J1750">
        <v>71.52</v>
      </c>
      <c r="K1750" t="s">
        <v>30</v>
      </c>
      <c r="L1750">
        <v>11893.75</v>
      </c>
      <c r="M1750">
        <f>VLOOKUP(K1750,RatingLookup!$A$2:$C$8,2,FALSE)</f>
        <v>1.4999999999999999E-2</v>
      </c>
      <c r="N1750">
        <f t="shared" si="81"/>
        <v>1.2586770182638762E-3</v>
      </c>
      <c r="O1750">
        <f>VLOOKUP(K1750,RatingLookup!$A$2:$C$8,3,FALSE)</f>
        <v>0.5</v>
      </c>
      <c r="P1750">
        <f t="shared" si="82"/>
        <v>7.4851948929879892</v>
      </c>
      <c r="Q1750" t="str">
        <f t="shared" ca="1" si="83"/>
        <v>No</v>
      </c>
    </row>
    <row r="1751" spans="1:17" x14ac:dyDescent="0.45">
      <c r="A1751" t="s">
        <v>94</v>
      </c>
      <c r="B1751" t="s">
        <v>95</v>
      </c>
      <c r="C1751" t="s">
        <v>26</v>
      </c>
      <c r="D1751" t="s">
        <v>20</v>
      </c>
      <c r="E1751" t="s">
        <v>21</v>
      </c>
      <c r="F1751" s="1">
        <v>44105</v>
      </c>
      <c r="G1751">
        <v>4.58</v>
      </c>
      <c r="H1751">
        <v>77.5608</v>
      </c>
      <c r="I1751">
        <v>30.1</v>
      </c>
      <c r="J1751">
        <v>75.63</v>
      </c>
      <c r="K1751" t="s">
        <v>30</v>
      </c>
      <c r="L1751">
        <v>11387.85</v>
      </c>
      <c r="M1751">
        <f>VLOOKUP(K1751,RatingLookup!$A$2:$C$8,2,FALSE)</f>
        <v>1.4999999999999999E-2</v>
      </c>
      <c r="N1751">
        <f t="shared" si="81"/>
        <v>1.2586770182638762E-3</v>
      </c>
      <c r="O1751">
        <f>VLOOKUP(K1751,RatingLookup!$A$2:$C$8,3,FALSE)</f>
        <v>0.5</v>
      </c>
      <c r="P1751">
        <f t="shared" si="82"/>
        <v>7.1668125412181416</v>
      </c>
      <c r="Q1751" t="str">
        <f t="shared" ca="1" si="83"/>
        <v>No</v>
      </c>
    </row>
    <row r="1752" spans="1:17" x14ac:dyDescent="0.45">
      <c r="A1752" t="s">
        <v>94</v>
      </c>
      <c r="B1752" t="s">
        <v>95</v>
      </c>
      <c r="C1752" t="s">
        <v>26</v>
      </c>
      <c r="D1752" t="s">
        <v>20</v>
      </c>
      <c r="E1752" t="s">
        <v>21</v>
      </c>
      <c r="F1752" s="1">
        <v>44136</v>
      </c>
      <c r="G1752">
        <v>5.41</v>
      </c>
      <c r="H1752">
        <v>84.1126</v>
      </c>
      <c r="I1752">
        <v>12.48</v>
      </c>
      <c r="J1752">
        <v>70.66</v>
      </c>
      <c r="K1752" t="s">
        <v>30</v>
      </c>
      <c r="L1752">
        <v>11328.7</v>
      </c>
      <c r="M1752">
        <f>VLOOKUP(K1752,RatingLookup!$A$2:$C$8,2,FALSE)</f>
        <v>1.4999999999999999E-2</v>
      </c>
      <c r="N1752">
        <f t="shared" si="81"/>
        <v>1.2586770182638762E-3</v>
      </c>
      <c r="O1752">
        <f>VLOOKUP(K1752,RatingLookup!$A$2:$C$8,3,FALSE)</f>
        <v>0.5</v>
      </c>
      <c r="P1752">
        <f t="shared" si="82"/>
        <v>7.1295871684029875</v>
      </c>
      <c r="Q1752" t="str">
        <f t="shared" ca="1" si="83"/>
        <v>No</v>
      </c>
    </row>
    <row r="1753" spans="1:17" x14ac:dyDescent="0.45">
      <c r="A1753" t="s">
        <v>94</v>
      </c>
      <c r="B1753" t="s">
        <v>95</v>
      </c>
      <c r="C1753" t="s">
        <v>26</v>
      </c>
      <c r="D1753" t="s">
        <v>20</v>
      </c>
      <c r="E1753" t="s">
        <v>21</v>
      </c>
      <c r="F1753" s="1">
        <v>44166</v>
      </c>
      <c r="G1753">
        <v>5.37</v>
      </c>
      <c r="H1753">
        <v>83.794300000000007</v>
      </c>
      <c r="I1753">
        <v>10.87</v>
      </c>
      <c r="J1753">
        <v>86.1</v>
      </c>
      <c r="K1753" t="s">
        <v>30</v>
      </c>
      <c r="L1753">
        <v>12424.53</v>
      </c>
      <c r="M1753">
        <f>VLOOKUP(K1753,RatingLookup!$A$2:$C$8,2,FALSE)</f>
        <v>1.4999999999999999E-2</v>
      </c>
      <c r="N1753">
        <f t="shared" si="81"/>
        <v>1.2586770182638762E-3</v>
      </c>
      <c r="O1753">
        <f>VLOOKUP(K1753,RatingLookup!$A$2:$C$8,3,FALSE)</f>
        <v>0.5</v>
      </c>
      <c r="P1753">
        <f t="shared" si="82"/>
        <v>7.8192351868650398</v>
      </c>
      <c r="Q1753" t="str">
        <f t="shared" ca="1" si="83"/>
        <v>No</v>
      </c>
    </row>
    <row r="1754" spans="1:17" x14ac:dyDescent="0.45">
      <c r="A1754" t="s">
        <v>94</v>
      </c>
      <c r="B1754" t="s">
        <v>95</v>
      </c>
      <c r="C1754" t="s">
        <v>26</v>
      </c>
      <c r="D1754" t="s">
        <v>20</v>
      </c>
      <c r="E1754" t="s">
        <v>21</v>
      </c>
      <c r="F1754" s="1">
        <v>44197</v>
      </c>
      <c r="G1754">
        <v>6.34</v>
      </c>
      <c r="H1754">
        <v>79.053399999999996</v>
      </c>
      <c r="I1754">
        <v>12.19</v>
      </c>
      <c r="J1754">
        <v>93.17</v>
      </c>
      <c r="K1754" t="s">
        <v>30</v>
      </c>
      <c r="L1754">
        <v>12194.83</v>
      </c>
      <c r="M1754">
        <f>VLOOKUP(K1754,RatingLookup!$A$2:$C$8,2,FALSE)</f>
        <v>1.4999999999999999E-2</v>
      </c>
      <c r="N1754">
        <f t="shared" si="81"/>
        <v>1.2586770182638762E-3</v>
      </c>
      <c r="O1754">
        <f>VLOOKUP(K1754,RatingLookup!$A$2:$C$8,3,FALSE)</f>
        <v>0.5</v>
      </c>
      <c r="P1754">
        <f t="shared" si="82"/>
        <v>7.6746761313174332</v>
      </c>
      <c r="Q1754" t="str">
        <f t="shared" ca="1" si="83"/>
        <v>No</v>
      </c>
    </row>
    <row r="1755" spans="1:17" x14ac:dyDescent="0.45">
      <c r="A1755" t="s">
        <v>94</v>
      </c>
      <c r="B1755" t="s">
        <v>95</v>
      </c>
      <c r="C1755" t="s">
        <v>26</v>
      </c>
      <c r="D1755" t="s">
        <v>20</v>
      </c>
      <c r="E1755" t="s">
        <v>21</v>
      </c>
      <c r="F1755" s="1">
        <v>44228</v>
      </c>
      <c r="G1755">
        <v>5.39</v>
      </c>
      <c r="H1755">
        <v>82.86</v>
      </c>
      <c r="I1755">
        <v>15.06</v>
      </c>
      <c r="J1755">
        <v>74.67</v>
      </c>
      <c r="K1755" t="s">
        <v>30</v>
      </c>
      <c r="L1755">
        <v>11616.75</v>
      </c>
      <c r="M1755">
        <f>VLOOKUP(K1755,RatingLookup!$A$2:$C$8,2,FALSE)</f>
        <v>1.4999999999999999E-2</v>
      </c>
      <c r="N1755">
        <f t="shared" si="81"/>
        <v>1.2586770182638762E-3</v>
      </c>
      <c r="O1755">
        <f>VLOOKUP(K1755,RatingLookup!$A$2:$C$8,3,FALSE)</f>
        <v>0.5</v>
      </c>
      <c r="P1755">
        <f t="shared" si="82"/>
        <v>7.310868125958442</v>
      </c>
      <c r="Q1755" t="str">
        <f t="shared" ca="1" si="83"/>
        <v>No</v>
      </c>
    </row>
    <row r="1756" spans="1:17" x14ac:dyDescent="0.45">
      <c r="A1756" t="s">
        <v>94</v>
      </c>
      <c r="B1756" t="s">
        <v>95</v>
      </c>
      <c r="C1756" t="s">
        <v>26</v>
      </c>
      <c r="D1756" t="s">
        <v>20</v>
      </c>
      <c r="E1756" t="s">
        <v>21</v>
      </c>
      <c r="F1756" s="1">
        <v>44256</v>
      </c>
      <c r="G1756">
        <v>4.74</v>
      </c>
      <c r="H1756">
        <v>85.968400000000003</v>
      </c>
      <c r="I1756">
        <v>17.86</v>
      </c>
      <c r="J1756">
        <v>93.37</v>
      </c>
      <c r="K1756" t="s">
        <v>30</v>
      </c>
      <c r="L1756">
        <v>10877.14</v>
      </c>
      <c r="M1756">
        <f>VLOOKUP(K1756,RatingLookup!$A$2:$C$8,2,FALSE)</f>
        <v>1.4999999999999999E-2</v>
      </c>
      <c r="N1756">
        <f t="shared" si="81"/>
        <v>1.2586770182638762E-3</v>
      </c>
      <c r="O1756">
        <f>VLOOKUP(K1756,RatingLookup!$A$2:$C$8,3,FALSE)</f>
        <v>0.5</v>
      </c>
      <c r="P1756">
        <f t="shared" si="82"/>
        <v>6.8454030712193692</v>
      </c>
      <c r="Q1756" t="str">
        <f t="shared" ca="1" si="83"/>
        <v>No</v>
      </c>
    </row>
    <row r="1757" spans="1:17" x14ac:dyDescent="0.45">
      <c r="A1757" t="s">
        <v>94</v>
      </c>
      <c r="B1757" t="s">
        <v>95</v>
      </c>
      <c r="C1757" t="s">
        <v>26</v>
      </c>
      <c r="D1757" t="s">
        <v>20</v>
      </c>
      <c r="E1757" t="s">
        <v>21</v>
      </c>
      <c r="F1757" s="1">
        <v>44287</v>
      </c>
      <c r="G1757">
        <v>4.63</v>
      </c>
      <c r="H1757">
        <v>85.121700000000004</v>
      </c>
      <c r="I1757">
        <v>12.95</v>
      </c>
      <c r="J1757">
        <v>68.430000000000007</v>
      </c>
      <c r="K1757" t="s">
        <v>30</v>
      </c>
      <c r="L1757">
        <v>11791.77</v>
      </c>
      <c r="M1757">
        <f>VLOOKUP(K1757,RatingLookup!$A$2:$C$8,2,FALSE)</f>
        <v>1.4999999999999999E-2</v>
      </c>
      <c r="N1757">
        <f t="shared" si="81"/>
        <v>1.2586770182638762E-3</v>
      </c>
      <c r="O1757">
        <f>VLOOKUP(K1757,RatingLookup!$A$2:$C$8,3,FALSE)</f>
        <v>0.5</v>
      </c>
      <c r="P1757">
        <f t="shared" si="82"/>
        <v>7.4210149518267139</v>
      </c>
      <c r="Q1757" t="str">
        <f t="shared" ca="1" si="83"/>
        <v>No</v>
      </c>
    </row>
    <row r="1758" spans="1:17" x14ac:dyDescent="0.45">
      <c r="A1758" t="s">
        <v>94</v>
      </c>
      <c r="B1758" t="s">
        <v>95</v>
      </c>
      <c r="C1758" t="s">
        <v>26</v>
      </c>
      <c r="D1758" t="s">
        <v>20</v>
      </c>
      <c r="E1758" t="s">
        <v>21</v>
      </c>
      <c r="F1758" s="1">
        <v>44317</v>
      </c>
      <c r="G1758">
        <v>6.07</v>
      </c>
      <c r="H1758">
        <v>81.531599999999997</v>
      </c>
      <c r="I1758">
        <v>8.84</v>
      </c>
      <c r="J1758">
        <v>64.7</v>
      </c>
      <c r="K1758" t="s">
        <v>30</v>
      </c>
      <c r="L1758">
        <v>12036.06</v>
      </c>
      <c r="M1758">
        <f>VLOOKUP(K1758,RatingLookup!$A$2:$C$8,2,FALSE)</f>
        <v>1.4999999999999999E-2</v>
      </c>
      <c r="N1758">
        <f t="shared" si="81"/>
        <v>1.2586770182638762E-3</v>
      </c>
      <c r="O1758">
        <f>VLOOKUP(K1758,RatingLookup!$A$2:$C$8,3,FALSE)</f>
        <v>0.5</v>
      </c>
      <c r="P1758">
        <f t="shared" si="82"/>
        <v>7.5747560562225544</v>
      </c>
      <c r="Q1758" t="str">
        <f t="shared" ca="1" si="83"/>
        <v>No</v>
      </c>
    </row>
    <row r="1759" spans="1:17" x14ac:dyDescent="0.45">
      <c r="A1759" t="s">
        <v>94</v>
      </c>
      <c r="B1759" t="s">
        <v>95</v>
      </c>
      <c r="C1759" t="s">
        <v>26</v>
      </c>
      <c r="D1759" t="s">
        <v>20</v>
      </c>
      <c r="E1759" t="s">
        <v>21</v>
      </c>
      <c r="F1759" s="1">
        <v>44348</v>
      </c>
      <c r="G1759">
        <v>5.56</v>
      </c>
      <c r="H1759">
        <v>84.590400000000002</v>
      </c>
      <c r="I1759">
        <v>13.73</v>
      </c>
      <c r="J1759">
        <v>94.97</v>
      </c>
      <c r="K1759" t="s">
        <v>30</v>
      </c>
      <c r="L1759">
        <v>13282.34</v>
      </c>
      <c r="M1759">
        <f>VLOOKUP(K1759,RatingLookup!$A$2:$C$8,2,FALSE)</f>
        <v>1.4999999999999999E-2</v>
      </c>
      <c r="N1759">
        <f t="shared" si="81"/>
        <v>1.2586770182638762E-3</v>
      </c>
      <c r="O1759">
        <f>VLOOKUP(K1759,RatingLookup!$A$2:$C$8,3,FALSE)</f>
        <v>0.5</v>
      </c>
      <c r="P1759">
        <f t="shared" si="82"/>
        <v>8.3590880533835072</v>
      </c>
      <c r="Q1759" t="str">
        <f t="shared" ca="1" si="83"/>
        <v>No</v>
      </c>
    </row>
    <row r="1760" spans="1:17" x14ac:dyDescent="0.45">
      <c r="A1760" t="s">
        <v>94</v>
      </c>
      <c r="B1760" t="s">
        <v>95</v>
      </c>
      <c r="C1760" t="s">
        <v>26</v>
      </c>
      <c r="D1760" t="s">
        <v>20</v>
      </c>
      <c r="E1760" t="s">
        <v>21</v>
      </c>
      <c r="F1760" s="1">
        <v>44378</v>
      </c>
      <c r="G1760">
        <v>4.43</v>
      </c>
      <c r="H1760">
        <v>82.787199999999999</v>
      </c>
      <c r="I1760">
        <v>21.07</v>
      </c>
      <c r="J1760">
        <v>71.010000000000005</v>
      </c>
      <c r="K1760" t="s">
        <v>30</v>
      </c>
      <c r="L1760">
        <v>12268.45</v>
      </c>
      <c r="M1760">
        <f>VLOOKUP(K1760,RatingLookup!$A$2:$C$8,2,FALSE)</f>
        <v>1.4999999999999999E-2</v>
      </c>
      <c r="N1760">
        <f t="shared" si="81"/>
        <v>1.2586770182638762E-3</v>
      </c>
      <c r="O1760">
        <f>VLOOKUP(K1760,RatingLookup!$A$2:$C$8,3,FALSE)</f>
        <v>0.5</v>
      </c>
      <c r="P1760">
        <f t="shared" si="82"/>
        <v>7.7210080323597268</v>
      </c>
      <c r="Q1760" t="str">
        <f t="shared" ca="1" si="83"/>
        <v>No</v>
      </c>
    </row>
    <row r="1761" spans="1:17" x14ac:dyDescent="0.45">
      <c r="A1761" t="s">
        <v>94</v>
      </c>
      <c r="B1761" t="s">
        <v>95</v>
      </c>
      <c r="C1761" t="s">
        <v>26</v>
      </c>
      <c r="D1761" t="s">
        <v>20</v>
      </c>
      <c r="E1761" t="s">
        <v>21</v>
      </c>
      <c r="F1761" s="1">
        <v>44409</v>
      </c>
      <c r="G1761">
        <v>4.67</v>
      </c>
      <c r="H1761">
        <v>83.101900000000001</v>
      </c>
      <c r="I1761">
        <v>19.64</v>
      </c>
      <c r="J1761">
        <v>57.3</v>
      </c>
      <c r="K1761" t="s">
        <v>30</v>
      </c>
      <c r="L1761">
        <v>12641.49</v>
      </c>
      <c r="M1761">
        <f>VLOOKUP(K1761,RatingLookup!$A$2:$C$8,2,FALSE)</f>
        <v>1.4999999999999999E-2</v>
      </c>
      <c r="N1761">
        <f t="shared" si="81"/>
        <v>1.2586770182638762E-3</v>
      </c>
      <c r="O1761">
        <f>VLOOKUP(K1761,RatingLookup!$A$2:$C$8,3,FALSE)</f>
        <v>0.5</v>
      </c>
      <c r="P1761">
        <f t="shared" si="82"/>
        <v>7.9557764698063043</v>
      </c>
      <c r="Q1761" t="str">
        <f t="shared" ca="1" si="83"/>
        <v>No</v>
      </c>
    </row>
    <row r="1762" spans="1:17" x14ac:dyDescent="0.45">
      <c r="A1762" t="s">
        <v>94</v>
      </c>
      <c r="B1762" t="s">
        <v>95</v>
      </c>
      <c r="C1762" t="s">
        <v>26</v>
      </c>
      <c r="D1762" t="s">
        <v>20</v>
      </c>
      <c r="E1762" t="s">
        <v>21</v>
      </c>
      <c r="F1762" s="1">
        <v>44440</v>
      </c>
      <c r="G1762">
        <v>4.6500000000000004</v>
      </c>
      <c r="H1762">
        <v>81.201599999999999</v>
      </c>
      <c r="I1762">
        <v>20.58</v>
      </c>
      <c r="J1762">
        <v>66.209999999999994</v>
      </c>
      <c r="K1762" t="s">
        <v>30</v>
      </c>
      <c r="L1762">
        <v>11547.17</v>
      </c>
      <c r="M1762">
        <f>VLOOKUP(K1762,RatingLookup!$A$2:$C$8,2,FALSE)</f>
        <v>1.4999999999999999E-2</v>
      </c>
      <c r="N1762">
        <f t="shared" si="81"/>
        <v>1.2586770182638762E-3</v>
      </c>
      <c r="O1762">
        <f>VLOOKUP(K1762,RatingLookup!$A$2:$C$8,3,FALSE)</f>
        <v>0.5</v>
      </c>
      <c r="P1762">
        <f t="shared" si="82"/>
        <v>7.2670787524930418</v>
      </c>
      <c r="Q1762" t="str">
        <f t="shared" ca="1" si="83"/>
        <v>No</v>
      </c>
    </row>
    <row r="1763" spans="1:17" x14ac:dyDescent="0.45">
      <c r="A1763" t="s">
        <v>94</v>
      </c>
      <c r="B1763" t="s">
        <v>95</v>
      </c>
      <c r="C1763" t="s">
        <v>26</v>
      </c>
      <c r="D1763" t="s">
        <v>20</v>
      </c>
      <c r="E1763" t="s">
        <v>21</v>
      </c>
      <c r="F1763" s="1">
        <v>44470</v>
      </c>
      <c r="G1763">
        <v>5.58</v>
      </c>
      <c r="H1763">
        <v>81.500500000000002</v>
      </c>
      <c r="I1763">
        <v>22.27</v>
      </c>
      <c r="J1763">
        <v>71.430000000000007</v>
      </c>
      <c r="K1763" t="s">
        <v>30</v>
      </c>
      <c r="L1763">
        <v>12552.22</v>
      </c>
      <c r="M1763">
        <f>VLOOKUP(K1763,RatingLookup!$A$2:$C$8,2,FALSE)</f>
        <v>1.4999999999999999E-2</v>
      </c>
      <c r="N1763">
        <f t="shared" si="81"/>
        <v>1.2586770182638762E-3</v>
      </c>
      <c r="O1763">
        <f>VLOOKUP(K1763,RatingLookup!$A$2:$C$8,3,FALSE)</f>
        <v>0.5</v>
      </c>
      <c r="P1763">
        <f t="shared" si="82"/>
        <v>7.8995954210960955</v>
      </c>
      <c r="Q1763" t="str">
        <f t="shared" ca="1" si="83"/>
        <v>No</v>
      </c>
    </row>
    <row r="1764" spans="1:17" x14ac:dyDescent="0.45">
      <c r="A1764" t="s">
        <v>94</v>
      </c>
      <c r="B1764" t="s">
        <v>95</v>
      </c>
      <c r="C1764" t="s">
        <v>26</v>
      </c>
      <c r="D1764" t="s">
        <v>20</v>
      </c>
      <c r="E1764" t="s">
        <v>21</v>
      </c>
      <c r="F1764" s="1">
        <v>44501</v>
      </c>
      <c r="G1764">
        <v>5.94</v>
      </c>
      <c r="H1764">
        <v>81.153999999999996</v>
      </c>
      <c r="I1764">
        <v>11.41</v>
      </c>
      <c r="J1764">
        <v>94.5</v>
      </c>
      <c r="K1764" t="s">
        <v>30</v>
      </c>
      <c r="L1764">
        <v>12190.54</v>
      </c>
      <c r="M1764">
        <f>VLOOKUP(K1764,RatingLookup!$A$2:$C$8,2,FALSE)</f>
        <v>1.4999999999999999E-2</v>
      </c>
      <c r="N1764">
        <f t="shared" si="81"/>
        <v>1.2586770182638762E-3</v>
      </c>
      <c r="O1764">
        <f>VLOOKUP(K1764,RatingLookup!$A$2:$C$8,3,FALSE)</f>
        <v>0.5</v>
      </c>
      <c r="P1764">
        <f t="shared" si="82"/>
        <v>7.6719762691132578</v>
      </c>
      <c r="Q1764" t="str">
        <f t="shared" ca="1" si="83"/>
        <v>No</v>
      </c>
    </row>
    <row r="1765" spans="1:17" x14ac:dyDescent="0.45">
      <c r="A1765" t="s">
        <v>94</v>
      </c>
      <c r="B1765" t="s">
        <v>95</v>
      </c>
      <c r="C1765" t="s">
        <v>26</v>
      </c>
      <c r="D1765" t="s">
        <v>20</v>
      </c>
      <c r="E1765" t="s">
        <v>21</v>
      </c>
      <c r="F1765" s="1">
        <v>44531</v>
      </c>
      <c r="G1765">
        <v>5.78</v>
      </c>
      <c r="H1765">
        <v>76.8048</v>
      </c>
      <c r="I1765">
        <v>26.45</v>
      </c>
      <c r="J1765">
        <v>103.76</v>
      </c>
      <c r="K1765" t="s">
        <v>30</v>
      </c>
      <c r="L1765">
        <v>13025.29</v>
      </c>
      <c r="M1765">
        <f>VLOOKUP(K1765,RatingLookup!$A$2:$C$8,2,FALSE)</f>
        <v>1.4999999999999999E-2</v>
      </c>
      <c r="N1765">
        <f t="shared" si="81"/>
        <v>1.2586770182638762E-3</v>
      </c>
      <c r="O1765">
        <f>VLOOKUP(K1765,RatingLookup!$A$2:$C$8,3,FALSE)</f>
        <v>0.5</v>
      </c>
      <c r="P1765">
        <f t="shared" si="82"/>
        <v>8.1973165896111428</v>
      </c>
      <c r="Q1765" t="str">
        <f t="shared" ca="1" si="83"/>
        <v>No</v>
      </c>
    </row>
    <row r="1766" spans="1:17" x14ac:dyDescent="0.45">
      <c r="A1766" t="s">
        <v>94</v>
      </c>
      <c r="B1766" t="s">
        <v>95</v>
      </c>
      <c r="C1766" t="s">
        <v>26</v>
      </c>
      <c r="D1766" t="s">
        <v>20</v>
      </c>
      <c r="E1766" t="s">
        <v>21</v>
      </c>
      <c r="F1766" s="1">
        <v>44562</v>
      </c>
      <c r="G1766">
        <v>5.38</v>
      </c>
      <c r="H1766">
        <v>84.773099999999999</v>
      </c>
      <c r="I1766">
        <v>14.83</v>
      </c>
      <c r="J1766">
        <v>94.14</v>
      </c>
      <c r="K1766" t="s">
        <v>30</v>
      </c>
      <c r="L1766">
        <v>12186.38</v>
      </c>
      <c r="M1766">
        <f>VLOOKUP(K1766,RatingLookup!$A$2:$C$8,2,FALSE)</f>
        <v>1.4999999999999999E-2</v>
      </c>
      <c r="N1766">
        <f t="shared" si="81"/>
        <v>1.2586770182638762E-3</v>
      </c>
      <c r="O1766">
        <f>VLOOKUP(K1766,RatingLookup!$A$2:$C$8,3,FALSE)</f>
        <v>0.5</v>
      </c>
      <c r="P1766">
        <f t="shared" si="82"/>
        <v>7.6693582209152673</v>
      </c>
      <c r="Q1766" t="str">
        <f t="shared" ca="1" si="83"/>
        <v>No</v>
      </c>
    </row>
    <row r="1767" spans="1:17" x14ac:dyDescent="0.45">
      <c r="A1767" t="s">
        <v>94</v>
      </c>
      <c r="B1767" t="s">
        <v>95</v>
      </c>
      <c r="C1767" t="s">
        <v>26</v>
      </c>
      <c r="D1767" t="s">
        <v>20</v>
      </c>
      <c r="E1767" t="s">
        <v>21</v>
      </c>
      <c r="F1767" s="1">
        <v>44593</v>
      </c>
      <c r="G1767">
        <v>5.77</v>
      </c>
      <c r="H1767">
        <v>78.1477</v>
      </c>
      <c r="I1767">
        <v>23.21</v>
      </c>
      <c r="J1767">
        <v>81.45</v>
      </c>
      <c r="K1767" t="s">
        <v>30</v>
      </c>
      <c r="L1767">
        <v>12356.54</v>
      </c>
      <c r="M1767">
        <f>VLOOKUP(K1767,RatingLookup!$A$2:$C$8,2,FALSE)</f>
        <v>1.4999999999999999E-2</v>
      </c>
      <c r="N1767">
        <f t="shared" si="81"/>
        <v>1.2586770182638762E-3</v>
      </c>
      <c r="O1767">
        <f>VLOOKUP(K1767,RatingLookup!$A$2:$C$8,3,FALSE)</f>
        <v>0.5</v>
      </c>
      <c r="P1767">
        <f t="shared" si="82"/>
        <v>7.7764464616291589</v>
      </c>
      <c r="Q1767" t="str">
        <f t="shared" ca="1" si="83"/>
        <v>No</v>
      </c>
    </row>
    <row r="1768" spans="1:17" x14ac:dyDescent="0.45">
      <c r="A1768" t="s">
        <v>94</v>
      </c>
      <c r="B1768" t="s">
        <v>95</v>
      </c>
      <c r="C1768" t="s">
        <v>26</v>
      </c>
      <c r="D1768" t="s">
        <v>20</v>
      </c>
      <c r="E1768" t="s">
        <v>21</v>
      </c>
      <c r="F1768" s="1">
        <v>44621</v>
      </c>
      <c r="G1768">
        <v>5.56</v>
      </c>
      <c r="H1768">
        <v>84.277199999999993</v>
      </c>
      <c r="I1768">
        <v>18.5</v>
      </c>
      <c r="J1768">
        <v>66.709999999999994</v>
      </c>
      <c r="K1768" t="s">
        <v>30</v>
      </c>
      <c r="L1768">
        <v>12954.88</v>
      </c>
      <c r="M1768">
        <f>VLOOKUP(K1768,RatingLookup!$A$2:$C$8,2,FALSE)</f>
        <v>1.4999999999999999E-2</v>
      </c>
      <c r="N1768">
        <f t="shared" si="81"/>
        <v>1.2586770182638762E-3</v>
      </c>
      <c r="O1768">
        <f>VLOOKUP(K1768,RatingLookup!$A$2:$C$8,3,FALSE)</f>
        <v>0.5</v>
      </c>
      <c r="P1768">
        <f t="shared" si="82"/>
        <v>8.1530048651831617</v>
      </c>
      <c r="Q1768" t="str">
        <f t="shared" ca="1" si="83"/>
        <v>No</v>
      </c>
    </row>
    <row r="1769" spans="1:17" x14ac:dyDescent="0.45">
      <c r="A1769" t="s">
        <v>94</v>
      </c>
      <c r="B1769" t="s">
        <v>95</v>
      </c>
      <c r="C1769" t="s">
        <v>26</v>
      </c>
      <c r="D1769" t="s">
        <v>20</v>
      </c>
      <c r="E1769" t="s">
        <v>21</v>
      </c>
      <c r="F1769" s="1">
        <v>44652</v>
      </c>
      <c r="G1769">
        <v>5.77</v>
      </c>
      <c r="H1769">
        <v>84.5839</v>
      </c>
      <c r="I1769">
        <v>22.5</v>
      </c>
      <c r="J1769">
        <v>60.59</v>
      </c>
      <c r="K1769" t="s">
        <v>30</v>
      </c>
      <c r="L1769">
        <v>11469.43</v>
      </c>
      <c r="M1769">
        <f>VLOOKUP(K1769,RatingLookup!$A$2:$C$8,2,FALSE)</f>
        <v>1.4999999999999999E-2</v>
      </c>
      <c r="N1769">
        <f t="shared" si="81"/>
        <v>1.2586770182638762E-3</v>
      </c>
      <c r="O1769">
        <f>VLOOKUP(K1769,RatingLookup!$A$2:$C$8,3,FALSE)</f>
        <v>0.5</v>
      </c>
      <c r="P1769">
        <f t="shared" si="82"/>
        <v>7.2181539767931255</v>
      </c>
      <c r="Q1769" t="str">
        <f t="shared" ca="1" si="83"/>
        <v>No</v>
      </c>
    </row>
    <row r="1770" spans="1:17" x14ac:dyDescent="0.45">
      <c r="A1770" t="s">
        <v>94</v>
      </c>
      <c r="B1770" t="s">
        <v>95</v>
      </c>
      <c r="C1770" t="s">
        <v>26</v>
      </c>
      <c r="D1770" t="s">
        <v>20</v>
      </c>
      <c r="E1770" t="s">
        <v>21</v>
      </c>
      <c r="F1770" s="1">
        <v>44682</v>
      </c>
      <c r="G1770">
        <v>5.84</v>
      </c>
      <c r="H1770">
        <v>85.765799999999999</v>
      </c>
      <c r="I1770">
        <v>16.09</v>
      </c>
      <c r="J1770">
        <v>67.86</v>
      </c>
      <c r="K1770" t="s">
        <v>22</v>
      </c>
      <c r="L1770">
        <v>12045.96</v>
      </c>
      <c r="M1770">
        <f>VLOOKUP(K1770,RatingLookup!$A$2:$C$8,2,FALSE)</f>
        <v>5.0000000000000001E-3</v>
      </c>
      <c r="N1770">
        <f t="shared" si="81"/>
        <v>4.1762458919303302E-4</v>
      </c>
      <c r="O1770">
        <f>VLOOKUP(K1770,RatingLookup!$A$2:$C$8,3,FALSE)</f>
        <v>0.45</v>
      </c>
      <c r="P1770">
        <f t="shared" si="82"/>
        <v>2.2638100933960685</v>
      </c>
      <c r="Q1770" t="str">
        <f t="shared" ca="1" si="83"/>
        <v>No</v>
      </c>
    </row>
    <row r="1771" spans="1:17" x14ac:dyDescent="0.45">
      <c r="A1771" t="s">
        <v>94</v>
      </c>
      <c r="B1771" t="s">
        <v>95</v>
      </c>
      <c r="C1771" t="s">
        <v>26</v>
      </c>
      <c r="D1771" t="s">
        <v>20</v>
      </c>
      <c r="E1771" t="s">
        <v>21</v>
      </c>
      <c r="F1771" s="1">
        <v>44713</v>
      </c>
      <c r="G1771">
        <v>4.97</v>
      </c>
      <c r="H1771">
        <v>84.716499999999996</v>
      </c>
      <c r="I1771">
        <v>5</v>
      </c>
      <c r="J1771">
        <v>80.08</v>
      </c>
      <c r="K1771" t="s">
        <v>22</v>
      </c>
      <c r="L1771">
        <v>12182.88</v>
      </c>
      <c r="M1771">
        <f>VLOOKUP(K1771,RatingLookup!$A$2:$C$8,2,FALSE)</f>
        <v>5.0000000000000001E-3</v>
      </c>
      <c r="N1771">
        <f t="shared" si="81"/>
        <v>4.1762458919303302E-4</v>
      </c>
      <c r="O1771">
        <f>VLOOKUP(K1771,RatingLookup!$A$2:$C$8,3,FALSE)</f>
        <v>0.45</v>
      </c>
      <c r="P1771">
        <f t="shared" si="82"/>
        <v>2.2895416148346079</v>
      </c>
      <c r="Q1771" t="str">
        <f t="shared" ca="1" si="83"/>
        <v>No</v>
      </c>
    </row>
    <row r="1772" spans="1:17" x14ac:dyDescent="0.45">
      <c r="A1772" t="s">
        <v>94</v>
      </c>
      <c r="B1772" t="s">
        <v>95</v>
      </c>
      <c r="C1772" t="s">
        <v>26</v>
      </c>
      <c r="D1772" t="s">
        <v>20</v>
      </c>
      <c r="E1772" t="s">
        <v>21</v>
      </c>
      <c r="F1772" s="1">
        <v>44743</v>
      </c>
      <c r="G1772">
        <v>5.48</v>
      </c>
      <c r="H1772">
        <v>82.792299999999997</v>
      </c>
      <c r="I1772">
        <v>11.54</v>
      </c>
      <c r="J1772">
        <v>94.23</v>
      </c>
      <c r="K1772" t="s">
        <v>22</v>
      </c>
      <c r="L1772">
        <v>12945.71</v>
      </c>
      <c r="M1772">
        <f>VLOOKUP(K1772,RatingLookup!$A$2:$C$8,2,FALSE)</f>
        <v>5.0000000000000001E-3</v>
      </c>
      <c r="N1772">
        <f t="shared" si="81"/>
        <v>4.1762458919303302E-4</v>
      </c>
      <c r="O1772">
        <f>VLOOKUP(K1772,RatingLookup!$A$2:$C$8,3,FALSE)</f>
        <v>0.45</v>
      </c>
      <c r="P1772">
        <f t="shared" si="82"/>
        <v>2.4329010692529627</v>
      </c>
      <c r="Q1772" t="str">
        <f t="shared" ca="1" si="83"/>
        <v>No</v>
      </c>
    </row>
    <row r="1773" spans="1:17" x14ac:dyDescent="0.45">
      <c r="A1773" t="s">
        <v>94</v>
      </c>
      <c r="B1773" t="s">
        <v>95</v>
      </c>
      <c r="C1773" t="s">
        <v>26</v>
      </c>
      <c r="D1773" t="s">
        <v>20</v>
      </c>
      <c r="E1773" t="s">
        <v>21</v>
      </c>
      <c r="F1773" s="1">
        <v>44774</v>
      </c>
      <c r="G1773">
        <v>4.8600000000000003</v>
      </c>
      <c r="H1773">
        <v>81.3523</v>
      </c>
      <c r="I1773">
        <v>24.18</v>
      </c>
      <c r="J1773">
        <v>57.66</v>
      </c>
      <c r="K1773" t="s">
        <v>30</v>
      </c>
      <c r="L1773">
        <v>12878.56</v>
      </c>
      <c r="M1773">
        <f>VLOOKUP(K1773,RatingLookup!$A$2:$C$8,2,FALSE)</f>
        <v>1.4999999999999999E-2</v>
      </c>
      <c r="N1773">
        <f t="shared" si="81"/>
        <v>1.2586770182638762E-3</v>
      </c>
      <c r="O1773">
        <f>VLOOKUP(K1773,RatingLookup!$A$2:$C$8,3,FALSE)</f>
        <v>0.5</v>
      </c>
      <c r="P1773">
        <f t="shared" si="82"/>
        <v>8.1049737501662129</v>
      </c>
      <c r="Q1773" t="str">
        <f t="shared" ca="1" si="83"/>
        <v>No</v>
      </c>
    </row>
    <row r="1774" spans="1:17" x14ac:dyDescent="0.45">
      <c r="A1774" t="s">
        <v>94</v>
      </c>
      <c r="B1774" t="s">
        <v>95</v>
      </c>
      <c r="C1774" t="s">
        <v>26</v>
      </c>
      <c r="D1774" t="s">
        <v>20</v>
      </c>
      <c r="E1774" t="s">
        <v>21</v>
      </c>
      <c r="F1774" s="1">
        <v>44805</v>
      </c>
      <c r="G1774">
        <v>5.81</v>
      </c>
      <c r="H1774">
        <v>77.605800000000002</v>
      </c>
      <c r="I1774">
        <v>19.64</v>
      </c>
      <c r="J1774">
        <v>64.489999999999995</v>
      </c>
      <c r="K1774" t="s">
        <v>30</v>
      </c>
      <c r="L1774">
        <v>11910.06</v>
      </c>
      <c r="M1774">
        <f>VLOOKUP(K1774,RatingLookup!$A$2:$C$8,2,FALSE)</f>
        <v>1.4999999999999999E-2</v>
      </c>
      <c r="N1774">
        <f t="shared" si="81"/>
        <v>1.2586770182638762E-3</v>
      </c>
      <c r="O1774">
        <f>VLOOKUP(K1774,RatingLookup!$A$2:$C$8,3,FALSE)</f>
        <v>0.5</v>
      </c>
      <c r="P1774">
        <f t="shared" si="82"/>
        <v>7.4954594040719309</v>
      </c>
      <c r="Q1774" t="str">
        <f t="shared" ca="1" si="83"/>
        <v>No</v>
      </c>
    </row>
    <row r="1775" spans="1:17" x14ac:dyDescent="0.45">
      <c r="A1775" t="s">
        <v>94</v>
      </c>
      <c r="B1775" t="s">
        <v>95</v>
      </c>
      <c r="C1775" t="s">
        <v>26</v>
      </c>
      <c r="D1775" t="s">
        <v>20</v>
      </c>
      <c r="E1775" t="s">
        <v>21</v>
      </c>
      <c r="F1775" s="1">
        <v>44835</v>
      </c>
      <c r="G1775">
        <v>4.8899999999999997</v>
      </c>
      <c r="H1775">
        <v>79.301699999999997</v>
      </c>
      <c r="I1775">
        <v>8.2799999999999994</v>
      </c>
      <c r="J1775">
        <v>99.01</v>
      </c>
      <c r="K1775" t="s">
        <v>30</v>
      </c>
      <c r="L1775">
        <v>12416.49</v>
      </c>
      <c r="M1775">
        <f>VLOOKUP(K1775,RatingLookup!$A$2:$C$8,2,FALSE)</f>
        <v>1.4999999999999999E-2</v>
      </c>
      <c r="N1775">
        <f t="shared" si="81"/>
        <v>1.2586770182638762E-3</v>
      </c>
      <c r="O1775">
        <f>VLOOKUP(K1775,RatingLookup!$A$2:$C$8,3,FALSE)</f>
        <v>0.5</v>
      </c>
      <c r="P1775">
        <f t="shared" si="82"/>
        <v>7.8141753052516183</v>
      </c>
      <c r="Q1775" t="str">
        <f t="shared" ca="1" si="83"/>
        <v>No</v>
      </c>
    </row>
    <row r="1776" spans="1:17" x14ac:dyDescent="0.45">
      <c r="A1776" t="s">
        <v>94</v>
      </c>
      <c r="B1776" t="s">
        <v>95</v>
      </c>
      <c r="C1776" t="s">
        <v>26</v>
      </c>
      <c r="D1776" t="s">
        <v>20</v>
      </c>
      <c r="E1776" t="s">
        <v>21</v>
      </c>
      <c r="F1776" s="1">
        <v>44866</v>
      </c>
      <c r="G1776">
        <v>5.52</v>
      </c>
      <c r="H1776">
        <v>81.7333</v>
      </c>
      <c r="I1776">
        <v>11.08</v>
      </c>
      <c r="J1776">
        <v>69.41</v>
      </c>
      <c r="K1776" t="s">
        <v>30</v>
      </c>
      <c r="L1776">
        <v>13326.33</v>
      </c>
      <c r="M1776">
        <f>VLOOKUP(K1776,RatingLookup!$A$2:$C$8,2,FALSE)</f>
        <v>1.4999999999999999E-2</v>
      </c>
      <c r="N1776">
        <f t="shared" si="81"/>
        <v>1.2586770182638762E-3</v>
      </c>
      <c r="O1776">
        <f>VLOOKUP(K1776,RatingLookup!$A$2:$C$8,3,FALSE)</f>
        <v>0.5</v>
      </c>
      <c r="P1776">
        <f t="shared" si="82"/>
        <v>8.3867726544002217</v>
      </c>
      <c r="Q1776" t="str">
        <f t="shared" ca="1" si="83"/>
        <v>No</v>
      </c>
    </row>
    <row r="1777" spans="1:17" x14ac:dyDescent="0.45">
      <c r="A1777" t="s">
        <v>94</v>
      </c>
      <c r="B1777" t="s">
        <v>95</v>
      </c>
      <c r="C1777" t="s">
        <v>26</v>
      </c>
      <c r="D1777" t="s">
        <v>20</v>
      </c>
      <c r="E1777" t="s">
        <v>21</v>
      </c>
      <c r="F1777" s="1">
        <v>44896</v>
      </c>
      <c r="G1777">
        <v>4.66</v>
      </c>
      <c r="H1777">
        <v>85.514300000000006</v>
      </c>
      <c r="I1777">
        <v>14.26</v>
      </c>
      <c r="J1777">
        <v>78.069999999999993</v>
      </c>
      <c r="K1777" t="s">
        <v>22</v>
      </c>
      <c r="L1777">
        <v>12398.89</v>
      </c>
      <c r="M1777">
        <f>VLOOKUP(K1777,RatingLookup!$A$2:$C$8,2,FALSE)</f>
        <v>5.0000000000000001E-3</v>
      </c>
      <c r="N1777">
        <f t="shared" si="81"/>
        <v>4.1762458919303302E-4</v>
      </c>
      <c r="O1777">
        <f>VLOOKUP(K1777,RatingLookup!$A$2:$C$8,3,FALSE)</f>
        <v>0.45</v>
      </c>
      <c r="P1777">
        <f t="shared" si="82"/>
        <v>2.3301366042148226</v>
      </c>
      <c r="Q1777" t="str">
        <f t="shared" ca="1" si="83"/>
        <v>No</v>
      </c>
    </row>
    <row r="1778" spans="1:17" x14ac:dyDescent="0.45">
      <c r="A1778" t="s">
        <v>94</v>
      </c>
      <c r="B1778" t="s">
        <v>95</v>
      </c>
      <c r="C1778" t="s">
        <v>26</v>
      </c>
      <c r="D1778" t="s">
        <v>20</v>
      </c>
      <c r="E1778" t="s">
        <v>21</v>
      </c>
      <c r="F1778" s="1">
        <v>44927</v>
      </c>
      <c r="G1778">
        <v>5.4</v>
      </c>
      <c r="H1778">
        <v>82.577299999999994</v>
      </c>
      <c r="I1778">
        <v>18.39</v>
      </c>
      <c r="J1778">
        <v>78.069999999999993</v>
      </c>
      <c r="K1778" t="s">
        <v>22</v>
      </c>
      <c r="L1778">
        <v>12112.7</v>
      </c>
      <c r="M1778">
        <f>VLOOKUP(K1778,RatingLookup!$A$2:$C$8,2,FALSE)</f>
        <v>5.0000000000000001E-3</v>
      </c>
      <c r="N1778">
        <f t="shared" si="81"/>
        <v>4.1762458919303302E-4</v>
      </c>
      <c r="O1778">
        <f>VLOOKUP(K1778,RatingLookup!$A$2:$C$8,3,FALSE)</f>
        <v>0.45</v>
      </c>
      <c r="P1778">
        <f t="shared" si="82"/>
        <v>2.2763526126833034</v>
      </c>
      <c r="Q1778" t="str">
        <f t="shared" ca="1" si="83"/>
        <v>No</v>
      </c>
    </row>
    <row r="1779" spans="1:17" x14ac:dyDescent="0.45">
      <c r="A1779" t="s">
        <v>94</v>
      </c>
      <c r="B1779" t="s">
        <v>95</v>
      </c>
      <c r="C1779" t="s">
        <v>26</v>
      </c>
      <c r="D1779" t="s">
        <v>20</v>
      </c>
      <c r="E1779" t="s">
        <v>21</v>
      </c>
      <c r="F1779" s="1">
        <v>44958</v>
      </c>
      <c r="G1779">
        <v>6.77</v>
      </c>
      <c r="H1779">
        <v>83.745800000000003</v>
      </c>
      <c r="I1779">
        <v>13.63</v>
      </c>
      <c r="J1779">
        <v>78.97</v>
      </c>
      <c r="K1779" t="s">
        <v>22</v>
      </c>
      <c r="L1779">
        <v>12901.96</v>
      </c>
      <c r="M1779">
        <f>VLOOKUP(K1779,RatingLookup!$A$2:$C$8,2,FALSE)</f>
        <v>5.0000000000000001E-3</v>
      </c>
      <c r="N1779">
        <f t="shared" si="81"/>
        <v>4.1762458919303302E-4</v>
      </c>
      <c r="O1779">
        <f>VLOOKUP(K1779,RatingLookup!$A$2:$C$8,3,FALSE)</f>
        <v>0.45</v>
      </c>
      <c r="P1779">
        <f t="shared" si="82"/>
        <v>2.4246790851532252</v>
      </c>
      <c r="Q1779" t="str">
        <f t="shared" ca="1" si="83"/>
        <v>No</v>
      </c>
    </row>
    <row r="1780" spans="1:17" x14ac:dyDescent="0.45">
      <c r="A1780" t="s">
        <v>94</v>
      </c>
      <c r="B1780" t="s">
        <v>95</v>
      </c>
      <c r="C1780" t="s">
        <v>26</v>
      </c>
      <c r="D1780" t="s">
        <v>20</v>
      </c>
      <c r="E1780" t="s">
        <v>21</v>
      </c>
      <c r="F1780" s="1">
        <v>44986</v>
      </c>
      <c r="G1780">
        <v>7.32</v>
      </c>
      <c r="H1780">
        <v>85.714500000000001</v>
      </c>
      <c r="I1780">
        <v>30.96</v>
      </c>
      <c r="J1780">
        <v>76.239999999999995</v>
      </c>
      <c r="K1780" t="s">
        <v>22</v>
      </c>
      <c r="L1780">
        <v>12832.36</v>
      </c>
      <c r="M1780">
        <f>VLOOKUP(K1780,RatingLookup!$A$2:$C$8,2,FALSE)</f>
        <v>5.0000000000000001E-3</v>
      </c>
      <c r="N1780">
        <f t="shared" si="81"/>
        <v>4.1762458919303302E-4</v>
      </c>
      <c r="O1780">
        <f>VLOOKUP(K1780,RatingLookup!$A$2:$C$8,3,FALSE)</f>
        <v>0.45</v>
      </c>
      <c r="P1780">
        <f t="shared" si="82"/>
        <v>2.4115990830196994</v>
      </c>
      <c r="Q1780" t="str">
        <f t="shared" ca="1" si="83"/>
        <v>No</v>
      </c>
    </row>
    <row r="1781" spans="1:17" x14ac:dyDescent="0.45">
      <c r="A1781" t="s">
        <v>94</v>
      </c>
      <c r="B1781" t="s">
        <v>95</v>
      </c>
      <c r="C1781" t="s">
        <v>26</v>
      </c>
      <c r="D1781" t="s">
        <v>20</v>
      </c>
      <c r="E1781" t="s">
        <v>21</v>
      </c>
      <c r="F1781" s="1">
        <v>45017</v>
      </c>
      <c r="G1781">
        <v>5.52</v>
      </c>
      <c r="H1781">
        <v>80.570899999999995</v>
      </c>
      <c r="I1781">
        <v>22.97</v>
      </c>
      <c r="J1781">
        <v>73.92</v>
      </c>
      <c r="K1781" t="s">
        <v>22</v>
      </c>
      <c r="L1781">
        <v>12959.93</v>
      </c>
      <c r="M1781">
        <f>VLOOKUP(K1781,RatingLookup!$A$2:$C$8,2,FALSE)</f>
        <v>5.0000000000000001E-3</v>
      </c>
      <c r="N1781">
        <f t="shared" si="81"/>
        <v>4.1762458919303302E-4</v>
      </c>
      <c r="O1781">
        <f>VLOOKUP(K1781,RatingLookup!$A$2:$C$8,3,FALSE)</f>
        <v>0.45</v>
      </c>
      <c r="P1781">
        <f t="shared" si="82"/>
        <v>2.4355734489992091</v>
      </c>
      <c r="Q1781" t="str">
        <f t="shared" ca="1" si="83"/>
        <v>No</v>
      </c>
    </row>
    <row r="1782" spans="1:17" x14ac:dyDescent="0.45">
      <c r="A1782" t="s">
        <v>94</v>
      </c>
      <c r="B1782" t="s">
        <v>95</v>
      </c>
      <c r="C1782" t="s">
        <v>26</v>
      </c>
      <c r="D1782" t="s">
        <v>20</v>
      </c>
      <c r="E1782" t="s">
        <v>21</v>
      </c>
      <c r="F1782" s="1">
        <v>45047</v>
      </c>
      <c r="G1782">
        <v>5.97</v>
      </c>
      <c r="H1782">
        <v>81.527699999999996</v>
      </c>
      <c r="I1782">
        <v>11.71</v>
      </c>
      <c r="J1782">
        <v>95.62</v>
      </c>
      <c r="K1782" t="s">
        <v>22</v>
      </c>
      <c r="L1782">
        <v>13217.9</v>
      </c>
      <c r="M1782">
        <f>VLOOKUP(K1782,RatingLookup!$A$2:$C$8,2,FALSE)</f>
        <v>5.0000000000000001E-3</v>
      </c>
      <c r="N1782">
        <f t="shared" si="81"/>
        <v>4.1762458919303302E-4</v>
      </c>
      <c r="O1782">
        <f>VLOOKUP(K1782,RatingLookup!$A$2:$C$8,3,FALSE)</f>
        <v>0.45</v>
      </c>
      <c r="P1782">
        <f t="shared" si="82"/>
        <v>2.4840540258725659</v>
      </c>
      <c r="Q1782" t="str">
        <f t="shared" ca="1" si="83"/>
        <v>No</v>
      </c>
    </row>
    <row r="1783" spans="1:17" x14ac:dyDescent="0.45">
      <c r="A1783" t="s">
        <v>94</v>
      </c>
      <c r="B1783" t="s">
        <v>95</v>
      </c>
      <c r="C1783" t="s">
        <v>26</v>
      </c>
      <c r="D1783" t="s">
        <v>20</v>
      </c>
      <c r="E1783" t="s">
        <v>21</v>
      </c>
      <c r="F1783" s="1">
        <v>45078</v>
      </c>
      <c r="G1783">
        <v>5.42</v>
      </c>
      <c r="H1783">
        <v>83.925600000000003</v>
      </c>
      <c r="I1783">
        <v>20.12</v>
      </c>
      <c r="J1783">
        <v>85.61</v>
      </c>
      <c r="K1783" t="s">
        <v>22</v>
      </c>
      <c r="L1783">
        <v>13853.57</v>
      </c>
      <c r="M1783">
        <f>VLOOKUP(K1783,RatingLookup!$A$2:$C$8,2,FALSE)</f>
        <v>5.0000000000000001E-3</v>
      </c>
      <c r="N1783">
        <f t="shared" si="81"/>
        <v>4.1762458919303302E-4</v>
      </c>
      <c r="O1783">
        <f>VLOOKUP(K1783,RatingLookup!$A$2:$C$8,3,FALSE)</f>
        <v>0.45</v>
      </c>
      <c r="P1783">
        <f t="shared" si="82"/>
        <v>2.603516166048117</v>
      </c>
      <c r="Q1783" t="str">
        <f t="shared" ca="1" si="83"/>
        <v>No</v>
      </c>
    </row>
    <row r="1784" spans="1:17" x14ac:dyDescent="0.45">
      <c r="A1784" t="s">
        <v>94</v>
      </c>
      <c r="B1784" t="s">
        <v>95</v>
      </c>
      <c r="C1784" t="s">
        <v>26</v>
      </c>
      <c r="D1784" t="s">
        <v>20</v>
      </c>
      <c r="E1784" t="s">
        <v>21</v>
      </c>
      <c r="F1784" s="1">
        <v>45108</v>
      </c>
      <c r="G1784">
        <v>6.37</v>
      </c>
      <c r="H1784">
        <v>79.367900000000006</v>
      </c>
      <c r="I1784">
        <v>6.87</v>
      </c>
      <c r="J1784">
        <v>81.66</v>
      </c>
      <c r="K1784" t="s">
        <v>22</v>
      </c>
      <c r="L1784">
        <v>12899.5</v>
      </c>
      <c r="M1784">
        <f>VLOOKUP(K1784,RatingLookup!$A$2:$C$8,2,FALSE)</f>
        <v>5.0000000000000001E-3</v>
      </c>
      <c r="N1784">
        <f t="shared" si="81"/>
        <v>4.1762458919303302E-4</v>
      </c>
      <c r="O1784">
        <f>VLOOKUP(K1784,RatingLookup!$A$2:$C$8,3,FALSE)</f>
        <v>0.45</v>
      </c>
      <c r="P1784">
        <f t="shared" si="82"/>
        <v>2.4242167747329884</v>
      </c>
      <c r="Q1784" t="str">
        <f t="shared" ca="1" si="83"/>
        <v>No</v>
      </c>
    </row>
    <row r="1785" spans="1:17" x14ac:dyDescent="0.45">
      <c r="A1785" t="s">
        <v>94</v>
      </c>
      <c r="B1785" t="s">
        <v>95</v>
      </c>
      <c r="C1785" t="s">
        <v>26</v>
      </c>
      <c r="D1785" t="s">
        <v>20</v>
      </c>
      <c r="E1785" t="s">
        <v>21</v>
      </c>
      <c r="F1785" s="1">
        <v>45139</v>
      </c>
      <c r="G1785">
        <v>4.82</v>
      </c>
      <c r="H1785">
        <v>86.197599999999994</v>
      </c>
      <c r="I1785">
        <v>16.03</v>
      </c>
      <c r="J1785">
        <v>64.260000000000005</v>
      </c>
      <c r="K1785" t="s">
        <v>22</v>
      </c>
      <c r="L1785">
        <v>12778.44</v>
      </c>
      <c r="M1785">
        <f>VLOOKUP(K1785,RatingLookup!$A$2:$C$8,2,FALSE)</f>
        <v>5.0000000000000001E-3</v>
      </c>
      <c r="N1785">
        <f t="shared" si="81"/>
        <v>4.1762458919303302E-4</v>
      </c>
      <c r="O1785">
        <f>VLOOKUP(K1785,RatingLookup!$A$2:$C$8,3,FALSE)</f>
        <v>0.45</v>
      </c>
      <c r="P1785">
        <f t="shared" si="82"/>
        <v>2.4014658399875195</v>
      </c>
      <c r="Q1785" t="str">
        <f t="shared" ca="1" si="83"/>
        <v>No</v>
      </c>
    </row>
    <row r="1786" spans="1:17" x14ac:dyDescent="0.45">
      <c r="A1786" t="s">
        <v>94</v>
      </c>
      <c r="B1786" t="s">
        <v>95</v>
      </c>
      <c r="C1786" t="s">
        <v>26</v>
      </c>
      <c r="D1786" t="s">
        <v>20</v>
      </c>
      <c r="E1786" t="s">
        <v>21</v>
      </c>
      <c r="F1786" s="1">
        <v>45170</v>
      </c>
      <c r="G1786">
        <v>5.85</v>
      </c>
      <c r="H1786">
        <v>85.723100000000002</v>
      </c>
      <c r="I1786">
        <v>16.75</v>
      </c>
      <c r="J1786">
        <v>64.36</v>
      </c>
      <c r="K1786" t="s">
        <v>22</v>
      </c>
      <c r="L1786">
        <v>12673.95</v>
      </c>
      <c r="M1786">
        <f>VLOOKUP(K1786,RatingLookup!$A$2:$C$8,2,FALSE)</f>
        <v>5.0000000000000001E-3</v>
      </c>
      <c r="N1786">
        <f t="shared" si="81"/>
        <v>4.1762458919303302E-4</v>
      </c>
      <c r="O1786">
        <f>VLOOKUP(K1786,RatingLookup!$A$2:$C$8,3,FALSE)</f>
        <v>0.45</v>
      </c>
      <c r="P1786">
        <f t="shared" si="82"/>
        <v>2.3818289229913687</v>
      </c>
      <c r="Q1786" t="str">
        <f t="shared" ca="1" si="83"/>
        <v>No</v>
      </c>
    </row>
    <row r="1787" spans="1:17" x14ac:dyDescent="0.45">
      <c r="A1787" t="s">
        <v>94</v>
      </c>
      <c r="B1787" t="s">
        <v>95</v>
      </c>
      <c r="C1787" t="s">
        <v>26</v>
      </c>
      <c r="D1787" t="s">
        <v>20</v>
      </c>
      <c r="E1787" t="s">
        <v>21</v>
      </c>
      <c r="F1787" s="1">
        <v>45200</v>
      </c>
      <c r="G1787">
        <v>5.68</v>
      </c>
      <c r="H1787">
        <v>81.962500000000006</v>
      </c>
      <c r="I1787">
        <v>19.16</v>
      </c>
      <c r="J1787">
        <v>76.599999999999994</v>
      </c>
      <c r="K1787" t="s">
        <v>22</v>
      </c>
      <c r="L1787">
        <v>12401.46</v>
      </c>
      <c r="M1787">
        <f>VLOOKUP(K1787,RatingLookup!$A$2:$C$8,2,FALSE)</f>
        <v>5.0000000000000001E-3</v>
      </c>
      <c r="N1787">
        <f t="shared" si="81"/>
        <v>4.1762458919303302E-4</v>
      </c>
      <c r="O1787">
        <f>VLOOKUP(K1787,RatingLookup!$A$2:$C$8,3,FALSE)</f>
        <v>0.45</v>
      </c>
      <c r="P1787">
        <f t="shared" si="82"/>
        <v>2.3306195870522237</v>
      </c>
      <c r="Q1787" t="str">
        <f t="shared" ca="1" si="83"/>
        <v>No</v>
      </c>
    </row>
    <row r="1788" spans="1:17" x14ac:dyDescent="0.45">
      <c r="A1788" t="s">
        <v>94</v>
      </c>
      <c r="B1788" t="s">
        <v>95</v>
      </c>
      <c r="C1788" t="s">
        <v>26</v>
      </c>
      <c r="D1788" t="s">
        <v>20</v>
      </c>
      <c r="E1788" t="s">
        <v>21</v>
      </c>
      <c r="F1788" s="1">
        <v>45231</v>
      </c>
      <c r="G1788">
        <v>5.29</v>
      </c>
      <c r="H1788">
        <v>80.718999999999994</v>
      </c>
      <c r="I1788">
        <v>22.14</v>
      </c>
      <c r="J1788">
        <v>91.97</v>
      </c>
      <c r="K1788" t="s">
        <v>22</v>
      </c>
      <c r="L1788">
        <v>12355.07</v>
      </c>
      <c r="M1788">
        <f>VLOOKUP(K1788,RatingLookup!$A$2:$C$8,2,FALSE)</f>
        <v>5.0000000000000001E-3</v>
      </c>
      <c r="N1788">
        <f t="shared" si="81"/>
        <v>4.1762458919303302E-4</v>
      </c>
      <c r="O1788">
        <f>VLOOKUP(K1788,RatingLookup!$A$2:$C$8,3,FALSE)</f>
        <v>0.45</v>
      </c>
      <c r="P1788">
        <f t="shared" si="82"/>
        <v>2.3219014649405247</v>
      </c>
      <c r="Q1788" t="str">
        <f t="shared" ca="1" si="83"/>
        <v>No</v>
      </c>
    </row>
    <row r="1789" spans="1:17" x14ac:dyDescent="0.45">
      <c r="A1789" t="s">
        <v>94</v>
      </c>
      <c r="B1789" t="s">
        <v>95</v>
      </c>
      <c r="C1789" t="s">
        <v>26</v>
      </c>
      <c r="D1789" t="s">
        <v>20</v>
      </c>
      <c r="E1789" t="s">
        <v>21</v>
      </c>
      <c r="F1789" s="1">
        <v>45261</v>
      </c>
      <c r="G1789">
        <v>5.43</v>
      </c>
      <c r="H1789">
        <v>83.500600000000006</v>
      </c>
      <c r="I1789">
        <v>15.47</v>
      </c>
      <c r="J1789">
        <v>78.87</v>
      </c>
      <c r="K1789" t="s">
        <v>22</v>
      </c>
      <c r="L1789">
        <v>13507.35</v>
      </c>
      <c r="M1789">
        <f>VLOOKUP(K1789,RatingLookup!$A$2:$C$8,2,FALSE)</f>
        <v>5.0000000000000001E-3</v>
      </c>
      <c r="N1789">
        <f t="shared" si="81"/>
        <v>4.1762458919303302E-4</v>
      </c>
      <c r="O1789">
        <f>VLOOKUP(K1789,RatingLookup!$A$2:$C$8,3,FALSE)</f>
        <v>0.45</v>
      </c>
      <c r="P1789">
        <f t="shared" si="82"/>
        <v>2.538450672676432</v>
      </c>
      <c r="Q1789" t="str">
        <f t="shared" ca="1" si="83"/>
        <v>No</v>
      </c>
    </row>
    <row r="1790" spans="1:17" x14ac:dyDescent="0.45">
      <c r="A1790" t="s">
        <v>94</v>
      </c>
      <c r="B1790" t="s">
        <v>95</v>
      </c>
      <c r="C1790" t="s">
        <v>26</v>
      </c>
      <c r="D1790" t="s">
        <v>20</v>
      </c>
      <c r="E1790" t="s">
        <v>21</v>
      </c>
      <c r="F1790" s="1">
        <v>45292</v>
      </c>
      <c r="G1790">
        <v>5.33</v>
      </c>
      <c r="H1790">
        <v>85.435199999999995</v>
      </c>
      <c r="I1790">
        <v>23.05</v>
      </c>
      <c r="J1790">
        <v>58.37</v>
      </c>
      <c r="K1790" t="s">
        <v>23</v>
      </c>
      <c r="L1790">
        <v>14258.46</v>
      </c>
      <c r="M1790">
        <f>VLOOKUP(K1790,RatingLookup!$A$2:$C$8,2,FALSE)</f>
        <v>1E-3</v>
      </c>
      <c r="N1790">
        <f t="shared" si="81"/>
        <v>8.3371552197619714E-5</v>
      </c>
      <c r="O1790">
        <f>VLOOKUP(K1790,RatingLookup!$A$2:$C$8,3,FALSE)</f>
        <v>0.3</v>
      </c>
      <c r="P1790">
        <f t="shared" si="82"/>
        <v>0.35662498264430181</v>
      </c>
      <c r="Q1790" t="str">
        <f t="shared" ca="1" si="83"/>
        <v>No</v>
      </c>
    </row>
    <row r="1791" spans="1:17" x14ac:dyDescent="0.45">
      <c r="A1791" t="s">
        <v>94</v>
      </c>
      <c r="B1791" t="s">
        <v>95</v>
      </c>
      <c r="C1791" t="s">
        <v>26</v>
      </c>
      <c r="D1791" t="s">
        <v>20</v>
      </c>
      <c r="E1791" t="s">
        <v>21</v>
      </c>
      <c r="F1791" s="1">
        <v>45323</v>
      </c>
      <c r="G1791">
        <v>5.33</v>
      </c>
      <c r="H1791">
        <v>83.6006</v>
      </c>
      <c r="I1791">
        <v>18.420000000000002</v>
      </c>
      <c r="J1791">
        <v>107.49</v>
      </c>
      <c r="K1791" t="s">
        <v>23</v>
      </c>
      <c r="L1791">
        <v>12818.02</v>
      </c>
      <c r="M1791">
        <f>VLOOKUP(K1791,RatingLookup!$A$2:$C$8,2,FALSE)</f>
        <v>1E-3</v>
      </c>
      <c r="N1791">
        <f t="shared" si="81"/>
        <v>8.3371552197619714E-5</v>
      </c>
      <c r="O1791">
        <f>VLOOKUP(K1791,RatingLookup!$A$2:$C$8,3,FALSE)</f>
        <v>0.3</v>
      </c>
      <c r="P1791">
        <f t="shared" si="82"/>
        <v>0.32059746705004</v>
      </c>
      <c r="Q1791" t="str">
        <f t="shared" ca="1" si="83"/>
        <v>No</v>
      </c>
    </row>
    <row r="1792" spans="1:17" x14ac:dyDescent="0.45">
      <c r="A1792" t="s">
        <v>94</v>
      </c>
      <c r="B1792" t="s">
        <v>95</v>
      </c>
      <c r="C1792" t="s">
        <v>26</v>
      </c>
      <c r="D1792" t="s">
        <v>20</v>
      </c>
      <c r="E1792" t="s">
        <v>21</v>
      </c>
      <c r="F1792" s="1">
        <v>45352</v>
      </c>
      <c r="G1792">
        <v>5.15</v>
      </c>
      <c r="H1792">
        <v>81.351399999999998</v>
      </c>
      <c r="I1792">
        <v>20.38</v>
      </c>
      <c r="J1792">
        <v>84.77</v>
      </c>
      <c r="K1792" t="s">
        <v>48</v>
      </c>
      <c r="L1792">
        <v>12634.9</v>
      </c>
      <c r="M1792">
        <f>VLOOKUP(K1792,RatingLookup!$A$2:$C$8,2,FALSE)</f>
        <v>5.0000000000000001E-4</v>
      </c>
      <c r="N1792">
        <f t="shared" si="81"/>
        <v>4.167621832917856E-5</v>
      </c>
      <c r="O1792">
        <f>VLOOKUP(K1792,RatingLookup!$A$2:$C$8,3,FALSE)</f>
        <v>0.25</v>
      </c>
      <c r="P1792">
        <f t="shared" si="82"/>
        <v>0.13164371274183453</v>
      </c>
      <c r="Q1792" t="str">
        <f t="shared" ca="1" si="83"/>
        <v>No</v>
      </c>
    </row>
    <row r="1793" spans="1:17" x14ac:dyDescent="0.45">
      <c r="A1793" t="s">
        <v>94</v>
      </c>
      <c r="B1793" t="s">
        <v>95</v>
      </c>
      <c r="C1793" t="s">
        <v>26</v>
      </c>
      <c r="D1793" t="s">
        <v>20</v>
      </c>
      <c r="E1793" t="s">
        <v>21</v>
      </c>
      <c r="F1793" s="1">
        <v>45383</v>
      </c>
      <c r="G1793">
        <v>6.29</v>
      </c>
      <c r="H1793">
        <v>86.300899999999999</v>
      </c>
      <c r="I1793">
        <v>9.5299999999999994</v>
      </c>
      <c r="J1793">
        <v>72.33</v>
      </c>
      <c r="K1793" t="s">
        <v>48</v>
      </c>
      <c r="L1793">
        <v>13127.24</v>
      </c>
      <c r="M1793">
        <f>VLOOKUP(K1793,RatingLookup!$A$2:$C$8,2,FALSE)</f>
        <v>5.0000000000000001E-4</v>
      </c>
      <c r="N1793">
        <f t="shared" si="81"/>
        <v>4.167621832917856E-5</v>
      </c>
      <c r="O1793">
        <f>VLOOKUP(K1793,RatingLookup!$A$2:$C$8,3,FALSE)</f>
        <v>0.25</v>
      </c>
      <c r="P1793">
        <f t="shared" si="82"/>
        <v>0.13677343007488149</v>
      </c>
      <c r="Q1793" t="str">
        <f t="shared" ca="1" si="83"/>
        <v>No</v>
      </c>
    </row>
    <row r="1794" spans="1:17" x14ac:dyDescent="0.45">
      <c r="A1794" t="s">
        <v>94</v>
      </c>
      <c r="B1794" t="s">
        <v>95</v>
      </c>
      <c r="C1794" t="s">
        <v>26</v>
      </c>
      <c r="D1794" t="s">
        <v>20</v>
      </c>
      <c r="E1794" t="s">
        <v>21</v>
      </c>
      <c r="F1794" s="1">
        <v>45413</v>
      </c>
      <c r="G1794">
        <v>5.58</v>
      </c>
      <c r="H1794">
        <v>82.748999999999995</v>
      </c>
      <c r="I1794">
        <v>12.21</v>
      </c>
      <c r="J1794">
        <v>64.349999999999994</v>
      </c>
      <c r="K1794" t="s">
        <v>48</v>
      </c>
      <c r="L1794">
        <v>12992.99</v>
      </c>
      <c r="M1794">
        <f>VLOOKUP(K1794,RatingLookup!$A$2:$C$8,2,FALSE)</f>
        <v>5.0000000000000001E-4</v>
      </c>
      <c r="N1794">
        <f t="shared" ref="N1794:N1857" si="84">1-(1-M1794)^(1/12)</f>
        <v>4.167621832917856E-5</v>
      </c>
      <c r="O1794">
        <f>VLOOKUP(K1794,RatingLookup!$A$2:$C$8,3,FALSE)</f>
        <v>0.25</v>
      </c>
      <c r="P1794">
        <f t="shared" ref="P1794:P1857" si="85">L1794*N1794*O1794</f>
        <v>0.13537467199720843</v>
      </c>
      <c r="Q1794" t="str">
        <f t="shared" ref="Q1794:Q1857" ca="1" si="86">IF(RAND()&lt;N1794,"Yes","No")</f>
        <v>No</v>
      </c>
    </row>
    <row r="1795" spans="1:17" x14ac:dyDescent="0.45">
      <c r="A1795" t="s">
        <v>94</v>
      </c>
      <c r="B1795" t="s">
        <v>95</v>
      </c>
      <c r="C1795" t="s">
        <v>26</v>
      </c>
      <c r="D1795" t="s">
        <v>20</v>
      </c>
      <c r="E1795" t="s">
        <v>21</v>
      </c>
      <c r="F1795" s="1">
        <v>45444</v>
      </c>
      <c r="G1795">
        <v>6.73</v>
      </c>
      <c r="H1795">
        <v>84.190200000000004</v>
      </c>
      <c r="I1795">
        <v>7.03</v>
      </c>
      <c r="J1795">
        <v>81.09</v>
      </c>
      <c r="K1795" t="s">
        <v>48</v>
      </c>
      <c r="L1795">
        <v>13660.69</v>
      </c>
      <c r="M1795">
        <f>VLOOKUP(K1795,RatingLookup!$A$2:$C$8,2,FALSE)</f>
        <v>5.0000000000000001E-4</v>
      </c>
      <c r="N1795">
        <f t="shared" si="84"/>
        <v>4.167621832917856E-5</v>
      </c>
      <c r="O1795">
        <f>VLOOKUP(K1795,RatingLookup!$A$2:$C$8,3,FALSE)</f>
        <v>0.25</v>
      </c>
      <c r="P1795">
        <f t="shared" si="85"/>
        <v>0.14233147474180657</v>
      </c>
      <c r="Q1795" t="str">
        <f t="shared" ca="1" si="86"/>
        <v>No</v>
      </c>
    </row>
    <row r="1796" spans="1:17" x14ac:dyDescent="0.45">
      <c r="A1796" t="s">
        <v>94</v>
      </c>
      <c r="B1796" t="s">
        <v>95</v>
      </c>
      <c r="C1796" t="s">
        <v>26</v>
      </c>
      <c r="D1796" t="s">
        <v>20</v>
      </c>
      <c r="E1796" t="s">
        <v>21</v>
      </c>
      <c r="F1796" s="1">
        <v>45474</v>
      </c>
      <c r="G1796">
        <v>5.9</v>
      </c>
      <c r="H1796">
        <v>86.524799999999999</v>
      </c>
      <c r="I1796">
        <v>10.82</v>
      </c>
      <c r="J1796">
        <v>78.59</v>
      </c>
      <c r="K1796" t="s">
        <v>48</v>
      </c>
      <c r="L1796">
        <v>13757.93</v>
      </c>
      <c r="M1796">
        <f>VLOOKUP(K1796,RatingLookup!$A$2:$C$8,2,FALSE)</f>
        <v>5.0000000000000001E-4</v>
      </c>
      <c r="N1796">
        <f t="shared" si="84"/>
        <v>4.167621832917856E-5</v>
      </c>
      <c r="O1796">
        <f>VLOOKUP(K1796,RatingLookup!$A$2:$C$8,3,FALSE)</f>
        <v>0.25</v>
      </c>
      <c r="P1796">
        <f t="shared" si="85"/>
        <v>0.1433446236093889</v>
      </c>
      <c r="Q1796" t="str">
        <f t="shared" ca="1" si="86"/>
        <v>No</v>
      </c>
    </row>
    <row r="1797" spans="1:17" x14ac:dyDescent="0.45">
      <c r="A1797" t="s">
        <v>94</v>
      </c>
      <c r="B1797" t="s">
        <v>95</v>
      </c>
      <c r="C1797" t="s">
        <v>26</v>
      </c>
      <c r="D1797" t="s">
        <v>20</v>
      </c>
      <c r="E1797" t="s">
        <v>21</v>
      </c>
      <c r="F1797" s="1">
        <v>45505</v>
      </c>
      <c r="G1797">
        <v>4.5999999999999996</v>
      </c>
      <c r="H1797">
        <v>83.478499999999997</v>
      </c>
      <c r="I1797">
        <v>14.76</v>
      </c>
      <c r="J1797">
        <v>77.540000000000006</v>
      </c>
      <c r="K1797" t="s">
        <v>82</v>
      </c>
      <c r="L1797">
        <v>13735.63</v>
      </c>
      <c r="M1797">
        <f>VLOOKUP(K1797,RatingLookup!$A$2:$C$8,2,FALSE)</f>
        <v>1E-4</v>
      </c>
      <c r="N1797">
        <f t="shared" si="84"/>
        <v>8.3337153021778576E-6</v>
      </c>
      <c r="O1797">
        <f>VLOOKUP(K1797,RatingLookup!$A$2:$C$8,3,FALSE)</f>
        <v>0.2</v>
      </c>
      <c r="P1797">
        <f t="shared" si="85"/>
        <v>2.2893765983210648E-2</v>
      </c>
      <c r="Q1797" t="str">
        <f t="shared" ca="1" si="86"/>
        <v>No</v>
      </c>
    </row>
    <row r="1798" spans="1:17" x14ac:dyDescent="0.45">
      <c r="A1798" t="s">
        <v>94</v>
      </c>
      <c r="B1798" t="s">
        <v>95</v>
      </c>
      <c r="C1798" t="s">
        <v>26</v>
      </c>
      <c r="D1798" t="s">
        <v>20</v>
      </c>
      <c r="E1798" t="s">
        <v>21</v>
      </c>
      <c r="F1798" s="1">
        <v>45536</v>
      </c>
      <c r="G1798">
        <v>6.36</v>
      </c>
      <c r="H1798">
        <v>83.850899999999996</v>
      </c>
      <c r="I1798">
        <v>27.12</v>
      </c>
      <c r="J1798">
        <v>66.89</v>
      </c>
      <c r="K1798" t="s">
        <v>82</v>
      </c>
      <c r="L1798">
        <v>12042.02</v>
      </c>
      <c r="M1798">
        <f>VLOOKUP(K1798,RatingLookup!$A$2:$C$8,2,FALSE)</f>
        <v>1E-4</v>
      </c>
      <c r="N1798">
        <f t="shared" si="84"/>
        <v>8.3337153021778576E-6</v>
      </c>
      <c r="O1798">
        <f>VLOOKUP(K1798,RatingLookup!$A$2:$C$8,3,FALSE)</f>
        <v>0.2</v>
      </c>
      <c r="P1798">
        <f t="shared" si="85"/>
        <v>2.0070953268626363E-2</v>
      </c>
      <c r="Q1798" t="str">
        <f t="shared" ca="1" si="86"/>
        <v>No</v>
      </c>
    </row>
    <row r="1799" spans="1:17" x14ac:dyDescent="0.45">
      <c r="A1799" t="s">
        <v>94</v>
      </c>
      <c r="B1799" t="s">
        <v>95</v>
      </c>
      <c r="C1799" t="s">
        <v>26</v>
      </c>
      <c r="D1799" t="s">
        <v>20</v>
      </c>
      <c r="E1799" t="s">
        <v>21</v>
      </c>
      <c r="F1799" s="1">
        <v>45566</v>
      </c>
      <c r="G1799">
        <v>5.65</v>
      </c>
      <c r="H1799">
        <v>82.363900000000001</v>
      </c>
      <c r="I1799">
        <v>20.02</v>
      </c>
      <c r="J1799">
        <v>81.510000000000005</v>
      </c>
      <c r="K1799" t="s">
        <v>82</v>
      </c>
      <c r="L1799">
        <v>13299.67</v>
      </c>
      <c r="M1799">
        <f>VLOOKUP(K1799,RatingLookup!$A$2:$C$8,2,FALSE)</f>
        <v>1E-4</v>
      </c>
      <c r="N1799">
        <f t="shared" si="84"/>
        <v>8.3337153021778576E-6</v>
      </c>
      <c r="O1799">
        <f>VLOOKUP(K1799,RatingLookup!$A$2:$C$8,3,FALSE)</f>
        <v>0.2</v>
      </c>
      <c r="P1799">
        <f t="shared" si="85"/>
        <v>2.2167132678583158E-2</v>
      </c>
      <c r="Q1799" t="str">
        <f t="shared" ca="1" si="86"/>
        <v>No</v>
      </c>
    </row>
    <row r="1800" spans="1:17" x14ac:dyDescent="0.45">
      <c r="A1800" t="s">
        <v>94</v>
      </c>
      <c r="B1800" t="s">
        <v>95</v>
      </c>
      <c r="C1800" t="s">
        <v>26</v>
      </c>
      <c r="D1800" t="s">
        <v>20</v>
      </c>
      <c r="E1800" t="s">
        <v>21</v>
      </c>
      <c r="F1800" s="1">
        <v>45597</v>
      </c>
      <c r="G1800">
        <v>5.37</v>
      </c>
      <c r="H1800">
        <v>86.7851</v>
      </c>
      <c r="I1800">
        <v>15.51</v>
      </c>
      <c r="J1800">
        <v>74.66</v>
      </c>
      <c r="K1800" t="s">
        <v>82</v>
      </c>
      <c r="L1800">
        <v>13358.64</v>
      </c>
      <c r="M1800">
        <f>VLOOKUP(K1800,RatingLookup!$A$2:$C$8,2,FALSE)</f>
        <v>1E-4</v>
      </c>
      <c r="N1800">
        <f t="shared" si="84"/>
        <v>8.3337153021778576E-6</v>
      </c>
      <c r="O1800">
        <f>VLOOKUP(K1800,RatingLookup!$A$2:$C$8,3,FALSE)</f>
        <v>0.2</v>
      </c>
      <c r="P1800">
        <f t="shared" si="85"/>
        <v>2.2265420516857044E-2</v>
      </c>
      <c r="Q1800" t="str">
        <f t="shared" ca="1" si="86"/>
        <v>No</v>
      </c>
    </row>
    <row r="1801" spans="1:17" x14ac:dyDescent="0.45">
      <c r="A1801" t="s">
        <v>94</v>
      </c>
      <c r="B1801" t="s">
        <v>95</v>
      </c>
      <c r="C1801" t="s">
        <v>26</v>
      </c>
      <c r="D1801" t="s">
        <v>20</v>
      </c>
      <c r="E1801" t="s">
        <v>21</v>
      </c>
      <c r="F1801" s="1">
        <v>45627</v>
      </c>
      <c r="G1801">
        <v>4.79</v>
      </c>
      <c r="H1801">
        <v>85.180800000000005</v>
      </c>
      <c r="I1801">
        <v>28.94</v>
      </c>
      <c r="J1801">
        <v>101.85</v>
      </c>
      <c r="K1801" t="s">
        <v>48</v>
      </c>
      <c r="L1801">
        <v>13190.17</v>
      </c>
      <c r="M1801">
        <f>VLOOKUP(K1801,RatingLookup!$A$2:$C$8,2,FALSE)</f>
        <v>5.0000000000000001E-4</v>
      </c>
      <c r="N1801">
        <f t="shared" si="84"/>
        <v>4.167621832917856E-5</v>
      </c>
      <c r="O1801">
        <f>VLOOKUP(K1801,RatingLookup!$A$2:$C$8,3,FALSE)</f>
        <v>0.25</v>
      </c>
      <c r="P1801">
        <f t="shared" si="85"/>
        <v>0.1374291011797453</v>
      </c>
      <c r="Q1801" t="str">
        <f t="shared" ca="1" si="86"/>
        <v>No</v>
      </c>
    </row>
    <row r="1802" spans="1:17" x14ac:dyDescent="0.45">
      <c r="A1802" t="s">
        <v>96</v>
      </c>
      <c r="B1802" t="s">
        <v>97</v>
      </c>
      <c r="C1802" t="s">
        <v>85</v>
      </c>
      <c r="D1802" t="s">
        <v>20</v>
      </c>
      <c r="E1802" t="s">
        <v>21</v>
      </c>
      <c r="F1802" s="1">
        <v>43831</v>
      </c>
      <c r="G1802">
        <v>5.01</v>
      </c>
      <c r="H1802">
        <v>83.996899999999997</v>
      </c>
      <c r="I1802">
        <v>15.8</v>
      </c>
      <c r="J1802">
        <v>63.52</v>
      </c>
      <c r="K1802" t="s">
        <v>31</v>
      </c>
      <c r="L1802">
        <v>374.53</v>
      </c>
      <c r="M1802">
        <f>VLOOKUP(K1802,RatingLookup!$A$2:$C$8,2,FALSE)</f>
        <v>0.04</v>
      </c>
      <c r="N1802">
        <f t="shared" si="84"/>
        <v>3.3960531989175591E-3</v>
      </c>
      <c r="O1802">
        <f>VLOOKUP(K1802,RatingLookup!$A$2:$C$8,3,FALSE)</f>
        <v>0.6</v>
      </c>
      <c r="P1802">
        <f t="shared" si="85"/>
        <v>0.76315428275435604</v>
      </c>
      <c r="Q1802" t="str">
        <f t="shared" ca="1" si="86"/>
        <v>No</v>
      </c>
    </row>
    <row r="1803" spans="1:17" x14ac:dyDescent="0.45">
      <c r="A1803" t="s">
        <v>96</v>
      </c>
      <c r="B1803" t="s">
        <v>97</v>
      </c>
      <c r="C1803" t="s">
        <v>85</v>
      </c>
      <c r="D1803" t="s">
        <v>20</v>
      </c>
      <c r="E1803" t="s">
        <v>21</v>
      </c>
      <c r="F1803" s="1">
        <v>43862</v>
      </c>
      <c r="G1803">
        <v>5.27</v>
      </c>
      <c r="H1803">
        <v>84.040199999999999</v>
      </c>
      <c r="I1803">
        <v>21.91</v>
      </c>
      <c r="J1803">
        <v>68.69</v>
      </c>
      <c r="K1803" t="s">
        <v>31</v>
      </c>
      <c r="L1803">
        <v>331.46</v>
      </c>
      <c r="M1803">
        <f>VLOOKUP(K1803,RatingLookup!$A$2:$C$8,2,FALSE)</f>
        <v>0.04</v>
      </c>
      <c r="N1803">
        <f t="shared" si="84"/>
        <v>3.3960531989175591E-3</v>
      </c>
      <c r="O1803">
        <f>VLOOKUP(K1803,RatingLookup!$A$2:$C$8,3,FALSE)</f>
        <v>0.6</v>
      </c>
      <c r="P1803">
        <f t="shared" si="85"/>
        <v>0.67539347598792843</v>
      </c>
      <c r="Q1803" t="str">
        <f t="shared" ca="1" si="86"/>
        <v>No</v>
      </c>
    </row>
    <row r="1804" spans="1:17" x14ac:dyDescent="0.45">
      <c r="A1804" t="s">
        <v>96</v>
      </c>
      <c r="B1804" t="s">
        <v>97</v>
      </c>
      <c r="C1804" t="s">
        <v>85</v>
      </c>
      <c r="D1804" t="s">
        <v>20</v>
      </c>
      <c r="E1804" t="s">
        <v>21</v>
      </c>
      <c r="F1804" s="1">
        <v>43891</v>
      </c>
      <c r="G1804">
        <v>5.59</v>
      </c>
      <c r="H1804">
        <v>83.812399999999997</v>
      </c>
      <c r="I1804">
        <v>17.149999999999999</v>
      </c>
      <c r="J1804">
        <v>73.41</v>
      </c>
      <c r="K1804" t="s">
        <v>31</v>
      </c>
      <c r="L1804">
        <v>343.08</v>
      </c>
      <c r="M1804">
        <f>VLOOKUP(K1804,RatingLookup!$A$2:$C$8,2,FALSE)</f>
        <v>0.04</v>
      </c>
      <c r="N1804">
        <f t="shared" si="84"/>
        <v>3.3960531989175591E-3</v>
      </c>
      <c r="O1804">
        <f>VLOOKUP(K1804,RatingLookup!$A$2:$C$8,3,FALSE)</f>
        <v>0.6</v>
      </c>
      <c r="P1804">
        <f t="shared" si="85"/>
        <v>0.69907075889078163</v>
      </c>
      <c r="Q1804" t="str">
        <f t="shared" ca="1" si="86"/>
        <v>No</v>
      </c>
    </row>
    <row r="1805" spans="1:17" x14ac:dyDescent="0.45">
      <c r="A1805" t="s">
        <v>96</v>
      </c>
      <c r="B1805" t="s">
        <v>97</v>
      </c>
      <c r="C1805" t="s">
        <v>85</v>
      </c>
      <c r="D1805" t="s">
        <v>20</v>
      </c>
      <c r="E1805" t="s">
        <v>21</v>
      </c>
      <c r="F1805" s="1">
        <v>43922</v>
      </c>
      <c r="G1805">
        <v>5.59</v>
      </c>
      <c r="H1805">
        <v>82.837100000000007</v>
      </c>
      <c r="I1805">
        <v>18.71</v>
      </c>
      <c r="J1805">
        <v>74.88</v>
      </c>
      <c r="K1805" t="s">
        <v>31</v>
      </c>
      <c r="L1805">
        <v>331.72</v>
      </c>
      <c r="M1805">
        <f>VLOOKUP(K1805,RatingLookup!$A$2:$C$8,2,FALSE)</f>
        <v>0.04</v>
      </c>
      <c r="N1805">
        <f t="shared" si="84"/>
        <v>3.3960531989175591E-3</v>
      </c>
      <c r="O1805">
        <f>VLOOKUP(K1805,RatingLookup!$A$2:$C$8,3,FALSE)</f>
        <v>0.6</v>
      </c>
      <c r="P1805">
        <f t="shared" si="85"/>
        <v>0.67592326028695959</v>
      </c>
      <c r="Q1805" t="str">
        <f t="shared" ca="1" si="86"/>
        <v>No</v>
      </c>
    </row>
    <row r="1806" spans="1:17" x14ac:dyDescent="0.45">
      <c r="A1806" t="s">
        <v>96</v>
      </c>
      <c r="B1806" t="s">
        <v>97</v>
      </c>
      <c r="C1806" t="s">
        <v>85</v>
      </c>
      <c r="D1806" t="s">
        <v>20</v>
      </c>
      <c r="E1806" t="s">
        <v>21</v>
      </c>
      <c r="F1806" s="1">
        <v>43952</v>
      </c>
      <c r="G1806">
        <v>5.71</v>
      </c>
      <c r="H1806">
        <v>81.557900000000004</v>
      </c>
      <c r="I1806">
        <v>28.07</v>
      </c>
      <c r="J1806">
        <v>62.78</v>
      </c>
      <c r="K1806" t="s">
        <v>31</v>
      </c>
      <c r="L1806">
        <v>297.63</v>
      </c>
      <c r="M1806">
        <f>VLOOKUP(K1806,RatingLookup!$A$2:$C$8,2,FALSE)</f>
        <v>0.04</v>
      </c>
      <c r="N1806">
        <f t="shared" si="84"/>
        <v>3.3960531989175591E-3</v>
      </c>
      <c r="O1806">
        <f>VLOOKUP(K1806,RatingLookup!$A$2:$C$8,3,FALSE)</f>
        <v>0.6</v>
      </c>
      <c r="P1806">
        <f t="shared" si="85"/>
        <v>0.60646038815629988</v>
      </c>
      <c r="Q1806" t="str">
        <f t="shared" ca="1" si="86"/>
        <v>No</v>
      </c>
    </row>
    <row r="1807" spans="1:17" x14ac:dyDescent="0.45">
      <c r="A1807" t="s">
        <v>96</v>
      </c>
      <c r="B1807" t="s">
        <v>97</v>
      </c>
      <c r="C1807" t="s">
        <v>85</v>
      </c>
      <c r="D1807" t="s">
        <v>20</v>
      </c>
      <c r="E1807" t="s">
        <v>21</v>
      </c>
      <c r="F1807" s="1">
        <v>43983</v>
      </c>
      <c r="G1807">
        <v>5.66</v>
      </c>
      <c r="H1807">
        <v>80.491900000000001</v>
      </c>
      <c r="I1807">
        <v>19.07</v>
      </c>
      <c r="J1807">
        <v>63.14</v>
      </c>
      <c r="K1807" t="s">
        <v>31</v>
      </c>
      <c r="L1807">
        <v>382.16</v>
      </c>
      <c r="M1807">
        <f>VLOOKUP(K1807,RatingLookup!$A$2:$C$8,2,FALSE)</f>
        <v>0.04</v>
      </c>
      <c r="N1807">
        <f t="shared" si="84"/>
        <v>3.3960531989175591E-3</v>
      </c>
      <c r="O1807">
        <f>VLOOKUP(K1807,RatingLookup!$A$2:$C$8,3,FALSE)</f>
        <v>0.6</v>
      </c>
      <c r="P1807">
        <f t="shared" si="85"/>
        <v>0.77870141429900064</v>
      </c>
      <c r="Q1807" t="str">
        <f t="shared" ca="1" si="86"/>
        <v>No</v>
      </c>
    </row>
    <row r="1808" spans="1:17" x14ac:dyDescent="0.45">
      <c r="A1808" t="s">
        <v>96</v>
      </c>
      <c r="B1808" t="s">
        <v>97</v>
      </c>
      <c r="C1808" t="s">
        <v>85</v>
      </c>
      <c r="D1808" t="s">
        <v>20</v>
      </c>
      <c r="E1808" t="s">
        <v>21</v>
      </c>
      <c r="F1808" s="1">
        <v>44013</v>
      </c>
      <c r="G1808">
        <v>6.63</v>
      </c>
      <c r="H1808">
        <v>84.2209</v>
      </c>
      <c r="I1808">
        <v>26.46</v>
      </c>
      <c r="J1808">
        <v>73.88</v>
      </c>
      <c r="K1808" t="s">
        <v>31</v>
      </c>
      <c r="L1808">
        <v>348.01</v>
      </c>
      <c r="M1808">
        <f>VLOOKUP(K1808,RatingLookup!$A$2:$C$8,2,FALSE)</f>
        <v>0.04</v>
      </c>
      <c r="N1808">
        <f t="shared" si="84"/>
        <v>3.3960531989175591E-3</v>
      </c>
      <c r="O1808">
        <f>VLOOKUP(K1808,RatingLookup!$A$2:$C$8,3,FALSE)</f>
        <v>0.6</v>
      </c>
      <c r="P1808">
        <f t="shared" si="85"/>
        <v>0.70911628425317985</v>
      </c>
      <c r="Q1808" t="str">
        <f t="shared" ca="1" si="86"/>
        <v>No</v>
      </c>
    </row>
    <row r="1809" spans="1:17" x14ac:dyDescent="0.45">
      <c r="A1809" t="s">
        <v>96</v>
      </c>
      <c r="B1809" t="s">
        <v>97</v>
      </c>
      <c r="C1809" t="s">
        <v>85</v>
      </c>
      <c r="D1809" t="s">
        <v>20</v>
      </c>
      <c r="E1809" t="s">
        <v>21</v>
      </c>
      <c r="F1809" s="1">
        <v>44044</v>
      </c>
      <c r="G1809">
        <v>5.14</v>
      </c>
      <c r="H1809">
        <v>81.218900000000005</v>
      </c>
      <c r="I1809">
        <v>31.46</v>
      </c>
      <c r="J1809">
        <v>84.13</v>
      </c>
      <c r="K1809" t="s">
        <v>31</v>
      </c>
      <c r="L1809">
        <v>381.29</v>
      </c>
      <c r="M1809">
        <f>VLOOKUP(K1809,RatingLookup!$A$2:$C$8,2,FALSE)</f>
        <v>0.04</v>
      </c>
      <c r="N1809">
        <f t="shared" si="84"/>
        <v>3.3960531989175591E-3</v>
      </c>
      <c r="O1809">
        <f>VLOOKUP(K1809,RatingLookup!$A$2:$C$8,3,FALSE)</f>
        <v>0.6</v>
      </c>
      <c r="P1809">
        <f t="shared" si="85"/>
        <v>0.7769286745291657</v>
      </c>
      <c r="Q1809" t="str">
        <f t="shared" ca="1" si="86"/>
        <v>No</v>
      </c>
    </row>
    <row r="1810" spans="1:17" x14ac:dyDescent="0.45">
      <c r="A1810" t="s">
        <v>96</v>
      </c>
      <c r="B1810" t="s">
        <v>97</v>
      </c>
      <c r="C1810" t="s">
        <v>85</v>
      </c>
      <c r="D1810" t="s">
        <v>20</v>
      </c>
      <c r="E1810" t="s">
        <v>21</v>
      </c>
      <c r="F1810" s="1">
        <v>44075</v>
      </c>
      <c r="G1810">
        <v>4.37</v>
      </c>
      <c r="H1810">
        <v>76.570899999999995</v>
      </c>
      <c r="I1810">
        <v>24.72</v>
      </c>
      <c r="J1810">
        <v>50.85</v>
      </c>
      <c r="K1810" t="s">
        <v>32</v>
      </c>
      <c r="L1810">
        <v>352.57</v>
      </c>
      <c r="M1810">
        <f>VLOOKUP(K1810,RatingLookup!$A$2:$C$8,2,FALSE)</f>
        <v>0.12</v>
      </c>
      <c r="N1810">
        <f t="shared" si="84"/>
        <v>1.0596241035318976E-2</v>
      </c>
      <c r="O1810">
        <f>VLOOKUP(K1810,RatingLookup!$A$2:$C$8,3,FALSE)</f>
        <v>0.7</v>
      </c>
      <c r="P1810">
        <f t="shared" si="85"/>
        <v>2.6151416912756877</v>
      </c>
      <c r="Q1810" t="str">
        <f t="shared" ca="1" si="86"/>
        <v>No</v>
      </c>
    </row>
    <row r="1811" spans="1:17" x14ac:dyDescent="0.45">
      <c r="A1811" t="s">
        <v>96</v>
      </c>
      <c r="B1811" t="s">
        <v>97</v>
      </c>
      <c r="C1811" t="s">
        <v>85</v>
      </c>
      <c r="D1811" t="s">
        <v>20</v>
      </c>
      <c r="E1811" t="s">
        <v>21</v>
      </c>
      <c r="F1811" s="1">
        <v>44105</v>
      </c>
      <c r="G1811">
        <v>5.4</v>
      </c>
      <c r="H1811">
        <v>86.685599999999994</v>
      </c>
      <c r="I1811">
        <v>16.96</v>
      </c>
      <c r="J1811">
        <v>87.36</v>
      </c>
      <c r="K1811" t="s">
        <v>32</v>
      </c>
      <c r="L1811">
        <v>321.64999999999998</v>
      </c>
      <c r="M1811">
        <f>VLOOKUP(K1811,RatingLookup!$A$2:$C$8,2,FALSE)</f>
        <v>0.12</v>
      </c>
      <c r="N1811">
        <f t="shared" si="84"/>
        <v>1.0596241035318976E-2</v>
      </c>
      <c r="O1811">
        <f>VLOOKUP(K1811,RatingLookup!$A$2:$C$8,3,FALSE)</f>
        <v>0.7</v>
      </c>
      <c r="P1811">
        <f t="shared" si="85"/>
        <v>2.3857966503072441</v>
      </c>
      <c r="Q1811" t="str">
        <f t="shared" ca="1" si="86"/>
        <v>No</v>
      </c>
    </row>
    <row r="1812" spans="1:17" x14ac:dyDescent="0.45">
      <c r="A1812" t="s">
        <v>96</v>
      </c>
      <c r="B1812" t="s">
        <v>97</v>
      </c>
      <c r="C1812" t="s">
        <v>85</v>
      </c>
      <c r="D1812" t="s">
        <v>20</v>
      </c>
      <c r="E1812" t="s">
        <v>21</v>
      </c>
      <c r="F1812" s="1">
        <v>44136</v>
      </c>
      <c r="G1812">
        <v>4.66</v>
      </c>
      <c r="H1812">
        <v>82.050200000000004</v>
      </c>
      <c r="I1812">
        <v>15.72</v>
      </c>
      <c r="J1812">
        <v>82.05</v>
      </c>
      <c r="K1812" t="s">
        <v>32</v>
      </c>
      <c r="L1812">
        <v>328.54</v>
      </c>
      <c r="M1812">
        <f>VLOOKUP(K1812,RatingLookup!$A$2:$C$8,2,FALSE)</f>
        <v>0.12</v>
      </c>
      <c r="N1812">
        <f t="shared" si="84"/>
        <v>1.0596241035318976E-2</v>
      </c>
      <c r="O1812">
        <f>VLOOKUP(K1812,RatingLookup!$A$2:$C$8,3,FALSE)</f>
        <v>0.7</v>
      </c>
      <c r="P1812">
        <f t="shared" si="85"/>
        <v>2.4369023208205873</v>
      </c>
      <c r="Q1812" t="str">
        <f t="shared" ca="1" si="86"/>
        <v>No</v>
      </c>
    </row>
    <row r="1813" spans="1:17" x14ac:dyDescent="0.45">
      <c r="A1813" t="s">
        <v>96</v>
      </c>
      <c r="B1813" t="s">
        <v>97</v>
      </c>
      <c r="C1813" t="s">
        <v>85</v>
      </c>
      <c r="D1813" t="s">
        <v>20</v>
      </c>
      <c r="E1813" t="s">
        <v>21</v>
      </c>
      <c r="F1813" s="1">
        <v>44166</v>
      </c>
      <c r="G1813">
        <v>5.75</v>
      </c>
      <c r="H1813">
        <v>79.476600000000005</v>
      </c>
      <c r="I1813">
        <v>21.86</v>
      </c>
      <c r="J1813">
        <v>87.35</v>
      </c>
      <c r="K1813" t="s">
        <v>31</v>
      </c>
      <c r="L1813">
        <v>308.2</v>
      </c>
      <c r="M1813">
        <f>VLOOKUP(K1813,RatingLookup!$A$2:$C$8,2,FALSE)</f>
        <v>0.04</v>
      </c>
      <c r="N1813">
        <f t="shared" si="84"/>
        <v>3.3960531989175591E-3</v>
      </c>
      <c r="O1813">
        <f>VLOOKUP(K1813,RatingLookup!$A$2:$C$8,3,FALSE)</f>
        <v>0.6</v>
      </c>
      <c r="P1813">
        <f t="shared" si="85"/>
        <v>0.62799815754383503</v>
      </c>
      <c r="Q1813" t="str">
        <f t="shared" ca="1" si="86"/>
        <v>No</v>
      </c>
    </row>
    <row r="1814" spans="1:17" x14ac:dyDescent="0.45">
      <c r="A1814" t="s">
        <v>96</v>
      </c>
      <c r="B1814" t="s">
        <v>97</v>
      </c>
      <c r="C1814" t="s">
        <v>85</v>
      </c>
      <c r="D1814" t="s">
        <v>20</v>
      </c>
      <c r="E1814" t="s">
        <v>21</v>
      </c>
      <c r="F1814" s="1">
        <v>44197</v>
      </c>
      <c r="G1814">
        <v>4.6900000000000004</v>
      </c>
      <c r="H1814">
        <v>84.307100000000005</v>
      </c>
      <c r="I1814">
        <v>15.48</v>
      </c>
      <c r="J1814">
        <v>75.22</v>
      </c>
      <c r="K1814" t="s">
        <v>31</v>
      </c>
      <c r="L1814">
        <v>356.73</v>
      </c>
      <c r="M1814">
        <f>VLOOKUP(K1814,RatingLookup!$A$2:$C$8,2,FALSE)</f>
        <v>0.04</v>
      </c>
      <c r="N1814">
        <f t="shared" si="84"/>
        <v>3.3960531989175591E-3</v>
      </c>
      <c r="O1814">
        <f>VLOOKUP(K1814,RatingLookup!$A$2:$C$8,3,FALSE)</f>
        <v>0.6</v>
      </c>
      <c r="P1814">
        <f t="shared" si="85"/>
        <v>0.72688443458991647</v>
      </c>
      <c r="Q1814" t="str">
        <f t="shared" ca="1" si="86"/>
        <v>No</v>
      </c>
    </row>
    <row r="1815" spans="1:17" x14ac:dyDescent="0.45">
      <c r="A1815" t="s">
        <v>96</v>
      </c>
      <c r="B1815" t="s">
        <v>97</v>
      </c>
      <c r="C1815" t="s">
        <v>85</v>
      </c>
      <c r="D1815" t="s">
        <v>20</v>
      </c>
      <c r="E1815" t="s">
        <v>21</v>
      </c>
      <c r="F1815" s="1">
        <v>44228</v>
      </c>
      <c r="G1815">
        <v>5.79</v>
      </c>
      <c r="H1815">
        <v>80.964399999999998</v>
      </c>
      <c r="I1815">
        <v>25.12</v>
      </c>
      <c r="J1815">
        <v>57.68</v>
      </c>
      <c r="K1815" t="s">
        <v>31</v>
      </c>
      <c r="L1815">
        <v>343.19</v>
      </c>
      <c r="M1815">
        <f>VLOOKUP(K1815,RatingLookup!$A$2:$C$8,2,FALSE)</f>
        <v>0.04</v>
      </c>
      <c r="N1815">
        <f t="shared" si="84"/>
        <v>3.3960531989175591E-3</v>
      </c>
      <c r="O1815">
        <f>VLOOKUP(K1815,RatingLookup!$A$2:$C$8,3,FALSE)</f>
        <v>0.6</v>
      </c>
      <c r="P1815">
        <f t="shared" si="85"/>
        <v>0.69929489840191028</v>
      </c>
      <c r="Q1815" t="str">
        <f t="shared" ca="1" si="86"/>
        <v>No</v>
      </c>
    </row>
    <row r="1816" spans="1:17" x14ac:dyDescent="0.45">
      <c r="A1816" t="s">
        <v>96</v>
      </c>
      <c r="B1816" t="s">
        <v>97</v>
      </c>
      <c r="C1816" t="s">
        <v>85</v>
      </c>
      <c r="D1816" t="s">
        <v>20</v>
      </c>
      <c r="E1816" t="s">
        <v>21</v>
      </c>
      <c r="F1816" s="1">
        <v>44256</v>
      </c>
      <c r="G1816">
        <v>6.13</v>
      </c>
      <c r="H1816">
        <v>81.909899999999993</v>
      </c>
      <c r="I1816">
        <v>11.3</v>
      </c>
      <c r="J1816">
        <v>76.959999999999994</v>
      </c>
      <c r="K1816" t="s">
        <v>31</v>
      </c>
      <c r="L1816">
        <v>334.09</v>
      </c>
      <c r="M1816">
        <f>VLOOKUP(K1816,RatingLookup!$A$2:$C$8,2,FALSE)</f>
        <v>0.04</v>
      </c>
      <c r="N1816">
        <f t="shared" si="84"/>
        <v>3.3960531989175591E-3</v>
      </c>
      <c r="O1816">
        <f>VLOOKUP(K1816,RatingLookup!$A$2:$C$8,3,FALSE)</f>
        <v>0.6</v>
      </c>
      <c r="P1816">
        <f t="shared" si="85"/>
        <v>0.68075244793582024</v>
      </c>
      <c r="Q1816" t="str">
        <f t="shared" ca="1" si="86"/>
        <v>No</v>
      </c>
    </row>
    <row r="1817" spans="1:17" x14ac:dyDescent="0.45">
      <c r="A1817" t="s">
        <v>96</v>
      </c>
      <c r="B1817" t="s">
        <v>97</v>
      </c>
      <c r="C1817" t="s">
        <v>85</v>
      </c>
      <c r="D1817" t="s">
        <v>20</v>
      </c>
      <c r="E1817" t="s">
        <v>21</v>
      </c>
      <c r="F1817" s="1">
        <v>44287</v>
      </c>
      <c r="G1817">
        <v>6.84</v>
      </c>
      <c r="H1817">
        <v>86.555999999999997</v>
      </c>
      <c r="I1817">
        <v>11.72</v>
      </c>
      <c r="J1817">
        <v>53.7</v>
      </c>
      <c r="K1817" t="s">
        <v>31</v>
      </c>
      <c r="L1817">
        <v>354.2</v>
      </c>
      <c r="M1817">
        <f>VLOOKUP(K1817,RatingLookup!$A$2:$C$8,2,FALSE)</f>
        <v>0.04</v>
      </c>
      <c r="N1817">
        <f t="shared" si="84"/>
        <v>3.3960531989175591E-3</v>
      </c>
      <c r="O1817">
        <f>VLOOKUP(K1817,RatingLookup!$A$2:$C$8,3,FALSE)</f>
        <v>0.6</v>
      </c>
      <c r="P1817">
        <f t="shared" si="85"/>
        <v>0.7217292258339596</v>
      </c>
      <c r="Q1817" t="str">
        <f t="shared" ca="1" si="86"/>
        <v>No</v>
      </c>
    </row>
    <row r="1818" spans="1:17" x14ac:dyDescent="0.45">
      <c r="A1818" t="s">
        <v>96</v>
      </c>
      <c r="B1818" t="s">
        <v>97</v>
      </c>
      <c r="C1818" t="s">
        <v>85</v>
      </c>
      <c r="D1818" t="s">
        <v>20</v>
      </c>
      <c r="E1818" t="s">
        <v>21</v>
      </c>
      <c r="F1818" s="1">
        <v>44317</v>
      </c>
      <c r="G1818">
        <v>5.91</v>
      </c>
      <c r="H1818">
        <v>81.284800000000004</v>
      </c>
      <c r="I1818">
        <v>11.38</v>
      </c>
      <c r="J1818">
        <v>79.7</v>
      </c>
      <c r="K1818" t="s">
        <v>31</v>
      </c>
      <c r="L1818">
        <v>345.04</v>
      </c>
      <c r="M1818">
        <f>VLOOKUP(K1818,RatingLookup!$A$2:$C$8,2,FALSE)</f>
        <v>0.04</v>
      </c>
      <c r="N1818">
        <f t="shared" si="84"/>
        <v>3.3960531989175591E-3</v>
      </c>
      <c r="O1818">
        <f>VLOOKUP(K1818,RatingLookup!$A$2:$C$8,3,FALSE)</f>
        <v>0.6</v>
      </c>
      <c r="P1818">
        <f t="shared" si="85"/>
        <v>0.70306451745270881</v>
      </c>
      <c r="Q1818" t="str">
        <f t="shared" ca="1" si="86"/>
        <v>No</v>
      </c>
    </row>
    <row r="1819" spans="1:17" x14ac:dyDescent="0.45">
      <c r="A1819" t="s">
        <v>96</v>
      </c>
      <c r="B1819" t="s">
        <v>97</v>
      </c>
      <c r="C1819" t="s">
        <v>85</v>
      </c>
      <c r="D1819" t="s">
        <v>20</v>
      </c>
      <c r="E1819" t="s">
        <v>21</v>
      </c>
      <c r="F1819" s="1">
        <v>44348</v>
      </c>
      <c r="G1819">
        <v>5.69</v>
      </c>
      <c r="H1819">
        <v>84.388800000000003</v>
      </c>
      <c r="I1819">
        <v>9.3000000000000007</v>
      </c>
      <c r="J1819">
        <v>91.3</v>
      </c>
      <c r="K1819" t="s">
        <v>31</v>
      </c>
      <c r="L1819">
        <v>349.7</v>
      </c>
      <c r="M1819">
        <f>VLOOKUP(K1819,RatingLookup!$A$2:$C$8,2,FALSE)</f>
        <v>0.04</v>
      </c>
      <c r="N1819">
        <f t="shared" si="84"/>
        <v>3.3960531989175591E-3</v>
      </c>
      <c r="O1819">
        <f>VLOOKUP(K1819,RatingLookup!$A$2:$C$8,3,FALSE)</f>
        <v>0.6</v>
      </c>
      <c r="P1819">
        <f t="shared" si="85"/>
        <v>0.71255988219688216</v>
      </c>
      <c r="Q1819" t="str">
        <f t="shared" ca="1" si="86"/>
        <v>No</v>
      </c>
    </row>
    <row r="1820" spans="1:17" x14ac:dyDescent="0.45">
      <c r="A1820" t="s">
        <v>96</v>
      </c>
      <c r="B1820" t="s">
        <v>97</v>
      </c>
      <c r="C1820" t="s">
        <v>85</v>
      </c>
      <c r="D1820" t="s">
        <v>20</v>
      </c>
      <c r="E1820" t="s">
        <v>21</v>
      </c>
      <c r="F1820" s="1">
        <v>44378</v>
      </c>
      <c r="G1820">
        <v>5.91</v>
      </c>
      <c r="H1820">
        <v>78.248400000000004</v>
      </c>
      <c r="I1820">
        <v>12.67</v>
      </c>
      <c r="J1820">
        <v>79.430000000000007</v>
      </c>
      <c r="K1820" t="s">
        <v>31</v>
      </c>
      <c r="L1820">
        <v>340.38</v>
      </c>
      <c r="M1820">
        <f>VLOOKUP(K1820,RatingLookup!$A$2:$C$8,2,FALSE)</f>
        <v>0.04</v>
      </c>
      <c r="N1820">
        <f t="shared" si="84"/>
        <v>3.3960531989175591E-3</v>
      </c>
      <c r="O1820">
        <f>VLOOKUP(K1820,RatingLookup!$A$2:$C$8,3,FALSE)</f>
        <v>0.6</v>
      </c>
      <c r="P1820">
        <f t="shared" si="85"/>
        <v>0.69356915270853525</v>
      </c>
      <c r="Q1820" t="str">
        <f t="shared" ca="1" si="86"/>
        <v>No</v>
      </c>
    </row>
    <row r="1821" spans="1:17" x14ac:dyDescent="0.45">
      <c r="A1821" t="s">
        <v>96</v>
      </c>
      <c r="B1821" t="s">
        <v>97</v>
      </c>
      <c r="C1821" t="s">
        <v>85</v>
      </c>
      <c r="D1821" t="s">
        <v>20</v>
      </c>
      <c r="E1821" t="s">
        <v>21</v>
      </c>
      <c r="F1821" s="1">
        <v>44409</v>
      </c>
      <c r="G1821">
        <v>5.52</v>
      </c>
      <c r="H1821">
        <v>84.154300000000006</v>
      </c>
      <c r="I1821">
        <v>17.98</v>
      </c>
      <c r="J1821">
        <v>75.94</v>
      </c>
      <c r="K1821" t="s">
        <v>31</v>
      </c>
      <c r="L1821">
        <v>328.47</v>
      </c>
      <c r="M1821">
        <f>VLOOKUP(K1821,RatingLookup!$A$2:$C$8,2,FALSE)</f>
        <v>0.04</v>
      </c>
      <c r="N1821">
        <f t="shared" si="84"/>
        <v>3.3960531989175591E-3</v>
      </c>
      <c r="O1821">
        <f>VLOOKUP(K1821,RatingLookup!$A$2:$C$8,3,FALSE)</f>
        <v>0.6</v>
      </c>
      <c r="P1821">
        <f t="shared" si="85"/>
        <v>0.6693009565490704</v>
      </c>
      <c r="Q1821" t="str">
        <f t="shared" ca="1" si="86"/>
        <v>No</v>
      </c>
    </row>
    <row r="1822" spans="1:17" x14ac:dyDescent="0.45">
      <c r="A1822" t="s">
        <v>96</v>
      </c>
      <c r="B1822" t="s">
        <v>97</v>
      </c>
      <c r="C1822" t="s">
        <v>85</v>
      </c>
      <c r="D1822" t="s">
        <v>20</v>
      </c>
      <c r="E1822" t="s">
        <v>21</v>
      </c>
      <c r="F1822" s="1">
        <v>44440</v>
      </c>
      <c r="G1822">
        <v>5.72</v>
      </c>
      <c r="H1822">
        <v>88.738699999999994</v>
      </c>
      <c r="I1822">
        <v>18.93</v>
      </c>
      <c r="J1822">
        <v>74.33</v>
      </c>
      <c r="K1822" t="s">
        <v>31</v>
      </c>
      <c r="L1822">
        <v>364.98</v>
      </c>
      <c r="M1822">
        <f>VLOOKUP(K1822,RatingLookup!$A$2:$C$8,2,FALSE)</f>
        <v>0.04</v>
      </c>
      <c r="N1822">
        <f t="shared" si="84"/>
        <v>3.3960531989175591E-3</v>
      </c>
      <c r="O1822">
        <f>VLOOKUP(K1822,RatingLookup!$A$2:$C$8,3,FALSE)</f>
        <v>0.6</v>
      </c>
      <c r="P1822">
        <f t="shared" si="85"/>
        <v>0.74369489792455845</v>
      </c>
      <c r="Q1822" t="str">
        <f t="shared" ca="1" si="86"/>
        <v>No</v>
      </c>
    </row>
    <row r="1823" spans="1:17" x14ac:dyDescent="0.45">
      <c r="A1823" t="s">
        <v>96</v>
      </c>
      <c r="B1823" t="s">
        <v>97</v>
      </c>
      <c r="C1823" t="s">
        <v>85</v>
      </c>
      <c r="D1823" t="s">
        <v>20</v>
      </c>
      <c r="E1823" t="s">
        <v>21</v>
      </c>
      <c r="F1823" s="1">
        <v>44470</v>
      </c>
      <c r="G1823">
        <v>6.11</v>
      </c>
      <c r="H1823">
        <v>81.325699999999998</v>
      </c>
      <c r="I1823">
        <v>22.51</v>
      </c>
      <c r="J1823">
        <v>81.55</v>
      </c>
      <c r="K1823" t="s">
        <v>31</v>
      </c>
      <c r="L1823">
        <v>371.88</v>
      </c>
      <c r="M1823">
        <f>VLOOKUP(K1823,RatingLookup!$A$2:$C$8,2,FALSE)</f>
        <v>0.04</v>
      </c>
      <c r="N1823">
        <f t="shared" si="84"/>
        <v>3.3960531989175591E-3</v>
      </c>
      <c r="O1823">
        <f>VLOOKUP(K1823,RatingLookup!$A$2:$C$8,3,FALSE)</f>
        <v>0.6</v>
      </c>
      <c r="P1823">
        <f t="shared" si="85"/>
        <v>0.75775455816807713</v>
      </c>
      <c r="Q1823" t="str">
        <f t="shared" ca="1" si="86"/>
        <v>No</v>
      </c>
    </row>
    <row r="1824" spans="1:17" x14ac:dyDescent="0.45">
      <c r="A1824" t="s">
        <v>96</v>
      </c>
      <c r="B1824" t="s">
        <v>97</v>
      </c>
      <c r="C1824" t="s">
        <v>85</v>
      </c>
      <c r="D1824" t="s">
        <v>20</v>
      </c>
      <c r="E1824" t="s">
        <v>21</v>
      </c>
      <c r="F1824" s="1">
        <v>44501</v>
      </c>
      <c r="G1824">
        <v>5.2</v>
      </c>
      <c r="H1824">
        <v>79.669200000000004</v>
      </c>
      <c r="I1824">
        <v>15.42</v>
      </c>
      <c r="J1824">
        <v>53.79</v>
      </c>
      <c r="K1824" t="s">
        <v>31</v>
      </c>
      <c r="L1824">
        <v>368.81</v>
      </c>
      <c r="M1824">
        <f>VLOOKUP(K1824,RatingLookup!$A$2:$C$8,2,FALSE)</f>
        <v>0.04</v>
      </c>
      <c r="N1824">
        <f t="shared" si="84"/>
        <v>3.3960531989175591E-3</v>
      </c>
      <c r="O1824">
        <f>VLOOKUP(K1824,RatingLookup!$A$2:$C$8,3,FALSE)</f>
        <v>0.6</v>
      </c>
      <c r="P1824">
        <f t="shared" si="85"/>
        <v>0.75149902817567094</v>
      </c>
      <c r="Q1824" t="str">
        <f t="shared" ca="1" si="86"/>
        <v>No</v>
      </c>
    </row>
    <row r="1825" spans="1:17" x14ac:dyDescent="0.45">
      <c r="A1825" t="s">
        <v>96</v>
      </c>
      <c r="B1825" t="s">
        <v>97</v>
      </c>
      <c r="C1825" t="s">
        <v>85</v>
      </c>
      <c r="D1825" t="s">
        <v>20</v>
      </c>
      <c r="E1825" t="s">
        <v>21</v>
      </c>
      <c r="F1825" s="1">
        <v>44531</v>
      </c>
      <c r="G1825">
        <v>6.66</v>
      </c>
      <c r="H1825">
        <v>82.090999999999994</v>
      </c>
      <c r="I1825">
        <v>21.09</v>
      </c>
      <c r="J1825">
        <v>78.94</v>
      </c>
      <c r="K1825" t="s">
        <v>31</v>
      </c>
      <c r="L1825">
        <v>322.36</v>
      </c>
      <c r="M1825">
        <f>VLOOKUP(K1825,RatingLookup!$A$2:$C$8,2,FALSE)</f>
        <v>0.04</v>
      </c>
      <c r="N1825">
        <f t="shared" si="84"/>
        <v>3.3960531989175591E-3</v>
      </c>
      <c r="O1825">
        <f>VLOOKUP(K1825,RatingLookup!$A$2:$C$8,3,FALSE)</f>
        <v>0.6</v>
      </c>
      <c r="P1825">
        <f t="shared" si="85"/>
        <v>0.65685102552183861</v>
      </c>
      <c r="Q1825" t="str">
        <f t="shared" ca="1" si="86"/>
        <v>No</v>
      </c>
    </row>
    <row r="1826" spans="1:17" x14ac:dyDescent="0.45">
      <c r="A1826" t="s">
        <v>96</v>
      </c>
      <c r="B1826" t="s">
        <v>97</v>
      </c>
      <c r="C1826" t="s">
        <v>85</v>
      </c>
      <c r="D1826" t="s">
        <v>20</v>
      </c>
      <c r="E1826" t="s">
        <v>21</v>
      </c>
      <c r="F1826" s="1">
        <v>44562</v>
      </c>
      <c r="G1826">
        <v>4.88</v>
      </c>
      <c r="H1826">
        <v>83.304699999999997</v>
      </c>
      <c r="I1826">
        <v>16.899999999999999</v>
      </c>
      <c r="J1826">
        <v>89.3</v>
      </c>
      <c r="K1826" t="s">
        <v>31</v>
      </c>
      <c r="L1826">
        <v>342.64</v>
      </c>
      <c r="M1826">
        <f>VLOOKUP(K1826,RatingLookup!$A$2:$C$8,2,FALSE)</f>
        <v>0.04</v>
      </c>
      <c r="N1826">
        <f t="shared" si="84"/>
        <v>3.3960531989175591E-3</v>
      </c>
      <c r="O1826">
        <f>VLOOKUP(K1826,RatingLookup!$A$2:$C$8,3,FALSE)</f>
        <v>0.6</v>
      </c>
      <c r="P1826">
        <f t="shared" si="85"/>
        <v>0.69817420084626736</v>
      </c>
      <c r="Q1826" t="str">
        <f t="shared" ca="1" si="86"/>
        <v>No</v>
      </c>
    </row>
    <row r="1827" spans="1:17" x14ac:dyDescent="0.45">
      <c r="A1827" t="s">
        <v>96</v>
      </c>
      <c r="B1827" t="s">
        <v>97</v>
      </c>
      <c r="C1827" t="s">
        <v>85</v>
      </c>
      <c r="D1827" t="s">
        <v>20</v>
      </c>
      <c r="E1827" t="s">
        <v>21</v>
      </c>
      <c r="F1827" s="1">
        <v>44593</v>
      </c>
      <c r="G1827">
        <v>5.47</v>
      </c>
      <c r="H1827">
        <v>83.120099999999994</v>
      </c>
      <c r="I1827">
        <v>19.03</v>
      </c>
      <c r="J1827">
        <v>71.459999999999994</v>
      </c>
      <c r="K1827" t="s">
        <v>31</v>
      </c>
      <c r="L1827">
        <v>380.81</v>
      </c>
      <c r="M1827">
        <f>VLOOKUP(K1827,RatingLookup!$A$2:$C$8,2,FALSE)</f>
        <v>0.04</v>
      </c>
      <c r="N1827">
        <f t="shared" si="84"/>
        <v>3.3960531989175591E-3</v>
      </c>
      <c r="O1827">
        <f>VLOOKUP(K1827,RatingLookup!$A$2:$C$8,3,FALSE)</f>
        <v>0.6</v>
      </c>
      <c r="P1827">
        <f t="shared" si="85"/>
        <v>0.77595061120787734</v>
      </c>
      <c r="Q1827" t="str">
        <f t="shared" ca="1" si="86"/>
        <v>No</v>
      </c>
    </row>
    <row r="1828" spans="1:17" x14ac:dyDescent="0.45">
      <c r="A1828" t="s">
        <v>96</v>
      </c>
      <c r="B1828" t="s">
        <v>97</v>
      </c>
      <c r="C1828" t="s">
        <v>85</v>
      </c>
      <c r="D1828" t="s">
        <v>20</v>
      </c>
      <c r="E1828" t="s">
        <v>21</v>
      </c>
      <c r="F1828" s="1">
        <v>44621</v>
      </c>
      <c r="G1828">
        <v>5.99</v>
      </c>
      <c r="H1828">
        <v>81.7179</v>
      </c>
      <c r="I1828">
        <v>25.97</v>
      </c>
      <c r="J1828">
        <v>88.01</v>
      </c>
      <c r="K1828" t="s">
        <v>31</v>
      </c>
      <c r="L1828">
        <v>341.62</v>
      </c>
      <c r="M1828">
        <f>VLOOKUP(K1828,RatingLookup!$A$2:$C$8,2,FALSE)</f>
        <v>0.04</v>
      </c>
      <c r="N1828">
        <f t="shared" si="84"/>
        <v>3.3960531989175591E-3</v>
      </c>
      <c r="O1828">
        <f>VLOOKUP(K1828,RatingLookup!$A$2:$C$8,3,FALSE)</f>
        <v>0.6</v>
      </c>
      <c r="P1828">
        <f t="shared" si="85"/>
        <v>0.6960958162885299</v>
      </c>
      <c r="Q1828" t="str">
        <f t="shared" ca="1" si="86"/>
        <v>No</v>
      </c>
    </row>
    <row r="1829" spans="1:17" x14ac:dyDescent="0.45">
      <c r="A1829" t="s">
        <v>96</v>
      </c>
      <c r="B1829" t="s">
        <v>97</v>
      </c>
      <c r="C1829" t="s">
        <v>85</v>
      </c>
      <c r="D1829" t="s">
        <v>20</v>
      </c>
      <c r="E1829" t="s">
        <v>21</v>
      </c>
      <c r="F1829" s="1">
        <v>44652</v>
      </c>
      <c r="G1829">
        <v>6.06</v>
      </c>
      <c r="H1829">
        <v>80.451999999999998</v>
      </c>
      <c r="I1829">
        <v>17.989999999999998</v>
      </c>
      <c r="J1829">
        <v>82.45</v>
      </c>
      <c r="K1829" t="s">
        <v>31</v>
      </c>
      <c r="L1829">
        <v>347.9</v>
      </c>
      <c r="M1829">
        <f>VLOOKUP(K1829,RatingLookup!$A$2:$C$8,2,FALSE)</f>
        <v>0.04</v>
      </c>
      <c r="N1829">
        <f t="shared" si="84"/>
        <v>3.3960531989175591E-3</v>
      </c>
      <c r="O1829">
        <f>VLOOKUP(K1829,RatingLookup!$A$2:$C$8,3,FALSE)</f>
        <v>0.6</v>
      </c>
      <c r="P1829">
        <f t="shared" si="85"/>
        <v>0.7088921447420512</v>
      </c>
      <c r="Q1829" t="str">
        <f t="shared" ca="1" si="86"/>
        <v>No</v>
      </c>
    </row>
    <row r="1830" spans="1:17" x14ac:dyDescent="0.45">
      <c r="A1830" t="s">
        <v>96</v>
      </c>
      <c r="B1830" t="s">
        <v>97</v>
      </c>
      <c r="C1830" t="s">
        <v>85</v>
      </c>
      <c r="D1830" t="s">
        <v>20</v>
      </c>
      <c r="E1830" t="s">
        <v>21</v>
      </c>
      <c r="F1830" s="1">
        <v>44682</v>
      </c>
      <c r="G1830">
        <v>5.71</v>
      </c>
      <c r="H1830">
        <v>78.787000000000006</v>
      </c>
      <c r="I1830">
        <v>18.68</v>
      </c>
      <c r="J1830">
        <v>84.77</v>
      </c>
      <c r="K1830" t="s">
        <v>31</v>
      </c>
      <c r="L1830">
        <v>348.26</v>
      </c>
      <c r="M1830">
        <f>VLOOKUP(K1830,RatingLookup!$A$2:$C$8,2,FALSE)</f>
        <v>0.04</v>
      </c>
      <c r="N1830">
        <f t="shared" si="84"/>
        <v>3.3960531989175591E-3</v>
      </c>
      <c r="O1830">
        <f>VLOOKUP(K1830,RatingLookup!$A$2:$C$8,3,FALSE)</f>
        <v>0.6</v>
      </c>
      <c r="P1830">
        <f t="shared" si="85"/>
        <v>0.70962569223301741</v>
      </c>
      <c r="Q1830" t="str">
        <f t="shared" ca="1" si="86"/>
        <v>No</v>
      </c>
    </row>
    <row r="1831" spans="1:17" x14ac:dyDescent="0.45">
      <c r="A1831" t="s">
        <v>96</v>
      </c>
      <c r="B1831" t="s">
        <v>97</v>
      </c>
      <c r="C1831" t="s">
        <v>85</v>
      </c>
      <c r="D1831" t="s">
        <v>20</v>
      </c>
      <c r="E1831" t="s">
        <v>21</v>
      </c>
      <c r="F1831" s="1">
        <v>44713</v>
      </c>
      <c r="G1831">
        <v>4.99</v>
      </c>
      <c r="H1831">
        <v>80.235900000000001</v>
      </c>
      <c r="I1831">
        <v>25.69</v>
      </c>
      <c r="J1831">
        <v>71.69</v>
      </c>
      <c r="K1831" t="s">
        <v>31</v>
      </c>
      <c r="L1831">
        <v>363.14</v>
      </c>
      <c r="M1831">
        <f>VLOOKUP(K1831,RatingLookup!$A$2:$C$8,2,FALSE)</f>
        <v>0.04</v>
      </c>
      <c r="N1831">
        <f t="shared" si="84"/>
        <v>3.3960531989175591E-3</v>
      </c>
      <c r="O1831">
        <f>VLOOKUP(K1831,RatingLookup!$A$2:$C$8,3,FALSE)</f>
        <v>0.6</v>
      </c>
      <c r="P1831">
        <f t="shared" si="85"/>
        <v>0.73994565519295341</v>
      </c>
      <c r="Q1831" t="str">
        <f t="shared" ca="1" si="86"/>
        <v>No</v>
      </c>
    </row>
    <row r="1832" spans="1:17" x14ac:dyDescent="0.45">
      <c r="A1832" t="s">
        <v>96</v>
      </c>
      <c r="B1832" t="s">
        <v>97</v>
      </c>
      <c r="C1832" t="s">
        <v>85</v>
      </c>
      <c r="D1832" t="s">
        <v>20</v>
      </c>
      <c r="E1832" t="s">
        <v>21</v>
      </c>
      <c r="F1832" s="1">
        <v>44743</v>
      </c>
      <c r="G1832">
        <v>4.4400000000000004</v>
      </c>
      <c r="H1832">
        <v>83.596400000000003</v>
      </c>
      <c r="I1832">
        <v>19.690000000000001</v>
      </c>
      <c r="J1832">
        <v>82.14</v>
      </c>
      <c r="K1832" t="s">
        <v>31</v>
      </c>
      <c r="L1832">
        <v>352.39</v>
      </c>
      <c r="M1832">
        <f>VLOOKUP(K1832,RatingLookup!$A$2:$C$8,2,FALSE)</f>
        <v>0.04</v>
      </c>
      <c r="N1832">
        <f t="shared" si="84"/>
        <v>3.3960531989175591E-3</v>
      </c>
      <c r="O1832">
        <f>VLOOKUP(K1832,RatingLookup!$A$2:$C$8,3,FALSE)</f>
        <v>0.6</v>
      </c>
      <c r="P1832">
        <f t="shared" si="85"/>
        <v>0.71804111205993515</v>
      </c>
      <c r="Q1832" t="str">
        <f t="shared" ca="1" si="86"/>
        <v>No</v>
      </c>
    </row>
    <row r="1833" spans="1:17" x14ac:dyDescent="0.45">
      <c r="A1833" t="s">
        <v>96</v>
      </c>
      <c r="B1833" t="s">
        <v>97</v>
      </c>
      <c r="C1833" t="s">
        <v>85</v>
      </c>
      <c r="D1833" t="s">
        <v>20</v>
      </c>
      <c r="E1833" t="s">
        <v>21</v>
      </c>
      <c r="F1833" s="1">
        <v>44774</v>
      </c>
      <c r="G1833">
        <v>4.71</v>
      </c>
      <c r="H1833">
        <v>84.446899999999999</v>
      </c>
      <c r="I1833">
        <v>11.1</v>
      </c>
      <c r="J1833">
        <v>89.64</v>
      </c>
      <c r="K1833" t="s">
        <v>31</v>
      </c>
      <c r="L1833">
        <v>350.27</v>
      </c>
      <c r="M1833">
        <f>VLOOKUP(K1833,RatingLookup!$A$2:$C$8,2,FALSE)</f>
        <v>0.04</v>
      </c>
      <c r="N1833">
        <f t="shared" si="84"/>
        <v>3.3960531989175591E-3</v>
      </c>
      <c r="O1833">
        <f>VLOOKUP(K1833,RatingLookup!$A$2:$C$8,3,FALSE)</f>
        <v>0.6</v>
      </c>
      <c r="P1833">
        <f t="shared" si="85"/>
        <v>0.71372133239091196</v>
      </c>
      <c r="Q1833" t="str">
        <f t="shared" ca="1" si="86"/>
        <v>No</v>
      </c>
    </row>
    <row r="1834" spans="1:17" x14ac:dyDescent="0.45">
      <c r="A1834" t="s">
        <v>96</v>
      </c>
      <c r="B1834" t="s">
        <v>97</v>
      </c>
      <c r="C1834" t="s">
        <v>85</v>
      </c>
      <c r="D1834" t="s">
        <v>20</v>
      </c>
      <c r="E1834" t="s">
        <v>21</v>
      </c>
      <c r="F1834" s="1">
        <v>44805</v>
      </c>
      <c r="G1834">
        <v>5.95</v>
      </c>
      <c r="H1834">
        <v>78.330200000000005</v>
      </c>
      <c r="I1834">
        <v>13.55</v>
      </c>
      <c r="J1834">
        <v>90.87</v>
      </c>
      <c r="K1834" t="s">
        <v>31</v>
      </c>
      <c r="L1834">
        <v>355.03</v>
      </c>
      <c r="M1834">
        <f>VLOOKUP(K1834,RatingLookup!$A$2:$C$8,2,FALSE)</f>
        <v>0.04</v>
      </c>
      <c r="N1834">
        <f t="shared" si="84"/>
        <v>3.3960531989175591E-3</v>
      </c>
      <c r="O1834">
        <f>VLOOKUP(K1834,RatingLookup!$A$2:$C$8,3,FALSE)</f>
        <v>0.6</v>
      </c>
      <c r="P1834">
        <f t="shared" si="85"/>
        <v>0.72342046032702045</v>
      </c>
      <c r="Q1834" t="str">
        <f t="shared" ca="1" si="86"/>
        <v>No</v>
      </c>
    </row>
    <row r="1835" spans="1:17" x14ac:dyDescent="0.45">
      <c r="A1835" t="s">
        <v>96</v>
      </c>
      <c r="B1835" t="s">
        <v>97</v>
      </c>
      <c r="C1835" t="s">
        <v>85</v>
      </c>
      <c r="D1835" t="s">
        <v>20</v>
      </c>
      <c r="E1835" t="s">
        <v>21</v>
      </c>
      <c r="F1835" s="1">
        <v>44835</v>
      </c>
      <c r="G1835">
        <v>5.67</v>
      </c>
      <c r="H1835">
        <v>84.5548</v>
      </c>
      <c r="I1835">
        <v>17.36</v>
      </c>
      <c r="J1835">
        <v>69.52</v>
      </c>
      <c r="K1835" t="s">
        <v>31</v>
      </c>
      <c r="L1835">
        <v>331.32</v>
      </c>
      <c r="M1835">
        <f>VLOOKUP(K1835,RatingLookup!$A$2:$C$8,2,FALSE)</f>
        <v>0.04</v>
      </c>
      <c r="N1835">
        <f t="shared" si="84"/>
        <v>3.3960531989175591E-3</v>
      </c>
      <c r="O1835">
        <f>VLOOKUP(K1835,RatingLookup!$A$2:$C$8,3,FALSE)</f>
        <v>0.6</v>
      </c>
      <c r="P1835">
        <f t="shared" si="85"/>
        <v>0.67510820751921941</v>
      </c>
      <c r="Q1835" t="str">
        <f t="shared" ca="1" si="86"/>
        <v>No</v>
      </c>
    </row>
    <row r="1836" spans="1:17" x14ac:dyDescent="0.45">
      <c r="A1836" t="s">
        <v>96</v>
      </c>
      <c r="B1836" t="s">
        <v>97</v>
      </c>
      <c r="C1836" t="s">
        <v>85</v>
      </c>
      <c r="D1836" t="s">
        <v>20</v>
      </c>
      <c r="E1836" t="s">
        <v>21</v>
      </c>
      <c r="F1836" s="1">
        <v>44866</v>
      </c>
      <c r="G1836">
        <v>5.79</v>
      </c>
      <c r="H1836">
        <v>83.910899999999998</v>
      </c>
      <c r="I1836">
        <v>27.49</v>
      </c>
      <c r="J1836">
        <v>83.3</v>
      </c>
      <c r="K1836" t="s">
        <v>31</v>
      </c>
      <c r="L1836">
        <v>335.15</v>
      </c>
      <c r="M1836">
        <f>VLOOKUP(K1836,RatingLookup!$A$2:$C$8,2,FALSE)</f>
        <v>0.04</v>
      </c>
      <c r="N1836">
        <f t="shared" si="84"/>
        <v>3.3960531989175591E-3</v>
      </c>
      <c r="O1836">
        <f>VLOOKUP(K1836,RatingLookup!$A$2:$C$8,3,FALSE)</f>
        <v>0.6</v>
      </c>
      <c r="P1836">
        <f t="shared" si="85"/>
        <v>0.68291233777033178</v>
      </c>
      <c r="Q1836" t="str">
        <f t="shared" ca="1" si="86"/>
        <v>No</v>
      </c>
    </row>
    <row r="1837" spans="1:17" x14ac:dyDescent="0.45">
      <c r="A1837" t="s">
        <v>96</v>
      </c>
      <c r="B1837" t="s">
        <v>97</v>
      </c>
      <c r="C1837" t="s">
        <v>85</v>
      </c>
      <c r="D1837" t="s">
        <v>20</v>
      </c>
      <c r="E1837" t="s">
        <v>21</v>
      </c>
      <c r="F1837" s="1">
        <v>44896</v>
      </c>
      <c r="G1837">
        <v>5.26</v>
      </c>
      <c r="H1837">
        <v>84.716300000000004</v>
      </c>
      <c r="I1837">
        <v>12.19</v>
      </c>
      <c r="J1837">
        <v>81.290000000000006</v>
      </c>
      <c r="K1837" t="s">
        <v>31</v>
      </c>
      <c r="L1837">
        <v>356.56</v>
      </c>
      <c r="M1837">
        <f>VLOOKUP(K1837,RatingLookup!$A$2:$C$8,2,FALSE)</f>
        <v>0.04</v>
      </c>
      <c r="N1837">
        <f t="shared" si="84"/>
        <v>3.3960531989175591E-3</v>
      </c>
      <c r="O1837">
        <f>VLOOKUP(K1837,RatingLookup!$A$2:$C$8,3,FALSE)</f>
        <v>0.6</v>
      </c>
      <c r="P1837">
        <f t="shared" si="85"/>
        <v>0.72653803716362686</v>
      </c>
      <c r="Q1837" t="str">
        <f t="shared" ca="1" si="86"/>
        <v>No</v>
      </c>
    </row>
    <row r="1838" spans="1:17" x14ac:dyDescent="0.45">
      <c r="A1838" t="s">
        <v>96</v>
      </c>
      <c r="B1838" t="s">
        <v>97</v>
      </c>
      <c r="C1838" t="s">
        <v>85</v>
      </c>
      <c r="D1838" t="s">
        <v>20</v>
      </c>
      <c r="E1838" t="s">
        <v>21</v>
      </c>
      <c r="F1838" s="1">
        <v>44927</v>
      </c>
      <c r="G1838">
        <v>5.38</v>
      </c>
      <c r="H1838">
        <v>79.007099999999994</v>
      </c>
      <c r="I1838">
        <v>8.86</v>
      </c>
      <c r="J1838">
        <v>89.25</v>
      </c>
      <c r="K1838" t="s">
        <v>31</v>
      </c>
      <c r="L1838">
        <v>387.91</v>
      </c>
      <c r="M1838">
        <f>VLOOKUP(K1838,RatingLookup!$A$2:$C$8,2,FALSE)</f>
        <v>0.04</v>
      </c>
      <c r="N1838">
        <f t="shared" si="84"/>
        <v>3.3960531989175591E-3</v>
      </c>
      <c r="O1838">
        <f>VLOOKUP(K1838,RatingLookup!$A$2:$C$8,3,FALSE)</f>
        <v>0.6</v>
      </c>
      <c r="P1838">
        <f t="shared" si="85"/>
        <v>0.79041779783526633</v>
      </c>
      <c r="Q1838" t="str">
        <f t="shared" ca="1" si="86"/>
        <v>No</v>
      </c>
    </row>
    <row r="1839" spans="1:17" x14ac:dyDescent="0.45">
      <c r="A1839" t="s">
        <v>96</v>
      </c>
      <c r="B1839" t="s">
        <v>97</v>
      </c>
      <c r="C1839" t="s">
        <v>85</v>
      </c>
      <c r="D1839" t="s">
        <v>20</v>
      </c>
      <c r="E1839" t="s">
        <v>21</v>
      </c>
      <c r="F1839" s="1">
        <v>44958</v>
      </c>
      <c r="G1839">
        <v>6.32</v>
      </c>
      <c r="H1839">
        <v>81.265799999999999</v>
      </c>
      <c r="I1839">
        <v>9.91</v>
      </c>
      <c r="J1839">
        <v>83.35</v>
      </c>
      <c r="K1839" t="s">
        <v>31</v>
      </c>
      <c r="L1839">
        <v>338.65</v>
      </c>
      <c r="M1839">
        <f>VLOOKUP(K1839,RatingLookup!$A$2:$C$8,2,FALSE)</f>
        <v>0.04</v>
      </c>
      <c r="N1839">
        <f t="shared" si="84"/>
        <v>3.3960531989175591E-3</v>
      </c>
      <c r="O1839">
        <f>VLOOKUP(K1839,RatingLookup!$A$2:$C$8,3,FALSE)</f>
        <v>0.6</v>
      </c>
      <c r="P1839">
        <f t="shared" si="85"/>
        <v>0.69004404948805875</v>
      </c>
      <c r="Q1839" t="str">
        <f t="shared" ca="1" si="86"/>
        <v>No</v>
      </c>
    </row>
    <row r="1840" spans="1:17" x14ac:dyDescent="0.45">
      <c r="A1840" t="s">
        <v>96</v>
      </c>
      <c r="B1840" t="s">
        <v>97</v>
      </c>
      <c r="C1840" t="s">
        <v>85</v>
      </c>
      <c r="D1840" t="s">
        <v>20</v>
      </c>
      <c r="E1840" t="s">
        <v>21</v>
      </c>
      <c r="F1840" s="1">
        <v>44986</v>
      </c>
      <c r="G1840">
        <v>5.13</v>
      </c>
      <c r="H1840">
        <v>82.779799999999994</v>
      </c>
      <c r="I1840">
        <v>18.05</v>
      </c>
      <c r="J1840">
        <v>89.43</v>
      </c>
      <c r="K1840" t="s">
        <v>31</v>
      </c>
      <c r="L1840">
        <v>347.45</v>
      </c>
      <c r="M1840">
        <f>VLOOKUP(K1840,RatingLookup!$A$2:$C$8,2,FALSE)</f>
        <v>0.04</v>
      </c>
      <c r="N1840">
        <f t="shared" si="84"/>
        <v>3.3960531989175591E-3</v>
      </c>
      <c r="O1840">
        <f>VLOOKUP(K1840,RatingLookup!$A$2:$C$8,3,FALSE)</f>
        <v>0.6</v>
      </c>
      <c r="P1840">
        <f t="shared" si="85"/>
        <v>0.70797521037834343</v>
      </c>
      <c r="Q1840" t="str">
        <f t="shared" ca="1" si="86"/>
        <v>No</v>
      </c>
    </row>
    <row r="1841" spans="1:17" x14ac:dyDescent="0.45">
      <c r="A1841" t="s">
        <v>96</v>
      </c>
      <c r="B1841" t="s">
        <v>97</v>
      </c>
      <c r="C1841" t="s">
        <v>85</v>
      </c>
      <c r="D1841" t="s">
        <v>20</v>
      </c>
      <c r="E1841" t="s">
        <v>21</v>
      </c>
      <c r="F1841" s="1">
        <v>45017</v>
      </c>
      <c r="G1841">
        <v>5.29</v>
      </c>
      <c r="H1841">
        <v>80.0518</v>
      </c>
      <c r="I1841">
        <v>26.93</v>
      </c>
      <c r="J1841">
        <v>87.55</v>
      </c>
      <c r="K1841" t="s">
        <v>31</v>
      </c>
      <c r="L1841">
        <v>346.42</v>
      </c>
      <c r="M1841">
        <f>VLOOKUP(K1841,RatingLookup!$A$2:$C$8,2,FALSE)</f>
        <v>0.04</v>
      </c>
      <c r="N1841">
        <f t="shared" si="84"/>
        <v>3.3960531989175591E-3</v>
      </c>
      <c r="O1841">
        <f>VLOOKUP(K1841,RatingLookup!$A$2:$C$8,3,FALSE)</f>
        <v>0.6</v>
      </c>
      <c r="P1841">
        <f t="shared" si="85"/>
        <v>0.70587644950141248</v>
      </c>
      <c r="Q1841" t="str">
        <f t="shared" ca="1" si="86"/>
        <v>No</v>
      </c>
    </row>
    <row r="1842" spans="1:17" x14ac:dyDescent="0.45">
      <c r="A1842" t="s">
        <v>96</v>
      </c>
      <c r="B1842" t="s">
        <v>97</v>
      </c>
      <c r="C1842" t="s">
        <v>85</v>
      </c>
      <c r="D1842" t="s">
        <v>20</v>
      </c>
      <c r="E1842" t="s">
        <v>21</v>
      </c>
      <c r="F1842" s="1">
        <v>45047</v>
      </c>
      <c r="G1842">
        <v>4.8899999999999997</v>
      </c>
      <c r="H1842">
        <v>80.300799999999995</v>
      </c>
      <c r="I1842">
        <v>18.239999999999998</v>
      </c>
      <c r="J1842">
        <v>57.17</v>
      </c>
      <c r="K1842" t="s">
        <v>31</v>
      </c>
      <c r="L1842">
        <v>323.99</v>
      </c>
      <c r="M1842">
        <f>VLOOKUP(K1842,RatingLookup!$A$2:$C$8,2,FALSE)</f>
        <v>0.04</v>
      </c>
      <c r="N1842">
        <f t="shared" si="84"/>
        <v>3.3960531989175591E-3</v>
      </c>
      <c r="O1842">
        <f>VLOOKUP(K1842,RatingLookup!$A$2:$C$8,3,FALSE)</f>
        <v>0.6</v>
      </c>
      <c r="P1842">
        <f t="shared" si="85"/>
        <v>0.66017236555037995</v>
      </c>
      <c r="Q1842" t="str">
        <f t="shared" ca="1" si="86"/>
        <v>No</v>
      </c>
    </row>
    <row r="1843" spans="1:17" x14ac:dyDescent="0.45">
      <c r="A1843" t="s">
        <v>96</v>
      </c>
      <c r="B1843" t="s">
        <v>97</v>
      </c>
      <c r="C1843" t="s">
        <v>85</v>
      </c>
      <c r="D1843" t="s">
        <v>20</v>
      </c>
      <c r="E1843" t="s">
        <v>21</v>
      </c>
      <c r="F1843" s="1">
        <v>45078</v>
      </c>
      <c r="G1843">
        <v>5.36</v>
      </c>
      <c r="H1843">
        <v>87.908500000000004</v>
      </c>
      <c r="I1843">
        <v>27</v>
      </c>
      <c r="J1843">
        <v>96.25</v>
      </c>
      <c r="K1843" t="s">
        <v>31</v>
      </c>
      <c r="L1843">
        <v>339.42</v>
      </c>
      <c r="M1843">
        <f>VLOOKUP(K1843,RatingLookup!$A$2:$C$8,2,FALSE)</f>
        <v>0.04</v>
      </c>
      <c r="N1843">
        <f t="shared" si="84"/>
        <v>3.3960531989175591E-3</v>
      </c>
      <c r="O1843">
        <f>VLOOKUP(K1843,RatingLookup!$A$2:$C$8,3,FALSE)</f>
        <v>0.6</v>
      </c>
      <c r="P1843">
        <f t="shared" si="85"/>
        <v>0.69161302606595865</v>
      </c>
      <c r="Q1843" t="str">
        <f t="shared" ca="1" si="86"/>
        <v>No</v>
      </c>
    </row>
    <row r="1844" spans="1:17" x14ac:dyDescent="0.45">
      <c r="A1844" t="s">
        <v>96</v>
      </c>
      <c r="B1844" t="s">
        <v>97</v>
      </c>
      <c r="C1844" t="s">
        <v>85</v>
      </c>
      <c r="D1844" t="s">
        <v>20</v>
      </c>
      <c r="E1844" t="s">
        <v>21</v>
      </c>
      <c r="F1844" s="1">
        <v>45108</v>
      </c>
      <c r="G1844">
        <v>5.55</v>
      </c>
      <c r="H1844">
        <v>80.188800000000001</v>
      </c>
      <c r="I1844">
        <v>12.89</v>
      </c>
      <c r="J1844">
        <v>75.959999999999994</v>
      </c>
      <c r="K1844" t="s">
        <v>31</v>
      </c>
      <c r="L1844">
        <v>340.55</v>
      </c>
      <c r="M1844">
        <f>VLOOKUP(K1844,RatingLookup!$A$2:$C$8,2,FALSE)</f>
        <v>0.04</v>
      </c>
      <c r="N1844">
        <f t="shared" si="84"/>
        <v>3.3960531989175591E-3</v>
      </c>
      <c r="O1844">
        <f>VLOOKUP(K1844,RatingLookup!$A$2:$C$8,3,FALSE)</f>
        <v>0.6</v>
      </c>
      <c r="P1844">
        <f t="shared" si="85"/>
        <v>0.69391555013482487</v>
      </c>
      <c r="Q1844" t="str">
        <f t="shared" ca="1" si="86"/>
        <v>No</v>
      </c>
    </row>
    <row r="1845" spans="1:17" x14ac:dyDescent="0.45">
      <c r="A1845" t="s">
        <v>96</v>
      </c>
      <c r="B1845" t="s">
        <v>97</v>
      </c>
      <c r="C1845" t="s">
        <v>85</v>
      </c>
      <c r="D1845" t="s">
        <v>20</v>
      </c>
      <c r="E1845" t="s">
        <v>21</v>
      </c>
      <c r="F1845" s="1">
        <v>45139</v>
      </c>
      <c r="G1845">
        <v>5.55</v>
      </c>
      <c r="H1845">
        <v>79.477199999999996</v>
      </c>
      <c r="I1845">
        <v>22.9</v>
      </c>
      <c r="J1845">
        <v>74.53</v>
      </c>
      <c r="K1845" t="s">
        <v>31</v>
      </c>
      <c r="L1845">
        <v>340.09</v>
      </c>
      <c r="M1845">
        <f>VLOOKUP(K1845,RatingLookup!$A$2:$C$8,2,FALSE)</f>
        <v>0.04</v>
      </c>
      <c r="N1845">
        <f t="shared" si="84"/>
        <v>3.3960531989175591E-3</v>
      </c>
      <c r="O1845">
        <f>VLOOKUP(K1845,RatingLookup!$A$2:$C$8,3,FALSE)</f>
        <v>0.6</v>
      </c>
      <c r="P1845">
        <f t="shared" si="85"/>
        <v>0.69297823945192349</v>
      </c>
      <c r="Q1845" t="str">
        <f t="shared" ca="1" si="86"/>
        <v>No</v>
      </c>
    </row>
    <row r="1846" spans="1:17" x14ac:dyDescent="0.45">
      <c r="A1846" t="s">
        <v>96</v>
      </c>
      <c r="B1846" t="s">
        <v>97</v>
      </c>
      <c r="C1846" t="s">
        <v>85</v>
      </c>
      <c r="D1846" t="s">
        <v>20</v>
      </c>
      <c r="E1846" t="s">
        <v>21</v>
      </c>
      <c r="F1846" s="1">
        <v>45170</v>
      </c>
      <c r="G1846">
        <v>4.93</v>
      </c>
      <c r="H1846">
        <v>82.545900000000003</v>
      </c>
      <c r="I1846">
        <v>27.74</v>
      </c>
      <c r="J1846">
        <v>94.11</v>
      </c>
      <c r="K1846" t="s">
        <v>31</v>
      </c>
      <c r="L1846">
        <v>363.04</v>
      </c>
      <c r="M1846">
        <f>VLOOKUP(K1846,RatingLookup!$A$2:$C$8,2,FALSE)</f>
        <v>0.04</v>
      </c>
      <c r="N1846">
        <f t="shared" si="84"/>
        <v>3.3960531989175591E-3</v>
      </c>
      <c r="O1846">
        <f>VLOOKUP(K1846,RatingLookup!$A$2:$C$8,3,FALSE)</f>
        <v>0.6</v>
      </c>
      <c r="P1846">
        <f t="shared" si="85"/>
        <v>0.73974189200101848</v>
      </c>
      <c r="Q1846" t="str">
        <f t="shared" ca="1" si="86"/>
        <v>No</v>
      </c>
    </row>
    <row r="1847" spans="1:17" x14ac:dyDescent="0.45">
      <c r="A1847" t="s">
        <v>96</v>
      </c>
      <c r="B1847" t="s">
        <v>97</v>
      </c>
      <c r="C1847" t="s">
        <v>85</v>
      </c>
      <c r="D1847" t="s">
        <v>20</v>
      </c>
      <c r="E1847" t="s">
        <v>21</v>
      </c>
      <c r="F1847" s="1">
        <v>45200</v>
      </c>
      <c r="G1847">
        <v>4.18</v>
      </c>
      <c r="H1847">
        <v>82.761899999999997</v>
      </c>
      <c r="I1847">
        <v>7.78</v>
      </c>
      <c r="J1847">
        <v>90.48</v>
      </c>
      <c r="K1847" t="s">
        <v>31</v>
      </c>
      <c r="L1847">
        <v>308.10000000000002</v>
      </c>
      <c r="M1847">
        <f>VLOOKUP(K1847,RatingLookup!$A$2:$C$8,2,FALSE)</f>
        <v>0.04</v>
      </c>
      <c r="N1847">
        <f t="shared" si="84"/>
        <v>3.3960531989175591E-3</v>
      </c>
      <c r="O1847">
        <f>VLOOKUP(K1847,RatingLookup!$A$2:$C$8,3,FALSE)</f>
        <v>0.6</v>
      </c>
      <c r="P1847">
        <f t="shared" si="85"/>
        <v>0.62779439435189999</v>
      </c>
      <c r="Q1847" t="str">
        <f t="shared" ca="1" si="86"/>
        <v>No</v>
      </c>
    </row>
    <row r="1848" spans="1:17" x14ac:dyDescent="0.45">
      <c r="A1848" t="s">
        <v>96</v>
      </c>
      <c r="B1848" t="s">
        <v>97</v>
      </c>
      <c r="C1848" t="s">
        <v>85</v>
      </c>
      <c r="D1848" t="s">
        <v>20</v>
      </c>
      <c r="E1848" t="s">
        <v>21</v>
      </c>
      <c r="F1848" s="1">
        <v>45231</v>
      </c>
      <c r="G1848">
        <v>4.84</v>
      </c>
      <c r="H1848">
        <v>86.0749</v>
      </c>
      <c r="I1848">
        <v>16.920000000000002</v>
      </c>
      <c r="J1848">
        <v>73.67</v>
      </c>
      <c r="K1848" t="s">
        <v>31</v>
      </c>
      <c r="L1848">
        <v>333.14</v>
      </c>
      <c r="M1848">
        <f>VLOOKUP(K1848,RatingLookup!$A$2:$C$8,2,FALSE)</f>
        <v>0.04</v>
      </c>
      <c r="N1848">
        <f t="shared" si="84"/>
        <v>3.3960531989175591E-3</v>
      </c>
      <c r="O1848">
        <f>VLOOKUP(K1848,RatingLookup!$A$2:$C$8,3,FALSE)</f>
        <v>0.6</v>
      </c>
      <c r="P1848">
        <f t="shared" si="85"/>
        <v>0.67881669761243735</v>
      </c>
      <c r="Q1848" t="str">
        <f t="shared" ca="1" si="86"/>
        <v>No</v>
      </c>
    </row>
    <row r="1849" spans="1:17" x14ac:dyDescent="0.45">
      <c r="A1849" t="s">
        <v>96</v>
      </c>
      <c r="B1849" t="s">
        <v>97</v>
      </c>
      <c r="C1849" t="s">
        <v>85</v>
      </c>
      <c r="D1849" t="s">
        <v>20</v>
      </c>
      <c r="E1849" t="s">
        <v>21</v>
      </c>
      <c r="F1849" s="1">
        <v>45261</v>
      </c>
      <c r="G1849">
        <v>5.3</v>
      </c>
      <c r="H1849">
        <v>81.869399999999999</v>
      </c>
      <c r="I1849">
        <v>14.71</v>
      </c>
      <c r="J1849">
        <v>81.94</v>
      </c>
      <c r="K1849" t="s">
        <v>31</v>
      </c>
      <c r="L1849">
        <v>347.5</v>
      </c>
      <c r="M1849">
        <f>VLOOKUP(K1849,RatingLookup!$A$2:$C$8,2,FALSE)</f>
        <v>0.04</v>
      </c>
      <c r="N1849">
        <f t="shared" si="84"/>
        <v>3.3960531989175591E-3</v>
      </c>
      <c r="O1849">
        <f>VLOOKUP(K1849,RatingLookup!$A$2:$C$8,3,FALSE)</f>
        <v>0.6</v>
      </c>
      <c r="P1849">
        <f t="shared" si="85"/>
        <v>0.70807709197431101</v>
      </c>
      <c r="Q1849" t="str">
        <f t="shared" ca="1" si="86"/>
        <v>No</v>
      </c>
    </row>
    <row r="1850" spans="1:17" x14ac:dyDescent="0.45">
      <c r="A1850" t="s">
        <v>96</v>
      </c>
      <c r="B1850" t="s">
        <v>97</v>
      </c>
      <c r="C1850" t="s">
        <v>85</v>
      </c>
      <c r="D1850" t="s">
        <v>20</v>
      </c>
      <c r="E1850" t="s">
        <v>21</v>
      </c>
      <c r="F1850" s="1">
        <v>45292</v>
      </c>
      <c r="G1850">
        <v>5.32</v>
      </c>
      <c r="H1850">
        <v>79.278999999999996</v>
      </c>
      <c r="I1850">
        <v>14.36</v>
      </c>
      <c r="J1850">
        <v>88.53</v>
      </c>
      <c r="K1850" t="s">
        <v>31</v>
      </c>
      <c r="L1850">
        <v>354.83</v>
      </c>
      <c r="M1850">
        <f>VLOOKUP(K1850,RatingLookup!$A$2:$C$8,2,FALSE)</f>
        <v>0.04</v>
      </c>
      <c r="N1850">
        <f t="shared" si="84"/>
        <v>3.3960531989175591E-3</v>
      </c>
      <c r="O1850">
        <f>VLOOKUP(K1850,RatingLookup!$A$2:$C$8,3,FALSE)</f>
        <v>0.6</v>
      </c>
      <c r="P1850">
        <f t="shared" si="85"/>
        <v>0.72301293394315036</v>
      </c>
      <c r="Q1850" t="str">
        <f t="shared" ca="1" si="86"/>
        <v>No</v>
      </c>
    </row>
    <row r="1851" spans="1:17" x14ac:dyDescent="0.45">
      <c r="A1851" t="s">
        <v>96</v>
      </c>
      <c r="B1851" t="s">
        <v>97</v>
      </c>
      <c r="C1851" t="s">
        <v>85</v>
      </c>
      <c r="D1851" t="s">
        <v>20</v>
      </c>
      <c r="E1851" t="s">
        <v>21</v>
      </c>
      <c r="F1851" s="1">
        <v>45323</v>
      </c>
      <c r="G1851">
        <v>4.5199999999999996</v>
      </c>
      <c r="H1851">
        <v>81.976299999999995</v>
      </c>
      <c r="I1851">
        <v>18.399999999999999</v>
      </c>
      <c r="J1851">
        <v>87.43</v>
      </c>
      <c r="K1851" t="s">
        <v>31</v>
      </c>
      <c r="L1851">
        <v>336.76</v>
      </c>
      <c r="M1851">
        <f>VLOOKUP(K1851,RatingLookup!$A$2:$C$8,2,FALSE)</f>
        <v>0.04</v>
      </c>
      <c r="N1851">
        <f t="shared" si="84"/>
        <v>3.3960531989175591E-3</v>
      </c>
      <c r="O1851">
        <f>VLOOKUP(K1851,RatingLookup!$A$2:$C$8,3,FALSE)</f>
        <v>0.6</v>
      </c>
      <c r="P1851">
        <f t="shared" si="85"/>
        <v>0.68619292516048624</v>
      </c>
      <c r="Q1851" t="str">
        <f t="shared" ca="1" si="86"/>
        <v>No</v>
      </c>
    </row>
    <row r="1852" spans="1:17" x14ac:dyDescent="0.45">
      <c r="A1852" t="s">
        <v>96</v>
      </c>
      <c r="B1852" t="s">
        <v>97</v>
      </c>
      <c r="C1852" t="s">
        <v>85</v>
      </c>
      <c r="D1852" t="s">
        <v>20</v>
      </c>
      <c r="E1852" t="s">
        <v>21</v>
      </c>
      <c r="F1852" s="1">
        <v>45352</v>
      </c>
      <c r="G1852">
        <v>5.6</v>
      </c>
      <c r="H1852">
        <v>81.415499999999994</v>
      </c>
      <c r="I1852">
        <v>16.55</v>
      </c>
      <c r="J1852">
        <v>89.7</v>
      </c>
      <c r="K1852" t="s">
        <v>31</v>
      </c>
      <c r="L1852">
        <v>347</v>
      </c>
      <c r="M1852">
        <f>VLOOKUP(K1852,RatingLookup!$A$2:$C$8,2,FALSE)</f>
        <v>0.04</v>
      </c>
      <c r="N1852">
        <f t="shared" si="84"/>
        <v>3.3960531989175591E-3</v>
      </c>
      <c r="O1852">
        <f>VLOOKUP(K1852,RatingLookup!$A$2:$C$8,3,FALSE)</f>
        <v>0.6</v>
      </c>
      <c r="P1852">
        <f t="shared" si="85"/>
        <v>0.70705827601463567</v>
      </c>
      <c r="Q1852" t="str">
        <f t="shared" ca="1" si="86"/>
        <v>No</v>
      </c>
    </row>
    <row r="1853" spans="1:17" x14ac:dyDescent="0.45">
      <c r="A1853" t="s">
        <v>96</v>
      </c>
      <c r="B1853" t="s">
        <v>97</v>
      </c>
      <c r="C1853" t="s">
        <v>85</v>
      </c>
      <c r="D1853" t="s">
        <v>20</v>
      </c>
      <c r="E1853" t="s">
        <v>21</v>
      </c>
      <c r="F1853" s="1">
        <v>45383</v>
      </c>
      <c r="G1853">
        <v>6.45</v>
      </c>
      <c r="H1853">
        <v>83.479200000000006</v>
      </c>
      <c r="I1853">
        <v>29.93</v>
      </c>
      <c r="J1853">
        <v>72.150000000000006</v>
      </c>
      <c r="K1853" t="s">
        <v>31</v>
      </c>
      <c r="L1853">
        <v>340.01</v>
      </c>
      <c r="M1853">
        <f>VLOOKUP(K1853,RatingLookup!$A$2:$C$8,2,FALSE)</f>
        <v>0.04</v>
      </c>
      <c r="N1853">
        <f t="shared" si="84"/>
        <v>3.3960531989175591E-3</v>
      </c>
      <c r="O1853">
        <f>VLOOKUP(K1853,RatingLookup!$A$2:$C$8,3,FALSE)</f>
        <v>0.6</v>
      </c>
      <c r="P1853">
        <f t="shared" si="85"/>
        <v>0.69281522889837555</v>
      </c>
      <c r="Q1853" t="str">
        <f t="shared" ca="1" si="86"/>
        <v>No</v>
      </c>
    </row>
    <row r="1854" spans="1:17" x14ac:dyDescent="0.45">
      <c r="A1854" t="s">
        <v>96</v>
      </c>
      <c r="B1854" t="s">
        <v>97</v>
      </c>
      <c r="C1854" t="s">
        <v>85</v>
      </c>
      <c r="D1854" t="s">
        <v>20</v>
      </c>
      <c r="E1854" t="s">
        <v>21</v>
      </c>
      <c r="F1854" s="1">
        <v>45413</v>
      </c>
      <c r="G1854">
        <v>6.11</v>
      </c>
      <c r="H1854">
        <v>87.933700000000002</v>
      </c>
      <c r="I1854">
        <v>20.81</v>
      </c>
      <c r="J1854">
        <v>84.78</v>
      </c>
      <c r="K1854" t="s">
        <v>31</v>
      </c>
      <c r="L1854">
        <v>352.02</v>
      </c>
      <c r="M1854">
        <f>VLOOKUP(K1854,RatingLookup!$A$2:$C$8,2,FALSE)</f>
        <v>0.04</v>
      </c>
      <c r="N1854">
        <f t="shared" si="84"/>
        <v>3.3960531989175591E-3</v>
      </c>
      <c r="O1854">
        <f>VLOOKUP(K1854,RatingLookup!$A$2:$C$8,3,FALSE)</f>
        <v>0.6</v>
      </c>
      <c r="P1854">
        <f t="shared" si="85"/>
        <v>0.71728718824977544</v>
      </c>
      <c r="Q1854" t="str">
        <f t="shared" ca="1" si="86"/>
        <v>No</v>
      </c>
    </row>
    <row r="1855" spans="1:17" x14ac:dyDescent="0.45">
      <c r="A1855" t="s">
        <v>96</v>
      </c>
      <c r="B1855" t="s">
        <v>97</v>
      </c>
      <c r="C1855" t="s">
        <v>85</v>
      </c>
      <c r="D1855" t="s">
        <v>20</v>
      </c>
      <c r="E1855" t="s">
        <v>21</v>
      </c>
      <c r="F1855" s="1">
        <v>45444</v>
      </c>
      <c r="G1855">
        <v>4.96</v>
      </c>
      <c r="H1855">
        <v>81.497200000000007</v>
      </c>
      <c r="I1855">
        <v>25.38</v>
      </c>
      <c r="J1855">
        <v>83.44</v>
      </c>
      <c r="K1855" t="s">
        <v>31</v>
      </c>
      <c r="L1855">
        <v>357.03</v>
      </c>
      <c r="M1855">
        <f>VLOOKUP(K1855,RatingLookup!$A$2:$C$8,2,FALSE)</f>
        <v>0.04</v>
      </c>
      <c r="N1855">
        <f t="shared" si="84"/>
        <v>3.3960531989175591E-3</v>
      </c>
      <c r="O1855">
        <f>VLOOKUP(K1855,RatingLookup!$A$2:$C$8,3,FALSE)</f>
        <v>0.6</v>
      </c>
      <c r="P1855">
        <f t="shared" si="85"/>
        <v>0.7274957241657215</v>
      </c>
      <c r="Q1855" t="str">
        <f t="shared" ca="1" si="86"/>
        <v>No</v>
      </c>
    </row>
    <row r="1856" spans="1:17" x14ac:dyDescent="0.45">
      <c r="A1856" t="s">
        <v>96</v>
      </c>
      <c r="B1856" t="s">
        <v>97</v>
      </c>
      <c r="C1856" t="s">
        <v>85</v>
      </c>
      <c r="D1856" t="s">
        <v>20</v>
      </c>
      <c r="E1856" t="s">
        <v>21</v>
      </c>
      <c r="F1856" s="1">
        <v>45474</v>
      </c>
      <c r="G1856">
        <v>4.12</v>
      </c>
      <c r="H1856">
        <v>80.281000000000006</v>
      </c>
      <c r="I1856">
        <v>22.87</v>
      </c>
      <c r="J1856">
        <v>75.37</v>
      </c>
      <c r="K1856" t="s">
        <v>31</v>
      </c>
      <c r="L1856">
        <v>332.02</v>
      </c>
      <c r="M1856">
        <f>VLOOKUP(K1856,RatingLookup!$A$2:$C$8,2,FALSE)</f>
        <v>0.04</v>
      </c>
      <c r="N1856">
        <f t="shared" si="84"/>
        <v>3.3960531989175591E-3</v>
      </c>
      <c r="O1856">
        <f>VLOOKUP(K1856,RatingLookup!$A$2:$C$8,3,FALSE)</f>
        <v>0.6</v>
      </c>
      <c r="P1856">
        <f t="shared" si="85"/>
        <v>0.67653454986276473</v>
      </c>
      <c r="Q1856" t="str">
        <f t="shared" ca="1" si="86"/>
        <v>No</v>
      </c>
    </row>
    <row r="1857" spans="1:17" x14ac:dyDescent="0.45">
      <c r="A1857" t="s">
        <v>96</v>
      </c>
      <c r="B1857" t="s">
        <v>97</v>
      </c>
      <c r="C1857" t="s">
        <v>85</v>
      </c>
      <c r="D1857" t="s">
        <v>20</v>
      </c>
      <c r="E1857" t="s">
        <v>21</v>
      </c>
      <c r="F1857" s="1">
        <v>45505</v>
      </c>
      <c r="G1857">
        <v>5.56</v>
      </c>
      <c r="H1857">
        <v>86.654899999999998</v>
      </c>
      <c r="I1857">
        <v>7.57</v>
      </c>
      <c r="J1857">
        <v>92.99</v>
      </c>
      <c r="K1857" t="s">
        <v>31</v>
      </c>
      <c r="L1857">
        <v>361.54</v>
      </c>
      <c r="M1857">
        <f>VLOOKUP(K1857,RatingLookup!$A$2:$C$8,2,FALSE)</f>
        <v>0.04</v>
      </c>
      <c r="N1857">
        <f t="shared" si="84"/>
        <v>3.3960531989175591E-3</v>
      </c>
      <c r="O1857">
        <f>VLOOKUP(K1857,RatingLookup!$A$2:$C$8,3,FALSE)</f>
        <v>0.6</v>
      </c>
      <c r="P1857">
        <f t="shared" si="85"/>
        <v>0.73668544412199266</v>
      </c>
      <c r="Q1857" t="str">
        <f t="shared" ca="1" si="86"/>
        <v>No</v>
      </c>
    </row>
    <row r="1858" spans="1:17" x14ac:dyDescent="0.45">
      <c r="A1858" t="s">
        <v>96</v>
      </c>
      <c r="B1858" t="s">
        <v>97</v>
      </c>
      <c r="C1858" t="s">
        <v>85</v>
      </c>
      <c r="D1858" t="s">
        <v>20</v>
      </c>
      <c r="E1858" t="s">
        <v>21</v>
      </c>
      <c r="F1858" s="1">
        <v>45536</v>
      </c>
      <c r="G1858">
        <v>5.43</v>
      </c>
      <c r="H1858">
        <v>81.329599999999999</v>
      </c>
      <c r="I1858">
        <v>21.19</v>
      </c>
      <c r="J1858">
        <v>85.35</v>
      </c>
      <c r="K1858" t="s">
        <v>31</v>
      </c>
      <c r="L1858">
        <v>313.19</v>
      </c>
      <c r="M1858">
        <f>VLOOKUP(K1858,RatingLookup!$A$2:$C$8,2,FALSE)</f>
        <v>0.04</v>
      </c>
      <c r="N1858">
        <f t="shared" ref="N1858:N1921" si="87">1-(1-M1858)^(1/12)</f>
        <v>3.3960531989175591E-3</v>
      </c>
      <c r="O1858">
        <f>VLOOKUP(K1858,RatingLookup!$A$2:$C$8,3,FALSE)</f>
        <v>0.6</v>
      </c>
      <c r="P1858">
        <f t="shared" ref="P1858:P1921" si="88">L1858*N1858*O1858</f>
        <v>0.63816594082139422</v>
      </c>
      <c r="Q1858" t="str">
        <f t="shared" ref="Q1858:Q1921" ca="1" si="89">IF(RAND()&lt;N1858,"Yes","No")</f>
        <v>No</v>
      </c>
    </row>
    <row r="1859" spans="1:17" x14ac:dyDescent="0.45">
      <c r="A1859" t="s">
        <v>96</v>
      </c>
      <c r="B1859" t="s">
        <v>97</v>
      </c>
      <c r="C1859" t="s">
        <v>85</v>
      </c>
      <c r="D1859" t="s">
        <v>20</v>
      </c>
      <c r="E1859" t="s">
        <v>21</v>
      </c>
      <c r="F1859" s="1">
        <v>45566</v>
      </c>
      <c r="G1859">
        <v>4.95</v>
      </c>
      <c r="H1859">
        <v>80.177199999999999</v>
      </c>
      <c r="I1859">
        <v>20.43</v>
      </c>
      <c r="J1859">
        <v>89.42</v>
      </c>
      <c r="K1859" t="s">
        <v>31</v>
      </c>
      <c r="L1859">
        <v>320.64</v>
      </c>
      <c r="M1859">
        <f>VLOOKUP(K1859,RatingLookup!$A$2:$C$8,2,FALSE)</f>
        <v>0.04</v>
      </c>
      <c r="N1859">
        <f t="shared" si="87"/>
        <v>3.3960531989175591E-3</v>
      </c>
      <c r="O1859">
        <f>VLOOKUP(K1859,RatingLookup!$A$2:$C$8,3,FALSE)</f>
        <v>0.6</v>
      </c>
      <c r="P1859">
        <f t="shared" si="88"/>
        <v>0.6533462986205556</v>
      </c>
      <c r="Q1859" t="str">
        <f t="shared" ca="1" si="89"/>
        <v>No</v>
      </c>
    </row>
    <row r="1860" spans="1:17" x14ac:dyDescent="0.45">
      <c r="A1860" t="s">
        <v>96</v>
      </c>
      <c r="B1860" t="s">
        <v>97</v>
      </c>
      <c r="C1860" t="s">
        <v>85</v>
      </c>
      <c r="D1860" t="s">
        <v>20</v>
      </c>
      <c r="E1860" t="s">
        <v>21</v>
      </c>
      <c r="F1860" s="1">
        <v>45597</v>
      </c>
      <c r="G1860">
        <v>5.93</v>
      </c>
      <c r="H1860">
        <v>82.450699999999998</v>
      </c>
      <c r="I1860">
        <v>16.510000000000002</v>
      </c>
      <c r="J1860">
        <v>92.22</v>
      </c>
      <c r="K1860" t="s">
        <v>31</v>
      </c>
      <c r="L1860">
        <v>369.76</v>
      </c>
      <c r="M1860">
        <f>VLOOKUP(K1860,RatingLookup!$A$2:$C$8,2,FALSE)</f>
        <v>0.04</v>
      </c>
      <c r="N1860">
        <f t="shared" si="87"/>
        <v>3.3960531989175591E-3</v>
      </c>
      <c r="O1860">
        <f>VLOOKUP(K1860,RatingLookup!$A$2:$C$8,3,FALSE)</f>
        <v>0.6</v>
      </c>
      <c r="P1860">
        <f t="shared" si="88"/>
        <v>0.75343477849905394</v>
      </c>
      <c r="Q1860" t="str">
        <f t="shared" ca="1" si="89"/>
        <v>No</v>
      </c>
    </row>
    <row r="1861" spans="1:17" x14ac:dyDescent="0.45">
      <c r="A1861" t="s">
        <v>96</v>
      </c>
      <c r="B1861" t="s">
        <v>97</v>
      </c>
      <c r="C1861" t="s">
        <v>85</v>
      </c>
      <c r="D1861" t="s">
        <v>20</v>
      </c>
      <c r="E1861" t="s">
        <v>21</v>
      </c>
      <c r="F1861" s="1">
        <v>45627</v>
      </c>
      <c r="G1861">
        <v>4.33</v>
      </c>
      <c r="H1861">
        <v>79.222200000000001</v>
      </c>
      <c r="I1861">
        <v>25.21</v>
      </c>
      <c r="J1861">
        <v>89.87</v>
      </c>
      <c r="K1861" t="s">
        <v>30</v>
      </c>
      <c r="L1861">
        <v>384.47</v>
      </c>
      <c r="M1861">
        <f>VLOOKUP(K1861,RatingLookup!$A$2:$C$8,2,FALSE)</f>
        <v>1.4999999999999999E-2</v>
      </c>
      <c r="N1861">
        <f t="shared" si="87"/>
        <v>1.2586770182638762E-3</v>
      </c>
      <c r="O1861">
        <f>VLOOKUP(K1861,RatingLookup!$A$2:$C$8,3,FALSE)</f>
        <v>0.5</v>
      </c>
      <c r="P1861">
        <f t="shared" si="88"/>
        <v>0.24196177660595627</v>
      </c>
      <c r="Q1861" t="str">
        <f t="shared" ca="1" si="89"/>
        <v>No</v>
      </c>
    </row>
    <row r="1862" spans="1:17" x14ac:dyDescent="0.45">
      <c r="A1862" t="s">
        <v>98</v>
      </c>
      <c r="B1862" t="s">
        <v>99</v>
      </c>
      <c r="C1862" t="s">
        <v>43</v>
      </c>
      <c r="D1862" t="s">
        <v>20</v>
      </c>
      <c r="E1862" t="s">
        <v>21</v>
      </c>
      <c r="F1862" s="1">
        <v>43831</v>
      </c>
      <c r="G1862">
        <v>4.8499999999999996</v>
      </c>
      <c r="H1862">
        <v>86.503699999999995</v>
      </c>
      <c r="I1862">
        <v>16.45</v>
      </c>
      <c r="J1862">
        <v>82.57</v>
      </c>
      <c r="K1862" t="s">
        <v>30</v>
      </c>
      <c r="L1862">
        <v>1714.25</v>
      </c>
      <c r="M1862">
        <f>VLOOKUP(K1862,RatingLookup!$A$2:$C$8,2,FALSE)</f>
        <v>1.4999999999999999E-2</v>
      </c>
      <c r="N1862">
        <f t="shared" si="87"/>
        <v>1.2586770182638762E-3</v>
      </c>
      <c r="O1862">
        <f>VLOOKUP(K1862,RatingLookup!$A$2:$C$8,3,FALSE)</f>
        <v>0.5</v>
      </c>
      <c r="P1862">
        <f t="shared" si="88"/>
        <v>1.0788435392794249</v>
      </c>
      <c r="Q1862" t="str">
        <f t="shared" ca="1" si="89"/>
        <v>No</v>
      </c>
    </row>
    <row r="1863" spans="1:17" x14ac:dyDescent="0.45">
      <c r="A1863" t="s">
        <v>98</v>
      </c>
      <c r="B1863" t="s">
        <v>99</v>
      </c>
      <c r="C1863" t="s">
        <v>43</v>
      </c>
      <c r="D1863" t="s">
        <v>20</v>
      </c>
      <c r="E1863" t="s">
        <v>21</v>
      </c>
      <c r="F1863" s="1">
        <v>43862</v>
      </c>
      <c r="G1863">
        <v>5.23</v>
      </c>
      <c r="H1863">
        <v>83.328900000000004</v>
      </c>
      <c r="I1863">
        <v>18.8</v>
      </c>
      <c r="J1863">
        <v>77.56</v>
      </c>
      <c r="K1863" t="s">
        <v>30</v>
      </c>
      <c r="L1863">
        <v>1801.14</v>
      </c>
      <c r="M1863">
        <f>VLOOKUP(K1863,RatingLookup!$A$2:$C$8,2,FALSE)</f>
        <v>1.4999999999999999E-2</v>
      </c>
      <c r="N1863">
        <f t="shared" si="87"/>
        <v>1.2586770182638762E-3</v>
      </c>
      <c r="O1863">
        <f>VLOOKUP(K1863,RatingLookup!$A$2:$C$8,3,FALSE)</f>
        <v>0.5</v>
      </c>
      <c r="P1863">
        <f t="shared" si="88"/>
        <v>1.1335267623378991</v>
      </c>
      <c r="Q1863" t="str">
        <f t="shared" ca="1" si="89"/>
        <v>No</v>
      </c>
    </row>
    <row r="1864" spans="1:17" x14ac:dyDescent="0.45">
      <c r="A1864" t="s">
        <v>98</v>
      </c>
      <c r="B1864" t="s">
        <v>99</v>
      </c>
      <c r="C1864" t="s">
        <v>43</v>
      </c>
      <c r="D1864" t="s">
        <v>20</v>
      </c>
      <c r="E1864" t="s">
        <v>21</v>
      </c>
      <c r="F1864" s="1">
        <v>43891</v>
      </c>
      <c r="G1864">
        <v>5.18</v>
      </c>
      <c r="H1864">
        <v>86.488900000000001</v>
      </c>
      <c r="I1864">
        <v>13.4</v>
      </c>
      <c r="J1864">
        <v>70.48</v>
      </c>
      <c r="K1864" t="s">
        <v>30</v>
      </c>
      <c r="L1864">
        <v>2017</v>
      </c>
      <c r="M1864">
        <f>VLOOKUP(K1864,RatingLookup!$A$2:$C$8,2,FALSE)</f>
        <v>1.4999999999999999E-2</v>
      </c>
      <c r="N1864">
        <f t="shared" si="87"/>
        <v>1.2586770182638762E-3</v>
      </c>
      <c r="O1864">
        <f>VLOOKUP(K1864,RatingLookup!$A$2:$C$8,3,FALSE)</f>
        <v>0.5</v>
      </c>
      <c r="P1864">
        <f t="shared" si="88"/>
        <v>1.2693757729191191</v>
      </c>
      <c r="Q1864" t="str">
        <f t="shared" ca="1" si="89"/>
        <v>No</v>
      </c>
    </row>
    <row r="1865" spans="1:17" x14ac:dyDescent="0.45">
      <c r="A1865" t="s">
        <v>98</v>
      </c>
      <c r="B1865" t="s">
        <v>99</v>
      </c>
      <c r="C1865" t="s">
        <v>43</v>
      </c>
      <c r="D1865" t="s">
        <v>20</v>
      </c>
      <c r="E1865" t="s">
        <v>21</v>
      </c>
      <c r="F1865" s="1">
        <v>43922</v>
      </c>
      <c r="G1865">
        <v>5.93</v>
      </c>
      <c r="H1865">
        <v>79.009</v>
      </c>
      <c r="I1865">
        <v>19.61</v>
      </c>
      <c r="J1865">
        <v>67.260000000000005</v>
      </c>
      <c r="K1865" t="s">
        <v>30</v>
      </c>
      <c r="L1865">
        <v>1962.15</v>
      </c>
      <c r="M1865">
        <f>VLOOKUP(K1865,RatingLookup!$A$2:$C$8,2,FALSE)</f>
        <v>1.4999999999999999E-2</v>
      </c>
      <c r="N1865">
        <f t="shared" si="87"/>
        <v>1.2586770182638762E-3</v>
      </c>
      <c r="O1865">
        <f>VLOOKUP(K1865,RatingLookup!$A$2:$C$8,3,FALSE)</f>
        <v>0.5</v>
      </c>
      <c r="P1865">
        <f t="shared" si="88"/>
        <v>1.2348565556932325</v>
      </c>
      <c r="Q1865" t="str">
        <f t="shared" ca="1" si="89"/>
        <v>No</v>
      </c>
    </row>
    <row r="1866" spans="1:17" x14ac:dyDescent="0.45">
      <c r="A1866" t="s">
        <v>98</v>
      </c>
      <c r="B1866" t="s">
        <v>99</v>
      </c>
      <c r="C1866" t="s">
        <v>43</v>
      </c>
      <c r="D1866" t="s">
        <v>20</v>
      </c>
      <c r="E1866" t="s">
        <v>21</v>
      </c>
      <c r="F1866" s="1">
        <v>43952</v>
      </c>
      <c r="G1866">
        <v>6.07</v>
      </c>
      <c r="H1866">
        <v>84.734099999999998</v>
      </c>
      <c r="I1866">
        <v>13.95</v>
      </c>
      <c r="J1866">
        <v>76.349999999999994</v>
      </c>
      <c r="K1866" t="s">
        <v>30</v>
      </c>
      <c r="L1866">
        <v>1750.7</v>
      </c>
      <c r="M1866">
        <f>VLOOKUP(K1866,RatingLookup!$A$2:$C$8,2,FALSE)</f>
        <v>1.4999999999999999E-2</v>
      </c>
      <c r="N1866">
        <f t="shared" si="87"/>
        <v>1.2586770182638762E-3</v>
      </c>
      <c r="O1866">
        <f>VLOOKUP(K1866,RatingLookup!$A$2:$C$8,3,FALSE)</f>
        <v>0.5</v>
      </c>
      <c r="P1866">
        <f t="shared" si="88"/>
        <v>1.1017829279372842</v>
      </c>
      <c r="Q1866" t="str">
        <f t="shared" ca="1" si="89"/>
        <v>No</v>
      </c>
    </row>
    <row r="1867" spans="1:17" x14ac:dyDescent="0.45">
      <c r="A1867" t="s">
        <v>98</v>
      </c>
      <c r="B1867" t="s">
        <v>99</v>
      </c>
      <c r="C1867" t="s">
        <v>43</v>
      </c>
      <c r="D1867" t="s">
        <v>20</v>
      </c>
      <c r="E1867" t="s">
        <v>21</v>
      </c>
      <c r="F1867" s="1">
        <v>43983</v>
      </c>
      <c r="G1867">
        <v>6.76</v>
      </c>
      <c r="H1867">
        <v>81.900099999999995</v>
      </c>
      <c r="I1867">
        <v>18.920000000000002</v>
      </c>
      <c r="J1867">
        <v>76.67</v>
      </c>
      <c r="K1867" t="s">
        <v>30</v>
      </c>
      <c r="L1867">
        <v>1788.67</v>
      </c>
      <c r="M1867">
        <f>VLOOKUP(K1867,RatingLookup!$A$2:$C$8,2,FALSE)</f>
        <v>1.4999999999999999E-2</v>
      </c>
      <c r="N1867">
        <f t="shared" si="87"/>
        <v>1.2586770182638762E-3</v>
      </c>
      <c r="O1867">
        <f>VLOOKUP(K1867,RatingLookup!$A$2:$C$8,3,FALSE)</f>
        <v>0.5</v>
      </c>
      <c r="P1867">
        <f t="shared" si="88"/>
        <v>1.1256789111290237</v>
      </c>
      <c r="Q1867" t="str">
        <f t="shared" ca="1" si="89"/>
        <v>No</v>
      </c>
    </row>
    <row r="1868" spans="1:17" x14ac:dyDescent="0.45">
      <c r="A1868" t="s">
        <v>98</v>
      </c>
      <c r="B1868" t="s">
        <v>99</v>
      </c>
      <c r="C1868" t="s">
        <v>43</v>
      </c>
      <c r="D1868" t="s">
        <v>20</v>
      </c>
      <c r="E1868" t="s">
        <v>21</v>
      </c>
      <c r="F1868" s="1">
        <v>44013</v>
      </c>
      <c r="G1868">
        <v>5.4</v>
      </c>
      <c r="H1868">
        <v>82.723200000000006</v>
      </c>
      <c r="I1868">
        <v>20.89</v>
      </c>
      <c r="J1868">
        <v>93.51</v>
      </c>
      <c r="K1868" t="s">
        <v>30</v>
      </c>
      <c r="L1868">
        <v>1962.78</v>
      </c>
      <c r="M1868">
        <f>VLOOKUP(K1868,RatingLookup!$A$2:$C$8,2,FALSE)</f>
        <v>1.4999999999999999E-2</v>
      </c>
      <c r="N1868">
        <f t="shared" si="87"/>
        <v>1.2586770182638762E-3</v>
      </c>
      <c r="O1868">
        <f>VLOOKUP(K1868,RatingLookup!$A$2:$C$8,3,FALSE)</f>
        <v>0.5</v>
      </c>
      <c r="P1868">
        <f t="shared" si="88"/>
        <v>1.2352530389539855</v>
      </c>
      <c r="Q1868" t="str">
        <f t="shared" ca="1" si="89"/>
        <v>No</v>
      </c>
    </row>
    <row r="1869" spans="1:17" x14ac:dyDescent="0.45">
      <c r="A1869" t="s">
        <v>98</v>
      </c>
      <c r="B1869" t="s">
        <v>99</v>
      </c>
      <c r="C1869" t="s">
        <v>43</v>
      </c>
      <c r="D1869" t="s">
        <v>20</v>
      </c>
      <c r="E1869" t="s">
        <v>21</v>
      </c>
      <c r="F1869" s="1">
        <v>44044</v>
      </c>
      <c r="G1869">
        <v>5.68</v>
      </c>
      <c r="H1869">
        <v>78.854799999999997</v>
      </c>
      <c r="I1869">
        <v>23.86</v>
      </c>
      <c r="J1869">
        <v>75.25</v>
      </c>
      <c r="K1869" t="s">
        <v>30</v>
      </c>
      <c r="L1869">
        <v>1837.89</v>
      </c>
      <c r="M1869">
        <f>VLOOKUP(K1869,RatingLookup!$A$2:$C$8,2,FALSE)</f>
        <v>1.4999999999999999E-2</v>
      </c>
      <c r="N1869">
        <f t="shared" si="87"/>
        <v>1.2586770182638762E-3</v>
      </c>
      <c r="O1869">
        <f>VLOOKUP(K1869,RatingLookup!$A$2:$C$8,3,FALSE)</f>
        <v>0.5</v>
      </c>
      <c r="P1869">
        <f t="shared" si="88"/>
        <v>1.1566549525484977</v>
      </c>
      <c r="Q1869" t="str">
        <f t="shared" ca="1" si="89"/>
        <v>No</v>
      </c>
    </row>
    <row r="1870" spans="1:17" x14ac:dyDescent="0.45">
      <c r="A1870" t="s">
        <v>98</v>
      </c>
      <c r="B1870" t="s">
        <v>99</v>
      </c>
      <c r="C1870" t="s">
        <v>43</v>
      </c>
      <c r="D1870" t="s">
        <v>20</v>
      </c>
      <c r="E1870" t="s">
        <v>21</v>
      </c>
      <c r="F1870" s="1">
        <v>44075</v>
      </c>
      <c r="G1870">
        <v>5.01</v>
      </c>
      <c r="H1870">
        <v>81.027699999999996</v>
      </c>
      <c r="I1870">
        <v>21.07</v>
      </c>
      <c r="J1870">
        <v>74.989999999999995</v>
      </c>
      <c r="K1870" t="s">
        <v>30</v>
      </c>
      <c r="L1870">
        <v>1648.68</v>
      </c>
      <c r="M1870">
        <f>VLOOKUP(K1870,RatingLookup!$A$2:$C$8,2,FALSE)</f>
        <v>1.4999999999999999E-2</v>
      </c>
      <c r="N1870">
        <f t="shared" si="87"/>
        <v>1.2586770182638762E-3</v>
      </c>
      <c r="O1870">
        <f>VLOOKUP(K1870,RatingLookup!$A$2:$C$8,3,FALSE)</f>
        <v>0.5</v>
      </c>
      <c r="P1870">
        <f t="shared" si="88"/>
        <v>1.0375778132356437</v>
      </c>
      <c r="Q1870" t="str">
        <f t="shared" ca="1" si="89"/>
        <v>No</v>
      </c>
    </row>
    <row r="1871" spans="1:17" x14ac:dyDescent="0.45">
      <c r="A1871" t="s">
        <v>98</v>
      </c>
      <c r="B1871" t="s">
        <v>99</v>
      </c>
      <c r="C1871" t="s">
        <v>43</v>
      </c>
      <c r="D1871" t="s">
        <v>20</v>
      </c>
      <c r="E1871" t="s">
        <v>21</v>
      </c>
      <c r="F1871" s="1">
        <v>44105</v>
      </c>
      <c r="G1871">
        <v>4.8899999999999997</v>
      </c>
      <c r="H1871">
        <v>83.468699999999998</v>
      </c>
      <c r="I1871">
        <v>18.420000000000002</v>
      </c>
      <c r="J1871">
        <v>72.27</v>
      </c>
      <c r="K1871" t="s">
        <v>30</v>
      </c>
      <c r="L1871">
        <v>1768.03</v>
      </c>
      <c r="M1871">
        <f>VLOOKUP(K1871,RatingLookup!$A$2:$C$8,2,FALSE)</f>
        <v>1.4999999999999999E-2</v>
      </c>
      <c r="N1871">
        <f t="shared" si="87"/>
        <v>1.2586770182638762E-3</v>
      </c>
      <c r="O1871">
        <f>VLOOKUP(K1871,RatingLookup!$A$2:$C$8,3,FALSE)</f>
        <v>0.5</v>
      </c>
      <c r="P1871">
        <f t="shared" si="88"/>
        <v>1.1126893643005404</v>
      </c>
      <c r="Q1871" t="str">
        <f t="shared" ca="1" si="89"/>
        <v>No</v>
      </c>
    </row>
    <row r="1872" spans="1:17" x14ac:dyDescent="0.45">
      <c r="A1872" t="s">
        <v>98</v>
      </c>
      <c r="B1872" t="s">
        <v>99</v>
      </c>
      <c r="C1872" t="s">
        <v>43</v>
      </c>
      <c r="D1872" t="s">
        <v>20</v>
      </c>
      <c r="E1872" t="s">
        <v>21</v>
      </c>
      <c r="F1872" s="1">
        <v>44136</v>
      </c>
      <c r="G1872">
        <v>5.3</v>
      </c>
      <c r="H1872">
        <v>79.505799999999994</v>
      </c>
      <c r="I1872">
        <v>17.61</v>
      </c>
      <c r="J1872">
        <v>69.5</v>
      </c>
      <c r="K1872" t="s">
        <v>30</v>
      </c>
      <c r="L1872">
        <v>1832.31</v>
      </c>
      <c r="M1872">
        <f>VLOOKUP(K1872,RatingLookup!$A$2:$C$8,2,FALSE)</f>
        <v>1.4999999999999999E-2</v>
      </c>
      <c r="N1872">
        <f t="shared" si="87"/>
        <v>1.2586770182638762E-3</v>
      </c>
      <c r="O1872">
        <f>VLOOKUP(K1872,RatingLookup!$A$2:$C$8,3,FALSE)</f>
        <v>0.5</v>
      </c>
      <c r="P1872">
        <f t="shared" si="88"/>
        <v>1.1531432436675415</v>
      </c>
      <c r="Q1872" t="str">
        <f t="shared" ca="1" si="89"/>
        <v>No</v>
      </c>
    </row>
    <row r="1873" spans="1:17" x14ac:dyDescent="0.45">
      <c r="A1873" t="s">
        <v>98</v>
      </c>
      <c r="B1873" t="s">
        <v>99</v>
      </c>
      <c r="C1873" t="s">
        <v>43</v>
      </c>
      <c r="D1873" t="s">
        <v>20</v>
      </c>
      <c r="E1873" t="s">
        <v>21</v>
      </c>
      <c r="F1873" s="1">
        <v>44166</v>
      </c>
      <c r="G1873">
        <v>6.39</v>
      </c>
      <c r="H1873">
        <v>83.392600000000002</v>
      </c>
      <c r="I1873">
        <v>24.84</v>
      </c>
      <c r="J1873">
        <v>71.739999999999995</v>
      </c>
      <c r="K1873" t="s">
        <v>30</v>
      </c>
      <c r="L1873">
        <v>1682.66</v>
      </c>
      <c r="M1873">
        <f>VLOOKUP(K1873,RatingLookup!$A$2:$C$8,2,FALSE)</f>
        <v>1.4999999999999999E-2</v>
      </c>
      <c r="N1873">
        <f t="shared" si="87"/>
        <v>1.2586770182638762E-3</v>
      </c>
      <c r="O1873">
        <f>VLOOKUP(K1873,RatingLookup!$A$2:$C$8,3,FALSE)</f>
        <v>0.5</v>
      </c>
      <c r="P1873">
        <f t="shared" si="88"/>
        <v>1.058962735775947</v>
      </c>
      <c r="Q1873" t="str">
        <f t="shared" ca="1" si="89"/>
        <v>No</v>
      </c>
    </row>
    <row r="1874" spans="1:17" x14ac:dyDescent="0.45">
      <c r="A1874" t="s">
        <v>98</v>
      </c>
      <c r="B1874" t="s">
        <v>99</v>
      </c>
      <c r="C1874" t="s">
        <v>43</v>
      </c>
      <c r="D1874" t="s">
        <v>20</v>
      </c>
      <c r="E1874" t="s">
        <v>21</v>
      </c>
      <c r="F1874" s="1">
        <v>44197</v>
      </c>
      <c r="G1874">
        <v>4.8600000000000003</v>
      </c>
      <c r="H1874">
        <v>79.964200000000005</v>
      </c>
      <c r="I1874">
        <v>21.76</v>
      </c>
      <c r="J1874">
        <v>71.08</v>
      </c>
      <c r="K1874" t="s">
        <v>30</v>
      </c>
      <c r="L1874">
        <v>1968.86</v>
      </c>
      <c r="M1874">
        <f>VLOOKUP(K1874,RatingLookup!$A$2:$C$8,2,FALSE)</f>
        <v>1.4999999999999999E-2</v>
      </c>
      <c r="N1874">
        <f t="shared" si="87"/>
        <v>1.2586770182638762E-3</v>
      </c>
      <c r="O1874">
        <f>VLOOKUP(K1874,RatingLookup!$A$2:$C$8,3,FALSE)</f>
        <v>0.5</v>
      </c>
      <c r="P1874">
        <f t="shared" si="88"/>
        <v>1.2390794170895076</v>
      </c>
      <c r="Q1874" t="str">
        <f t="shared" ca="1" si="89"/>
        <v>No</v>
      </c>
    </row>
    <row r="1875" spans="1:17" x14ac:dyDescent="0.45">
      <c r="A1875" t="s">
        <v>98</v>
      </c>
      <c r="B1875" t="s">
        <v>99</v>
      </c>
      <c r="C1875" t="s">
        <v>43</v>
      </c>
      <c r="D1875" t="s">
        <v>20</v>
      </c>
      <c r="E1875" t="s">
        <v>21</v>
      </c>
      <c r="F1875" s="1">
        <v>44228</v>
      </c>
      <c r="G1875">
        <v>5.89</v>
      </c>
      <c r="H1875">
        <v>81.866900000000001</v>
      </c>
      <c r="I1875">
        <v>10.34</v>
      </c>
      <c r="J1875">
        <v>79.78</v>
      </c>
      <c r="K1875" t="s">
        <v>31</v>
      </c>
      <c r="L1875">
        <v>1832.49</v>
      </c>
      <c r="M1875">
        <f>VLOOKUP(K1875,RatingLookup!$A$2:$C$8,2,FALSE)</f>
        <v>0.04</v>
      </c>
      <c r="N1875">
        <f t="shared" si="87"/>
        <v>3.3960531989175591E-3</v>
      </c>
      <c r="O1875">
        <f>VLOOKUP(K1875,RatingLookup!$A$2:$C$8,3,FALSE)</f>
        <v>0.6</v>
      </c>
      <c r="P1875">
        <f t="shared" si="88"/>
        <v>3.7339401158906624</v>
      </c>
      <c r="Q1875" t="str">
        <f t="shared" ca="1" si="89"/>
        <v>No</v>
      </c>
    </row>
    <row r="1876" spans="1:17" x14ac:dyDescent="0.45">
      <c r="A1876" t="s">
        <v>98</v>
      </c>
      <c r="B1876" t="s">
        <v>99</v>
      </c>
      <c r="C1876" t="s">
        <v>43</v>
      </c>
      <c r="D1876" t="s">
        <v>20</v>
      </c>
      <c r="E1876" t="s">
        <v>21</v>
      </c>
      <c r="F1876" s="1">
        <v>44256</v>
      </c>
      <c r="G1876">
        <v>6.17</v>
      </c>
      <c r="H1876">
        <v>81.2988</v>
      </c>
      <c r="I1876">
        <v>16.66</v>
      </c>
      <c r="J1876">
        <v>75.52</v>
      </c>
      <c r="K1876" t="s">
        <v>31</v>
      </c>
      <c r="L1876">
        <v>1826.8</v>
      </c>
      <c r="M1876">
        <f>VLOOKUP(K1876,RatingLookup!$A$2:$C$8,2,FALSE)</f>
        <v>0.04</v>
      </c>
      <c r="N1876">
        <f t="shared" si="87"/>
        <v>3.3960531989175591E-3</v>
      </c>
      <c r="O1876">
        <f>VLOOKUP(K1876,RatingLookup!$A$2:$C$8,3,FALSE)</f>
        <v>0.6</v>
      </c>
      <c r="P1876">
        <f t="shared" si="88"/>
        <v>3.7223459902695581</v>
      </c>
      <c r="Q1876" t="str">
        <f t="shared" ca="1" si="89"/>
        <v>No</v>
      </c>
    </row>
    <row r="1877" spans="1:17" x14ac:dyDescent="0.45">
      <c r="A1877" t="s">
        <v>98</v>
      </c>
      <c r="B1877" t="s">
        <v>99</v>
      </c>
      <c r="C1877" t="s">
        <v>43</v>
      </c>
      <c r="D1877" t="s">
        <v>20</v>
      </c>
      <c r="E1877" t="s">
        <v>21</v>
      </c>
      <c r="F1877" s="1">
        <v>44287</v>
      </c>
      <c r="G1877">
        <v>5.68</v>
      </c>
      <c r="H1877">
        <v>81.276200000000003</v>
      </c>
      <c r="I1877">
        <v>12.6</v>
      </c>
      <c r="J1877">
        <v>86.72</v>
      </c>
      <c r="K1877" t="s">
        <v>31</v>
      </c>
      <c r="L1877">
        <v>1786.62</v>
      </c>
      <c r="M1877">
        <f>VLOOKUP(K1877,RatingLookup!$A$2:$C$8,2,FALSE)</f>
        <v>0.04</v>
      </c>
      <c r="N1877">
        <f t="shared" si="87"/>
        <v>3.3960531989175591E-3</v>
      </c>
      <c r="O1877">
        <f>VLOOKUP(K1877,RatingLookup!$A$2:$C$8,3,FALSE)</f>
        <v>0.6</v>
      </c>
      <c r="P1877">
        <f t="shared" si="88"/>
        <v>3.6404739397500534</v>
      </c>
      <c r="Q1877" t="str">
        <f t="shared" ca="1" si="89"/>
        <v>No</v>
      </c>
    </row>
    <row r="1878" spans="1:17" x14ac:dyDescent="0.45">
      <c r="A1878" t="s">
        <v>98</v>
      </c>
      <c r="B1878" t="s">
        <v>99</v>
      </c>
      <c r="C1878" t="s">
        <v>43</v>
      </c>
      <c r="D1878" t="s">
        <v>20</v>
      </c>
      <c r="E1878" t="s">
        <v>21</v>
      </c>
      <c r="F1878" s="1">
        <v>44317</v>
      </c>
      <c r="G1878">
        <v>4.74</v>
      </c>
      <c r="H1878">
        <v>82.899199999999993</v>
      </c>
      <c r="I1878">
        <v>9.5500000000000007</v>
      </c>
      <c r="J1878">
        <v>83.42</v>
      </c>
      <c r="K1878" t="s">
        <v>31</v>
      </c>
      <c r="L1878">
        <v>1719.71</v>
      </c>
      <c r="M1878">
        <f>VLOOKUP(K1878,RatingLookup!$A$2:$C$8,2,FALSE)</f>
        <v>0.04</v>
      </c>
      <c r="N1878">
        <f t="shared" si="87"/>
        <v>3.3960531989175591E-3</v>
      </c>
      <c r="O1878">
        <f>VLOOKUP(K1878,RatingLookup!$A$2:$C$8,3,FALSE)</f>
        <v>0.6</v>
      </c>
      <c r="P1878">
        <f t="shared" si="88"/>
        <v>3.5041359880263094</v>
      </c>
      <c r="Q1878" t="str">
        <f t="shared" ca="1" si="89"/>
        <v>No</v>
      </c>
    </row>
    <row r="1879" spans="1:17" x14ac:dyDescent="0.45">
      <c r="A1879" t="s">
        <v>98</v>
      </c>
      <c r="B1879" t="s">
        <v>99</v>
      </c>
      <c r="C1879" t="s">
        <v>43</v>
      </c>
      <c r="D1879" t="s">
        <v>20</v>
      </c>
      <c r="E1879" t="s">
        <v>21</v>
      </c>
      <c r="F1879" s="1">
        <v>44348</v>
      </c>
      <c r="G1879">
        <v>4.66</v>
      </c>
      <c r="H1879">
        <v>83.433300000000003</v>
      </c>
      <c r="I1879">
        <v>16.63</v>
      </c>
      <c r="J1879">
        <v>67.099999999999994</v>
      </c>
      <c r="K1879" t="s">
        <v>31</v>
      </c>
      <c r="L1879">
        <v>1787.58</v>
      </c>
      <c r="M1879">
        <f>VLOOKUP(K1879,RatingLookup!$A$2:$C$8,2,FALSE)</f>
        <v>0.04</v>
      </c>
      <c r="N1879">
        <f t="shared" si="87"/>
        <v>3.3960531989175591E-3</v>
      </c>
      <c r="O1879">
        <f>VLOOKUP(K1879,RatingLookup!$A$2:$C$8,3,FALSE)</f>
        <v>0.6</v>
      </c>
      <c r="P1879">
        <f t="shared" si="88"/>
        <v>3.6424300663926301</v>
      </c>
      <c r="Q1879" t="str">
        <f t="shared" ca="1" si="89"/>
        <v>No</v>
      </c>
    </row>
    <row r="1880" spans="1:17" x14ac:dyDescent="0.45">
      <c r="A1880" t="s">
        <v>98</v>
      </c>
      <c r="B1880" t="s">
        <v>99</v>
      </c>
      <c r="C1880" t="s">
        <v>43</v>
      </c>
      <c r="D1880" t="s">
        <v>20</v>
      </c>
      <c r="E1880" t="s">
        <v>21</v>
      </c>
      <c r="F1880" s="1">
        <v>44378</v>
      </c>
      <c r="G1880">
        <v>6.23</v>
      </c>
      <c r="H1880">
        <v>87.128200000000007</v>
      </c>
      <c r="I1880">
        <v>16.75</v>
      </c>
      <c r="J1880">
        <v>64.069999999999993</v>
      </c>
      <c r="K1880" t="s">
        <v>31</v>
      </c>
      <c r="L1880">
        <v>1797.72</v>
      </c>
      <c r="M1880">
        <f>VLOOKUP(K1880,RatingLookup!$A$2:$C$8,2,FALSE)</f>
        <v>0.04</v>
      </c>
      <c r="N1880">
        <f t="shared" si="87"/>
        <v>3.3960531989175591E-3</v>
      </c>
      <c r="O1880">
        <f>VLOOKUP(K1880,RatingLookup!$A$2:$C$8,3,FALSE)</f>
        <v>0.6</v>
      </c>
      <c r="P1880">
        <f t="shared" si="88"/>
        <v>3.6630916540548446</v>
      </c>
      <c r="Q1880" t="str">
        <f t="shared" ca="1" si="89"/>
        <v>No</v>
      </c>
    </row>
    <row r="1881" spans="1:17" x14ac:dyDescent="0.45">
      <c r="A1881" t="s">
        <v>98</v>
      </c>
      <c r="B1881" t="s">
        <v>99</v>
      </c>
      <c r="C1881" t="s">
        <v>43</v>
      </c>
      <c r="D1881" t="s">
        <v>20</v>
      </c>
      <c r="E1881" t="s">
        <v>21</v>
      </c>
      <c r="F1881" s="1">
        <v>44409</v>
      </c>
      <c r="G1881">
        <v>5.42</v>
      </c>
      <c r="H1881">
        <v>82.626499999999993</v>
      </c>
      <c r="I1881">
        <v>20.92</v>
      </c>
      <c r="J1881">
        <v>86.83</v>
      </c>
      <c r="K1881" t="s">
        <v>31</v>
      </c>
      <c r="L1881">
        <v>1718.57</v>
      </c>
      <c r="M1881">
        <f>VLOOKUP(K1881,RatingLookup!$A$2:$C$8,2,FALSE)</f>
        <v>0.04</v>
      </c>
      <c r="N1881">
        <f t="shared" si="87"/>
        <v>3.3960531989175591E-3</v>
      </c>
      <c r="O1881">
        <f>VLOOKUP(K1881,RatingLookup!$A$2:$C$8,3,FALSE)</f>
        <v>0.6</v>
      </c>
      <c r="P1881">
        <f t="shared" si="88"/>
        <v>3.5018130876382498</v>
      </c>
      <c r="Q1881" t="str">
        <f t="shared" ca="1" si="89"/>
        <v>No</v>
      </c>
    </row>
    <row r="1882" spans="1:17" x14ac:dyDescent="0.45">
      <c r="A1882" t="s">
        <v>98</v>
      </c>
      <c r="B1882" t="s">
        <v>99</v>
      </c>
      <c r="C1882" t="s">
        <v>43</v>
      </c>
      <c r="D1882" t="s">
        <v>20</v>
      </c>
      <c r="E1882" t="s">
        <v>21</v>
      </c>
      <c r="F1882" s="1">
        <v>44440</v>
      </c>
      <c r="G1882">
        <v>6.06</v>
      </c>
      <c r="H1882">
        <v>85.865300000000005</v>
      </c>
      <c r="I1882">
        <v>25.13</v>
      </c>
      <c r="J1882">
        <v>83.48</v>
      </c>
      <c r="K1882" t="s">
        <v>31</v>
      </c>
      <c r="L1882">
        <v>1758.83</v>
      </c>
      <c r="M1882">
        <f>VLOOKUP(K1882,RatingLookup!$A$2:$C$8,2,FALSE)</f>
        <v>0.04</v>
      </c>
      <c r="N1882">
        <f t="shared" si="87"/>
        <v>3.3960531989175591E-3</v>
      </c>
      <c r="O1882">
        <f>VLOOKUP(K1882,RatingLookup!$A$2:$C$8,3,FALSE)</f>
        <v>0.6</v>
      </c>
      <c r="P1882">
        <f t="shared" si="88"/>
        <v>3.5838481487113021</v>
      </c>
      <c r="Q1882" t="str">
        <f t="shared" ca="1" si="89"/>
        <v>No</v>
      </c>
    </row>
    <row r="1883" spans="1:17" x14ac:dyDescent="0.45">
      <c r="A1883" t="s">
        <v>98</v>
      </c>
      <c r="B1883" t="s">
        <v>99</v>
      </c>
      <c r="C1883" t="s">
        <v>43</v>
      </c>
      <c r="D1883" t="s">
        <v>20</v>
      </c>
      <c r="E1883" t="s">
        <v>21</v>
      </c>
      <c r="F1883" s="1">
        <v>44470</v>
      </c>
      <c r="G1883">
        <v>5.57</v>
      </c>
      <c r="H1883">
        <v>84.643000000000001</v>
      </c>
      <c r="I1883">
        <v>8.5</v>
      </c>
      <c r="J1883">
        <v>62.42</v>
      </c>
      <c r="K1883" t="s">
        <v>31</v>
      </c>
      <c r="L1883">
        <v>1620.98</v>
      </c>
      <c r="M1883">
        <f>VLOOKUP(K1883,RatingLookup!$A$2:$C$8,2,FALSE)</f>
        <v>0.04</v>
      </c>
      <c r="N1883">
        <f t="shared" si="87"/>
        <v>3.3960531989175591E-3</v>
      </c>
      <c r="O1883">
        <f>VLOOKUP(K1883,RatingLookup!$A$2:$C$8,3,FALSE)</f>
        <v>0.6</v>
      </c>
      <c r="P1883">
        <f t="shared" si="88"/>
        <v>3.3029605886288311</v>
      </c>
      <c r="Q1883" t="str">
        <f t="shared" ca="1" si="89"/>
        <v>No</v>
      </c>
    </row>
    <row r="1884" spans="1:17" x14ac:dyDescent="0.45">
      <c r="A1884" t="s">
        <v>98</v>
      </c>
      <c r="B1884" t="s">
        <v>99</v>
      </c>
      <c r="C1884" t="s">
        <v>43</v>
      </c>
      <c r="D1884" t="s">
        <v>20</v>
      </c>
      <c r="E1884" t="s">
        <v>21</v>
      </c>
      <c r="F1884" s="1">
        <v>44501</v>
      </c>
      <c r="G1884">
        <v>4.79</v>
      </c>
      <c r="H1884">
        <v>79.559700000000007</v>
      </c>
      <c r="I1884">
        <v>13.49</v>
      </c>
      <c r="J1884">
        <v>88.28</v>
      </c>
      <c r="K1884" t="s">
        <v>31</v>
      </c>
      <c r="L1884">
        <v>1890.83</v>
      </c>
      <c r="M1884">
        <f>VLOOKUP(K1884,RatingLookup!$A$2:$C$8,2,FALSE)</f>
        <v>0.04</v>
      </c>
      <c r="N1884">
        <f t="shared" si="87"/>
        <v>3.3960531989175591E-3</v>
      </c>
      <c r="O1884">
        <f>VLOOKUP(K1884,RatingLookup!$A$2:$C$8,3,FALSE)</f>
        <v>0.6</v>
      </c>
      <c r="P1884">
        <f t="shared" si="88"/>
        <v>3.8528155620655724</v>
      </c>
      <c r="Q1884" t="str">
        <f t="shared" ca="1" si="89"/>
        <v>No</v>
      </c>
    </row>
    <row r="1885" spans="1:17" x14ac:dyDescent="0.45">
      <c r="A1885" t="s">
        <v>98</v>
      </c>
      <c r="B1885" t="s">
        <v>99</v>
      </c>
      <c r="C1885" t="s">
        <v>43</v>
      </c>
      <c r="D1885" t="s">
        <v>20</v>
      </c>
      <c r="E1885" t="s">
        <v>21</v>
      </c>
      <c r="F1885" s="1">
        <v>44531</v>
      </c>
      <c r="G1885">
        <v>6.11</v>
      </c>
      <c r="H1885">
        <v>77.968800000000002</v>
      </c>
      <c r="I1885">
        <v>11.11</v>
      </c>
      <c r="J1885">
        <v>70.290000000000006</v>
      </c>
      <c r="K1885" t="s">
        <v>31</v>
      </c>
      <c r="L1885">
        <v>1768.14</v>
      </c>
      <c r="M1885">
        <f>VLOOKUP(K1885,RatingLookup!$A$2:$C$8,2,FALSE)</f>
        <v>0.04</v>
      </c>
      <c r="N1885">
        <f t="shared" si="87"/>
        <v>3.3960531989175591E-3</v>
      </c>
      <c r="O1885">
        <f>VLOOKUP(K1885,RatingLookup!$A$2:$C$8,3,FALSE)</f>
        <v>0.6</v>
      </c>
      <c r="P1885">
        <f t="shared" si="88"/>
        <v>3.6028185018804559</v>
      </c>
      <c r="Q1885" t="str">
        <f t="shared" ca="1" si="89"/>
        <v>No</v>
      </c>
    </row>
    <row r="1886" spans="1:17" x14ac:dyDescent="0.45">
      <c r="A1886" t="s">
        <v>98</v>
      </c>
      <c r="B1886" t="s">
        <v>99</v>
      </c>
      <c r="C1886" t="s">
        <v>43</v>
      </c>
      <c r="D1886" t="s">
        <v>20</v>
      </c>
      <c r="E1886" t="s">
        <v>21</v>
      </c>
      <c r="F1886" s="1">
        <v>44562</v>
      </c>
      <c r="G1886">
        <v>6</v>
      </c>
      <c r="H1886">
        <v>77.685400000000001</v>
      </c>
      <c r="I1886">
        <v>17.64</v>
      </c>
      <c r="J1886">
        <v>80.06</v>
      </c>
      <c r="K1886" t="s">
        <v>31</v>
      </c>
      <c r="L1886">
        <v>1729.72</v>
      </c>
      <c r="M1886">
        <f>VLOOKUP(K1886,RatingLookup!$A$2:$C$8,2,FALSE)</f>
        <v>0.04</v>
      </c>
      <c r="N1886">
        <f t="shared" si="87"/>
        <v>3.3960531989175591E-3</v>
      </c>
      <c r="O1886">
        <f>VLOOKUP(K1886,RatingLookup!$A$2:$C$8,3,FALSE)</f>
        <v>0.6</v>
      </c>
      <c r="P1886">
        <f t="shared" si="88"/>
        <v>3.5245326835390083</v>
      </c>
      <c r="Q1886" t="str">
        <f t="shared" ca="1" si="89"/>
        <v>No</v>
      </c>
    </row>
    <row r="1887" spans="1:17" x14ac:dyDescent="0.45">
      <c r="A1887" t="s">
        <v>98</v>
      </c>
      <c r="B1887" t="s">
        <v>99</v>
      </c>
      <c r="C1887" t="s">
        <v>43</v>
      </c>
      <c r="D1887" t="s">
        <v>20</v>
      </c>
      <c r="E1887" t="s">
        <v>21</v>
      </c>
      <c r="F1887" s="1">
        <v>44593</v>
      </c>
      <c r="G1887">
        <v>5.61</v>
      </c>
      <c r="H1887">
        <v>84.453900000000004</v>
      </c>
      <c r="I1887">
        <v>19.84</v>
      </c>
      <c r="J1887">
        <v>87.4</v>
      </c>
      <c r="K1887" t="s">
        <v>31</v>
      </c>
      <c r="L1887">
        <v>1855.47</v>
      </c>
      <c r="M1887">
        <f>VLOOKUP(K1887,RatingLookup!$A$2:$C$8,2,FALSE)</f>
        <v>0.04</v>
      </c>
      <c r="N1887">
        <f t="shared" si="87"/>
        <v>3.3960531989175591E-3</v>
      </c>
      <c r="O1887">
        <f>VLOOKUP(K1887,RatingLookup!$A$2:$C$8,3,FALSE)</f>
        <v>0.6</v>
      </c>
      <c r="P1887">
        <f t="shared" si="88"/>
        <v>3.7807648973973378</v>
      </c>
      <c r="Q1887" t="str">
        <f t="shared" ca="1" si="89"/>
        <v>No</v>
      </c>
    </row>
    <row r="1888" spans="1:17" x14ac:dyDescent="0.45">
      <c r="A1888" t="s">
        <v>98</v>
      </c>
      <c r="B1888" t="s">
        <v>99</v>
      </c>
      <c r="C1888" t="s">
        <v>43</v>
      </c>
      <c r="D1888" t="s">
        <v>20</v>
      </c>
      <c r="E1888" t="s">
        <v>21</v>
      </c>
      <c r="F1888" s="1">
        <v>44621</v>
      </c>
      <c r="G1888">
        <v>5.89</v>
      </c>
      <c r="H1888">
        <v>84.855199999999996</v>
      </c>
      <c r="I1888">
        <v>19.98</v>
      </c>
      <c r="J1888">
        <v>74.8</v>
      </c>
      <c r="K1888" t="s">
        <v>31</v>
      </c>
      <c r="L1888">
        <v>1834.19</v>
      </c>
      <c r="M1888">
        <f>VLOOKUP(K1888,RatingLookup!$A$2:$C$8,2,FALSE)</f>
        <v>0.04</v>
      </c>
      <c r="N1888">
        <f t="shared" si="87"/>
        <v>3.3960531989175591E-3</v>
      </c>
      <c r="O1888">
        <f>VLOOKUP(K1888,RatingLookup!$A$2:$C$8,3,FALSE)</f>
        <v>0.6</v>
      </c>
      <c r="P1888">
        <f t="shared" si="88"/>
        <v>3.7374040901535586</v>
      </c>
      <c r="Q1888" t="str">
        <f t="shared" ca="1" si="89"/>
        <v>No</v>
      </c>
    </row>
    <row r="1889" spans="1:17" x14ac:dyDescent="0.45">
      <c r="A1889" t="s">
        <v>98</v>
      </c>
      <c r="B1889" t="s">
        <v>99</v>
      </c>
      <c r="C1889" t="s">
        <v>43</v>
      </c>
      <c r="D1889" t="s">
        <v>20</v>
      </c>
      <c r="E1889" t="s">
        <v>21</v>
      </c>
      <c r="F1889" s="1">
        <v>44652</v>
      </c>
      <c r="G1889">
        <v>5.95</v>
      </c>
      <c r="H1889">
        <v>84.541300000000007</v>
      </c>
      <c r="I1889">
        <v>11.28</v>
      </c>
      <c r="J1889">
        <v>65.69</v>
      </c>
      <c r="K1889" t="s">
        <v>30</v>
      </c>
      <c r="L1889">
        <v>1957.98</v>
      </c>
      <c r="M1889">
        <f>VLOOKUP(K1889,RatingLookup!$A$2:$C$8,2,FALSE)</f>
        <v>1.4999999999999999E-2</v>
      </c>
      <c r="N1889">
        <f t="shared" si="87"/>
        <v>1.2586770182638762E-3</v>
      </c>
      <c r="O1889">
        <f>VLOOKUP(K1889,RatingLookup!$A$2:$C$8,3,FALSE)</f>
        <v>0.5</v>
      </c>
      <c r="P1889">
        <f t="shared" si="88"/>
        <v>1.2322322141101523</v>
      </c>
      <c r="Q1889" t="str">
        <f t="shared" ca="1" si="89"/>
        <v>No</v>
      </c>
    </row>
    <row r="1890" spans="1:17" x14ac:dyDescent="0.45">
      <c r="A1890" t="s">
        <v>98</v>
      </c>
      <c r="B1890" t="s">
        <v>99</v>
      </c>
      <c r="C1890" t="s">
        <v>43</v>
      </c>
      <c r="D1890" t="s">
        <v>20</v>
      </c>
      <c r="E1890" t="s">
        <v>21</v>
      </c>
      <c r="F1890" s="1">
        <v>44682</v>
      </c>
      <c r="G1890">
        <v>5.33</v>
      </c>
      <c r="H1890">
        <v>83.522199999999998</v>
      </c>
      <c r="I1890">
        <v>20.58</v>
      </c>
      <c r="J1890">
        <v>70.66</v>
      </c>
      <c r="K1890" t="s">
        <v>30</v>
      </c>
      <c r="L1890">
        <v>1987.69</v>
      </c>
      <c r="M1890">
        <f>VLOOKUP(K1890,RatingLookup!$A$2:$C$8,2,FALSE)</f>
        <v>1.4999999999999999E-2</v>
      </c>
      <c r="N1890">
        <f t="shared" si="87"/>
        <v>1.2586770182638762E-3</v>
      </c>
      <c r="O1890">
        <f>VLOOKUP(K1890,RatingLookup!$A$2:$C$8,3,FALSE)</f>
        <v>0.5</v>
      </c>
      <c r="P1890">
        <f t="shared" si="88"/>
        <v>1.2509298612164621</v>
      </c>
      <c r="Q1890" t="str">
        <f t="shared" ca="1" si="89"/>
        <v>No</v>
      </c>
    </row>
    <row r="1891" spans="1:17" x14ac:dyDescent="0.45">
      <c r="A1891" t="s">
        <v>98</v>
      </c>
      <c r="B1891" t="s">
        <v>99</v>
      </c>
      <c r="C1891" t="s">
        <v>43</v>
      </c>
      <c r="D1891" t="s">
        <v>20</v>
      </c>
      <c r="E1891" t="s">
        <v>21</v>
      </c>
      <c r="F1891" s="1">
        <v>44713</v>
      </c>
      <c r="G1891">
        <v>5.33</v>
      </c>
      <c r="H1891">
        <v>82.727000000000004</v>
      </c>
      <c r="I1891">
        <v>6.69</v>
      </c>
      <c r="J1891">
        <v>64.540000000000006</v>
      </c>
      <c r="K1891" t="s">
        <v>30</v>
      </c>
      <c r="L1891">
        <v>1964.52</v>
      </c>
      <c r="M1891">
        <f>VLOOKUP(K1891,RatingLookup!$A$2:$C$8,2,FALSE)</f>
        <v>1.4999999999999999E-2</v>
      </c>
      <c r="N1891">
        <f t="shared" si="87"/>
        <v>1.2586770182638762E-3</v>
      </c>
      <c r="O1891">
        <f>VLOOKUP(K1891,RatingLookup!$A$2:$C$8,3,FALSE)</f>
        <v>0.5</v>
      </c>
      <c r="P1891">
        <f t="shared" si="88"/>
        <v>1.2363480879598752</v>
      </c>
      <c r="Q1891" t="str">
        <f t="shared" ca="1" si="89"/>
        <v>No</v>
      </c>
    </row>
    <row r="1892" spans="1:17" x14ac:dyDescent="0.45">
      <c r="A1892" t="s">
        <v>98</v>
      </c>
      <c r="B1892" t="s">
        <v>99</v>
      </c>
      <c r="C1892" t="s">
        <v>43</v>
      </c>
      <c r="D1892" t="s">
        <v>20</v>
      </c>
      <c r="E1892" t="s">
        <v>21</v>
      </c>
      <c r="F1892" s="1">
        <v>44743</v>
      </c>
      <c r="G1892">
        <v>5.16</v>
      </c>
      <c r="H1892">
        <v>83.971500000000006</v>
      </c>
      <c r="I1892">
        <v>26.16</v>
      </c>
      <c r="J1892">
        <v>72.38</v>
      </c>
      <c r="K1892" t="s">
        <v>30</v>
      </c>
      <c r="L1892">
        <v>1964.27</v>
      </c>
      <c r="M1892">
        <f>VLOOKUP(K1892,RatingLookup!$A$2:$C$8,2,FALSE)</f>
        <v>1.4999999999999999E-2</v>
      </c>
      <c r="N1892">
        <f t="shared" si="87"/>
        <v>1.2586770182638762E-3</v>
      </c>
      <c r="O1892">
        <f>VLOOKUP(K1892,RatingLookup!$A$2:$C$8,3,FALSE)</f>
        <v>0.5</v>
      </c>
      <c r="P1892">
        <f t="shared" si="88"/>
        <v>1.236190753332592</v>
      </c>
      <c r="Q1892" t="str">
        <f t="shared" ca="1" si="89"/>
        <v>No</v>
      </c>
    </row>
    <row r="1893" spans="1:17" x14ac:dyDescent="0.45">
      <c r="A1893" t="s">
        <v>98</v>
      </c>
      <c r="B1893" t="s">
        <v>99</v>
      </c>
      <c r="C1893" t="s">
        <v>43</v>
      </c>
      <c r="D1893" t="s">
        <v>20</v>
      </c>
      <c r="E1893" t="s">
        <v>21</v>
      </c>
      <c r="F1893" s="1">
        <v>44774</v>
      </c>
      <c r="G1893">
        <v>5.4</v>
      </c>
      <c r="H1893">
        <v>83.871600000000001</v>
      </c>
      <c r="I1893">
        <v>7.97</v>
      </c>
      <c r="J1893">
        <v>62.06</v>
      </c>
      <c r="K1893" t="s">
        <v>30</v>
      </c>
      <c r="L1893">
        <v>1940.15</v>
      </c>
      <c r="M1893">
        <f>VLOOKUP(K1893,RatingLookup!$A$2:$C$8,2,FALSE)</f>
        <v>1.4999999999999999E-2</v>
      </c>
      <c r="N1893">
        <f t="shared" si="87"/>
        <v>1.2586770182638762E-3</v>
      </c>
      <c r="O1893">
        <f>VLOOKUP(K1893,RatingLookup!$A$2:$C$8,3,FALSE)</f>
        <v>0.5</v>
      </c>
      <c r="P1893">
        <f t="shared" si="88"/>
        <v>1.2210111084923299</v>
      </c>
      <c r="Q1893" t="str">
        <f t="shared" ca="1" si="89"/>
        <v>No</v>
      </c>
    </row>
    <row r="1894" spans="1:17" x14ac:dyDescent="0.45">
      <c r="A1894" t="s">
        <v>98</v>
      </c>
      <c r="B1894" t="s">
        <v>99</v>
      </c>
      <c r="C1894" t="s">
        <v>43</v>
      </c>
      <c r="D1894" t="s">
        <v>20</v>
      </c>
      <c r="E1894" t="s">
        <v>21</v>
      </c>
      <c r="F1894" s="1">
        <v>44805</v>
      </c>
      <c r="G1894">
        <v>4.8499999999999996</v>
      </c>
      <c r="H1894">
        <v>81.584400000000002</v>
      </c>
      <c r="I1894">
        <v>8.61</v>
      </c>
      <c r="J1894">
        <v>69.73</v>
      </c>
      <c r="K1894" t="s">
        <v>30</v>
      </c>
      <c r="L1894">
        <v>1862.74</v>
      </c>
      <c r="M1894">
        <f>VLOOKUP(K1894,RatingLookup!$A$2:$C$8,2,FALSE)</f>
        <v>1.4999999999999999E-2</v>
      </c>
      <c r="N1894">
        <f t="shared" si="87"/>
        <v>1.2586770182638762E-3</v>
      </c>
      <c r="O1894">
        <f>VLOOKUP(K1894,RatingLookup!$A$2:$C$8,3,FALSE)</f>
        <v>0.5</v>
      </c>
      <c r="P1894">
        <f t="shared" si="88"/>
        <v>1.1722940145004264</v>
      </c>
      <c r="Q1894" t="str">
        <f t="shared" ca="1" si="89"/>
        <v>No</v>
      </c>
    </row>
    <row r="1895" spans="1:17" x14ac:dyDescent="0.45">
      <c r="A1895" t="s">
        <v>98</v>
      </c>
      <c r="B1895" t="s">
        <v>99</v>
      </c>
      <c r="C1895" t="s">
        <v>43</v>
      </c>
      <c r="D1895" t="s">
        <v>20</v>
      </c>
      <c r="E1895" t="s">
        <v>21</v>
      </c>
      <c r="F1895" s="1">
        <v>44835</v>
      </c>
      <c r="G1895">
        <v>5.7</v>
      </c>
      <c r="H1895">
        <v>82.564300000000003</v>
      </c>
      <c r="I1895">
        <v>17.3</v>
      </c>
      <c r="J1895">
        <v>79.14</v>
      </c>
      <c r="K1895" t="s">
        <v>30</v>
      </c>
      <c r="L1895">
        <v>2074.2600000000002</v>
      </c>
      <c r="M1895">
        <f>VLOOKUP(K1895,RatingLookup!$A$2:$C$8,2,FALSE)</f>
        <v>1.4999999999999999E-2</v>
      </c>
      <c r="N1895">
        <f t="shared" si="87"/>
        <v>1.2586770182638762E-3</v>
      </c>
      <c r="O1895">
        <f>VLOOKUP(K1895,RatingLookup!$A$2:$C$8,3,FALSE)</f>
        <v>0.5</v>
      </c>
      <c r="P1895">
        <f t="shared" si="88"/>
        <v>1.3054116959520141</v>
      </c>
      <c r="Q1895" t="str">
        <f t="shared" ca="1" si="89"/>
        <v>No</v>
      </c>
    </row>
    <row r="1896" spans="1:17" x14ac:dyDescent="0.45">
      <c r="A1896" t="s">
        <v>98</v>
      </c>
      <c r="B1896" t="s">
        <v>99</v>
      </c>
      <c r="C1896" t="s">
        <v>43</v>
      </c>
      <c r="D1896" t="s">
        <v>20</v>
      </c>
      <c r="E1896" t="s">
        <v>21</v>
      </c>
      <c r="F1896" s="1">
        <v>44866</v>
      </c>
      <c r="G1896">
        <v>5.83</v>
      </c>
      <c r="H1896">
        <v>82.059600000000003</v>
      </c>
      <c r="I1896">
        <v>9.3800000000000008</v>
      </c>
      <c r="J1896">
        <v>72.13</v>
      </c>
      <c r="K1896" t="s">
        <v>30</v>
      </c>
      <c r="L1896">
        <v>1877.37</v>
      </c>
      <c r="M1896">
        <f>VLOOKUP(K1896,RatingLookup!$A$2:$C$8,2,FALSE)</f>
        <v>1.4999999999999999E-2</v>
      </c>
      <c r="N1896">
        <f t="shared" si="87"/>
        <v>1.2586770182638762E-3</v>
      </c>
      <c r="O1896">
        <f>VLOOKUP(K1896,RatingLookup!$A$2:$C$8,3,FALSE)</f>
        <v>0.5</v>
      </c>
      <c r="P1896">
        <f t="shared" si="88"/>
        <v>1.1815012368890265</v>
      </c>
      <c r="Q1896" t="str">
        <f t="shared" ca="1" si="89"/>
        <v>No</v>
      </c>
    </row>
    <row r="1897" spans="1:17" x14ac:dyDescent="0.45">
      <c r="A1897" t="s">
        <v>98</v>
      </c>
      <c r="B1897" t="s">
        <v>99</v>
      </c>
      <c r="C1897" t="s">
        <v>43</v>
      </c>
      <c r="D1897" t="s">
        <v>20</v>
      </c>
      <c r="E1897" t="s">
        <v>21</v>
      </c>
      <c r="F1897" s="1">
        <v>44896</v>
      </c>
      <c r="G1897">
        <v>5.44</v>
      </c>
      <c r="H1897">
        <v>85.941599999999994</v>
      </c>
      <c r="I1897">
        <v>14.3</v>
      </c>
      <c r="J1897">
        <v>77.03</v>
      </c>
      <c r="K1897" t="s">
        <v>30</v>
      </c>
      <c r="L1897">
        <v>1923.79</v>
      </c>
      <c r="M1897">
        <f>VLOOKUP(K1897,RatingLookup!$A$2:$C$8,2,FALSE)</f>
        <v>1.4999999999999999E-2</v>
      </c>
      <c r="N1897">
        <f t="shared" si="87"/>
        <v>1.2586770182638762E-3</v>
      </c>
      <c r="O1897">
        <f>VLOOKUP(K1897,RatingLookup!$A$2:$C$8,3,FALSE)</f>
        <v>0.5</v>
      </c>
      <c r="P1897">
        <f t="shared" si="88"/>
        <v>1.2107151304829311</v>
      </c>
      <c r="Q1897" t="str">
        <f t="shared" ca="1" si="89"/>
        <v>No</v>
      </c>
    </row>
    <row r="1898" spans="1:17" x14ac:dyDescent="0.45">
      <c r="A1898" t="s">
        <v>98</v>
      </c>
      <c r="B1898" t="s">
        <v>99</v>
      </c>
      <c r="C1898" t="s">
        <v>43</v>
      </c>
      <c r="D1898" t="s">
        <v>20</v>
      </c>
      <c r="E1898" t="s">
        <v>21</v>
      </c>
      <c r="F1898" s="1">
        <v>44927</v>
      </c>
      <c r="G1898">
        <v>4.8499999999999996</v>
      </c>
      <c r="H1898">
        <v>78.920599999999993</v>
      </c>
      <c r="I1898">
        <v>17</v>
      </c>
      <c r="J1898">
        <v>77.89</v>
      </c>
      <c r="K1898" t="s">
        <v>30</v>
      </c>
      <c r="L1898">
        <v>1896.12</v>
      </c>
      <c r="M1898">
        <f>VLOOKUP(K1898,RatingLookup!$A$2:$C$8,2,FALSE)</f>
        <v>1.4999999999999999E-2</v>
      </c>
      <c r="N1898">
        <f t="shared" si="87"/>
        <v>1.2586770182638762E-3</v>
      </c>
      <c r="O1898">
        <f>VLOOKUP(K1898,RatingLookup!$A$2:$C$8,3,FALSE)</f>
        <v>0.5</v>
      </c>
      <c r="P1898">
        <f t="shared" si="88"/>
        <v>1.1933013339352505</v>
      </c>
      <c r="Q1898" t="str">
        <f t="shared" ca="1" si="89"/>
        <v>No</v>
      </c>
    </row>
    <row r="1899" spans="1:17" x14ac:dyDescent="0.45">
      <c r="A1899" t="s">
        <v>98</v>
      </c>
      <c r="B1899" t="s">
        <v>99</v>
      </c>
      <c r="C1899" t="s">
        <v>43</v>
      </c>
      <c r="D1899" t="s">
        <v>20</v>
      </c>
      <c r="E1899" t="s">
        <v>21</v>
      </c>
      <c r="F1899" s="1">
        <v>44958</v>
      </c>
      <c r="G1899">
        <v>5.58</v>
      </c>
      <c r="H1899">
        <v>82.443200000000004</v>
      </c>
      <c r="I1899">
        <v>12.5</v>
      </c>
      <c r="J1899">
        <v>79.41</v>
      </c>
      <c r="K1899" t="s">
        <v>30</v>
      </c>
      <c r="L1899">
        <v>1777</v>
      </c>
      <c r="M1899">
        <f>VLOOKUP(K1899,RatingLookup!$A$2:$C$8,2,FALSE)</f>
        <v>1.4999999999999999E-2</v>
      </c>
      <c r="N1899">
        <f t="shared" si="87"/>
        <v>1.2586770182638762E-3</v>
      </c>
      <c r="O1899">
        <f>VLOOKUP(K1899,RatingLookup!$A$2:$C$8,3,FALSE)</f>
        <v>0.5</v>
      </c>
      <c r="P1899">
        <f t="shared" si="88"/>
        <v>1.1183345307274539</v>
      </c>
      <c r="Q1899" t="str">
        <f t="shared" ca="1" si="89"/>
        <v>No</v>
      </c>
    </row>
    <row r="1900" spans="1:17" x14ac:dyDescent="0.45">
      <c r="A1900" t="s">
        <v>98</v>
      </c>
      <c r="B1900" t="s">
        <v>99</v>
      </c>
      <c r="C1900" t="s">
        <v>43</v>
      </c>
      <c r="D1900" t="s">
        <v>20</v>
      </c>
      <c r="E1900" t="s">
        <v>21</v>
      </c>
      <c r="F1900" s="1">
        <v>44986</v>
      </c>
      <c r="G1900">
        <v>5.0599999999999996</v>
      </c>
      <c r="H1900">
        <v>79.597200000000001</v>
      </c>
      <c r="I1900">
        <v>25.63</v>
      </c>
      <c r="J1900">
        <v>96.47</v>
      </c>
      <c r="K1900" t="s">
        <v>30</v>
      </c>
      <c r="L1900">
        <v>1767.32</v>
      </c>
      <c r="M1900">
        <f>VLOOKUP(K1900,RatingLookup!$A$2:$C$8,2,FALSE)</f>
        <v>1.4999999999999999E-2</v>
      </c>
      <c r="N1900">
        <f t="shared" si="87"/>
        <v>1.2586770182638762E-3</v>
      </c>
      <c r="O1900">
        <f>VLOOKUP(K1900,RatingLookup!$A$2:$C$8,3,FALSE)</f>
        <v>0.5</v>
      </c>
      <c r="P1900">
        <f t="shared" si="88"/>
        <v>1.1122425339590569</v>
      </c>
      <c r="Q1900" t="str">
        <f t="shared" ca="1" si="89"/>
        <v>No</v>
      </c>
    </row>
    <row r="1901" spans="1:17" x14ac:dyDescent="0.45">
      <c r="A1901" t="s">
        <v>98</v>
      </c>
      <c r="B1901" t="s">
        <v>99</v>
      </c>
      <c r="C1901" t="s">
        <v>43</v>
      </c>
      <c r="D1901" t="s">
        <v>20</v>
      </c>
      <c r="E1901" t="s">
        <v>21</v>
      </c>
      <c r="F1901" s="1">
        <v>45017</v>
      </c>
      <c r="G1901">
        <v>5.45</v>
      </c>
      <c r="H1901">
        <v>82.328400000000002</v>
      </c>
      <c r="I1901">
        <v>23.73</v>
      </c>
      <c r="J1901">
        <v>94.18</v>
      </c>
      <c r="K1901" t="s">
        <v>31</v>
      </c>
      <c r="L1901">
        <v>1670.69</v>
      </c>
      <c r="M1901">
        <f>VLOOKUP(K1901,RatingLookup!$A$2:$C$8,2,FALSE)</f>
        <v>0.04</v>
      </c>
      <c r="N1901">
        <f t="shared" si="87"/>
        <v>3.3960531989175591E-3</v>
      </c>
      <c r="O1901">
        <f>VLOOKUP(K1901,RatingLookup!$A$2:$C$8,3,FALSE)</f>
        <v>0.6</v>
      </c>
      <c r="P1901">
        <f t="shared" si="88"/>
        <v>3.4042512713397461</v>
      </c>
      <c r="Q1901" t="str">
        <f t="shared" ca="1" si="89"/>
        <v>No</v>
      </c>
    </row>
    <row r="1902" spans="1:17" x14ac:dyDescent="0.45">
      <c r="A1902" t="s">
        <v>98</v>
      </c>
      <c r="B1902" t="s">
        <v>99</v>
      </c>
      <c r="C1902" t="s">
        <v>43</v>
      </c>
      <c r="D1902" t="s">
        <v>20</v>
      </c>
      <c r="E1902" t="s">
        <v>21</v>
      </c>
      <c r="F1902" s="1">
        <v>45047</v>
      </c>
      <c r="G1902">
        <v>5.95</v>
      </c>
      <c r="H1902">
        <v>81.797799999999995</v>
      </c>
      <c r="I1902">
        <v>5.51</v>
      </c>
      <c r="J1902">
        <v>83.76</v>
      </c>
      <c r="K1902" t="s">
        <v>31</v>
      </c>
      <c r="L1902">
        <v>1796.93</v>
      </c>
      <c r="M1902">
        <f>VLOOKUP(K1902,RatingLookup!$A$2:$C$8,2,FALSE)</f>
        <v>0.04</v>
      </c>
      <c r="N1902">
        <f t="shared" si="87"/>
        <v>3.3960531989175591E-3</v>
      </c>
      <c r="O1902">
        <f>VLOOKUP(K1902,RatingLookup!$A$2:$C$8,3,FALSE)</f>
        <v>0.6</v>
      </c>
      <c r="P1902">
        <f t="shared" si="88"/>
        <v>3.6614819248385575</v>
      </c>
      <c r="Q1902" t="str">
        <f t="shared" ca="1" si="89"/>
        <v>No</v>
      </c>
    </row>
    <row r="1903" spans="1:17" x14ac:dyDescent="0.45">
      <c r="A1903" t="s">
        <v>98</v>
      </c>
      <c r="B1903" t="s">
        <v>99</v>
      </c>
      <c r="C1903" t="s">
        <v>43</v>
      </c>
      <c r="D1903" t="s">
        <v>20</v>
      </c>
      <c r="E1903" t="s">
        <v>21</v>
      </c>
      <c r="F1903" s="1">
        <v>45078</v>
      </c>
      <c r="G1903">
        <v>4.57</v>
      </c>
      <c r="H1903">
        <v>84.844999999999999</v>
      </c>
      <c r="I1903">
        <v>9.52</v>
      </c>
      <c r="J1903">
        <v>80.17</v>
      </c>
      <c r="K1903" t="s">
        <v>31</v>
      </c>
      <c r="L1903">
        <v>1550.55</v>
      </c>
      <c r="M1903">
        <f>VLOOKUP(K1903,RatingLookup!$A$2:$C$8,2,FALSE)</f>
        <v>0.04</v>
      </c>
      <c r="N1903">
        <f t="shared" si="87"/>
        <v>3.3960531989175591E-3</v>
      </c>
      <c r="O1903">
        <f>VLOOKUP(K1903,RatingLookup!$A$2:$C$8,3,FALSE)</f>
        <v>0.6</v>
      </c>
      <c r="P1903">
        <f t="shared" si="88"/>
        <v>3.1594501725489725</v>
      </c>
      <c r="Q1903" t="str">
        <f t="shared" ca="1" si="89"/>
        <v>No</v>
      </c>
    </row>
    <row r="1904" spans="1:17" x14ac:dyDescent="0.45">
      <c r="A1904" t="s">
        <v>98</v>
      </c>
      <c r="B1904" t="s">
        <v>99</v>
      </c>
      <c r="C1904" t="s">
        <v>43</v>
      </c>
      <c r="D1904" t="s">
        <v>20</v>
      </c>
      <c r="E1904" t="s">
        <v>21</v>
      </c>
      <c r="F1904" s="1">
        <v>45108</v>
      </c>
      <c r="G1904">
        <v>6.39</v>
      </c>
      <c r="H1904">
        <v>81.422700000000006</v>
      </c>
      <c r="I1904">
        <v>18.829999999999998</v>
      </c>
      <c r="J1904">
        <v>85.71</v>
      </c>
      <c r="K1904" t="s">
        <v>31</v>
      </c>
      <c r="L1904">
        <v>1677.82</v>
      </c>
      <c r="M1904">
        <f>VLOOKUP(K1904,RatingLookup!$A$2:$C$8,2,FALSE)</f>
        <v>0.04</v>
      </c>
      <c r="N1904">
        <f t="shared" si="87"/>
        <v>3.3960531989175591E-3</v>
      </c>
      <c r="O1904">
        <f>VLOOKUP(K1904,RatingLookup!$A$2:$C$8,3,FALSE)</f>
        <v>0.6</v>
      </c>
      <c r="P1904">
        <f t="shared" si="88"/>
        <v>3.4187795869247153</v>
      </c>
      <c r="Q1904" t="str">
        <f t="shared" ca="1" si="89"/>
        <v>No</v>
      </c>
    </row>
    <row r="1905" spans="1:17" x14ac:dyDescent="0.45">
      <c r="A1905" t="s">
        <v>98</v>
      </c>
      <c r="B1905" t="s">
        <v>99</v>
      </c>
      <c r="C1905" t="s">
        <v>43</v>
      </c>
      <c r="D1905" t="s">
        <v>20</v>
      </c>
      <c r="E1905" t="s">
        <v>21</v>
      </c>
      <c r="F1905" s="1">
        <v>45139</v>
      </c>
      <c r="G1905">
        <v>5.4</v>
      </c>
      <c r="H1905">
        <v>83.015199999999993</v>
      </c>
      <c r="I1905">
        <v>14.5</v>
      </c>
      <c r="J1905">
        <v>76.290000000000006</v>
      </c>
      <c r="K1905" t="s">
        <v>31</v>
      </c>
      <c r="L1905">
        <v>1841.01</v>
      </c>
      <c r="M1905">
        <f>VLOOKUP(K1905,RatingLookup!$A$2:$C$8,2,FALSE)</f>
        <v>0.04</v>
      </c>
      <c r="N1905">
        <f t="shared" si="87"/>
        <v>3.3960531989175591E-3</v>
      </c>
      <c r="O1905">
        <f>VLOOKUP(K1905,RatingLookup!$A$2:$C$8,3,FALSE)</f>
        <v>0.6</v>
      </c>
      <c r="P1905">
        <f t="shared" si="88"/>
        <v>3.7513007398435292</v>
      </c>
      <c r="Q1905" t="str">
        <f t="shared" ca="1" si="89"/>
        <v>No</v>
      </c>
    </row>
    <row r="1906" spans="1:17" x14ac:dyDescent="0.45">
      <c r="A1906" t="s">
        <v>98</v>
      </c>
      <c r="B1906" t="s">
        <v>99</v>
      </c>
      <c r="C1906" t="s">
        <v>43</v>
      </c>
      <c r="D1906" t="s">
        <v>20</v>
      </c>
      <c r="E1906" t="s">
        <v>21</v>
      </c>
      <c r="F1906" s="1">
        <v>45170</v>
      </c>
      <c r="G1906">
        <v>6.85</v>
      </c>
      <c r="H1906">
        <v>80.052599999999998</v>
      </c>
      <c r="I1906">
        <v>23.14</v>
      </c>
      <c r="J1906">
        <v>79.95</v>
      </c>
      <c r="K1906" t="s">
        <v>31</v>
      </c>
      <c r="L1906">
        <v>1770.49</v>
      </c>
      <c r="M1906">
        <f>VLOOKUP(K1906,RatingLookup!$A$2:$C$8,2,FALSE)</f>
        <v>0.04</v>
      </c>
      <c r="N1906">
        <f t="shared" si="87"/>
        <v>3.3960531989175591E-3</v>
      </c>
      <c r="O1906">
        <f>VLOOKUP(K1906,RatingLookup!$A$2:$C$8,3,FALSE)</f>
        <v>0.6</v>
      </c>
      <c r="P1906">
        <f t="shared" si="88"/>
        <v>3.6076069368909294</v>
      </c>
      <c r="Q1906" t="str">
        <f t="shared" ca="1" si="89"/>
        <v>No</v>
      </c>
    </row>
    <row r="1907" spans="1:17" x14ac:dyDescent="0.45">
      <c r="A1907" t="s">
        <v>98</v>
      </c>
      <c r="B1907" t="s">
        <v>99</v>
      </c>
      <c r="C1907" t="s">
        <v>43</v>
      </c>
      <c r="D1907" t="s">
        <v>20</v>
      </c>
      <c r="E1907" t="s">
        <v>21</v>
      </c>
      <c r="F1907" s="1">
        <v>45200</v>
      </c>
      <c r="G1907">
        <v>5.61</v>
      </c>
      <c r="H1907">
        <v>82.899600000000007</v>
      </c>
      <c r="I1907">
        <v>14.21</v>
      </c>
      <c r="J1907">
        <v>75.8</v>
      </c>
      <c r="K1907" t="s">
        <v>31</v>
      </c>
      <c r="L1907">
        <v>1810.24</v>
      </c>
      <c r="M1907">
        <f>VLOOKUP(K1907,RatingLookup!$A$2:$C$8,2,FALSE)</f>
        <v>0.04</v>
      </c>
      <c r="N1907">
        <f t="shared" si="87"/>
        <v>3.3960531989175591E-3</v>
      </c>
      <c r="O1907">
        <f>VLOOKUP(K1907,RatingLookup!$A$2:$C$8,3,FALSE)</f>
        <v>0.6</v>
      </c>
      <c r="P1907">
        <f t="shared" si="88"/>
        <v>3.6886028056851128</v>
      </c>
      <c r="Q1907" t="str">
        <f t="shared" ca="1" si="89"/>
        <v>No</v>
      </c>
    </row>
    <row r="1908" spans="1:17" x14ac:dyDescent="0.45">
      <c r="A1908" t="s">
        <v>98</v>
      </c>
      <c r="B1908" t="s">
        <v>99</v>
      </c>
      <c r="C1908" t="s">
        <v>43</v>
      </c>
      <c r="D1908" t="s">
        <v>20</v>
      </c>
      <c r="E1908" t="s">
        <v>21</v>
      </c>
      <c r="F1908" s="1">
        <v>45231</v>
      </c>
      <c r="G1908">
        <v>4.76</v>
      </c>
      <c r="H1908">
        <v>82.440700000000007</v>
      </c>
      <c r="I1908">
        <v>25.25</v>
      </c>
      <c r="J1908">
        <v>74.53</v>
      </c>
      <c r="K1908" t="s">
        <v>31</v>
      </c>
      <c r="L1908">
        <v>1871.08</v>
      </c>
      <c r="M1908">
        <f>VLOOKUP(K1908,RatingLookup!$A$2:$C$8,2,FALSE)</f>
        <v>0.04</v>
      </c>
      <c r="N1908">
        <f t="shared" si="87"/>
        <v>3.3960531989175591E-3</v>
      </c>
      <c r="O1908">
        <f>VLOOKUP(K1908,RatingLookup!$A$2:$C$8,3,FALSE)</f>
        <v>0.6</v>
      </c>
      <c r="P1908">
        <f t="shared" si="88"/>
        <v>3.8125723316583993</v>
      </c>
      <c r="Q1908" t="str">
        <f t="shared" ca="1" si="89"/>
        <v>No</v>
      </c>
    </row>
    <row r="1909" spans="1:17" x14ac:dyDescent="0.45">
      <c r="A1909" t="s">
        <v>98</v>
      </c>
      <c r="B1909" t="s">
        <v>99</v>
      </c>
      <c r="C1909" t="s">
        <v>43</v>
      </c>
      <c r="D1909" t="s">
        <v>20</v>
      </c>
      <c r="E1909" t="s">
        <v>21</v>
      </c>
      <c r="F1909" s="1">
        <v>45261</v>
      </c>
      <c r="G1909">
        <v>4.57</v>
      </c>
      <c r="H1909">
        <v>79.618399999999994</v>
      </c>
      <c r="I1909">
        <v>23.94</v>
      </c>
      <c r="J1909">
        <v>84.01</v>
      </c>
      <c r="K1909" t="s">
        <v>31</v>
      </c>
      <c r="L1909">
        <v>1861.97</v>
      </c>
      <c r="M1909">
        <f>VLOOKUP(K1909,RatingLookup!$A$2:$C$8,2,FALSE)</f>
        <v>0.04</v>
      </c>
      <c r="N1909">
        <f t="shared" si="87"/>
        <v>3.3960531989175591E-3</v>
      </c>
      <c r="O1909">
        <f>VLOOKUP(K1909,RatingLookup!$A$2:$C$8,3,FALSE)</f>
        <v>0.6</v>
      </c>
      <c r="P1909">
        <f t="shared" si="88"/>
        <v>3.7940095048731166</v>
      </c>
      <c r="Q1909" t="str">
        <f t="shared" ca="1" si="89"/>
        <v>No</v>
      </c>
    </row>
    <row r="1910" spans="1:17" x14ac:dyDescent="0.45">
      <c r="A1910" t="s">
        <v>98</v>
      </c>
      <c r="B1910" t="s">
        <v>99</v>
      </c>
      <c r="C1910" t="s">
        <v>43</v>
      </c>
      <c r="D1910" t="s">
        <v>20</v>
      </c>
      <c r="E1910" t="s">
        <v>21</v>
      </c>
      <c r="F1910" s="1">
        <v>45292</v>
      </c>
      <c r="G1910">
        <v>5.96</v>
      </c>
      <c r="H1910">
        <v>89.333799999999997</v>
      </c>
      <c r="I1910">
        <v>22.41</v>
      </c>
      <c r="J1910">
        <v>87.1</v>
      </c>
      <c r="K1910" t="s">
        <v>31</v>
      </c>
      <c r="L1910">
        <v>1671.89</v>
      </c>
      <c r="M1910">
        <f>VLOOKUP(K1910,RatingLookup!$A$2:$C$8,2,FALSE)</f>
        <v>0.04</v>
      </c>
      <c r="N1910">
        <f t="shared" si="87"/>
        <v>3.3960531989175591E-3</v>
      </c>
      <c r="O1910">
        <f>VLOOKUP(K1910,RatingLookup!$A$2:$C$8,3,FALSE)</f>
        <v>0.6</v>
      </c>
      <c r="P1910">
        <f t="shared" si="88"/>
        <v>3.4066964296429667</v>
      </c>
      <c r="Q1910" t="str">
        <f t="shared" ca="1" si="89"/>
        <v>No</v>
      </c>
    </row>
    <row r="1911" spans="1:17" x14ac:dyDescent="0.45">
      <c r="A1911" t="s">
        <v>98</v>
      </c>
      <c r="B1911" t="s">
        <v>99</v>
      </c>
      <c r="C1911" t="s">
        <v>43</v>
      </c>
      <c r="D1911" t="s">
        <v>20</v>
      </c>
      <c r="E1911" t="s">
        <v>21</v>
      </c>
      <c r="F1911" s="1">
        <v>45323</v>
      </c>
      <c r="G1911">
        <v>5.39</v>
      </c>
      <c r="H1911">
        <v>85.303799999999995</v>
      </c>
      <c r="I1911">
        <v>20.09</v>
      </c>
      <c r="J1911">
        <v>87.85</v>
      </c>
      <c r="K1911" t="s">
        <v>31</v>
      </c>
      <c r="L1911">
        <v>1733.37</v>
      </c>
      <c r="M1911">
        <f>VLOOKUP(K1911,RatingLookup!$A$2:$C$8,2,FALSE)</f>
        <v>0.04</v>
      </c>
      <c r="N1911">
        <f t="shared" si="87"/>
        <v>3.3960531989175591E-3</v>
      </c>
      <c r="O1911">
        <f>VLOOKUP(K1911,RatingLookup!$A$2:$C$8,3,FALSE)</f>
        <v>0.6</v>
      </c>
      <c r="P1911">
        <f t="shared" si="88"/>
        <v>3.5319700400446377</v>
      </c>
      <c r="Q1911" t="str">
        <f t="shared" ca="1" si="89"/>
        <v>No</v>
      </c>
    </row>
    <row r="1912" spans="1:17" x14ac:dyDescent="0.45">
      <c r="A1912" t="s">
        <v>98</v>
      </c>
      <c r="B1912" t="s">
        <v>99</v>
      </c>
      <c r="C1912" t="s">
        <v>43</v>
      </c>
      <c r="D1912" t="s">
        <v>20</v>
      </c>
      <c r="E1912" t="s">
        <v>21</v>
      </c>
      <c r="F1912" s="1">
        <v>45352</v>
      </c>
      <c r="G1912">
        <v>6.35</v>
      </c>
      <c r="H1912">
        <v>81.209599999999995</v>
      </c>
      <c r="I1912">
        <v>19.100000000000001</v>
      </c>
      <c r="J1912">
        <v>68.06</v>
      </c>
      <c r="K1912" t="s">
        <v>31</v>
      </c>
      <c r="L1912">
        <v>1779.43</v>
      </c>
      <c r="M1912">
        <f>VLOOKUP(K1912,RatingLookup!$A$2:$C$8,2,FALSE)</f>
        <v>0.04</v>
      </c>
      <c r="N1912">
        <f t="shared" si="87"/>
        <v>3.3960531989175591E-3</v>
      </c>
      <c r="O1912">
        <f>VLOOKUP(K1912,RatingLookup!$A$2:$C$8,3,FALSE)</f>
        <v>0.6</v>
      </c>
      <c r="P1912">
        <f t="shared" si="88"/>
        <v>3.6258233662499233</v>
      </c>
      <c r="Q1912" t="str">
        <f t="shared" ca="1" si="89"/>
        <v>No</v>
      </c>
    </row>
    <row r="1913" spans="1:17" x14ac:dyDescent="0.45">
      <c r="A1913" t="s">
        <v>98</v>
      </c>
      <c r="B1913" t="s">
        <v>99</v>
      </c>
      <c r="C1913" t="s">
        <v>43</v>
      </c>
      <c r="D1913" t="s">
        <v>20</v>
      </c>
      <c r="E1913" t="s">
        <v>21</v>
      </c>
      <c r="F1913" s="1">
        <v>45383</v>
      </c>
      <c r="G1913">
        <v>5.58</v>
      </c>
      <c r="H1913">
        <v>83.354600000000005</v>
      </c>
      <c r="I1913">
        <v>21.44</v>
      </c>
      <c r="J1913">
        <v>70.209999999999994</v>
      </c>
      <c r="K1913" t="s">
        <v>31</v>
      </c>
      <c r="L1913">
        <v>1780.92</v>
      </c>
      <c r="M1913">
        <f>VLOOKUP(K1913,RatingLookup!$A$2:$C$8,2,FALSE)</f>
        <v>0.04</v>
      </c>
      <c r="N1913">
        <f t="shared" si="87"/>
        <v>3.3960531989175591E-3</v>
      </c>
      <c r="O1913">
        <f>VLOOKUP(K1913,RatingLookup!$A$2:$C$8,3,FALSE)</f>
        <v>0.6</v>
      </c>
      <c r="P1913">
        <f t="shared" si="88"/>
        <v>3.6288594378097554</v>
      </c>
      <c r="Q1913" t="str">
        <f t="shared" ca="1" si="89"/>
        <v>No</v>
      </c>
    </row>
    <row r="1914" spans="1:17" x14ac:dyDescent="0.45">
      <c r="A1914" t="s">
        <v>98</v>
      </c>
      <c r="B1914" t="s">
        <v>99</v>
      </c>
      <c r="C1914" t="s">
        <v>43</v>
      </c>
      <c r="D1914" t="s">
        <v>20</v>
      </c>
      <c r="E1914" t="s">
        <v>21</v>
      </c>
      <c r="F1914" s="1">
        <v>45413</v>
      </c>
      <c r="G1914">
        <v>6.35</v>
      </c>
      <c r="H1914">
        <v>82.699100000000001</v>
      </c>
      <c r="I1914">
        <v>14.73</v>
      </c>
      <c r="J1914">
        <v>79.55</v>
      </c>
      <c r="K1914" t="s">
        <v>31</v>
      </c>
      <c r="L1914">
        <v>1741.8</v>
      </c>
      <c r="M1914">
        <f>VLOOKUP(K1914,RatingLookup!$A$2:$C$8,2,FALSE)</f>
        <v>0.04</v>
      </c>
      <c r="N1914">
        <f t="shared" si="87"/>
        <v>3.3960531989175591E-3</v>
      </c>
      <c r="O1914">
        <f>VLOOKUP(K1914,RatingLookup!$A$2:$C$8,3,FALSE)</f>
        <v>0.6</v>
      </c>
      <c r="P1914">
        <f t="shared" si="88"/>
        <v>3.5491472771247623</v>
      </c>
      <c r="Q1914" t="str">
        <f t="shared" ca="1" si="89"/>
        <v>No</v>
      </c>
    </row>
    <row r="1915" spans="1:17" x14ac:dyDescent="0.45">
      <c r="A1915" t="s">
        <v>98</v>
      </c>
      <c r="B1915" t="s">
        <v>99</v>
      </c>
      <c r="C1915" t="s">
        <v>43</v>
      </c>
      <c r="D1915" t="s">
        <v>20</v>
      </c>
      <c r="E1915" t="s">
        <v>21</v>
      </c>
      <c r="F1915" s="1">
        <v>45444</v>
      </c>
      <c r="G1915">
        <v>6.04</v>
      </c>
      <c r="H1915">
        <v>83.290099999999995</v>
      </c>
      <c r="I1915">
        <v>14.56</v>
      </c>
      <c r="J1915">
        <v>66.28</v>
      </c>
      <c r="K1915" t="s">
        <v>31</v>
      </c>
      <c r="L1915">
        <v>1764.8</v>
      </c>
      <c r="M1915">
        <f>VLOOKUP(K1915,RatingLookup!$A$2:$C$8,2,FALSE)</f>
        <v>0.04</v>
      </c>
      <c r="N1915">
        <f t="shared" si="87"/>
        <v>3.3960531989175591E-3</v>
      </c>
      <c r="O1915">
        <f>VLOOKUP(K1915,RatingLookup!$A$2:$C$8,3,FALSE)</f>
        <v>0.6</v>
      </c>
      <c r="P1915">
        <f t="shared" si="88"/>
        <v>3.5960128112698246</v>
      </c>
      <c r="Q1915" t="str">
        <f t="shared" ca="1" si="89"/>
        <v>No</v>
      </c>
    </row>
    <row r="1916" spans="1:17" x14ac:dyDescent="0.45">
      <c r="A1916" t="s">
        <v>98</v>
      </c>
      <c r="B1916" t="s">
        <v>99</v>
      </c>
      <c r="C1916" t="s">
        <v>43</v>
      </c>
      <c r="D1916" t="s">
        <v>20</v>
      </c>
      <c r="E1916" t="s">
        <v>21</v>
      </c>
      <c r="F1916" s="1">
        <v>45474</v>
      </c>
      <c r="G1916">
        <v>4.66</v>
      </c>
      <c r="H1916">
        <v>84.866600000000005</v>
      </c>
      <c r="I1916">
        <v>10.14</v>
      </c>
      <c r="J1916">
        <v>85.1</v>
      </c>
      <c r="K1916" t="s">
        <v>31</v>
      </c>
      <c r="L1916">
        <v>1644.34</v>
      </c>
      <c r="M1916">
        <f>VLOOKUP(K1916,RatingLookup!$A$2:$C$8,2,FALSE)</f>
        <v>0.04</v>
      </c>
      <c r="N1916">
        <f t="shared" si="87"/>
        <v>3.3960531989175591E-3</v>
      </c>
      <c r="O1916">
        <f>VLOOKUP(K1916,RatingLookup!$A$2:$C$8,3,FALSE)</f>
        <v>0.6</v>
      </c>
      <c r="P1916">
        <f t="shared" si="88"/>
        <v>3.3505596702648592</v>
      </c>
      <c r="Q1916" t="str">
        <f t="shared" ca="1" si="89"/>
        <v>No</v>
      </c>
    </row>
    <row r="1917" spans="1:17" x14ac:dyDescent="0.45">
      <c r="A1917" t="s">
        <v>98</v>
      </c>
      <c r="B1917" t="s">
        <v>99</v>
      </c>
      <c r="C1917" t="s">
        <v>43</v>
      </c>
      <c r="D1917" t="s">
        <v>20</v>
      </c>
      <c r="E1917" t="s">
        <v>21</v>
      </c>
      <c r="F1917" s="1">
        <v>45505</v>
      </c>
      <c r="G1917">
        <v>5.41</v>
      </c>
      <c r="H1917">
        <v>81.483400000000003</v>
      </c>
      <c r="I1917">
        <v>9.6999999999999993</v>
      </c>
      <c r="J1917">
        <v>80.77</v>
      </c>
      <c r="K1917" t="s">
        <v>31</v>
      </c>
      <c r="L1917">
        <v>1779.46</v>
      </c>
      <c r="M1917">
        <f>VLOOKUP(K1917,RatingLookup!$A$2:$C$8,2,FALSE)</f>
        <v>0.04</v>
      </c>
      <c r="N1917">
        <f t="shared" si="87"/>
        <v>3.3960531989175591E-3</v>
      </c>
      <c r="O1917">
        <f>VLOOKUP(K1917,RatingLookup!$A$2:$C$8,3,FALSE)</f>
        <v>0.6</v>
      </c>
      <c r="P1917">
        <f t="shared" si="88"/>
        <v>3.6258844952075036</v>
      </c>
      <c r="Q1917" t="str">
        <f t="shared" ca="1" si="89"/>
        <v>No</v>
      </c>
    </row>
    <row r="1918" spans="1:17" x14ac:dyDescent="0.45">
      <c r="A1918" t="s">
        <v>98</v>
      </c>
      <c r="B1918" t="s">
        <v>99</v>
      </c>
      <c r="C1918" t="s">
        <v>43</v>
      </c>
      <c r="D1918" t="s">
        <v>20</v>
      </c>
      <c r="E1918" t="s">
        <v>21</v>
      </c>
      <c r="F1918" s="1">
        <v>45536</v>
      </c>
      <c r="G1918">
        <v>6.19</v>
      </c>
      <c r="H1918">
        <v>84.379199999999997</v>
      </c>
      <c r="I1918">
        <v>20.78</v>
      </c>
      <c r="J1918">
        <v>92.49</v>
      </c>
      <c r="K1918" t="s">
        <v>31</v>
      </c>
      <c r="L1918">
        <v>1535.49</v>
      </c>
      <c r="M1918">
        <f>VLOOKUP(K1918,RatingLookup!$A$2:$C$8,2,FALSE)</f>
        <v>0.04</v>
      </c>
      <c r="N1918">
        <f t="shared" si="87"/>
        <v>3.3960531989175591E-3</v>
      </c>
      <c r="O1918">
        <f>VLOOKUP(K1918,RatingLookup!$A$2:$C$8,3,FALSE)</f>
        <v>0.6</v>
      </c>
      <c r="P1918">
        <f t="shared" si="88"/>
        <v>3.1287634358435534</v>
      </c>
      <c r="Q1918" t="str">
        <f t="shared" ca="1" si="89"/>
        <v>No</v>
      </c>
    </row>
    <row r="1919" spans="1:17" x14ac:dyDescent="0.45">
      <c r="A1919" t="s">
        <v>98</v>
      </c>
      <c r="B1919" t="s">
        <v>99</v>
      </c>
      <c r="C1919" t="s">
        <v>43</v>
      </c>
      <c r="D1919" t="s">
        <v>20</v>
      </c>
      <c r="E1919" t="s">
        <v>21</v>
      </c>
      <c r="F1919" s="1">
        <v>45566</v>
      </c>
      <c r="G1919">
        <v>5.13</v>
      </c>
      <c r="H1919">
        <v>81.218299999999999</v>
      </c>
      <c r="I1919">
        <v>12.25</v>
      </c>
      <c r="J1919">
        <v>92.64</v>
      </c>
      <c r="K1919" t="s">
        <v>31</v>
      </c>
      <c r="L1919">
        <v>1736.68</v>
      </c>
      <c r="M1919">
        <f>VLOOKUP(K1919,RatingLookup!$A$2:$C$8,2,FALSE)</f>
        <v>0.04</v>
      </c>
      <c r="N1919">
        <f t="shared" si="87"/>
        <v>3.3960531989175591E-3</v>
      </c>
      <c r="O1919">
        <f>VLOOKUP(K1919,RatingLookup!$A$2:$C$8,3,FALSE)</f>
        <v>0.6</v>
      </c>
      <c r="P1919">
        <f t="shared" si="88"/>
        <v>3.5387146016976878</v>
      </c>
      <c r="Q1919" t="str">
        <f t="shared" ca="1" si="89"/>
        <v>No</v>
      </c>
    </row>
    <row r="1920" spans="1:17" x14ac:dyDescent="0.45">
      <c r="A1920" t="s">
        <v>98</v>
      </c>
      <c r="B1920" t="s">
        <v>99</v>
      </c>
      <c r="C1920" t="s">
        <v>43</v>
      </c>
      <c r="D1920" t="s">
        <v>20</v>
      </c>
      <c r="E1920" t="s">
        <v>21</v>
      </c>
      <c r="F1920" s="1">
        <v>45597</v>
      </c>
      <c r="G1920">
        <v>4.8899999999999997</v>
      </c>
      <c r="H1920">
        <v>83.315700000000007</v>
      </c>
      <c r="I1920">
        <v>21.52</v>
      </c>
      <c r="J1920">
        <v>73.3</v>
      </c>
      <c r="K1920" t="s">
        <v>31</v>
      </c>
      <c r="L1920">
        <v>1746.74</v>
      </c>
      <c r="M1920">
        <f>VLOOKUP(K1920,RatingLookup!$A$2:$C$8,2,FALSE)</f>
        <v>0.04</v>
      </c>
      <c r="N1920">
        <f t="shared" si="87"/>
        <v>3.3960531989175591E-3</v>
      </c>
      <c r="O1920">
        <f>VLOOKUP(K1920,RatingLookup!$A$2:$C$8,3,FALSE)</f>
        <v>0.6</v>
      </c>
      <c r="P1920">
        <f t="shared" si="88"/>
        <v>3.5592131788063539</v>
      </c>
      <c r="Q1920" t="str">
        <f t="shared" ca="1" si="89"/>
        <v>No</v>
      </c>
    </row>
    <row r="1921" spans="1:17" x14ac:dyDescent="0.45">
      <c r="A1921" t="s">
        <v>98</v>
      </c>
      <c r="B1921" t="s">
        <v>99</v>
      </c>
      <c r="C1921" t="s">
        <v>43</v>
      </c>
      <c r="D1921" t="s">
        <v>20</v>
      </c>
      <c r="E1921" t="s">
        <v>21</v>
      </c>
      <c r="F1921" s="1">
        <v>45627</v>
      </c>
      <c r="G1921">
        <v>5.74</v>
      </c>
      <c r="H1921">
        <v>83.187899999999999</v>
      </c>
      <c r="I1921">
        <v>18.34</v>
      </c>
      <c r="J1921">
        <v>84.07</v>
      </c>
      <c r="K1921" t="s">
        <v>31</v>
      </c>
      <c r="L1921">
        <v>1704.34</v>
      </c>
      <c r="M1921">
        <f>VLOOKUP(K1921,RatingLookup!$A$2:$C$8,2,FALSE)</f>
        <v>0.04</v>
      </c>
      <c r="N1921">
        <f t="shared" si="87"/>
        <v>3.3960531989175591E-3</v>
      </c>
      <c r="O1921">
        <f>VLOOKUP(K1921,RatingLookup!$A$2:$C$8,3,FALSE)</f>
        <v>0.6</v>
      </c>
      <c r="P1921">
        <f t="shared" si="88"/>
        <v>3.4728175854258914</v>
      </c>
      <c r="Q1921" t="str">
        <f t="shared" ca="1" si="89"/>
        <v>No</v>
      </c>
    </row>
    <row r="1922" spans="1:17" x14ac:dyDescent="0.45">
      <c r="A1922" t="s">
        <v>100</v>
      </c>
      <c r="B1922" t="s">
        <v>101</v>
      </c>
      <c r="C1922" t="s">
        <v>35</v>
      </c>
      <c r="D1922" t="s">
        <v>20</v>
      </c>
      <c r="E1922" t="s">
        <v>21</v>
      </c>
      <c r="F1922" s="1">
        <v>43831</v>
      </c>
      <c r="G1922">
        <v>4.78</v>
      </c>
      <c r="H1922">
        <v>81.577500000000001</v>
      </c>
      <c r="I1922">
        <v>19.96</v>
      </c>
      <c r="J1922">
        <v>76.849999999999994</v>
      </c>
      <c r="K1922" t="s">
        <v>22</v>
      </c>
      <c r="L1922">
        <v>1280.3900000000001</v>
      </c>
      <c r="M1922">
        <f>VLOOKUP(K1922,RatingLookup!$A$2:$C$8,2,FALSE)</f>
        <v>5.0000000000000001E-3</v>
      </c>
      <c r="N1922">
        <f t="shared" ref="N1922:N1985" si="90">1-(1-M1922)^(1/12)</f>
        <v>4.1762458919303302E-4</v>
      </c>
      <c r="O1922">
        <f>VLOOKUP(K1922,RatingLookup!$A$2:$C$8,3,FALSE)</f>
        <v>0.45</v>
      </c>
      <c r="P1922">
        <f t="shared" ref="P1922:P1985" si="91">L1922*N1922*O1922</f>
        <v>0.24062505649059041</v>
      </c>
      <c r="Q1922" t="str">
        <f t="shared" ref="Q1922:Q1985" ca="1" si="92">IF(RAND()&lt;N1922,"Yes","No")</f>
        <v>No</v>
      </c>
    </row>
    <row r="1923" spans="1:17" x14ac:dyDescent="0.45">
      <c r="A1923" t="s">
        <v>100</v>
      </c>
      <c r="B1923" t="s">
        <v>101</v>
      </c>
      <c r="C1923" t="s">
        <v>35</v>
      </c>
      <c r="D1923" t="s">
        <v>20</v>
      </c>
      <c r="E1923" t="s">
        <v>21</v>
      </c>
      <c r="F1923" s="1">
        <v>43862</v>
      </c>
      <c r="G1923">
        <v>5.21</v>
      </c>
      <c r="H1923">
        <v>80.674099999999996</v>
      </c>
      <c r="I1923">
        <v>15.41</v>
      </c>
      <c r="J1923">
        <v>85.86</v>
      </c>
      <c r="K1923" t="s">
        <v>22</v>
      </c>
      <c r="L1923">
        <v>1229.76</v>
      </c>
      <c r="M1923">
        <f>VLOOKUP(K1923,RatingLookup!$A$2:$C$8,2,FALSE)</f>
        <v>5.0000000000000001E-3</v>
      </c>
      <c r="N1923">
        <f t="shared" si="90"/>
        <v>4.1762458919303302E-4</v>
      </c>
      <c r="O1923">
        <f>VLOOKUP(K1923,RatingLookup!$A$2:$C$8,3,FALSE)</f>
        <v>0.45</v>
      </c>
      <c r="P1923">
        <f t="shared" si="91"/>
        <v>0.23111010666271092</v>
      </c>
      <c r="Q1923" t="str">
        <f t="shared" ca="1" si="92"/>
        <v>No</v>
      </c>
    </row>
    <row r="1924" spans="1:17" x14ac:dyDescent="0.45">
      <c r="A1924" t="s">
        <v>100</v>
      </c>
      <c r="B1924" t="s">
        <v>101</v>
      </c>
      <c r="C1924" t="s">
        <v>35</v>
      </c>
      <c r="D1924" t="s">
        <v>20</v>
      </c>
      <c r="E1924" t="s">
        <v>21</v>
      </c>
      <c r="F1924" s="1">
        <v>43891</v>
      </c>
      <c r="G1924">
        <v>5.96</v>
      </c>
      <c r="H1924">
        <v>80.699700000000007</v>
      </c>
      <c r="I1924">
        <v>13.09</v>
      </c>
      <c r="J1924">
        <v>77.349999999999994</v>
      </c>
      <c r="K1924" t="s">
        <v>22</v>
      </c>
      <c r="L1924">
        <v>1141.8699999999999</v>
      </c>
      <c r="M1924">
        <f>VLOOKUP(K1924,RatingLookup!$A$2:$C$8,2,FALSE)</f>
        <v>5.0000000000000001E-3</v>
      </c>
      <c r="N1924">
        <f t="shared" si="90"/>
        <v>4.1762458919303302E-4</v>
      </c>
      <c r="O1924">
        <f>VLOOKUP(K1924,RatingLookup!$A$2:$C$8,3,FALSE)</f>
        <v>0.45</v>
      </c>
      <c r="P1924">
        <f t="shared" si="91"/>
        <v>0.21459284534783188</v>
      </c>
      <c r="Q1924" t="str">
        <f t="shared" ca="1" si="92"/>
        <v>No</v>
      </c>
    </row>
    <row r="1925" spans="1:17" x14ac:dyDescent="0.45">
      <c r="A1925" t="s">
        <v>100</v>
      </c>
      <c r="B1925" t="s">
        <v>101</v>
      </c>
      <c r="C1925" t="s">
        <v>35</v>
      </c>
      <c r="D1925" t="s">
        <v>20</v>
      </c>
      <c r="E1925" t="s">
        <v>21</v>
      </c>
      <c r="F1925" s="1">
        <v>43922</v>
      </c>
      <c r="G1925">
        <v>4.72</v>
      </c>
      <c r="H1925">
        <v>83.187299999999993</v>
      </c>
      <c r="I1925">
        <v>18.899999999999999</v>
      </c>
      <c r="J1925">
        <v>99.4</v>
      </c>
      <c r="K1925" t="s">
        <v>22</v>
      </c>
      <c r="L1925">
        <v>1325.47</v>
      </c>
      <c r="M1925">
        <f>VLOOKUP(K1925,RatingLookup!$A$2:$C$8,2,FALSE)</f>
        <v>5.0000000000000001E-3</v>
      </c>
      <c r="N1925">
        <f t="shared" si="90"/>
        <v>4.1762458919303302E-4</v>
      </c>
      <c r="O1925">
        <f>VLOOKUP(K1925,RatingLookup!$A$2:$C$8,3,FALSE)</f>
        <v>0.45</v>
      </c>
      <c r="P1925">
        <f t="shared" si="91"/>
        <v>0.24909698890696025</v>
      </c>
      <c r="Q1925" t="str">
        <f t="shared" ca="1" si="92"/>
        <v>No</v>
      </c>
    </row>
    <row r="1926" spans="1:17" x14ac:dyDescent="0.45">
      <c r="A1926" t="s">
        <v>100</v>
      </c>
      <c r="B1926" t="s">
        <v>101</v>
      </c>
      <c r="C1926" t="s">
        <v>35</v>
      </c>
      <c r="D1926" t="s">
        <v>20</v>
      </c>
      <c r="E1926" t="s">
        <v>21</v>
      </c>
      <c r="F1926" s="1">
        <v>43952</v>
      </c>
      <c r="G1926">
        <v>5.34</v>
      </c>
      <c r="H1926">
        <v>81.763300000000001</v>
      </c>
      <c r="I1926">
        <v>15.31</v>
      </c>
      <c r="J1926">
        <v>60.9</v>
      </c>
      <c r="K1926" t="s">
        <v>22</v>
      </c>
      <c r="L1926">
        <v>1332.65</v>
      </c>
      <c r="M1926">
        <f>VLOOKUP(K1926,RatingLookup!$A$2:$C$8,2,FALSE)</f>
        <v>5.0000000000000001E-3</v>
      </c>
      <c r="N1926">
        <f t="shared" si="90"/>
        <v>4.1762458919303302E-4</v>
      </c>
      <c r="O1926">
        <f>VLOOKUP(K1926,RatingLookup!$A$2:$C$8,3,FALSE)</f>
        <v>0.45</v>
      </c>
      <c r="P1926">
        <f t="shared" si="91"/>
        <v>0.250446333954643</v>
      </c>
      <c r="Q1926" t="str">
        <f t="shared" ca="1" si="92"/>
        <v>No</v>
      </c>
    </row>
    <row r="1927" spans="1:17" x14ac:dyDescent="0.45">
      <c r="A1927" t="s">
        <v>100</v>
      </c>
      <c r="B1927" t="s">
        <v>101</v>
      </c>
      <c r="C1927" t="s">
        <v>35</v>
      </c>
      <c r="D1927" t="s">
        <v>20</v>
      </c>
      <c r="E1927" t="s">
        <v>21</v>
      </c>
      <c r="F1927" s="1">
        <v>43983</v>
      </c>
      <c r="G1927">
        <v>4.76</v>
      </c>
      <c r="H1927">
        <v>84.588899999999995</v>
      </c>
      <c r="I1927">
        <v>17.66</v>
      </c>
      <c r="J1927">
        <v>51.06</v>
      </c>
      <c r="K1927" t="s">
        <v>22</v>
      </c>
      <c r="L1927">
        <v>1240.1500000000001</v>
      </c>
      <c r="M1927">
        <f>VLOOKUP(K1927,RatingLookup!$A$2:$C$8,2,FALSE)</f>
        <v>5.0000000000000001E-3</v>
      </c>
      <c r="N1927">
        <f t="shared" si="90"/>
        <v>4.1762458919303302E-4</v>
      </c>
      <c r="O1927">
        <f>VLOOKUP(K1927,RatingLookup!$A$2:$C$8,3,FALSE)</f>
        <v>0.45</v>
      </c>
      <c r="P1927">
        <f t="shared" si="91"/>
        <v>0.23306271042948296</v>
      </c>
      <c r="Q1927" t="str">
        <f t="shared" ca="1" si="92"/>
        <v>No</v>
      </c>
    </row>
    <row r="1928" spans="1:17" x14ac:dyDescent="0.45">
      <c r="A1928" t="s">
        <v>100</v>
      </c>
      <c r="B1928" t="s">
        <v>101</v>
      </c>
      <c r="C1928" t="s">
        <v>35</v>
      </c>
      <c r="D1928" t="s">
        <v>20</v>
      </c>
      <c r="E1928" t="s">
        <v>21</v>
      </c>
      <c r="F1928" s="1">
        <v>44013</v>
      </c>
      <c r="G1928">
        <v>4.79</v>
      </c>
      <c r="H1928">
        <v>80.605400000000003</v>
      </c>
      <c r="I1928">
        <v>28.62</v>
      </c>
      <c r="J1928">
        <v>81.97</v>
      </c>
      <c r="K1928" t="s">
        <v>22</v>
      </c>
      <c r="L1928">
        <v>1225.6099999999999</v>
      </c>
      <c r="M1928">
        <f>VLOOKUP(K1928,RatingLookup!$A$2:$C$8,2,FALSE)</f>
        <v>5.0000000000000001E-3</v>
      </c>
      <c r="N1928">
        <f t="shared" si="90"/>
        <v>4.1762458919303302E-4</v>
      </c>
      <c r="O1928">
        <f>VLOOKUP(K1928,RatingLookup!$A$2:$C$8,3,FALSE)</f>
        <v>0.45</v>
      </c>
      <c r="P1928">
        <f t="shared" si="91"/>
        <v>0.23033019274239294</v>
      </c>
      <c r="Q1928" t="str">
        <f t="shared" ca="1" si="92"/>
        <v>No</v>
      </c>
    </row>
    <row r="1929" spans="1:17" x14ac:dyDescent="0.45">
      <c r="A1929" t="s">
        <v>100</v>
      </c>
      <c r="B1929" t="s">
        <v>101</v>
      </c>
      <c r="C1929" t="s">
        <v>35</v>
      </c>
      <c r="D1929" t="s">
        <v>20</v>
      </c>
      <c r="E1929" t="s">
        <v>21</v>
      </c>
      <c r="F1929" s="1">
        <v>44044</v>
      </c>
      <c r="G1929">
        <v>6</v>
      </c>
      <c r="H1929">
        <v>81.109200000000001</v>
      </c>
      <c r="I1929">
        <v>12.38</v>
      </c>
      <c r="J1929">
        <v>65.17</v>
      </c>
      <c r="K1929" t="s">
        <v>22</v>
      </c>
      <c r="L1929">
        <v>1319.87</v>
      </c>
      <c r="M1929">
        <f>VLOOKUP(K1929,RatingLookup!$A$2:$C$8,2,FALSE)</f>
        <v>5.0000000000000001E-3</v>
      </c>
      <c r="N1929">
        <f t="shared" si="90"/>
        <v>4.1762458919303302E-4</v>
      </c>
      <c r="O1929">
        <f>VLOOKUP(K1929,RatingLookup!$A$2:$C$8,3,FALSE)</f>
        <v>0.45</v>
      </c>
      <c r="P1929">
        <f t="shared" si="91"/>
        <v>0.24804457494219379</v>
      </c>
      <c r="Q1929" t="str">
        <f t="shared" ca="1" si="92"/>
        <v>No</v>
      </c>
    </row>
    <row r="1930" spans="1:17" x14ac:dyDescent="0.45">
      <c r="A1930" t="s">
        <v>100</v>
      </c>
      <c r="B1930" t="s">
        <v>101</v>
      </c>
      <c r="C1930" t="s">
        <v>35</v>
      </c>
      <c r="D1930" t="s">
        <v>20</v>
      </c>
      <c r="E1930" t="s">
        <v>21</v>
      </c>
      <c r="F1930" s="1">
        <v>44075</v>
      </c>
      <c r="G1930">
        <v>5.24</v>
      </c>
      <c r="H1930">
        <v>77.666600000000003</v>
      </c>
      <c r="I1930">
        <v>14.32</v>
      </c>
      <c r="J1930">
        <v>63.28</v>
      </c>
      <c r="K1930" t="s">
        <v>22</v>
      </c>
      <c r="L1930">
        <v>1395.24</v>
      </c>
      <c r="M1930">
        <f>VLOOKUP(K1930,RatingLookup!$A$2:$C$8,2,FALSE)</f>
        <v>5.0000000000000001E-3</v>
      </c>
      <c r="N1930">
        <f t="shared" si="90"/>
        <v>4.1762458919303302E-4</v>
      </c>
      <c r="O1930">
        <f>VLOOKUP(K1930,RatingLookup!$A$2:$C$8,3,FALSE)</f>
        <v>0.45</v>
      </c>
      <c r="P1930">
        <f t="shared" si="91"/>
        <v>0.26220893932155936</v>
      </c>
      <c r="Q1930" t="str">
        <f t="shared" ca="1" si="92"/>
        <v>No</v>
      </c>
    </row>
    <row r="1931" spans="1:17" x14ac:dyDescent="0.45">
      <c r="A1931" t="s">
        <v>100</v>
      </c>
      <c r="B1931" t="s">
        <v>101</v>
      </c>
      <c r="C1931" t="s">
        <v>35</v>
      </c>
      <c r="D1931" t="s">
        <v>20</v>
      </c>
      <c r="E1931" t="s">
        <v>21</v>
      </c>
      <c r="F1931" s="1">
        <v>44105</v>
      </c>
      <c r="G1931">
        <v>5.26</v>
      </c>
      <c r="H1931">
        <v>83.254199999999997</v>
      </c>
      <c r="I1931">
        <v>22.49</v>
      </c>
      <c r="J1931">
        <v>99.18</v>
      </c>
      <c r="K1931" t="s">
        <v>22</v>
      </c>
      <c r="L1931">
        <v>1275.48</v>
      </c>
      <c r="M1931">
        <f>VLOOKUP(K1931,RatingLookup!$A$2:$C$8,2,FALSE)</f>
        <v>5.0000000000000001E-3</v>
      </c>
      <c r="N1931">
        <f t="shared" si="90"/>
        <v>4.1762458919303302E-4</v>
      </c>
      <c r="O1931">
        <f>VLOOKUP(K1931,RatingLookup!$A$2:$C$8,3,FALSE)</f>
        <v>0.45</v>
      </c>
      <c r="P1931">
        <f t="shared" si="91"/>
        <v>0.23970231496076841</v>
      </c>
      <c r="Q1931" t="str">
        <f t="shared" ca="1" si="92"/>
        <v>No</v>
      </c>
    </row>
    <row r="1932" spans="1:17" x14ac:dyDescent="0.45">
      <c r="A1932" t="s">
        <v>100</v>
      </c>
      <c r="B1932" t="s">
        <v>101</v>
      </c>
      <c r="C1932" t="s">
        <v>35</v>
      </c>
      <c r="D1932" t="s">
        <v>20</v>
      </c>
      <c r="E1932" t="s">
        <v>21</v>
      </c>
      <c r="F1932" s="1">
        <v>44136</v>
      </c>
      <c r="G1932">
        <v>5.15</v>
      </c>
      <c r="H1932">
        <v>80.933099999999996</v>
      </c>
      <c r="I1932">
        <v>21.03</v>
      </c>
      <c r="J1932">
        <v>73.03</v>
      </c>
      <c r="K1932" t="s">
        <v>22</v>
      </c>
      <c r="L1932">
        <v>1313.7</v>
      </c>
      <c r="M1932">
        <f>VLOOKUP(K1932,RatingLookup!$A$2:$C$8,2,FALSE)</f>
        <v>5.0000000000000001E-3</v>
      </c>
      <c r="N1932">
        <f t="shared" si="90"/>
        <v>4.1762458919303302E-4</v>
      </c>
      <c r="O1932">
        <f>VLOOKUP(K1932,RatingLookup!$A$2:$C$8,3,FALSE)</f>
        <v>0.45</v>
      </c>
      <c r="P1932">
        <f t="shared" si="91"/>
        <v>0.24688504027029939</v>
      </c>
      <c r="Q1932" t="str">
        <f t="shared" ca="1" si="92"/>
        <v>No</v>
      </c>
    </row>
    <row r="1933" spans="1:17" x14ac:dyDescent="0.45">
      <c r="A1933" t="s">
        <v>100</v>
      </c>
      <c r="B1933" t="s">
        <v>101</v>
      </c>
      <c r="C1933" t="s">
        <v>35</v>
      </c>
      <c r="D1933" t="s">
        <v>20</v>
      </c>
      <c r="E1933" t="s">
        <v>21</v>
      </c>
      <c r="F1933" s="1">
        <v>44166</v>
      </c>
      <c r="G1933">
        <v>5.9</v>
      </c>
      <c r="H1933">
        <v>79.399600000000007</v>
      </c>
      <c r="I1933">
        <v>20.61</v>
      </c>
      <c r="J1933">
        <v>71.260000000000005</v>
      </c>
      <c r="K1933" t="s">
        <v>22</v>
      </c>
      <c r="L1933">
        <v>1438.72</v>
      </c>
      <c r="M1933">
        <f>VLOOKUP(K1933,RatingLookup!$A$2:$C$8,2,FALSE)</f>
        <v>5.0000000000000001E-3</v>
      </c>
      <c r="N1933">
        <f t="shared" si="90"/>
        <v>4.1762458919303302E-4</v>
      </c>
      <c r="O1933">
        <f>VLOOKUP(K1933,RatingLookup!$A$2:$C$8,3,FALSE)</f>
        <v>0.45</v>
      </c>
      <c r="P1933">
        <f t="shared" si="91"/>
        <v>0.27038018203371023</v>
      </c>
      <c r="Q1933" t="str">
        <f t="shared" ca="1" si="92"/>
        <v>No</v>
      </c>
    </row>
    <row r="1934" spans="1:17" x14ac:dyDescent="0.45">
      <c r="A1934" t="s">
        <v>100</v>
      </c>
      <c r="B1934" t="s">
        <v>101</v>
      </c>
      <c r="C1934" t="s">
        <v>35</v>
      </c>
      <c r="D1934" t="s">
        <v>20</v>
      </c>
      <c r="E1934" t="s">
        <v>21</v>
      </c>
      <c r="F1934" s="1">
        <v>44197</v>
      </c>
      <c r="G1934">
        <v>5.87</v>
      </c>
      <c r="H1934">
        <v>83.468299999999999</v>
      </c>
      <c r="I1934">
        <v>26.58</v>
      </c>
      <c r="J1934">
        <v>82.87</v>
      </c>
      <c r="K1934" t="s">
        <v>22</v>
      </c>
      <c r="L1934">
        <v>1473.58</v>
      </c>
      <c r="M1934">
        <f>VLOOKUP(K1934,RatingLookup!$A$2:$C$8,2,FALSE)</f>
        <v>5.0000000000000001E-3</v>
      </c>
      <c r="N1934">
        <f t="shared" si="90"/>
        <v>4.1762458919303302E-4</v>
      </c>
      <c r="O1934">
        <f>VLOOKUP(K1934,RatingLookup!$A$2:$C$8,3,FALSE)</f>
        <v>0.45</v>
      </c>
      <c r="P1934">
        <f t="shared" si="91"/>
        <v>0.27693145896438132</v>
      </c>
      <c r="Q1934" t="str">
        <f t="shared" ca="1" si="92"/>
        <v>No</v>
      </c>
    </row>
    <row r="1935" spans="1:17" x14ac:dyDescent="0.45">
      <c r="A1935" t="s">
        <v>100</v>
      </c>
      <c r="B1935" t="s">
        <v>101</v>
      </c>
      <c r="C1935" t="s">
        <v>35</v>
      </c>
      <c r="D1935" t="s">
        <v>20</v>
      </c>
      <c r="E1935" t="s">
        <v>21</v>
      </c>
      <c r="F1935" s="1">
        <v>44228</v>
      </c>
      <c r="G1935">
        <v>5.77</v>
      </c>
      <c r="H1935">
        <v>87.197100000000006</v>
      </c>
      <c r="I1935">
        <v>16.170000000000002</v>
      </c>
      <c r="J1935">
        <v>91.16</v>
      </c>
      <c r="K1935" t="s">
        <v>22</v>
      </c>
      <c r="L1935">
        <v>1372.48</v>
      </c>
      <c r="M1935">
        <f>VLOOKUP(K1935,RatingLookup!$A$2:$C$8,2,FALSE)</f>
        <v>5.0000000000000001E-3</v>
      </c>
      <c r="N1935">
        <f t="shared" si="90"/>
        <v>4.1762458919303302E-4</v>
      </c>
      <c r="O1935">
        <f>VLOOKUP(K1935,RatingLookup!$A$2:$C$8,3,FALSE)</f>
        <v>0.45</v>
      </c>
      <c r="P1935">
        <f t="shared" si="91"/>
        <v>0.25793162827904431</v>
      </c>
      <c r="Q1935" t="str">
        <f t="shared" ca="1" si="92"/>
        <v>No</v>
      </c>
    </row>
    <row r="1936" spans="1:17" x14ac:dyDescent="0.45">
      <c r="A1936" t="s">
        <v>100</v>
      </c>
      <c r="B1936" t="s">
        <v>101</v>
      </c>
      <c r="C1936" t="s">
        <v>35</v>
      </c>
      <c r="D1936" t="s">
        <v>20</v>
      </c>
      <c r="E1936" t="s">
        <v>21</v>
      </c>
      <c r="F1936" s="1">
        <v>44256</v>
      </c>
      <c r="G1936">
        <v>5.49</v>
      </c>
      <c r="H1936">
        <v>85.700999999999993</v>
      </c>
      <c r="I1936">
        <v>20.55</v>
      </c>
      <c r="J1936">
        <v>72.63</v>
      </c>
      <c r="K1936" t="s">
        <v>22</v>
      </c>
      <c r="L1936">
        <v>1335.77</v>
      </c>
      <c r="M1936">
        <f>VLOOKUP(K1936,RatingLookup!$A$2:$C$8,2,FALSE)</f>
        <v>5.0000000000000001E-3</v>
      </c>
      <c r="N1936">
        <f t="shared" si="90"/>
        <v>4.1762458919303302E-4</v>
      </c>
      <c r="O1936">
        <f>VLOOKUP(K1936,RatingLookup!$A$2:$C$8,3,FALSE)</f>
        <v>0.45</v>
      </c>
      <c r="P1936">
        <f t="shared" si="91"/>
        <v>0.25103267887787001</v>
      </c>
      <c r="Q1936" t="str">
        <f t="shared" ca="1" si="92"/>
        <v>No</v>
      </c>
    </row>
    <row r="1937" spans="1:17" x14ac:dyDescent="0.45">
      <c r="A1937" t="s">
        <v>100</v>
      </c>
      <c r="B1937" t="s">
        <v>101</v>
      </c>
      <c r="C1937" t="s">
        <v>35</v>
      </c>
      <c r="D1937" t="s">
        <v>20</v>
      </c>
      <c r="E1937" t="s">
        <v>21</v>
      </c>
      <c r="F1937" s="1">
        <v>44287</v>
      </c>
      <c r="G1937">
        <v>5.52</v>
      </c>
      <c r="H1937">
        <v>83.309200000000004</v>
      </c>
      <c r="I1937">
        <v>5</v>
      </c>
      <c r="J1937">
        <v>81.510000000000005</v>
      </c>
      <c r="K1937" t="s">
        <v>22</v>
      </c>
      <c r="L1937">
        <v>1366.18</v>
      </c>
      <c r="M1937">
        <f>VLOOKUP(K1937,RatingLookup!$A$2:$C$8,2,FALSE)</f>
        <v>5.0000000000000001E-3</v>
      </c>
      <c r="N1937">
        <f t="shared" si="90"/>
        <v>4.1762458919303302E-4</v>
      </c>
      <c r="O1937">
        <f>VLOOKUP(K1937,RatingLookup!$A$2:$C$8,3,FALSE)</f>
        <v>0.45</v>
      </c>
      <c r="P1937">
        <f t="shared" si="91"/>
        <v>0.25674766256868209</v>
      </c>
      <c r="Q1937" t="str">
        <f t="shared" ca="1" si="92"/>
        <v>No</v>
      </c>
    </row>
    <row r="1938" spans="1:17" x14ac:dyDescent="0.45">
      <c r="A1938" t="s">
        <v>100</v>
      </c>
      <c r="B1938" t="s">
        <v>101</v>
      </c>
      <c r="C1938" t="s">
        <v>35</v>
      </c>
      <c r="D1938" t="s">
        <v>20</v>
      </c>
      <c r="E1938" t="s">
        <v>21</v>
      </c>
      <c r="F1938" s="1">
        <v>44317</v>
      </c>
      <c r="G1938">
        <v>4.8899999999999997</v>
      </c>
      <c r="H1938">
        <v>82.843199999999996</v>
      </c>
      <c r="I1938">
        <v>14.04</v>
      </c>
      <c r="J1938">
        <v>64.7</v>
      </c>
      <c r="K1938" t="s">
        <v>22</v>
      </c>
      <c r="L1938">
        <v>1291.44</v>
      </c>
      <c r="M1938">
        <f>VLOOKUP(K1938,RatingLookup!$A$2:$C$8,2,FALSE)</f>
        <v>5.0000000000000001E-3</v>
      </c>
      <c r="N1938">
        <f t="shared" si="90"/>
        <v>4.1762458919303302E-4</v>
      </c>
      <c r="O1938">
        <f>VLOOKUP(K1938,RatingLookup!$A$2:$C$8,3,FALSE)</f>
        <v>0.45</v>
      </c>
      <c r="P1938">
        <f t="shared" si="91"/>
        <v>0.24270169476035275</v>
      </c>
      <c r="Q1938" t="str">
        <f t="shared" ca="1" si="92"/>
        <v>No</v>
      </c>
    </row>
    <row r="1939" spans="1:17" x14ac:dyDescent="0.45">
      <c r="A1939" t="s">
        <v>100</v>
      </c>
      <c r="B1939" t="s">
        <v>101</v>
      </c>
      <c r="C1939" t="s">
        <v>35</v>
      </c>
      <c r="D1939" t="s">
        <v>20</v>
      </c>
      <c r="E1939" t="s">
        <v>21</v>
      </c>
      <c r="F1939" s="1">
        <v>44348</v>
      </c>
      <c r="G1939">
        <v>5.28</v>
      </c>
      <c r="H1939">
        <v>79.800899999999999</v>
      </c>
      <c r="I1939">
        <v>12.21</v>
      </c>
      <c r="J1939">
        <v>75.489999999999995</v>
      </c>
      <c r="K1939" t="s">
        <v>22</v>
      </c>
      <c r="L1939">
        <v>1228.0899999999999</v>
      </c>
      <c r="M1939">
        <f>VLOOKUP(K1939,RatingLookup!$A$2:$C$8,2,FALSE)</f>
        <v>5.0000000000000001E-3</v>
      </c>
      <c r="N1939">
        <f t="shared" si="90"/>
        <v>4.1762458919303302E-4</v>
      </c>
      <c r="O1939">
        <f>VLOOKUP(K1939,RatingLookup!$A$2:$C$8,3,FALSE)</f>
        <v>0.45</v>
      </c>
      <c r="P1939">
        <f t="shared" si="91"/>
        <v>0.23079626178393234</v>
      </c>
      <c r="Q1939" t="str">
        <f t="shared" ca="1" si="92"/>
        <v>No</v>
      </c>
    </row>
    <row r="1940" spans="1:17" x14ac:dyDescent="0.45">
      <c r="A1940" t="s">
        <v>100</v>
      </c>
      <c r="B1940" t="s">
        <v>101</v>
      </c>
      <c r="C1940" t="s">
        <v>35</v>
      </c>
      <c r="D1940" t="s">
        <v>20</v>
      </c>
      <c r="E1940" t="s">
        <v>21</v>
      </c>
      <c r="F1940" s="1">
        <v>44378</v>
      </c>
      <c r="G1940">
        <v>6.4</v>
      </c>
      <c r="H1940">
        <v>84.192599999999999</v>
      </c>
      <c r="I1940">
        <v>25.7</v>
      </c>
      <c r="J1940">
        <v>58.75</v>
      </c>
      <c r="K1940" t="s">
        <v>22</v>
      </c>
      <c r="L1940">
        <v>1232.3499999999999</v>
      </c>
      <c r="M1940">
        <f>VLOOKUP(K1940,RatingLookup!$A$2:$C$8,2,FALSE)</f>
        <v>5.0000000000000001E-3</v>
      </c>
      <c r="N1940">
        <f t="shared" si="90"/>
        <v>4.1762458919303302E-4</v>
      </c>
      <c r="O1940">
        <f>VLOOKUP(K1940,RatingLookup!$A$2:$C$8,3,FALSE)</f>
        <v>0.45</v>
      </c>
      <c r="P1940">
        <f t="shared" si="91"/>
        <v>0.2315968481214154</v>
      </c>
      <c r="Q1940" t="str">
        <f t="shared" ca="1" si="92"/>
        <v>No</v>
      </c>
    </row>
    <row r="1941" spans="1:17" x14ac:dyDescent="0.45">
      <c r="A1941" t="s">
        <v>100</v>
      </c>
      <c r="B1941" t="s">
        <v>101</v>
      </c>
      <c r="C1941" t="s">
        <v>35</v>
      </c>
      <c r="D1941" t="s">
        <v>20</v>
      </c>
      <c r="E1941" t="s">
        <v>21</v>
      </c>
      <c r="F1941" s="1">
        <v>44409</v>
      </c>
      <c r="G1941">
        <v>5.51</v>
      </c>
      <c r="H1941">
        <v>79.019599999999997</v>
      </c>
      <c r="I1941">
        <v>25.19</v>
      </c>
      <c r="J1941">
        <v>76.09</v>
      </c>
      <c r="K1941" t="s">
        <v>22</v>
      </c>
      <c r="L1941">
        <v>1376.71</v>
      </c>
      <c r="M1941">
        <f>VLOOKUP(K1941,RatingLookup!$A$2:$C$8,2,FALSE)</f>
        <v>5.0000000000000001E-3</v>
      </c>
      <c r="N1941">
        <f t="shared" si="90"/>
        <v>4.1762458919303302E-4</v>
      </c>
      <c r="O1941">
        <f>VLOOKUP(K1941,RatingLookup!$A$2:$C$8,3,FALSE)</f>
        <v>0.45</v>
      </c>
      <c r="P1941">
        <f t="shared" si="91"/>
        <v>0.25872657668457322</v>
      </c>
      <c r="Q1941" t="str">
        <f t="shared" ca="1" si="92"/>
        <v>No</v>
      </c>
    </row>
    <row r="1942" spans="1:17" x14ac:dyDescent="0.45">
      <c r="A1942" t="s">
        <v>100</v>
      </c>
      <c r="B1942" t="s">
        <v>101</v>
      </c>
      <c r="C1942" t="s">
        <v>35</v>
      </c>
      <c r="D1942" t="s">
        <v>20</v>
      </c>
      <c r="E1942" t="s">
        <v>21</v>
      </c>
      <c r="F1942" s="1">
        <v>44440</v>
      </c>
      <c r="G1942">
        <v>6.01</v>
      </c>
      <c r="H1942">
        <v>83.574100000000001</v>
      </c>
      <c r="I1942">
        <v>10.93</v>
      </c>
      <c r="J1942">
        <v>70.319999999999993</v>
      </c>
      <c r="K1942" t="s">
        <v>22</v>
      </c>
      <c r="L1942">
        <v>1372.42</v>
      </c>
      <c r="M1942">
        <f>VLOOKUP(K1942,RatingLookup!$A$2:$C$8,2,FALSE)</f>
        <v>5.0000000000000001E-3</v>
      </c>
      <c r="N1942">
        <f t="shared" si="90"/>
        <v>4.1762458919303302E-4</v>
      </c>
      <c r="O1942">
        <f>VLOOKUP(K1942,RatingLookup!$A$2:$C$8,3,FALSE)</f>
        <v>0.45</v>
      </c>
      <c r="P1942">
        <f t="shared" si="91"/>
        <v>0.25792035241513606</v>
      </c>
      <c r="Q1942" t="str">
        <f t="shared" ca="1" si="92"/>
        <v>No</v>
      </c>
    </row>
    <row r="1943" spans="1:17" x14ac:dyDescent="0.45">
      <c r="A1943" t="s">
        <v>100</v>
      </c>
      <c r="B1943" t="s">
        <v>101</v>
      </c>
      <c r="C1943" t="s">
        <v>35</v>
      </c>
      <c r="D1943" t="s">
        <v>20</v>
      </c>
      <c r="E1943" t="s">
        <v>21</v>
      </c>
      <c r="F1943" s="1">
        <v>44470</v>
      </c>
      <c r="G1943">
        <v>5.62</v>
      </c>
      <c r="H1943">
        <v>85.977800000000002</v>
      </c>
      <c r="I1943">
        <v>17.75</v>
      </c>
      <c r="J1943">
        <v>53.43</v>
      </c>
      <c r="K1943" t="s">
        <v>22</v>
      </c>
      <c r="L1943">
        <v>1335.19</v>
      </c>
      <c r="M1943">
        <f>VLOOKUP(K1943,RatingLookup!$A$2:$C$8,2,FALSE)</f>
        <v>5.0000000000000001E-3</v>
      </c>
      <c r="N1943">
        <f t="shared" si="90"/>
        <v>4.1762458919303302E-4</v>
      </c>
      <c r="O1943">
        <f>VLOOKUP(K1943,RatingLookup!$A$2:$C$8,3,FALSE)</f>
        <v>0.45</v>
      </c>
      <c r="P1943">
        <f t="shared" si="91"/>
        <v>0.25092367886009059</v>
      </c>
      <c r="Q1943" t="str">
        <f t="shared" ca="1" si="92"/>
        <v>No</v>
      </c>
    </row>
    <row r="1944" spans="1:17" x14ac:dyDescent="0.45">
      <c r="A1944" t="s">
        <v>100</v>
      </c>
      <c r="B1944" t="s">
        <v>101</v>
      </c>
      <c r="C1944" t="s">
        <v>35</v>
      </c>
      <c r="D1944" t="s">
        <v>20</v>
      </c>
      <c r="E1944" t="s">
        <v>21</v>
      </c>
      <c r="F1944" s="1">
        <v>44501</v>
      </c>
      <c r="G1944">
        <v>4.58</v>
      </c>
      <c r="H1944">
        <v>81.882400000000004</v>
      </c>
      <c r="I1944">
        <v>21.72</v>
      </c>
      <c r="J1944">
        <v>70.98</v>
      </c>
      <c r="K1944" t="s">
        <v>23</v>
      </c>
      <c r="L1944">
        <v>1369.69</v>
      </c>
      <c r="M1944">
        <f>VLOOKUP(K1944,RatingLookup!$A$2:$C$8,2,FALSE)</f>
        <v>1E-3</v>
      </c>
      <c r="N1944">
        <f t="shared" si="90"/>
        <v>8.3371552197619714E-5</v>
      </c>
      <c r="O1944">
        <f>VLOOKUP(K1944,RatingLookup!$A$2:$C$8,3,FALSE)</f>
        <v>0.3</v>
      </c>
      <c r="P1944">
        <f t="shared" si="91"/>
        <v>3.4257954398867321E-2</v>
      </c>
      <c r="Q1944" t="str">
        <f t="shared" ca="1" si="92"/>
        <v>No</v>
      </c>
    </row>
    <row r="1945" spans="1:17" x14ac:dyDescent="0.45">
      <c r="A1945" t="s">
        <v>100</v>
      </c>
      <c r="B1945" t="s">
        <v>101</v>
      </c>
      <c r="C1945" t="s">
        <v>35</v>
      </c>
      <c r="D1945" t="s">
        <v>20</v>
      </c>
      <c r="E1945" t="s">
        <v>21</v>
      </c>
      <c r="F1945" s="1">
        <v>44531</v>
      </c>
      <c r="G1945">
        <v>5.14</v>
      </c>
      <c r="H1945">
        <v>81.896100000000004</v>
      </c>
      <c r="I1945">
        <v>25.76</v>
      </c>
      <c r="J1945">
        <v>79.44</v>
      </c>
      <c r="K1945" t="s">
        <v>22</v>
      </c>
      <c r="L1945">
        <v>1349.61</v>
      </c>
      <c r="M1945">
        <f>VLOOKUP(K1945,RatingLookup!$A$2:$C$8,2,FALSE)</f>
        <v>5.0000000000000001E-3</v>
      </c>
      <c r="N1945">
        <f t="shared" si="90"/>
        <v>4.1762458919303302E-4</v>
      </c>
      <c r="O1945">
        <f>VLOOKUP(K1945,RatingLookup!$A$2:$C$8,3,FALSE)</f>
        <v>0.45</v>
      </c>
      <c r="P1945">
        <f t="shared" si="91"/>
        <v>0.25363364481936418</v>
      </c>
      <c r="Q1945" t="str">
        <f t="shared" ca="1" si="92"/>
        <v>No</v>
      </c>
    </row>
    <row r="1946" spans="1:17" x14ac:dyDescent="0.45">
      <c r="A1946" t="s">
        <v>100</v>
      </c>
      <c r="B1946" t="s">
        <v>101</v>
      </c>
      <c r="C1946" t="s">
        <v>35</v>
      </c>
      <c r="D1946" t="s">
        <v>20</v>
      </c>
      <c r="E1946" t="s">
        <v>21</v>
      </c>
      <c r="F1946" s="1">
        <v>44562</v>
      </c>
      <c r="G1946">
        <v>5.46</v>
      </c>
      <c r="H1946">
        <v>86.697100000000006</v>
      </c>
      <c r="I1946">
        <v>15.73</v>
      </c>
      <c r="J1946">
        <v>71.23</v>
      </c>
      <c r="K1946" t="s">
        <v>22</v>
      </c>
      <c r="L1946">
        <v>1322.44</v>
      </c>
      <c r="M1946">
        <f>VLOOKUP(K1946,RatingLookup!$A$2:$C$8,2,FALSE)</f>
        <v>5.0000000000000001E-3</v>
      </c>
      <c r="N1946">
        <f t="shared" si="90"/>
        <v>4.1762458919303302E-4</v>
      </c>
      <c r="O1946">
        <f>VLOOKUP(K1946,RatingLookup!$A$2:$C$8,3,FALSE)</f>
        <v>0.45</v>
      </c>
      <c r="P1946">
        <f t="shared" si="91"/>
        <v>0.24852755777959556</v>
      </c>
      <c r="Q1946" t="str">
        <f t="shared" ca="1" si="92"/>
        <v>No</v>
      </c>
    </row>
    <row r="1947" spans="1:17" x14ac:dyDescent="0.45">
      <c r="A1947" t="s">
        <v>100</v>
      </c>
      <c r="B1947" t="s">
        <v>101</v>
      </c>
      <c r="C1947" t="s">
        <v>35</v>
      </c>
      <c r="D1947" t="s">
        <v>20</v>
      </c>
      <c r="E1947" t="s">
        <v>21</v>
      </c>
      <c r="F1947" s="1">
        <v>44593</v>
      </c>
      <c r="G1947">
        <v>6.56</v>
      </c>
      <c r="H1947">
        <v>77.549199999999999</v>
      </c>
      <c r="I1947">
        <v>13.55</v>
      </c>
      <c r="J1947">
        <v>69.599999999999994</v>
      </c>
      <c r="K1947" t="s">
        <v>22</v>
      </c>
      <c r="L1947">
        <v>1413.87</v>
      </c>
      <c r="M1947">
        <f>VLOOKUP(K1947,RatingLookup!$A$2:$C$8,2,FALSE)</f>
        <v>5.0000000000000001E-3</v>
      </c>
      <c r="N1947">
        <f t="shared" si="90"/>
        <v>4.1762458919303302E-4</v>
      </c>
      <c r="O1947">
        <f>VLOOKUP(K1947,RatingLookup!$A$2:$C$8,3,FALSE)</f>
        <v>0.45</v>
      </c>
      <c r="P1947">
        <f t="shared" si="91"/>
        <v>0.2657100950650591</v>
      </c>
      <c r="Q1947" t="str">
        <f t="shared" ca="1" si="92"/>
        <v>No</v>
      </c>
    </row>
    <row r="1948" spans="1:17" x14ac:dyDescent="0.45">
      <c r="A1948" t="s">
        <v>100</v>
      </c>
      <c r="B1948" t="s">
        <v>101</v>
      </c>
      <c r="C1948" t="s">
        <v>35</v>
      </c>
      <c r="D1948" t="s">
        <v>20</v>
      </c>
      <c r="E1948" t="s">
        <v>21</v>
      </c>
      <c r="F1948" s="1">
        <v>44621</v>
      </c>
      <c r="G1948">
        <v>4.37</v>
      </c>
      <c r="H1948">
        <v>85.2958</v>
      </c>
      <c r="I1948">
        <v>22.48</v>
      </c>
      <c r="J1948">
        <v>68.36</v>
      </c>
      <c r="K1948" t="s">
        <v>22</v>
      </c>
      <c r="L1948">
        <v>1324.62</v>
      </c>
      <c r="M1948">
        <f>VLOOKUP(K1948,RatingLookup!$A$2:$C$8,2,FALSE)</f>
        <v>5.0000000000000001E-3</v>
      </c>
      <c r="N1948">
        <f t="shared" si="90"/>
        <v>4.1762458919303302E-4</v>
      </c>
      <c r="O1948">
        <f>VLOOKUP(K1948,RatingLookup!$A$2:$C$8,3,FALSE)</f>
        <v>0.45</v>
      </c>
      <c r="P1948">
        <f t="shared" si="91"/>
        <v>0.24893724750159391</v>
      </c>
      <c r="Q1948" t="str">
        <f t="shared" ca="1" si="92"/>
        <v>No</v>
      </c>
    </row>
    <row r="1949" spans="1:17" x14ac:dyDescent="0.45">
      <c r="A1949" t="s">
        <v>100</v>
      </c>
      <c r="B1949" t="s">
        <v>101</v>
      </c>
      <c r="C1949" t="s">
        <v>35</v>
      </c>
      <c r="D1949" t="s">
        <v>20</v>
      </c>
      <c r="E1949" t="s">
        <v>21</v>
      </c>
      <c r="F1949" s="1">
        <v>44652</v>
      </c>
      <c r="G1949">
        <v>4.96</v>
      </c>
      <c r="H1949">
        <v>86.0505</v>
      </c>
      <c r="I1949">
        <v>12.9</v>
      </c>
      <c r="J1949">
        <v>73.010000000000005</v>
      </c>
      <c r="K1949" t="s">
        <v>22</v>
      </c>
      <c r="L1949">
        <v>1267.78</v>
      </c>
      <c r="M1949">
        <f>VLOOKUP(K1949,RatingLookup!$A$2:$C$8,2,FALSE)</f>
        <v>5.0000000000000001E-3</v>
      </c>
      <c r="N1949">
        <f t="shared" si="90"/>
        <v>4.1762458919303302E-4</v>
      </c>
      <c r="O1949">
        <f>VLOOKUP(K1949,RatingLookup!$A$2:$C$8,3,FALSE)</f>
        <v>0.45</v>
      </c>
      <c r="P1949">
        <f t="shared" si="91"/>
        <v>0.23825524575921453</v>
      </c>
      <c r="Q1949" t="str">
        <f t="shared" ca="1" si="92"/>
        <v>No</v>
      </c>
    </row>
    <row r="1950" spans="1:17" x14ac:dyDescent="0.45">
      <c r="A1950" t="s">
        <v>100</v>
      </c>
      <c r="B1950" t="s">
        <v>101</v>
      </c>
      <c r="C1950" t="s">
        <v>35</v>
      </c>
      <c r="D1950" t="s">
        <v>20</v>
      </c>
      <c r="E1950" t="s">
        <v>21</v>
      </c>
      <c r="F1950" s="1">
        <v>44682</v>
      </c>
      <c r="G1950">
        <v>5.61</v>
      </c>
      <c r="H1950">
        <v>79.495500000000007</v>
      </c>
      <c r="I1950">
        <v>18.829999999999998</v>
      </c>
      <c r="J1950">
        <v>89.36</v>
      </c>
      <c r="K1950" t="s">
        <v>22</v>
      </c>
      <c r="L1950">
        <v>1307.72</v>
      </c>
      <c r="M1950">
        <f>VLOOKUP(K1950,RatingLookup!$A$2:$C$8,2,FALSE)</f>
        <v>5.0000000000000001E-3</v>
      </c>
      <c r="N1950">
        <f t="shared" si="90"/>
        <v>4.1762458919303302E-4</v>
      </c>
      <c r="O1950">
        <f>VLOOKUP(K1950,RatingLookup!$A$2:$C$8,3,FALSE)</f>
        <v>0.45</v>
      </c>
      <c r="P1950">
        <f t="shared" si="91"/>
        <v>0.24576121250078095</v>
      </c>
      <c r="Q1950" t="str">
        <f t="shared" ca="1" si="92"/>
        <v>No</v>
      </c>
    </row>
    <row r="1951" spans="1:17" x14ac:dyDescent="0.45">
      <c r="A1951" t="s">
        <v>100</v>
      </c>
      <c r="B1951" t="s">
        <v>101</v>
      </c>
      <c r="C1951" t="s">
        <v>35</v>
      </c>
      <c r="D1951" t="s">
        <v>20</v>
      </c>
      <c r="E1951" t="s">
        <v>21</v>
      </c>
      <c r="F1951" s="1">
        <v>44713</v>
      </c>
      <c r="G1951">
        <v>5.63</v>
      </c>
      <c r="H1951">
        <v>78.685299999999998</v>
      </c>
      <c r="I1951">
        <v>22.83</v>
      </c>
      <c r="J1951">
        <v>73.75</v>
      </c>
      <c r="K1951" t="s">
        <v>22</v>
      </c>
      <c r="L1951">
        <v>1329.56</v>
      </c>
      <c r="M1951">
        <f>VLOOKUP(K1951,RatingLookup!$A$2:$C$8,2,FALSE)</f>
        <v>5.0000000000000001E-3</v>
      </c>
      <c r="N1951">
        <f t="shared" si="90"/>
        <v>4.1762458919303302E-4</v>
      </c>
      <c r="O1951">
        <f>VLOOKUP(K1951,RatingLookup!$A$2:$C$8,3,FALSE)</f>
        <v>0.45</v>
      </c>
      <c r="P1951">
        <f t="shared" si="91"/>
        <v>0.24986562696337006</v>
      </c>
      <c r="Q1951" t="str">
        <f t="shared" ca="1" si="92"/>
        <v>No</v>
      </c>
    </row>
    <row r="1952" spans="1:17" x14ac:dyDescent="0.45">
      <c r="A1952" t="s">
        <v>100</v>
      </c>
      <c r="B1952" t="s">
        <v>101</v>
      </c>
      <c r="C1952" t="s">
        <v>35</v>
      </c>
      <c r="D1952" t="s">
        <v>20</v>
      </c>
      <c r="E1952" t="s">
        <v>21</v>
      </c>
      <c r="F1952" s="1">
        <v>44743</v>
      </c>
      <c r="G1952">
        <v>5.08</v>
      </c>
      <c r="H1952">
        <v>82.938100000000006</v>
      </c>
      <c r="I1952">
        <v>17.64</v>
      </c>
      <c r="J1952">
        <v>99.77</v>
      </c>
      <c r="K1952" t="s">
        <v>22</v>
      </c>
      <c r="L1952">
        <v>1432.85</v>
      </c>
      <c r="M1952">
        <f>VLOOKUP(K1952,RatingLookup!$A$2:$C$8,2,FALSE)</f>
        <v>5.0000000000000001E-3</v>
      </c>
      <c r="N1952">
        <f t="shared" si="90"/>
        <v>4.1762458919303302E-4</v>
      </c>
      <c r="O1952">
        <f>VLOOKUP(K1952,RatingLookup!$A$2:$C$8,3,FALSE)</f>
        <v>0.45</v>
      </c>
      <c r="P1952">
        <f t="shared" si="91"/>
        <v>0.26927702668135683</v>
      </c>
      <c r="Q1952" t="str">
        <f t="shared" ca="1" si="92"/>
        <v>No</v>
      </c>
    </row>
    <row r="1953" spans="1:17" x14ac:dyDescent="0.45">
      <c r="A1953" t="s">
        <v>100</v>
      </c>
      <c r="B1953" t="s">
        <v>101</v>
      </c>
      <c r="C1953" t="s">
        <v>35</v>
      </c>
      <c r="D1953" t="s">
        <v>20</v>
      </c>
      <c r="E1953" t="s">
        <v>21</v>
      </c>
      <c r="F1953" s="1">
        <v>44774</v>
      </c>
      <c r="G1953">
        <v>5.58</v>
      </c>
      <c r="H1953">
        <v>84.265299999999996</v>
      </c>
      <c r="I1953">
        <v>19.079999999999998</v>
      </c>
      <c r="J1953">
        <v>90.86</v>
      </c>
      <c r="K1953" t="s">
        <v>22</v>
      </c>
      <c r="L1953">
        <v>1352.02</v>
      </c>
      <c r="M1953">
        <f>VLOOKUP(K1953,RatingLookup!$A$2:$C$8,2,FALSE)</f>
        <v>5.0000000000000001E-3</v>
      </c>
      <c r="N1953">
        <f t="shared" si="90"/>
        <v>4.1762458919303302E-4</v>
      </c>
      <c r="O1953">
        <f>VLOOKUP(K1953,RatingLookup!$A$2:$C$8,3,FALSE)</f>
        <v>0.45</v>
      </c>
      <c r="P1953">
        <f t="shared" si="91"/>
        <v>0.25408655868634406</v>
      </c>
      <c r="Q1953" t="str">
        <f t="shared" ca="1" si="92"/>
        <v>No</v>
      </c>
    </row>
    <row r="1954" spans="1:17" x14ac:dyDescent="0.45">
      <c r="A1954" t="s">
        <v>100</v>
      </c>
      <c r="B1954" t="s">
        <v>101</v>
      </c>
      <c r="C1954" t="s">
        <v>35</v>
      </c>
      <c r="D1954" t="s">
        <v>20</v>
      </c>
      <c r="E1954" t="s">
        <v>21</v>
      </c>
      <c r="F1954" s="1">
        <v>44805</v>
      </c>
      <c r="G1954">
        <v>4.84</v>
      </c>
      <c r="H1954">
        <v>86.974599999999995</v>
      </c>
      <c r="I1954">
        <v>23.26</v>
      </c>
      <c r="J1954">
        <v>110.55</v>
      </c>
      <c r="K1954" t="s">
        <v>22</v>
      </c>
      <c r="L1954">
        <v>1302.81</v>
      </c>
      <c r="M1954">
        <f>VLOOKUP(K1954,RatingLookup!$A$2:$C$8,2,FALSE)</f>
        <v>5.0000000000000001E-3</v>
      </c>
      <c r="N1954">
        <f t="shared" si="90"/>
        <v>4.1762458919303302E-4</v>
      </c>
      <c r="O1954">
        <f>VLOOKUP(K1954,RatingLookup!$A$2:$C$8,3,FALSE)</f>
        <v>0.45</v>
      </c>
      <c r="P1954">
        <f t="shared" si="91"/>
        <v>0.2448384709709589</v>
      </c>
      <c r="Q1954" t="str">
        <f t="shared" ca="1" si="92"/>
        <v>No</v>
      </c>
    </row>
    <row r="1955" spans="1:17" x14ac:dyDescent="0.45">
      <c r="A1955" t="s">
        <v>100</v>
      </c>
      <c r="B1955" t="s">
        <v>101</v>
      </c>
      <c r="C1955" t="s">
        <v>35</v>
      </c>
      <c r="D1955" t="s">
        <v>20</v>
      </c>
      <c r="E1955" t="s">
        <v>21</v>
      </c>
      <c r="F1955" s="1">
        <v>44835</v>
      </c>
      <c r="G1955">
        <v>6.48</v>
      </c>
      <c r="H1955">
        <v>83.422300000000007</v>
      </c>
      <c r="I1955">
        <v>19.41</v>
      </c>
      <c r="J1955">
        <v>70.510000000000005</v>
      </c>
      <c r="K1955" t="s">
        <v>22</v>
      </c>
      <c r="L1955">
        <v>1342.38</v>
      </c>
      <c r="M1955">
        <f>VLOOKUP(K1955,RatingLookup!$A$2:$C$8,2,FALSE)</f>
        <v>5.0000000000000001E-3</v>
      </c>
      <c r="N1955">
        <f t="shared" si="90"/>
        <v>4.1762458919303302E-4</v>
      </c>
      <c r="O1955">
        <f>VLOOKUP(K1955,RatingLookup!$A$2:$C$8,3,FALSE)</f>
        <v>0.45</v>
      </c>
      <c r="P1955">
        <f t="shared" si="91"/>
        <v>0.25227490321842466</v>
      </c>
      <c r="Q1955" t="str">
        <f t="shared" ca="1" si="92"/>
        <v>No</v>
      </c>
    </row>
    <row r="1956" spans="1:17" x14ac:dyDescent="0.45">
      <c r="A1956" t="s">
        <v>100</v>
      </c>
      <c r="B1956" t="s">
        <v>101</v>
      </c>
      <c r="C1956" t="s">
        <v>35</v>
      </c>
      <c r="D1956" t="s">
        <v>20</v>
      </c>
      <c r="E1956" t="s">
        <v>21</v>
      </c>
      <c r="F1956" s="1">
        <v>44866</v>
      </c>
      <c r="G1956">
        <v>5.82</v>
      </c>
      <c r="H1956">
        <v>81.940399999999997</v>
      </c>
      <c r="I1956">
        <v>21.43</v>
      </c>
      <c r="J1956">
        <v>81.78</v>
      </c>
      <c r="K1956" t="s">
        <v>22</v>
      </c>
      <c r="L1956">
        <v>1384.06</v>
      </c>
      <c r="M1956">
        <f>VLOOKUP(K1956,RatingLookup!$A$2:$C$8,2,FALSE)</f>
        <v>5.0000000000000001E-3</v>
      </c>
      <c r="N1956">
        <f t="shared" si="90"/>
        <v>4.1762458919303302E-4</v>
      </c>
      <c r="O1956">
        <f>VLOOKUP(K1956,RatingLookup!$A$2:$C$8,3,FALSE)</f>
        <v>0.45</v>
      </c>
      <c r="P1956">
        <f t="shared" si="91"/>
        <v>0.26010787001332919</v>
      </c>
      <c r="Q1956" t="str">
        <f t="shared" ca="1" si="92"/>
        <v>No</v>
      </c>
    </row>
    <row r="1957" spans="1:17" x14ac:dyDescent="0.45">
      <c r="A1957" t="s">
        <v>100</v>
      </c>
      <c r="B1957" t="s">
        <v>101</v>
      </c>
      <c r="C1957" t="s">
        <v>35</v>
      </c>
      <c r="D1957" t="s">
        <v>20</v>
      </c>
      <c r="E1957" t="s">
        <v>21</v>
      </c>
      <c r="F1957" s="1">
        <v>44896</v>
      </c>
      <c r="G1957">
        <v>4.6900000000000004</v>
      </c>
      <c r="H1957">
        <v>85.442700000000002</v>
      </c>
      <c r="I1957">
        <v>13.5</v>
      </c>
      <c r="J1957">
        <v>76.64</v>
      </c>
      <c r="K1957" t="s">
        <v>22</v>
      </c>
      <c r="L1957">
        <v>1312.04</v>
      </c>
      <c r="M1957">
        <f>VLOOKUP(K1957,RatingLookup!$A$2:$C$8,2,FALSE)</f>
        <v>5.0000000000000001E-3</v>
      </c>
      <c r="N1957">
        <f t="shared" si="90"/>
        <v>4.1762458919303302E-4</v>
      </c>
      <c r="O1957">
        <f>VLOOKUP(K1957,RatingLookup!$A$2:$C$8,3,FALSE)</f>
        <v>0.45</v>
      </c>
      <c r="P1957">
        <f t="shared" si="91"/>
        <v>0.24657307470217218</v>
      </c>
      <c r="Q1957" t="str">
        <f t="shared" ca="1" si="92"/>
        <v>No</v>
      </c>
    </row>
    <row r="1958" spans="1:17" x14ac:dyDescent="0.45">
      <c r="A1958" t="s">
        <v>100</v>
      </c>
      <c r="B1958" t="s">
        <v>101</v>
      </c>
      <c r="C1958" t="s">
        <v>35</v>
      </c>
      <c r="D1958" t="s">
        <v>20</v>
      </c>
      <c r="E1958" t="s">
        <v>21</v>
      </c>
      <c r="F1958" s="1">
        <v>44927</v>
      </c>
      <c r="G1958">
        <v>5.89</v>
      </c>
      <c r="H1958">
        <v>82.829700000000003</v>
      </c>
      <c r="I1958">
        <v>16.37</v>
      </c>
      <c r="J1958">
        <v>60.63</v>
      </c>
      <c r="K1958" t="s">
        <v>22</v>
      </c>
      <c r="L1958">
        <v>1418.38</v>
      </c>
      <c r="M1958">
        <f>VLOOKUP(K1958,RatingLookup!$A$2:$C$8,2,FALSE)</f>
        <v>5.0000000000000001E-3</v>
      </c>
      <c r="N1958">
        <f t="shared" si="90"/>
        <v>4.1762458919303302E-4</v>
      </c>
      <c r="O1958">
        <f>VLOOKUP(K1958,RatingLookup!$A$2:$C$8,3,FALSE)</f>
        <v>0.45</v>
      </c>
      <c r="P1958">
        <f t="shared" si="91"/>
        <v>0.26655766416882642</v>
      </c>
      <c r="Q1958" t="str">
        <f t="shared" ca="1" si="92"/>
        <v>No</v>
      </c>
    </row>
    <row r="1959" spans="1:17" x14ac:dyDescent="0.45">
      <c r="A1959" t="s">
        <v>100</v>
      </c>
      <c r="B1959" t="s">
        <v>101</v>
      </c>
      <c r="C1959" t="s">
        <v>35</v>
      </c>
      <c r="D1959" t="s">
        <v>20</v>
      </c>
      <c r="E1959" t="s">
        <v>21</v>
      </c>
      <c r="F1959" s="1">
        <v>44958</v>
      </c>
      <c r="G1959">
        <v>5.81</v>
      </c>
      <c r="H1959">
        <v>80.347899999999996</v>
      </c>
      <c r="I1959">
        <v>26.63</v>
      </c>
      <c r="J1959">
        <v>76.33</v>
      </c>
      <c r="K1959" t="s">
        <v>23</v>
      </c>
      <c r="L1959">
        <v>1303.51</v>
      </c>
      <c r="M1959">
        <f>VLOOKUP(K1959,RatingLookup!$A$2:$C$8,2,FALSE)</f>
        <v>1E-3</v>
      </c>
      <c r="N1959">
        <f t="shared" si="90"/>
        <v>8.3371552197619714E-5</v>
      </c>
      <c r="O1959">
        <f>VLOOKUP(K1959,RatingLookup!$A$2:$C$8,3,FALSE)</f>
        <v>0.3</v>
      </c>
      <c r="P1959">
        <f t="shared" si="91"/>
        <v>3.2602695601535781E-2</v>
      </c>
      <c r="Q1959" t="str">
        <f t="shared" ca="1" si="92"/>
        <v>No</v>
      </c>
    </row>
    <row r="1960" spans="1:17" x14ac:dyDescent="0.45">
      <c r="A1960" t="s">
        <v>100</v>
      </c>
      <c r="B1960" t="s">
        <v>101</v>
      </c>
      <c r="C1960" t="s">
        <v>35</v>
      </c>
      <c r="D1960" t="s">
        <v>20</v>
      </c>
      <c r="E1960" t="s">
        <v>21</v>
      </c>
      <c r="F1960" s="1">
        <v>44986</v>
      </c>
      <c r="G1960">
        <v>5.52</v>
      </c>
      <c r="H1960">
        <v>85.2958</v>
      </c>
      <c r="I1960">
        <v>14.27</v>
      </c>
      <c r="J1960">
        <v>79.8</v>
      </c>
      <c r="K1960" t="s">
        <v>22</v>
      </c>
      <c r="L1960">
        <v>1393.55</v>
      </c>
      <c r="M1960">
        <f>VLOOKUP(K1960,RatingLookup!$A$2:$C$8,2,FALSE)</f>
        <v>5.0000000000000001E-3</v>
      </c>
      <c r="N1960">
        <f t="shared" si="90"/>
        <v>4.1762458919303302E-4</v>
      </c>
      <c r="O1960">
        <f>VLOOKUP(K1960,RatingLookup!$A$2:$C$8,3,FALSE)</f>
        <v>0.45</v>
      </c>
      <c r="P1960">
        <f t="shared" si="91"/>
        <v>0.261891335821478</v>
      </c>
      <c r="Q1960" t="str">
        <f t="shared" ca="1" si="92"/>
        <v>No</v>
      </c>
    </row>
    <row r="1961" spans="1:17" x14ac:dyDescent="0.45">
      <c r="A1961" t="s">
        <v>100</v>
      </c>
      <c r="B1961" t="s">
        <v>101</v>
      </c>
      <c r="C1961" t="s">
        <v>35</v>
      </c>
      <c r="D1961" t="s">
        <v>20</v>
      </c>
      <c r="E1961" t="s">
        <v>21</v>
      </c>
      <c r="F1961" s="1">
        <v>45017</v>
      </c>
      <c r="G1961">
        <v>4.51</v>
      </c>
      <c r="H1961">
        <v>81.903800000000004</v>
      </c>
      <c r="I1961">
        <v>12.27</v>
      </c>
      <c r="J1961">
        <v>83.57</v>
      </c>
      <c r="K1961" t="s">
        <v>22</v>
      </c>
      <c r="L1961">
        <v>1375.11</v>
      </c>
      <c r="M1961">
        <f>VLOOKUP(K1961,RatingLookup!$A$2:$C$8,2,FALSE)</f>
        <v>5.0000000000000001E-3</v>
      </c>
      <c r="N1961">
        <f t="shared" si="90"/>
        <v>4.1762458919303302E-4</v>
      </c>
      <c r="O1961">
        <f>VLOOKUP(K1961,RatingLookup!$A$2:$C$8,3,FALSE)</f>
        <v>0.45</v>
      </c>
      <c r="P1961">
        <f t="shared" si="91"/>
        <v>0.25842588698035424</v>
      </c>
      <c r="Q1961" t="str">
        <f t="shared" ca="1" si="92"/>
        <v>No</v>
      </c>
    </row>
    <row r="1962" spans="1:17" x14ac:dyDescent="0.45">
      <c r="A1962" t="s">
        <v>100</v>
      </c>
      <c r="B1962" t="s">
        <v>101</v>
      </c>
      <c r="C1962" t="s">
        <v>35</v>
      </c>
      <c r="D1962" t="s">
        <v>20</v>
      </c>
      <c r="E1962" t="s">
        <v>21</v>
      </c>
      <c r="F1962" s="1">
        <v>45047</v>
      </c>
      <c r="G1962">
        <v>6.41</v>
      </c>
      <c r="H1962">
        <v>83.894199999999998</v>
      </c>
      <c r="I1962">
        <v>13.14</v>
      </c>
      <c r="J1962">
        <v>69.11</v>
      </c>
      <c r="K1962" t="s">
        <v>22</v>
      </c>
      <c r="L1962">
        <v>1424.71</v>
      </c>
      <c r="M1962">
        <f>VLOOKUP(K1962,RatingLookup!$A$2:$C$8,2,FALSE)</f>
        <v>5.0000000000000001E-3</v>
      </c>
      <c r="N1962">
        <f t="shared" si="90"/>
        <v>4.1762458919303302E-4</v>
      </c>
      <c r="O1962">
        <f>VLOOKUP(K1962,RatingLookup!$A$2:$C$8,3,FALSE)</f>
        <v>0.45</v>
      </c>
      <c r="P1962">
        <f t="shared" si="91"/>
        <v>0.26774726781114272</v>
      </c>
      <c r="Q1962" t="str">
        <f t="shared" ca="1" si="92"/>
        <v>No</v>
      </c>
    </row>
    <row r="1963" spans="1:17" x14ac:dyDescent="0.45">
      <c r="A1963" t="s">
        <v>100</v>
      </c>
      <c r="B1963" t="s">
        <v>101</v>
      </c>
      <c r="C1963" t="s">
        <v>35</v>
      </c>
      <c r="D1963" t="s">
        <v>20</v>
      </c>
      <c r="E1963" t="s">
        <v>21</v>
      </c>
      <c r="F1963" s="1">
        <v>45078</v>
      </c>
      <c r="G1963">
        <v>5.71</v>
      </c>
      <c r="H1963">
        <v>83.924800000000005</v>
      </c>
      <c r="I1963">
        <v>21.06</v>
      </c>
      <c r="J1963">
        <v>64.05</v>
      </c>
      <c r="K1963" t="s">
        <v>22</v>
      </c>
      <c r="L1963">
        <v>1452.42</v>
      </c>
      <c r="M1963">
        <f>VLOOKUP(K1963,RatingLookup!$A$2:$C$8,2,FALSE)</f>
        <v>5.0000000000000001E-3</v>
      </c>
      <c r="N1963">
        <f t="shared" si="90"/>
        <v>4.1762458919303302E-4</v>
      </c>
      <c r="O1963">
        <f>VLOOKUP(K1963,RatingLookup!$A$2:$C$8,3,FALSE)</f>
        <v>0.45</v>
      </c>
      <c r="P1963">
        <f t="shared" si="91"/>
        <v>0.27295483762608524</v>
      </c>
      <c r="Q1963" t="str">
        <f t="shared" ca="1" si="92"/>
        <v>No</v>
      </c>
    </row>
    <row r="1964" spans="1:17" x14ac:dyDescent="0.45">
      <c r="A1964" t="s">
        <v>100</v>
      </c>
      <c r="B1964" t="s">
        <v>101</v>
      </c>
      <c r="C1964" t="s">
        <v>35</v>
      </c>
      <c r="D1964" t="s">
        <v>20</v>
      </c>
      <c r="E1964" t="s">
        <v>21</v>
      </c>
      <c r="F1964" s="1">
        <v>45108</v>
      </c>
      <c r="G1964">
        <v>6.46</v>
      </c>
      <c r="H1964">
        <v>86.3964</v>
      </c>
      <c r="I1964">
        <v>17.12</v>
      </c>
      <c r="J1964">
        <v>82.21</v>
      </c>
      <c r="K1964" t="s">
        <v>22</v>
      </c>
      <c r="L1964">
        <v>1450.86</v>
      </c>
      <c r="M1964">
        <f>VLOOKUP(K1964,RatingLookup!$A$2:$C$8,2,FALSE)</f>
        <v>5.0000000000000001E-3</v>
      </c>
      <c r="N1964">
        <f t="shared" si="90"/>
        <v>4.1762458919303302E-4</v>
      </c>
      <c r="O1964">
        <f>VLOOKUP(K1964,RatingLookup!$A$2:$C$8,3,FALSE)</f>
        <v>0.45</v>
      </c>
      <c r="P1964">
        <f t="shared" si="91"/>
        <v>0.27266166516447177</v>
      </c>
      <c r="Q1964" t="str">
        <f t="shared" ca="1" si="92"/>
        <v>No</v>
      </c>
    </row>
    <row r="1965" spans="1:17" x14ac:dyDescent="0.45">
      <c r="A1965" t="s">
        <v>100</v>
      </c>
      <c r="B1965" t="s">
        <v>101</v>
      </c>
      <c r="C1965" t="s">
        <v>35</v>
      </c>
      <c r="D1965" t="s">
        <v>20</v>
      </c>
      <c r="E1965" t="s">
        <v>21</v>
      </c>
      <c r="F1965" s="1">
        <v>45139</v>
      </c>
      <c r="G1965">
        <v>4.42</v>
      </c>
      <c r="H1965">
        <v>85.488600000000005</v>
      </c>
      <c r="I1965">
        <v>18.350000000000001</v>
      </c>
      <c r="J1965">
        <v>74.69</v>
      </c>
      <c r="K1965" t="s">
        <v>30</v>
      </c>
      <c r="L1965">
        <v>1375.35</v>
      </c>
      <c r="M1965">
        <f>VLOOKUP(K1965,RatingLookup!$A$2:$C$8,2,FALSE)</f>
        <v>1.4999999999999999E-2</v>
      </c>
      <c r="N1965">
        <f t="shared" si="90"/>
        <v>1.2586770182638762E-3</v>
      </c>
      <c r="O1965">
        <f>VLOOKUP(K1965,RatingLookup!$A$2:$C$8,3,FALSE)</f>
        <v>0.5</v>
      </c>
      <c r="P1965">
        <f t="shared" si="91"/>
        <v>0.86556071853461103</v>
      </c>
      <c r="Q1965" t="str">
        <f t="shared" ca="1" si="92"/>
        <v>No</v>
      </c>
    </row>
    <row r="1966" spans="1:17" x14ac:dyDescent="0.45">
      <c r="A1966" t="s">
        <v>100</v>
      </c>
      <c r="B1966" t="s">
        <v>101</v>
      </c>
      <c r="C1966" t="s">
        <v>35</v>
      </c>
      <c r="D1966" t="s">
        <v>20</v>
      </c>
      <c r="E1966" t="s">
        <v>21</v>
      </c>
      <c r="F1966" s="1">
        <v>45170</v>
      </c>
      <c r="G1966">
        <v>5.12</v>
      </c>
      <c r="H1966">
        <v>82.933999999999997</v>
      </c>
      <c r="I1966">
        <v>14.69</v>
      </c>
      <c r="J1966">
        <v>85.52</v>
      </c>
      <c r="K1966" t="s">
        <v>30</v>
      </c>
      <c r="L1966">
        <v>1460.56</v>
      </c>
      <c r="M1966">
        <f>VLOOKUP(K1966,RatingLookup!$A$2:$C$8,2,FALSE)</f>
        <v>1.4999999999999999E-2</v>
      </c>
      <c r="N1966">
        <f t="shared" si="90"/>
        <v>1.2586770182638762E-3</v>
      </c>
      <c r="O1966">
        <f>VLOOKUP(K1966,RatingLookup!$A$2:$C$8,3,FALSE)</f>
        <v>0.5</v>
      </c>
      <c r="P1966">
        <f t="shared" si="91"/>
        <v>0.91918665289774348</v>
      </c>
      <c r="Q1966" t="str">
        <f t="shared" ca="1" si="92"/>
        <v>No</v>
      </c>
    </row>
    <row r="1967" spans="1:17" x14ac:dyDescent="0.45">
      <c r="A1967" t="s">
        <v>100</v>
      </c>
      <c r="B1967" t="s">
        <v>101</v>
      </c>
      <c r="C1967" t="s">
        <v>35</v>
      </c>
      <c r="D1967" t="s">
        <v>20</v>
      </c>
      <c r="E1967" t="s">
        <v>21</v>
      </c>
      <c r="F1967" s="1">
        <v>45200</v>
      </c>
      <c r="G1967">
        <v>5.81</v>
      </c>
      <c r="H1967">
        <v>82.947299999999998</v>
      </c>
      <c r="I1967">
        <v>24.64</v>
      </c>
      <c r="J1967">
        <v>73.14</v>
      </c>
      <c r="K1967" t="s">
        <v>30</v>
      </c>
      <c r="L1967">
        <v>1340.03</v>
      </c>
      <c r="M1967">
        <f>VLOOKUP(K1967,RatingLookup!$A$2:$C$8,2,FALSE)</f>
        <v>1.4999999999999999E-2</v>
      </c>
      <c r="N1967">
        <f t="shared" si="90"/>
        <v>1.2586770182638762E-3</v>
      </c>
      <c r="O1967">
        <f>VLOOKUP(K1967,RatingLookup!$A$2:$C$8,3,FALSE)</f>
        <v>0.5</v>
      </c>
      <c r="P1967">
        <f t="shared" si="91"/>
        <v>0.84333248239207104</v>
      </c>
      <c r="Q1967" t="str">
        <f t="shared" ca="1" si="92"/>
        <v>No</v>
      </c>
    </row>
    <row r="1968" spans="1:17" x14ac:dyDescent="0.45">
      <c r="A1968" t="s">
        <v>100</v>
      </c>
      <c r="B1968" t="s">
        <v>101</v>
      </c>
      <c r="C1968" t="s">
        <v>35</v>
      </c>
      <c r="D1968" t="s">
        <v>20</v>
      </c>
      <c r="E1968" t="s">
        <v>21</v>
      </c>
      <c r="F1968" s="1">
        <v>45231</v>
      </c>
      <c r="G1968">
        <v>6.09</v>
      </c>
      <c r="H1968">
        <v>80.740600000000001</v>
      </c>
      <c r="I1968">
        <v>5.09</v>
      </c>
      <c r="J1968">
        <v>75.45</v>
      </c>
      <c r="K1968" t="s">
        <v>30</v>
      </c>
      <c r="L1968">
        <v>1297.9000000000001</v>
      </c>
      <c r="M1968">
        <f>VLOOKUP(K1968,RatingLookup!$A$2:$C$8,2,FALSE)</f>
        <v>1.4999999999999999E-2</v>
      </c>
      <c r="N1968">
        <f t="shared" si="90"/>
        <v>1.2586770182638762E-3</v>
      </c>
      <c r="O1968">
        <f>VLOOKUP(K1968,RatingLookup!$A$2:$C$8,3,FALSE)</f>
        <v>0.5</v>
      </c>
      <c r="P1968">
        <f t="shared" si="91"/>
        <v>0.81681845100234252</v>
      </c>
      <c r="Q1968" t="str">
        <f t="shared" ca="1" si="92"/>
        <v>No</v>
      </c>
    </row>
    <row r="1969" spans="1:17" x14ac:dyDescent="0.45">
      <c r="A1969" t="s">
        <v>100</v>
      </c>
      <c r="B1969" t="s">
        <v>101</v>
      </c>
      <c r="C1969" t="s">
        <v>35</v>
      </c>
      <c r="D1969" t="s">
        <v>20</v>
      </c>
      <c r="E1969" t="s">
        <v>21</v>
      </c>
      <c r="F1969" s="1">
        <v>45261</v>
      </c>
      <c r="G1969">
        <v>5.2</v>
      </c>
      <c r="H1969">
        <v>84.523799999999994</v>
      </c>
      <c r="I1969">
        <v>18.46</v>
      </c>
      <c r="J1969">
        <v>83.42</v>
      </c>
      <c r="K1969" t="s">
        <v>30</v>
      </c>
      <c r="L1969">
        <v>1343.63</v>
      </c>
      <c r="M1969">
        <f>VLOOKUP(K1969,RatingLookup!$A$2:$C$8,2,FALSE)</f>
        <v>1.4999999999999999E-2</v>
      </c>
      <c r="N1969">
        <f t="shared" si="90"/>
        <v>1.2586770182638762E-3</v>
      </c>
      <c r="O1969">
        <f>VLOOKUP(K1969,RatingLookup!$A$2:$C$8,3,FALSE)</f>
        <v>0.5</v>
      </c>
      <c r="P1969">
        <f t="shared" si="91"/>
        <v>0.84559810102494604</v>
      </c>
      <c r="Q1969" t="str">
        <f t="shared" ca="1" si="92"/>
        <v>No</v>
      </c>
    </row>
    <row r="1970" spans="1:17" x14ac:dyDescent="0.45">
      <c r="A1970" t="s">
        <v>100</v>
      </c>
      <c r="B1970" t="s">
        <v>101</v>
      </c>
      <c r="C1970" t="s">
        <v>35</v>
      </c>
      <c r="D1970" t="s">
        <v>20</v>
      </c>
      <c r="E1970" t="s">
        <v>21</v>
      </c>
      <c r="F1970" s="1">
        <v>45292</v>
      </c>
      <c r="G1970">
        <v>5.77</v>
      </c>
      <c r="H1970">
        <v>83.2072</v>
      </c>
      <c r="I1970">
        <v>26.5</v>
      </c>
      <c r="J1970">
        <v>85.4</v>
      </c>
      <c r="K1970" t="s">
        <v>30</v>
      </c>
      <c r="L1970">
        <v>1406.05</v>
      </c>
      <c r="M1970">
        <f>VLOOKUP(K1970,RatingLookup!$A$2:$C$8,2,FALSE)</f>
        <v>1.4999999999999999E-2</v>
      </c>
      <c r="N1970">
        <f t="shared" si="90"/>
        <v>1.2586770182638762E-3</v>
      </c>
      <c r="O1970">
        <f>VLOOKUP(K1970,RatingLookup!$A$2:$C$8,3,FALSE)</f>
        <v>0.5</v>
      </c>
      <c r="P1970">
        <f t="shared" si="91"/>
        <v>0.88488141076496152</v>
      </c>
      <c r="Q1970" t="str">
        <f t="shared" ca="1" si="92"/>
        <v>No</v>
      </c>
    </row>
    <row r="1971" spans="1:17" x14ac:dyDescent="0.45">
      <c r="A1971" t="s">
        <v>100</v>
      </c>
      <c r="B1971" t="s">
        <v>101</v>
      </c>
      <c r="C1971" t="s">
        <v>35</v>
      </c>
      <c r="D1971" t="s">
        <v>20</v>
      </c>
      <c r="E1971" t="s">
        <v>21</v>
      </c>
      <c r="F1971" s="1">
        <v>45323</v>
      </c>
      <c r="G1971">
        <v>5.89</v>
      </c>
      <c r="H1971">
        <v>82.819900000000004</v>
      </c>
      <c r="I1971">
        <v>25.99</v>
      </c>
      <c r="J1971">
        <v>72.89</v>
      </c>
      <c r="K1971" t="s">
        <v>30</v>
      </c>
      <c r="L1971">
        <v>1396.11</v>
      </c>
      <c r="M1971">
        <f>VLOOKUP(K1971,RatingLookup!$A$2:$C$8,2,FALSE)</f>
        <v>1.4999999999999999E-2</v>
      </c>
      <c r="N1971">
        <f t="shared" si="90"/>
        <v>1.2586770182638762E-3</v>
      </c>
      <c r="O1971">
        <f>VLOOKUP(K1971,RatingLookup!$A$2:$C$8,3,FALSE)</f>
        <v>0.5</v>
      </c>
      <c r="P1971">
        <f t="shared" si="91"/>
        <v>0.87862578598419006</v>
      </c>
      <c r="Q1971" t="str">
        <f t="shared" ca="1" si="92"/>
        <v>No</v>
      </c>
    </row>
    <row r="1972" spans="1:17" x14ac:dyDescent="0.45">
      <c r="A1972" t="s">
        <v>100</v>
      </c>
      <c r="B1972" t="s">
        <v>101</v>
      </c>
      <c r="C1972" t="s">
        <v>35</v>
      </c>
      <c r="D1972" t="s">
        <v>20</v>
      </c>
      <c r="E1972" t="s">
        <v>21</v>
      </c>
      <c r="F1972" s="1">
        <v>45352</v>
      </c>
      <c r="G1972">
        <v>4.7</v>
      </c>
      <c r="H1972">
        <v>88.434899999999999</v>
      </c>
      <c r="I1972">
        <v>14.71</v>
      </c>
      <c r="J1972">
        <v>69.599999999999994</v>
      </c>
      <c r="K1972" t="s">
        <v>30</v>
      </c>
      <c r="L1972">
        <v>1316.55</v>
      </c>
      <c r="M1972">
        <f>VLOOKUP(K1972,RatingLookup!$A$2:$C$8,2,FALSE)</f>
        <v>1.4999999999999999E-2</v>
      </c>
      <c r="N1972">
        <f t="shared" si="90"/>
        <v>1.2586770182638762E-3</v>
      </c>
      <c r="O1972">
        <f>VLOOKUP(K1972,RatingLookup!$A$2:$C$8,3,FALSE)</f>
        <v>0.5</v>
      </c>
      <c r="P1972">
        <f t="shared" si="91"/>
        <v>0.82855561419765311</v>
      </c>
      <c r="Q1972" t="str">
        <f t="shared" ca="1" si="92"/>
        <v>No</v>
      </c>
    </row>
    <row r="1973" spans="1:17" x14ac:dyDescent="0.45">
      <c r="A1973" t="s">
        <v>100</v>
      </c>
      <c r="B1973" t="s">
        <v>101</v>
      </c>
      <c r="C1973" t="s">
        <v>35</v>
      </c>
      <c r="D1973" t="s">
        <v>20</v>
      </c>
      <c r="E1973" t="s">
        <v>21</v>
      </c>
      <c r="F1973" s="1">
        <v>45383</v>
      </c>
      <c r="G1973">
        <v>5.94</v>
      </c>
      <c r="H1973">
        <v>83.058300000000003</v>
      </c>
      <c r="I1973">
        <v>13.1</v>
      </c>
      <c r="J1973">
        <v>74.400000000000006</v>
      </c>
      <c r="K1973" t="s">
        <v>30</v>
      </c>
      <c r="L1973">
        <v>1388.33</v>
      </c>
      <c r="M1973">
        <f>VLOOKUP(K1973,RatingLookup!$A$2:$C$8,2,FALSE)</f>
        <v>1.4999999999999999E-2</v>
      </c>
      <c r="N1973">
        <f t="shared" si="90"/>
        <v>1.2586770182638762E-3</v>
      </c>
      <c r="O1973">
        <f>VLOOKUP(K1973,RatingLookup!$A$2:$C$8,3,FALSE)</f>
        <v>0.5</v>
      </c>
      <c r="P1973">
        <f t="shared" si="91"/>
        <v>0.87372953238314355</v>
      </c>
      <c r="Q1973" t="str">
        <f t="shared" ca="1" si="92"/>
        <v>No</v>
      </c>
    </row>
    <row r="1974" spans="1:17" x14ac:dyDescent="0.45">
      <c r="A1974" t="s">
        <v>100</v>
      </c>
      <c r="B1974" t="s">
        <v>101</v>
      </c>
      <c r="C1974" t="s">
        <v>35</v>
      </c>
      <c r="D1974" t="s">
        <v>20</v>
      </c>
      <c r="E1974" t="s">
        <v>21</v>
      </c>
      <c r="F1974" s="1">
        <v>45413</v>
      </c>
      <c r="G1974">
        <v>4.71</v>
      </c>
      <c r="H1974">
        <v>80.251300000000001</v>
      </c>
      <c r="I1974">
        <v>17.18</v>
      </c>
      <c r="J1974">
        <v>83.89</v>
      </c>
      <c r="K1974" t="s">
        <v>30</v>
      </c>
      <c r="L1974">
        <v>1357.55</v>
      </c>
      <c r="M1974">
        <f>VLOOKUP(K1974,RatingLookup!$A$2:$C$8,2,FALSE)</f>
        <v>1.4999999999999999E-2</v>
      </c>
      <c r="N1974">
        <f t="shared" si="90"/>
        <v>1.2586770182638762E-3</v>
      </c>
      <c r="O1974">
        <f>VLOOKUP(K1974,RatingLookup!$A$2:$C$8,3,FALSE)</f>
        <v>0.5</v>
      </c>
      <c r="P1974">
        <f t="shared" si="91"/>
        <v>0.85435849307206257</v>
      </c>
      <c r="Q1974" t="str">
        <f t="shared" ca="1" si="92"/>
        <v>No</v>
      </c>
    </row>
    <row r="1975" spans="1:17" x14ac:dyDescent="0.45">
      <c r="A1975" t="s">
        <v>100</v>
      </c>
      <c r="B1975" t="s">
        <v>101</v>
      </c>
      <c r="C1975" t="s">
        <v>35</v>
      </c>
      <c r="D1975" t="s">
        <v>20</v>
      </c>
      <c r="E1975" t="s">
        <v>21</v>
      </c>
      <c r="F1975" s="1">
        <v>45444</v>
      </c>
      <c r="G1975">
        <v>5.19</v>
      </c>
      <c r="H1975">
        <v>80.598200000000006</v>
      </c>
      <c r="I1975">
        <v>16</v>
      </c>
      <c r="J1975">
        <v>85.47</v>
      </c>
      <c r="K1975" t="s">
        <v>30</v>
      </c>
      <c r="L1975">
        <v>1304.94</v>
      </c>
      <c r="M1975">
        <f>VLOOKUP(K1975,RatingLookup!$A$2:$C$8,2,FALSE)</f>
        <v>1.4999999999999999E-2</v>
      </c>
      <c r="N1975">
        <f t="shared" si="90"/>
        <v>1.2586770182638762E-3</v>
      </c>
      <c r="O1975">
        <f>VLOOKUP(K1975,RatingLookup!$A$2:$C$8,3,FALSE)</f>
        <v>0.5</v>
      </c>
      <c r="P1975">
        <f t="shared" si="91"/>
        <v>0.82124899410663132</v>
      </c>
      <c r="Q1975" t="str">
        <f t="shared" ca="1" si="92"/>
        <v>No</v>
      </c>
    </row>
    <row r="1976" spans="1:17" x14ac:dyDescent="0.45">
      <c r="A1976" t="s">
        <v>100</v>
      </c>
      <c r="B1976" t="s">
        <v>101</v>
      </c>
      <c r="C1976" t="s">
        <v>35</v>
      </c>
      <c r="D1976" t="s">
        <v>20</v>
      </c>
      <c r="E1976" t="s">
        <v>21</v>
      </c>
      <c r="F1976" s="1">
        <v>45474</v>
      </c>
      <c r="G1976">
        <v>5.72</v>
      </c>
      <c r="H1976">
        <v>83.3797</v>
      </c>
      <c r="I1976">
        <v>12.38</v>
      </c>
      <c r="J1976">
        <v>74.03</v>
      </c>
      <c r="K1976" t="s">
        <v>30</v>
      </c>
      <c r="L1976">
        <v>1496.26</v>
      </c>
      <c r="M1976">
        <f>VLOOKUP(K1976,RatingLookup!$A$2:$C$8,2,FALSE)</f>
        <v>1.4999999999999999E-2</v>
      </c>
      <c r="N1976">
        <f t="shared" si="90"/>
        <v>1.2586770182638762E-3</v>
      </c>
      <c r="O1976">
        <f>VLOOKUP(K1976,RatingLookup!$A$2:$C$8,3,FALSE)</f>
        <v>0.5</v>
      </c>
      <c r="P1976">
        <f t="shared" si="91"/>
        <v>0.94165403767375377</v>
      </c>
      <c r="Q1976" t="str">
        <f t="shared" ca="1" si="92"/>
        <v>No</v>
      </c>
    </row>
    <row r="1977" spans="1:17" x14ac:dyDescent="0.45">
      <c r="A1977" t="s">
        <v>100</v>
      </c>
      <c r="B1977" t="s">
        <v>101</v>
      </c>
      <c r="C1977" t="s">
        <v>35</v>
      </c>
      <c r="D1977" t="s">
        <v>20</v>
      </c>
      <c r="E1977" t="s">
        <v>21</v>
      </c>
      <c r="F1977" s="1">
        <v>45505</v>
      </c>
      <c r="G1977">
        <v>6.92</v>
      </c>
      <c r="H1977">
        <v>83.838999999999999</v>
      </c>
      <c r="I1977">
        <v>31.59</v>
      </c>
      <c r="J1977">
        <v>74.91</v>
      </c>
      <c r="K1977" t="s">
        <v>30</v>
      </c>
      <c r="L1977">
        <v>1457.75</v>
      </c>
      <c r="M1977">
        <f>VLOOKUP(K1977,RatingLookup!$A$2:$C$8,2,FALSE)</f>
        <v>1.4999999999999999E-2</v>
      </c>
      <c r="N1977">
        <f t="shared" si="90"/>
        <v>1.2586770182638762E-3</v>
      </c>
      <c r="O1977">
        <f>VLOOKUP(K1977,RatingLookup!$A$2:$C$8,3,FALSE)</f>
        <v>0.5</v>
      </c>
      <c r="P1977">
        <f t="shared" si="91"/>
        <v>0.91741821168708282</v>
      </c>
      <c r="Q1977" t="str">
        <f t="shared" ca="1" si="92"/>
        <v>No</v>
      </c>
    </row>
    <row r="1978" spans="1:17" x14ac:dyDescent="0.45">
      <c r="A1978" t="s">
        <v>100</v>
      </c>
      <c r="B1978" t="s">
        <v>101</v>
      </c>
      <c r="C1978" t="s">
        <v>35</v>
      </c>
      <c r="D1978" t="s">
        <v>20</v>
      </c>
      <c r="E1978" t="s">
        <v>21</v>
      </c>
      <c r="F1978" s="1">
        <v>45536</v>
      </c>
      <c r="G1978">
        <v>6.89</v>
      </c>
      <c r="H1978">
        <v>83.652699999999996</v>
      </c>
      <c r="I1978">
        <v>12.29</v>
      </c>
      <c r="J1978">
        <v>94.74</v>
      </c>
      <c r="K1978" t="s">
        <v>30</v>
      </c>
      <c r="L1978">
        <v>1435.69</v>
      </c>
      <c r="M1978">
        <f>VLOOKUP(K1978,RatingLookup!$A$2:$C$8,2,FALSE)</f>
        <v>1.4999999999999999E-2</v>
      </c>
      <c r="N1978">
        <f t="shared" si="90"/>
        <v>1.2586770182638762E-3</v>
      </c>
      <c r="O1978">
        <f>VLOOKUP(K1978,RatingLookup!$A$2:$C$8,3,FALSE)</f>
        <v>0.5</v>
      </c>
      <c r="P1978">
        <f t="shared" si="91"/>
        <v>0.90353500417563226</v>
      </c>
      <c r="Q1978" t="str">
        <f t="shared" ca="1" si="92"/>
        <v>No</v>
      </c>
    </row>
    <row r="1979" spans="1:17" x14ac:dyDescent="0.45">
      <c r="A1979" t="s">
        <v>100</v>
      </c>
      <c r="B1979" t="s">
        <v>101</v>
      </c>
      <c r="C1979" t="s">
        <v>35</v>
      </c>
      <c r="D1979" t="s">
        <v>20</v>
      </c>
      <c r="E1979" t="s">
        <v>21</v>
      </c>
      <c r="F1979" s="1">
        <v>45566</v>
      </c>
      <c r="G1979">
        <v>5.73</v>
      </c>
      <c r="H1979">
        <v>81.349500000000006</v>
      </c>
      <c r="I1979">
        <v>22.71</v>
      </c>
      <c r="J1979">
        <v>73.319999999999993</v>
      </c>
      <c r="K1979" t="s">
        <v>30</v>
      </c>
      <c r="L1979">
        <v>1375.68</v>
      </c>
      <c r="M1979">
        <f>VLOOKUP(K1979,RatingLookup!$A$2:$C$8,2,FALSE)</f>
        <v>1.4999999999999999E-2</v>
      </c>
      <c r="N1979">
        <f t="shared" si="90"/>
        <v>1.2586770182638762E-3</v>
      </c>
      <c r="O1979">
        <f>VLOOKUP(K1979,RatingLookup!$A$2:$C$8,3,FALSE)</f>
        <v>0.5</v>
      </c>
      <c r="P1979">
        <f t="shared" si="91"/>
        <v>0.86576840024262469</v>
      </c>
      <c r="Q1979" t="str">
        <f t="shared" ca="1" si="92"/>
        <v>No</v>
      </c>
    </row>
    <row r="1980" spans="1:17" x14ac:dyDescent="0.45">
      <c r="A1980" t="s">
        <v>100</v>
      </c>
      <c r="B1980" t="s">
        <v>101</v>
      </c>
      <c r="C1980" t="s">
        <v>35</v>
      </c>
      <c r="D1980" t="s">
        <v>20</v>
      </c>
      <c r="E1980" t="s">
        <v>21</v>
      </c>
      <c r="F1980" s="1">
        <v>45597</v>
      </c>
      <c r="G1980">
        <v>4.79</v>
      </c>
      <c r="H1980">
        <v>84.180099999999996</v>
      </c>
      <c r="I1980">
        <v>26.59</v>
      </c>
      <c r="J1980">
        <v>82.52</v>
      </c>
      <c r="K1980" t="s">
        <v>30</v>
      </c>
      <c r="L1980">
        <v>1461.88</v>
      </c>
      <c r="M1980">
        <f>VLOOKUP(K1980,RatingLookup!$A$2:$C$8,2,FALSE)</f>
        <v>1.4999999999999999E-2</v>
      </c>
      <c r="N1980">
        <f t="shared" si="90"/>
        <v>1.2586770182638762E-3</v>
      </c>
      <c r="O1980">
        <f>VLOOKUP(K1980,RatingLookup!$A$2:$C$8,3,FALSE)</f>
        <v>0.5</v>
      </c>
      <c r="P1980">
        <f t="shared" si="91"/>
        <v>0.9200173797297978</v>
      </c>
      <c r="Q1980" t="str">
        <f t="shared" ca="1" si="92"/>
        <v>No</v>
      </c>
    </row>
    <row r="1981" spans="1:17" x14ac:dyDescent="0.45">
      <c r="A1981" t="s">
        <v>100</v>
      </c>
      <c r="B1981" t="s">
        <v>101</v>
      </c>
      <c r="C1981" t="s">
        <v>35</v>
      </c>
      <c r="D1981" t="s">
        <v>20</v>
      </c>
      <c r="E1981" t="s">
        <v>21</v>
      </c>
      <c r="F1981" s="1">
        <v>45627</v>
      </c>
      <c r="G1981">
        <v>5.19</v>
      </c>
      <c r="H1981">
        <v>83.829700000000003</v>
      </c>
      <c r="I1981">
        <v>9.7200000000000006</v>
      </c>
      <c r="J1981">
        <v>87.2</v>
      </c>
      <c r="K1981" t="s">
        <v>30</v>
      </c>
      <c r="L1981">
        <v>1426.92</v>
      </c>
      <c r="M1981">
        <f>VLOOKUP(K1981,RatingLookup!$A$2:$C$8,2,FALSE)</f>
        <v>1.4999999999999999E-2</v>
      </c>
      <c r="N1981">
        <f t="shared" si="90"/>
        <v>1.2586770182638762E-3</v>
      </c>
      <c r="O1981">
        <f>VLOOKUP(K1981,RatingLookup!$A$2:$C$8,3,FALSE)</f>
        <v>0.5</v>
      </c>
      <c r="P1981">
        <f t="shared" si="91"/>
        <v>0.89801570545054521</v>
      </c>
      <c r="Q1981" t="str">
        <f t="shared" ca="1" si="92"/>
        <v>No</v>
      </c>
    </row>
    <row r="1982" spans="1:17" x14ac:dyDescent="0.45">
      <c r="A1982" t="s">
        <v>102</v>
      </c>
      <c r="B1982" t="s">
        <v>103</v>
      </c>
      <c r="C1982" t="s">
        <v>43</v>
      </c>
      <c r="D1982" t="s">
        <v>20</v>
      </c>
      <c r="E1982" t="s">
        <v>21</v>
      </c>
      <c r="F1982" s="1">
        <v>43831</v>
      </c>
      <c r="G1982">
        <v>5.84</v>
      </c>
      <c r="H1982">
        <v>80.268299999999996</v>
      </c>
      <c r="I1982">
        <v>21.94</v>
      </c>
      <c r="J1982">
        <v>65.16</v>
      </c>
      <c r="K1982" t="s">
        <v>23</v>
      </c>
      <c r="L1982">
        <v>1005.13</v>
      </c>
      <c r="M1982">
        <f>VLOOKUP(K1982,RatingLookup!$A$2:$C$8,2,FALSE)</f>
        <v>1E-3</v>
      </c>
      <c r="N1982">
        <f t="shared" si="90"/>
        <v>8.3371552197619714E-5</v>
      </c>
      <c r="O1982">
        <f>VLOOKUP(K1982,RatingLookup!$A$2:$C$8,3,FALSE)</f>
        <v>0.3</v>
      </c>
      <c r="P1982">
        <f t="shared" si="91"/>
        <v>2.5139774478118052E-2</v>
      </c>
      <c r="Q1982" t="str">
        <f t="shared" ca="1" si="92"/>
        <v>No</v>
      </c>
    </row>
    <row r="1983" spans="1:17" x14ac:dyDescent="0.45">
      <c r="A1983" t="s">
        <v>102</v>
      </c>
      <c r="B1983" t="s">
        <v>103</v>
      </c>
      <c r="C1983" t="s">
        <v>43</v>
      </c>
      <c r="D1983" t="s">
        <v>20</v>
      </c>
      <c r="E1983" t="s">
        <v>21</v>
      </c>
      <c r="F1983" s="1">
        <v>43862</v>
      </c>
      <c r="G1983">
        <v>4.91</v>
      </c>
      <c r="H1983">
        <v>82.256299999999996</v>
      </c>
      <c r="I1983">
        <v>22.51</v>
      </c>
      <c r="J1983">
        <v>46.9</v>
      </c>
      <c r="K1983" t="s">
        <v>23</v>
      </c>
      <c r="L1983">
        <v>1029.78</v>
      </c>
      <c r="M1983">
        <f>VLOOKUP(K1983,RatingLookup!$A$2:$C$8,2,FALSE)</f>
        <v>1E-3</v>
      </c>
      <c r="N1983">
        <f t="shared" si="90"/>
        <v>8.3371552197619714E-5</v>
      </c>
      <c r="O1983">
        <f>VLOOKUP(K1983,RatingLookup!$A$2:$C$8,3,FALSE)</f>
        <v>0.3</v>
      </c>
      <c r="P1983">
        <f t="shared" si="91"/>
        <v>2.5756307106619448E-2</v>
      </c>
      <c r="Q1983" t="str">
        <f t="shared" ca="1" si="92"/>
        <v>No</v>
      </c>
    </row>
    <row r="1984" spans="1:17" x14ac:dyDescent="0.45">
      <c r="A1984" t="s">
        <v>102</v>
      </c>
      <c r="B1984" t="s">
        <v>103</v>
      </c>
      <c r="C1984" t="s">
        <v>43</v>
      </c>
      <c r="D1984" t="s">
        <v>20</v>
      </c>
      <c r="E1984" t="s">
        <v>21</v>
      </c>
      <c r="F1984" s="1">
        <v>43891</v>
      </c>
      <c r="G1984">
        <v>5.52</v>
      </c>
      <c r="H1984">
        <v>82.610200000000006</v>
      </c>
      <c r="I1984">
        <v>18.57</v>
      </c>
      <c r="J1984">
        <v>70.61</v>
      </c>
      <c r="K1984" t="s">
        <v>23</v>
      </c>
      <c r="L1984">
        <v>1030.9100000000001</v>
      </c>
      <c r="M1984">
        <f>VLOOKUP(K1984,RatingLookup!$A$2:$C$8,2,FALSE)</f>
        <v>1E-3</v>
      </c>
      <c r="N1984">
        <f t="shared" si="90"/>
        <v>8.3371552197619714E-5</v>
      </c>
      <c r="O1984">
        <f>VLOOKUP(K1984,RatingLookup!$A$2:$C$8,3,FALSE)</f>
        <v>0.3</v>
      </c>
      <c r="P1984">
        <f t="shared" si="91"/>
        <v>2.5784570062814441E-2</v>
      </c>
      <c r="Q1984" t="str">
        <f t="shared" ca="1" si="92"/>
        <v>No</v>
      </c>
    </row>
    <row r="1985" spans="1:17" x14ac:dyDescent="0.45">
      <c r="A1985" t="s">
        <v>102</v>
      </c>
      <c r="B1985" t="s">
        <v>103</v>
      </c>
      <c r="C1985" t="s">
        <v>43</v>
      </c>
      <c r="D1985" t="s">
        <v>20</v>
      </c>
      <c r="E1985" t="s">
        <v>21</v>
      </c>
      <c r="F1985" s="1">
        <v>43922</v>
      </c>
      <c r="G1985">
        <v>5.47</v>
      </c>
      <c r="H1985">
        <v>83.321600000000004</v>
      </c>
      <c r="I1985">
        <v>18.57</v>
      </c>
      <c r="J1985">
        <v>67.45</v>
      </c>
      <c r="K1985" t="s">
        <v>23</v>
      </c>
      <c r="L1985">
        <v>1010.06</v>
      </c>
      <c r="M1985">
        <f>VLOOKUP(K1985,RatingLookup!$A$2:$C$8,2,FALSE)</f>
        <v>1E-3</v>
      </c>
      <c r="N1985">
        <f t="shared" si="90"/>
        <v>8.3371552197619714E-5</v>
      </c>
      <c r="O1985">
        <f>VLOOKUP(K1985,RatingLookup!$A$2:$C$8,3,FALSE)</f>
        <v>0.3</v>
      </c>
      <c r="P1985">
        <f t="shared" si="91"/>
        <v>2.5263081003818331E-2</v>
      </c>
      <c r="Q1985" t="str">
        <f t="shared" ca="1" si="92"/>
        <v>No</v>
      </c>
    </row>
    <row r="1986" spans="1:17" x14ac:dyDescent="0.45">
      <c r="A1986" t="s">
        <v>102</v>
      </c>
      <c r="B1986" t="s">
        <v>103</v>
      </c>
      <c r="C1986" t="s">
        <v>43</v>
      </c>
      <c r="D1986" t="s">
        <v>20</v>
      </c>
      <c r="E1986" t="s">
        <v>21</v>
      </c>
      <c r="F1986" s="1">
        <v>43952</v>
      </c>
      <c r="G1986">
        <v>5.81</v>
      </c>
      <c r="H1986">
        <v>83.973500000000001</v>
      </c>
      <c r="I1986">
        <v>24.51</v>
      </c>
      <c r="J1986">
        <v>70.489999999999995</v>
      </c>
      <c r="K1986" t="s">
        <v>23</v>
      </c>
      <c r="L1986">
        <v>960.33</v>
      </c>
      <c r="M1986">
        <f>VLOOKUP(K1986,RatingLookup!$A$2:$C$8,2,FALSE)</f>
        <v>1E-3</v>
      </c>
      <c r="N1986">
        <f t="shared" ref="N1986:N2049" si="93">1-(1-M1986)^(1/12)</f>
        <v>8.3371552197619714E-5</v>
      </c>
      <c r="O1986">
        <f>VLOOKUP(K1986,RatingLookup!$A$2:$C$8,3,FALSE)</f>
        <v>0.3</v>
      </c>
      <c r="P1986">
        <f t="shared" ref="P1986:P2049" si="94">L1986*N1986*O1986</f>
        <v>2.4019260816582042E-2</v>
      </c>
      <c r="Q1986" t="str">
        <f t="shared" ref="Q1986:Q2049" ca="1" si="95">IF(RAND()&lt;N1986,"Yes","No")</f>
        <v>No</v>
      </c>
    </row>
    <row r="1987" spans="1:17" x14ac:dyDescent="0.45">
      <c r="A1987" t="s">
        <v>102</v>
      </c>
      <c r="B1987" t="s">
        <v>103</v>
      </c>
      <c r="C1987" t="s">
        <v>43</v>
      </c>
      <c r="D1987" t="s">
        <v>20</v>
      </c>
      <c r="E1987" t="s">
        <v>21</v>
      </c>
      <c r="F1987" s="1">
        <v>43983</v>
      </c>
      <c r="G1987">
        <v>5.73</v>
      </c>
      <c r="H1987">
        <v>82.470600000000005</v>
      </c>
      <c r="I1987">
        <v>21.42</v>
      </c>
      <c r="J1987">
        <v>84.43</v>
      </c>
      <c r="K1987" t="s">
        <v>23</v>
      </c>
      <c r="L1987">
        <v>1120.06</v>
      </c>
      <c r="M1987">
        <f>VLOOKUP(K1987,RatingLookup!$A$2:$C$8,2,FALSE)</f>
        <v>1E-3</v>
      </c>
      <c r="N1987">
        <f t="shared" si="93"/>
        <v>8.3371552197619714E-5</v>
      </c>
      <c r="O1987">
        <f>VLOOKUP(K1987,RatingLookup!$A$2:$C$8,3,FALSE)</f>
        <v>0.3</v>
      </c>
      <c r="P1987">
        <f t="shared" si="94"/>
        <v>2.8014342226339781E-2</v>
      </c>
      <c r="Q1987" t="str">
        <f t="shared" ca="1" si="95"/>
        <v>No</v>
      </c>
    </row>
    <row r="1988" spans="1:17" x14ac:dyDescent="0.45">
      <c r="A1988" t="s">
        <v>102</v>
      </c>
      <c r="B1988" t="s">
        <v>103</v>
      </c>
      <c r="C1988" t="s">
        <v>43</v>
      </c>
      <c r="D1988" t="s">
        <v>20</v>
      </c>
      <c r="E1988" t="s">
        <v>21</v>
      </c>
      <c r="F1988" s="1">
        <v>44013</v>
      </c>
      <c r="G1988">
        <v>6.29</v>
      </c>
      <c r="H1988">
        <v>82.380099999999999</v>
      </c>
      <c r="I1988">
        <v>7.99</v>
      </c>
      <c r="J1988">
        <v>69.5</v>
      </c>
      <c r="K1988" t="s">
        <v>23</v>
      </c>
      <c r="L1988">
        <v>1135.18</v>
      </c>
      <c r="M1988">
        <f>VLOOKUP(K1988,RatingLookup!$A$2:$C$8,2,FALSE)</f>
        <v>1E-3</v>
      </c>
      <c r="N1988">
        <f t="shared" si="93"/>
        <v>8.3371552197619714E-5</v>
      </c>
      <c r="O1988">
        <f>VLOOKUP(K1988,RatingLookup!$A$2:$C$8,3,FALSE)</f>
        <v>0.3</v>
      </c>
      <c r="P1988">
        <f t="shared" si="94"/>
        <v>2.8392515587108185E-2</v>
      </c>
      <c r="Q1988" t="str">
        <f t="shared" ca="1" si="95"/>
        <v>No</v>
      </c>
    </row>
    <row r="1989" spans="1:17" x14ac:dyDescent="0.45">
      <c r="A1989" t="s">
        <v>102</v>
      </c>
      <c r="B1989" t="s">
        <v>103</v>
      </c>
      <c r="C1989" t="s">
        <v>43</v>
      </c>
      <c r="D1989" t="s">
        <v>20</v>
      </c>
      <c r="E1989" t="s">
        <v>21</v>
      </c>
      <c r="F1989" s="1">
        <v>44044</v>
      </c>
      <c r="G1989">
        <v>5.59</v>
      </c>
      <c r="H1989">
        <v>87.922200000000004</v>
      </c>
      <c r="I1989">
        <v>18.13</v>
      </c>
      <c r="J1989">
        <v>71.5</v>
      </c>
      <c r="K1989" t="s">
        <v>23</v>
      </c>
      <c r="L1989">
        <v>1022.54</v>
      </c>
      <c r="M1989">
        <f>VLOOKUP(K1989,RatingLookup!$A$2:$C$8,2,FALSE)</f>
        <v>1E-3</v>
      </c>
      <c r="N1989">
        <f t="shared" si="93"/>
        <v>8.3371552197619714E-5</v>
      </c>
      <c r="O1989">
        <f>VLOOKUP(K1989,RatingLookup!$A$2:$C$8,3,FALSE)</f>
        <v>0.3</v>
      </c>
      <c r="P1989">
        <f t="shared" si="94"/>
        <v>2.5575224095246218E-2</v>
      </c>
      <c r="Q1989" t="str">
        <f t="shared" ca="1" si="95"/>
        <v>No</v>
      </c>
    </row>
    <row r="1990" spans="1:17" x14ac:dyDescent="0.45">
      <c r="A1990" t="s">
        <v>102</v>
      </c>
      <c r="B1990" t="s">
        <v>103</v>
      </c>
      <c r="C1990" t="s">
        <v>43</v>
      </c>
      <c r="D1990" t="s">
        <v>20</v>
      </c>
      <c r="E1990" t="s">
        <v>21</v>
      </c>
      <c r="F1990" s="1">
        <v>44075</v>
      </c>
      <c r="G1990">
        <v>5.17</v>
      </c>
      <c r="H1990">
        <v>82.028499999999994</v>
      </c>
      <c r="I1990">
        <v>5</v>
      </c>
      <c r="J1990">
        <v>74.83</v>
      </c>
      <c r="K1990" t="s">
        <v>23</v>
      </c>
      <c r="L1990">
        <v>1156.48</v>
      </c>
      <c r="M1990">
        <f>VLOOKUP(K1990,RatingLookup!$A$2:$C$8,2,FALSE)</f>
        <v>1E-3</v>
      </c>
      <c r="N1990">
        <f t="shared" si="93"/>
        <v>8.3371552197619714E-5</v>
      </c>
      <c r="O1990">
        <f>VLOOKUP(K1990,RatingLookup!$A$2:$C$8,3,FALSE)</f>
        <v>0.3</v>
      </c>
      <c r="P1990">
        <f t="shared" si="94"/>
        <v>2.8925259805650975E-2</v>
      </c>
      <c r="Q1990" t="str">
        <f t="shared" ca="1" si="95"/>
        <v>No</v>
      </c>
    </row>
    <row r="1991" spans="1:17" x14ac:dyDescent="0.45">
      <c r="A1991" t="s">
        <v>102</v>
      </c>
      <c r="B1991" t="s">
        <v>103</v>
      </c>
      <c r="C1991" t="s">
        <v>43</v>
      </c>
      <c r="D1991" t="s">
        <v>20</v>
      </c>
      <c r="E1991" t="s">
        <v>21</v>
      </c>
      <c r="F1991" s="1">
        <v>44105</v>
      </c>
      <c r="G1991">
        <v>5.76</v>
      </c>
      <c r="H1991">
        <v>83.022900000000007</v>
      </c>
      <c r="I1991">
        <v>15.12</v>
      </c>
      <c r="J1991">
        <v>80.59</v>
      </c>
      <c r="K1991" t="s">
        <v>23</v>
      </c>
      <c r="L1991">
        <v>1034.47</v>
      </c>
      <c r="M1991">
        <f>VLOOKUP(K1991,RatingLookup!$A$2:$C$8,2,FALSE)</f>
        <v>1E-3</v>
      </c>
      <c r="N1991">
        <f t="shared" si="93"/>
        <v>8.3371552197619714E-5</v>
      </c>
      <c r="O1991">
        <f>VLOOKUP(K1991,RatingLookup!$A$2:$C$8,3,FALSE)</f>
        <v>0.3</v>
      </c>
      <c r="P1991">
        <f t="shared" si="94"/>
        <v>2.58736108805615E-2</v>
      </c>
      <c r="Q1991" t="str">
        <f t="shared" ca="1" si="95"/>
        <v>No</v>
      </c>
    </row>
    <row r="1992" spans="1:17" x14ac:dyDescent="0.45">
      <c r="A1992" t="s">
        <v>102</v>
      </c>
      <c r="B1992" t="s">
        <v>103</v>
      </c>
      <c r="C1992" t="s">
        <v>43</v>
      </c>
      <c r="D1992" t="s">
        <v>20</v>
      </c>
      <c r="E1992" t="s">
        <v>21</v>
      </c>
      <c r="F1992" s="1">
        <v>44136</v>
      </c>
      <c r="G1992">
        <v>5.93</v>
      </c>
      <c r="H1992">
        <v>77.478899999999996</v>
      </c>
      <c r="I1992">
        <v>16.18</v>
      </c>
      <c r="J1992">
        <v>86.43</v>
      </c>
      <c r="K1992" t="s">
        <v>23</v>
      </c>
      <c r="L1992">
        <v>1055.49</v>
      </c>
      <c r="M1992">
        <f>VLOOKUP(K1992,RatingLookup!$A$2:$C$8,2,FALSE)</f>
        <v>1E-3</v>
      </c>
      <c r="N1992">
        <f t="shared" si="93"/>
        <v>8.3371552197619714E-5</v>
      </c>
      <c r="O1992">
        <f>VLOOKUP(K1992,RatingLookup!$A$2:$C$8,3,FALSE)</f>
        <v>0.3</v>
      </c>
      <c r="P1992">
        <f t="shared" si="94"/>
        <v>2.6399351888719686E-2</v>
      </c>
      <c r="Q1992" t="str">
        <f t="shared" ca="1" si="95"/>
        <v>No</v>
      </c>
    </row>
    <row r="1993" spans="1:17" x14ac:dyDescent="0.45">
      <c r="A1993" t="s">
        <v>102</v>
      </c>
      <c r="B1993" t="s">
        <v>103</v>
      </c>
      <c r="C1993" t="s">
        <v>43</v>
      </c>
      <c r="D1993" t="s">
        <v>20</v>
      </c>
      <c r="E1993" t="s">
        <v>21</v>
      </c>
      <c r="F1993" s="1">
        <v>44166</v>
      </c>
      <c r="G1993">
        <v>5.15</v>
      </c>
      <c r="H1993">
        <v>82.001400000000004</v>
      </c>
      <c r="I1993">
        <v>17.079999999999998</v>
      </c>
      <c r="J1993">
        <v>83.43</v>
      </c>
      <c r="K1993" t="s">
        <v>23</v>
      </c>
      <c r="L1993">
        <v>1060.48</v>
      </c>
      <c r="M1993">
        <f>VLOOKUP(K1993,RatingLookup!$A$2:$C$8,2,FALSE)</f>
        <v>1E-3</v>
      </c>
      <c r="N1993">
        <f t="shared" si="93"/>
        <v>8.3371552197619714E-5</v>
      </c>
      <c r="O1993">
        <f>VLOOKUP(K1993,RatingLookup!$A$2:$C$8,3,FALSE)</f>
        <v>0.3</v>
      </c>
      <c r="P1993">
        <f t="shared" si="94"/>
        <v>2.6524159102359526E-2</v>
      </c>
      <c r="Q1993" t="str">
        <f t="shared" ca="1" si="95"/>
        <v>No</v>
      </c>
    </row>
    <row r="1994" spans="1:17" x14ac:dyDescent="0.45">
      <c r="A1994" t="s">
        <v>102</v>
      </c>
      <c r="B1994" t="s">
        <v>103</v>
      </c>
      <c r="C1994" t="s">
        <v>43</v>
      </c>
      <c r="D1994" t="s">
        <v>20</v>
      </c>
      <c r="E1994" t="s">
        <v>21</v>
      </c>
      <c r="F1994" s="1">
        <v>44197</v>
      </c>
      <c r="G1994">
        <v>4.4400000000000004</v>
      </c>
      <c r="H1994">
        <v>83.864800000000002</v>
      </c>
      <c r="I1994">
        <v>27.02</v>
      </c>
      <c r="J1994">
        <v>67.930000000000007</v>
      </c>
      <c r="K1994" t="s">
        <v>23</v>
      </c>
      <c r="L1994">
        <v>1001.77</v>
      </c>
      <c r="M1994">
        <f>VLOOKUP(K1994,RatingLookup!$A$2:$C$8,2,FALSE)</f>
        <v>1E-3</v>
      </c>
      <c r="N1994">
        <f t="shared" si="93"/>
        <v>8.3371552197619714E-5</v>
      </c>
      <c r="O1994">
        <f>VLOOKUP(K1994,RatingLookup!$A$2:$C$8,3,FALSE)</f>
        <v>0.3</v>
      </c>
      <c r="P1994">
        <f t="shared" si="94"/>
        <v>2.5055735953502849E-2</v>
      </c>
      <c r="Q1994" t="str">
        <f t="shared" ca="1" si="95"/>
        <v>No</v>
      </c>
    </row>
    <row r="1995" spans="1:17" x14ac:dyDescent="0.45">
      <c r="A1995" t="s">
        <v>102</v>
      </c>
      <c r="B1995" t="s">
        <v>103</v>
      </c>
      <c r="C1995" t="s">
        <v>43</v>
      </c>
      <c r="D1995" t="s">
        <v>20</v>
      </c>
      <c r="E1995" t="s">
        <v>21</v>
      </c>
      <c r="F1995" s="1">
        <v>44228</v>
      </c>
      <c r="G1995">
        <v>5.13</v>
      </c>
      <c r="H1995">
        <v>80.953299999999999</v>
      </c>
      <c r="I1995">
        <v>17.760000000000002</v>
      </c>
      <c r="J1995">
        <v>77.31</v>
      </c>
      <c r="K1995" t="s">
        <v>23</v>
      </c>
      <c r="L1995">
        <v>1088.8800000000001</v>
      </c>
      <c r="M1995">
        <f>VLOOKUP(K1995,RatingLookup!$A$2:$C$8,2,FALSE)</f>
        <v>1E-3</v>
      </c>
      <c r="N1995">
        <f t="shared" si="93"/>
        <v>8.3371552197619714E-5</v>
      </c>
      <c r="O1995">
        <f>VLOOKUP(K1995,RatingLookup!$A$2:$C$8,3,FALSE)</f>
        <v>0.3</v>
      </c>
      <c r="P1995">
        <f t="shared" si="94"/>
        <v>2.7234484727083248E-2</v>
      </c>
      <c r="Q1995" t="str">
        <f t="shared" ca="1" si="95"/>
        <v>No</v>
      </c>
    </row>
    <row r="1996" spans="1:17" x14ac:dyDescent="0.45">
      <c r="A1996" t="s">
        <v>102</v>
      </c>
      <c r="B1996" t="s">
        <v>103</v>
      </c>
      <c r="C1996" t="s">
        <v>43</v>
      </c>
      <c r="D1996" t="s">
        <v>20</v>
      </c>
      <c r="E1996" t="s">
        <v>21</v>
      </c>
      <c r="F1996" s="1">
        <v>44256</v>
      </c>
      <c r="G1996">
        <v>4.3499999999999996</v>
      </c>
      <c r="H1996">
        <v>84.619200000000006</v>
      </c>
      <c r="I1996">
        <v>19.79</v>
      </c>
      <c r="J1996">
        <v>91.51</v>
      </c>
      <c r="K1996" t="s">
        <v>23</v>
      </c>
      <c r="L1996">
        <v>1098.3</v>
      </c>
      <c r="M1996">
        <f>VLOOKUP(K1996,RatingLookup!$A$2:$C$8,2,FALSE)</f>
        <v>1E-3</v>
      </c>
      <c r="N1996">
        <f t="shared" si="93"/>
        <v>8.3371552197619714E-5</v>
      </c>
      <c r="O1996">
        <f>VLOOKUP(K1996,RatingLookup!$A$2:$C$8,3,FALSE)</f>
        <v>0.3</v>
      </c>
      <c r="P1996">
        <f t="shared" si="94"/>
        <v>2.7470092733593719E-2</v>
      </c>
      <c r="Q1996" t="str">
        <f t="shared" ca="1" si="95"/>
        <v>No</v>
      </c>
    </row>
    <row r="1997" spans="1:17" x14ac:dyDescent="0.45">
      <c r="A1997" t="s">
        <v>102</v>
      </c>
      <c r="B1997" t="s">
        <v>103</v>
      </c>
      <c r="C1997" t="s">
        <v>43</v>
      </c>
      <c r="D1997" t="s">
        <v>20</v>
      </c>
      <c r="E1997" t="s">
        <v>21</v>
      </c>
      <c r="F1997" s="1">
        <v>44287</v>
      </c>
      <c r="G1997">
        <v>5.46</v>
      </c>
      <c r="H1997">
        <v>84.920900000000003</v>
      </c>
      <c r="I1997">
        <v>21.67</v>
      </c>
      <c r="J1997">
        <v>91.15</v>
      </c>
      <c r="K1997" t="s">
        <v>23</v>
      </c>
      <c r="L1997">
        <v>1123.27</v>
      </c>
      <c r="M1997">
        <f>VLOOKUP(K1997,RatingLookup!$A$2:$C$8,2,FALSE)</f>
        <v>1E-3</v>
      </c>
      <c r="N1997">
        <f t="shared" si="93"/>
        <v>8.3371552197619714E-5</v>
      </c>
      <c r="O1997">
        <f>VLOOKUP(K1997,RatingLookup!$A$2:$C$8,3,FALSE)</f>
        <v>0.3</v>
      </c>
      <c r="P1997">
        <f t="shared" si="94"/>
        <v>2.8094629031106086E-2</v>
      </c>
      <c r="Q1997" t="str">
        <f t="shared" ca="1" si="95"/>
        <v>No</v>
      </c>
    </row>
    <row r="1998" spans="1:17" x14ac:dyDescent="0.45">
      <c r="A1998" t="s">
        <v>102</v>
      </c>
      <c r="B1998" t="s">
        <v>103</v>
      </c>
      <c r="C1998" t="s">
        <v>43</v>
      </c>
      <c r="D1998" t="s">
        <v>20</v>
      </c>
      <c r="E1998" t="s">
        <v>21</v>
      </c>
      <c r="F1998" s="1">
        <v>44317</v>
      </c>
      <c r="G1998">
        <v>5.86</v>
      </c>
      <c r="H1998">
        <v>79.779799999999994</v>
      </c>
      <c r="I1998">
        <v>17.21</v>
      </c>
      <c r="J1998">
        <v>80.72</v>
      </c>
      <c r="K1998" t="s">
        <v>23</v>
      </c>
      <c r="L1998">
        <v>1040.4100000000001</v>
      </c>
      <c r="M1998">
        <f>VLOOKUP(K1998,RatingLookup!$A$2:$C$8,2,FALSE)</f>
        <v>1E-3</v>
      </c>
      <c r="N1998">
        <f t="shared" si="93"/>
        <v>8.3371552197619714E-5</v>
      </c>
      <c r="O1998">
        <f>VLOOKUP(K1998,RatingLookup!$A$2:$C$8,3,FALSE)</f>
        <v>0.3</v>
      </c>
      <c r="P1998">
        <f t="shared" si="94"/>
        <v>2.6022178986577656E-2</v>
      </c>
      <c r="Q1998" t="str">
        <f t="shared" ca="1" si="95"/>
        <v>No</v>
      </c>
    </row>
    <row r="1999" spans="1:17" x14ac:dyDescent="0.45">
      <c r="A1999" t="s">
        <v>102</v>
      </c>
      <c r="B1999" t="s">
        <v>103</v>
      </c>
      <c r="C1999" t="s">
        <v>43</v>
      </c>
      <c r="D1999" t="s">
        <v>20</v>
      </c>
      <c r="E1999" t="s">
        <v>21</v>
      </c>
      <c r="F1999" s="1">
        <v>44348</v>
      </c>
      <c r="G1999">
        <v>5</v>
      </c>
      <c r="H1999">
        <v>79.755799999999994</v>
      </c>
      <c r="I1999">
        <v>12.05</v>
      </c>
      <c r="J1999">
        <v>74.34</v>
      </c>
      <c r="K1999" t="s">
        <v>23</v>
      </c>
      <c r="L1999">
        <v>1025.57</v>
      </c>
      <c r="M1999">
        <f>VLOOKUP(K1999,RatingLookup!$A$2:$C$8,2,FALSE)</f>
        <v>1E-3</v>
      </c>
      <c r="N1999">
        <f t="shared" si="93"/>
        <v>8.3371552197619714E-5</v>
      </c>
      <c r="O1999">
        <f>VLOOKUP(K1999,RatingLookup!$A$2:$C$8,3,FALSE)</f>
        <v>0.3</v>
      </c>
      <c r="P1999">
        <f t="shared" si="94"/>
        <v>2.565100883619385E-2</v>
      </c>
      <c r="Q1999" t="str">
        <f t="shared" ca="1" si="95"/>
        <v>No</v>
      </c>
    </row>
    <row r="2000" spans="1:17" x14ac:dyDescent="0.45">
      <c r="A2000" t="s">
        <v>102</v>
      </c>
      <c r="B2000" t="s">
        <v>103</v>
      </c>
      <c r="C2000" t="s">
        <v>43</v>
      </c>
      <c r="D2000" t="s">
        <v>20</v>
      </c>
      <c r="E2000" t="s">
        <v>21</v>
      </c>
      <c r="F2000" s="1">
        <v>44378</v>
      </c>
      <c r="G2000">
        <v>5.19</v>
      </c>
      <c r="H2000">
        <v>81.247600000000006</v>
      </c>
      <c r="I2000">
        <v>31.13</v>
      </c>
      <c r="J2000">
        <v>84.5</v>
      </c>
      <c r="K2000" t="s">
        <v>23</v>
      </c>
      <c r="L2000">
        <v>1070.42</v>
      </c>
      <c r="M2000">
        <f>VLOOKUP(K2000,RatingLookup!$A$2:$C$8,2,FALSE)</f>
        <v>1E-3</v>
      </c>
      <c r="N2000">
        <f t="shared" si="93"/>
        <v>8.3371552197619714E-5</v>
      </c>
      <c r="O2000">
        <f>VLOOKUP(K2000,RatingLookup!$A$2:$C$8,3,FALSE)</f>
        <v>0.3</v>
      </c>
      <c r="P2000">
        <f t="shared" si="94"/>
        <v>2.6772773071012831E-2</v>
      </c>
      <c r="Q2000" t="str">
        <f t="shared" ca="1" si="95"/>
        <v>No</v>
      </c>
    </row>
    <row r="2001" spans="1:17" x14ac:dyDescent="0.45">
      <c r="A2001" t="s">
        <v>102</v>
      </c>
      <c r="B2001" t="s">
        <v>103</v>
      </c>
      <c r="C2001" t="s">
        <v>43</v>
      </c>
      <c r="D2001" t="s">
        <v>20</v>
      </c>
      <c r="E2001" t="s">
        <v>21</v>
      </c>
      <c r="F2001" s="1">
        <v>44409</v>
      </c>
      <c r="G2001">
        <v>5.77</v>
      </c>
      <c r="H2001">
        <v>79.795299999999997</v>
      </c>
      <c r="I2001">
        <v>17.559999999999999</v>
      </c>
      <c r="J2001">
        <v>67.14</v>
      </c>
      <c r="K2001" t="s">
        <v>23</v>
      </c>
      <c r="L2001">
        <v>1060.8499999999999</v>
      </c>
      <c r="M2001">
        <f>VLOOKUP(K2001,RatingLookup!$A$2:$C$8,2,FALSE)</f>
        <v>1E-3</v>
      </c>
      <c r="N2001">
        <f t="shared" si="93"/>
        <v>8.3371552197619714E-5</v>
      </c>
      <c r="O2001">
        <f>VLOOKUP(K2001,RatingLookup!$A$2:$C$8,3,FALSE)</f>
        <v>0.3</v>
      </c>
      <c r="P2001">
        <f t="shared" si="94"/>
        <v>2.6533413344653457E-2</v>
      </c>
      <c r="Q2001" t="str">
        <f t="shared" ca="1" si="95"/>
        <v>No</v>
      </c>
    </row>
    <row r="2002" spans="1:17" x14ac:dyDescent="0.45">
      <c r="A2002" t="s">
        <v>102</v>
      </c>
      <c r="B2002" t="s">
        <v>103</v>
      </c>
      <c r="C2002" t="s">
        <v>43</v>
      </c>
      <c r="D2002" t="s">
        <v>20</v>
      </c>
      <c r="E2002" t="s">
        <v>21</v>
      </c>
      <c r="F2002" s="1">
        <v>44440</v>
      </c>
      <c r="G2002">
        <v>5.4</v>
      </c>
      <c r="H2002">
        <v>85.031400000000005</v>
      </c>
      <c r="I2002">
        <v>13.64</v>
      </c>
      <c r="J2002">
        <v>68.260000000000005</v>
      </c>
      <c r="K2002" t="s">
        <v>23</v>
      </c>
      <c r="L2002">
        <v>1042</v>
      </c>
      <c r="M2002">
        <f>VLOOKUP(K2002,RatingLookup!$A$2:$C$8,2,FALSE)</f>
        <v>1E-3</v>
      </c>
      <c r="N2002">
        <f t="shared" si="93"/>
        <v>8.3371552197619714E-5</v>
      </c>
      <c r="O2002">
        <f>VLOOKUP(K2002,RatingLookup!$A$2:$C$8,3,FALSE)</f>
        <v>0.3</v>
      </c>
      <c r="P2002">
        <f t="shared" si="94"/>
        <v>2.6061947216975922E-2</v>
      </c>
      <c r="Q2002" t="str">
        <f t="shared" ca="1" si="95"/>
        <v>No</v>
      </c>
    </row>
    <row r="2003" spans="1:17" x14ac:dyDescent="0.45">
      <c r="A2003" t="s">
        <v>102</v>
      </c>
      <c r="B2003" t="s">
        <v>103</v>
      </c>
      <c r="C2003" t="s">
        <v>43</v>
      </c>
      <c r="D2003" t="s">
        <v>20</v>
      </c>
      <c r="E2003" t="s">
        <v>21</v>
      </c>
      <c r="F2003" s="1">
        <v>44470</v>
      </c>
      <c r="G2003">
        <v>5.13</v>
      </c>
      <c r="H2003">
        <v>80.4572</v>
      </c>
      <c r="I2003">
        <v>19.11</v>
      </c>
      <c r="J2003">
        <v>78.37</v>
      </c>
      <c r="K2003" t="s">
        <v>23</v>
      </c>
      <c r="L2003">
        <v>1111.96</v>
      </c>
      <c r="M2003">
        <f>VLOOKUP(K2003,RatingLookup!$A$2:$C$8,2,FALSE)</f>
        <v>1E-3</v>
      </c>
      <c r="N2003">
        <f t="shared" si="93"/>
        <v>8.3371552197619714E-5</v>
      </c>
      <c r="O2003">
        <f>VLOOKUP(K2003,RatingLookup!$A$2:$C$8,3,FALSE)</f>
        <v>0.3</v>
      </c>
      <c r="P2003">
        <f t="shared" si="94"/>
        <v>2.7811749354499562E-2</v>
      </c>
      <c r="Q2003" t="str">
        <f t="shared" ca="1" si="95"/>
        <v>No</v>
      </c>
    </row>
    <row r="2004" spans="1:17" x14ac:dyDescent="0.45">
      <c r="A2004" t="s">
        <v>102</v>
      </c>
      <c r="B2004" t="s">
        <v>103</v>
      </c>
      <c r="C2004" t="s">
        <v>43</v>
      </c>
      <c r="D2004" t="s">
        <v>20</v>
      </c>
      <c r="E2004" t="s">
        <v>21</v>
      </c>
      <c r="F2004" s="1">
        <v>44501</v>
      </c>
      <c r="G2004">
        <v>5.72</v>
      </c>
      <c r="H2004">
        <v>83.250399999999999</v>
      </c>
      <c r="I2004">
        <v>15.14</v>
      </c>
      <c r="J2004">
        <v>79.95</v>
      </c>
      <c r="K2004" t="s">
        <v>23</v>
      </c>
      <c r="L2004">
        <v>1102.42</v>
      </c>
      <c r="M2004">
        <f>VLOOKUP(K2004,RatingLookup!$A$2:$C$8,2,FALSE)</f>
        <v>1E-3</v>
      </c>
      <c r="N2004">
        <f t="shared" si="93"/>
        <v>8.3371552197619714E-5</v>
      </c>
      <c r="O2004">
        <f>VLOOKUP(K2004,RatingLookup!$A$2:$C$8,3,FALSE)</f>
        <v>0.3</v>
      </c>
      <c r="P2004">
        <f t="shared" si="94"/>
        <v>2.7573139972109979E-2</v>
      </c>
      <c r="Q2004" t="str">
        <f t="shared" ca="1" si="95"/>
        <v>No</v>
      </c>
    </row>
    <row r="2005" spans="1:17" x14ac:dyDescent="0.45">
      <c r="A2005" t="s">
        <v>102</v>
      </c>
      <c r="B2005" t="s">
        <v>103</v>
      </c>
      <c r="C2005" t="s">
        <v>43</v>
      </c>
      <c r="D2005" t="s">
        <v>20</v>
      </c>
      <c r="E2005" t="s">
        <v>21</v>
      </c>
      <c r="F2005" s="1">
        <v>44531</v>
      </c>
      <c r="G2005">
        <v>5.14</v>
      </c>
      <c r="H2005">
        <v>80.8172</v>
      </c>
      <c r="I2005">
        <v>15.64</v>
      </c>
      <c r="J2005">
        <v>72.849999999999994</v>
      </c>
      <c r="K2005" t="s">
        <v>23</v>
      </c>
      <c r="L2005">
        <v>1015.99</v>
      </c>
      <c r="M2005">
        <f>VLOOKUP(K2005,RatingLookup!$A$2:$C$8,2,FALSE)</f>
        <v>1E-3</v>
      </c>
      <c r="N2005">
        <f t="shared" si="93"/>
        <v>8.3371552197619714E-5</v>
      </c>
      <c r="O2005">
        <f>VLOOKUP(K2005,RatingLookup!$A$2:$C$8,3,FALSE)</f>
        <v>0.3</v>
      </c>
      <c r="P2005">
        <f t="shared" si="94"/>
        <v>2.5411398995177893E-2</v>
      </c>
      <c r="Q2005" t="str">
        <f t="shared" ca="1" si="95"/>
        <v>No</v>
      </c>
    </row>
    <row r="2006" spans="1:17" x14ac:dyDescent="0.45">
      <c r="A2006" t="s">
        <v>102</v>
      </c>
      <c r="B2006" t="s">
        <v>103</v>
      </c>
      <c r="C2006" t="s">
        <v>43</v>
      </c>
      <c r="D2006" t="s">
        <v>20</v>
      </c>
      <c r="E2006" t="s">
        <v>21</v>
      </c>
      <c r="F2006" s="1">
        <v>44562</v>
      </c>
      <c r="G2006">
        <v>5.45</v>
      </c>
      <c r="H2006">
        <v>87.277500000000003</v>
      </c>
      <c r="I2006">
        <v>16.75</v>
      </c>
      <c r="J2006">
        <v>81.56</v>
      </c>
      <c r="K2006" t="s">
        <v>23</v>
      </c>
      <c r="L2006">
        <v>1038.29</v>
      </c>
      <c r="M2006">
        <f>VLOOKUP(K2006,RatingLookup!$A$2:$C$8,2,FALSE)</f>
        <v>1E-3</v>
      </c>
      <c r="N2006">
        <f t="shared" si="93"/>
        <v>8.3371552197619714E-5</v>
      </c>
      <c r="O2006">
        <f>VLOOKUP(K2006,RatingLookup!$A$2:$C$8,3,FALSE)</f>
        <v>0.3</v>
      </c>
      <c r="P2006">
        <f t="shared" si="94"/>
        <v>2.5969154679379974E-2</v>
      </c>
      <c r="Q2006" t="str">
        <f t="shared" ca="1" si="95"/>
        <v>No</v>
      </c>
    </row>
    <row r="2007" spans="1:17" x14ac:dyDescent="0.45">
      <c r="A2007" t="s">
        <v>102</v>
      </c>
      <c r="B2007" t="s">
        <v>103</v>
      </c>
      <c r="C2007" t="s">
        <v>43</v>
      </c>
      <c r="D2007" t="s">
        <v>20</v>
      </c>
      <c r="E2007" t="s">
        <v>21</v>
      </c>
      <c r="F2007" s="1">
        <v>44593</v>
      </c>
      <c r="G2007">
        <v>5.43</v>
      </c>
      <c r="H2007">
        <v>80.437600000000003</v>
      </c>
      <c r="I2007">
        <v>22.32</v>
      </c>
      <c r="J2007">
        <v>83.33</v>
      </c>
      <c r="K2007" t="s">
        <v>23</v>
      </c>
      <c r="L2007">
        <v>1022.06</v>
      </c>
      <c r="M2007">
        <f>VLOOKUP(K2007,RatingLookup!$A$2:$C$8,2,FALSE)</f>
        <v>1E-3</v>
      </c>
      <c r="N2007">
        <f t="shared" si="93"/>
        <v>8.3371552197619714E-5</v>
      </c>
      <c r="O2007">
        <f>VLOOKUP(K2007,RatingLookup!$A$2:$C$8,3,FALSE)</f>
        <v>0.3</v>
      </c>
      <c r="P2007">
        <f t="shared" si="94"/>
        <v>2.5563218591729761E-2</v>
      </c>
      <c r="Q2007" t="str">
        <f t="shared" ca="1" si="95"/>
        <v>No</v>
      </c>
    </row>
    <row r="2008" spans="1:17" x14ac:dyDescent="0.45">
      <c r="A2008" t="s">
        <v>102</v>
      </c>
      <c r="B2008" t="s">
        <v>103</v>
      </c>
      <c r="C2008" t="s">
        <v>43</v>
      </c>
      <c r="D2008" t="s">
        <v>20</v>
      </c>
      <c r="E2008" t="s">
        <v>21</v>
      </c>
      <c r="F2008" s="1">
        <v>44621</v>
      </c>
      <c r="G2008">
        <v>5.5</v>
      </c>
      <c r="H2008">
        <v>85.670699999999997</v>
      </c>
      <c r="I2008">
        <v>26.34</v>
      </c>
      <c r="J2008">
        <v>90.28</v>
      </c>
      <c r="K2008" t="s">
        <v>23</v>
      </c>
      <c r="L2008">
        <v>1118.55</v>
      </c>
      <c r="M2008">
        <f>VLOOKUP(K2008,RatingLookup!$A$2:$C$8,2,FALSE)</f>
        <v>1E-3</v>
      </c>
      <c r="N2008">
        <f t="shared" si="93"/>
        <v>8.3371552197619714E-5</v>
      </c>
      <c r="O2008">
        <f>VLOOKUP(K2008,RatingLookup!$A$2:$C$8,3,FALSE)</f>
        <v>0.3</v>
      </c>
      <c r="P2008">
        <f t="shared" si="94"/>
        <v>2.7976574913194257E-2</v>
      </c>
      <c r="Q2008" t="str">
        <f t="shared" ca="1" si="95"/>
        <v>No</v>
      </c>
    </row>
    <row r="2009" spans="1:17" x14ac:dyDescent="0.45">
      <c r="A2009" t="s">
        <v>102</v>
      </c>
      <c r="B2009" t="s">
        <v>103</v>
      </c>
      <c r="C2009" t="s">
        <v>43</v>
      </c>
      <c r="D2009" t="s">
        <v>20</v>
      </c>
      <c r="E2009" t="s">
        <v>21</v>
      </c>
      <c r="F2009" s="1">
        <v>44652</v>
      </c>
      <c r="G2009">
        <v>6.19</v>
      </c>
      <c r="H2009">
        <v>85.391499999999994</v>
      </c>
      <c r="I2009">
        <v>20.27</v>
      </c>
      <c r="J2009">
        <v>59.75</v>
      </c>
      <c r="K2009" t="s">
        <v>23</v>
      </c>
      <c r="L2009">
        <v>1159.46</v>
      </c>
      <c r="M2009">
        <f>VLOOKUP(K2009,RatingLookup!$A$2:$C$8,2,FALSE)</f>
        <v>1E-3</v>
      </c>
      <c r="N2009">
        <f t="shared" si="93"/>
        <v>8.3371552197619714E-5</v>
      </c>
      <c r="O2009">
        <f>VLOOKUP(K2009,RatingLookup!$A$2:$C$8,3,FALSE)</f>
        <v>0.3</v>
      </c>
      <c r="P2009">
        <f t="shared" si="94"/>
        <v>2.8999793973315643E-2</v>
      </c>
      <c r="Q2009" t="str">
        <f t="shared" ca="1" si="95"/>
        <v>No</v>
      </c>
    </row>
    <row r="2010" spans="1:17" x14ac:dyDescent="0.45">
      <c r="A2010" t="s">
        <v>102</v>
      </c>
      <c r="B2010" t="s">
        <v>103</v>
      </c>
      <c r="C2010" t="s">
        <v>43</v>
      </c>
      <c r="D2010" t="s">
        <v>20</v>
      </c>
      <c r="E2010" t="s">
        <v>21</v>
      </c>
      <c r="F2010" s="1">
        <v>44682</v>
      </c>
      <c r="G2010">
        <v>6.09</v>
      </c>
      <c r="H2010">
        <v>84.670199999999994</v>
      </c>
      <c r="I2010">
        <v>12.82</v>
      </c>
      <c r="J2010">
        <v>76.23</v>
      </c>
      <c r="K2010" t="s">
        <v>23</v>
      </c>
      <c r="L2010">
        <v>1044.0899999999999</v>
      </c>
      <c r="M2010">
        <f>VLOOKUP(K2010,RatingLookup!$A$2:$C$8,2,FALSE)</f>
        <v>1E-3</v>
      </c>
      <c r="N2010">
        <f t="shared" si="93"/>
        <v>8.3371552197619714E-5</v>
      </c>
      <c r="O2010">
        <f>VLOOKUP(K2010,RatingLookup!$A$2:$C$8,3,FALSE)</f>
        <v>0.3</v>
      </c>
      <c r="P2010">
        <f t="shared" si="94"/>
        <v>2.6114221180203828E-2</v>
      </c>
      <c r="Q2010" t="str">
        <f t="shared" ca="1" si="95"/>
        <v>No</v>
      </c>
    </row>
    <row r="2011" spans="1:17" x14ac:dyDescent="0.45">
      <c r="A2011" t="s">
        <v>102</v>
      </c>
      <c r="B2011" t="s">
        <v>103</v>
      </c>
      <c r="C2011" t="s">
        <v>43</v>
      </c>
      <c r="D2011" t="s">
        <v>20</v>
      </c>
      <c r="E2011" t="s">
        <v>21</v>
      </c>
      <c r="F2011" s="1">
        <v>44713</v>
      </c>
      <c r="G2011">
        <v>4.97</v>
      </c>
      <c r="H2011">
        <v>82.152100000000004</v>
      </c>
      <c r="I2011">
        <v>5</v>
      </c>
      <c r="J2011">
        <v>64.180000000000007</v>
      </c>
      <c r="K2011" t="s">
        <v>23</v>
      </c>
      <c r="L2011">
        <v>1127.9000000000001</v>
      </c>
      <c r="M2011">
        <f>VLOOKUP(K2011,RatingLookup!$A$2:$C$8,2,FALSE)</f>
        <v>1E-3</v>
      </c>
      <c r="N2011">
        <f t="shared" si="93"/>
        <v>8.3371552197619714E-5</v>
      </c>
      <c r="O2011">
        <f>VLOOKUP(K2011,RatingLookup!$A$2:$C$8,3,FALSE)</f>
        <v>0.3</v>
      </c>
      <c r="P2011">
        <f t="shared" si="94"/>
        <v>2.8210432117108584E-2</v>
      </c>
      <c r="Q2011" t="str">
        <f t="shared" ca="1" si="95"/>
        <v>No</v>
      </c>
    </row>
    <row r="2012" spans="1:17" x14ac:dyDescent="0.45">
      <c r="A2012" t="s">
        <v>102</v>
      </c>
      <c r="B2012" t="s">
        <v>103</v>
      </c>
      <c r="C2012" t="s">
        <v>43</v>
      </c>
      <c r="D2012" t="s">
        <v>20</v>
      </c>
      <c r="E2012" t="s">
        <v>21</v>
      </c>
      <c r="F2012" s="1">
        <v>44743</v>
      </c>
      <c r="G2012">
        <v>4.51</v>
      </c>
      <c r="H2012">
        <v>83.623599999999996</v>
      </c>
      <c r="I2012">
        <v>16.649999999999999</v>
      </c>
      <c r="J2012">
        <v>68.819999999999993</v>
      </c>
      <c r="K2012" t="s">
        <v>23</v>
      </c>
      <c r="L2012">
        <v>960.04</v>
      </c>
      <c r="M2012">
        <f>VLOOKUP(K2012,RatingLookup!$A$2:$C$8,2,FALSE)</f>
        <v>1E-3</v>
      </c>
      <c r="N2012">
        <f t="shared" si="93"/>
        <v>8.3371552197619714E-5</v>
      </c>
      <c r="O2012">
        <f>VLOOKUP(K2012,RatingLookup!$A$2:$C$8,3,FALSE)</f>
        <v>0.3</v>
      </c>
      <c r="P2012">
        <f t="shared" si="94"/>
        <v>2.4012007491540848E-2</v>
      </c>
      <c r="Q2012" t="str">
        <f t="shared" ca="1" si="95"/>
        <v>No</v>
      </c>
    </row>
    <row r="2013" spans="1:17" x14ac:dyDescent="0.45">
      <c r="A2013" t="s">
        <v>102</v>
      </c>
      <c r="B2013" t="s">
        <v>103</v>
      </c>
      <c r="C2013" t="s">
        <v>43</v>
      </c>
      <c r="D2013" t="s">
        <v>20</v>
      </c>
      <c r="E2013" t="s">
        <v>21</v>
      </c>
      <c r="F2013" s="1">
        <v>44774</v>
      </c>
      <c r="G2013">
        <v>4.96</v>
      </c>
      <c r="H2013">
        <v>82.071899999999999</v>
      </c>
      <c r="I2013">
        <v>18.02</v>
      </c>
      <c r="J2013">
        <v>71.33</v>
      </c>
      <c r="K2013" t="s">
        <v>23</v>
      </c>
      <c r="L2013">
        <v>1166.8900000000001</v>
      </c>
      <c r="M2013">
        <f>VLOOKUP(K2013,RatingLookup!$A$2:$C$8,2,FALSE)</f>
        <v>1E-3</v>
      </c>
      <c r="N2013">
        <f t="shared" si="93"/>
        <v>8.3371552197619714E-5</v>
      </c>
      <c r="O2013">
        <f>VLOOKUP(K2013,RatingLookup!$A$2:$C$8,3,FALSE)</f>
        <v>0.3</v>
      </c>
      <c r="P2013">
        <f t="shared" si="94"/>
        <v>2.918562916316414E-2</v>
      </c>
      <c r="Q2013" t="str">
        <f t="shared" ca="1" si="95"/>
        <v>No</v>
      </c>
    </row>
    <row r="2014" spans="1:17" x14ac:dyDescent="0.45">
      <c r="A2014" t="s">
        <v>102</v>
      </c>
      <c r="B2014" t="s">
        <v>103</v>
      </c>
      <c r="C2014" t="s">
        <v>43</v>
      </c>
      <c r="D2014" t="s">
        <v>20</v>
      </c>
      <c r="E2014" t="s">
        <v>21</v>
      </c>
      <c r="F2014" s="1">
        <v>44805</v>
      </c>
      <c r="G2014">
        <v>5.65</v>
      </c>
      <c r="H2014">
        <v>82.947299999999998</v>
      </c>
      <c r="I2014">
        <v>12.52</v>
      </c>
      <c r="J2014">
        <v>96.03</v>
      </c>
      <c r="K2014" t="s">
        <v>23</v>
      </c>
      <c r="L2014">
        <v>1182.47</v>
      </c>
      <c r="M2014">
        <f>VLOOKUP(K2014,RatingLookup!$A$2:$C$8,2,FALSE)</f>
        <v>1E-3</v>
      </c>
      <c r="N2014">
        <f t="shared" si="93"/>
        <v>8.3371552197619714E-5</v>
      </c>
      <c r="O2014">
        <f>VLOOKUP(K2014,RatingLookup!$A$2:$C$8,3,FALSE)</f>
        <v>0.3</v>
      </c>
      <c r="P2014">
        <f t="shared" si="94"/>
        <v>2.9575307798135813E-2</v>
      </c>
      <c r="Q2014" t="str">
        <f t="shared" ca="1" si="95"/>
        <v>No</v>
      </c>
    </row>
    <row r="2015" spans="1:17" x14ac:dyDescent="0.45">
      <c r="A2015" t="s">
        <v>102</v>
      </c>
      <c r="B2015" t="s">
        <v>103</v>
      </c>
      <c r="C2015" t="s">
        <v>43</v>
      </c>
      <c r="D2015" t="s">
        <v>20</v>
      </c>
      <c r="E2015" t="s">
        <v>21</v>
      </c>
      <c r="F2015" s="1">
        <v>44835</v>
      </c>
      <c r="G2015">
        <v>6.86</v>
      </c>
      <c r="H2015">
        <v>80.676699999999997</v>
      </c>
      <c r="I2015">
        <v>21.32</v>
      </c>
      <c r="J2015">
        <v>81.22</v>
      </c>
      <c r="K2015" t="s">
        <v>23</v>
      </c>
      <c r="L2015">
        <v>1077.93</v>
      </c>
      <c r="M2015">
        <f>VLOOKUP(K2015,RatingLookup!$A$2:$C$8,2,FALSE)</f>
        <v>1E-3</v>
      </c>
      <c r="N2015">
        <f t="shared" si="93"/>
        <v>8.3371552197619714E-5</v>
      </c>
      <c r="O2015">
        <f>VLOOKUP(K2015,RatingLookup!$A$2:$C$8,3,FALSE)</f>
        <v>0.3</v>
      </c>
      <c r="P2015">
        <f t="shared" si="94"/>
        <v>2.6960609178114069E-2</v>
      </c>
      <c r="Q2015" t="str">
        <f t="shared" ca="1" si="95"/>
        <v>No</v>
      </c>
    </row>
    <row r="2016" spans="1:17" x14ac:dyDescent="0.45">
      <c r="A2016" t="s">
        <v>102</v>
      </c>
      <c r="B2016" t="s">
        <v>103</v>
      </c>
      <c r="C2016" t="s">
        <v>43</v>
      </c>
      <c r="D2016" t="s">
        <v>20</v>
      </c>
      <c r="E2016" t="s">
        <v>21</v>
      </c>
      <c r="F2016" s="1">
        <v>44866</v>
      </c>
      <c r="G2016">
        <v>4.1900000000000004</v>
      </c>
      <c r="H2016">
        <v>82.014700000000005</v>
      </c>
      <c r="I2016">
        <v>10.38</v>
      </c>
      <c r="J2016">
        <v>77.989999999999995</v>
      </c>
      <c r="K2016" t="s">
        <v>23</v>
      </c>
      <c r="L2016">
        <v>1176.44</v>
      </c>
      <c r="M2016">
        <f>VLOOKUP(K2016,RatingLookup!$A$2:$C$8,2,FALSE)</f>
        <v>1E-3</v>
      </c>
      <c r="N2016">
        <f t="shared" si="93"/>
        <v>8.3371552197619714E-5</v>
      </c>
      <c r="O2016">
        <f>VLOOKUP(K2016,RatingLookup!$A$2:$C$8,3,FALSE)</f>
        <v>0.3</v>
      </c>
      <c r="P2016">
        <f t="shared" si="94"/>
        <v>2.9424488660210319E-2</v>
      </c>
      <c r="Q2016" t="str">
        <f t="shared" ca="1" si="95"/>
        <v>No</v>
      </c>
    </row>
    <row r="2017" spans="1:17" x14ac:dyDescent="0.45">
      <c r="A2017" t="s">
        <v>102</v>
      </c>
      <c r="B2017" t="s">
        <v>103</v>
      </c>
      <c r="C2017" t="s">
        <v>43</v>
      </c>
      <c r="D2017" t="s">
        <v>20</v>
      </c>
      <c r="E2017" t="s">
        <v>21</v>
      </c>
      <c r="F2017" s="1">
        <v>44896</v>
      </c>
      <c r="G2017">
        <v>4.95</v>
      </c>
      <c r="H2017">
        <v>80.910200000000003</v>
      </c>
      <c r="I2017">
        <v>22.02</v>
      </c>
      <c r="J2017">
        <v>86.37</v>
      </c>
      <c r="K2017" t="s">
        <v>23</v>
      </c>
      <c r="L2017">
        <v>1187.74</v>
      </c>
      <c r="M2017">
        <f>VLOOKUP(K2017,RatingLookup!$A$2:$C$8,2,FALSE)</f>
        <v>1E-3</v>
      </c>
      <c r="N2017">
        <f t="shared" si="93"/>
        <v>8.3371552197619714E-5</v>
      </c>
      <c r="O2017">
        <f>VLOOKUP(K2017,RatingLookup!$A$2:$C$8,3,FALSE)</f>
        <v>0.3</v>
      </c>
      <c r="P2017">
        <f t="shared" si="94"/>
        <v>2.970711822216025E-2</v>
      </c>
      <c r="Q2017" t="str">
        <f t="shared" ca="1" si="95"/>
        <v>No</v>
      </c>
    </row>
    <row r="2018" spans="1:17" x14ac:dyDescent="0.45">
      <c r="A2018" t="s">
        <v>102</v>
      </c>
      <c r="B2018" t="s">
        <v>103</v>
      </c>
      <c r="C2018" t="s">
        <v>43</v>
      </c>
      <c r="D2018" t="s">
        <v>20</v>
      </c>
      <c r="E2018" t="s">
        <v>21</v>
      </c>
      <c r="F2018" s="1">
        <v>44927</v>
      </c>
      <c r="G2018">
        <v>6.01</v>
      </c>
      <c r="H2018">
        <v>86.853200000000001</v>
      </c>
      <c r="I2018">
        <v>13.14</v>
      </c>
      <c r="J2018">
        <v>58.56</v>
      </c>
      <c r="K2018" t="s">
        <v>23</v>
      </c>
      <c r="L2018">
        <v>1089.97</v>
      </c>
      <c r="M2018">
        <f>VLOOKUP(K2018,RatingLookup!$A$2:$C$8,2,FALSE)</f>
        <v>1E-3</v>
      </c>
      <c r="N2018">
        <f t="shared" si="93"/>
        <v>8.3371552197619714E-5</v>
      </c>
      <c r="O2018">
        <f>VLOOKUP(K2018,RatingLookup!$A$2:$C$8,3,FALSE)</f>
        <v>0.3</v>
      </c>
      <c r="P2018">
        <f t="shared" si="94"/>
        <v>2.7261747224651866E-2</v>
      </c>
      <c r="Q2018" t="str">
        <f t="shared" ca="1" si="95"/>
        <v>No</v>
      </c>
    </row>
    <row r="2019" spans="1:17" x14ac:dyDescent="0.45">
      <c r="A2019" t="s">
        <v>102</v>
      </c>
      <c r="B2019" t="s">
        <v>103</v>
      </c>
      <c r="C2019" t="s">
        <v>43</v>
      </c>
      <c r="D2019" t="s">
        <v>20</v>
      </c>
      <c r="E2019" t="s">
        <v>21</v>
      </c>
      <c r="F2019" s="1">
        <v>44958</v>
      </c>
      <c r="G2019">
        <v>7.19</v>
      </c>
      <c r="H2019">
        <v>77.198700000000002</v>
      </c>
      <c r="I2019">
        <v>29.63</v>
      </c>
      <c r="J2019">
        <v>59.92</v>
      </c>
      <c r="K2019" t="s">
        <v>23</v>
      </c>
      <c r="L2019">
        <v>982.05</v>
      </c>
      <c r="M2019">
        <f>VLOOKUP(K2019,RatingLookup!$A$2:$C$8,2,FALSE)</f>
        <v>1E-3</v>
      </c>
      <c r="N2019">
        <f t="shared" si="93"/>
        <v>8.3371552197619714E-5</v>
      </c>
      <c r="O2019">
        <f>VLOOKUP(K2019,RatingLookup!$A$2:$C$8,3,FALSE)</f>
        <v>0.3</v>
      </c>
      <c r="P2019">
        <f t="shared" si="94"/>
        <v>2.4562509850701731E-2</v>
      </c>
      <c r="Q2019" t="str">
        <f t="shared" ca="1" si="95"/>
        <v>No</v>
      </c>
    </row>
    <row r="2020" spans="1:17" x14ac:dyDescent="0.45">
      <c r="A2020" t="s">
        <v>102</v>
      </c>
      <c r="B2020" t="s">
        <v>103</v>
      </c>
      <c r="C2020" t="s">
        <v>43</v>
      </c>
      <c r="D2020" t="s">
        <v>20</v>
      </c>
      <c r="E2020" t="s">
        <v>21</v>
      </c>
      <c r="F2020" s="1">
        <v>44986</v>
      </c>
      <c r="G2020">
        <v>6.35</v>
      </c>
      <c r="H2020">
        <v>84.883700000000005</v>
      </c>
      <c r="I2020">
        <v>6.76</v>
      </c>
      <c r="J2020">
        <v>77.28</v>
      </c>
      <c r="K2020" t="s">
        <v>23</v>
      </c>
      <c r="L2020">
        <v>1070.3699999999999</v>
      </c>
      <c r="M2020">
        <f>VLOOKUP(K2020,RatingLookup!$A$2:$C$8,2,FALSE)</f>
        <v>1E-3</v>
      </c>
      <c r="N2020">
        <f t="shared" si="93"/>
        <v>8.3371552197619714E-5</v>
      </c>
      <c r="O2020">
        <f>VLOOKUP(K2020,RatingLookup!$A$2:$C$8,3,FALSE)</f>
        <v>0.3</v>
      </c>
      <c r="P2020">
        <f t="shared" si="94"/>
        <v>2.6771522497729863E-2</v>
      </c>
      <c r="Q2020" t="str">
        <f t="shared" ca="1" si="95"/>
        <v>No</v>
      </c>
    </row>
    <row r="2021" spans="1:17" x14ac:dyDescent="0.45">
      <c r="A2021" t="s">
        <v>102</v>
      </c>
      <c r="B2021" t="s">
        <v>103</v>
      </c>
      <c r="C2021" t="s">
        <v>43</v>
      </c>
      <c r="D2021" t="s">
        <v>20</v>
      </c>
      <c r="E2021" t="s">
        <v>21</v>
      </c>
      <c r="F2021" s="1">
        <v>45017</v>
      </c>
      <c r="G2021">
        <v>4.7</v>
      </c>
      <c r="H2021">
        <v>83.864199999999997</v>
      </c>
      <c r="I2021">
        <v>25.04</v>
      </c>
      <c r="J2021">
        <v>70.849999999999994</v>
      </c>
      <c r="K2021" t="s">
        <v>23</v>
      </c>
      <c r="L2021">
        <v>1091.5899999999999</v>
      </c>
      <c r="M2021">
        <f>VLOOKUP(K2021,RatingLookup!$A$2:$C$8,2,FALSE)</f>
        <v>1E-3</v>
      </c>
      <c r="N2021">
        <f t="shared" si="93"/>
        <v>8.3371552197619714E-5</v>
      </c>
      <c r="O2021">
        <f>VLOOKUP(K2021,RatingLookup!$A$2:$C$8,3,FALSE)</f>
        <v>0.3</v>
      </c>
      <c r="P2021">
        <f t="shared" si="94"/>
        <v>2.7302265799019908E-2</v>
      </c>
      <c r="Q2021" t="str">
        <f t="shared" ca="1" si="95"/>
        <v>No</v>
      </c>
    </row>
    <row r="2022" spans="1:17" x14ac:dyDescent="0.45">
      <c r="A2022" t="s">
        <v>102</v>
      </c>
      <c r="B2022" t="s">
        <v>103</v>
      </c>
      <c r="C2022" t="s">
        <v>43</v>
      </c>
      <c r="D2022" t="s">
        <v>20</v>
      </c>
      <c r="E2022" t="s">
        <v>21</v>
      </c>
      <c r="F2022" s="1">
        <v>45047</v>
      </c>
      <c r="G2022">
        <v>5.24</v>
      </c>
      <c r="H2022">
        <v>81.145700000000005</v>
      </c>
      <c r="I2022">
        <v>19.55</v>
      </c>
      <c r="J2022">
        <v>73.14</v>
      </c>
      <c r="K2022" t="s">
        <v>23</v>
      </c>
      <c r="L2022">
        <v>1135.47</v>
      </c>
      <c r="M2022">
        <f>VLOOKUP(K2022,RatingLookup!$A$2:$C$8,2,FALSE)</f>
        <v>1E-3</v>
      </c>
      <c r="N2022">
        <f t="shared" si="93"/>
        <v>8.3371552197619714E-5</v>
      </c>
      <c r="O2022">
        <f>VLOOKUP(K2022,RatingLookup!$A$2:$C$8,3,FALSE)</f>
        <v>0.3</v>
      </c>
      <c r="P2022">
        <f t="shared" si="94"/>
        <v>2.8399768912149376E-2</v>
      </c>
      <c r="Q2022" t="str">
        <f t="shared" ca="1" si="95"/>
        <v>No</v>
      </c>
    </row>
    <row r="2023" spans="1:17" x14ac:dyDescent="0.45">
      <c r="A2023" t="s">
        <v>102</v>
      </c>
      <c r="B2023" t="s">
        <v>103</v>
      </c>
      <c r="C2023" t="s">
        <v>43</v>
      </c>
      <c r="D2023" t="s">
        <v>20</v>
      </c>
      <c r="E2023" t="s">
        <v>21</v>
      </c>
      <c r="F2023" s="1">
        <v>45078</v>
      </c>
      <c r="G2023">
        <v>5.15</v>
      </c>
      <c r="H2023">
        <v>84.334299999999999</v>
      </c>
      <c r="I2023">
        <v>13.73</v>
      </c>
      <c r="J2023">
        <v>87.95</v>
      </c>
      <c r="K2023" t="s">
        <v>23</v>
      </c>
      <c r="L2023">
        <v>1018.38</v>
      </c>
      <c r="M2023">
        <f>VLOOKUP(K2023,RatingLookup!$A$2:$C$8,2,FALSE)</f>
        <v>1E-3</v>
      </c>
      <c r="N2023">
        <f t="shared" si="93"/>
        <v>8.3371552197619714E-5</v>
      </c>
      <c r="O2023">
        <f>VLOOKUP(K2023,RatingLookup!$A$2:$C$8,3,FALSE)</f>
        <v>0.3</v>
      </c>
      <c r="P2023">
        <f t="shared" si="94"/>
        <v>2.547117639810359E-2</v>
      </c>
      <c r="Q2023" t="str">
        <f t="shared" ca="1" si="95"/>
        <v>No</v>
      </c>
    </row>
    <row r="2024" spans="1:17" x14ac:dyDescent="0.45">
      <c r="A2024" t="s">
        <v>102</v>
      </c>
      <c r="B2024" t="s">
        <v>103</v>
      </c>
      <c r="C2024" t="s">
        <v>43</v>
      </c>
      <c r="D2024" t="s">
        <v>20</v>
      </c>
      <c r="E2024" t="s">
        <v>21</v>
      </c>
      <c r="F2024" s="1">
        <v>45108</v>
      </c>
      <c r="G2024">
        <v>5.47</v>
      </c>
      <c r="H2024">
        <v>79.875</v>
      </c>
      <c r="I2024">
        <v>17.670000000000002</v>
      </c>
      <c r="J2024">
        <v>68.11</v>
      </c>
      <c r="K2024" t="s">
        <v>23</v>
      </c>
      <c r="L2024">
        <v>1101.44</v>
      </c>
      <c r="M2024">
        <f>VLOOKUP(K2024,RatingLookup!$A$2:$C$8,2,FALSE)</f>
        <v>1E-3</v>
      </c>
      <c r="N2024">
        <f t="shared" si="93"/>
        <v>8.3371552197619714E-5</v>
      </c>
      <c r="O2024">
        <f>VLOOKUP(K2024,RatingLookup!$A$2:$C$8,3,FALSE)</f>
        <v>0.3</v>
      </c>
      <c r="P2024">
        <f t="shared" si="94"/>
        <v>2.7548628735763876E-2</v>
      </c>
      <c r="Q2024" t="str">
        <f t="shared" ca="1" si="95"/>
        <v>No</v>
      </c>
    </row>
    <row r="2025" spans="1:17" x14ac:dyDescent="0.45">
      <c r="A2025" t="s">
        <v>102</v>
      </c>
      <c r="B2025" t="s">
        <v>103</v>
      </c>
      <c r="C2025" t="s">
        <v>43</v>
      </c>
      <c r="D2025" t="s">
        <v>20</v>
      </c>
      <c r="E2025" t="s">
        <v>21</v>
      </c>
      <c r="F2025" s="1">
        <v>45139</v>
      </c>
      <c r="G2025">
        <v>5.3</v>
      </c>
      <c r="H2025">
        <v>83.870199999999997</v>
      </c>
      <c r="I2025">
        <v>30.37</v>
      </c>
      <c r="J2025">
        <v>71.849999999999994</v>
      </c>
      <c r="K2025" t="s">
        <v>22</v>
      </c>
      <c r="L2025">
        <v>1116.05</v>
      </c>
      <c r="M2025">
        <f>VLOOKUP(K2025,RatingLookup!$A$2:$C$8,2,FALSE)</f>
        <v>5.0000000000000001E-3</v>
      </c>
      <c r="N2025">
        <f t="shared" si="93"/>
        <v>4.1762458919303302E-4</v>
      </c>
      <c r="O2025">
        <f>VLOOKUP(K2025,RatingLookup!$A$2:$C$8,3,FALSE)</f>
        <v>0.45</v>
      </c>
      <c r="P2025">
        <f t="shared" si="94"/>
        <v>0.20974046524599804</v>
      </c>
      <c r="Q2025" t="str">
        <f t="shared" ca="1" si="95"/>
        <v>No</v>
      </c>
    </row>
    <row r="2026" spans="1:17" x14ac:dyDescent="0.45">
      <c r="A2026" t="s">
        <v>102</v>
      </c>
      <c r="B2026" t="s">
        <v>103</v>
      </c>
      <c r="C2026" t="s">
        <v>43</v>
      </c>
      <c r="D2026" t="s">
        <v>20</v>
      </c>
      <c r="E2026" t="s">
        <v>21</v>
      </c>
      <c r="F2026" s="1">
        <v>45170</v>
      </c>
      <c r="G2026">
        <v>5.85</v>
      </c>
      <c r="H2026">
        <v>88.716899999999995</v>
      </c>
      <c r="I2026">
        <v>10.3</v>
      </c>
      <c r="J2026">
        <v>63.95</v>
      </c>
      <c r="K2026" t="s">
        <v>23</v>
      </c>
      <c r="L2026">
        <v>1057.01</v>
      </c>
      <c r="M2026">
        <f>VLOOKUP(K2026,RatingLookup!$A$2:$C$8,2,FALSE)</f>
        <v>1E-3</v>
      </c>
      <c r="N2026">
        <f t="shared" si="93"/>
        <v>8.3371552197619714E-5</v>
      </c>
      <c r="O2026">
        <f>VLOOKUP(K2026,RatingLookup!$A$2:$C$8,3,FALSE)</f>
        <v>0.3</v>
      </c>
      <c r="P2026">
        <f t="shared" si="94"/>
        <v>2.6437369316521804E-2</v>
      </c>
      <c r="Q2026" t="str">
        <f t="shared" ca="1" si="95"/>
        <v>No</v>
      </c>
    </row>
    <row r="2027" spans="1:17" x14ac:dyDescent="0.45">
      <c r="A2027" t="s">
        <v>102</v>
      </c>
      <c r="B2027" t="s">
        <v>103</v>
      </c>
      <c r="C2027" t="s">
        <v>43</v>
      </c>
      <c r="D2027" t="s">
        <v>20</v>
      </c>
      <c r="E2027" t="s">
        <v>21</v>
      </c>
      <c r="F2027" s="1">
        <v>45200</v>
      </c>
      <c r="G2027">
        <v>5.6</v>
      </c>
      <c r="H2027">
        <v>80.589100000000002</v>
      </c>
      <c r="I2027">
        <v>21.11</v>
      </c>
      <c r="J2027">
        <v>70.459999999999994</v>
      </c>
      <c r="K2027" t="s">
        <v>23</v>
      </c>
      <c r="L2027">
        <v>1185.1500000000001</v>
      </c>
      <c r="M2027">
        <f>VLOOKUP(K2027,RatingLookup!$A$2:$C$8,2,FALSE)</f>
        <v>1E-3</v>
      </c>
      <c r="N2027">
        <f t="shared" si="93"/>
        <v>8.3371552197619714E-5</v>
      </c>
      <c r="O2027">
        <f>VLOOKUP(K2027,RatingLookup!$A$2:$C$8,3,FALSE)</f>
        <v>0.3</v>
      </c>
      <c r="P2027">
        <f t="shared" si="94"/>
        <v>2.9642338526102704E-2</v>
      </c>
      <c r="Q2027" t="str">
        <f t="shared" ca="1" si="95"/>
        <v>No</v>
      </c>
    </row>
    <row r="2028" spans="1:17" x14ac:dyDescent="0.45">
      <c r="A2028" t="s">
        <v>102</v>
      </c>
      <c r="B2028" t="s">
        <v>103</v>
      </c>
      <c r="C2028" t="s">
        <v>43</v>
      </c>
      <c r="D2028" t="s">
        <v>20</v>
      </c>
      <c r="E2028" t="s">
        <v>21</v>
      </c>
      <c r="F2028" s="1">
        <v>45231</v>
      </c>
      <c r="G2028">
        <v>5.27</v>
      </c>
      <c r="H2028">
        <v>83.391199999999998</v>
      </c>
      <c r="I2028">
        <v>20.65</v>
      </c>
      <c r="J2028">
        <v>95.45</v>
      </c>
      <c r="K2028" t="s">
        <v>23</v>
      </c>
      <c r="L2028">
        <v>1160.26</v>
      </c>
      <c r="M2028">
        <f>VLOOKUP(K2028,RatingLookup!$A$2:$C$8,2,FALSE)</f>
        <v>1E-3</v>
      </c>
      <c r="N2028">
        <f t="shared" si="93"/>
        <v>8.3371552197619714E-5</v>
      </c>
      <c r="O2028">
        <f>VLOOKUP(K2028,RatingLookup!$A$2:$C$8,3,FALSE)</f>
        <v>0.3</v>
      </c>
      <c r="P2028">
        <f t="shared" si="94"/>
        <v>2.9019803145843074E-2</v>
      </c>
      <c r="Q2028" t="str">
        <f t="shared" ca="1" si="95"/>
        <v>No</v>
      </c>
    </row>
    <row r="2029" spans="1:17" x14ac:dyDescent="0.45">
      <c r="A2029" t="s">
        <v>102</v>
      </c>
      <c r="B2029" t="s">
        <v>103</v>
      </c>
      <c r="C2029" t="s">
        <v>43</v>
      </c>
      <c r="D2029" t="s">
        <v>20</v>
      </c>
      <c r="E2029" t="s">
        <v>21</v>
      </c>
      <c r="F2029" s="1">
        <v>45261</v>
      </c>
      <c r="G2029">
        <v>5.25</v>
      </c>
      <c r="H2029">
        <v>84.472200000000001</v>
      </c>
      <c r="I2029">
        <v>23.44</v>
      </c>
      <c r="J2029">
        <v>100.15</v>
      </c>
      <c r="K2029" t="s">
        <v>23</v>
      </c>
      <c r="L2029">
        <v>1113.71</v>
      </c>
      <c r="M2029">
        <f>VLOOKUP(K2029,RatingLookup!$A$2:$C$8,2,FALSE)</f>
        <v>1E-3</v>
      </c>
      <c r="N2029">
        <f t="shared" si="93"/>
        <v>8.3371552197619714E-5</v>
      </c>
      <c r="O2029">
        <f>VLOOKUP(K2029,RatingLookup!$A$2:$C$8,3,FALSE)</f>
        <v>0.3</v>
      </c>
      <c r="P2029">
        <f t="shared" si="94"/>
        <v>2.7855519419403313E-2</v>
      </c>
      <c r="Q2029" t="str">
        <f t="shared" ca="1" si="95"/>
        <v>No</v>
      </c>
    </row>
    <row r="2030" spans="1:17" x14ac:dyDescent="0.45">
      <c r="A2030" t="s">
        <v>102</v>
      </c>
      <c r="B2030" t="s">
        <v>103</v>
      </c>
      <c r="C2030" t="s">
        <v>43</v>
      </c>
      <c r="D2030" t="s">
        <v>20</v>
      </c>
      <c r="E2030" t="s">
        <v>21</v>
      </c>
      <c r="F2030" s="1">
        <v>45292</v>
      </c>
      <c r="G2030">
        <v>4.3</v>
      </c>
      <c r="H2030">
        <v>82.448400000000007</v>
      </c>
      <c r="I2030">
        <v>23.13</v>
      </c>
      <c r="J2030">
        <v>90.27</v>
      </c>
      <c r="K2030" t="s">
        <v>23</v>
      </c>
      <c r="L2030">
        <v>1006.51</v>
      </c>
      <c r="M2030">
        <f>VLOOKUP(K2030,RatingLookup!$A$2:$C$8,2,FALSE)</f>
        <v>1E-3</v>
      </c>
      <c r="N2030">
        <f t="shared" si="93"/>
        <v>8.3371552197619714E-5</v>
      </c>
      <c r="O2030">
        <f>VLOOKUP(K2030,RatingLookup!$A$2:$C$8,3,FALSE)</f>
        <v>0.3</v>
      </c>
      <c r="P2030">
        <f t="shared" si="94"/>
        <v>2.5174290300727865E-2</v>
      </c>
      <c r="Q2030" t="str">
        <f t="shared" ca="1" si="95"/>
        <v>No</v>
      </c>
    </row>
    <row r="2031" spans="1:17" x14ac:dyDescent="0.45">
      <c r="A2031" t="s">
        <v>102</v>
      </c>
      <c r="B2031" t="s">
        <v>103</v>
      </c>
      <c r="C2031" t="s">
        <v>43</v>
      </c>
      <c r="D2031" t="s">
        <v>20</v>
      </c>
      <c r="E2031" t="s">
        <v>21</v>
      </c>
      <c r="F2031" s="1">
        <v>45323</v>
      </c>
      <c r="G2031">
        <v>4.7</v>
      </c>
      <c r="H2031">
        <v>76.7483</v>
      </c>
      <c r="I2031">
        <v>24.22</v>
      </c>
      <c r="J2031">
        <v>81.94</v>
      </c>
      <c r="K2031" t="s">
        <v>23</v>
      </c>
      <c r="L2031">
        <v>1208.4100000000001</v>
      </c>
      <c r="M2031">
        <f>VLOOKUP(K2031,RatingLookup!$A$2:$C$8,2,FALSE)</f>
        <v>1E-3</v>
      </c>
      <c r="N2031">
        <f t="shared" si="93"/>
        <v>8.3371552197619714E-5</v>
      </c>
      <c r="O2031">
        <f>VLOOKUP(K2031,RatingLookup!$A$2:$C$8,3,FALSE)</f>
        <v>0.3</v>
      </c>
      <c r="P2031">
        <f t="shared" si="94"/>
        <v>3.0224105217337691E-2</v>
      </c>
      <c r="Q2031" t="str">
        <f t="shared" ca="1" si="95"/>
        <v>No</v>
      </c>
    </row>
    <row r="2032" spans="1:17" x14ac:dyDescent="0.45">
      <c r="A2032" t="s">
        <v>102</v>
      </c>
      <c r="B2032" t="s">
        <v>103</v>
      </c>
      <c r="C2032" t="s">
        <v>43</v>
      </c>
      <c r="D2032" t="s">
        <v>20</v>
      </c>
      <c r="E2032" t="s">
        <v>21</v>
      </c>
      <c r="F2032" s="1">
        <v>45352</v>
      </c>
      <c r="G2032">
        <v>5.52</v>
      </c>
      <c r="H2032">
        <v>88.602500000000006</v>
      </c>
      <c r="I2032">
        <v>13.34</v>
      </c>
      <c r="J2032">
        <v>76.33</v>
      </c>
      <c r="K2032" t="s">
        <v>23</v>
      </c>
      <c r="L2032">
        <v>1150.72</v>
      </c>
      <c r="M2032">
        <f>VLOOKUP(K2032,RatingLookup!$A$2:$C$8,2,FALSE)</f>
        <v>1E-3</v>
      </c>
      <c r="N2032">
        <f t="shared" si="93"/>
        <v>8.3371552197619714E-5</v>
      </c>
      <c r="O2032">
        <f>VLOOKUP(K2032,RatingLookup!$A$2:$C$8,3,FALSE)</f>
        <v>0.3</v>
      </c>
      <c r="P2032">
        <f t="shared" si="94"/>
        <v>2.8781193763453485E-2</v>
      </c>
      <c r="Q2032" t="str">
        <f t="shared" ca="1" si="95"/>
        <v>No</v>
      </c>
    </row>
    <row r="2033" spans="1:17" x14ac:dyDescent="0.45">
      <c r="A2033" t="s">
        <v>102</v>
      </c>
      <c r="B2033" t="s">
        <v>103</v>
      </c>
      <c r="C2033" t="s">
        <v>43</v>
      </c>
      <c r="D2033" t="s">
        <v>20</v>
      </c>
      <c r="E2033" t="s">
        <v>21</v>
      </c>
      <c r="F2033" s="1">
        <v>45383</v>
      </c>
      <c r="G2033">
        <v>5.07</v>
      </c>
      <c r="H2033">
        <v>82.251599999999996</v>
      </c>
      <c r="I2033">
        <v>15.11</v>
      </c>
      <c r="J2033">
        <v>80.680000000000007</v>
      </c>
      <c r="K2033" t="s">
        <v>22</v>
      </c>
      <c r="L2033">
        <v>1187.53</v>
      </c>
      <c r="M2033">
        <f>VLOOKUP(K2033,RatingLookup!$A$2:$C$8,2,FALSE)</f>
        <v>5.0000000000000001E-3</v>
      </c>
      <c r="N2033">
        <f t="shared" si="93"/>
        <v>4.1762458919303302E-4</v>
      </c>
      <c r="O2033">
        <f>VLOOKUP(K2033,RatingLookup!$A$2:$C$8,3,FALSE)</f>
        <v>0.45</v>
      </c>
      <c r="P2033">
        <f t="shared" si="94"/>
        <v>0.22317377778198111</v>
      </c>
      <c r="Q2033" t="str">
        <f t="shared" ca="1" si="95"/>
        <v>No</v>
      </c>
    </row>
    <row r="2034" spans="1:17" x14ac:dyDescent="0.45">
      <c r="A2034" t="s">
        <v>102</v>
      </c>
      <c r="B2034" t="s">
        <v>103</v>
      </c>
      <c r="C2034" t="s">
        <v>43</v>
      </c>
      <c r="D2034" t="s">
        <v>20</v>
      </c>
      <c r="E2034" t="s">
        <v>21</v>
      </c>
      <c r="F2034" s="1">
        <v>45413</v>
      </c>
      <c r="G2034">
        <v>5.98</v>
      </c>
      <c r="H2034">
        <v>78.828299999999999</v>
      </c>
      <c r="I2034">
        <v>26.17</v>
      </c>
      <c r="J2034">
        <v>72.14</v>
      </c>
      <c r="K2034" t="s">
        <v>22</v>
      </c>
      <c r="L2034">
        <v>1185.02</v>
      </c>
      <c r="M2034">
        <f>VLOOKUP(K2034,RatingLookup!$A$2:$C$8,2,FALSE)</f>
        <v>5.0000000000000001E-3</v>
      </c>
      <c r="N2034">
        <f t="shared" si="93"/>
        <v>4.1762458919303302E-4</v>
      </c>
      <c r="O2034">
        <f>VLOOKUP(K2034,RatingLookup!$A$2:$C$8,3,FALSE)</f>
        <v>0.45</v>
      </c>
      <c r="P2034">
        <f t="shared" si="94"/>
        <v>0.22270207080848761</v>
      </c>
      <c r="Q2034" t="str">
        <f t="shared" ca="1" si="95"/>
        <v>No</v>
      </c>
    </row>
    <row r="2035" spans="1:17" x14ac:dyDescent="0.45">
      <c r="A2035" t="s">
        <v>102</v>
      </c>
      <c r="B2035" t="s">
        <v>103</v>
      </c>
      <c r="C2035" t="s">
        <v>43</v>
      </c>
      <c r="D2035" t="s">
        <v>20</v>
      </c>
      <c r="E2035" t="s">
        <v>21</v>
      </c>
      <c r="F2035" s="1">
        <v>45444</v>
      </c>
      <c r="G2035">
        <v>5.68</v>
      </c>
      <c r="H2035">
        <v>86.345699999999994</v>
      </c>
      <c r="I2035">
        <v>17.239999999999998</v>
      </c>
      <c r="J2035">
        <v>78.180000000000007</v>
      </c>
      <c r="K2035" t="s">
        <v>22</v>
      </c>
      <c r="L2035">
        <v>1089.32</v>
      </c>
      <c r="M2035">
        <f>VLOOKUP(K2035,RatingLookup!$A$2:$C$8,2,FALSE)</f>
        <v>5.0000000000000001E-3</v>
      </c>
      <c r="N2035">
        <f t="shared" si="93"/>
        <v>4.1762458919303302E-4</v>
      </c>
      <c r="O2035">
        <f>VLOOKUP(K2035,RatingLookup!$A$2:$C$8,3,FALSE)</f>
        <v>0.45</v>
      </c>
      <c r="P2035">
        <f t="shared" si="94"/>
        <v>0.20471706787488964</v>
      </c>
      <c r="Q2035" t="str">
        <f t="shared" ca="1" si="95"/>
        <v>No</v>
      </c>
    </row>
    <row r="2036" spans="1:17" x14ac:dyDescent="0.45">
      <c r="A2036" t="s">
        <v>102</v>
      </c>
      <c r="B2036" t="s">
        <v>103</v>
      </c>
      <c r="C2036" t="s">
        <v>43</v>
      </c>
      <c r="D2036" t="s">
        <v>20</v>
      </c>
      <c r="E2036" t="s">
        <v>21</v>
      </c>
      <c r="F2036" s="1">
        <v>45474</v>
      </c>
      <c r="G2036">
        <v>6.22</v>
      </c>
      <c r="H2036">
        <v>81.922700000000006</v>
      </c>
      <c r="I2036">
        <v>29.83</v>
      </c>
      <c r="J2036">
        <v>91.95</v>
      </c>
      <c r="K2036" t="s">
        <v>22</v>
      </c>
      <c r="L2036">
        <v>1211.56</v>
      </c>
      <c r="M2036">
        <f>VLOOKUP(K2036,RatingLookup!$A$2:$C$8,2,FALSE)</f>
        <v>5.0000000000000001E-3</v>
      </c>
      <c r="N2036">
        <f t="shared" si="93"/>
        <v>4.1762458919303302E-4</v>
      </c>
      <c r="O2036">
        <f>VLOOKUP(K2036,RatingLookup!$A$2:$C$8,3,FALSE)</f>
        <v>0.45</v>
      </c>
      <c r="P2036">
        <f t="shared" si="94"/>
        <v>0.22768976127721999</v>
      </c>
      <c r="Q2036" t="str">
        <f t="shared" ca="1" si="95"/>
        <v>No</v>
      </c>
    </row>
    <row r="2037" spans="1:17" x14ac:dyDescent="0.45">
      <c r="A2037" t="s">
        <v>102</v>
      </c>
      <c r="B2037" t="s">
        <v>103</v>
      </c>
      <c r="C2037" t="s">
        <v>43</v>
      </c>
      <c r="D2037" t="s">
        <v>20</v>
      </c>
      <c r="E2037" t="s">
        <v>21</v>
      </c>
      <c r="F2037" s="1">
        <v>45505</v>
      </c>
      <c r="G2037">
        <v>5.55</v>
      </c>
      <c r="H2037">
        <v>81.884200000000007</v>
      </c>
      <c r="I2037">
        <v>21.97</v>
      </c>
      <c r="J2037">
        <v>96.02</v>
      </c>
      <c r="K2037" t="s">
        <v>22</v>
      </c>
      <c r="L2037">
        <v>1240.31</v>
      </c>
      <c r="M2037">
        <f>VLOOKUP(K2037,RatingLookup!$A$2:$C$8,2,FALSE)</f>
        <v>5.0000000000000001E-3</v>
      </c>
      <c r="N2037">
        <f t="shared" si="93"/>
        <v>4.1762458919303302E-4</v>
      </c>
      <c r="O2037">
        <f>VLOOKUP(K2037,RatingLookup!$A$2:$C$8,3,FALSE)</f>
        <v>0.45</v>
      </c>
      <c r="P2037">
        <f t="shared" si="94"/>
        <v>0.23309277939990489</v>
      </c>
      <c r="Q2037" t="str">
        <f t="shared" ca="1" si="95"/>
        <v>No</v>
      </c>
    </row>
    <row r="2038" spans="1:17" x14ac:dyDescent="0.45">
      <c r="A2038" t="s">
        <v>102</v>
      </c>
      <c r="B2038" t="s">
        <v>103</v>
      </c>
      <c r="C2038" t="s">
        <v>43</v>
      </c>
      <c r="D2038" t="s">
        <v>20</v>
      </c>
      <c r="E2038" t="s">
        <v>21</v>
      </c>
      <c r="F2038" s="1">
        <v>45536</v>
      </c>
      <c r="G2038">
        <v>5.65</v>
      </c>
      <c r="H2038">
        <v>85.067800000000005</v>
      </c>
      <c r="I2038">
        <v>13.75</v>
      </c>
      <c r="J2038">
        <v>70.959999999999994</v>
      </c>
      <c r="K2038" t="s">
        <v>22</v>
      </c>
      <c r="L2038">
        <v>1057.75</v>
      </c>
      <c r="M2038">
        <f>VLOOKUP(K2038,RatingLookup!$A$2:$C$8,2,FALSE)</f>
        <v>5.0000000000000001E-3</v>
      </c>
      <c r="N2038">
        <f t="shared" si="93"/>
        <v>4.1762458919303302E-4</v>
      </c>
      <c r="O2038">
        <f>VLOOKUP(K2038,RatingLookup!$A$2:$C$8,3,FALSE)</f>
        <v>0.45</v>
      </c>
      <c r="P2038">
        <f t="shared" si="94"/>
        <v>0.19878408414851884</v>
      </c>
      <c r="Q2038" t="str">
        <f t="shared" ca="1" si="95"/>
        <v>No</v>
      </c>
    </row>
    <row r="2039" spans="1:17" x14ac:dyDescent="0.45">
      <c r="A2039" t="s">
        <v>102</v>
      </c>
      <c r="B2039" t="s">
        <v>103</v>
      </c>
      <c r="C2039" t="s">
        <v>43</v>
      </c>
      <c r="D2039" t="s">
        <v>20</v>
      </c>
      <c r="E2039" t="s">
        <v>21</v>
      </c>
      <c r="F2039" s="1">
        <v>45566</v>
      </c>
      <c r="G2039">
        <v>6.52</v>
      </c>
      <c r="H2039">
        <v>82.386600000000001</v>
      </c>
      <c r="I2039">
        <v>13.02</v>
      </c>
      <c r="J2039">
        <v>78.709999999999994</v>
      </c>
      <c r="K2039" t="s">
        <v>22</v>
      </c>
      <c r="L2039">
        <v>1143.24</v>
      </c>
      <c r="M2039">
        <f>VLOOKUP(K2039,RatingLookup!$A$2:$C$8,2,FALSE)</f>
        <v>5.0000000000000001E-3</v>
      </c>
      <c r="N2039">
        <f t="shared" si="93"/>
        <v>4.1762458919303302E-4</v>
      </c>
      <c r="O2039">
        <f>VLOOKUP(K2039,RatingLookup!$A$2:$C$8,3,FALSE)</f>
        <v>0.45</v>
      </c>
      <c r="P2039">
        <f t="shared" si="94"/>
        <v>0.21485031090706941</v>
      </c>
      <c r="Q2039" t="str">
        <f t="shared" ca="1" si="95"/>
        <v>No</v>
      </c>
    </row>
    <row r="2040" spans="1:17" x14ac:dyDescent="0.45">
      <c r="A2040" t="s">
        <v>102</v>
      </c>
      <c r="B2040" t="s">
        <v>103</v>
      </c>
      <c r="C2040" t="s">
        <v>43</v>
      </c>
      <c r="D2040" t="s">
        <v>20</v>
      </c>
      <c r="E2040" t="s">
        <v>21</v>
      </c>
      <c r="F2040" s="1">
        <v>45597</v>
      </c>
      <c r="G2040">
        <v>5.15</v>
      </c>
      <c r="H2040">
        <v>84.535300000000007</v>
      </c>
      <c r="I2040">
        <v>19.43</v>
      </c>
      <c r="J2040">
        <v>81.44</v>
      </c>
      <c r="K2040" t="s">
        <v>22</v>
      </c>
      <c r="L2040">
        <v>1085.78</v>
      </c>
      <c r="M2040">
        <f>VLOOKUP(K2040,RatingLookup!$A$2:$C$8,2,FALSE)</f>
        <v>5.0000000000000001E-3</v>
      </c>
      <c r="N2040">
        <f t="shared" si="93"/>
        <v>4.1762458919303302E-4</v>
      </c>
      <c r="O2040">
        <f>VLOOKUP(K2040,RatingLookup!$A$2:$C$8,3,FALSE)</f>
        <v>0.45</v>
      </c>
      <c r="P2040">
        <f t="shared" si="94"/>
        <v>0.20405179190430514</v>
      </c>
      <c r="Q2040" t="str">
        <f t="shared" ca="1" si="95"/>
        <v>No</v>
      </c>
    </row>
    <row r="2041" spans="1:17" x14ac:dyDescent="0.45">
      <c r="A2041" t="s">
        <v>102</v>
      </c>
      <c r="B2041" t="s">
        <v>103</v>
      </c>
      <c r="C2041" t="s">
        <v>43</v>
      </c>
      <c r="D2041" t="s">
        <v>20</v>
      </c>
      <c r="E2041" t="s">
        <v>21</v>
      </c>
      <c r="F2041" s="1">
        <v>45627</v>
      </c>
      <c r="G2041">
        <v>5.97</v>
      </c>
      <c r="H2041">
        <v>82.695999999999998</v>
      </c>
      <c r="I2041">
        <v>5</v>
      </c>
      <c r="J2041">
        <v>83.24</v>
      </c>
      <c r="K2041" t="s">
        <v>22</v>
      </c>
      <c r="L2041">
        <v>1147.1099999999999</v>
      </c>
      <c r="M2041">
        <f>VLOOKUP(K2041,RatingLookup!$A$2:$C$8,2,FALSE)</f>
        <v>5.0000000000000001E-3</v>
      </c>
      <c r="N2041">
        <f t="shared" si="93"/>
        <v>4.1762458919303302E-4</v>
      </c>
      <c r="O2041">
        <f>VLOOKUP(K2041,RatingLookup!$A$2:$C$8,3,FALSE)</f>
        <v>0.45</v>
      </c>
      <c r="P2041">
        <f t="shared" si="94"/>
        <v>0.21557760412914903</v>
      </c>
      <c r="Q2041" t="str">
        <f t="shared" ca="1" si="95"/>
        <v>No</v>
      </c>
    </row>
    <row r="2042" spans="1:17" x14ac:dyDescent="0.45">
      <c r="A2042" t="s">
        <v>104</v>
      </c>
      <c r="B2042" t="s">
        <v>105</v>
      </c>
      <c r="C2042" t="s">
        <v>19</v>
      </c>
      <c r="D2042" t="s">
        <v>20</v>
      </c>
      <c r="E2042" t="s">
        <v>21</v>
      </c>
      <c r="F2042" s="1">
        <v>43831</v>
      </c>
      <c r="G2042">
        <v>4.9000000000000004</v>
      </c>
      <c r="H2042">
        <v>82.686300000000003</v>
      </c>
      <c r="I2042">
        <v>13.07</v>
      </c>
      <c r="J2042">
        <v>76.650000000000006</v>
      </c>
      <c r="K2042" t="s">
        <v>30</v>
      </c>
      <c r="L2042">
        <v>2333.19</v>
      </c>
      <c r="M2042">
        <f>VLOOKUP(K2042,RatingLookup!$A$2:$C$8,2,FALSE)</f>
        <v>1.4999999999999999E-2</v>
      </c>
      <c r="N2042">
        <f t="shared" si="93"/>
        <v>1.2586770182638762E-3</v>
      </c>
      <c r="O2042">
        <f>VLOOKUP(K2042,RatingLookup!$A$2:$C$8,3,FALSE)</f>
        <v>0.5</v>
      </c>
      <c r="P2042">
        <f t="shared" si="94"/>
        <v>1.4683663161215468</v>
      </c>
      <c r="Q2042" t="str">
        <f t="shared" ca="1" si="95"/>
        <v>No</v>
      </c>
    </row>
    <row r="2043" spans="1:17" x14ac:dyDescent="0.45">
      <c r="A2043" t="s">
        <v>104</v>
      </c>
      <c r="B2043" t="s">
        <v>105</v>
      </c>
      <c r="C2043" t="s">
        <v>19</v>
      </c>
      <c r="D2043" t="s">
        <v>20</v>
      </c>
      <c r="E2043" t="s">
        <v>21</v>
      </c>
      <c r="F2043" s="1">
        <v>43862</v>
      </c>
      <c r="G2043">
        <v>5.39</v>
      </c>
      <c r="H2043">
        <v>79.119900000000001</v>
      </c>
      <c r="I2043">
        <v>9.3000000000000007</v>
      </c>
      <c r="J2043">
        <v>78.400000000000006</v>
      </c>
      <c r="K2043" t="s">
        <v>30</v>
      </c>
      <c r="L2043">
        <v>2293.44</v>
      </c>
      <c r="M2043">
        <f>VLOOKUP(K2043,RatingLookup!$A$2:$C$8,2,FALSE)</f>
        <v>1.4999999999999999E-2</v>
      </c>
      <c r="N2043">
        <f t="shared" si="93"/>
        <v>1.2586770182638762E-3</v>
      </c>
      <c r="O2043">
        <f>VLOOKUP(K2043,RatingLookup!$A$2:$C$8,3,FALSE)</f>
        <v>0.5</v>
      </c>
      <c r="P2043">
        <f t="shared" si="94"/>
        <v>1.4433501103835522</v>
      </c>
      <c r="Q2043" t="str">
        <f t="shared" ca="1" si="95"/>
        <v>No</v>
      </c>
    </row>
    <row r="2044" spans="1:17" x14ac:dyDescent="0.45">
      <c r="A2044" t="s">
        <v>104</v>
      </c>
      <c r="B2044" t="s">
        <v>105</v>
      </c>
      <c r="C2044" t="s">
        <v>19</v>
      </c>
      <c r="D2044" t="s">
        <v>20</v>
      </c>
      <c r="E2044" t="s">
        <v>21</v>
      </c>
      <c r="F2044" s="1">
        <v>43891</v>
      </c>
      <c r="G2044">
        <v>6.52</v>
      </c>
      <c r="H2044">
        <v>88.330600000000004</v>
      </c>
      <c r="I2044">
        <v>22.58</v>
      </c>
      <c r="J2044">
        <v>79.510000000000005</v>
      </c>
      <c r="K2044" t="s">
        <v>30</v>
      </c>
      <c r="L2044">
        <v>2084.94</v>
      </c>
      <c r="M2044">
        <f>VLOOKUP(K2044,RatingLookup!$A$2:$C$8,2,FALSE)</f>
        <v>1.4999999999999999E-2</v>
      </c>
      <c r="N2044">
        <f t="shared" si="93"/>
        <v>1.2586770182638762E-3</v>
      </c>
      <c r="O2044">
        <f>VLOOKUP(K2044,RatingLookup!$A$2:$C$8,3,FALSE)</f>
        <v>0.5</v>
      </c>
      <c r="P2044">
        <f t="shared" si="94"/>
        <v>1.3121330312295432</v>
      </c>
      <c r="Q2044" t="str">
        <f t="shared" ca="1" si="95"/>
        <v>No</v>
      </c>
    </row>
    <row r="2045" spans="1:17" x14ac:dyDescent="0.45">
      <c r="A2045" t="s">
        <v>104</v>
      </c>
      <c r="B2045" t="s">
        <v>105</v>
      </c>
      <c r="C2045" t="s">
        <v>19</v>
      </c>
      <c r="D2045" t="s">
        <v>20</v>
      </c>
      <c r="E2045" t="s">
        <v>21</v>
      </c>
      <c r="F2045" s="1">
        <v>43922</v>
      </c>
      <c r="G2045">
        <v>5.91</v>
      </c>
      <c r="H2045">
        <v>83.647000000000006</v>
      </c>
      <c r="I2045">
        <v>19.760000000000002</v>
      </c>
      <c r="J2045">
        <v>65.78</v>
      </c>
      <c r="K2045" t="s">
        <v>30</v>
      </c>
      <c r="L2045">
        <v>2110.1999999999998</v>
      </c>
      <c r="M2045">
        <f>VLOOKUP(K2045,RatingLookup!$A$2:$C$8,2,FALSE)</f>
        <v>1.4999999999999999E-2</v>
      </c>
      <c r="N2045">
        <f t="shared" si="93"/>
        <v>1.2586770182638762E-3</v>
      </c>
      <c r="O2045">
        <f>VLOOKUP(K2045,RatingLookup!$A$2:$C$8,3,FALSE)</f>
        <v>0.5</v>
      </c>
      <c r="P2045">
        <f t="shared" si="94"/>
        <v>1.3280301219702157</v>
      </c>
      <c r="Q2045" t="str">
        <f t="shared" ca="1" si="95"/>
        <v>No</v>
      </c>
    </row>
    <row r="2046" spans="1:17" x14ac:dyDescent="0.45">
      <c r="A2046" t="s">
        <v>104</v>
      </c>
      <c r="B2046" t="s">
        <v>105</v>
      </c>
      <c r="C2046" t="s">
        <v>19</v>
      </c>
      <c r="D2046" t="s">
        <v>20</v>
      </c>
      <c r="E2046" t="s">
        <v>21</v>
      </c>
      <c r="F2046" s="1">
        <v>43952</v>
      </c>
      <c r="G2046">
        <v>5.67</v>
      </c>
      <c r="H2046">
        <v>80.864500000000007</v>
      </c>
      <c r="I2046">
        <v>18.489999999999998</v>
      </c>
      <c r="J2046">
        <v>79.959999999999994</v>
      </c>
      <c r="K2046" t="s">
        <v>30</v>
      </c>
      <c r="L2046">
        <v>2147.4899999999998</v>
      </c>
      <c r="M2046">
        <f>VLOOKUP(K2046,RatingLookup!$A$2:$C$8,2,FALSE)</f>
        <v>1.4999999999999999E-2</v>
      </c>
      <c r="N2046">
        <f t="shared" si="93"/>
        <v>1.2586770182638762E-3</v>
      </c>
      <c r="O2046">
        <f>VLOOKUP(K2046,RatingLookup!$A$2:$C$8,3,FALSE)</f>
        <v>0.5</v>
      </c>
      <c r="P2046">
        <f t="shared" si="94"/>
        <v>1.3514981549757457</v>
      </c>
      <c r="Q2046" t="str">
        <f t="shared" ca="1" si="95"/>
        <v>No</v>
      </c>
    </row>
    <row r="2047" spans="1:17" x14ac:dyDescent="0.45">
      <c r="A2047" t="s">
        <v>104</v>
      </c>
      <c r="B2047" t="s">
        <v>105</v>
      </c>
      <c r="C2047" t="s">
        <v>19</v>
      </c>
      <c r="D2047" t="s">
        <v>20</v>
      </c>
      <c r="E2047" t="s">
        <v>21</v>
      </c>
      <c r="F2047" s="1">
        <v>43983</v>
      </c>
      <c r="G2047">
        <v>5.22</v>
      </c>
      <c r="H2047">
        <v>84.534700000000001</v>
      </c>
      <c r="I2047">
        <v>19.93</v>
      </c>
      <c r="J2047">
        <v>81.55</v>
      </c>
      <c r="K2047" t="s">
        <v>30</v>
      </c>
      <c r="L2047">
        <v>2043.8</v>
      </c>
      <c r="M2047">
        <f>VLOOKUP(K2047,RatingLookup!$A$2:$C$8,2,FALSE)</f>
        <v>1.4999999999999999E-2</v>
      </c>
      <c r="N2047">
        <f t="shared" si="93"/>
        <v>1.2586770182638762E-3</v>
      </c>
      <c r="O2047">
        <f>VLOOKUP(K2047,RatingLookup!$A$2:$C$8,3,FALSE)</f>
        <v>0.5</v>
      </c>
      <c r="P2047">
        <f t="shared" si="94"/>
        <v>1.2862420449638552</v>
      </c>
      <c r="Q2047" t="str">
        <f t="shared" ca="1" si="95"/>
        <v>No</v>
      </c>
    </row>
    <row r="2048" spans="1:17" x14ac:dyDescent="0.45">
      <c r="A2048" t="s">
        <v>104</v>
      </c>
      <c r="B2048" t="s">
        <v>105</v>
      </c>
      <c r="C2048" t="s">
        <v>19</v>
      </c>
      <c r="D2048" t="s">
        <v>20</v>
      </c>
      <c r="E2048" t="s">
        <v>21</v>
      </c>
      <c r="F2048" s="1">
        <v>44013</v>
      </c>
      <c r="G2048">
        <v>6.17</v>
      </c>
      <c r="H2048">
        <v>80.903099999999995</v>
      </c>
      <c r="I2048">
        <v>20.37</v>
      </c>
      <c r="J2048">
        <v>78.97</v>
      </c>
      <c r="K2048" t="s">
        <v>30</v>
      </c>
      <c r="L2048">
        <v>2146.33</v>
      </c>
      <c r="M2048">
        <f>VLOOKUP(K2048,RatingLookup!$A$2:$C$8,2,FALSE)</f>
        <v>1.4999999999999999E-2</v>
      </c>
      <c r="N2048">
        <f t="shared" si="93"/>
        <v>1.2586770182638762E-3</v>
      </c>
      <c r="O2048">
        <f>VLOOKUP(K2048,RatingLookup!$A$2:$C$8,3,FALSE)</f>
        <v>0.5</v>
      </c>
      <c r="P2048">
        <f t="shared" si="94"/>
        <v>1.3507681223051526</v>
      </c>
      <c r="Q2048" t="str">
        <f t="shared" ca="1" si="95"/>
        <v>No</v>
      </c>
    </row>
    <row r="2049" spans="1:17" x14ac:dyDescent="0.45">
      <c r="A2049" t="s">
        <v>104</v>
      </c>
      <c r="B2049" t="s">
        <v>105</v>
      </c>
      <c r="C2049" t="s">
        <v>19</v>
      </c>
      <c r="D2049" t="s">
        <v>20</v>
      </c>
      <c r="E2049" t="s">
        <v>21</v>
      </c>
      <c r="F2049" s="1">
        <v>44044</v>
      </c>
      <c r="G2049">
        <v>4.99</v>
      </c>
      <c r="H2049">
        <v>84.188599999999994</v>
      </c>
      <c r="I2049">
        <v>12.87</v>
      </c>
      <c r="J2049">
        <v>78.760000000000005</v>
      </c>
      <c r="K2049" t="s">
        <v>30</v>
      </c>
      <c r="L2049">
        <v>2090.5700000000002</v>
      </c>
      <c r="M2049">
        <f>VLOOKUP(K2049,RatingLookup!$A$2:$C$8,2,FALSE)</f>
        <v>1.4999999999999999E-2</v>
      </c>
      <c r="N2049">
        <f t="shared" si="93"/>
        <v>1.2586770182638762E-3</v>
      </c>
      <c r="O2049">
        <f>VLOOKUP(K2049,RatingLookup!$A$2:$C$8,3,FALSE)</f>
        <v>0.5</v>
      </c>
      <c r="P2049">
        <f t="shared" si="94"/>
        <v>1.315676207035956</v>
      </c>
      <c r="Q2049" t="str">
        <f t="shared" ca="1" si="95"/>
        <v>No</v>
      </c>
    </row>
    <row r="2050" spans="1:17" x14ac:dyDescent="0.45">
      <c r="A2050" t="s">
        <v>104</v>
      </c>
      <c r="B2050" t="s">
        <v>105</v>
      </c>
      <c r="C2050" t="s">
        <v>19</v>
      </c>
      <c r="D2050" t="s">
        <v>20</v>
      </c>
      <c r="E2050" t="s">
        <v>21</v>
      </c>
      <c r="F2050" s="1">
        <v>44075</v>
      </c>
      <c r="G2050">
        <v>6.32</v>
      </c>
      <c r="H2050">
        <v>80.231099999999998</v>
      </c>
      <c r="I2050">
        <v>15.86</v>
      </c>
      <c r="J2050">
        <v>75.760000000000005</v>
      </c>
      <c r="K2050" t="s">
        <v>30</v>
      </c>
      <c r="L2050">
        <v>2220.13</v>
      </c>
      <c r="M2050">
        <f>VLOOKUP(K2050,RatingLookup!$A$2:$C$8,2,FALSE)</f>
        <v>1.4999999999999999E-2</v>
      </c>
      <c r="N2050">
        <f t="shared" ref="N2050:N2113" si="96">1-(1-M2050)^(1/12)</f>
        <v>1.2586770182638762E-3</v>
      </c>
      <c r="O2050">
        <f>VLOOKUP(K2050,RatingLookup!$A$2:$C$8,3,FALSE)</f>
        <v>0.5</v>
      </c>
      <c r="P2050">
        <f t="shared" ref="P2050:P2113" si="97">L2050*N2050*O2050</f>
        <v>1.3972133042790897</v>
      </c>
      <c r="Q2050" t="str">
        <f t="shared" ref="Q2050:Q2113" ca="1" si="98">IF(RAND()&lt;N2050,"Yes","No")</f>
        <v>No</v>
      </c>
    </row>
    <row r="2051" spans="1:17" x14ac:dyDescent="0.45">
      <c r="A2051" t="s">
        <v>104</v>
      </c>
      <c r="B2051" t="s">
        <v>105</v>
      </c>
      <c r="C2051" t="s">
        <v>19</v>
      </c>
      <c r="D2051" t="s">
        <v>20</v>
      </c>
      <c r="E2051" t="s">
        <v>21</v>
      </c>
      <c r="F2051" s="1">
        <v>44105</v>
      </c>
      <c r="G2051">
        <v>5.73</v>
      </c>
      <c r="H2051">
        <v>85.161199999999994</v>
      </c>
      <c r="I2051">
        <v>20.63</v>
      </c>
      <c r="J2051">
        <v>76.42</v>
      </c>
      <c r="K2051" t="s">
        <v>30</v>
      </c>
      <c r="L2051">
        <v>2096.56</v>
      </c>
      <c r="M2051">
        <f>VLOOKUP(K2051,RatingLookup!$A$2:$C$8,2,FALSE)</f>
        <v>1.4999999999999999E-2</v>
      </c>
      <c r="N2051">
        <f t="shared" si="96"/>
        <v>1.2586770182638762E-3</v>
      </c>
      <c r="O2051">
        <f>VLOOKUP(K2051,RatingLookup!$A$2:$C$8,3,FALSE)</f>
        <v>0.5</v>
      </c>
      <c r="P2051">
        <f t="shared" si="97"/>
        <v>1.3194459447056561</v>
      </c>
      <c r="Q2051" t="str">
        <f t="shared" ca="1" si="98"/>
        <v>No</v>
      </c>
    </row>
    <row r="2052" spans="1:17" x14ac:dyDescent="0.45">
      <c r="A2052" t="s">
        <v>104</v>
      </c>
      <c r="B2052" t="s">
        <v>105</v>
      </c>
      <c r="C2052" t="s">
        <v>19</v>
      </c>
      <c r="D2052" t="s">
        <v>20</v>
      </c>
      <c r="E2052" t="s">
        <v>21</v>
      </c>
      <c r="F2052" s="1">
        <v>44136</v>
      </c>
      <c r="G2052">
        <v>6.04</v>
      </c>
      <c r="H2052">
        <v>79.564099999999996</v>
      </c>
      <c r="I2052">
        <v>18.510000000000002</v>
      </c>
      <c r="J2052">
        <v>77.12</v>
      </c>
      <c r="K2052" t="s">
        <v>30</v>
      </c>
      <c r="L2052">
        <v>1975.86</v>
      </c>
      <c r="M2052">
        <f>VLOOKUP(K2052,RatingLookup!$A$2:$C$8,2,FALSE)</f>
        <v>1.4999999999999999E-2</v>
      </c>
      <c r="N2052">
        <f t="shared" si="96"/>
        <v>1.2586770182638762E-3</v>
      </c>
      <c r="O2052">
        <f>VLOOKUP(K2052,RatingLookup!$A$2:$C$8,3,FALSE)</f>
        <v>0.5</v>
      </c>
      <c r="P2052">
        <f t="shared" si="97"/>
        <v>1.2434847866534311</v>
      </c>
      <c r="Q2052" t="str">
        <f t="shared" ca="1" si="98"/>
        <v>No</v>
      </c>
    </row>
    <row r="2053" spans="1:17" x14ac:dyDescent="0.45">
      <c r="A2053" t="s">
        <v>104</v>
      </c>
      <c r="B2053" t="s">
        <v>105</v>
      </c>
      <c r="C2053" t="s">
        <v>19</v>
      </c>
      <c r="D2053" t="s">
        <v>20</v>
      </c>
      <c r="E2053" t="s">
        <v>21</v>
      </c>
      <c r="F2053" s="1">
        <v>44166</v>
      </c>
      <c r="G2053">
        <v>5.38</v>
      </c>
      <c r="H2053">
        <v>82.5351</v>
      </c>
      <c r="I2053">
        <v>5.76</v>
      </c>
      <c r="J2053">
        <v>74.709999999999994</v>
      </c>
      <c r="K2053" t="s">
        <v>30</v>
      </c>
      <c r="L2053">
        <v>1995.82</v>
      </c>
      <c r="M2053">
        <f>VLOOKUP(K2053,RatingLookup!$A$2:$C$8,2,FALSE)</f>
        <v>1.4999999999999999E-2</v>
      </c>
      <c r="N2053">
        <f t="shared" si="96"/>
        <v>1.2586770182638762E-3</v>
      </c>
      <c r="O2053">
        <f>VLOOKUP(K2053,RatingLookup!$A$2:$C$8,3,FALSE)</f>
        <v>0.5</v>
      </c>
      <c r="P2053">
        <f t="shared" si="97"/>
        <v>1.2560463832957047</v>
      </c>
      <c r="Q2053" t="str">
        <f t="shared" ca="1" si="98"/>
        <v>No</v>
      </c>
    </row>
    <row r="2054" spans="1:17" x14ac:dyDescent="0.45">
      <c r="A2054" t="s">
        <v>104</v>
      </c>
      <c r="B2054" t="s">
        <v>105</v>
      </c>
      <c r="C2054" t="s">
        <v>19</v>
      </c>
      <c r="D2054" t="s">
        <v>20</v>
      </c>
      <c r="E2054" t="s">
        <v>21</v>
      </c>
      <c r="F2054" s="1">
        <v>44197</v>
      </c>
      <c r="G2054">
        <v>5.29</v>
      </c>
      <c r="H2054">
        <v>83.305400000000006</v>
      </c>
      <c r="I2054">
        <v>11.49</v>
      </c>
      <c r="J2054">
        <v>78.61</v>
      </c>
      <c r="K2054" t="s">
        <v>30</v>
      </c>
      <c r="L2054">
        <v>2028.42</v>
      </c>
      <c r="M2054">
        <f>VLOOKUP(K2054,RatingLookup!$A$2:$C$8,2,FALSE)</f>
        <v>1.4999999999999999E-2</v>
      </c>
      <c r="N2054">
        <f t="shared" si="96"/>
        <v>1.2586770182638762E-3</v>
      </c>
      <c r="O2054">
        <f>VLOOKUP(K2054,RatingLookup!$A$2:$C$8,3,FALSE)</f>
        <v>0.5</v>
      </c>
      <c r="P2054">
        <f t="shared" si="97"/>
        <v>1.2765628186934059</v>
      </c>
      <c r="Q2054" t="str">
        <f t="shared" ca="1" si="98"/>
        <v>No</v>
      </c>
    </row>
    <row r="2055" spans="1:17" x14ac:dyDescent="0.45">
      <c r="A2055" t="s">
        <v>104</v>
      </c>
      <c r="B2055" t="s">
        <v>105</v>
      </c>
      <c r="C2055" t="s">
        <v>19</v>
      </c>
      <c r="D2055" t="s">
        <v>20</v>
      </c>
      <c r="E2055" t="s">
        <v>21</v>
      </c>
      <c r="F2055" s="1">
        <v>44228</v>
      </c>
      <c r="G2055">
        <v>4.7</v>
      </c>
      <c r="H2055">
        <v>84.716800000000006</v>
      </c>
      <c r="I2055">
        <v>12.49</v>
      </c>
      <c r="J2055">
        <v>72.06</v>
      </c>
      <c r="K2055" t="s">
        <v>30</v>
      </c>
      <c r="L2055">
        <v>2052.7600000000002</v>
      </c>
      <c r="M2055">
        <f>VLOOKUP(K2055,RatingLookup!$A$2:$C$8,2,FALSE)</f>
        <v>1.4999999999999999E-2</v>
      </c>
      <c r="N2055">
        <f t="shared" si="96"/>
        <v>1.2586770182638762E-3</v>
      </c>
      <c r="O2055">
        <f>VLOOKUP(K2055,RatingLookup!$A$2:$C$8,3,FALSE)</f>
        <v>0.5</v>
      </c>
      <c r="P2055">
        <f t="shared" si="97"/>
        <v>1.2918809180056774</v>
      </c>
      <c r="Q2055" t="str">
        <f t="shared" ca="1" si="98"/>
        <v>No</v>
      </c>
    </row>
    <row r="2056" spans="1:17" x14ac:dyDescent="0.45">
      <c r="A2056" t="s">
        <v>104</v>
      </c>
      <c r="B2056" t="s">
        <v>105</v>
      </c>
      <c r="C2056" t="s">
        <v>19</v>
      </c>
      <c r="D2056" t="s">
        <v>20</v>
      </c>
      <c r="E2056" t="s">
        <v>21</v>
      </c>
      <c r="F2056" s="1">
        <v>44256</v>
      </c>
      <c r="G2056">
        <v>5.2</v>
      </c>
      <c r="H2056">
        <v>82.004800000000003</v>
      </c>
      <c r="I2056">
        <v>19.87</v>
      </c>
      <c r="J2056">
        <v>74.040000000000006</v>
      </c>
      <c r="K2056" t="s">
        <v>31</v>
      </c>
      <c r="L2056">
        <v>2167.29</v>
      </c>
      <c r="M2056">
        <f>VLOOKUP(K2056,RatingLookup!$A$2:$C$8,2,FALSE)</f>
        <v>0.04</v>
      </c>
      <c r="N2056">
        <f t="shared" si="96"/>
        <v>3.3960531989175591E-3</v>
      </c>
      <c r="O2056">
        <f>VLOOKUP(K2056,RatingLookup!$A$2:$C$8,3,FALSE)</f>
        <v>0.6</v>
      </c>
      <c r="P2056">
        <f t="shared" si="97"/>
        <v>4.4161392824892216</v>
      </c>
      <c r="Q2056" t="str">
        <f t="shared" ca="1" si="98"/>
        <v>No</v>
      </c>
    </row>
    <row r="2057" spans="1:17" x14ac:dyDescent="0.45">
      <c r="A2057" t="s">
        <v>104</v>
      </c>
      <c r="B2057" t="s">
        <v>105</v>
      </c>
      <c r="C2057" t="s">
        <v>19</v>
      </c>
      <c r="D2057" t="s">
        <v>20</v>
      </c>
      <c r="E2057" t="s">
        <v>21</v>
      </c>
      <c r="F2057" s="1">
        <v>44287</v>
      </c>
      <c r="G2057">
        <v>5.56</v>
      </c>
      <c r="H2057">
        <v>83.450199999999995</v>
      </c>
      <c r="I2057">
        <v>29.92</v>
      </c>
      <c r="J2057">
        <v>81.77</v>
      </c>
      <c r="K2057" t="s">
        <v>31</v>
      </c>
      <c r="L2057">
        <v>2172.83</v>
      </c>
      <c r="M2057">
        <f>VLOOKUP(K2057,RatingLookup!$A$2:$C$8,2,FALSE)</f>
        <v>0.04</v>
      </c>
      <c r="N2057">
        <f t="shared" si="96"/>
        <v>3.3960531989175591E-3</v>
      </c>
      <c r="O2057">
        <f>VLOOKUP(K2057,RatingLookup!$A$2:$C$8,3,FALSE)</f>
        <v>0.6</v>
      </c>
      <c r="P2057">
        <f t="shared" si="97"/>
        <v>4.4274277633224237</v>
      </c>
      <c r="Q2057" t="str">
        <f t="shared" ca="1" si="98"/>
        <v>No</v>
      </c>
    </row>
    <row r="2058" spans="1:17" x14ac:dyDescent="0.45">
      <c r="A2058" t="s">
        <v>104</v>
      </c>
      <c r="B2058" t="s">
        <v>105</v>
      </c>
      <c r="C2058" t="s">
        <v>19</v>
      </c>
      <c r="D2058" t="s">
        <v>20</v>
      </c>
      <c r="E2058" t="s">
        <v>21</v>
      </c>
      <c r="F2058" s="1">
        <v>44317</v>
      </c>
      <c r="G2058">
        <v>6.11</v>
      </c>
      <c r="H2058">
        <v>82.933599999999998</v>
      </c>
      <c r="I2058">
        <v>17.87</v>
      </c>
      <c r="J2058">
        <v>61.65</v>
      </c>
      <c r="K2058" t="s">
        <v>31</v>
      </c>
      <c r="L2058">
        <v>2051.88</v>
      </c>
      <c r="M2058">
        <f>VLOOKUP(K2058,RatingLookup!$A$2:$C$8,2,FALSE)</f>
        <v>0.04</v>
      </c>
      <c r="N2058">
        <f t="shared" si="96"/>
        <v>3.3960531989175591E-3</v>
      </c>
      <c r="O2058">
        <f>VLOOKUP(K2058,RatingLookup!$A$2:$C$8,3,FALSE)</f>
        <v>0.6</v>
      </c>
      <c r="P2058">
        <f t="shared" si="97"/>
        <v>4.1809761826769769</v>
      </c>
      <c r="Q2058" t="str">
        <f t="shared" ca="1" si="98"/>
        <v>No</v>
      </c>
    </row>
    <row r="2059" spans="1:17" x14ac:dyDescent="0.45">
      <c r="A2059" t="s">
        <v>104</v>
      </c>
      <c r="B2059" t="s">
        <v>105</v>
      </c>
      <c r="C2059" t="s">
        <v>19</v>
      </c>
      <c r="D2059" t="s">
        <v>20</v>
      </c>
      <c r="E2059" t="s">
        <v>21</v>
      </c>
      <c r="F2059" s="1">
        <v>44348</v>
      </c>
      <c r="G2059">
        <v>5.84</v>
      </c>
      <c r="H2059">
        <v>82.594899999999996</v>
      </c>
      <c r="I2059">
        <v>19.72</v>
      </c>
      <c r="J2059">
        <v>63.23</v>
      </c>
      <c r="K2059" t="s">
        <v>31</v>
      </c>
      <c r="L2059">
        <v>2058.36</v>
      </c>
      <c r="M2059">
        <f>VLOOKUP(K2059,RatingLookup!$A$2:$C$8,2,FALSE)</f>
        <v>0.04</v>
      </c>
      <c r="N2059">
        <f t="shared" si="96"/>
        <v>3.3960531989175591E-3</v>
      </c>
      <c r="O2059">
        <f>VLOOKUP(K2059,RatingLookup!$A$2:$C$8,3,FALSE)</f>
        <v>0.6</v>
      </c>
      <c r="P2059">
        <f t="shared" si="97"/>
        <v>4.1941800375143679</v>
      </c>
      <c r="Q2059" t="str">
        <f t="shared" ca="1" si="98"/>
        <v>No</v>
      </c>
    </row>
    <row r="2060" spans="1:17" x14ac:dyDescent="0.45">
      <c r="A2060" t="s">
        <v>104</v>
      </c>
      <c r="B2060" t="s">
        <v>105</v>
      </c>
      <c r="C2060" t="s">
        <v>19</v>
      </c>
      <c r="D2060" t="s">
        <v>20</v>
      </c>
      <c r="E2060" t="s">
        <v>21</v>
      </c>
      <c r="F2060" s="1">
        <v>44378</v>
      </c>
      <c r="G2060">
        <v>5.67</v>
      </c>
      <c r="H2060">
        <v>85.663300000000007</v>
      </c>
      <c r="I2060">
        <v>15.5</v>
      </c>
      <c r="J2060">
        <v>97.66</v>
      </c>
      <c r="K2060" t="s">
        <v>31</v>
      </c>
      <c r="L2060">
        <v>2058.67</v>
      </c>
      <c r="M2060">
        <f>VLOOKUP(K2060,RatingLookup!$A$2:$C$8,2,FALSE)</f>
        <v>0.04</v>
      </c>
      <c r="N2060">
        <f t="shared" si="96"/>
        <v>3.3960531989175591E-3</v>
      </c>
      <c r="O2060">
        <f>VLOOKUP(K2060,RatingLookup!$A$2:$C$8,3,FALSE)</f>
        <v>0.6</v>
      </c>
      <c r="P2060">
        <f t="shared" si="97"/>
        <v>4.1948117034093668</v>
      </c>
      <c r="Q2060" t="str">
        <f t="shared" ca="1" si="98"/>
        <v>No</v>
      </c>
    </row>
    <row r="2061" spans="1:17" x14ac:dyDescent="0.45">
      <c r="A2061" t="s">
        <v>104</v>
      </c>
      <c r="B2061" t="s">
        <v>105</v>
      </c>
      <c r="C2061" t="s">
        <v>19</v>
      </c>
      <c r="D2061" t="s">
        <v>20</v>
      </c>
      <c r="E2061" t="s">
        <v>21</v>
      </c>
      <c r="F2061" s="1">
        <v>44409</v>
      </c>
      <c r="G2061">
        <v>4.78</v>
      </c>
      <c r="H2061">
        <v>81.9619</v>
      </c>
      <c r="I2061">
        <v>21.19</v>
      </c>
      <c r="J2061">
        <v>79.58</v>
      </c>
      <c r="K2061" t="s">
        <v>31</v>
      </c>
      <c r="L2061">
        <v>1939.36</v>
      </c>
      <c r="M2061">
        <f>VLOOKUP(K2061,RatingLookup!$A$2:$C$8,2,FALSE)</f>
        <v>0.04</v>
      </c>
      <c r="N2061">
        <f t="shared" si="96"/>
        <v>3.3960531989175591E-3</v>
      </c>
      <c r="O2061">
        <f>VLOOKUP(K2061,RatingLookup!$A$2:$C$8,3,FALSE)</f>
        <v>0.6</v>
      </c>
      <c r="P2061">
        <f t="shared" si="97"/>
        <v>3.9517018391116538</v>
      </c>
      <c r="Q2061" t="str">
        <f t="shared" ca="1" si="98"/>
        <v>No</v>
      </c>
    </row>
    <row r="2062" spans="1:17" x14ac:dyDescent="0.45">
      <c r="A2062" t="s">
        <v>104</v>
      </c>
      <c r="B2062" t="s">
        <v>105</v>
      </c>
      <c r="C2062" t="s">
        <v>19</v>
      </c>
      <c r="D2062" t="s">
        <v>20</v>
      </c>
      <c r="E2062" t="s">
        <v>21</v>
      </c>
      <c r="F2062" s="1">
        <v>44440</v>
      </c>
      <c r="G2062">
        <v>5.89</v>
      </c>
      <c r="H2062">
        <v>81.177700000000002</v>
      </c>
      <c r="I2062">
        <v>5</v>
      </c>
      <c r="J2062">
        <v>65.42</v>
      </c>
      <c r="K2062" t="s">
        <v>31</v>
      </c>
      <c r="L2062">
        <v>2154.75</v>
      </c>
      <c r="M2062">
        <f>VLOOKUP(K2062,RatingLookup!$A$2:$C$8,2,FALSE)</f>
        <v>0.04</v>
      </c>
      <c r="N2062">
        <f t="shared" si="96"/>
        <v>3.3960531989175591E-3</v>
      </c>
      <c r="O2062">
        <f>VLOOKUP(K2062,RatingLookup!$A$2:$C$8,3,FALSE)</f>
        <v>0.6</v>
      </c>
      <c r="P2062">
        <f t="shared" si="97"/>
        <v>4.390587378220566</v>
      </c>
      <c r="Q2062" t="str">
        <f t="shared" ca="1" si="98"/>
        <v>No</v>
      </c>
    </row>
    <row r="2063" spans="1:17" x14ac:dyDescent="0.45">
      <c r="A2063" t="s">
        <v>104</v>
      </c>
      <c r="B2063" t="s">
        <v>105</v>
      </c>
      <c r="C2063" t="s">
        <v>19</v>
      </c>
      <c r="D2063" t="s">
        <v>20</v>
      </c>
      <c r="E2063" t="s">
        <v>21</v>
      </c>
      <c r="F2063" s="1">
        <v>44470</v>
      </c>
      <c r="G2063">
        <v>5.0599999999999996</v>
      </c>
      <c r="H2063">
        <v>81.654300000000006</v>
      </c>
      <c r="I2063">
        <v>26.8</v>
      </c>
      <c r="J2063">
        <v>73.37</v>
      </c>
      <c r="K2063" t="s">
        <v>31</v>
      </c>
      <c r="L2063">
        <v>1963.68</v>
      </c>
      <c r="M2063">
        <f>VLOOKUP(K2063,RatingLookup!$A$2:$C$8,2,FALSE)</f>
        <v>0.04</v>
      </c>
      <c r="N2063">
        <f t="shared" si="96"/>
        <v>3.3960531989175591E-3</v>
      </c>
      <c r="O2063">
        <f>VLOOKUP(K2063,RatingLookup!$A$2:$C$8,3,FALSE)</f>
        <v>0.6</v>
      </c>
      <c r="P2063">
        <f t="shared" si="97"/>
        <v>4.0012570473902596</v>
      </c>
      <c r="Q2063" t="str">
        <f t="shared" ca="1" si="98"/>
        <v>No</v>
      </c>
    </row>
    <row r="2064" spans="1:17" x14ac:dyDescent="0.45">
      <c r="A2064" t="s">
        <v>104</v>
      </c>
      <c r="B2064" t="s">
        <v>105</v>
      </c>
      <c r="C2064" t="s">
        <v>19</v>
      </c>
      <c r="D2064" t="s">
        <v>20</v>
      </c>
      <c r="E2064" t="s">
        <v>21</v>
      </c>
      <c r="F2064" s="1">
        <v>44501</v>
      </c>
      <c r="G2064">
        <v>4.8499999999999996</v>
      </c>
      <c r="H2064">
        <v>83.619600000000005</v>
      </c>
      <c r="I2064">
        <v>16.670000000000002</v>
      </c>
      <c r="J2064">
        <v>65.739999999999995</v>
      </c>
      <c r="K2064" t="s">
        <v>31</v>
      </c>
      <c r="L2064">
        <v>2058.7600000000002</v>
      </c>
      <c r="M2064">
        <f>VLOOKUP(K2064,RatingLookup!$A$2:$C$8,2,FALSE)</f>
        <v>0.04</v>
      </c>
      <c r="N2064">
        <f t="shared" si="96"/>
        <v>3.3960531989175591E-3</v>
      </c>
      <c r="O2064">
        <f>VLOOKUP(K2064,RatingLookup!$A$2:$C$8,3,FALSE)</f>
        <v>0.6</v>
      </c>
      <c r="P2064">
        <f t="shared" si="97"/>
        <v>4.1949950902821085</v>
      </c>
      <c r="Q2064" t="str">
        <f t="shared" ca="1" si="98"/>
        <v>No</v>
      </c>
    </row>
    <row r="2065" spans="1:17" x14ac:dyDescent="0.45">
      <c r="A2065" t="s">
        <v>104</v>
      </c>
      <c r="B2065" t="s">
        <v>105</v>
      </c>
      <c r="C2065" t="s">
        <v>19</v>
      </c>
      <c r="D2065" t="s">
        <v>20</v>
      </c>
      <c r="E2065" t="s">
        <v>21</v>
      </c>
      <c r="F2065" s="1">
        <v>44531</v>
      </c>
      <c r="G2065">
        <v>5.41</v>
      </c>
      <c r="H2065">
        <v>87.123400000000004</v>
      </c>
      <c r="I2065">
        <v>18.95</v>
      </c>
      <c r="J2065">
        <v>90.77</v>
      </c>
      <c r="K2065" t="s">
        <v>31</v>
      </c>
      <c r="L2065">
        <v>2079.8200000000002</v>
      </c>
      <c r="M2065">
        <f>VLOOKUP(K2065,RatingLookup!$A$2:$C$8,2,FALSE)</f>
        <v>0.04</v>
      </c>
      <c r="N2065">
        <f t="shared" si="96"/>
        <v>3.3960531989175591E-3</v>
      </c>
      <c r="O2065">
        <f>VLOOKUP(K2065,RatingLookup!$A$2:$C$8,3,FALSE)</f>
        <v>0.6</v>
      </c>
      <c r="P2065">
        <f t="shared" si="97"/>
        <v>4.2379076185036313</v>
      </c>
      <c r="Q2065" t="str">
        <f t="shared" ca="1" si="98"/>
        <v>No</v>
      </c>
    </row>
    <row r="2066" spans="1:17" x14ac:dyDescent="0.45">
      <c r="A2066" t="s">
        <v>104</v>
      </c>
      <c r="B2066" t="s">
        <v>105</v>
      </c>
      <c r="C2066" t="s">
        <v>19</v>
      </c>
      <c r="D2066" t="s">
        <v>20</v>
      </c>
      <c r="E2066" t="s">
        <v>21</v>
      </c>
      <c r="F2066" s="1">
        <v>44562</v>
      </c>
      <c r="G2066">
        <v>4.93</v>
      </c>
      <c r="H2066">
        <v>83.997100000000003</v>
      </c>
      <c r="I2066">
        <v>12.76</v>
      </c>
      <c r="J2066">
        <v>86.69</v>
      </c>
      <c r="K2066" t="s">
        <v>31</v>
      </c>
      <c r="L2066">
        <v>2069.3200000000002</v>
      </c>
      <c r="M2066">
        <f>VLOOKUP(K2066,RatingLookup!$A$2:$C$8,2,FALSE)</f>
        <v>0.04</v>
      </c>
      <c r="N2066">
        <f t="shared" si="96"/>
        <v>3.3960531989175591E-3</v>
      </c>
      <c r="O2066">
        <f>VLOOKUP(K2066,RatingLookup!$A$2:$C$8,3,FALSE)</f>
        <v>0.6</v>
      </c>
      <c r="P2066">
        <f t="shared" si="97"/>
        <v>4.2165124833504501</v>
      </c>
      <c r="Q2066" t="str">
        <f t="shared" ca="1" si="98"/>
        <v>No</v>
      </c>
    </row>
    <row r="2067" spans="1:17" x14ac:dyDescent="0.45">
      <c r="A2067" t="s">
        <v>104</v>
      </c>
      <c r="B2067" t="s">
        <v>105</v>
      </c>
      <c r="C2067" t="s">
        <v>19</v>
      </c>
      <c r="D2067" t="s">
        <v>20</v>
      </c>
      <c r="E2067" t="s">
        <v>21</v>
      </c>
      <c r="F2067" s="1">
        <v>44593</v>
      </c>
      <c r="G2067">
        <v>5.51</v>
      </c>
      <c r="H2067">
        <v>82.105900000000005</v>
      </c>
      <c r="I2067">
        <v>7.04</v>
      </c>
      <c r="J2067">
        <v>60.36</v>
      </c>
      <c r="K2067" t="s">
        <v>31</v>
      </c>
      <c r="L2067">
        <v>1920.08</v>
      </c>
      <c r="M2067">
        <f>VLOOKUP(K2067,RatingLookup!$A$2:$C$8,2,FALSE)</f>
        <v>0.04</v>
      </c>
      <c r="N2067">
        <f t="shared" si="96"/>
        <v>3.3960531989175591E-3</v>
      </c>
      <c r="O2067">
        <f>VLOOKUP(K2067,RatingLookup!$A$2:$C$8,3,FALSE)</f>
        <v>0.6</v>
      </c>
      <c r="P2067">
        <f t="shared" si="97"/>
        <v>3.9124162957065756</v>
      </c>
      <c r="Q2067" t="str">
        <f t="shared" ca="1" si="98"/>
        <v>No</v>
      </c>
    </row>
    <row r="2068" spans="1:17" x14ac:dyDescent="0.45">
      <c r="A2068" t="s">
        <v>104</v>
      </c>
      <c r="B2068" t="s">
        <v>105</v>
      </c>
      <c r="C2068" t="s">
        <v>19</v>
      </c>
      <c r="D2068" t="s">
        <v>20</v>
      </c>
      <c r="E2068" t="s">
        <v>21</v>
      </c>
      <c r="F2068" s="1">
        <v>44621</v>
      </c>
      <c r="G2068">
        <v>5.97</v>
      </c>
      <c r="H2068">
        <v>84.670599999999993</v>
      </c>
      <c r="I2068">
        <v>20.47</v>
      </c>
      <c r="J2068">
        <v>80.739999999999995</v>
      </c>
      <c r="K2068" t="s">
        <v>31</v>
      </c>
      <c r="L2068">
        <v>2198.1799999999998</v>
      </c>
      <c r="M2068">
        <f>VLOOKUP(K2068,RatingLookup!$A$2:$C$8,2,FALSE)</f>
        <v>0.04</v>
      </c>
      <c r="N2068">
        <f t="shared" si="96"/>
        <v>3.3960531989175591E-3</v>
      </c>
      <c r="O2068">
        <f>VLOOKUP(K2068,RatingLookup!$A$2:$C$8,3,FALSE)</f>
        <v>0.6</v>
      </c>
      <c r="P2068">
        <f t="shared" si="97"/>
        <v>4.4790817324779599</v>
      </c>
      <c r="Q2068" t="str">
        <f t="shared" ca="1" si="98"/>
        <v>No</v>
      </c>
    </row>
    <row r="2069" spans="1:17" x14ac:dyDescent="0.45">
      <c r="A2069" t="s">
        <v>104</v>
      </c>
      <c r="B2069" t="s">
        <v>105</v>
      </c>
      <c r="C2069" t="s">
        <v>19</v>
      </c>
      <c r="D2069" t="s">
        <v>20</v>
      </c>
      <c r="E2069" t="s">
        <v>21</v>
      </c>
      <c r="F2069" s="1">
        <v>44652</v>
      </c>
      <c r="G2069">
        <v>5.71</v>
      </c>
      <c r="H2069">
        <v>82.041300000000007</v>
      </c>
      <c r="I2069">
        <v>20.6</v>
      </c>
      <c r="J2069">
        <v>76.28</v>
      </c>
      <c r="K2069" t="s">
        <v>32</v>
      </c>
      <c r="L2069">
        <v>1951.55</v>
      </c>
      <c r="M2069">
        <f>VLOOKUP(K2069,RatingLookup!$A$2:$C$8,2,FALSE)</f>
        <v>0.12</v>
      </c>
      <c r="N2069">
        <f t="shared" si="96"/>
        <v>1.0596241035318976E-2</v>
      </c>
      <c r="O2069">
        <f>VLOOKUP(K2069,RatingLookup!$A$2:$C$8,3,FALSE)</f>
        <v>0.7</v>
      </c>
      <c r="P2069">
        <f t="shared" si="97"/>
        <v>14.475365934733722</v>
      </c>
      <c r="Q2069" t="str">
        <f t="shared" ca="1" si="98"/>
        <v>No</v>
      </c>
    </row>
    <row r="2070" spans="1:17" x14ac:dyDescent="0.45">
      <c r="A2070" t="s">
        <v>104</v>
      </c>
      <c r="B2070" t="s">
        <v>105</v>
      </c>
      <c r="C2070" t="s">
        <v>19</v>
      </c>
      <c r="D2070" t="s">
        <v>20</v>
      </c>
      <c r="E2070" t="s">
        <v>21</v>
      </c>
      <c r="F2070" s="1">
        <v>44682</v>
      </c>
      <c r="G2070">
        <v>6.31</v>
      </c>
      <c r="H2070">
        <v>83.170400000000001</v>
      </c>
      <c r="I2070">
        <v>21.64</v>
      </c>
      <c r="J2070">
        <v>62.26</v>
      </c>
      <c r="K2070" t="s">
        <v>32</v>
      </c>
      <c r="L2070">
        <v>2082.5100000000002</v>
      </c>
      <c r="M2070">
        <f>VLOOKUP(K2070,RatingLookup!$A$2:$C$8,2,FALSE)</f>
        <v>0.12</v>
      </c>
      <c r="N2070">
        <f t="shared" si="96"/>
        <v>1.0596241035318976E-2</v>
      </c>
      <c r="O2070">
        <f>VLOOKUP(K2070,RatingLookup!$A$2:$C$8,3,FALSE)</f>
        <v>0.7</v>
      </c>
      <c r="P2070">
        <f t="shared" si="97"/>
        <v>15.446744542923485</v>
      </c>
      <c r="Q2070" t="str">
        <f t="shared" ca="1" si="98"/>
        <v>No</v>
      </c>
    </row>
    <row r="2071" spans="1:17" x14ac:dyDescent="0.45">
      <c r="A2071" t="s">
        <v>104</v>
      </c>
      <c r="B2071" t="s">
        <v>105</v>
      </c>
      <c r="C2071" t="s">
        <v>19</v>
      </c>
      <c r="D2071" t="s">
        <v>20</v>
      </c>
      <c r="E2071" t="s">
        <v>21</v>
      </c>
      <c r="F2071" s="1">
        <v>44713</v>
      </c>
      <c r="G2071">
        <v>4.25</v>
      </c>
      <c r="H2071">
        <v>82.614099999999993</v>
      </c>
      <c r="I2071">
        <v>19.22</v>
      </c>
      <c r="J2071">
        <v>83.44</v>
      </c>
      <c r="K2071" t="s">
        <v>32</v>
      </c>
      <c r="L2071">
        <v>2124.87</v>
      </c>
      <c r="M2071">
        <f>VLOOKUP(K2071,RatingLookup!$A$2:$C$8,2,FALSE)</f>
        <v>0.12</v>
      </c>
      <c r="N2071">
        <f t="shared" si="96"/>
        <v>1.0596241035318976E-2</v>
      </c>
      <c r="O2071">
        <f>VLOOKUP(K2071,RatingLookup!$A$2:$C$8,3,FALSE)</f>
        <v>0.7</v>
      </c>
      <c r="P2071">
        <f t="shared" si="97"/>
        <v>15.760944282102763</v>
      </c>
      <c r="Q2071" t="str">
        <f t="shared" ca="1" si="98"/>
        <v>No</v>
      </c>
    </row>
    <row r="2072" spans="1:17" x14ac:dyDescent="0.45">
      <c r="A2072" t="s">
        <v>104</v>
      </c>
      <c r="B2072" t="s">
        <v>105</v>
      </c>
      <c r="C2072" t="s">
        <v>19</v>
      </c>
      <c r="D2072" t="s">
        <v>20</v>
      </c>
      <c r="E2072" t="s">
        <v>21</v>
      </c>
      <c r="F2072" s="1">
        <v>44743</v>
      </c>
      <c r="G2072">
        <v>5.46</v>
      </c>
      <c r="H2072">
        <v>78.77</v>
      </c>
      <c r="I2072">
        <v>16.47</v>
      </c>
      <c r="J2072">
        <v>82.13</v>
      </c>
      <c r="K2072" t="s">
        <v>32</v>
      </c>
      <c r="L2072">
        <v>2001.8</v>
      </c>
      <c r="M2072">
        <f>VLOOKUP(K2072,RatingLookup!$A$2:$C$8,2,FALSE)</f>
        <v>0.12</v>
      </c>
      <c r="N2072">
        <f t="shared" si="96"/>
        <v>1.0596241035318976E-2</v>
      </c>
      <c r="O2072">
        <f>VLOOKUP(K2072,RatingLookup!$A$2:$C$8,3,FALSE)</f>
        <v>0.7</v>
      </c>
      <c r="P2072">
        <f t="shared" si="97"/>
        <v>14.848088713151068</v>
      </c>
      <c r="Q2072" t="str">
        <f t="shared" ca="1" si="98"/>
        <v>No</v>
      </c>
    </row>
    <row r="2073" spans="1:17" x14ac:dyDescent="0.45">
      <c r="A2073" t="s">
        <v>104</v>
      </c>
      <c r="B2073" t="s">
        <v>105</v>
      </c>
      <c r="C2073" t="s">
        <v>19</v>
      </c>
      <c r="D2073" t="s">
        <v>20</v>
      </c>
      <c r="E2073" t="s">
        <v>21</v>
      </c>
      <c r="F2073" s="1">
        <v>44774</v>
      </c>
      <c r="G2073">
        <v>5.27</v>
      </c>
      <c r="H2073">
        <v>79.422300000000007</v>
      </c>
      <c r="I2073">
        <v>19.88</v>
      </c>
      <c r="J2073">
        <v>69.12</v>
      </c>
      <c r="K2073" t="s">
        <v>31</v>
      </c>
      <c r="L2073">
        <v>2071.7800000000002</v>
      </c>
      <c r="M2073">
        <f>VLOOKUP(K2073,RatingLookup!$A$2:$C$8,2,FALSE)</f>
        <v>0.04</v>
      </c>
      <c r="N2073">
        <f t="shared" si="96"/>
        <v>3.3960531989175591E-3</v>
      </c>
      <c r="O2073">
        <f>VLOOKUP(K2073,RatingLookup!$A$2:$C$8,3,FALSE)</f>
        <v>0.6</v>
      </c>
      <c r="P2073">
        <f t="shared" si="97"/>
        <v>4.2215250578720527</v>
      </c>
      <c r="Q2073" t="str">
        <f t="shared" ca="1" si="98"/>
        <v>No</v>
      </c>
    </row>
    <row r="2074" spans="1:17" x14ac:dyDescent="0.45">
      <c r="A2074" t="s">
        <v>104</v>
      </c>
      <c r="B2074" t="s">
        <v>105</v>
      </c>
      <c r="C2074" t="s">
        <v>19</v>
      </c>
      <c r="D2074" t="s">
        <v>20</v>
      </c>
      <c r="E2074" t="s">
        <v>21</v>
      </c>
      <c r="F2074" s="1">
        <v>44805</v>
      </c>
      <c r="G2074">
        <v>4.8499999999999996</v>
      </c>
      <c r="H2074">
        <v>83.232699999999994</v>
      </c>
      <c r="I2074">
        <v>21.49</v>
      </c>
      <c r="J2074">
        <v>68.83</v>
      </c>
      <c r="K2074" t="s">
        <v>31</v>
      </c>
      <c r="L2074">
        <v>1870.78</v>
      </c>
      <c r="M2074">
        <f>VLOOKUP(K2074,RatingLookup!$A$2:$C$8,2,FALSE)</f>
        <v>0.04</v>
      </c>
      <c r="N2074">
        <f t="shared" si="96"/>
        <v>3.3960531989175591E-3</v>
      </c>
      <c r="O2074">
        <f>VLOOKUP(K2074,RatingLookup!$A$2:$C$8,3,FALSE)</f>
        <v>0.6</v>
      </c>
      <c r="P2074">
        <f t="shared" si="97"/>
        <v>3.8119610420825945</v>
      </c>
      <c r="Q2074" t="str">
        <f t="shared" ca="1" si="98"/>
        <v>No</v>
      </c>
    </row>
    <row r="2075" spans="1:17" x14ac:dyDescent="0.45">
      <c r="A2075" t="s">
        <v>104</v>
      </c>
      <c r="B2075" t="s">
        <v>105</v>
      </c>
      <c r="C2075" t="s">
        <v>19</v>
      </c>
      <c r="D2075" t="s">
        <v>20</v>
      </c>
      <c r="E2075" t="s">
        <v>21</v>
      </c>
      <c r="F2075" s="1">
        <v>44835</v>
      </c>
      <c r="G2075">
        <v>4.9400000000000004</v>
      </c>
      <c r="H2075">
        <v>85.353700000000003</v>
      </c>
      <c r="I2075">
        <v>21.76</v>
      </c>
      <c r="J2075">
        <v>79.319999999999993</v>
      </c>
      <c r="K2075" t="s">
        <v>31</v>
      </c>
      <c r="L2075">
        <v>1867.35</v>
      </c>
      <c r="M2075">
        <f>VLOOKUP(K2075,RatingLookup!$A$2:$C$8,2,FALSE)</f>
        <v>0.04</v>
      </c>
      <c r="N2075">
        <f t="shared" si="96"/>
        <v>3.3960531989175591E-3</v>
      </c>
      <c r="O2075">
        <f>VLOOKUP(K2075,RatingLookup!$A$2:$C$8,3,FALSE)</f>
        <v>0.6</v>
      </c>
      <c r="P2075">
        <f t="shared" si="97"/>
        <v>3.8049719645992219</v>
      </c>
      <c r="Q2075" t="str">
        <f t="shared" ca="1" si="98"/>
        <v>No</v>
      </c>
    </row>
    <row r="2076" spans="1:17" x14ac:dyDescent="0.45">
      <c r="A2076" t="s">
        <v>104</v>
      </c>
      <c r="B2076" t="s">
        <v>105</v>
      </c>
      <c r="C2076" t="s">
        <v>19</v>
      </c>
      <c r="D2076" t="s">
        <v>20</v>
      </c>
      <c r="E2076" t="s">
        <v>21</v>
      </c>
      <c r="F2076" s="1">
        <v>44866</v>
      </c>
      <c r="G2076">
        <v>6.02</v>
      </c>
      <c r="H2076">
        <v>81.035799999999995</v>
      </c>
      <c r="I2076">
        <v>17.86</v>
      </c>
      <c r="J2076">
        <v>82.99</v>
      </c>
      <c r="K2076" t="s">
        <v>31</v>
      </c>
      <c r="L2076">
        <v>2182.77</v>
      </c>
      <c r="M2076">
        <f>VLOOKUP(K2076,RatingLookup!$A$2:$C$8,2,FALSE)</f>
        <v>0.04</v>
      </c>
      <c r="N2076">
        <f t="shared" si="96"/>
        <v>3.3960531989175591E-3</v>
      </c>
      <c r="O2076">
        <f>VLOOKUP(K2076,RatingLookup!$A$2:$C$8,3,FALSE)</f>
        <v>0.6</v>
      </c>
      <c r="P2076">
        <f t="shared" si="97"/>
        <v>4.4476818246007674</v>
      </c>
      <c r="Q2076" t="str">
        <f t="shared" ca="1" si="98"/>
        <v>No</v>
      </c>
    </row>
    <row r="2077" spans="1:17" x14ac:dyDescent="0.45">
      <c r="A2077" t="s">
        <v>104</v>
      </c>
      <c r="B2077" t="s">
        <v>105</v>
      </c>
      <c r="C2077" t="s">
        <v>19</v>
      </c>
      <c r="D2077" t="s">
        <v>20</v>
      </c>
      <c r="E2077" t="s">
        <v>21</v>
      </c>
      <c r="F2077" s="1">
        <v>44896</v>
      </c>
      <c r="G2077">
        <v>5.08</v>
      </c>
      <c r="H2077">
        <v>82.3733</v>
      </c>
      <c r="I2077">
        <v>23.45</v>
      </c>
      <c r="J2077">
        <v>81.12</v>
      </c>
      <c r="K2077" t="s">
        <v>31</v>
      </c>
      <c r="L2077">
        <v>1898.18</v>
      </c>
      <c r="M2077">
        <f>VLOOKUP(K2077,RatingLookup!$A$2:$C$8,2,FALSE)</f>
        <v>0.04</v>
      </c>
      <c r="N2077">
        <f t="shared" si="96"/>
        <v>3.3960531989175591E-3</v>
      </c>
      <c r="O2077">
        <f>VLOOKUP(K2077,RatingLookup!$A$2:$C$8,3,FALSE)</f>
        <v>0.6</v>
      </c>
      <c r="P2077">
        <f t="shared" si="97"/>
        <v>3.8677921566727993</v>
      </c>
      <c r="Q2077" t="str">
        <f t="shared" ca="1" si="98"/>
        <v>No</v>
      </c>
    </row>
    <row r="2078" spans="1:17" x14ac:dyDescent="0.45">
      <c r="A2078" t="s">
        <v>104</v>
      </c>
      <c r="B2078" t="s">
        <v>105</v>
      </c>
      <c r="C2078" t="s">
        <v>19</v>
      </c>
      <c r="D2078" t="s">
        <v>20</v>
      </c>
      <c r="E2078" t="s">
        <v>21</v>
      </c>
      <c r="F2078" s="1">
        <v>44927</v>
      </c>
      <c r="G2078">
        <v>4.17</v>
      </c>
      <c r="H2078">
        <v>85.0441</v>
      </c>
      <c r="I2078">
        <v>19.510000000000002</v>
      </c>
      <c r="J2078">
        <v>73.19</v>
      </c>
      <c r="K2078" t="s">
        <v>31</v>
      </c>
      <c r="L2078">
        <v>2128.41</v>
      </c>
      <c r="M2078">
        <f>VLOOKUP(K2078,RatingLookup!$A$2:$C$8,2,FALSE)</f>
        <v>0.04</v>
      </c>
      <c r="N2078">
        <f t="shared" si="96"/>
        <v>3.3960531989175591E-3</v>
      </c>
      <c r="O2078">
        <f>VLOOKUP(K2078,RatingLookup!$A$2:$C$8,3,FALSE)</f>
        <v>0.6</v>
      </c>
      <c r="P2078">
        <f t="shared" si="97"/>
        <v>4.3369161534648724</v>
      </c>
      <c r="Q2078" t="str">
        <f t="shared" ca="1" si="98"/>
        <v>No</v>
      </c>
    </row>
    <row r="2079" spans="1:17" x14ac:dyDescent="0.45">
      <c r="A2079" t="s">
        <v>104</v>
      </c>
      <c r="B2079" t="s">
        <v>105</v>
      </c>
      <c r="C2079" t="s">
        <v>19</v>
      </c>
      <c r="D2079" t="s">
        <v>20</v>
      </c>
      <c r="E2079" t="s">
        <v>21</v>
      </c>
      <c r="F2079" s="1">
        <v>44958</v>
      </c>
      <c r="G2079">
        <v>5.68</v>
      </c>
      <c r="H2079">
        <v>86.172399999999996</v>
      </c>
      <c r="I2079">
        <v>17.899999999999999</v>
      </c>
      <c r="J2079">
        <v>78.03</v>
      </c>
      <c r="K2079" t="s">
        <v>31</v>
      </c>
      <c r="L2079">
        <v>2044.44</v>
      </c>
      <c r="M2079">
        <f>VLOOKUP(K2079,RatingLookup!$A$2:$C$8,2,FALSE)</f>
        <v>0.04</v>
      </c>
      <c r="N2079">
        <f t="shared" si="96"/>
        <v>3.3960531989175591E-3</v>
      </c>
      <c r="O2079">
        <f>VLOOKUP(K2079,RatingLookup!$A$2:$C$8,3,FALSE)</f>
        <v>0.6</v>
      </c>
      <c r="P2079">
        <f t="shared" si="97"/>
        <v>4.1658162011970088</v>
      </c>
      <c r="Q2079" t="str">
        <f t="shared" ca="1" si="98"/>
        <v>No</v>
      </c>
    </row>
    <row r="2080" spans="1:17" x14ac:dyDescent="0.45">
      <c r="A2080" t="s">
        <v>104</v>
      </c>
      <c r="B2080" t="s">
        <v>105</v>
      </c>
      <c r="C2080" t="s">
        <v>19</v>
      </c>
      <c r="D2080" t="s">
        <v>20</v>
      </c>
      <c r="E2080" t="s">
        <v>21</v>
      </c>
      <c r="F2080" s="1">
        <v>44986</v>
      </c>
      <c r="G2080">
        <v>4.97</v>
      </c>
      <c r="H2080">
        <v>82.743700000000004</v>
      </c>
      <c r="I2080">
        <v>19.760000000000002</v>
      </c>
      <c r="J2080">
        <v>84.11</v>
      </c>
      <c r="K2080" t="s">
        <v>31</v>
      </c>
      <c r="L2080">
        <v>2090.92</v>
      </c>
      <c r="M2080">
        <f>VLOOKUP(K2080,RatingLookup!$A$2:$C$8,2,FALSE)</f>
        <v>0.04</v>
      </c>
      <c r="N2080">
        <f t="shared" si="96"/>
        <v>3.3960531989175591E-3</v>
      </c>
      <c r="O2080">
        <f>VLOOKUP(K2080,RatingLookup!$A$2:$C$8,3,FALSE)</f>
        <v>0.6</v>
      </c>
      <c r="P2080">
        <f t="shared" si="97"/>
        <v>4.2605253328084212</v>
      </c>
      <c r="Q2080" t="str">
        <f t="shared" ca="1" si="98"/>
        <v>No</v>
      </c>
    </row>
    <row r="2081" spans="1:17" x14ac:dyDescent="0.45">
      <c r="A2081" t="s">
        <v>104</v>
      </c>
      <c r="B2081" t="s">
        <v>105</v>
      </c>
      <c r="C2081" t="s">
        <v>19</v>
      </c>
      <c r="D2081" t="s">
        <v>20</v>
      </c>
      <c r="E2081" t="s">
        <v>21</v>
      </c>
      <c r="F2081" s="1">
        <v>45017</v>
      </c>
      <c r="G2081">
        <v>4.9400000000000004</v>
      </c>
      <c r="H2081">
        <v>79.896500000000003</v>
      </c>
      <c r="I2081">
        <v>29.25</v>
      </c>
      <c r="J2081">
        <v>69.180000000000007</v>
      </c>
      <c r="K2081" t="s">
        <v>31</v>
      </c>
      <c r="L2081">
        <v>2203.59</v>
      </c>
      <c r="M2081">
        <f>VLOOKUP(K2081,RatingLookup!$A$2:$C$8,2,FALSE)</f>
        <v>0.04</v>
      </c>
      <c r="N2081">
        <f t="shared" si="96"/>
        <v>3.3960531989175591E-3</v>
      </c>
      <c r="O2081">
        <f>VLOOKUP(K2081,RatingLookup!$A$2:$C$8,3,FALSE)</f>
        <v>0.6</v>
      </c>
      <c r="P2081">
        <f t="shared" si="97"/>
        <v>4.4901053211616464</v>
      </c>
      <c r="Q2081" t="str">
        <f t="shared" ca="1" si="98"/>
        <v>No</v>
      </c>
    </row>
    <row r="2082" spans="1:17" x14ac:dyDescent="0.45">
      <c r="A2082" t="s">
        <v>104</v>
      </c>
      <c r="B2082" t="s">
        <v>105</v>
      </c>
      <c r="C2082" t="s">
        <v>19</v>
      </c>
      <c r="D2082" t="s">
        <v>20</v>
      </c>
      <c r="E2082" t="s">
        <v>21</v>
      </c>
      <c r="F2082" s="1">
        <v>45047</v>
      </c>
      <c r="G2082">
        <v>5.38</v>
      </c>
      <c r="H2082">
        <v>79.382999999999996</v>
      </c>
      <c r="I2082">
        <v>22.99</v>
      </c>
      <c r="J2082">
        <v>86.5</v>
      </c>
      <c r="K2082" t="s">
        <v>31</v>
      </c>
      <c r="L2082">
        <v>2094.2399999999998</v>
      </c>
      <c r="M2082">
        <f>VLOOKUP(K2082,RatingLookup!$A$2:$C$8,2,FALSE)</f>
        <v>0.04</v>
      </c>
      <c r="N2082">
        <f t="shared" si="96"/>
        <v>3.3960531989175591E-3</v>
      </c>
      <c r="O2082">
        <f>VLOOKUP(K2082,RatingLookup!$A$2:$C$8,3,FALSE)</f>
        <v>0.6</v>
      </c>
      <c r="P2082">
        <f t="shared" si="97"/>
        <v>4.2672902707806646</v>
      </c>
      <c r="Q2082" t="str">
        <f t="shared" ca="1" si="98"/>
        <v>No</v>
      </c>
    </row>
    <row r="2083" spans="1:17" x14ac:dyDescent="0.45">
      <c r="A2083" t="s">
        <v>104</v>
      </c>
      <c r="B2083" t="s">
        <v>105</v>
      </c>
      <c r="C2083" t="s">
        <v>19</v>
      </c>
      <c r="D2083" t="s">
        <v>20</v>
      </c>
      <c r="E2083" t="s">
        <v>21</v>
      </c>
      <c r="F2083" s="1">
        <v>45078</v>
      </c>
      <c r="G2083">
        <v>5.35</v>
      </c>
      <c r="H2083">
        <v>83.3536</v>
      </c>
      <c r="I2083">
        <v>14.28</v>
      </c>
      <c r="J2083">
        <v>81.25</v>
      </c>
      <c r="K2083" t="s">
        <v>31</v>
      </c>
      <c r="L2083">
        <v>1866.3</v>
      </c>
      <c r="M2083">
        <f>VLOOKUP(K2083,RatingLookup!$A$2:$C$8,2,FALSE)</f>
        <v>0.04</v>
      </c>
      <c r="N2083">
        <f t="shared" si="96"/>
        <v>3.3960531989175591E-3</v>
      </c>
      <c r="O2083">
        <f>VLOOKUP(K2083,RatingLookup!$A$2:$C$8,3,FALSE)</f>
        <v>0.6</v>
      </c>
      <c r="P2083">
        <f t="shared" si="97"/>
        <v>3.802832451083904</v>
      </c>
      <c r="Q2083" t="str">
        <f t="shared" ca="1" si="98"/>
        <v>No</v>
      </c>
    </row>
    <row r="2084" spans="1:17" x14ac:dyDescent="0.45">
      <c r="A2084" t="s">
        <v>104</v>
      </c>
      <c r="B2084" t="s">
        <v>105</v>
      </c>
      <c r="C2084" t="s">
        <v>19</v>
      </c>
      <c r="D2084" t="s">
        <v>20</v>
      </c>
      <c r="E2084" t="s">
        <v>21</v>
      </c>
      <c r="F2084" s="1">
        <v>45108</v>
      </c>
      <c r="G2084">
        <v>5.39</v>
      </c>
      <c r="H2084">
        <v>84.6173</v>
      </c>
      <c r="I2084">
        <v>23.72</v>
      </c>
      <c r="J2084">
        <v>81.95</v>
      </c>
      <c r="K2084" t="s">
        <v>31</v>
      </c>
      <c r="L2084">
        <v>2215.7399999999998</v>
      </c>
      <c r="M2084">
        <f>VLOOKUP(K2084,RatingLookup!$A$2:$C$8,2,FALSE)</f>
        <v>0.04</v>
      </c>
      <c r="N2084">
        <f t="shared" si="96"/>
        <v>3.3960531989175591E-3</v>
      </c>
      <c r="O2084">
        <f>VLOOKUP(K2084,RatingLookup!$A$2:$C$8,3,FALSE)</f>
        <v>0.6</v>
      </c>
      <c r="P2084">
        <f t="shared" si="97"/>
        <v>4.5148625489817551</v>
      </c>
      <c r="Q2084" t="str">
        <f t="shared" ca="1" si="98"/>
        <v>No</v>
      </c>
    </row>
    <row r="2085" spans="1:17" x14ac:dyDescent="0.45">
      <c r="A2085" t="s">
        <v>104</v>
      </c>
      <c r="B2085" t="s">
        <v>105</v>
      </c>
      <c r="C2085" t="s">
        <v>19</v>
      </c>
      <c r="D2085" t="s">
        <v>20</v>
      </c>
      <c r="E2085" t="s">
        <v>21</v>
      </c>
      <c r="F2085" s="1">
        <v>45139</v>
      </c>
      <c r="G2085">
        <v>6.31</v>
      </c>
      <c r="H2085">
        <v>80.265000000000001</v>
      </c>
      <c r="I2085">
        <v>8.93</v>
      </c>
      <c r="J2085">
        <v>77.599999999999994</v>
      </c>
      <c r="K2085" t="s">
        <v>30</v>
      </c>
      <c r="L2085">
        <v>2245.66</v>
      </c>
      <c r="M2085">
        <f>VLOOKUP(K2085,RatingLookup!$A$2:$C$8,2,FALSE)</f>
        <v>1.4999999999999999E-2</v>
      </c>
      <c r="N2085">
        <f t="shared" si="96"/>
        <v>1.2586770182638762E-3</v>
      </c>
      <c r="O2085">
        <f>VLOOKUP(K2085,RatingLookup!$A$2:$C$8,3,FALSE)</f>
        <v>0.5</v>
      </c>
      <c r="P2085">
        <f t="shared" si="97"/>
        <v>1.4132803164172281</v>
      </c>
      <c r="Q2085" t="str">
        <f t="shared" ca="1" si="98"/>
        <v>No</v>
      </c>
    </row>
    <row r="2086" spans="1:17" x14ac:dyDescent="0.45">
      <c r="A2086" t="s">
        <v>104</v>
      </c>
      <c r="B2086" t="s">
        <v>105</v>
      </c>
      <c r="C2086" t="s">
        <v>19</v>
      </c>
      <c r="D2086" t="s">
        <v>20</v>
      </c>
      <c r="E2086" t="s">
        <v>21</v>
      </c>
      <c r="F2086" s="1">
        <v>45170</v>
      </c>
      <c r="G2086">
        <v>6.07</v>
      </c>
      <c r="H2086">
        <v>80.141300000000001</v>
      </c>
      <c r="I2086">
        <v>22.54</v>
      </c>
      <c r="J2086">
        <v>52.62</v>
      </c>
      <c r="K2086" t="s">
        <v>30</v>
      </c>
      <c r="L2086">
        <v>2128.35</v>
      </c>
      <c r="M2086">
        <f>VLOOKUP(K2086,RatingLookup!$A$2:$C$8,2,FALSE)</f>
        <v>1.4999999999999999E-2</v>
      </c>
      <c r="N2086">
        <f t="shared" si="96"/>
        <v>1.2586770182638762E-3</v>
      </c>
      <c r="O2086">
        <f>VLOOKUP(K2086,RatingLookup!$A$2:$C$8,3,FALSE)</f>
        <v>0.5</v>
      </c>
      <c r="P2086">
        <f t="shared" si="97"/>
        <v>1.3394526159109605</v>
      </c>
      <c r="Q2086" t="str">
        <f t="shared" ca="1" si="98"/>
        <v>No</v>
      </c>
    </row>
    <row r="2087" spans="1:17" x14ac:dyDescent="0.45">
      <c r="A2087" t="s">
        <v>104</v>
      </c>
      <c r="B2087" t="s">
        <v>105</v>
      </c>
      <c r="C2087" t="s">
        <v>19</v>
      </c>
      <c r="D2087" t="s">
        <v>20</v>
      </c>
      <c r="E2087" t="s">
        <v>21</v>
      </c>
      <c r="F2087" s="1">
        <v>45200</v>
      </c>
      <c r="G2087">
        <v>6.02</v>
      </c>
      <c r="H2087">
        <v>81.586399999999998</v>
      </c>
      <c r="I2087">
        <v>19.96</v>
      </c>
      <c r="J2087">
        <v>68.349999999999994</v>
      </c>
      <c r="K2087" t="s">
        <v>30</v>
      </c>
      <c r="L2087">
        <v>2208.06</v>
      </c>
      <c r="M2087">
        <f>VLOOKUP(K2087,RatingLookup!$A$2:$C$8,2,FALSE)</f>
        <v>1.4999999999999999E-2</v>
      </c>
      <c r="N2087">
        <f t="shared" si="96"/>
        <v>1.2586770182638762E-3</v>
      </c>
      <c r="O2087">
        <f>VLOOKUP(K2087,RatingLookup!$A$2:$C$8,3,FALSE)</f>
        <v>0.5</v>
      </c>
      <c r="P2087">
        <f t="shared" si="97"/>
        <v>1.3896171884738673</v>
      </c>
      <c r="Q2087" t="str">
        <f t="shared" ca="1" si="98"/>
        <v>No</v>
      </c>
    </row>
    <row r="2088" spans="1:17" x14ac:dyDescent="0.45">
      <c r="A2088" t="s">
        <v>104</v>
      </c>
      <c r="B2088" t="s">
        <v>105</v>
      </c>
      <c r="C2088" t="s">
        <v>19</v>
      </c>
      <c r="D2088" t="s">
        <v>20</v>
      </c>
      <c r="E2088" t="s">
        <v>21</v>
      </c>
      <c r="F2088" s="1">
        <v>45231</v>
      </c>
      <c r="G2088">
        <v>5.21</v>
      </c>
      <c r="H2088">
        <v>82.990799999999993</v>
      </c>
      <c r="I2088">
        <v>19.920000000000002</v>
      </c>
      <c r="J2088">
        <v>75.400000000000006</v>
      </c>
      <c r="K2088" t="s">
        <v>30</v>
      </c>
      <c r="L2088">
        <v>2301.63</v>
      </c>
      <c r="M2088">
        <f>VLOOKUP(K2088,RatingLookup!$A$2:$C$8,2,FALSE)</f>
        <v>1.4999999999999999E-2</v>
      </c>
      <c r="N2088">
        <f t="shared" si="96"/>
        <v>1.2586770182638762E-3</v>
      </c>
      <c r="O2088">
        <f>VLOOKUP(K2088,RatingLookup!$A$2:$C$8,3,FALSE)</f>
        <v>0.5</v>
      </c>
      <c r="P2088">
        <f t="shared" si="97"/>
        <v>1.4485043927733428</v>
      </c>
      <c r="Q2088" t="str">
        <f t="shared" ca="1" si="98"/>
        <v>No</v>
      </c>
    </row>
    <row r="2089" spans="1:17" x14ac:dyDescent="0.45">
      <c r="A2089" t="s">
        <v>104</v>
      </c>
      <c r="B2089" t="s">
        <v>105</v>
      </c>
      <c r="C2089" t="s">
        <v>19</v>
      </c>
      <c r="D2089" t="s">
        <v>20</v>
      </c>
      <c r="E2089" t="s">
        <v>21</v>
      </c>
      <c r="F2089" s="1">
        <v>45261</v>
      </c>
      <c r="G2089">
        <v>6.09</v>
      </c>
      <c r="H2089">
        <v>80.621200000000002</v>
      </c>
      <c r="I2089">
        <v>22.32</v>
      </c>
      <c r="J2089">
        <v>82.03</v>
      </c>
      <c r="K2089" t="s">
        <v>30</v>
      </c>
      <c r="L2089">
        <v>2177.85</v>
      </c>
      <c r="M2089">
        <f>VLOOKUP(K2089,RatingLookup!$A$2:$C$8,2,FALSE)</f>
        <v>1.4999999999999999E-2</v>
      </c>
      <c r="N2089">
        <f t="shared" si="96"/>
        <v>1.2586770182638762E-3</v>
      </c>
      <c r="O2089">
        <f>VLOOKUP(K2089,RatingLookup!$A$2:$C$8,3,FALSE)</f>
        <v>0.5</v>
      </c>
      <c r="P2089">
        <f t="shared" si="97"/>
        <v>1.3706048721129913</v>
      </c>
      <c r="Q2089" t="str">
        <f t="shared" ca="1" si="98"/>
        <v>No</v>
      </c>
    </row>
    <row r="2090" spans="1:17" x14ac:dyDescent="0.45">
      <c r="A2090" t="s">
        <v>104</v>
      </c>
      <c r="B2090" t="s">
        <v>105</v>
      </c>
      <c r="C2090" t="s">
        <v>19</v>
      </c>
      <c r="D2090" t="s">
        <v>20</v>
      </c>
      <c r="E2090" t="s">
        <v>21</v>
      </c>
      <c r="F2090" s="1">
        <v>45292</v>
      </c>
      <c r="G2090">
        <v>6.24</v>
      </c>
      <c r="H2090">
        <v>83.953699999999998</v>
      </c>
      <c r="I2090">
        <v>24.29</v>
      </c>
      <c r="J2090">
        <v>98.85</v>
      </c>
      <c r="K2090" t="s">
        <v>30</v>
      </c>
      <c r="L2090">
        <v>2109.0500000000002</v>
      </c>
      <c r="M2090">
        <f>VLOOKUP(K2090,RatingLookup!$A$2:$C$8,2,FALSE)</f>
        <v>1.4999999999999999E-2</v>
      </c>
      <c r="N2090">
        <f t="shared" si="96"/>
        <v>1.2586770182638762E-3</v>
      </c>
      <c r="O2090">
        <f>VLOOKUP(K2090,RatingLookup!$A$2:$C$8,3,FALSE)</f>
        <v>0.5</v>
      </c>
      <c r="P2090">
        <f t="shared" si="97"/>
        <v>1.3273063826847142</v>
      </c>
      <c r="Q2090" t="str">
        <f t="shared" ca="1" si="98"/>
        <v>No</v>
      </c>
    </row>
    <row r="2091" spans="1:17" x14ac:dyDescent="0.45">
      <c r="A2091" t="s">
        <v>104</v>
      </c>
      <c r="B2091" t="s">
        <v>105</v>
      </c>
      <c r="C2091" t="s">
        <v>19</v>
      </c>
      <c r="D2091" t="s">
        <v>20</v>
      </c>
      <c r="E2091" t="s">
        <v>21</v>
      </c>
      <c r="F2091" s="1">
        <v>45323</v>
      </c>
      <c r="G2091">
        <v>6.2</v>
      </c>
      <c r="H2091">
        <v>80.7821</v>
      </c>
      <c r="I2091">
        <v>14.7</v>
      </c>
      <c r="J2091">
        <v>79.78</v>
      </c>
      <c r="K2091" t="s">
        <v>30</v>
      </c>
      <c r="L2091">
        <v>2153.36</v>
      </c>
      <c r="M2091">
        <f>VLOOKUP(K2091,RatingLookup!$A$2:$C$8,2,FALSE)</f>
        <v>1.4999999999999999E-2</v>
      </c>
      <c r="N2091">
        <f t="shared" si="96"/>
        <v>1.2586770182638762E-3</v>
      </c>
      <c r="O2091">
        <f>VLOOKUP(K2091,RatingLookup!$A$2:$C$8,3,FALSE)</f>
        <v>0.5</v>
      </c>
      <c r="P2091">
        <f t="shared" si="97"/>
        <v>1.3551923720243504</v>
      </c>
      <c r="Q2091" t="str">
        <f t="shared" ca="1" si="98"/>
        <v>No</v>
      </c>
    </row>
    <row r="2092" spans="1:17" x14ac:dyDescent="0.45">
      <c r="A2092" t="s">
        <v>104</v>
      </c>
      <c r="B2092" t="s">
        <v>105</v>
      </c>
      <c r="C2092" t="s">
        <v>19</v>
      </c>
      <c r="D2092" t="s">
        <v>20</v>
      </c>
      <c r="E2092" t="s">
        <v>21</v>
      </c>
      <c r="F2092" s="1">
        <v>45352</v>
      </c>
      <c r="G2092">
        <v>5.3</v>
      </c>
      <c r="H2092">
        <v>81.336699999999993</v>
      </c>
      <c r="I2092">
        <v>13.28</v>
      </c>
      <c r="J2092">
        <v>94.25</v>
      </c>
      <c r="K2092" t="s">
        <v>30</v>
      </c>
      <c r="L2092">
        <v>2097.44</v>
      </c>
      <c r="M2092">
        <f>VLOOKUP(K2092,RatingLookup!$A$2:$C$8,2,FALSE)</f>
        <v>1.4999999999999999E-2</v>
      </c>
      <c r="N2092">
        <f t="shared" si="96"/>
        <v>1.2586770182638762E-3</v>
      </c>
      <c r="O2092">
        <f>VLOOKUP(K2092,RatingLookup!$A$2:$C$8,3,FALSE)</f>
        <v>0.5</v>
      </c>
      <c r="P2092">
        <f t="shared" si="97"/>
        <v>1.3199997625936923</v>
      </c>
      <c r="Q2092" t="str">
        <f t="shared" ca="1" si="98"/>
        <v>No</v>
      </c>
    </row>
    <row r="2093" spans="1:17" x14ac:dyDescent="0.45">
      <c r="A2093" t="s">
        <v>104</v>
      </c>
      <c r="B2093" t="s">
        <v>105</v>
      </c>
      <c r="C2093" t="s">
        <v>19</v>
      </c>
      <c r="D2093" t="s">
        <v>20</v>
      </c>
      <c r="E2093" t="s">
        <v>21</v>
      </c>
      <c r="F2093" s="1">
        <v>45383</v>
      </c>
      <c r="G2093">
        <v>5.4</v>
      </c>
      <c r="H2093">
        <v>83.604299999999995</v>
      </c>
      <c r="I2093">
        <v>15.28</v>
      </c>
      <c r="J2093">
        <v>79.91</v>
      </c>
      <c r="K2093" t="s">
        <v>30</v>
      </c>
      <c r="L2093">
        <v>2108.38</v>
      </c>
      <c r="M2093">
        <f>VLOOKUP(K2093,RatingLookup!$A$2:$C$8,2,FALSE)</f>
        <v>1.4999999999999999E-2</v>
      </c>
      <c r="N2093">
        <f t="shared" si="96"/>
        <v>1.2586770182638762E-3</v>
      </c>
      <c r="O2093">
        <f>VLOOKUP(K2093,RatingLookup!$A$2:$C$8,3,FALSE)</f>
        <v>0.5</v>
      </c>
      <c r="P2093">
        <f t="shared" si="97"/>
        <v>1.3268847258835959</v>
      </c>
      <c r="Q2093" t="str">
        <f t="shared" ca="1" si="98"/>
        <v>No</v>
      </c>
    </row>
    <row r="2094" spans="1:17" x14ac:dyDescent="0.45">
      <c r="A2094" t="s">
        <v>104</v>
      </c>
      <c r="B2094" t="s">
        <v>105</v>
      </c>
      <c r="C2094" t="s">
        <v>19</v>
      </c>
      <c r="D2094" t="s">
        <v>20</v>
      </c>
      <c r="E2094" t="s">
        <v>21</v>
      </c>
      <c r="F2094" s="1">
        <v>45413</v>
      </c>
      <c r="G2094">
        <v>5.38</v>
      </c>
      <c r="H2094">
        <v>81.069999999999993</v>
      </c>
      <c r="I2094">
        <v>8.86</v>
      </c>
      <c r="J2094">
        <v>92.72</v>
      </c>
      <c r="K2094" t="s">
        <v>30</v>
      </c>
      <c r="L2094">
        <v>2351.38</v>
      </c>
      <c r="M2094">
        <f>VLOOKUP(K2094,RatingLookup!$A$2:$C$8,2,FALSE)</f>
        <v>1.4999999999999999E-2</v>
      </c>
      <c r="N2094">
        <f t="shared" si="96"/>
        <v>1.2586770182638762E-3</v>
      </c>
      <c r="O2094">
        <f>VLOOKUP(K2094,RatingLookup!$A$2:$C$8,3,FALSE)</f>
        <v>0.5</v>
      </c>
      <c r="P2094">
        <f t="shared" si="97"/>
        <v>1.4798139836026567</v>
      </c>
      <c r="Q2094" t="str">
        <f t="shared" ca="1" si="98"/>
        <v>No</v>
      </c>
    </row>
    <row r="2095" spans="1:17" x14ac:dyDescent="0.45">
      <c r="A2095" t="s">
        <v>104</v>
      </c>
      <c r="B2095" t="s">
        <v>105</v>
      </c>
      <c r="C2095" t="s">
        <v>19</v>
      </c>
      <c r="D2095" t="s">
        <v>20</v>
      </c>
      <c r="E2095" t="s">
        <v>21</v>
      </c>
      <c r="F2095" s="1">
        <v>45444</v>
      </c>
      <c r="G2095">
        <v>6.02</v>
      </c>
      <c r="H2095">
        <v>84.136200000000002</v>
      </c>
      <c r="I2095">
        <v>11.75</v>
      </c>
      <c r="J2095">
        <v>83.02</v>
      </c>
      <c r="K2095" t="s">
        <v>22</v>
      </c>
      <c r="L2095">
        <v>2541.83</v>
      </c>
      <c r="M2095">
        <f>VLOOKUP(K2095,RatingLookup!$A$2:$C$8,2,FALSE)</f>
        <v>5.0000000000000001E-3</v>
      </c>
      <c r="N2095">
        <f t="shared" si="96"/>
        <v>4.1762458919303302E-4</v>
      </c>
      <c r="O2095">
        <f>VLOOKUP(K2095,RatingLookup!$A$2:$C$8,3,FALSE)</f>
        <v>0.45</v>
      </c>
      <c r="P2095">
        <f t="shared" si="97"/>
        <v>0.47768881929683721</v>
      </c>
      <c r="Q2095" t="str">
        <f t="shared" ca="1" si="98"/>
        <v>No</v>
      </c>
    </row>
    <row r="2096" spans="1:17" x14ac:dyDescent="0.45">
      <c r="A2096" t="s">
        <v>104</v>
      </c>
      <c r="B2096" t="s">
        <v>105</v>
      </c>
      <c r="C2096" t="s">
        <v>19</v>
      </c>
      <c r="D2096" t="s">
        <v>20</v>
      </c>
      <c r="E2096" t="s">
        <v>21</v>
      </c>
      <c r="F2096" s="1">
        <v>45474</v>
      </c>
      <c r="G2096">
        <v>5.38</v>
      </c>
      <c r="H2096">
        <v>84.368899999999996</v>
      </c>
      <c r="I2096">
        <v>18.559999999999999</v>
      </c>
      <c r="J2096">
        <v>83.25</v>
      </c>
      <c r="K2096" t="s">
        <v>22</v>
      </c>
      <c r="L2096">
        <v>2207.1</v>
      </c>
      <c r="M2096">
        <f>VLOOKUP(K2096,RatingLookup!$A$2:$C$8,2,FALSE)</f>
        <v>5.0000000000000001E-3</v>
      </c>
      <c r="N2096">
        <f t="shared" si="96"/>
        <v>4.1762458919303302E-4</v>
      </c>
      <c r="O2096">
        <f>VLOOKUP(K2096,RatingLookup!$A$2:$C$8,3,FALSE)</f>
        <v>0.45</v>
      </c>
      <c r="P2096">
        <f t="shared" si="97"/>
        <v>0.41478265386357444</v>
      </c>
      <c r="Q2096" t="str">
        <f t="shared" ca="1" si="98"/>
        <v>No</v>
      </c>
    </row>
    <row r="2097" spans="1:17" x14ac:dyDescent="0.45">
      <c r="A2097" t="s">
        <v>104</v>
      </c>
      <c r="B2097" t="s">
        <v>105</v>
      </c>
      <c r="C2097" t="s">
        <v>19</v>
      </c>
      <c r="D2097" t="s">
        <v>20</v>
      </c>
      <c r="E2097" t="s">
        <v>21</v>
      </c>
      <c r="F2097" s="1">
        <v>45505</v>
      </c>
      <c r="G2097">
        <v>4.88</v>
      </c>
      <c r="H2097">
        <v>91.096000000000004</v>
      </c>
      <c r="I2097">
        <v>21.65</v>
      </c>
      <c r="J2097">
        <v>86.5</v>
      </c>
      <c r="K2097" t="s">
        <v>22</v>
      </c>
      <c r="L2097">
        <v>2208.29</v>
      </c>
      <c r="M2097">
        <f>VLOOKUP(K2097,RatingLookup!$A$2:$C$8,2,FALSE)</f>
        <v>5.0000000000000001E-3</v>
      </c>
      <c r="N2097">
        <f t="shared" si="96"/>
        <v>4.1762458919303302E-4</v>
      </c>
      <c r="O2097">
        <f>VLOOKUP(K2097,RatingLookup!$A$2:$C$8,3,FALSE)</f>
        <v>0.45</v>
      </c>
      <c r="P2097">
        <f t="shared" si="97"/>
        <v>0.41500629183108734</v>
      </c>
      <c r="Q2097" t="str">
        <f t="shared" ca="1" si="98"/>
        <v>No</v>
      </c>
    </row>
    <row r="2098" spans="1:17" x14ac:dyDescent="0.45">
      <c r="A2098" t="s">
        <v>104</v>
      </c>
      <c r="B2098" t="s">
        <v>105</v>
      </c>
      <c r="C2098" t="s">
        <v>19</v>
      </c>
      <c r="D2098" t="s">
        <v>20</v>
      </c>
      <c r="E2098" t="s">
        <v>21</v>
      </c>
      <c r="F2098" s="1">
        <v>45536</v>
      </c>
      <c r="G2098">
        <v>5</v>
      </c>
      <c r="H2098">
        <v>80.808300000000003</v>
      </c>
      <c r="I2098">
        <v>29.83</v>
      </c>
      <c r="J2098">
        <v>88.6</v>
      </c>
      <c r="K2098" t="s">
        <v>22</v>
      </c>
      <c r="L2098">
        <v>2420.5</v>
      </c>
      <c r="M2098">
        <f>VLOOKUP(K2098,RatingLookup!$A$2:$C$8,2,FALSE)</f>
        <v>5.0000000000000001E-3</v>
      </c>
      <c r="N2098">
        <f t="shared" si="96"/>
        <v>4.1762458919303302E-4</v>
      </c>
      <c r="O2098">
        <f>VLOOKUP(K2098,RatingLookup!$A$2:$C$8,3,FALSE)</f>
        <v>0.45</v>
      </c>
      <c r="P2098">
        <f t="shared" si="97"/>
        <v>0.45488714316378137</v>
      </c>
      <c r="Q2098" t="str">
        <f t="shared" ca="1" si="98"/>
        <v>No</v>
      </c>
    </row>
    <row r="2099" spans="1:17" x14ac:dyDescent="0.45">
      <c r="A2099" t="s">
        <v>104</v>
      </c>
      <c r="B2099" t="s">
        <v>105</v>
      </c>
      <c r="C2099" t="s">
        <v>19</v>
      </c>
      <c r="D2099" t="s">
        <v>20</v>
      </c>
      <c r="E2099" t="s">
        <v>21</v>
      </c>
      <c r="F2099" s="1">
        <v>45566</v>
      </c>
      <c r="G2099">
        <v>6.17</v>
      </c>
      <c r="H2099">
        <v>81.989599999999996</v>
      </c>
      <c r="I2099">
        <v>19.690000000000001</v>
      </c>
      <c r="J2099">
        <v>92.14</v>
      </c>
      <c r="K2099" t="s">
        <v>22</v>
      </c>
      <c r="L2099">
        <v>2242.79</v>
      </c>
      <c r="M2099">
        <f>VLOOKUP(K2099,RatingLookup!$A$2:$C$8,2,FALSE)</f>
        <v>5.0000000000000001E-3</v>
      </c>
      <c r="N2099">
        <f t="shared" si="96"/>
        <v>4.1762458919303302E-4</v>
      </c>
      <c r="O2099">
        <f>VLOOKUP(K2099,RatingLookup!$A$2:$C$8,3,FALSE)</f>
        <v>0.45</v>
      </c>
      <c r="P2099">
        <f t="shared" si="97"/>
        <v>0.42148991357830912</v>
      </c>
      <c r="Q2099" t="str">
        <f t="shared" ca="1" si="98"/>
        <v>No</v>
      </c>
    </row>
    <row r="2100" spans="1:17" x14ac:dyDescent="0.45">
      <c r="A2100" t="s">
        <v>104</v>
      </c>
      <c r="B2100" t="s">
        <v>105</v>
      </c>
      <c r="C2100" t="s">
        <v>19</v>
      </c>
      <c r="D2100" t="s">
        <v>20</v>
      </c>
      <c r="E2100" t="s">
        <v>21</v>
      </c>
      <c r="F2100" s="1">
        <v>45597</v>
      </c>
      <c r="G2100">
        <v>5.85</v>
      </c>
      <c r="H2100">
        <v>81.663499999999999</v>
      </c>
      <c r="I2100">
        <v>21.6</v>
      </c>
      <c r="J2100">
        <v>79.540000000000006</v>
      </c>
      <c r="K2100" t="s">
        <v>22</v>
      </c>
      <c r="L2100">
        <v>2224.1999999999998</v>
      </c>
      <c r="M2100">
        <f>VLOOKUP(K2100,RatingLookup!$A$2:$C$8,2,FALSE)</f>
        <v>5.0000000000000001E-3</v>
      </c>
      <c r="N2100">
        <f t="shared" si="96"/>
        <v>4.1762458919303302E-4</v>
      </c>
      <c r="O2100">
        <f>VLOOKUP(K2100,RatingLookup!$A$2:$C$8,3,FALSE)</f>
        <v>0.45</v>
      </c>
      <c r="P2100">
        <f t="shared" si="97"/>
        <v>0.41799627507741483</v>
      </c>
      <c r="Q2100" t="str">
        <f t="shared" ca="1" si="98"/>
        <v>No</v>
      </c>
    </row>
    <row r="2101" spans="1:17" x14ac:dyDescent="0.45">
      <c r="A2101" t="s">
        <v>104</v>
      </c>
      <c r="B2101" t="s">
        <v>105</v>
      </c>
      <c r="C2101" t="s">
        <v>19</v>
      </c>
      <c r="D2101" t="s">
        <v>20</v>
      </c>
      <c r="E2101" t="s">
        <v>21</v>
      </c>
      <c r="F2101" s="1">
        <v>45627</v>
      </c>
      <c r="G2101">
        <v>5.13</v>
      </c>
      <c r="H2101">
        <v>83.548900000000003</v>
      </c>
      <c r="I2101">
        <v>24.2</v>
      </c>
      <c r="J2101">
        <v>71.150000000000006</v>
      </c>
      <c r="K2101" t="s">
        <v>22</v>
      </c>
      <c r="L2101">
        <v>2249.66</v>
      </c>
      <c r="M2101">
        <f>VLOOKUP(K2101,RatingLookup!$A$2:$C$8,2,FALSE)</f>
        <v>5.0000000000000001E-3</v>
      </c>
      <c r="N2101">
        <f t="shared" si="96"/>
        <v>4.1762458919303302E-4</v>
      </c>
      <c r="O2101">
        <f>VLOOKUP(K2101,RatingLookup!$A$2:$C$8,3,FALSE)</f>
        <v>0.45</v>
      </c>
      <c r="P2101">
        <f t="shared" si="97"/>
        <v>0.42278099999579943</v>
      </c>
      <c r="Q2101" t="str">
        <f t="shared" ca="1" si="98"/>
        <v>No</v>
      </c>
    </row>
    <row r="2102" spans="1:17" x14ac:dyDescent="0.45">
      <c r="A2102" t="s">
        <v>106</v>
      </c>
      <c r="B2102" t="s">
        <v>107</v>
      </c>
      <c r="C2102" t="s">
        <v>35</v>
      </c>
      <c r="D2102" t="s">
        <v>20</v>
      </c>
      <c r="E2102" t="s">
        <v>21</v>
      </c>
      <c r="F2102" s="1">
        <v>43831</v>
      </c>
      <c r="G2102">
        <v>6.62</v>
      </c>
      <c r="H2102">
        <v>83.446700000000007</v>
      </c>
      <c r="I2102">
        <v>15.6</v>
      </c>
      <c r="J2102">
        <v>69.319999999999993</v>
      </c>
      <c r="K2102" t="s">
        <v>22</v>
      </c>
      <c r="L2102">
        <v>948.58</v>
      </c>
      <c r="M2102">
        <f>VLOOKUP(K2102,RatingLookup!$A$2:$C$8,2,FALSE)</f>
        <v>5.0000000000000001E-3</v>
      </c>
      <c r="N2102">
        <f t="shared" si="96"/>
        <v>4.1762458919303302E-4</v>
      </c>
      <c r="O2102">
        <f>VLOOKUP(K2102,RatingLookup!$A$2:$C$8,3,FALSE)</f>
        <v>0.45</v>
      </c>
      <c r="P2102">
        <f t="shared" si="97"/>
        <v>0.17826764976752729</v>
      </c>
      <c r="Q2102" t="str">
        <f t="shared" ca="1" si="98"/>
        <v>No</v>
      </c>
    </row>
    <row r="2103" spans="1:17" x14ac:dyDescent="0.45">
      <c r="A2103" t="s">
        <v>106</v>
      </c>
      <c r="B2103" t="s">
        <v>107</v>
      </c>
      <c r="C2103" t="s">
        <v>35</v>
      </c>
      <c r="D2103" t="s">
        <v>20</v>
      </c>
      <c r="E2103" t="s">
        <v>21</v>
      </c>
      <c r="F2103" s="1">
        <v>43862</v>
      </c>
      <c r="G2103">
        <v>5.12</v>
      </c>
      <c r="H2103">
        <v>84.081400000000002</v>
      </c>
      <c r="I2103">
        <v>22.01</v>
      </c>
      <c r="J2103">
        <v>87.56</v>
      </c>
      <c r="K2103" t="s">
        <v>22</v>
      </c>
      <c r="L2103">
        <v>945.8</v>
      </c>
      <c r="M2103">
        <f>VLOOKUP(K2103,RatingLookup!$A$2:$C$8,2,FALSE)</f>
        <v>5.0000000000000001E-3</v>
      </c>
      <c r="N2103">
        <f t="shared" si="96"/>
        <v>4.1762458919303302E-4</v>
      </c>
      <c r="O2103">
        <f>VLOOKUP(K2103,RatingLookup!$A$2:$C$8,3,FALSE)</f>
        <v>0.45</v>
      </c>
      <c r="P2103">
        <f t="shared" si="97"/>
        <v>0.17774520140644678</v>
      </c>
      <c r="Q2103" t="str">
        <f t="shared" ca="1" si="98"/>
        <v>No</v>
      </c>
    </row>
    <row r="2104" spans="1:17" x14ac:dyDescent="0.45">
      <c r="A2104" t="s">
        <v>106</v>
      </c>
      <c r="B2104" t="s">
        <v>107</v>
      </c>
      <c r="C2104" t="s">
        <v>35</v>
      </c>
      <c r="D2104" t="s">
        <v>20</v>
      </c>
      <c r="E2104" t="s">
        <v>21</v>
      </c>
      <c r="F2104" s="1">
        <v>43891</v>
      </c>
      <c r="G2104">
        <v>6.48</v>
      </c>
      <c r="H2104">
        <v>80.465900000000005</v>
      </c>
      <c r="I2104">
        <v>20.13</v>
      </c>
      <c r="J2104">
        <v>73.25</v>
      </c>
      <c r="K2104" t="s">
        <v>22</v>
      </c>
      <c r="L2104">
        <v>978.26</v>
      </c>
      <c r="M2104">
        <f>VLOOKUP(K2104,RatingLookup!$A$2:$C$8,2,FALSE)</f>
        <v>5.0000000000000001E-3</v>
      </c>
      <c r="N2104">
        <f t="shared" si="96"/>
        <v>4.1762458919303302E-4</v>
      </c>
      <c r="O2104">
        <f>VLOOKUP(K2104,RatingLookup!$A$2:$C$8,3,FALSE)</f>
        <v>0.45</v>
      </c>
      <c r="P2104">
        <f t="shared" si="97"/>
        <v>0.1838454437807894</v>
      </c>
      <c r="Q2104" t="str">
        <f t="shared" ca="1" si="98"/>
        <v>No</v>
      </c>
    </row>
    <row r="2105" spans="1:17" x14ac:dyDescent="0.45">
      <c r="A2105" t="s">
        <v>106</v>
      </c>
      <c r="B2105" t="s">
        <v>107</v>
      </c>
      <c r="C2105" t="s">
        <v>35</v>
      </c>
      <c r="D2105" t="s">
        <v>20</v>
      </c>
      <c r="E2105" t="s">
        <v>21</v>
      </c>
      <c r="F2105" s="1">
        <v>43922</v>
      </c>
      <c r="G2105">
        <v>5.9</v>
      </c>
      <c r="H2105">
        <v>83.933099999999996</v>
      </c>
      <c r="I2105">
        <v>18.05</v>
      </c>
      <c r="J2105">
        <v>72.73</v>
      </c>
      <c r="K2105" t="s">
        <v>22</v>
      </c>
      <c r="L2105">
        <v>927.43</v>
      </c>
      <c r="M2105">
        <f>VLOOKUP(K2105,RatingLookup!$A$2:$C$8,2,FALSE)</f>
        <v>5.0000000000000001E-3</v>
      </c>
      <c r="N2105">
        <f t="shared" si="96"/>
        <v>4.1762458919303302E-4</v>
      </c>
      <c r="O2105">
        <f>VLOOKUP(K2105,RatingLookup!$A$2:$C$8,3,FALSE)</f>
        <v>0.45</v>
      </c>
      <c r="P2105">
        <f t="shared" si="97"/>
        <v>0.17429290773988257</v>
      </c>
      <c r="Q2105" t="str">
        <f t="shared" ca="1" si="98"/>
        <v>No</v>
      </c>
    </row>
    <row r="2106" spans="1:17" x14ac:dyDescent="0.45">
      <c r="A2106" t="s">
        <v>106</v>
      </c>
      <c r="B2106" t="s">
        <v>107</v>
      </c>
      <c r="C2106" t="s">
        <v>35</v>
      </c>
      <c r="D2106" t="s">
        <v>20</v>
      </c>
      <c r="E2106" t="s">
        <v>21</v>
      </c>
      <c r="F2106" s="1">
        <v>43952</v>
      </c>
      <c r="G2106">
        <v>5.16</v>
      </c>
      <c r="H2106">
        <v>85.490200000000002</v>
      </c>
      <c r="I2106">
        <v>24.54</v>
      </c>
      <c r="J2106">
        <v>71.900000000000006</v>
      </c>
      <c r="K2106" t="s">
        <v>22</v>
      </c>
      <c r="L2106">
        <v>953.6</v>
      </c>
      <c r="M2106">
        <f>VLOOKUP(K2106,RatingLookup!$A$2:$C$8,2,FALSE)</f>
        <v>5.0000000000000001E-3</v>
      </c>
      <c r="N2106">
        <f t="shared" si="96"/>
        <v>4.1762458919303302E-4</v>
      </c>
      <c r="O2106">
        <f>VLOOKUP(K2106,RatingLookup!$A$2:$C$8,3,FALSE)</f>
        <v>0.45</v>
      </c>
      <c r="P2106">
        <f t="shared" si="97"/>
        <v>0.17921106371451434</v>
      </c>
      <c r="Q2106" t="str">
        <f t="shared" ca="1" si="98"/>
        <v>No</v>
      </c>
    </row>
    <row r="2107" spans="1:17" x14ac:dyDescent="0.45">
      <c r="A2107" t="s">
        <v>106</v>
      </c>
      <c r="B2107" t="s">
        <v>107</v>
      </c>
      <c r="C2107" t="s">
        <v>35</v>
      </c>
      <c r="D2107" t="s">
        <v>20</v>
      </c>
      <c r="E2107" t="s">
        <v>21</v>
      </c>
      <c r="F2107" s="1">
        <v>43983</v>
      </c>
      <c r="G2107">
        <v>3.84</v>
      </c>
      <c r="H2107">
        <v>78.522599999999997</v>
      </c>
      <c r="I2107">
        <v>17.88</v>
      </c>
      <c r="J2107">
        <v>78.62</v>
      </c>
      <c r="K2107" t="s">
        <v>22</v>
      </c>
      <c r="L2107">
        <v>1077.26</v>
      </c>
      <c r="M2107">
        <f>VLOOKUP(K2107,RatingLookup!$A$2:$C$8,2,FALSE)</f>
        <v>5.0000000000000001E-3</v>
      </c>
      <c r="N2107">
        <f t="shared" si="96"/>
        <v>4.1762458919303302E-4</v>
      </c>
      <c r="O2107">
        <f>VLOOKUP(K2107,RatingLookup!$A$2:$C$8,3,FALSE)</f>
        <v>0.45</v>
      </c>
      <c r="P2107">
        <f t="shared" si="97"/>
        <v>0.20245061922933905</v>
      </c>
      <c r="Q2107" t="str">
        <f t="shared" ca="1" si="98"/>
        <v>No</v>
      </c>
    </row>
    <row r="2108" spans="1:17" x14ac:dyDescent="0.45">
      <c r="A2108" t="s">
        <v>106</v>
      </c>
      <c r="B2108" t="s">
        <v>107</v>
      </c>
      <c r="C2108" t="s">
        <v>35</v>
      </c>
      <c r="D2108" t="s">
        <v>20</v>
      </c>
      <c r="E2108" t="s">
        <v>21</v>
      </c>
      <c r="F2108" s="1">
        <v>44013</v>
      </c>
      <c r="G2108">
        <v>5.54</v>
      </c>
      <c r="H2108">
        <v>77.036100000000005</v>
      </c>
      <c r="I2108">
        <v>13.63</v>
      </c>
      <c r="J2108">
        <v>81.709999999999994</v>
      </c>
      <c r="K2108" t="s">
        <v>22</v>
      </c>
      <c r="L2108">
        <v>981.29</v>
      </c>
      <c r="M2108">
        <f>VLOOKUP(K2108,RatingLookup!$A$2:$C$8,2,FALSE)</f>
        <v>5.0000000000000001E-3</v>
      </c>
      <c r="N2108">
        <f t="shared" si="96"/>
        <v>4.1762458919303302E-4</v>
      </c>
      <c r="O2108">
        <f>VLOOKUP(K2108,RatingLookup!$A$2:$C$8,3,FALSE)</f>
        <v>0.45</v>
      </c>
      <c r="P2108">
        <f t="shared" si="97"/>
        <v>0.18441487490815414</v>
      </c>
      <c r="Q2108" t="str">
        <f t="shared" ca="1" si="98"/>
        <v>No</v>
      </c>
    </row>
    <row r="2109" spans="1:17" x14ac:dyDescent="0.45">
      <c r="A2109" t="s">
        <v>106</v>
      </c>
      <c r="B2109" t="s">
        <v>107</v>
      </c>
      <c r="C2109" t="s">
        <v>35</v>
      </c>
      <c r="D2109" t="s">
        <v>20</v>
      </c>
      <c r="E2109" t="s">
        <v>21</v>
      </c>
      <c r="F2109" s="1">
        <v>44044</v>
      </c>
      <c r="G2109">
        <v>6.01</v>
      </c>
      <c r="H2109">
        <v>82.755099999999999</v>
      </c>
      <c r="I2109">
        <v>19.77</v>
      </c>
      <c r="J2109">
        <v>77.2</v>
      </c>
      <c r="K2109" t="s">
        <v>22</v>
      </c>
      <c r="L2109">
        <v>949.72</v>
      </c>
      <c r="M2109">
        <f>VLOOKUP(K2109,RatingLookup!$A$2:$C$8,2,FALSE)</f>
        <v>5.0000000000000001E-3</v>
      </c>
      <c r="N2109">
        <f t="shared" si="96"/>
        <v>4.1762458919303302E-4</v>
      </c>
      <c r="O2109">
        <f>VLOOKUP(K2109,RatingLookup!$A$2:$C$8,3,FALSE)</f>
        <v>0.45</v>
      </c>
      <c r="P2109">
        <f t="shared" si="97"/>
        <v>0.17848189118178329</v>
      </c>
      <c r="Q2109" t="str">
        <f t="shared" ca="1" si="98"/>
        <v>No</v>
      </c>
    </row>
    <row r="2110" spans="1:17" x14ac:dyDescent="0.45">
      <c r="A2110" t="s">
        <v>106</v>
      </c>
      <c r="B2110" t="s">
        <v>107</v>
      </c>
      <c r="C2110" t="s">
        <v>35</v>
      </c>
      <c r="D2110" t="s">
        <v>20</v>
      </c>
      <c r="E2110" t="s">
        <v>21</v>
      </c>
      <c r="F2110" s="1">
        <v>44075</v>
      </c>
      <c r="G2110">
        <v>5.47</v>
      </c>
      <c r="H2110">
        <v>82.894400000000005</v>
      </c>
      <c r="I2110">
        <v>9.76</v>
      </c>
      <c r="J2110">
        <v>76.599999999999994</v>
      </c>
      <c r="K2110" t="s">
        <v>22</v>
      </c>
      <c r="L2110">
        <v>1050.1099999999999</v>
      </c>
      <c r="M2110">
        <f>VLOOKUP(K2110,RatingLookup!$A$2:$C$8,2,FALSE)</f>
        <v>5.0000000000000001E-3</v>
      </c>
      <c r="N2110">
        <f t="shared" si="96"/>
        <v>4.1762458919303302E-4</v>
      </c>
      <c r="O2110">
        <f>VLOOKUP(K2110,RatingLookup!$A$2:$C$8,3,FALSE)</f>
        <v>0.45</v>
      </c>
      <c r="P2110">
        <f t="shared" si="97"/>
        <v>0.19734829081087313</v>
      </c>
      <c r="Q2110" t="str">
        <f t="shared" ca="1" si="98"/>
        <v>No</v>
      </c>
    </row>
    <row r="2111" spans="1:17" x14ac:dyDescent="0.45">
      <c r="A2111" t="s">
        <v>106</v>
      </c>
      <c r="B2111" t="s">
        <v>107</v>
      </c>
      <c r="C2111" t="s">
        <v>35</v>
      </c>
      <c r="D2111" t="s">
        <v>20</v>
      </c>
      <c r="E2111" t="s">
        <v>21</v>
      </c>
      <c r="F2111" s="1">
        <v>44105</v>
      </c>
      <c r="G2111">
        <v>5.76</v>
      </c>
      <c r="H2111">
        <v>79.935900000000004</v>
      </c>
      <c r="I2111">
        <v>22.92</v>
      </c>
      <c r="J2111">
        <v>64.489999999999995</v>
      </c>
      <c r="K2111" t="s">
        <v>22</v>
      </c>
      <c r="L2111">
        <v>979.42</v>
      </c>
      <c r="M2111">
        <f>VLOOKUP(K2111,RatingLookup!$A$2:$C$8,2,FALSE)</f>
        <v>5.0000000000000001E-3</v>
      </c>
      <c r="N2111">
        <f t="shared" si="96"/>
        <v>4.1762458919303302E-4</v>
      </c>
      <c r="O2111">
        <f>VLOOKUP(K2111,RatingLookup!$A$2:$C$8,3,FALSE)</f>
        <v>0.45</v>
      </c>
      <c r="P2111">
        <f t="shared" si="97"/>
        <v>0.18406344381634818</v>
      </c>
      <c r="Q2111" t="str">
        <f t="shared" ca="1" si="98"/>
        <v>No</v>
      </c>
    </row>
    <row r="2112" spans="1:17" x14ac:dyDescent="0.45">
      <c r="A2112" t="s">
        <v>106</v>
      </c>
      <c r="B2112" t="s">
        <v>107</v>
      </c>
      <c r="C2112" t="s">
        <v>35</v>
      </c>
      <c r="D2112" t="s">
        <v>20</v>
      </c>
      <c r="E2112" t="s">
        <v>21</v>
      </c>
      <c r="F2112" s="1">
        <v>44136</v>
      </c>
      <c r="G2112">
        <v>5.33</v>
      </c>
      <c r="H2112">
        <v>80.504300000000001</v>
      </c>
      <c r="I2112">
        <v>32.47</v>
      </c>
      <c r="J2112">
        <v>75.27</v>
      </c>
      <c r="K2112" t="s">
        <v>22</v>
      </c>
      <c r="L2112">
        <v>1085.03</v>
      </c>
      <c r="M2112">
        <f>VLOOKUP(K2112,RatingLookup!$A$2:$C$8,2,FALSE)</f>
        <v>5.0000000000000001E-3</v>
      </c>
      <c r="N2112">
        <f t="shared" si="96"/>
        <v>4.1762458919303302E-4</v>
      </c>
      <c r="O2112">
        <f>VLOOKUP(K2112,RatingLookup!$A$2:$C$8,3,FALSE)</f>
        <v>0.45</v>
      </c>
      <c r="P2112">
        <f t="shared" si="97"/>
        <v>0.20391084360545247</v>
      </c>
      <c r="Q2112" t="str">
        <f t="shared" ca="1" si="98"/>
        <v>No</v>
      </c>
    </row>
    <row r="2113" spans="1:17" x14ac:dyDescent="0.45">
      <c r="A2113" t="s">
        <v>106</v>
      </c>
      <c r="B2113" t="s">
        <v>107</v>
      </c>
      <c r="C2113" t="s">
        <v>35</v>
      </c>
      <c r="D2113" t="s">
        <v>20</v>
      </c>
      <c r="E2113" t="s">
        <v>21</v>
      </c>
      <c r="F2113" s="1">
        <v>44166</v>
      </c>
      <c r="G2113">
        <v>5.71</v>
      </c>
      <c r="H2113">
        <v>82.123800000000003</v>
      </c>
      <c r="I2113">
        <v>16.170000000000002</v>
      </c>
      <c r="J2113">
        <v>73.36</v>
      </c>
      <c r="K2113" t="s">
        <v>22</v>
      </c>
      <c r="L2113">
        <v>1021.5</v>
      </c>
      <c r="M2113">
        <f>VLOOKUP(K2113,RatingLookup!$A$2:$C$8,2,FALSE)</f>
        <v>5.0000000000000001E-3</v>
      </c>
      <c r="N2113">
        <f t="shared" si="96"/>
        <v>4.1762458919303302E-4</v>
      </c>
      <c r="O2113">
        <f>VLOOKUP(K2113,RatingLookup!$A$2:$C$8,3,FALSE)</f>
        <v>0.45</v>
      </c>
      <c r="P2113">
        <f t="shared" si="97"/>
        <v>0.19197158303730746</v>
      </c>
      <c r="Q2113" t="str">
        <f t="shared" ca="1" si="98"/>
        <v>No</v>
      </c>
    </row>
    <row r="2114" spans="1:17" x14ac:dyDescent="0.45">
      <c r="A2114" t="s">
        <v>106</v>
      </c>
      <c r="B2114" t="s">
        <v>107</v>
      </c>
      <c r="C2114" t="s">
        <v>35</v>
      </c>
      <c r="D2114" t="s">
        <v>20</v>
      </c>
      <c r="E2114" t="s">
        <v>21</v>
      </c>
      <c r="F2114" s="1">
        <v>44197</v>
      </c>
      <c r="G2114">
        <v>5.0999999999999996</v>
      </c>
      <c r="H2114">
        <v>86.5167</v>
      </c>
      <c r="I2114">
        <v>23.21</v>
      </c>
      <c r="J2114">
        <v>84.86</v>
      </c>
      <c r="K2114" t="s">
        <v>23</v>
      </c>
      <c r="L2114">
        <v>998.44</v>
      </c>
      <c r="M2114">
        <f>VLOOKUP(K2114,RatingLookup!$A$2:$C$8,2,FALSE)</f>
        <v>1E-3</v>
      </c>
      <c r="N2114">
        <f t="shared" ref="N2114:N2177" si="99">1-(1-M2114)^(1/12)</f>
        <v>8.3371552197619714E-5</v>
      </c>
      <c r="O2114">
        <f>VLOOKUP(K2114,RatingLookup!$A$2:$C$8,3,FALSE)</f>
        <v>0.3</v>
      </c>
      <c r="P2114">
        <f t="shared" ref="P2114:P2177" si="100">L2114*N2114*O2114</f>
        <v>2.4972447772857429E-2</v>
      </c>
      <c r="Q2114" t="str">
        <f t="shared" ref="Q2114:Q2177" ca="1" si="101">IF(RAND()&lt;N2114,"Yes","No")</f>
        <v>No</v>
      </c>
    </row>
    <row r="2115" spans="1:17" x14ac:dyDescent="0.45">
      <c r="A2115" t="s">
        <v>106</v>
      </c>
      <c r="B2115" t="s">
        <v>107</v>
      </c>
      <c r="C2115" t="s">
        <v>35</v>
      </c>
      <c r="D2115" t="s">
        <v>20</v>
      </c>
      <c r="E2115" t="s">
        <v>21</v>
      </c>
      <c r="F2115" s="1">
        <v>44228</v>
      </c>
      <c r="G2115">
        <v>5.36</v>
      </c>
      <c r="H2115">
        <v>85.494799999999998</v>
      </c>
      <c r="I2115">
        <v>7.7</v>
      </c>
      <c r="J2115">
        <v>94.28</v>
      </c>
      <c r="K2115" t="s">
        <v>23</v>
      </c>
      <c r="L2115">
        <v>964.36</v>
      </c>
      <c r="M2115">
        <f>VLOOKUP(K2115,RatingLookup!$A$2:$C$8,2,FALSE)</f>
        <v>1E-3</v>
      </c>
      <c r="N2115">
        <f t="shared" si="99"/>
        <v>8.3371552197619714E-5</v>
      </c>
      <c r="O2115">
        <f>VLOOKUP(K2115,RatingLookup!$A$2:$C$8,3,FALSE)</f>
        <v>0.3</v>
      </c>
      <c r="P2115">
        <f t="shared" si="100"/>
        <v>2.4120057023188965E-2</v>
      </c>
      <c r="Q2115" t="str">
        <f t="shared" ca="1" si="101"/>
        <v>No</v>
      </c>
    </row>
    <row r="2116" spans="1:17" x14ac:dyDescent="0.45">
      <c r="A2116" t="s">
        <v>106</v>
      </c>
      <c r="B2116" t="s">
        <v>107</v>
      </c>
      <c r="C2116" t="s">
        <v>35</v>
      </c>
      <c r="D2116" t="s">
        <v>20</v>
      </c>
      <c r="E2116" t="s">
        <v>21</v>
      </c>
      <c r="F2116" s="1">
        <v>44256</v>
      </c>
      <c r="G2116">
        <v>5.81</v>
      </c>
      <c r="H2116">
        <v>83.666799999999995</v>
      </c>
      <c r="I2116">
        <v>16.29</v>
      </c>
      <c r="J2116">
        <v>78.22</v>
      </c>
      <c r="K2116" t="s">
        <v>23</v>
      </c>
      <c r="L2116">
        <v>990.09</v>
      </c>
      <c r="M2116">
        <f>VLOOKUP(K2116,RatingLookup!$A$2:$C$8,2,FALSE)</f>
        <v>1E-3</v>
      </c>
      <c r="N2116">
        <f t="shared" si="99"/>
        <v>8.3371552197619714E-5</v>
      </c>
      <c r="O2116">
        <f>VLOOKUP(K2116,RatingLookup!$A$2:$C$8,3,FALSE)</f>
        <v>0.3</v>
      </c>
      <c r="P2116">
        <f t="shared" si="100"/>
        <v>2.476360203460239E-2</v>
      </c>
      <c r="Q2116" t="str">
        <f t="shared" ca="1" si="101"/>
        <v>No</v>
      </c>
    </row>
    <row r="2117" spans="1:17" x14ac:dyDescent="0.45">
      <c r="A2117" t="s">
        <v>106</v>
      </c>
      <c r="B2117" t="s">
        <v>107</v>
      </c>
      <c r="C2117" t="s">
        <v>35</v>
      </c>
      <c r="D2117" t="s">
        <v>20</v>
      </c>
      <c r="E2117" t="s">
        <v>21</v>
      </c>
      <c r="F2117" s="1">
        <v>44287</v>
      </c>
      <c r="G2117">
        <v>5.13</v>
      </c>
      <c r="H2117">
        <v>78.995900000000006</v>
      </c>
      <c r="I2117">
        <v>18.63</v>
      </c>
      <c r="J2117">
        <v>58.62</v>
      </c>
      <c r="K2117" t="s">
        <v>23</v>
      </c>
      <c r="L2117">
        <v>1099.0999999999999</v>
      </c>
      <c r="M2117">
        <f>VLOOKUP(K2117,RatingLookup!$A$2:$C$8,2,FALSE)</f>
        <v>1E-3</v>
      </c>
      <c r="N2117">
        <f t="shared" si="99"/>
        <v>8.3371552197619714E-5</v>
      </c>
      <c r="O2117">
        <f>VLOOKUP(K2117,RatingLookup!$A$2:$C$8,3,FALSE)</f>
        <v>0.3</v>
      </c>
      <c r="P2117">
        <f t="shared" si="100"/>
        <v>2.7490101906121143E-2</v>
      </c>
      <c r="Q2117" t="str">
        <f t="shared" ca="1" si="101"/>
        <v>No</v>
      </c>
    </row>
    <row r="2118" spans="1:17" x14ac:dyDescent="0.45">
      <c r="A2118" t="s">
        <v>106</v>
      </c>
      <c r="B2118" t="s">
        <v>107</v>
      </c>
      <c r="C2118" t="s">
        <v>35</v>
      </c>
      <c r="D2118" t="s">
        <v>20</v>
      </c>
      <c r="E2118" t="s">
        <v>21</v>
      </c>
      <c r="F2118" s="1">
        <v>44317</v>
      </c>
      <c r="G2118">
        <v>5.81</v>
      </c>
      <c r="H2118">
        <v>80.453299999999999</v>
      </c>
      <c r="I2118">
        <v>18.14</v>
      </c>
      <c r="J2118">
        <v>81.16</v>
      </c>
      <c r="K2118" t="s">
        <v>23</v>
      </c>
      <c r="L2118">
        <v>950.38</v>
      </c>
      <c r="M2118">
        <f>VLOOKUP(K2118,RatingLookup!$A$2:$C$8,2,FALSE)</f>
        <v>1E-3</v>
      </c>
      <c r="N2118">
        <f t="shared" si="99"/>
        <v>8.3371552197619714E-5</v>
      </c>
      <c r="O2118">
        <f>VLOOKUP(K2118,RatingLookup!$A$2:$C$8,3,FALSE)</f>
        <v>0.3</v>
      </c>
      <c r="P2118">
        <f t="shared" si="100"/>
        <v>2.3770396733272147E-2</v>
      </c>
      <c r="Q2118" t="str">
        <f t="shared" ca="1" si="101"/>
        <v>No</v>
      </c>
    </row>
    <row r="2119" spans="1:17" x14ac:dyDescent="0.45">
      <c r="A2119" t="s">
        <v>106</v>
      </c>
      <c r="B2119" t="s">
        <v>107</v>
      </c>
      <c r="C2119" t="s">
        <v>35</v>
      </c>
      <c r="D2119" t="s">
        <v>20</v>
      </c>
      <c r="E2119" t="s">
        <v>21</v>
      </c>
      <c r="F2119" s="1">
        <v>44348</v>
      </c>
      <c r="G2119">
        <v>6.67</v>
      </c>
      <c r="H2119">
        <v>82.080100000000002</v>
      </c>
      <c r="I2119">
        <v>12.41</v>
      </c>
      <c r="J2119">
        <v>64.319999999999993</v>
      </c>
      <c r="K2119" t="s">
        <v>22</v>
      </c>
      <c r="L2119">
        <v>1071.6600000000001</v>
      </c>
      <c r="M2119">
        <f>VLOOKUP(K2119,RatingLookup!$A$2:$C$8,2,FALSE)</f>
        <v>5.0000000000000001E-3</v>
      </c>
      <c r="N2119">
        <f t="shared" si="99"/>
        <v>4.1762458919303302E-4</v>
      </c>
      <c r="O2119">
        <f>VLOOKUP(K2119,RatingLookup!$A$2:$C$8,3,FALSE)</f>
        <v>0.45</v>
      </c>
      <c r="P2119">
        <f t="shared" si="100"/>
        <v>0.20139820526457261</v>
      </c>
      <c r="Q2119" t="str">
        <f t="shared" ca="1" si="101"/>
        <v>No</v>
      </c>
    </row>
    <row r="2120" spans="1:17" x14ac:dyDescent="0.45">
      <c r="A2120" t="s">
        <v>106</v>
      </c>
      <c r="B2120" t="s">
        <v>107</v>
      </c>
      <c r="C2120" t="s">
        <v>35</v>
      </c>
      <c r="D2120" t="s">
        <v>20</v>
      </c>
      <c r="E2120" t="s">
        <v>21</v>
      </c>
      <c r="F2120" s="1">
        <v>44378</v>
      </c>
      <c r="G2120">
        <v>4.8099999999999996</v>
      </c>
      <c r="H2120">
        <v>81.066400000000002</v>
      </c>
      <c r="I2120">
        <v>11</v>
      </c>
      <c r="J2120">
        <v>71.010000000000005</v>
      </c>
      <c r="K2120" t="s">
        <v>22</v>
      </c>
      <c r="L2120">
        <v>1112.05</v>
      </c>
      <c r="M2120">
        <f>VLOOKUP(K2120,RatingLookup!$A$2:$C$8,2,FALSE)</f>
        <v>5.0000000000000001E-3</v>
      </c>
      <c r="N2120">
        <f t="shared" si="99"/>
        <v>4.1762458919303302E-4</v>
      </c>
      <c r="O2120">
        <f>VLOOKUP(K2120,RatingLookup!$A$2:$C$8,3,FALSE)</f>
        <v>0.45</v>
      </c>
      <c r="P2120">
        <f t="shared" si="100"/>
        <v>0.20898874098545056</v>
      </c>
      <c r="Q2120" t="str">
        <f t="shared" ca="1" si="101"/>
        <v>No</v>
      </c>
    </row>
    <row r="2121" spans="1:17" x14ac:dyDescent="0.45">
      <c r="A2121" t="s">
        <v>106</v>
      </c>
      <c r="B2121" t="s">
        <v>107</v>
      </c>
      <c r="C2121" t="s">
        <v>35</v>
      </c>
      <c r="D2121" t="s">
        <v>20</v>
      </c>
      <c r="E2121" t="s">
        <v>21</v>
      </c>
      <c r="F2121" s="1">
        <v>44409</v>
      </c>
      <c r="G2121">
        <v>5.64</v>
      </c>
      <c r="H2121">
        <v>80.054900000000004</v>
      </c>
      <c r="I2121">
        <v>15.95</v>
      </c>
      <c r="J2121">
        <v>58.36</v>
      </c>
      <c r="K2121" t="s">
        <v>22</v>
      </c>
      <c r="L2121">
        <v>1070.3900000000001</v>
      </c>
      <c r="M2121">
        <f>VLOOKUP(K2121,RatingLookup!$A$2:$C$8,2,FALSE)</f>
        <v>5.0000000000000001E-3</v>
      </c>
      <c r="N2121">
        <f t="shared" si="99"/>
        <v>4.1762458919303302E-4</v>
      </c>
      <c r="O2121">
        <f>VLOOKUP(K2121,RatingLookup!$A$2:$C$8,3,FALSE)</f>
        <v>0.45</v>
      </c>
      <c r="P2121">
        <f t="shared" si="100"/>
        <v>0.20115953281184881</v>
      </c>
      <c r="Q2121" t="str">
        <f t="shared" ca="1" si="101"/>
        <v>No</v>
      </c>
    </row>
    <row r="2122" spans="1:17" x14ac:dyDescent="0.45">
      <c r="A2122" t="s">
        <v>106</v>
      </c>
      <c r="B2122" t="s">
        <v>107</v>
      </c>
      <c r="C2122" t="s">
        <v>35</v>
      </c>
      <c r="D2122" t="s">
        <v>20</v>
      </c>
      <c r="E2122" t="s">
        <v>21</v>
      </c>
      <c r="F2122" s="1">
        <v>44440</v>
      </c>
      <c r="G2122">
        <v>5.89</v>
      </c>
      <c r="H2122">
        <v>79.780699999999996</v>
      </c>
      <c r="I2122">
        <v>12.48</v>
      </c>
      <c r="J2122">
        <v>73.209999999999994</v>
      </c>
      <c r="K2122" t="s">
        <v>22</v>
      </c>
      <c r="L2122">
        <v>947.34</v>
      </c>
      <c r="M2122">
        <f>VLOOKUP(K2122,RatingLookup!$A$2:$C$8,2,FALSE)</f>
        <v>5.0000000000000001E-3</v>
      </c>
      <c r="N2122">
        <f t="shared" si="99"/>
        <v>4.1762458919303302E-4</v>
      </c>
      <c r="O2122">
        <f>VLOOKUP(K2122,RatingLookup!$A$2:$C$8,3,FALSE)</f>
        <v>0.45</v>
      </c>
      <c r="P2122">
        <f t="shared" si="100"/>
        <v>0.17803461524675757</v>
      </c>
      <c r="Q2122" t="str">
        <f t="shared" ca="1" si="101"/>
        <v>No</v>
      </c>
    </row>
    <row r="2123" spans="1:17" x14ac:dyDescent="0.45">
      <c r="A2123" t="s">
        <v>106</v>
      </c>
      <c r="B2123" t="s">
        <v>107</v>
      </c>
      <c r="C2123" t="s">
        <v>35</v>
      </c>
      <c r="D2123" t="s">
        <v>20</v>
      </c>
      <c r="E2123" t="s">
        <v>21</v>
      </c>
      <c r="F2123" s="1">
        <v>44470</v>
      </c>
      <c r="G2123">
        <v>5.1100000000000003</v>
      </c>
      <c r="H2123">
        <v>79.663799999999995</v>
      </c>
      <c r="I2123">
        <v>23.75</v>
      </c>
      <c r="J2123">
        <v>73.87</v>
      </c>
      <c r="K2123" t="s">
        <v>30</v>
      </c>
      <c r="L2123">
        <v>1050.52</v>
      </c>
      <c r="M2123">
        <f>VLOOKUP(K2123,RatingLookup!$A$2:$C$8,2,FALSE)</f>
        <v>1.4999999999999999E-2</v>
      </c>
      <c r="N2123">
        <f t="shared" si="99"/>
        <v>1.2586770182638762E-3</v>
      </c>
      <c r="O2123">
        <f>VLOOKUP(K2123,RatingLookup!$A$2:$C$8,3,FALSE)</f>
        <v>0.5</v>
      </c>
      <c r="P2123">
        <f t="shared" si="100"/>
        <v>0.66113269061328361</v>
      </c>
      <c r="Q2123" t="str">
        <f t="shared" ca="1" si="101"/>
        <v>No</v>
      </c>
    </row>
    <row r="2124" spans="1:17" x14ac:dyDescent="0.45">
      <c r="A2124" t="s">
        <v>106</v>
      </c>
      <c r="B2124" t="s">
        <v>107</v>
      </c>
      <c r="C2124" t="s">
        <v>35</v>
      </c>
      <c r="D2124" t="s">
        <v>20</v>
      </c>
      <c r="E2124" t="s">
        <v>21</v>
      </c>
      <c r="F2124" s="1">
        <v>44501</v>
      </c>
      <c r="G2124">
        <v>5.84</v>
      </c>
      <c r="H2124">
        <v>80.852900000000005</v>
      </c>
      <c r="I2124">
        <v>13.58</v>
      </c>
      <c r="J2124">
        <v>89.22</v>
      </c>
      <c r="K2124" t="s">
        <v>30</v>
      </c>
      <c r="L2124">
        <v>1038.3499999999999</v>
      </c>
      <c r="M2124">
        <f>VLOOKUP(K2124,RatingLookup!$A$2:$C$8,2,FALSE)</f>
        <v>1.4999999999999999E-2</v>
      </c>
      <c r="N2124">
        <f t="shared" si="99"/>
        <v>1.2586770182638762E-3</v>
      </c>
      <c r="O2124">
        <f>VLOOKUP(K2124,RatingLookup!$A$2:$C$8,3,FALSE)</f>
        <v>0.5</v>
      </c>
      <c r="P2124">
        <f t="shared" si="100"/>
        <v>0.65347364095714788</v>
      </c>
      <c r="Q2124" t="str">
        <f t="shared" ca="1" si="101"/>
        <v>No</v>
      </c>
    </row>
    <row r="2125" spans="1:17" x14ac:dyDescent="0.45">
      <c r="A2125" t="s">
        <v>106</v>
      </c>
      <c r="B2125" t="s">
        <v>107</v>
      </c>
      <c r="C2125" t="s">
        <v>35</v>
      </c>
      <c r="D2125" t="s">
        <v>20</v>
      </c>
      <c r="E2125" t="s">
        <v>21</v>
      </c>
      <c r="F2125" s="1">
        <v>44531</v>
      </c>
      <c r="G2125">
        <v>5.46</v>
      </c>
      <c r="H2125">
        <v>84.818299999999994</v>
      </c>
      <c r="I2125">
        <v>11.6</v>
      </c>
      <c r="J2125">
        <v>76.66</v>
      </c>
      <c r="K2125" t="s">
        <v>30</v>
      </c>
      <c r="L2125">
        <v>1068.9000000000001</v>
      </c>
      <c r="M2125">
        <f>VLOOKUP(K2125,RatingLookup!$A$2:$C$8,2,FALSE)</f>
        <v>1.4999999999999999E-2</v>
      </c>
      <c r="N2125">
        <f t="shared" si="99"/>
        <v>1.2586770182638762E-3</v>
      </c>
      <c r="O2125">
        <f>VLOOKUP(K2125,RatingLookup!$A$2:$C$8,3,FALSE)</f>
        <v>0.5</v>
      </c>
      <c r="P2125">
        <f t="shared" si="100"/>
        <v>0.67269993241112869</v>
      </c>
      <c r="Q2125" t="str">
        <f t="shared" ca="1" si="101"/>
        <v>No</v>
      </c>
    </row>
    <row r="2126" spans="1:17" x14ac:dyDescent="0.45">
      <c r="A2126" t="s">
        <v>106</v>
      </c>
      <c r="B2126" t="s">
        <v>107</v>
      </c>
      <c r="C2126" t="s">
        <v>35</v>
      </c>
      <c r="D2126" t="s">
        <v>20</v>
      </c>
      <c r="E2126" t="s">
        <v>21</v>
      </c>
      <c r="F2126" s="1">
        <v>44562</v>
      </c>
      <c r="G2126">
        <v>5.6</v>
      </c>
      <c r="H2126">
        <v>82.528300000000002</v>
      </c>
      <c r="I2126">
        <v>11.01</v>
      </c>
      <c r="J2126">
        <v>74.52</v>
      </c>
      <c r="K2126" t="s">
        <v>30</v>
      </c>
      <c r="L2126">
        <v>934.87</v>
      </c>
      <c r="M2126">
        <f>VLOOKUP(K2126,RatingLookup!$A$2:$C$8,2,FALSE)</f>
        <v>1.4999999999999999E-2</v>
      </c>
      <c r="N2126">
        <f t="shared" si="99"/>
        <v>1.2586770182638762E-3</v>
      </c>
      <c r="O2126">
        <f>VLOOKUP(K2126,RatingLookup!$A$2:$C$8,3,FALSE)</f>
        <v>0.5</v>
      </c>
      <c r="P2126">
        <f t="shared" si="100"/>
        <v>0.58834969203217502</v>
      </c>
      <c r="Q2126" t="str">
        <f t="shared" ca="1" si="101"/>
        <v>No</v>
      </c>
    </row>
    <row r="2127" spans="1:17" x14ac:dyDescent="0.45">
      <c r="A2127" t="s">
        <v>106</v>
      </c>
      <c r="B2127" t="s">
        <v>107</v>
      </c>
      <c r="C2127" t="s">
        <v>35</v>
      </c>
      <c r="D2127" t="s">
        <v>20</v>
      </c>
      <c r="E2127" t="s">
        <v>21</v>
      </c>
      <c r="F2127" s="1">
        <v>44593</v>
      </c>
      <c r="G2127">
        <v>5.4</v>
      </c>
      <c r="H2127">
        <v>81.725300000000004</v>
      </c>
      <c r="I2127">
        <v>16.55</v>
      </c>
      <c r="J2127">
        <v>93.03</v>
      </c>
      <c r="K2127" t="s">
        <v>30</v>
      </c>
      <c r="L2127">
        <v>1016.71</v>
      </c>
      <c r="M2127">
        <f>VLOOKUP(K2127,RatingLookup!$A$2:$C$8,2,FALSE)</f>
        <v>1.4999999999999999E-2</v>
      </c>
      <c r="N2127">
        <f t="shared" si="99"/>
        <v>1.2586770182638762E-3</v>
      </c>
      <c r="O2127">
        <f>VLOOKUP(K2127,RatingLookup!$A$2:$C$8,3,FALSE)</f>
        <v>0.5</v>
      </c>
      <c r="P2127">
        <f t="shared" si="100"/>
        <v>0.63985475561953287</v>
      </c>
      <c r="Q2127" t="str">
        <f t="shared" ca="1" si="101"/>
        <v>No</v>
      </c>
    </row>
    <row r="2128" spans="1:17" x14ac:dyDescent="0.45">
      <c r="A2128" t="s">
        <v>106</v>
      </c>
      <c r="B2128" t="s">
        <v>107</v>
      </c>
      <c r="C2128" t="s">
        <v>35</v>
      </c>
      <c r="D2128" t="s">
        <v>20</v>
      </c>
      <c r="E2128" t="s">
        <v>21</v>
      </c>
      <c r="F2128" s="1">
        <v>44621</v>
      </c>
      <c r="G2128">
        <v>6.63</v>
      </c>
      <c r="H2128">
        <v>83.635900000000007</v>
      </c>
      <c r="I2128">
        <v>23.41</v>
      </c>
      <c r="J2128">
        <v>68.900000000000006</v>
      </c>
      <c r="K2128" t="s">
        <v>30</v>
      </c>
      <c r="L2128">
        <v>980</v>
      </c>
      <c r="M2128">
        <f>VLOOKUP(K2128,RatingLookup!$A$2:$C$8,2,FALSE)</f>
        <v>1.4999999999999999E-2</v>
      </c>
      <c r="N2128">
        <f t="shared" si="99"/>
        <v>1.2586770182638762E-3</v>
      </c>
      <c r="O2128">
        <f>VLOOKUP(K2128,RatingLookup!$A$2:$C$8,3,FALSE)</f>
        <v>0.5</v>
      </c>
      <c r="P2128">
        <f t="shared" si="100"/>
        <v>0.61675173894929936</v>
      </c>
      <c r="Q2128" t="str">
        <f t="shared" ca="1" si="101"/>
        <v>No</v>
      </c>
    </row>
    <row r="2129" spans="1:17" x14ac:dyDescent="0.45">
      <c r="A2129" t="s">
        <v>106</v>
      </c>
      <c r="B2129" t="s">
        <v>107</v>
      </c>
      <c r="C2129" t="s">
        <v>35</v>
      </c>
      <c r="D2129" t="s">
        <v>20</v>
      </c>
      <c r="E2129" t="s">
        <v>21</v>
      </c>
      <c r="F2129" s="1">
        <v>44652</v>
      </c>
      <c r="G2129">
        <v>5.51</v>
      </c>
      <c r="H2129">
        <v>85.572699999999998</v>
      </c>
      <c r="I2129">
        <v>16.36</v>
      </c>
      <c r="J2129">
        <v>63.39</v>
      </c>
      <c r="K2129" t="s">
        <v>30</v>
      </c>
      <c r="L2129">
        <v>1036.47</v>
      </c>
      <c r="M2129">
        <f>VLOOKUP(K2129,RatingLookup!$A$2:$C$8,2,FALSE)</f>
        <v>1.4999999999999999E-2</v>
      </c>
      <c r="N2129">
        <f t="shared" si="99"/>
        <v>1.2586770182638762E-3</v>
      </c>
      <c r="O2129">
        <f>VLOOKUP(K2129,RatingLookup!$A$2:$C$8,3,FALSE)</f>
        <v>0.5</v>
      </c>
      <c r="P2129">
        <f t="shared" si="100"/>
        <v>0.65229048455997996</v>
      </c>
      <c r="Q2129" t="str">
        <f t="shared" ca="1" si="101"/>
        <v>No</v>
      </c>
    </row>
    <row r="2130" spans="1:17" x14ac:dyDescent="0.45">
      <c r="A2130" t="s">
        <v>106</v>
      </c>
      <c r="B2130" t="s">
        <v>107</v>
      </c>
      <c r="C2130" t="s">
        <v>35</v>
      </c>
      <c r="D2130" t="s">
        <v>20</v>
      </c>
      <c r="E2130" t="s">
        <v>21</v>
      </c>
      <c r="F2130" s="1">
        <v>44682</v>
      </c>
      <c r="G2130">
        <v>5.28</v>
      </c>
      <c r="H2130">
        <v>80.382300000000001</v>
      </c>
      <c r="I2130">
        <v>24.1</v>
      </c>
      <c r="J2130">
        <v>78.03</v>
      </c>
      <c r="K2130" t="s">
        <v>30</v>
      </c>
      <c r="L2130">
        <v>1029.82</v>
      </c>
      <c r="M2130">
        <f>VLOOKUP(K2130,RatingLookup!$A$2:$C$8,2,FALSE)</f>
        <v>1.4999999999999999E-2</v>
      </c>
      <c r="N2130">
        <f t="shared" si="99"/>
        <v>1.2586770182638762E-3</v>
      </c>
      <c r="O2130">
        <f>VLOOKUP(K2130,RatingLookup!$A$2:$C$8,3,FALSE)</f>
        <v>0.5</v>
      </c>
      <c r="P2130">
        <f t="shared" si="100"/>
        <v>0.64810538347425251</v>
      </c>
      <c r="Q2130" t="str">
        <f t="shared" ca="1" si="101"/>
        <v>No</v>
      </c>
    </row>
    <row r="2131" spans="1:17" x14ac:dyDescent="0.45">
      <c r="A2131" t="s">
        <v>106</v>
      </c>
      <c r="B2131" t="s">
        <v>107</v>
      </c>
      <c r="C2131" t="s">
        <v>35</v>
      </c>
      <c r="D2131" t="s">
        <v>20</v>
      </c>
      <c r="E2131" t="s">
        <v>21</v>
      </c>
      <c r="F2131" s="1">
        <v>44713</v>
      </c>
      <c r="G2131">
        <v>5.14</v>
      </c>
      <c r="H2131">
        <v>85.920599999999993</v>
      </c>
      <c r="I2131">
        <v>19.899999999999999</v>
      </c>
      <c r="J2131">
        <v>56.49</v>
      </c>
      <c r="K2131" t="s">
        <v>30</v>
      </c>
      <c r="L2131">
        <v>1042.68</v>
      </c>
      <c r="M2131">
        <f>VLOOKUP(K2131,RatingLookup!$A$2:$C$8,2,FALSE)</f>
        <v>1.4999999999999999E-2</v>
      </c>
      <c r="N2131">
        <f t="shared" si="99"/>
        <v>1.2586770182638762E-3</v>
      </c>
      <c r="O2131">
        <f>VLOOKUP(K2131,RatingLookup!$A$2:$C$8,3,FALSE)</f>
        <v>0.5</v>
      </c>
      <c r="P2131">
        <f t="shared" si="100"/>
        <v>0.6561986767016893</v>
      </c>
      <c r="Q2131" t="str">
        <f t="shared" ca="1" si="101"/>
        <v>No</v>
      </c>
    </row>
    <row r="2132" spans="1:17" x14ac:dyDescent="0.45">
      <c r="A2132" t="s">
        <v>106</v>
      </c>
      <c r="B2132" t="s">
        <v>107</v>
      </c>
      <c r="C2132" t="s">
        <v>35</v>
      </c>
      <c r="D2132" t="s">
        <v>20</v>
      </c>
      <c r="E2132" t="s">
        <v>21</v>
      </c>
      <c r="F2132" s="1">
        <v>44743</v>
      </c>
      <c r="G2132">
        <v>6.1</v>
      </c>
      <c r="H2132">
        <v>82.821399999999997</v>
      </c>
      <c r="I2132">
        <v>28.87</v>
      </c>
      <c r="J2132">
        <v>79.06</v>
      </c>
      <c r="K2132" t="s">
        <v>30</v>
      </c>
      <c r="L2132">
        <v>996.91</v>
      </c>
      <c r="M2132">
        <f>VLOOKUP(K2132,RatingLookup!$A$2:$C$8,2,FALSE)</f>
        <v>1.4999999999999999E-2</v>
      </c>
      <c r="N2132">
        <f t="shared" si="99"/>
        <v>1.2586770182638762E-3</v>
      </c>
      <c r="O2132">
        <f>VLOOKUP(K2132,RatingLookup!$A$2:$C$8,3,FALSE)</f>
        <v>0.5</v>
      </c>
      <c r="P2132">
        <f t="shared" si="100"/>
        <v>0.62739385313872043</v>
      </c>
      <c r="Q2132" t="str">
        <f t="shared" ca="1" si="101"/>
        <v>No</v>
      </c>
    </row>
    <row r="2133" spans="1:17" x14ac:dyDescent="0.45">
      <c r="A2133" t="s">
        <v>106</v>
      </c>
      <c r="B2133" t="s">
        <v>107</v>
      </c>
      <c r="C2133" t="s">
        <v>35</v>
      </c>
      <c r="D2133" t="s">
        <v>20</v>
      </c>
      <c r="E2133" t="s">
        <v>21</v>
      </c>
      <c r="F2133" s="1">
        <v>44774</v>
      </c>
      <c r="G2133">
        <v>4.41</v>
      </c>
      <c r="H2133">
        <v>86.285700000000006</v>
      </c>
      <c r="I2133">
        <v>15.86</v>
      </c>
      <c r="J2133">
        <v>94.52</v>
      </c>
      <c r="K2133" t="s">
        <v>30</v>
      </c>
      <c r="L2133">
        <v>964.89</v>
      </c>
      <c r="M2133">
        <f>VLOOKUP(K2133,RatingLookup!$A$2:$C$8,2,FALSE)</f>
        <v>1.4999999999999999E-2</v>
      </c>
      <c r="N2133">
        <f t="shared" si="99"/>
        <v>1.2586770182638762E-3</v>
      </c>
      <c r="O2133">
        <f>VLOOKUP(K2133,RatingLookup!$A$2:$C$8,3,FALSE)</f>
        <v>0.5</v>
      </c>
      <c r="P2133">
        <f t="shared" si="100"/>
        <v>0.60724243407631573</v>
      </c>
      <c r="Q2133" t="str">
        <f t="shared" ca="1" si="101"/>
        <v>No</v>
      </c>
    </row>
    <row r="2134" spans="1:17" x14ac:dyDescent="0.45">
      <c r="A2134" t="s">
        <v>106</v>
      </c>
      <c r="B2134" t="s">
        <v>107</v>
      </c>
      <c r="C2134" t="s">
        <v>35</v>
      </c>
      <c r="D2134" t="s">
        <v>20</v>
      </c>
      <c r="E2134" t="s">
        <v>21</v>
      </c>
      <c r="F2134" s="1">
        <v>44805</v>
      </c>
      <c r="G2134">
        <v>5.14</v>
      </c>
      <c r="H2134">
        <v>85.388099999999994</v>
      </c>
      <c r="I2134">
        <v>13.68</v>
      </c>
      <c r="J2134">
        <v>70.94</v>
      </c>
      <c r="K2134" t="s">
        <v>30</v>
      </c>
      <c r="L2134">
        <v>1056.75</v>
      </c>
      <c r="M2134">
        <f>VLOOKUP(K2134,RatingLookup!$A$2:$C$8,2,FALSE)</f>
        <v>1.4999999999999999E-2</v>
      </c>
      <c r="N2134">
        <f t="shared" si="99"/>
        <v>1.2586770182638762E-3</v>
      </c>
      <c r="O2134">
        <f>VLOOKUP(K2134,RatingLookup!$A$2:$C$8,3,FALSE)</f>
        <v>0.5</v>
      </c>
      <c r="P2134">
        <f t="shared" si="100"/>
        <v>0.66505346952517563</v>
      </c>
      <c r="Q2134" t="str">
        <f t="shared" ca="1" si="101"/>
        <v>No</v>
      </c>
    </row>
    <row r="2135" spans="1:17" x14ac:dyDescent="0.45">
      <c r="A2135" t="s">
        <v>106</v>
      </c>
      <c r="B2135" t="s">
        <v>107</v>
      </c>
      <c r="C2135" t="s">
        <v>35</v>
      </c>
      <c r="D2135" t="s">
        <v>20</v>
      </c>
      <c r="E2135" t="s">
        <v>21</v>
      </c>
      <c r="F2135" s="1">
        <v>44835</v>
      </c>
      <c r="G2135">
        <v>5.01</v>
      </c>
      <c r="H2135">
        <v>82.028499999999994</v>
      </c>
      <c r="I2135">
        <v>15.28</v>
      </c>
      <c r="J2135">
        <v>66.23</v>
      </c>
      <c r="K2135" t="s">
        <v>30</v>
      </c>
      <c r="L2135">
        <v>1101.8599999999999</v>
      </c>
      <c r="M2135">
        <f>VLOOKUP(K2135,RatingLookup!$A$2:$C$8,2,FALSE)</f>
        <v>1.4999999999999999E-2</v>
      </c>
      <c r="N2135">
        <f t="shared" si="99"/>
        <v>1.2586770182638762E-3</v>
      </c>
      <c r="O2135">
        <f>VLOOKUP(K2135,RatingLookup!$A$2:$C$8,3,FALSE)</f>
        <v>0.5</v>
      </c>
      <c r="P2135">
        <f t="shared" si="100"/>
        <v>0.69344292967211729</v>
      </c>
      <c r="Q2135" t="str">
        <f t="shared" ca="1" si="101"/>
        <v>No</v>
      </c>
    </row>
    <row r="2136" spans="1:17" x14ac:dyDescent="0.45">
      <c r="A2136" t="s">
        <v>106</v>
      </c>
      <c r="B2136" t="s">
        <v>107</v>
      </c>
      <c r="C2136" t="s">
        <v>35</v>
      </c>
      <c r="D2136" t="s">
        <v>20</v>
      </c>
      <c r="E2136" t="s">
        <v>21</v>
      </c>
      <c r="F2136" s="1">
        <v>44866</v>
      </c>
      <c r="G2136">
        <v>5.36</v>
      </c>
      <c r="H2136">
        <v>82.237099999999998</v>
      </c>
      <c r="I2136">
        <v>23.67</v>
      </c>
      <c r="J2136">
        <v>88.72</v>
      </c>
      <c r="K2136" t="s">
        <v>30</v>
      </c>
      <c r="L2136">
        <v>998.95</v>
      </c>
      <c r="M2136">
        <f>VLOOKUP(K2136,RatingLookup!$A$2:$C$8,2,FALSE)</f>
        <v>1.4999999999999999E-2</v>
      </c>
      <c r="N2136">
        <f t="shared" si="99"/>
        <v>1.2586770182638762E-3</v>
      </c>
      <c r="O2136">
        <f>VLOOKUP(K2136,RatingLookup!$A$2:$C$8,3,FALSE)</f>
        <v>0.5</v>
      </c>
      <c r="P2136">
        <f t="shared" si="100"/>
        <v>0.62867770369734965</v>
      </c>
      <c r="Q2136" t="str">
        <f t="shared" ca="1" si="101"/>
        <v>No</v>
      </c>
    </row>
    <row r="2137" spans="1:17" x14ac:dyDescent="0.45">
      <c r="A2137" t="s">
        <v>106</v>
      </c>
      <c r="B2137" t="s">
        <v>107</v>
      </c>
      <c r="C2137" t="s">
        <v>35</v>
      </c>
      <c r="D2137" t="s">
        <v>20</v>
      </c>
      <c r="E2137" t="s">
        <v>21</v>
      </c>
      <c r="F2137" s="1">
        <v>44896</v>
      </c>
      <c r="G2137">
        <v>6.14</v>
      </c>
      <c r="H2137">
        <v>84.237700000000004</v>
      </c>
      <c r="I2137">
        <v>25.04</v>
      </c>
      <c r="J2137">
        <v>62.48</v>
      </c>
      <c r="K2137" t="s">
        <v>30</v>
      </c>
      <c r="L2137">
        <v>1006.45</v>
      </c>
      <c r="M2137">
        <f>VLOOKUP(K2137,RatingLookup!$A$2:$C$8,2,FALSE)</f>
        <v>1.4999999999999999E-2</v>
      </c>
      <c r="N2137">
        <f t="shared" si="99"/>
        <v>1.2586770182638762E-3</v>
      </c>
      <c r="O2137">
        <f>VLOOKUP(K2137,RatingLookup!$A$2:$C$8,3,FALSE)</f>
        <v>0.5</v>
      </c>
      <c r="P2137">
        <f t="shared" si="100"/>
        <v>0.63339774251583914</v>
      </c>
      <c r="Q2137" t="str">
        <f t="shared" ca="1" si="101"/>
        <v>No</v>
      </c>
    </row>
    <row r="2138" spans="1:17" x14ac:dyDescent="0.45">
      <c r="A2138" t="s">
        <v>106</v>
      </c>
      <c r="B2138" t="s">
        <v>107</v>
      </c>
      <c r="C2138" t="s">
        <v>35</v>
      </c>
      <c r="D2138" t="s">
        <v>20</v>
      </c>
      <c r="E2138" t="s">
        <v>21</v>
      </c>
      <c r="F2138" s="1">
        <v>44927</v>
      </c>
      <c r="G2138">
        <v>6.65</v>
      </c>
      <c r="H2138">
        <v>81.695300000000003</v>
      </c>
      <c r="I2138">
        <v>21.53</v>
      </c>
      <c r="J2138">
        <v>80.13</v>
      </c>
      <c r="K2138" t="s">
        <v>30</v>
      </c>
      <c r="L2138">
        <v>1014.4</v>
      </c>
      <c r="M2138">
        <f>VLOOKUP(K2138,RatingLookup!$A$2:$C$8,2,FALSE)</f>
        <v>1.4999999999999999E-2</v>
      </c>
      <c r="N2138">
        <f t="shared" si="99"/>
        <v>1.2586770182638762E-3</v>
      </c>
      <c r="O2138">
        <f>VLOOKUP(K2138,RatingLookup!$A$2:$C$8,3,FALSE)</f>
        <v>0.5</v>
      </c>
      <c r="P2138">
        <f t="shared" si="100"/>
        <v>0.638400983663438</v>
      </c>
      <c r="Q2138" t="str">
        <f t="shared" ca="1" si="101"/>
        <v>No</v>
      </c>
    </row>
    <row r="2139" spans="1:17" x14ac:dyDescent="0.45">
      <c r="A2139" t="s">
        <v>106</v>
      </c>
      <c r="B2139" t="s">
        <v>107</v>
      </c>
      <c r="C2139" t="s">
        <v>35</v>
      </c>
      <c r="D2139" t="s">
        <v>20</v>
      </c>
      <c r="E2139" t="s">
        <v>21</v>
      </c>
      <c r="F2139" s="1">
        <v>44958</v>
      </c>
      <c r="G2139">
        <v>5.07</v>
      </c>
      <c r="H2139">
        <v>84.929000000000002</v>
      </c>
      <c r="I2139">
        <v>18.68</v>
      </c>
      <c r="J2139">
        <v>74.11</v>
      </c>
      <c r="K2139" t="s">
        <v>30</v>
      </c>
      <c r="L2139">
        <v>1036.29</v>
      </c>
      <c r="M2139">
        <f>VLOOKUP(K2139,RatingLookup!$A$2:$C$8,2,FALSE)</f>
        <v>1.4999999999999999E-2</v>
      </c>
      <c r="N2139">
        <f t="shared" si="99"/>
        <v>1.2586770182638762E-3</v>
      </c>
      <c r="O2139">
        <f>VLOOKUP(K2139,RatingLookup!$A$2:$C$8,3,FALSE)</f>
        <v>0.5</v>
      </c>
      <c r="P2139">
        <f t="shared" si="100"/>
        <v>0.65217720362833609</v>
      </c>
      <c r="Q2139" t="str">
        <f t="shared" ca="1" si="101"/>
        <v>No</v>
      </c>
    </row>
    <row r="2140" spans="1:17" x14ac:dyDescent="0.45">
      <c r="A2140" t="s">
        <v>106</v>
      </c>
      <c r="B2140" t="s">
        <v>107</v>
      </c>
      <c r="C2140" t="s">
        <v>35</v>
      </c>
      <c r="D2140" t="s">
        <v>20</v>
      </c>
      <c r="E2140" t="s">
        <v>21</v>
      </c>
      <c r="F2140" s="1">
        <v>44986</v>
      </c>
      <c r="G2140">
        <v>5.04</v>
      </c>
      <c r="H2140">
        <v>83.950400000000002</v>
      </c>
      <c r="I2140">
        <v>19.46</v>
      </c>
      <c r="J2140">
        <v>72.28</v>
      </c>
      <c r="K2140" t="s">
        <v>30</v>
      </c>
      <c r="L2140">
        <v>984.85</v>
      </c>
      <c r="M2140">
        <f>VLOOKUP(K2140,RatingLookup!$A$2:$C$8,2,FALSE)</f>
        <v>1.4999999999999999E-2</v>
      </c>
      <c r="N2140">
        <f t="shared" si="99"/>
        <v>1.2586770182638762E-3</v>
      </c>
      <c r="O2140">
        <f>VLOOKUP(K2140,RatingLookup!$A$2:$C$8,3,FALSE)</f>
        <v>0.5</v>
      </c>
      <c r="P2140">
        <f t="shared" si="100"/>
        <v>0.61980403071858925</v>
      </c>
      <c r="Q2140" t="str">
        <f t="shared" ca="1" si="101"/>
        <v>No</v>
      </c>
    </row>
    <row r="2141" spans="1:17" x14ac:dyDescent="0.45">
      <c r="A2141" t="s">
        <v>106</v>
      </c>
      <c r="B2141" t="s">
        <v>107</v>
      </c>
      <c r="C2141" t="s">
        <v>35</v>
      </c>
      <c r="D2141" t="s">
        <v>20</v>
      </c>
      <c r="E2141" t="s">
        <v>21</v>
      </c>
      <c r="F2141" s="1">
        <v>45017</v>
      </c>
      <c r="G2141">
        <v>5.71</v>
      </c>
      <c r="H2141">
        <v>83.117699999999999</v>
      </c>
      <c r="I2141">
        <v>29.21</v>
      </c>
      <c r="J2141">
        <v>79</v>
      </c>
      <c r="K2141" t="s">
        <v>30</v>
      </c>
      <c r="L2141">
        <v>1018.18</v>
      </c>
      <c r="M2141">
        <f>VLOOKUP(K2141,RatingLookup!$A$2:$C$8,2,FALSE)</f>
        <v>1.4999999999999999E-2</v>
      </c>
      <c r="N2141">
        <f t="shared" si="99"/>
        <v>1.2586770182638762E-3</v>
      </c>
      <c r="O2141">
        <f>VLOOKUP(K2141,RatingLookup!$A$2:$C$8,3,FALSE)</f>
        <v>0.5</v>
      </c>
      <c r="P2141">
        <f t="shared" si="100"/>
        <v>0.64077988322795676</v>
      </c>
      <c r="Q2141" t="str">
        <f t="shared" ca="1" si="101"/>
        <v>No</v>
      </c>
    </row>
    <row r="2142" spans="1:17" x14ac:dyDescent="0.45">
      <c r="A2142" t="s">
        <v>106</v>
      </c>
      <c r="B2142" t="s">
        <v>107</v>
      </c>
      <c r="C2142" t="s">
        <v>35</v>
      </c>
      <c r="D2142" t="s">
        <v>20</v>
      </c>
      <c r="E2142" t="s">
        <v>21</v>
      </c>
      <c r="F2142" s="1">
        <v>45047</v>
      </c>
      <c r="G2142">
        <v>5.37</v>
      </c>
      <c r="H2142">
        <v>82.8733</v>
      </c>
      <c r="I2142">
        <v>22.58</v>
      </c>
      <c r="J2142">
        <v>72.27</v>
      </c>
      <c r="K2142" t="s">
        <v>30</v>
      </c>
      <c r="L2142">
        <v>1034.79</v>
      </c>
      <c r="M2142">
        <f>VLOOKUP(K2142,RatingLookup!$A$2:$C$8,2,FALSE)</f>
        <v>1.4999999999999999E-2</v>
      </c>
      <c r="N2142">
        <f t="shared" si="99"/>
        <v>1.2586770182638762E-3</v>
      </c>
      <c r="O2142">
        <f>VLOOKUP(K2142,RatingLookup!$A$2:$C$8,3,FALSE)</f>
        <v>0.5</v>
      </c>
      <c r="P2142">
        <f t="shared" si="100"/>
        <v>0.65123319586463824</v>
      </c>
      <c r="Q2142" t="str">
        <f t="shared" ca="1" si="101"/>
        <v>No</v>
      </c>
    </row>
    <row r="2143" spans="1:17" x14ac:dyDescent="0.45">
      <c r="A2143" t="s">
        <v>106</v>
      </c>
      <c r="B2143" t="s">
        <v>107</v>
      </c>
      <c r="C2143" t="s">
        <v>35</v>
      </c>
      <c r="D2143" t="s">
        <v>20</v>
      </c>
      <c r="E2143" t="s">
        <v>21</v>
      </c>
      <c r="F2143" s="1">
        <v>45078</v>
      </c>
      <c r="G2143">
        <v>4.43</v>
      </c>
      <c r="H2143">
        <v>81.520799999999994</v>
      </c>
      <c r="I2143">
        <v>20.29</v>
      </c>
      <c r="J2143">
        <v>90.18</v>
      </c>
      <c r="K2143" t="s">
        <v>30</v>
      </c>
      <c r="L2143">
        <v>979.75</v>
      </c>
      <c r="M2143">
        <f>VLOOKUP(K2143,RatingLookup!$A$2:$C$8,2,FALSE)</f>
        <v>1.4999999999999999E-2</v>
      </c>
      <c r="N2143">
        <f t="shared" si="99"/>
        <v>1.2586770182638762E-3</v>
      </c>
      <c r="O2143">
        <f>VLOOKUP(K2143,RatingLookup!$A$2:$C$8,3,FALSE)</f>
        <v>0.5</v>
      </c>
      <c r="P2143">
        <f t="shared" si="100"/>
        <v>0.6165944043220164</v>
      </c>
      <c r="Q2143" t="str">
        <f t="shared" ca="1" si="101"/>
        <v>No</v>
      </c>
    </row>
    <row r="2144" spans="1:17" x14ac:dyDescent="0.45">
      <c r="A2144" t="s">
        <v>106</v>
      </c>
      <c r="B2144" t="s">
        <v>107</v>
      </c>
      <c r="C2144" t="s">
        <v>35</v>
      </c>
      <c r="D2144" t="s">
        <v>20</v>
      </c>
      <c r="E2144" t="s">
        <v>21</v>
      </c>
      <c r="F2144" s="1">
        <v>45108</v>
      </c>
      <c r="G2144">
        <v>4.9000000000000004</v>
      </c>
      <c r="H2144">
        <v>83.982399999999998</v>
      </c>
      <c r="I2144">
        <v>30.54</v>
      </c>
      <c r="J2144">
        <v>87.56</v>
      </c>
      <c r="K2144" t="s">
        <v>30</v>
      </c>
      <c r="L2144">
        <v>988.81</v>
      </c>
      <c r="M2144">
        <f>VLOOKUP(K2144,RatingLookup!$A$2:$C$8,2,FALSE)</f>
        <v>1.4999999999999999E-2</v>
      </c>
      <c r="N2144">
        <f t="shared" si="99"/>
        <v>1.2586770182638762E-3</v>
      </c>
      <c r="O2144">
        <f>VLOOKUP(K2144,RatingLookup!$A$2:$C$8,3,FALSE)</f>
        <v>0.5</v>
      </c>
      <c r="P2144">
        <f t="shared" si="100"/>
        <v>0.62229621121475165</v>
      </c>
      <c r="Q2144" t="str">
        <f t="shared" ca="1" si="101"/>
        <v>No</v>
      </c>
    </row>
    <row r="2145" spans="1:17" x14ac:dyDescent="0.45">
      <c r="A2145" t="s">
        <v>106</v>
      </c>
      <c r="B2145" t="s">
        <v>107</v>
      </c>
      <c r="C2145" t="s">
        <v>35</v>
      </c>
      <c r="D2145" t="s">
        <v>20</v>
      </c>
      <c r="E2145" t="s">
        <v>21</v>
      </c>
      <c r="F2145" s="1">
        <v>45139</v>
      </c>
      <c r="G2145">
        <v>4.62</v>
      </c>
      <c r="H2145">
        <v>80.913799999999995</v>
      </c>
      <c r="I2145">
        <v>19.899999999999999</v>
      </c>
      <c r="J2145">
        <v>76.8</v>
      </c>
      <c r="K2145" t="s">
        <v>30</v>
      </c>
      <c r="L2145">
        <v>1112.73</v>
      </c>
      <c r="M2145">
        <f>VLOOKUP(K2145,RatingLookup!$A$2:$C$8,2,FALSE)</f>
        <v>1.4999999999999999E-2</v>
      </c>
      <c r="N2145">
        <f t="shared" si="99"/>
        <v>1.2586770182638762E-3</v>
      </c>
      <c r="O2145">
        <f>VLOOKUP(K2145,RatingLookup!$A$2:$C$8,3,FALSE)</f>
        <v>0.5</v>
      </c>
      <c r="P2145">
        <f t="shared" si="100"/>
        <v>0.70028383926638149</v>
      </c>
      <c r="Q2145" t="str">
        <f t="shared" ca="1" si="101"/>
        <v>No</v>
      </c>
    </row>
    <row r="2146" spans="1:17" x14ac:dyDescent="0.45">
      <c r="A2146" t="s">
        <v>106</v>
      </c>
      <c r="B2146" t="s">
        <v>107</v>
      </c>
      <c r="C2146" t="s">
        <v>35</v>
      </c>
      <c r="D2146" t="s">
        <v>20</v>
      </c>
      <c r="E2146" t="s">
        <v>21</v>
      </c>
      <c r="F2146" s="1">
        <v>45170</v>
      </c>
      <c r="G2146">
        <v>5.9</v>
      </c>
      <c r="H2146">
        <v>81.053399999999996</v>
      </c>
      <c r="I2146">
        <v>23.96</v>
      </c>
      <c r="J2146">
        <v>94.46</v>
      </c>
      <c r="K2146" t="s">
        <v>30</v>
      </c>
      <c r="L2146">
        <v>1024.68</v>
      </c>
      <c r="M2146">
        <f>VLOOKUP(K2146,RatingLookup!$A$2:$C$8,2,FALSE)</f>
        <v>1.4999999999999999E-2</v>
      </c>
      <c r="N2146">
        <f t="shared" si="99"/>
        <v>1.2586770182638762E-3</v>
      </c>
      <c r="O2146">
        <f>VLOOKUP(K2146,RatingLookup!$A$2:$C$8,3,FALSE)</f>
        <v>0.5</v>
      </c>
      <c r="P2146">
        <f t="shared" si="100"/>
        <v>0.64487058353731441</v>
      </c>
      <c r="Q2146" t="str">
        <f t="shared" ca="1" si="101"/>
        <v>No</v>
      </c>
    </row>
    <row r="2147" spans="1:17" x14ac:dyDescent="0.45">
      <c r="A2147" t="s">
        <v>106</v>
      </c>
      <c r="B2147" t="s">
        <v>107</v>
      </c>
      <c r="C2147" t="s">
        <v>35</v>
      </c>
      <c r="D2147" t="s">
        <v>20</v>
      </c>
      <c r="E2147" t="s">
        <v>21</v>
      </c>
      <c r="F2147" s="1">
        <v>45200</v>
      </c>
      <c r="G2147">
        <v>5.79</v>
      </c>
      <c r="H2147">
        <v>83.560699999999997</v>
      </c>
      <c r="I2147">
        <v>16.059999999999999</v>
      </c>
      <c r="J2147">
        <v>90.49</v>
      </c>
      <c r="K2147" t="s">
        <v>22</v>
      </c>
      <c r="L2147">
        <v>1011.21</v>
      </c>
      <c r="M2147">
        <f>VLOOKUP(K2147,RatingLookup!$A$2:$C$8,2,FALSE)</f>
        <v>5.0000000000000001E-3</v>
      </c>
      <c r="N2147">
        <f t="shared" si="99"/>
        <v>4.1762458919303302E-4</v>
      </c>
      <c r="O2147">
        <f>VLOOKUP(K2147,RatingLookup!$A$2:$C$8,3,FALSE)</f>
        <v>0.45</v>
      </c>
      <c r="P2147">
        <f t="shared" si="100"/>
        <v>0.19003777237704911</v>
      </c>
      <c r="Q2147" t="str">
        <f t="shared" ca="1" si="101"/>
        <v>No</v>
      </c>
    </row>
    <row r="2148" spans="1:17" x14ac:dyDescent="0.45">
      <c r="A2148" t="s">
        <v>106</v>
      </c>
      <c r="B2148" t="s">
        <v>107</v>
      </c>
      <c r="C2148" t="s">
        <v>35</v>
      </c>
      <c r="D2148" t="s">
        <v>20</v>
      </c>
      <c r="E2148" t="s">
        <v>21</v>
      </c>
      <c r="F2148" s="1">
        <v>45231</v>
      </c>
      <c r="G2148">
        <v>4.93</v>
      </c>
      <c r="H2148">
        <v>82.967799999999997</v>
      </c>
      <c r="I2148">
        <v>14.74</v>
      </c>
      <c r="J2148">
        <v>77.31</v>
      </c>
      <c r="K2148" t="s">
        <v>22</v>
      </c>
      <c r="L2148">
        <v>1109.1600000000001</v>
      </c>
      <c r="M2148">
        <f>VLOOKUP(K2148,RatingLookup!$A$2:$C$8,2,FALSE)</f>
        <v>5.0000000000000001E-3</v>
      </c>
      <c r="N2148">
        <f t="shared" si="99"/>
        <v>4.1762458919303302E-4</v>
      </c>
      <c r="O2148">
        <f>VLOOKUP(K2148,RatingLookup!$A$2:$C$8,3,FALSE)</f>
        <v>0.45</v>
      </c>
      <c r="P2148">
        <f t="shared" si="100"/>
        <v>0.20844562020720506</v>
      </c>
      <c r="Q2148" t="str">
        <f t="shared" ca="1" si="101"/>
        <v>No</v>
      </c>
    </row>
    <row r="2149" spans="1:17" x14ac:dyDescent="0.45">
      <c r="A2149" t="s">
        <v>106</v>
      </c>
      <c r="B2149" t="s">
        <v>107</v>
      </c>
      <c r="C2149" t="s">
        <v>35</v>
      </c>
      <c r="D2149" t="s">
        <v>20</v>
      </c>
      <c r="E2149" t="s">
        <v>21</v>
      </c>
      <c r="F2149" s="1">
        <v>45261</v>
      </c>
      <c r="G2149">
        <v>5.43</v>
      </c>
      <c r="H2149">
        <v>84.312299999999993</v>
      </c>
      <c r="I2149">
        <v>12.94</v>
      </c>
      <c r="J2149">
        <v>77.2</v>
      </c>
      <c r="K2149" t="s">
        <v>22</v>
      </c>
      <c r="L2149">
        <v>1076.6099999999999</v>
      </c>
      <c r="M2149">
        <f>VLOOKUP(K2149,RatingLookup!$A$2:$C$8,2,FALSE)</f>
        <v>5.0000000000000001E-3</v>
      </c>
      <c r="N2149">
        <f t="shared" si="99"/>
        <v>4.1762458919303302E-4</v>
      </c>
      <c r="O2149">
        <f>VLOOKUP(K2149,RatingLookup!$A$2:$C$8,3,FALSE)</f>
        <v>0.45</v>
      </c>
      <c r="P2149">
        <f t="shared" si="100"/>
        <v>0.20232846403700006</v>
      </c>
      <c r="Q2149" t="str">
        <f t="shared" ca="1" si="101"/>
        <v>No</v>
      </c>
    </row>
    <row r="2150" spans="1:17" x14ac:dyDescent="0.45">
      <c r="A2150" t="s">
        <v>106</v>
      </c>
      <c r="B2150" t="s">
        <v>107</v>
      </c>
      <c r="C2150" t="s">
        <v>35</v>
      </c>
      <c r="D2150" t="s">
        <v>20</v>
      </c>
      <c r="E2150" t="s">
        <v>21</v>
      </c>
      <c r="F2150" s="1">
        <v>45292</v>
      </c>
      <c r="G2150">
        <v>5.9</v>
      </c>
      <c r="H2150">
        <v>82.188999999999993</v>
      </c>
      <c r="I2150">
        <v>26.74</v>
      </c>
      <c r="J2150">
        <v>84.16</v>
      </c>
      <c r="K2150" t="s">
        <v>22</v>
      </c>
      <c r="L2150">
        <v>1034.1300000000001</v>
      </c>
      <c r="M2150">
        <f>VLOOKUP(K2150,RatingLookup!$A$2:$C$8,2,FALSE)</f>
        <v>5.0000000000000001E-3</v>
      </c>
      <c r="N2150">
        <f t="shared" si="99"/>
        <v>4.1762458919303302E-4</v>
      </c>
      <c r="O2150">
        <f>VLOOKUP(K2150,RatingLookup!$A$2:$C$8,3,FALSE)</f>
        <v>0.45</v>
      </c>
      <c r="P2150">
        <f t="shared" si="100"/>
        <v>0.19434515238998606</v>
      </c>
      <c r="Q2150" t="str">
        <f t="shared" ca="1" si="101"/>
        <v>No</v>
      </c>
    </row>
    <row r="2151" spans="1:17" x14ac:dyDescent="0.45">
      <c r="A2151" t="s">
        <v>106</v>
      </c>
      <c r="B2151" t="s">
        <v>107</v>
      </c>
      <c r="C2151" t="s">
        <v>35</v>
      </c>
      <c r="D2151" t="s">
        <v>20</v>
      </c>
      <c r="E2151" t="s">
        <v>21</v>
      </c>
      <c r="F2151" s="1">
        <v>45323</v>
      </c>
      <c r="G2151">
        <v>5.59</v>
      </c>
      <c r="H2151">
        <v>82.625600000000006</v>
      </c>
      <c r="I2151">
        <v>21.22</v>
      </c>
      <c r="J2151">
        <v>87.8</v>
      </c>
      <c r="K2151" t="s">
        <v>22</v>
      </c>
      <c r="L2151">
        <v>1070.82</v>
      </c>
      <c r="M2151">
        <f>VLOOKUP(K2151,RatingLookup!$A$2:$C$8,2,FALSE)</f>
        <v>5.0000000000000001E-3</v>
      </c>
      <c r="N2151">
        <f t="shared" si="99"/>
        <v>4.1762458919303302E-4</v>
      </c>
      <c r="O2151">
        <f>VLOOKUP(K2151,RatingLookup!$A$2:$C$8,3,FALSE)</f>
        <v>0.45</v>
      </c>
      <c r="P2151">
        <f t="shared" si="100"/>
        <v>0.20124034316985762</v>
      </c>
      <c r="Q2151" t="str">
        <f t="shared" ca="1" si="101"/>
        <v>No</v>
      </c>
    </row>
    <row r="2152" spans="1:17" x14ac:dyDescent="0.45">
      <c r="A2152" t="s">
        <v>106</v>
      </c>
      <c r="B2152" t="s">
        <v>107</v>
      </c>
      <c r="C2152" t="s">
        <v>35</v>
      </c>
      <c r="D2152" t="s">
        <v>20</v>
      </c>
      <c r="E2152" t="s">
        <v>21</v>
      </c>
      <c r="F2152" s="1">
        <v>45352</v>
      </c>
      <c r="G2152">
        <v>5.82</v>
      </c>
      <c r="H2152">
        <v>82.412400000000005</v>
      </c>
      <c r="I2152">
        <v>21.34</v>
      </c>
      <c r="J2152">
        <v>74.52</v>
      </c>
      <c r="K2152" t="s">
        <v>30</v>
      </c>
      <c r="L2152">
        <v>1058.24</v>
      </c>
      <c r="M2152">
        <f>VLOOKUP(K2152,RatingLookup!$A$2:$C$8,2,FALSE)</f>
        <v>1.4999999999999999E-2</v>
      </c>
      <c r="N2152">
        <f t="shared" si="99"/>
        <v>1.2586770182638762E-3</v>
      </c>
      <c r="O2152">
        <f>VLOOKUP(K2152,RatingLookup!$A$2:$C$8,3,FALSE)</f>
        <v>0.5</v>
      </c>
      <c r="P2152">
        <f t="shared" si="100"/>
        <v>0.6659911839037822</v>
      </c>
      <c r="Q2152" t="str">
        <f t="shared" ca="1" si="101"/>
        <v>No</v>
      </c>
    </row>
    <row r="2153" spans="1:17" x14ac:dyDescent="0.45">
      <c r="A2153" t="s">
        <v>106</v>
      </c>
      <c r="B2153" t="s">
        <v>107</v>
      </c>
      <c r="C2153" t="s">
        <v>35</v>
      </c>
      <c r="D2153" t="s">
        <v>20</v>
      </c>
      <c r="E2153" t="s">
        <v>21</v>
      </c>
      <c r="F2153" s="1">
        <v>45383</v>
      </c>
      <c r="G2153">
        <v>5.91</v>
      </c>
      <c r="H2153">
        <v>86.429100000000005</v>
      </c>
      <c r="I2153">
        <v>10.36</v>
      </c>
      <c r="J2153">
        <v>57.97</v>
      </c>
      <c r="K2153" t="s">
        <v>30</v>
      </c>
      <c r="L2153">
        <v>942.53</v>
      </c>
      <c r="M2153">
        <f>VLOOKUP(K2153,RatingLookup!$A$2:$C$8,2,FALSE)</f>
        <v>1.4999999999999999E-2</v>
      </c>
      <c r="N2153">
        <f t="shared" si="99"/>
        <v>1.2586770182638762E-3</v>
      </c>
      <c r="O2153">
        <f>VLOOKUP(K2153,RatingLookup!$A$2:$C$8,3,FALSE)</f>
        <v>0.5</v>
      </c>
      <c r="P2153">
        <f t="shared" si="100"/>
        <v>0.59317042501212558</v>
      </c>
      <c r="Q2153" t="str">
        <f t="shared" ca="1" si="101"/>
        <v>No</v>
      </c>
    </row>
    <row r="2154" spans="1:17" x14ac:dyDescent="0.45">
      <c r="A2154" t="s">
        <v>106</v>
      </c>
      <c r="B2154" t="s">
        <v>107</v>
      </c>
      <c r="C2154" t="s">
        <v>35</v>
      </c>
      <c r="D2154" t="s">
        <v>20</v>
      </c>
      <c r="E2154" t="s">
        <v>21</v>
      </c>
      <c r="F2154" s="1">
        <v>45413</v>
      </c>
      <c r="G2154">
        <v>5.14</v>
      </c>
      <c r="H2154">
        <v>85.353700000000003</v>
      </c>
      <c r="I2154">
        <v>11.78</v>
      </c>
      <c r="J2154">
        <v>88.66</v>
      </c>
      <c r="K2154" t="s">
        <v>30</v>
      </c>
      <c r="L2154">
        <v>1059.29</v>
      </c>
      <c r="M2154">
        <f>VLOOKUP(K2154,RatingLookup!$A$2:$C$8,2,FALSE)</f>
        <v>1.4999999999999999E-2</v>
      </c>
      <c r="N2154">
        <f t="shared" si="99"/>
        <v>1.2586770182638762E-3</v>
      </c>
      <c r="O2154">
        <f>VLOOKUP(K2154,RatingLookup!$A$2:$C$8,3,FALSE)</f>
        <v>0.5</v>
      </c>
      <c r="P2154">
        <f t="shared" si="100"/>
        <v>0.66665198933837067</v>
      </c>
      <c r="Q2154" t="str">
        <f t="shared" ca="1" si="101"/>
        <v>No</v>
      </c>
    </row>
    <row r="2155" spans="1:17" x14ac:dyDescent="0.45">
      <c r="A2155" t="s">
        <v>106</v>
      </c>
      <c r="B2155" t="s">
        <v>107</v>
      </c>
      <c r="C2155" t="s">
        <v>35</v>
      </c>
      <c r="D2155" t="s">
        <v>20</v>
      </c>
      <c r="E2155" t="s">
        <v>21</v>
      </c>
      <c r="F2155" s="1">
        <v>45444</v>
      </c>
      <c r="G2155">
        <v>4.6399999999999997</v>
      </c>
      <c r="H2155">
        <v>83.464500000000001</v>
      </c>
      <c r="I2155">
        <v>19.41</v>
      </c>
      <c r="J2155">
        <v>66.83</v>
      </c>
      <c r="K2155" t="s">
        <v>30</v>
      </c>
      <c r="L2155">
        <v>1036.67</v>
      </c>
      <c r="M2155">
        <f>VLOOKUP(K2155,RatingLookup!$A$2:$C$8,2,FALSE)</f>
        <v>1.4999999999999999E-2</v>
      </c>
      <c r="N2155">
        <f t="shared" si="99"/>
        <v>1.2586770182638762E-3</v>
      </c>
      <c r="O2155">
        <f>VLOOKUP(K2155,RatingLookup!$A$2:$C$8,3,FALSE)</f>
        <v>0.5</v>
      </c>
      <c r="P2155">
        <f t="shared" si="100"/>
        <v>0.65241635226180639</v>
      </c>
      <c r="Q2155" t="str">
        <f t="shared" ca="1" si="101"/>
        <v>No</v>
      </c>
    </row>
    <row r="2156" spans="1:17" x14ac:dyDescent="0.45">
      <c r="A2156" t="s">
        <v>106</v>
      </c>
      <c r="B2156" t="s">
        <v>107</v>
      </c>
      <c r="C2156" t="s">
        <v>35</v>
      </c>
      <c r="D2156" t="s">
        <v>20</v>
      </c>
      <c r="E2156" t="s">
        <v>21</v>
      </c>
      <c r="F2156" s="1">
        <v>45474</v>
      </c>
      <c r="G2156">
        <v>5.28</v>
      </c>
      <c r="H2156">
        <v>84.224400000000003</v>
      </c>
      <c r="I2156">
        <v>20.68</v>
      </c>
      <c r="J2156">
        <v>79.87</v>
      </c>
      <c r="K2156" t="s">
        <v>30</v>
      </c>
      <c r="L2156">
        <v>1080.3699999999999</v>
      </c>
      <c r="M2156">
        <f>VLOOKUP(K2156,RatingLookup!$A$2:$C$8,2,FALSE)</f>
        <v>1.4999999999999999E-2</v>
      </c>
      <c r="N2156">
        <f t="shared" si="99"/>
        <v>1.2586770182638762E-3</v>
      </c>
      <c r="O2156">
        <f>VLOOKUP(K2156,RatingLookup!$A$2:$C$8,3,FALSE)</f>
        <v>0.5</v>
      </c>
      <c r="P2156">
        <f t="shared" si="100"/>
        <v>0.67991844511087196</v>
      </c>
      <c r="Q2156" t="str">
        <f t="shared" ca="1" si="101"/>
        <v>No</v>
      </c>
    </row>
    <row r="2157" spans="1:17" x14ac:dyDescent="0.45">
      <c r="A2157" t="s">
        <v>106</v>
      </c>
      <c r="B2157" t="s">
        <v>107</v>
      </c>
      <c r="C2157" t="s">
        <v>35</v>
      </c>
      <c r="D2157" t="s">
        <v>20</v>
      </c>
      <c r="E2157" t="s">
        <v>21</v>
      </c>
      <c r="F2157" s="1">
        <v>45505</v>
      </c>
      <c r="G2157">
        <v>4.9400000000000004</v>
      </c>
      <c r="H2157">
        <v>82.964699999999993</v>
      </c>
      <c r="I2157">
        <v>27.65</v>
      </c>
      <c r="J2157">
        <v>77.3</v>
      </c>
      <c r="K2157" t="s">
        <v>30</v>
      </c>
      <c r="L2157">
        <v>1129.47</v>
      </c>
      <c r="M2157">
        <f>VLOOKUP(K2157,RatingLookup!$A$2:$C$8,2,FALSE)</f>
        <v>1.4999999999999999E-2</v>
      </c>
      <c r="N2157">
        <f t="shared" si="99"/>
        <v>1.2586770182638762E-3</v>
      </c>
      <c r="O2157">
        <f>VLOOKUP(K2157,RatingLookup!$A$2:$C$8,3,FALSE)</f>
        <v>0.5</v>
      </c>
      <c r="P2157">
        <f t="shared" si="100"/>
        <v>0.7108189659092502</v>
      </c>
      <c r="Q2157" t="str">
        <f t="shared" ca="1" si="101"/>
        <v>No</v>
      </c>
    </row>
    <row r="2158" spans="1:17" x14ac:dyDescent="0.45">
      <c r="A2158" t="s">
        <v>106</v>
      </c>
      <c r="B2158" t="s">
        <v>107</v>
      </c>
      <c r="C2158" t="s">
        <v>35</v>
      </c>
      <c r="D2158" t="s">
        <v>20</v>
      </c>
      <c r="E2158" t="s">
        <v>21</v>
      </c>
      <c r="F2158" s="1">
        <v>45536</v>
      </c>
      <c r="G2158">
        <v>5.32</v>
      </c>
      <c r="H2158">
        <v>80.408199999999994</v>
      </c>
      <c r="I2158">
        <v>23.11</v>
      </c>
      <c r="J2158">
        <v>85.24</v>
      </c>
      <c r="K2158" t="s">
        <v>30</v>
      </c>
      <c r="L2158">
        <v>1188.6600000000001</v>
      </c>
      <c r="M2158">
        <f>VLOOKUP(K2158,RatingLookup!$A$2:$C$8,2,FALSE)</f>
        <v>1.4999999999999999E-2</v>
      </c>
      <c r="N2158">
        <f t="shared" si="99"/>
        <v>1.2586770182638762E-3</v>
      </c>
      <c r="O2158">
        <f>VLOOKUP(K2158,RatingLookup!$A$2:$C$8,3,FALSE)</f>
        <v>0.5</v>
      </c>
      <c r="P2158">
        <f t="shared" si="100"/>
        <v>0.74806951226476959</v>
      </c>
      <c r="Q2158" t="str">
        <f t="shared" ca="1" si="101"/>
        <v>No</v>
      </c>
    </row>
    <row r="2159" spans="1:17" x14ac:dyDescent="0.45">
      <c r="A2159" t="s">
        <v>106</v>
      </c>
      <c r="B2159" t="s">
        <v>107</v>
      </c>
      <c r="C2159" t="s">
        <v>35</v>
      </c>
      <c r="D2159" t="s">
        <v>20</v>
      </c>
      <c r="E2159" t="s">
        <v>21</v>
      </c>
      <c r="F2159" s="1">
        <v>45566</v>
      </c>
      <c r="G2159">
        <v>4.91</v>
      </c>
      <c r="H2159">
        <v>85.785499999999999</v>
      </c>
      <c r="I2159">
        <v>22.32</v>
      </c>
      <c r="J2159">
        <v>77.819999999999993</v>
      </c>
      <c r="K2159" t="s">
        <v>30</v>
      </c>
      <c r="L2159">
        <v>1004.72</v>
      </c>
      <c r="M2159">
        <f>VLOOKUP(K2159,RatingLookup!$A$2:$C$8,2,FALSE)</f>
        <v>1.4999999999999999E-2</v>
      </c>
      <c r="N2159">
        <f t="shared" si="99"/>
        <v>1.2586770182638762E-3</v>
      </c>
      <c r="O2159">
        <f>VLOOKUP(K2159,RatingLookup!$A$2:$C$8,3,FALSE)</f>
        <v>0.5</v>
      </c>
      <c r="P2159">
        <f t="shared" si="100"/>
        <v>0.63230898689504089</v>
      </c>
      <c r="Q2159" t="str">
        <f t="shared" ca="1" si="101"/>
        <v>No</v>
      </c>
    </row>
    <row r="2160" spans="1:17" x14ac:dyDescent="0.45">
      <c r="A2160" t="s">
        <v>106</v>
      </c>
      <c r="B2160" t="s">
        <v>107</v>
      </c>
      <c r="C2160" t="s">
        <v>35</v>
      </c>
      <c r="D2160" t="s">
        <v>20</v>
      </c>
      <c r="E2160" t="s">
        <v>21</v>
      </c>
      <c r="F2160" s="1">
        <v>45597</v>
      </c>
      <c r="G2160">
        <v>5.71</v>
      </c>
      <c r="H2160">
        <v>84.096100000000007</v>
      </c>
      <c r="I2160">
        <v>22.95</v>
      </c>
      <c r="J2160">
        <v>77.91</v>
      </c>
      <c r="K2160" t="s">
        <v>30</v>
      </c>
      <c r="L2160">
        <v>1076.32</v>
      </c>
      <c r="M2160">
        <f>VLOOKUP(K2160,RatingLookup!$A$2:$C$8,2,FALSE)</f>
        <v>1.4999999999999999E-2</v>
      </c>
      <c r="N2160">
        <f t="shared" si="99"/>
        <v>1.2586770182638762E-3</v>
      </c>
      <c r="O2160">
        <f>VLOOKUP(K2160,RatingLookup!$A$2:$C$8,3,FALSE)</f>
        <v>0.5</v>
      </c>
      <c r="P2160">
        <f t="shared" si="100"/>
        <v>0.67736962414888757</v>
      </c>
      <c r="Q2160" t="str">
        <f t="shared" ca="1" si="101"/>
        <v>No</v>
      </c>
    </row>
    <row r="2161" spans="1:17" x14ac:dyDescent="0.45">
      <c r="A2161" t="s">
        <v>106</v>
      </c>
      <c r="B2161" t="s">
        <v>107</v>
      </c>
      <c r="C2161" t="s">
        <v>35</v>
      </c>
      <c r="D2161" t="s">
        <v>20</v>
      </c>
      <c r="E2161" t="s">
        <v>21</v>
      </c>
      <c r="F2161" s="1">
        <v>45627</v>
      </c>
      <c r="G2161">
        <v>4.57</v>
      </c>
      <c r="H2161">
        <v>83.629599999999996</v>
      </c>
      <c r="I2161">
        <v>22.03</v>
      </c>
      <c r="J2161">
        <v>74.92</v>
      </c>
      <c r="K2161" t="s">
        <v>30</v>
      </c>
      <c r="L2161">
        <v>1025.06</v>
      </c>
      <c r="M2161">
        <f>VLOOKUP(K2161,RatingLookup!$A$2:$C$8,2,FALSE)</f>
        <v>1.4999999999999999E-2</v>
      </c>
      <c r="N2161">
        <f t="shared" si="99"/>
        <v>1.2586770182638762E-3</v>
      </c>
      <c r="O2161">
        <f>VLOOKUP(K2161,RatingLookup!$A$2:$C$8,3,FALSE)</f>
        <v>0.5</v>
      </c>
      <c r="P2161">
        <f t="shared" si="100"/>
        <v>0.64510973217078449</v>
      </c>
      <c r="Q2161" t="str">
        <f t="shared" ca="1" si="101"/>
        <v>No</v>
      </c>
    </row>
    <row r="2162" spans="1:17" x14ac:dyDescent="0.45">
      <c r="A2162" t="s">
        <v>108</v>
      </c>
      <c r="B2162" t="s">
        <v>109</v>
      </c>
      <c r="C2162" t="s">
        <v>85</v>
      </c>
      <c r="D2162" t="s">
        <v>20</v>
      </c>
      <c r="E2162" t="s">
        <v>21</v>
      </c>
      <c r="F2162" s="1">
        <v>43831</v>
      </c>
      <c r="G2162">
        <v>5.91</v>
      </c>
      <c r="H2162">
        <v>81.377200000000002</v>
      </c>
      <c r="I2162">
        <v>8.0399999999999991</v>
      </c>
      <c r="J2162">
        <v>79.010000000000005</v>
      </c>
      <c r="K2162" t="s">
        <v>22</v>
      </c>
      <c r="L2162">
        <v>215.3</v>
      </c>
      <c r="M2162">
        <f>VLOOKUP(K2162,RatingLookup!$A$2:$C$8,2,FALSE)</f>
        <v>5.0000000000000001E-3</v>
      </c>
      <c r="N2162">
        <f t="shared" si="99"/>
        <v>4.1762458919303302E-4</v>
      </c>
      <c r="O2162">
        <f>VLOOKUP(K2162,RatingLookup!$A$2:$C$8,3,FALSE)</f>
        <v>0.45</v>
      </c>
      <c r="P2162">
        <f t="shared" si="100"/>
        <v>4.0461558323967008E-2</v>
      </c>
      <c r="Q2162" t="str">
        <f t="shared" ca="1" si="101"/>
        <v>No</v>
      </c>
    </row>
    <row r="2163" spans="1:17" x14ac:dyDescent="0.45">
      <c r="A2163" t="s">
        <v>108</v>
      </c>
      <c r="B2163" t="s">
        <v>109</v>
      </c>
      <c r="C2163" t="s">
        <v>85</v>
      </c>
      <c r="D2163" t="s">
        <v>20</v>
      </c>
      <c r="E2163" t="s">
        <v>21</v>
      </c>
      <c r="F2163" s="1">
        <v>43862</v>
      </c>
      <c r="G2163">
        <v>5.79</v>
      </c>
      <c r="H2163">
        <v>85.421999999999997</v>
      </c>
      <c r="I2163">
        <v>18.190000000000001</v>
      </c>
      <c r="J2163">
        <v>70.78</v>
      </c>
      <c r="K2163" t="s">
        <v>22</v>
      </c>
      <c r="L2163">
        <v>224.12</v>
      </c>
      <c r="M2163">
        <f>VLOOKUP(K2163,RatingLookup!$A$2:$C$8,2,FALSE)</f>
        <v>5.0000000000000001E-3</v>
      </c>
      <c r="N2163">
        <f t="shared" si="99"/>
        <v>4.1762458919303302E-4</v>
      </c>
      <c r="O2163">
        <f>VLOOKUP(K2163,RatingLookup!$A$2:$C$8,3,FALSE)</f>
        <v>0.45</v>
      </c>
      <c r="P2163">
        <f t="shared" si="100"/>
        <v>4.2119110318474151E-2</v>
      </c>
      <c r="Q2163" t="str">
        <f t="shared" ca="1" si="101"/>
        <v>No</v>
      </c>
    </row>
    <row r="2164" spans="1:17" x14ac:dyDescent="0.45">
      <c r="A2164" t="s">
        <v>108</v>
      </c>
      <c r="B2164" t="s">
        <v>109</v>
      </c>
      <c r="C2164" t="s">
        <v>85</v>
      </c>
      <c r="D2164" t="s">
        <v>20</v>
      </c>
      <c r="E2164" t="s">
        <v>21</v>
      </c>
      <c r="F2164" s="1">
        <v>43891</v>
      </c>
      <c r="G2164">
        <v>5.7</v>
      </c>
      <c r="H2164">
        <v>84.417199999999994</v>
      </c>
      <c r="I2164">
        <v>15.56</v>
      </c>
      <c r="J2164">
        <v>76.02</v>
      </c>
      <c r="K2164" t="s">
        <v>22</v>
      </c>
      <c r="L2164">
        <v>213.26</v>
      </c>
      <c r="M2164">
        <f>VLOOKUP(K2164,RatingLookup!$A$2:$C$8,2,FALSE)</f>
        <v>5.0000000000000001E-3</v>
      </c>
      <c r="N2164">
        <f t="shared" si="99"/>
        <v>4.1762458919303302E-4</v>
      </c>
      <c r="O2164">
        <f>VLOOKUP(K2164,RatingLookup!$A$2:$C$8,3,FALSE)</f>
        <v>0.45</v>
      </c>
      <c r="P2164">
        <f t="shared" si="100"/>
        <v>4.0078178951087798E-2</v>
      </c>
      <c r="Q2164" t="str">
        <f t="shared" ca="1" si="101"/>
        <v>No</v>
      </c>
    </row>
    <row r="2165" spans="1:17" x14ac:dyDescent="0.45">
      <c r="A2165" t="s">
        <v>108</v>
      </c>
      <c r="B2165" t="s">
        <v>109</v>
      </c>
      <c r="C2165" t="s">
        <v>85</v>
      </c>
      <c r="D2165" t="s">
        <v>20</v>
      </c>
      <c r="E2165" t="s">
        <v>21</v>
      </c>
      <c r="F2165" s="1">
        <v>43922</v>
      </c>
      <c r="G2165">
        <v>4.42</v>
      </c>
      <c r="H2165">
        <v>84.381100000000004</v>
      </c>
      <c r="I2165">
        <v>25.77</v>
      </c>
      <c r="J2165">
        <v>70.63</v>
      </c>
      <c r="K2165" t="s">
        <v>22</v>
      </c>
      <c r="L2165">
        <v>222.06</v>
      </c>
      <c r="M2165">
        <f>VLOOKUP(K2165,RatingLookup!$A$2:$C$8,2,FALSE)</f>
        <v>5.0000000000000001E-3</v>
      </c>
      <c r="N2165">
        <f t="shared" si="99"/>
        <v>4.1762458919303302E-4</v>
      </c>
      <c r="O2165">
        <f>VLOOKUP(K2165,RatingLookup!$A$2:$C$8,3,FALSE)</f>
        <v>0.45</v>
      </c>
      <c r="P2165">
        <f t="shared" si="100"/>
        <v>4.1731972324292217E-2</v>
      </c>
      <c r="Q2165" t="str">
        <f t="shared" ca="1" si="101"/>
        <v>No</v>
      </c>
    </row>
    <row r="2166" spans="1:17" x14ac:dyDescent="0.45">
      <c r="A2166" t="s">
        <v>108</v>
      </c>
      <c r="B2166" t="s">
        <v>109</v>
      </c>
      <c r="C2166" t="s">
        <v>85</v>
      </c>
      <c r="D2166" t="s">
        <v>20</v>
      </c>
      <c r="E2166" t="s">
        <v>21</v>
      </c>
      <c r="F2166" s="1">
        <v>43952</v>
      </c>
      <c r="G2166">
        <v>4.45</v>
      </c>
      <c r="H2166">
        <v>81.707999999999998</v>
      </c>
      <c r="I2166">
        <v>8.9</v>
      </c>
      <c r="J2166">
        <v>62.86</v>
      </c>
      <c r="K2166" t="s">
        <v>22</v>
      </c>
      <c r="L2166">
        <v>213.14</v>
      </c>
      <c r="M2166">
        <f>VLOOKUP(K2166,RatingLookup!$A$2:$C$8,2,FALSE)</f>
        <v>5.0000000000000001E-3</v>
      </c>
      <c r="N2166">
        <f t="shared" si="99"/>
        <v>4.1762458919303302E-4</v>
      </c>
      <c r="O2166">
        <f>VLOOKUP(K2166,RatingLookup!$A$2:$C$8,3,FALSE)</f>
        <v>0.45</v>
      </c>
      <c r="P2166">
        <f t="shared" si="100"/>
        <v>4.0055627223271377E-2</v>
      </c>
      <c r="Q2166" t="str">
        <f t="shared" ca="1" si="101"/>
        <v>No</v>
      </c>
    </row>
    <row r="2167" spans="1:17" x14ac:dyDescent="0.45">
      <c r="A2167" t="s">
        <v>108</v>
      </c>
      <c r="B2167" t="s">
        <v>109</v>
      </c>
      <c r="C2167" t="s">
        <v>85</v>
      </c>
      <c r="D2167" t="s">
        <v>20</v>
      </c>
      <c r="E2167" t="s">
        <v>21</v>
      </c>
      <c r="F2167" s="1">
        <v>43983</v>
      </c>
      <c r="G2167">
        <v>5.08</v>
      </c>
      <c r="H2167">
        <v>82.947400000000002</v>
      </c>
      <c r="I2167">
        <v>28.15</v>
      </c>
      <c r="J2167">
        <v>69.28</v>
      </c>
      <c r="K2167" t="s">
        <v>22</v>
      </c>
      <c r="L2167">
        <v>211.22</v>
      </c>
      <c r="M2167">
        <f>VLOOKUP(K2167,RatingLookup!$A$2:$C$8,2,FALSE)</f>
        <v>5.0000000000000001E-3</v>
      </c>
      <c r="N2167">
        <f t="shared" si="99"/>
        <v>4.1762458919303302E-4</v>
      </c>
      <c r="O2167">
        <f>VLOOKUP(K2167,RatingLookup!$A$2:$C$8,3,FALSE)</f>
        <v>0.45</v>
      </c>
      <c r="P2167">
        <f t="shared" si="100"/>
        <v>3.9694799578208595E-2</v>
      </c>
      <c r="Q2167" t="str">
        <f t="shared" ca="1" si="101"/>
        <v>No</v>
      </c>
    </row>
    <row r="2168" spans="1:17" x14ac:dyDescent="0.45">
      <c r="A2168" t="s">
        <v>108</v>
      </c>
      <c r="B2168" t="s">
        <v>109</v>
      </c>
      <c r="C2168" t="s">
        <v>85</v>
      </c>
      <c r="D2168" t="s">
        <v>20</v>
      </c>
      <c r="E2168" t="s">
        <v>21</v>
      </c>
      <c r="F2168" s="1">
        <v>44013</v>
      </c>
      <c r="G2168">
        <v>5.07</v>
      </c>
      <c r="H2168">
        <v>81.008899999999997</v>
      </c>
      <c r="I2168">
        <v>23.41</v>
      </c>
      <c r="J2168">
        <v>57.92</v>
      </c>
      <c r="K2168" t="s">
        <v>22</v>
      </c>
      <c r="L2168">
        <v>205.46</v>
      </c>
      <c r="M2168">
        <f>VLOOKUP(K2168,RatingLookup!$A$2:$C$8,2,FALSE)</f>
        <v>5.0000000000000001E-3</v>
      </c>
      <c r="N2168">
        <f t="shared" si="99"/>
        <v>4.1762458919303302E-4</v>
      </c>
      <c r="O2168">
        <f>VLOOKUP(K2168,RatingLookup!$A$2:$C$8,3,FALSE)</f>
        <v>0.45</v>
      </c>
      <c r="P2168">
        <f t="shared" si="100"/>
        <v>3.8612316643020256E-2</v>
      </c>
      <c r="Q2168" t="str">
        <f t="shared" ca="1" si="101"/>
        <v>No</v>
      </c>
    </row>
    <row r="2169" spans="1:17" x14ac:dyDescent="0.45">
      <c r="A2169" t="s">
        <v>108</v>
      </c>
      <c r="B2169" t="s">
        <v>109</v>
      </c>
      <c r="C2169" t="s">
        <v>85</v>
      </c>
      <c r="D2169" t="s">
        <v>20</v>
      </c>
      <c r="E2169" t="s">
        <v>21</v>
      </c>
      <c r="F2169" s="1">
        <v>44044</v>
      </c>
      <c r="G2169">
        <v>6.42</v>
      </c>
      <c r="H2169">
        <v>85.964799999999997</v>
      </c>
      <c r="I2169">
        <v>29.6</v>
      </c>
      <c r="J2169">
        <v>83.69</v>
      </c>
      <c r="K2169" t="s">
        <v>22</v>
      </c>
      <c r="L2169">
        <v>227.62</v>
      </c>
      <c r="M2169">
        <f>VLOOKUP(K2169,RatingLookup!$A$2:$C$8,2,FALSE)</f>
        <v>5.0000000000000001E-3</v>
      </c>
      <c r="N2169">
        <f t="shared" si="99"/>
        <v>4.1762458919303302E-4</v>
      </c>
      <c r="O2169">
        <f>VLOOKUP(K2169,RatingLookup!$A$2:$C$8,3,FALSE)</f>
        <v>0.45</v>
      </c>
      <c r="P2169">
        <f t="shared" si="100"/>
        <v>4.2776869046453177E-2</v>
      </c>
      <c r="Q2169" t="str">
        <f t="shared" ca="1" si="101"/>
        <v>No</v>
      </c>
    </row>
    <row r="2170" spans="1:17" x14ac:dyDescent="0.45">
      <c r="A2170" t="s">
        <v>108</v>
      </c>
      <c r="B2170" t="s">
        <v>109</v>
      </c>
      <c r="C2170" t="s">
        <v>85</v>
      </c>
      <c r="D2170" t="s">
        <v>20</v>
      </c>
      <c r="E2170" t="s">
        <v>21</v>
      </c>
      <c r="F2170" s="1">
        <v>44075</v>
      </c>
      <c r="G2170">
        <v>6.53</v>
      </c>
      <c r="H2170">
        <v>81.500399999999999</v>
      </c>
      <c r="I2170">
        <v>6.9</v>
      </c>
      <c r="J2170">
        <v>79.98</v>
      </c>
      <c r="K2170" t="s">
        <v>22</v>
      </c>
      <c r="L2170">
        <v>212.95</v>
      </c>
      <c r="M2170">
        <f>VLOOKUP(K2170,RatingLookup!$A$2:$C$8,2,FALSE)</f>
        <v>5.0000000000000001E-3</v>
      </c>
      <c r="N2170">
        <f t="shared" si="99"/>
        <v>4.1762458919303302E-4</v>
      </c>
      <c r="O2170">
        <f>VLOOKUP(K2170,RatingLookup!$A$2:$C$8,3,FALSE)</f>
        <v>0.45</v>
      </c>
      <c r="P2170">
        <f t="shared" si="100"/>
        <v>4.0019920320895366E-2</v>
      </c>
      <c r="Q2170" t="str">
        <f t="shared" ca="1" si="101"/>
        <v>No</v>
      </c>
    </row>
    <row r="2171" spans="1:17" x14ac:dyDescent="0.45">
      <c r="A2171" t="s">
        <v>108</v>
      </c>
      <c r="B2171" t="s">
        <v>109</v>
      </c>
      <c r="C2171" t="s">
        <v>85</v>
      </c>
      <c r="D2171" t="s">
        <v>20</v>
      </c>
      <c r="E2171" t="s">
        <v>21</v>
      </c>
      <c r="F2171" s="1">
        <v>44105</v>
      </c>
      <c r="G2171">
        <v>5.55</v>
      </c>
      <c r="H2171">
        <v>82.936400000000006</v>
      </c>
      <c r="I2171">
        <v>16.36</v>
      </c>
      <c r="J2171">
        <v>71.33</v>
      </c>
      <c r="K2171" t="s">
        <v>22</v>
      </c>
      <c r="L2171">
        <v>219.55</v>
      </c>
      <c r="M2171">
        <f>VLOOKUP(K2171,RatingLookup!$A$2:$C$8,2,FALSE)</f>
        <v>5.0000000000000001E-3</v>
      </c>
      <c r="N2171">
        <f t="shared" si="99"/>
        <v>4.1762458919303302E-4</v>
      </c>
      <c r="O2171">
        <f>VLOOKUP(K2171,RatingLookup!$A$2:$C$8,3,FALSE)</f>
        <v>0.45</v>
      </c>
      <c r="P2171">
        <f t="shared" si="100"/>
        <v>4.1260265350798686E-2</v>
      </c>
      <c r="Q2171" t="str">
        <f t="shared" ca="1" si="101"/>
        <v>No</v>
      </c>
    </row>
    <row r="2172" spans="1:17" x14ac:dyDescent="0.45">
      <c r="A2172" t="s">
        <v>108</v>
      </c>
      <c r="B2172" t="s">
        <v>109</v>
      </c>
      <c r="C2172" t="s">
        <v>85</v>
      </c>
      <c r="D2172" t="s">
        <v>20</v>
      </c>
      <c r="E2172" t="s">
        <v>21</v>
      </c>
      <c r="F2172" s="1">
        <v>44136</v>
      </c>
      <c r="G2172">
        <v>5.23</v>
      </c>
      <c r="H2172">
        <v>84.413600000000002</v>
      </c>
      <c r="I2172">
        <v>6.93</v>
      </c>
      <c r="J2172">
        <v>69.53</v>
      </c>
      <c r="K2172" t="s">
        <v>22</v>
      </c>
      <c r="L2172">
        <v>227.7</v>
      </c>
      <c r="M2172">
        <f>VLOOKUP(K2172,RatingLookup!$A$2:$C$8,2,FALSE)</f>
        <v>5.0000000000000001E-3</v>
      </c>
      <c r="N2172">
        <f t="shared" si="99"/>
        <v>4.1762458919303302E-4</v>
      </c>
      <c r="O2172">
        <f>VLOOKUP(K2172,RatingLookup!$A$2:$C$8,3,FALSE)</f>
        <v>0.45</v>
      </c>
      <c r="P2172">
        <f t="shared" si="100"/>
        <v>4.2791903531664129E-2</v>
      </c>
      <c r="Q2172" t="str">
        <f t="shared" ca="1" si="101"/>
        <v>No</v>
      </c>
    </row>
    <row r="2173" spans="1:17" x14ac:dyDescent="0.45">
      <c r="A2173" t="s">
        <v>108</v>
      </c>
      <c r="B2173" t="s">
        <v>109</v>
      </c>
      <c r="C2173" t="s">
        <v>85</v>
      </c>
      <c r="D2173" t="s">
        <v>20</v>
      </c>
      <c r="E2173" t="s">
        <v>21</v>
      </c>
      <c r="F2173" s="1">
        <v>44166</v>
      </c>
      <c r="G2173">
        <v>5</v>
      </c>
      <c r="H2173">
        <v>82.616</v>
      </c>
      <c r="I2173">
        <v>31.06</v>
      </c>
      <c r="J2173">
        <v>90.1</v>
      </c>
      <c r="K2173" t="s">
        <v>22</v>
      </c>
      <c r="L2173">
        <v>209.02</v>
      </c>
      <c r="M2173">
        <f>VLOOKUP(K2173,RatingLookup!$A$2:$C$8,2,FALSE)</f>
        <v>5.0000000000000001E-3</v>
      </c>
      <c r="N2173">
        <f t="shared" si="99"/>
        <v>4.1762458919303302E-4</v>
      </c>
      <c r="O2173">
        <f>VLOOKUP(K2173,RatingLookup!$A$2:$C$8,3,FALSE)</f>
        <v>0.45</v>
      </c>
      <c r="P2173">
        <f t="shared" si="100"/>
        <v>3.9281351234907495E-2</v>
      </c>
      <c r="Q2173" t="str">
        <f t="shared" ca="1" si="101"/>
        <v>No</v>
      </c>
    </row>
    <row r="2174" spans="1:17" x14ac:dyDescent="0.45">
      <c r="A2174" t="s">
        <v>108</v>
      </c>
      <c r="B2174" t="s">
        <v>109</v>
      </c>
      <c r="C2174" t="s">
        <v>85</v>
      </c>
      <c r="D2174" t="s">
        <v>20</v>
      </c>
      <c r="E2174" t="s">
        <v>21</v>
      </c>
      <c r="F2174" s="1">
        <v>44197</v>
      </c>
      <c r="G2174">
        <v>4.74</v>
      </c>
      <c r="H2174">
        <v>80.730199999999996</v>
      </c>
      <c r="I2174">
        <v>20.52</v>
      </c>
      <c r="J2174">
        <v>79.66</v>
      </c>
      <c r="K2174" t="s">
        <v>22</v>
      </c>
      <c r="L2174">
        <v>223.57</v>
      </c>
      <c r="M2174">
        <f>VLOOKUP(K2174,RatingLookup!$A$2:$C$8,2,FALSE)</f>
        <v>5.0000000000000001E-3</v>
      </c>
      <c r="N2174">
        <f t="shared" si="99"/>
        <v>4.1762458919303302E-4</v>
      </c>
      <c r="O2174">
        <f>VLOOKUP(K2174,RatingLookup!$A$2:$C$8,3,FALSE)</f>
        <v>0.45</v>
      </c>
      <c r="P2174">
        <f t="shared" si="100"/>
        <v>4.2015748232648878E-2</v>
      </c>
      <c r="Q2174" t="str">
        <f t="shared" ca="1" si="101"/>
        <v>No</v>
      </c>
    </row>
    <row r="2175" spans="1:17" x14ac:dyDescent="0.45">
      <c r="A2175" t="s">
        <v>108</v>
      </c>
      <c r="B2175" t="s">
        <v>109</v>
      </c>
      <c r="C2175" t="s">
        <v>85</v>
      </c>
      <c r="D2175" t="s">
        <v>20</v>
      </c>
      <c r="E2175" t="s">
        <v>21</v>
      </c>
      <c r="F2175" s="1">
        <v>44228</v>
      </c>
      <c r="G2175">
        <v>4.9400000000000004</v>
      </c>
      <c r="H2175">
        <v>87.237300000000005</v>
      </c>
      <c r="I2175">
        <v>11.68</v>
      </c>
      <c r="J2175">
        <v>75.58</v>
      </c>
      <c r="K2175" t="s">
        <v>22</v>
      </c>
      <c r="L2175">
        <v>212.72</v>
      </c>
      <c r="M2175">
        <f>VLOOKUP(K2175,RatingLookup!$A$2:$C$8,2,FALSE)</f>
        <v>5.0000000000000001E-3</v>
      </c>
      <c r="N2175">
        <f t="shared" si="99"/>
        <v>4.1762458919303302E-4</v>
      </c>
      <c r="O2175">
        <f>VLOOKUP(K2175,RatingLookup!$A$2:$C$8,3,FALSE)</f>
        <v>0.45</v>
      </c>
      <c r="P2175">
        <f t="shared" si="100"/>
        <v>3.9976696175913894E-2</v>
      </c>
      <c r="Q2175" t="str">
        <f t="shared" ca="1" si="101"/>
        <v>No</v>
      </c>
    </row>
    <row r="2176" spans="1:17" x14ac:dyDescent="0.45">
      <c r="A2176" t="s">
        <v>108</v>
      </c>
      <c r="B2176" t="s">
        <v>109</v>
      </c>
      <c r="C2176" t="s">
        <v>85</v>
      </c>
      <c r="D2176" t="s">
        <v>20</v>
      </c>
      <c r="E2176" t="s">
        <v>21</v>
      </c>
      <c r="F2176" s="1">
        <v>44256</v>
      </c>
      <c r="G2176">
        <v>5.55</v>
      </c>
      <c r="H2176">
        <v>85.331999999999994</v>
      </c>
      <c r="I2176">
        <v>8.5399999999999991</v>
      </c>
      <c r="J2176">
        <v>86.36</v>
      </c>
      <c r="K2176" t="s">
        <v>22</v>
      </c>
      <c r="L2176">
        <v>204.32</v>
      </c>
      <c r="M2176">
        <f>VLOOKUP(K2176,RatingLookup!$A$2:$C$8,2,FALSE)</f>
        <v>5.0000000000000001E-3</v>
      </c>
      <c r="N2176">
        <f t="shared" si="99"/>
        <v>4.1762458919303302E-4</v>
      </c>
      <c r="O2176">
        <f>VLOOKUP(K2176,RatingLookup!$A$2:$C$8,3,FALSE)</f>
        <v>0.45</v>
      </c>
      <c r="P2176">
        <f t="shared" si="100"/>
        <v>3.8398075228764227E-2</v>
      </c>
      <c r="Q2176" t="str">
        <f t="shared" ca="1" si="101"/>
        <v>No</v>
      </c>
    </row>
    <row r="2177" spans="1:17" x14ac:dyDescent="0.45">
      <c r="A2177" t="s">
        <v>108</v>
      </c>
      <c r="B2177" t="s">
        <v>109</v>
      </c>
      <c r="C2177" t="s">
        <v>85</v>
      </c>
      <c r="D2177" t="s">
        <v>20</v>
      </c>
      <c r="E2177" t="s">
        <v>21</v>
      </c>
      <c r="F2177" s="1">
        <v>44287</v>
      </c>
      <c r="G2177">
        <v>5.65</v>
      </c>
      <c r="H2177">
        <v>81.466300000000004</v>
      </c>
      <c r="I2177">
        <v>22.27</v>
      </c>
      <c r="J2177">
        <v>63.93</v>
      </c>
      <c r="K2177" t="s">
        <v>22</v>
      </c>
      <c r="L2177">
        <v>227.38</v>
      </c>
      <c r="M2177">
        <f>VLOOKUP(K2177,RatingLookup!$A$2:$C$8,2,FALSE)</f>
        <v>5.0000000000000001E-3</v>
      </c>
      <c r="N2177">
        <f t="shared" si="99"/>
        <v>4.1762458919303302E-4</v>
      </c>
      <c r="O2177">
        <f>VLOOKUP(K2177,RatingLookup!$A$2:$C$8,3,FALSE)</f>
        <v>0.45</v>
      </c>
      <c r="P2177">
        <f t="shared" si="100"/>
        <v>4.2731765590820335E-2</v>
      </c>
      <c r="Q2177" t="str">
        <f t="shared" ca="1" si="101"/>
        <v>No</v>
      </c>
    </row>
    <row r="2178" spans="1:17" x14ac:dyDescent="0.45">
      <c r="A2178" t="s">
        <v>108</v>
      </c>
      <c r="B2178" t="s">
        <v>109</v>
      </c>
      <c r="C2178" t="s">
        <v>85</v>
      </c>
      <c r="D2178" t="s">
        <v>20</v>
      </c>
      <c r="E2178" t="s">
        <v>21</v>
      </c>
      <c r="F2178" s="1">
        <v>44317</v>
      </c>
      <c r="G2178">
        <v>5.29</v>
      </c>
      <c r="H2178">
        <v>86.150300000000001</v>
      </c>
      <c r="I2178">
        <v>20.95</v>
      </c>
      <c r="J2178">
        <v>83.13</v>
      </c>
      <c r="K2178" t="s">
        <v>22</v>
      </c>
      <c r="L2178">
        <v>226.28</v>
      </c>
      <c r="M2178">
        <f>VLOOKUP(K2178,RatingLookup!$A$2:$C$8,2,FALSE)</f>
        <v>5.0000000000000001E-3</v>
      </c>
      <c r="N2178">
        <f t="shared" ref="N2178:N2241" si="102">1-(1-M2178)^(1/12)</f>
        <v>4.1762458919303302E-4</v>
      </c>
      <c r="O2178">
        <f>VLOOKUP(K2178,RatingLookup!$A$2:$C$8,3,FALSE)</f>
        <v>0.45</v>
      </c>
      <c r="P2178">
        <f t="shared" ref="P2178:P2241" si="103">L2178*N2178*O2178</f>
        <v>4.2525041419169782E-2</v>
      </c>
      <c r="Q2178" t="str">
        <f t="shared" ref="Q2178:Q2241" ca="1" si="104">IF(RAND()&lt;N2178,"Yes","No")</f>
        <v>No</v>
      </c>
    </row>
    <row r="2179" spans="1:17" x14ac:dyDescent="0.45">
      <c r="A2179" t="s">
        <v>108</v>
      </c>
      <c r="B2179" t="s">
        <v>109</v>
      </c>
      <c r="C2179" t="s">
        <v>85</v>
      </c>
      <c r="D2179" t="s">
        <v>20</v>
      </c>
      <c r="E2179" t="s">
        <v>21</v>
      </c>
      <c r="F2179" s="1">
        <v>44348</v>
      </c>
      <c r="G2179">
        <v>5.36</v>
      </c>
      <c r="H2179">
        <v>84.687600000000003</v>
      </c>
      <c r="I2179">
        <v>13.06</v>
      </c>
      <c r="J2179">
        <v>80.92</v>
      </c>
      <c r="K2179" t="s">
        <v>22</v>
      </c>
      <c r="L2179">
        <v>224.01</v>
      </c>
      <c r="M2179">
        <f>VLOOKUP(K2179,RatingLookup!$A$2:$C$8,2,FALSE)</f>
        <v>5.0000000000000001E-3</v>
      </c>
      <c r="N2179">
        <f t="shared" si="102"/>
        <v>4.1762458919303302E-4</v>
      </c>
      <c r="O2179">
        <f>VLOOKUP(K2179,RatingLookup!$A$2:$C$8,3,FALSE)</f>
        <v>0.45</v>
      </c>
      <c r="P2179">
        <f t="shared" si="103"/>
        <v>4.2098437901309099E-2</v>
      </c>
      <c r="Q2179" t="str">
        <f t="shared" ca="1" si="104"/>
        <v>No</v>
      </c>
    </row>
    <row r="2180" spans="1:17" x14ac:dyDescent="0.45">
      <c r="A2180" t="s">
        <v>108</v>
      </c>
      <c r="B2180" t="s">
        <v>109</v>
      </c>
      <c r="C2180" t="s">
        <v>85</v>
      </c>
      <c r="D2180" t="s">
        <v>20</v>
      </c>
      <c r="E2180" t="s">
        <v>21</v>
      </c>
      <c r="F2180" s="1">
        <v>44378</v>
      </c>
      <c r="G2180">
        <v>4.57</v>
      </c>
      <c r="H2180">
        <v>83.167599999999993</v>
      </c>
      <c r="I2180">
        <v>16.239999999999998</v>
      </c>
      <c r="J2180">
        <v>93</v>
      </c>
      <c r="K2180" t="s">
        <v>22</v>
      </c>
      <c r="L2180">
        <v>227.83</v>
      </c>
      <c r="M2180">
        <f>VLOOKUP(K2180,RatingLookup!$A$2:$C$8,2,FALSE)</f>
        <v>5.0000000000000001E-3</v>
      </c>
      <c r="N2180">
        <f t="shared" si="102"/>
        <v>4.1762458919303302E-4</v>
      </c>
      <c r="O2180">
        <f>VLOOKUP(K2180,RatingLookup!$A$2:$C$8,3,FALSE)</f>
        <v>0.45</v>
      </c>
      <c r="P2180">
        <f t="shared" si="103"/>
        <v>4.2816334570131925E-2</v>
      </c>
      <c r="Q2180" t="str">
        <f t="shared" ca="1" si="104"/>
        <v>No</v>
      </c>
    </row>
    <row r="2181" spans="1:17" x14ac:dyDescent="0.45">
      <c r="A2181" t="s">
        <v>108</v>
      </c>
      <c r="B2181" t="s">
        <v>109</v>
      </c>
      <c r="C2181" t="s">
        <v>85</v>
      </c>
      <c r="D2181" t="s">
        <v>20</v>
      </c>
      <c r="E2181" t="s">
        <v>21</v>
      </c>
      <c r="F2181" s="1">
        <v>44409</v>
      </c>
      <c r="G2181">
        <v>5.76</v>
      </c>
      <c r="H2181">
        <v>80.477599999999995</v>
      </c>
      <c r="I2181">
        <v>23.62</v>
      </c>
      <c r="J2181">
        <v>75.3</v>
      </c>
      <c r="K2181" t="s">
        <v>22</v>
      </c>
      <c r="L2181">
        <v>212.9</v>
      </c>
      <c r="M2181">
        <f>VLOOKUP(K2181,RatingLookup!$A$2:$C$8,2,FALSE)</f>
        <v>5.0000000000000001E-3</v>
      </c>
      <c r="N2181">
        <f t="shared" si="102"/>
        <v>4.1762458919303302E-4</v>
      </c>
      <c r="O2181">
        <f>VLOOKUP(K2181,RatingLookup!$A$2:$C$8,3,FALSE)</f>
        <v>0.45</v>
      </c>
      <c r="P2181">
        <f t="shared" si="103"/>
        <v>4.0010523767638528E-2</v>
      </c>
      <c r="Q2181" t="str">
        <f t="shared" ca="1" si="104"/>
        <v>No</v>
      </c>
    </row>
    <row r="2182" spans="1:17" x14ac:dyDescent="0.45">
      <c r="A2182" t="s">
        <v>108</v>
      </c>
      <c r="B2182" t="s">
        <v>109</v>
      </c>
      <c r="C2182" t="s">
        <v>85</v>
      </c>
      <c r="D2182" t="s">
        <v>20</v>
      </c>
      <c r="E2182" t="s">
        <v>21</v>
      </c>
      <c r="F2182" s="1">
        <v>44440</v>
      </c>
      <c r="G2182">
        <v>5.26</v>
      </c>
      <c r="H2182">
        <v>79.994100000000003</v>
      </c>
      <c r="I2182">
        <v>25.51</v>
      </c>
      <c r="J2182">
        <v>69.56</v>
      </c>
      <c r="K2182" t="s">
        <v>30</v>
      </c>
      <c r="L2182">
        <v>235.48</v>
      </c>
      <c r="M2182">
        <f>VLOOKUP(K2182,RatingLookup!$A$2:$C$8,2,FALSE)</f>
        <v>1.4999999999999999E-2</v>
      </c>
      <c r="N2182">
        <f t="shared" si="102"/>
        <v>1.2586770182638762E-3</v>
      </c>
      <c r="O2182">
        <f>VLOOKUP(K2182,RatingLookup!$A$2:$C$8,3,FALSE)</f>
        <v>0.5</v>
      </c>
      <c r="P2182">
        <f t="shared" si="103"/>
        <v>0.14819663213038878</v>
      </c>
      <c r="Q2182" t="str">
        <f t="shared" ca="1" si="104"/>
        <v>No</v>
      </c>
    </row>
    <row r="2183" spans="1:17" x14ac:dyDescent="0.45">
      <c r="A2183" t="s">
        <v>108</v>
      </c>
      <c r="B2183" t="s">
        <v>109</v>
      </c>
      <c r="C2183" t="s">
        <v>85</v>
      </c>
      <c r="D2183" t="s">
        <v>20</v>
      </c>
      <c r="E2183" t="s">
        <v>21</v>
      </c>
      <c r="F2183" s="1">
        <v>44470</v>
      </c>
      <c r="G2183">
        <v>5.32</v>
      </c>
      <c r="H2183">
        <v>81.343500000000006</v>
      </c>
      <c r="I2183">
        <v>21.25</v>
      </c>
      <c r="J2183">
        <v>82.04</v>
      </c>
      <c r="K2183" t="s">
        <v>30</v>
      </c>
      <c r="L2183">
        <v>211.95</v>
      </c>
      <c r="M2183">
        <f>VLOOKUP(K2183,RatingLookup!$A$2:$C$8,2,FALSE)</f>
        <v>1.4999999999999999E-2</v>
      </c>
      <c r="N2183">
        <f t="shared" si="102"/>
        <v>1.2586770182638762E-3</v>
      </c>
      <c r="O2183">
        <f>VLOOKUP(K2183,RatingLookup!$A$2:$C$8,3,FALSE)</f>
        <v>0.5</v>
      </c>
      <c r="P2183">
        <f t="shared" si="103"/>
        <v>0.13338829701051427</v>
      </c>
      <c r="Q2183" t="str">
        <f t="shared" ca="1" si="104"/>
        <v>No</v>
      </c>
    </row>
    <row r="2184" spans="1:17" x14ac:dyDescent="0.45">
      <c r="A2184" t="s">
        <v>108</v>
      </c>
      <c r="B2184" t="s">
        <v>109</v>
      </c>
      <c r="C2184" t="s">
        <v>85</v>
      </c>
      <c r="D2184" t="s">
        <v>20</v>
      </c>
      <c r="E2184" t="s">
        <v>21</v>
      </c>
      <c r="F2184" s="1">
        <v>44501</v>
      </c>
      <c r="G2184">
        <v>5.63</v>
      </c>
      <c r="H2184">
        <v>84.302000000000007</v>
      </c>
      <c r="I2184">
        <v>28.65</v>
      </c>
      <c r="J2184">
        <v>73.05</v>
      </c>
      <c r="K2184" t="s">
        <v>30</v>
      </c>
      <c r="L2184">
        <v>223.28</v>
      </c>
      <c r="M2184">
        <f>VLOOKUP(K2184,RatingLookup!$A$2:$C$8,2,FALSE)</f>
        <v>1.4999999999999999E-2</v>
      </c>
      <c r="N2184">
        <f t="shared" si="102"/>
        <v>1.2586770182638762E-3</v>
      </c>
      <c r="O2184">
        <f>VLOOKUP(K2184,RatingLookup!$A$2:$C$8,3,FALSE)</f>
        <v>0.5</v>
      </c>
      <c r="P2184">
        <f t="shared" si="103"/>
        <v>0.14051870231897914</v>
      </c>
      <c r="Q2184" t="str">
        <f t="shared" ca="1" si="104"/>
        <v>No</v>
      </c>
    </row>
    <row r="2185" spans="1:17" x14ac:dyDescent="0.45">
      <c r="A2185" t="s">
        <v>108</v>
      </c>
      <c r="B2185" t="s">
        <v>109</v>
      </c>
      <c r="C2185" t="s">
        <v>85</v>
      </c>
      <c r="D2185" t="s">
        <v>20</v>
      </c>
      <c r="E2185" t="s">
        <v>21</v>
      </c>
      <c r="F2185" s="1">
        <v>44531</v>
      </c>
      <c r="G2185">
        <v>5.42</v>
      </c>
      <c r="H2185">
        <v>82.037400000000005</v>
      </c>
      <c r="I2185">
        <v>27.57</v>
      </c>
      <c r="J2185">
        <v>78.569999999999993</v>
      </c>
      <c r="K2185" t="s">
        <v>30</v>
      </c>
      <c r="L2185">
        <v>220.61</v>
      </c>
      <c r="M2185">
        <f>VLOOKUP(K2185,RatingLookup!$A$2:$C$8,2,FALSE)</f>
        <v>1.4999999999999999E-2</v>
      </c>
      <c r="N2185">
        <f t="shared" si="102"/>
        <v>1.2586770182638762E-3</v>
      </c>
      <c r="O2185">
        <f>VLOOKUP(K2185,RatingLookup!$A$2:$C$8,3,FALSE)</f>
        <v>0.5</v>
      </c>
      <c r="P2185">
        <f t="shared" si="103"/>
        <v>0.13883836849959688</v>
      </c>
      <c r="Q2185" t="str">
        <f t="shared" ca="1" si="104"/>
        <v>No</v>
      </c>
    </row>
    <row r="2186" spans="1:17" x14ac:dyDescent="0.45">
      <c r="A2186" t="s">
        <v>108</v>
      </c>
      <c r="B2186" t="s">
        <v>109</v>
      </c>
      <c r="C2186" t="s">
        <v>85</v>
      </c>
      <c r="D2186" t="s">
        <v>20</v>
      </c>
      <c r="E2186" t="s">
        <v>21</v>
      </c>
      <c r="F2186" s="1">
        <v>44562</v>
      </c>
      <c r="G2186">
        <v>6.01</v>
      </c>
      <c r="H2186">
        <v>82.798199999999994</v>
      </c>
      <c r="I2186">
        <v>29.89</v>
      </c>
      <c r="J2186">
        <v>72.069999999999993</v>
      </c>
      <c r="K2186" t="s">
        <v>30</v>
      </c>
      <c r="L2186">
        <v>208.91</v>
      </c>
      <c r="M2186">
        <f>VLOOKUP(K2186,RatingLookup!$A$2:$C$8,2,FALSE)</f>
        <v>1.4999999999999999E-2</v>
      </c>
      <c r="N2186">
        <f t="shared" si="102"/>
        <v>1.2586770182638762E-3</v>
      </c>
      <c r="O2186">
        <f>VLOOKUP(K2186,RatingLookup!$A$2:$C$8,3,FALSE)</f>
        <v>0.5</v>
      </c>
      <c r="P2186">
        <f t="shared" si="103"/>
        <v>0.13147510794275319</v>
      </c>
      <c r="Q2186" t="str">
        <f t="shared" ca="1" si="104"/>
        <v>No</v>
      </c>
    </row>
    <row r="2187" spans="1:17" x14ac:dyDescent="0.45">
      <c r="A2187" t="s">
        <v>108</v>
      </c>
      <c r="B2187" t="s">
        <v>109</v>
      </c>
      <c r="C2187" t="s">
        <v>85</v>
      </c>
      <c r="D2187" t="s">
        <v>20</v>
      </c>
      <c r="E2187" t="s">
        <v>21</v>
      </c>
      <c r="F2187" s="1">
        <v>44593</v>
      </c>
      <c r="G2187">
        <v>5.44</v>
      </c>
      <c r="H2187">
        <v>86.377499999999998</v>
      </c>
      <c r="I2187">
        <v>19.28</v>
      </c>
      <c r="J2187">
        <v>92.85</v>
      </c>
      <c r="K2187" t="s">
        <v>30</v>
      </c>
      <c r="L2187">
        <v>226.93</v>
      </c>
      <c r="M2187">
        <f>VLOOKUP(K2187,RatingLookup!$A$2:$C$8,2,FALSE)</f>
        <v>1.4999999999999999E-2</v>
      </c>
      <c r="N2187">
        <f t="shared" si="102"/>
        <v>1.2586770182638762E-3</v>
      </c>
      <c r="O2187">
        <f>VLOOKUP(K2187,RatingLookup!$A$2:$C$8,3,FALSE)</f>
        <v>0.5</v>
      </c>
      <c r="P2187">
        <f t="shared" si="103"/>
        <v>0.14281578787731072</v>
      </c>
      <c r="Q2187" t="str">
        <f t="shared" ca="1" si="104"/>
        <v>No</v>
      </c>
    </row>
    <row r="2188" spans="1:17" x14ac:dyDescent="0.45">
      <c r="A2188" t="s">
        <v>108</v>
      </c>
      <c r="B2188" t="s">
        <v>109</v>
      </c>
      <c r="C2188" t="s">
        <v>85</v>
      </c>
      <c r="D2188" t="s">
        <v>20</v>
      </c>
      <c r="E2188" t="s">
        <v>21</v>
      </c>
      <c r="F2188" s="1">
        <v>44621</v>
      </c>
      <c r="G2188">
        <v>5.85</v>
      </c>
      <c r="H2188">
        <v>80.2971</v>
      </c>
      <c r="I2188">
        <v>25.16</v>
      </c>
      <c r="J2188">
        <v>71.540000000000006</v>
      </c>
      <c r="K2188" t="s">
        <v>30</v>
      </c>
      <c r="L2188">
        <v>218.68</v>
      </c>
      <c r="M2188">
        <f>VLOOKUP(K2188,RatingLookup!$A$2:$C$8,2,FALSE)</f>
        <v>1.4999999999999999E-2</v>
      </c>
      <c r="N2188">
        <f t="shared" si="102"/>
        <v>1.2586770182638762E-3</v>
      </c>
      <c r="O2188">
        <f>VLOOKUP(K2188,RatingLookup!$A$2:$C$8,3,FALSE)</f>
        <v>0.5</v>
      </c>
      <c r="P2188">
        <f t="shared" si="103"/>
        <v>0.13762374517697223</v>
      </c>
      <c r="Q2188" t="str">
        <f t="shared" ca="1" si="104"/>
        <v>No</v>
      </c>
    </row>
    <row r="2189" spans="1:17" x14ac:dyDescent="0.45">
      <c r="A2189" t="s">
        <v>108</v>
      </c>
      <c r="B2189" t="s">
        <v>109</v>
      </c>
      <c r="C2189" t="s">
        <v>85</v>
      </c>
      <c r="D2189" t="s">
        <v>20</v>
      </c>
      <c r="E2189" t="s">
        <v>21</v>
      </c>
      <c r="F2189" s="1">
        <v>44652</v>
      </c>
      <c r="G2189">
        <v>6.26</v>
      </c>
      <c r="H2189">
        <v>81.623099999999994</v>
      </c>
      <c r="I2189">
        <v>20.63</v>
      </c>
      <c r="J2189">
        <v>77.16</v>
      </c>
      <c r="K2189" t="s">
        <v>30</v>
      </c>
      <c r="L2189">
        <v>220.83</v>
      </c>
      <c r="M2189">
        <f>VLOOKUP(K2189,RatingLookup!$A$2:$C$8,2,FALSE)</f>
        <v>1.4999999999999999E-2</v>
      </c>
      <c r="N2189">
        <f t="shared" si="102"/>
        <v>1.2586770182638762E-3</v>
      </c>
      <c r="O2189">
        <f>VLOOKUP(K2189,RatingLookup!$A$2:$C$8,3,FALSE)</f>
        <v>0.5</v>
      </c>
      <c r="P2189">
        <f t="shared" si="103"/>
        <v>0.13897682297160591</v>
      </c>
      <c r="Q2189" t="str">
        <f t="shared" ca="1" si="104"/>
        <v>No</v>
      </c>
    </row>
    <row r="2190" spans="1:17" x14ac:dyDescent="0.45">
      <c r="A2190" t="s">
        <v>108</v>
      </c>
      <c r="B2190" t="s">
        <v>109</v>
      </c>
      <c r="C2190" t="s">
        <v>85</v>
      </c>
      <c r="D2190" t="s">
        <v>20</v>
      </c>
      <c r="E2190" t="s">
        <v>21</v>
      </c>
      <c r="F2190" s="1">
        <v>44682</v>
      </c>
      <c r="G2190">
        <v>5.83</v>
      </c>
      <c r="H2190">
        <v>84.145300000000006</v>
      </c>
      <c r="I2190">
        <v>15.07</v>
      </c>
      <c r="J2190">
        <v>73.38</v>
      </c>
      <c r="K2190" t="s">
        <v>30</v>
      </c>
      <c r="L2190">
        <v>231.7</v>
      </c>
      <c r="M2190">
        <f>VLOOKUP(K2190,RatingLookup!$A$2:$C$8,2,FALSE)</f>
        <v>1.4999999999999999E-2</v>
      </c>
      <c r="N2190">
        <f t="shared" si="102"/>
        <v>1.2586770182638762E-3</v>
      </c>
      <c r="O2190">
        <f>VLOOKUP(K2190,RatingLookup!$A$2:$C$8,3,FALSE)</f>
        <v>0.5</v>
      </c>
      <c r="P2190">
        <f t="shared" si="103"/>
        <v>0.14581773256587005</v>
      </c>
      <c r="Q2190" t="str">
        <f t="shared" ca="1" si="104"/>
        <v>No</v>
      </c>
    </row>
    <row r="2191" spans="1:17" x14ac:dyDescent="0.45">
      <c r="A2191" t="s">
        <v>108</v>
      </c>
      <c r="B2191" t="s">
        <v>109</v>
      </c>
      <c r="C2191" t="s">
        <v>85</v>
      </c>
      <c r="D2191" t="s">
        <v>20</v>
      </c>
      <c r="E2191" t="s">
        <v>21</v>
      </c>
      <c r="F2191" s="1">
        <v>44713</v>
      </c>
      <c r="G2191">
        <v>5.34</v>
      </c>
      <c r="H2191">
        <v>82.421300000000002</v>
      </c>
      <c r="I2191">
        <v>13.32</v>
      </c>
      <c r="J2191">
        <v>71.849999999999994</v>
      </c>
      <c r="K2191" t="s">
        <v>30</v>
      </c>
      <c r="L2191">
        <v>213.37</v>
      </c>
      <c r="M2191">
        <f>VLOOKUP(K2191,RatingLookup!$A$2:$C$8,2,FALSE)</f>
        <v>1.4999999999999999E-2</v>
      </c>
      <c r="N2191">
        <f t="shared" si="102"/>
        <v>1.2586770182638762E-3</v>
      </c>
      <c r="O2191">
        <f>VLOOKUP(K2191,RatingLookup!$A$2:$C$8,3,FALSE)</f>
        <v>0.5</v>
      </c>
      <c r="P2191">
        <f t="shared" si="103"/>
        <v>0.13428195769348164</v>
      </c>
      <c r="Q2191" t="str">
        <f t="shared" ca="1" si="104"/>
        <v>No</v>
      </c>
    </row>
    <row r="2192" spans="1:17" x14ac:dyDescent="0.45">
      <c r="A2192" t="s">
        <v>108</v>
      </c>
      <c r="B2192" t="s">
        <v>109</v>
      </c>
      <c r="C2192" t="s">
        <v>85</v>
      </c>
      <c r="D2192" t="s">
        <v>20</v>
      </c>
      <c r="E2192" t="s">
        <v>21</v>
      </c>
      <c r="F2192" s="1">
        <v>44743</v>
      </c>
      <c r="G2192">
        <v>5.66</v>
      </c>
      <c r="H2192">
        <v>82.042199999999994</v>
      </c>
      <c r="I2192">
        <v>26.98</v>
      </c>
      <c r="J2192">
        <v>85.79</v>
      </c>
      <c r="K2192" t="s">
        <v>30</v>
      </c>
      <c r="L2192">
        <v>208.65</v>
      </c>
      <c r="M2192">
        <f>VLOOKUP(K2192,RatingLookup!$A$2:$C$8,2,FALSE)</f>
        <v>1.4999999999999999E-2</v>
      </c>
      <c r="N2192">
        <f t="shared" si="102"/>
        <v>1.2586770182638762E-3</v>
      </c>
      <c r="O2192">
        <f>VLOOKUP(K2192,RatingLookup!$A$2:$C$8,3,FALSE)</f>
        <v>0.5</v>
      </c>
      <c r="P2192">
        <f t="shared" si="103"/>
        <v>0.13131147993037889</v>
      </c>
      <c r="Q2192" t="str">
        <f t="shared" ca="1" si="104"/>
        <v>No</v>
      </c>
    </row>
    <row r="2193" spans="1:17" x14ac:dyDescent="0.45">
      <c r="A2193" t="s">
        <v>108</v>
      </c>
      <c r="B2193" t="s">
        <v>109</v>
      </c>
      <c r="C2193" t="s">
        <v>85</v>
      </c>
      <c r="D2193" t="s">
        <v>20</v>
      </c>
      <c r="E2193" t="s">
        <v>21</v>
      </c>
      <c r="F2193" s="1">
        <v>44774</v>
      </c>
      <c r="G2193">
        <v>5.16</v>
      </c>
      <c r="H2193">
        <v>84.890699999999995</v>
      </c>
      <c r="I2193">
        <v>19.64</v>
      </c>
      <c r="J2193">
        <v>76.17</v>
      </c>
      <c r="K2193" t="s">
        <v>30</v>
      </c>
      <c r="L2193">
        <v>233.49</v>
      </c>
      <c r="M2193">
        <f>VLOOKUP(K2193,RatingLookup!$A$2:$C$8,2,FALSE)</f>
        <v>1.4999999999999999E-2</v>
      </c>
      <c r="N2193">
        <f t="shared" si="102"/>
        <v>1.2586770182638762E-3</v>
      </c>
      <c r="O2193">
        <f>VLOOKUP(K2193,RatingLookup!$A$2:$C$8,3,FALSE)</f>
        <v>0.5</v>
      </c>
      <c r="P2193">
        <f t="shared" si="103"/>
        <v>0.14694424849721624</v>
      </c>
      <c r="Q2193" t="str">
        <f t="shared" ca="1" si="104"/>
        <v>No</v>
      </c>
    </row>
    <row r="2194" spans="1:17" x14ac:dyDescent="0.45">
      <c r="A2194" t="s">
        <v>108</v>
      </c>
      <c r="B2194" t="s">
        <v>109</v>
      </c>
      <c r="C2194" t="s">
        <v>85</v>
      </c>
      <c r="D2194" t="s">
        <v>20</v>
      </c>
      <c r="E2194" t="s">
        <v>21</v>
      </c>
      <c r="F2194" s="1">
        <v>44805</v>
      </c>
      <c r="G2194">
        <v>5.65</v>
      </c>
      <c r="H2194">
        <v>82.286699999999996</v>
      </c>
      <c r="I2194">
        <v>5</v>
      </c>
      <c r="J2194">
        <v>81.59</v>
      </c>
      <c r="K2194" t="s">
        <v>30</v>
      </c>
      <c r="L2194">
        <v>228.3</v>
      </c>
      <c r="M2194">
        <f>VLOOKUP(K2194,RatingLookup!$A$2:$C$8,2,FALSE)</f>
        <v>1.4999999999999999E-2</v>
      </c>
      <c r="N2194">
        <f t="shared" si="102"/>
        <v>1.2586770182638762E-3</v>
      </c>
      <c r="O2194">
        <f>VLOOKUP(K2194,RatingLookup!$A$2:$C$8,3,FALSE)</f>
        <v>0.5</v>
      </c>
      <c r="P2194">
        <f t="shared" si="103"/>
        <v>0.14367798163482148</v>
      </c>
      <c r="Q2194" t="str">
        <f t="shared" ca="1" si="104"/>
        <v>No</v>
      </c>
    </row>
    <row r="2195" spans="1:17" x14ac:dyDescent="0.45">
      <c r="A2195" t="s">
        <v>108</v>
      </c>
      <c r="B2195" t="s">
        <v>109</v>
      </c>
      <c r="C2195" t="s">
        <v>85</v>
      </c>
      <c r="D2195" t="s">
        <v>20</v>
      </c>
      <c r="E2195" t="s">
        <v>21</v>
      </c>
      <c r="F2195" s="1">
        <v>44835</v>
      </c>
      <c r="G2195">
        <v>4.8899999999999997</v>
      </c>
      <c r="H2195">
        <v>82.151300000000006</v>
      </c>
      <c r="I2195">
        <v>18</v>
      </c>
      <c r="J2195">
        <v>58.63</v>
      </c>
      <c r="K2195" t="s">
        <v>30</v>
      </c>
      <c r="L2195">
        <v>225.23</v>
      </c>
      <c r="M2195">
        <f>VLOOKUP(K2195,RatingLookup!$A$2:$C$8,2,FALSE)</f>
        <v>1.4999999999999999E-2</v>
      </c>
      <c r="N2195">
        <f t="shared" si="102"/>
        <v>1.2586770182638762E-3</v>
      </c>
      <c r="O2195">
        <f>VLOOKUP(K2195,RatingLookup!$A$2:$C$8,3,FALSE)</f>
        <v>0.5</v>
      </c>
      <c r="P2195">
        <f t="shared" si="103"/>
        <v>0.14174591241178641</v>
      </c>
      <c r="Q2195" t="str">
        <f t="shared" ca="1" si="104"/>
        <v>No</v>
      </c>
    </row>
    <row r="2196" spans="1:17" x14ac:dyDescent="0.45">
      <c r="A2196" t="s">
        <v>108</v>
      </c>
      <c r="B2196" t="s">
        <v>109</v>
      </c>
      <c r="C2196" t="s">
        <v>85</v>
      </c>
      <c r="D2196" t="s">
        <v>20</v>
      </c>
      <c r="E2196" t="s">
        <v>21</v>
      </c>
      <c r="F2196" s="1">
        <v>44866</v>
      </c>
      <c r="G2196">
        <v>6.23</v>
      </c>
      <c r="H2196">
        <v>79.647599999999997</v>
      </c>
      <c r="I2196">
        <v>23.95</v>
      </c>
      <c r="J2196">
        <v>69.06</v>
      </c>
      <c r="K2196" t="s">
        <v>30</v>
      </c>
      <c r="L2196">
        <v>232.26</v>
      </c>
      <c r="M2196">
        <f>VLOOKUP(K2196,RatingLookup!$A$2:$C$8,2,FALSE)</f>
        <v>1.4999999999999999E-2</v>
      </c>
      <c r="N2196">
        <f t="shared" si="102"/>
        <v>1.2586770182638762E-3</v>
      </c>
      <c r="O2196">
        <f>VLOOKUP(K2196,RatingLookup!$A$2:$C$8,3,FALSE)</f>
        <v>0.5</v>
      </c>
      <c r="P2196">
        <f t="shared" si="103"/>
        <v>0.14617016213098394</v>
      </c>
      <c r="Q2196" t="str">
        <f t="shared" ca="1" si="104"/>
        <v>No</v>
      </c>
    </row>
    <row r="2197" spans="1:17" x14ac:dyDescent="0.45">
      <c r="A2197" t="s">
        <v>108</v>
      </c>
      <c r="B2197" t="s">
        <v>109</v>
      </c>
      <c r="C2197" t="s">
        <v>85</v>
      </c>
      <c r="D2197" t="s">
        <v>20</v>
      </c>
      <c r="E2197" t="s">
        <v>21</v>
      </c>
      <c r="F2197" s="1">
        <v>44896</v>
      </c>
      <c r="G2197">
        <v>5.0599999999999996</v>
      </c>
      <c r="H2197">
        <v>83.580100000000002</v>
      </c>
      <c r="I2197">
        <v>27.91</v>
      </c>
      <c r="J2197">
        <v>87.83</v>
      </c>
      <c r="K2197" t="s">
        <v>30</v>
      </c>
      <c r="L2197">
        <v>213.52</v>
      </c>
      <c r="M2197">
        <f>VLOOKUP(K2197,RatingLookup!$A$2:$C$8,2,FALSE)</f>
        <v>1.4999999999999999E-2</v>
      </c>
      <c r="N2197">
        <f t="shared" si="102"/>
        <v>1.2586770182638762E-3</v>
      </c>
      <c r="O2197">
        <f>VLOOKUP(K2197,RatingLookup!$A$2:$C$8,3,FALSE)</f>
        <v>0.5</v>
      </c>
      <c r="P2197">
        <f t="shared" si="103"/>
        <v>0.13437635846985144</v>
      </c>
      <c r="Q2197" t="str">
        <f t="shared" ca="1" si="104"/>
        <v>No</v>
      </c>
    </row>
    <row r="2198" spans="1:17" x14ac:dyDescent="0.45">
      <c r="A2198" t="s">
        <v>108</v>
      </c>
      <c r="B2198" t="s">
        <v>109</v>
      </c>
      <c r="C2198" t="s">
        <v>85</v>
      </c>
      <c r="D2198" t="s">
        <v>20</v>
      </c>
      <c r="E2198" t="s">
        <v>21</v>
      </c>
      <c r="F2198" s="1">
        <v>44927</v>
      </c>
      <c r="G2198">
        <v>6.29</v>
      </c>
      <c r="H2198">
        <v>83.794499999999999</v>
      </c>
      <c r="I2198">
        <v>15.65</v>
      </c>
      <c r="J2198">
        <v>79.02</v>
      </c>
      <c r="K2198" t="s">
        <v>30</v>
      </c>
      <c r="L2198">
        <v>228.81</v>
      </c>
      <c r="M2198">
        <f>VLOOKUP(K2198,RatingLookup!$A$2:$C$8,2,FALSE)</f>
        <v>1.4999999999999999E-2</v>
      </c>
      <c r="N2198">
        <f t="shared" si="102"/>
        <v>1.2586770182638762E-3</v>
      </c>
      <c r="O2198">
        <f>VLOOKUP(K2198,RatingLookup!$A$2:$C$8,3,FALSE)</f>
        <v>0.5</v>
      </c>
      <c r="P2198">
        <f t="shared" si="103"/>
        <v>0.14399894427447876</v>
      </c>
      <c r="Q2198" t="str">
        <f t="shared" ca="1" si="104"/>
        <v>No</v>
      </c>
    </row>
    <row r="2199" spans="1:17" x14ac:dyDescent="0.45">
      <c r="A2199" t="s">
        <v>108</v>
      </c>
      <c r="B2199" t="s">
        <v>109</v>
      </c>
      <c r="C2199" t="s">
        <v>85</v>
      </c>
      <c r="D2199" t="s">
        <v>20</v>
      </c>
      <c r="E2199" t="s">
        <v>21</v>
      </c>
      <c r="F2199" s="1">
        <v>44958</v>
      </c>
      <c r="G2199">
        <v>5.45</v>
      </c>
      <c r="H2199">
        <v>87.435699999999997</v>
      </c>
      <c r="I2199">
        <v>27.3</v>
      </c>
      <c r="J2199">
        <v>56.99</v>
      </c>
      <c r="K2199" t="s">
        <v>30</v>
      </c>
      <c r="L2199">
        <v>237.57</v>
      </c>
      <c r="M2199">
        <f>VLOOKUP(K2199,RatingLookup!$A$2:$C$8,2,FALSE)</f>
        <v>1.4999999999999999E-2</v>
      </c>
      <c r="N2199">
        <f t="shared" si="102"/>
        <v>1.2586770182638762E-3</v>
      </c>
      <c r="O2199">
        <f>VLOOKUP(K2199,RatingLookup!$A$2:$C$8,3,FALSE)</f>
        <v>0.5</v>
      </c>
      <c r="P2199">
        <f t="shared" si="103"/>
        <v>0.14951194961447453</v>
      </c>
      <c r="Q2199" t="str">
        <f t="shared" ca="1" si="104"/>
        <v>No</v>
      </c>
    </row>
    <row r="2200" spans="1:17" x14ac:dyDescent="0.45">
      <c r="A2200" t="s">
        <v>108</v>
      </c>
      <c r="B2200" t="s">
        <v>109</v>
      </c>
      <c r="C2200" t="s">
        <v>85</v>
      </c>
      <c r="D2200" t="s">
        <v>20</v>
      </c>
      <c r="E2200" t="s">
        <v>21</v>
      </c>
      <c r="F2200" s="1">
        <v>44986</v>
      </c>
      <c r="G2200">
        <v>4.32</v>
      </c>
      <c r="H2200">
        <v>82.475899999999996</v>
      </c>
      <c r="I2200">
        <v>20.94</v>
      </c>
      <c r="J2200">
        <v>67.73</v>
      </c>
      <c r="K2200" t="s">
        <v>30</v>
      </c>
      <c r="L2200">
        <v>238.82</v>
      </c>
      <c r="M2200">
        <f>VLOOKUP(K2200,RatingLookup!$A$2:$C$8,2,FALSE)</f>
        <v>1.4999999999999999E-2</v>
      </c>
      <c r="N2200">
        <f t="shared" si="102"/>
        <v>1.2586770182638762E-3</v>
      </c>
      <c r="O2200">
        <f>VLOOKUP(K2200,RatingLookup!$A$2:$C$8,3,FALSE)</f>
        <v>0.5</v>
      </c>
      <c r="P2200">
        <f t="shared" si="103"/>
        <v>0.15029862275088945</v>
      </c>
      <c r="Q2200" t="str">
        <f t="shared" ca="1" si="104"/>
        <v>No</v>
      </c>
    </row>
    <row r="2201" spans="1:17" x14ac:dyDescent="0.45">
      <c r="A2201" t="s">
        <v>108</v>
      </c>
      <c r="B2201" t="s">
        <v>109</v>
      </c>
      <c r="C2201" t="s">
        <v>85</v>
      </c>
      <c r="D2201" t="s">
        <v>20</v>
      </c>
      <c r="E2201" t="s">
        <v>21</v>
      </c>
      <c r="F2201" s="1">
        <v>45017</v>
      </c>
      <c r="G2201">
        <v>6.22</v>
      </c>
      <c r="H2201">
        <v>82.124799999999993</v>
      </c>
      <c r="I2201">
        <v>23.12</v>
      </c>
      <c r="J2201">
        <v>85.48</v>
      </c>
      <c r="K2201" t="s">
        <v>30</v>
      </c>
      <c r="L2201">
        <v>217.14</v>
      </c>
      <c r="M2201">
        <f>VLOOKUP(K2201,RatingLookup!$A$2:$C$8,2,FALSE)</f>
        <v>1.4999999999999999E-2</v>
      </c>
      <c r="N2201">
        <f t="shared" si="102"/>
        <v>1.2586770182638762E-3</v>
      </c>
      <c r="O2201">
        <f>VLOOKUP(K2201,RatingLookup!$A$2:$C$8,3,FALSE)</f>
        <v>0.5</v>
      </c>
      <c r="P2201">
        <f t="shared" si="103"/>
        <v>0.13665456387290903</v>
      </c>
      <c r="Q2201" t="str">
        <f t="shared" ca="1" si="104"/>
        <v>No</v>
      </c>
    </row>
    <row r="2202" spans="1:17" x14ac:dyDescent="0.45">
      <c r="A2202" t="s">
        <v>108</v>
      </c>
      <c r="B2202" t="s">
        <v>109</v>
      </c>
      <c r="C2202" t="s">
        <v>85</v>
      </c>
      <c r="D2202" t="s">
        <v>20</v>
      </c>
      <c r="E2202" t="s">
        <v>21</v>
      </c>
      <c r="F2202" s="1">
        <v>45047</v>
      </c>
      <c r="G2202">
        <v>5.33</v>
      </c>
      <c r="H2202">
        <v>81.583299999999994</v>
      </c>
      <c r="I2202">
        <v>14.79</v>
      </c>
      <c r="J2202">
        <v>77.62</v>
      </c>
      <c r="K2202" t="s">
        <v>30</v>
      </c>
      <c r="L2202">
        <v>225.64</v>
      </c>
      <c r="M2202">
        <f>VLOOKUP(K2202,RatingLookup!$A$2:$C$8,2,FALSE)</f>
        <v>1.4999999999999999E-2</v>
      </c>
      <c r="N2202">
        <f t="shared" si="102"/>
        <v>1.2586770182638762E-3</v>
      </c>
      <c r="O2202">
        <f>VLOOKUP(K2202,RatingLookup!$A$2:$C$8,3,FALSE)</f>
        <v>0.5</v>
      </c>
      <c r="P2202">
        <f t="shared" si="103"/>
        <v>0.1420039412005305</v>
      </c>
      <c r="Q2202" t="str">
        <f t="shared" ca="1" si="104"/>
        <v>No</v>
      </c>
    </row>
    <row r="2203" spans="1:17" x14ac:dyDescent="0.45">
      <c r="A2203" t="s">
        <v>108</v>
      </c>
      <c r="B2203" t="s">
        <v>109</v>
      </c>
      <c r="C2203" t="s">
        <v>85</v>
      </c>
      <c r="D2203" t="s">
        <v>20</v>
      </c>
      <c r="E2203" t="s">
        <v>21</v>
      </c>
      <c r="F2203" s="1">
        <v>45078</v>
      </c>
      <c r="G2203">
        <v>6.15</v>
      </c>
      <c r="H2203">
        <v>80.951700000000002</v>
      </c>
      <c r="I2203">
        <v>29.98</v>
      </c>
      <c r="J2203">
        <v>85.83</v>
      </c>
      <c r="K2203" t="s">
        <v>30</v>
      </c>
      <c r="L2203">
        <v>231.76</v>
      </c>
      <c r="M2203">
        <f>VLOOKUP(K2203,RatingLookup!$A$2:$C$8,2,FALSE)</f>
        <v>1.4999999999999999E-2</v>
      </c>
      <c r="N2203">
        <f t="shared" si="102"/>
        <v>1.2586770182638762E-3</v>
      </c>
      <c r="O2203">
        <f>VLOOKUP(K2203,RatingLookup!$A$2:$C$8,3,FALSE)</f>
        <v>0.5</v>
      </c>
      <c r="P2203">
        <f t="shared" si="103"/>
        <v>0.14585549287641797</v>
      </c>
      <c r="Q2203" t="str">
        <f t="shared" ca="1" si="104"/>
        <v>No</v>
      </c>
    </row>
    <row r="2204" spans="1:17" x14ac:dyDescent="0.45">
      <c r="A2204" t="s">
        <v>108</v>
      </c>
      <c r="B2204" t="s">
        <v>109</v>
      </c>
      <c r="C2204" t="s">
        <v>85</v>
      </c>
      <c r="D2204" t="s">
        <v>20</v>
      </c>
      <c r="E2204" t="s">
        <v>21</v>
      </c>
      <c r="F2204" s="1">
        <v>45108</v>
      </c>
      <c r="G2204">
        <v>5.48</v>
      </c>
      <c r="H2204">
        <v>86.619200000000006</v>
      </c>
      <c r="I2204">
        <v>15.39</v>
      </c>
      <c r="J2204">
        <v>86.37</v>
      </c>
      <c r="K2204" t="s">
        <v>30</v>
      </c>
      <c r="L2204">
        <v>248.31</v>
      </c>
      <c r="M2204">
        <f>VLOOKUP(K2204,RatingLookup!$A$2:$C$8,2,FALSE)</f>
        <v>1.4999999999999999E-2</v>
      </c>
      <c r="N2204">
        <f t="shared" si="102"/>
        <v>1.2586770182638762E-3</v>
      </c>
      <c r="O2204">
        <f>VLOOKUP(K2204,RatingLookup!$A$2:$C$8,3,FALSE)</f>
        <v>0.5</v>
      </c>
      <c r="P2204">
        <f t="shared" si="103"/>
        <v>0.15627104520255156</v>
      </c>
      <c r="Q2204" t="str">
        <f t="shared" ca="1" si="104"/>
        <v>No</v>
      </c>
    </row>
    <row r="2205" spans="1:17" x14ac:dyDescent="0.45">
      <c r="A2205" t="s">
        <v>108</v>
      </c>
      <c r="B2205" t="s">
        <v>109</v>
      </c>
      <c r="C2205" t="s">
        <v>85</v>
      </c>
      <c r="D2205" t="s">
        <v>20</v>
      </c>
      <c r="E2205" t="s">
        <v>21</v>
      </c>
      <c r="F2205" s="1">
        <v>45139</v>
      </c>
      <c r="G2205">
        <v>4.99</v>
      </c>
      <c r="H2205">
        <v>83.934200000000004</v>
      </c>
      <c r="I2205">
        <v>30.22</v>
      </c>
      <c r="J2205">
        <v>69.97</v>
      </c>
      <c r="K2205" t="s">
        <v>30</v>
      </c>
      <c r="L2205">
        <v>227.91</v>
      </c>
      <c r="M2205">
        <f>VLOOKUP(K2205,RatingLookup!$A$2:$C$8,2,FALSE)</f>
        <v>1.4999999999999999E-2</v>
      </c>
      <c r="N2205">
        <f t="shared" si="102"/>
        <v>1.2586770182638762E-3</v>
      </c>
      <c r="O2205">
        <f>VLOOKUP(K2205,RatingLookup!$A$2:$C$8,3,FALSE)</f>
        <v>0.5</v>
      </c>
      <c r="P2205">
        <f t="shared" si="103"/>
        <v>0.14343253961626001</v>
      </c>
      <c r="Q2205" t="str">
        <f t="shared" ca="1" si="104"/>
        <v>No</v>
      </c>
    </row>
    <row r="2206" spans="1:17" x14ac:dyDescent="0.45">
      <c r="A2206" t="s">
        <v>108</v>
      </c>
      <c r="B2206" t="s">
        <v>109</v>
      </c>
      <c r="C2206" t="s">
        <v>85</v>
      </c>
      <c r="D2206" t="s">
        <v>20</v>
      </c>
      <c r="E2206" t="s">
        <v>21</v>
      </c>
      <c r="F2206" s="1">
        <v>45170</v>
      </c>
      <c r="G2206">
        <v>5.87</v>
      </c>
      <c r="H2206">
        <v>82.134600000000006</v>
      </c>
      <c r="I2206">
        <v>28.32</v>
      </c>
      <c r="J2206">
        <v>84.23</v>
      </c>
      <c r="K2206" t="s">
        <v>30</v>
      </c>
      <c r="L2206">
        <v>211.96</v>
      </c>
      <c r="M2206">
        <f>VLOOKUP(K2206,RatingLookup!$A$2:$C$8,2,FALSE)</f>
        <v>1.4999999999999999E-2</v>
      </c>
      <c r="N2206">
        <f t="shared" si="102"/>
        <v>1.2586770182638762E-3</v>
      </c>
      <c r="O2206">
        <f>VLOOKUP(K2206,RatingLookup!$A$2:$C$8,3,FALSE)</f>
        <v>0.5</v>
      </c>
      <c r="P2206">
        <f t="shared" si="103"/>
        <v>0.13339459039560561</v>
      </c>
      <c r="Q2206" t="str">
        <f t="shared" ca="1" si="104"/>
        <v>No</v>
      </c>
    </row>
    <row r="2207" spans="1:17" x14ac:dyDescent="0.45">
      <c r="A2207" t="s">
        <v>108</v>
      </c>
      <c r="B2207" t="s">
        <v>109</v>
      </c>
      <c r="C2207" t="s">
        <v>85</v>
      </c>
      <c r="D2207" t="s">
        <v>20</v>
      </c>
      <c r="E2207" t="s">
        <v>21</v>
      </c>
      <c r="F2207" s="1">
        <v>45200</v>
      </c>
      <c r="G2207">
        <v>5.69</v>
      </c>
      <c r="H2207">
        <v>83.551900000000003</v>
      </c>
      <c r="I2207">
        <v>17.11</v>
      </c>
      <c r="J2207">
        <v>78.53</v>
      </c>
      <c r="K2207" t="s">
        <v>30</v>
      </c>
      <c r="L2207">
        <v>226.9</v>
      </c>
      <c r="M2207">
        <f>VLOOKUP(K2207,RatingLookup!$A$2:$C$8,2,FALSE)</f>
        <v>1.4999999999999999E-2</v>
      </c>
      <c r="N2207">
        <f t="shared" si="102"/>
        <v>1.2586770182638762E-3</v>
      </c>
      <c r="O2207">
        <f>VLOOKUP(K2207,RatingLookup!$A$2:$C$8,3,FALSE)</f>
        <v>0.5</v>
      </c>
      <c r="P2207">
        <f t="shared" si="103"/>
        <v>0.14279690772203676</v>
      </c>
      <c r="Q2207" t="str">
        <f t="shared" ca="1" si="104"/>
        <v>No</v>
      </c>
    </row>
    <row r="2208" spans="1:17" x14ac:dyDescent="0.45">
      <c r="A2208" t="s">
        <v>108</v>
      </c>
      <c r="B2208" t="s">
        <v>109</v>
      </c>
      <c r="C2208" t="s">
        <v>85</v>
      </c>
      <c r="D2208" t="s">
        <v>20</v>
      </c>
      <c r="E2208" t="s">
        <v>21</v>
      </c>
      <c r="F2208" s="1">
        <v>45231</v>
      </c>
      <c r="G2208">
        <v>6.1</v>
      </c>
      <c r="H2208">
        <v>81.050200000000004</v>
      </c>
      <c r="I2208">
        <v>20.309999999999999</v>
      </c>
      <c r="J2208">
        <v>83.14</v>
      </c>
      <c r="K2208" t="s">
        <v>30</v>
      </c>
      <c r="L2208">
        <v>236.49</v>
      </c>
      <c r="M2208">
        <f>VLOOKUP(K2208,RatingLookup!$A$2:$C$8,2,FALSE)</f>
        <v>1.4999999999999999E-2</v>
      </c>
      <c r="N2208">
        <f t="shared" si="102"/>
        <v>1.2586770182638762E-3</v>
      </c>
      <c r="O2208">
        <f>VLOOKUP(K2208,RatingLookup!$A$2:$C$8,3,FALSE)</f>
        <v>0.5</v>
      </c>
      <c r="P2208">
        <f t="shared" si="103"/>
        <v>0.14883226402461205</v>
      </c>
      <c r="Q2208" t="str">
        <f t="shared" ca="1" si="104"/>
        <v>No</v>
      </c>
    </row>
    <row r="2209" spans="1:17" x14ac:dyDescent="0.45">
      <c r="A2209" t="s">
        <v>108</v>
      </c>
      <c r="B2209" t="s">
        <v>109</v>
      </c>
      <c r="C2209" t="s">
        <v>85</v>
      </c>
      <c r="D2209" t="s">
        <v>20</v>
      </c>
      <c r="E2209" t="s">
        <v>21</v>
      </c>
      <c r="F2209" s="1">
        <v>45261</v>
      </c>
      <c r="G2209">
        <v>5.51</v>
      </c>
      <c r="H2209">
        <v>80.404399999999995</v>
      </c>
      <c r="I2209">
        <v>21.53</v>
      </c>
      <c r="J2209">
        <v>77.400000000000006</v>
      </c>
      <c r="K2209" t="s">
        <v>30</v>
      </c>
      <c r="L2209">
        <v>210.13</v>
      </c>
      <c r="M2209">
        <f>VLOOKUP(K2209,RatingLookup!$A$2:$C$8,2,FALSE)</f>
        <v>1.4999999999999999E-2</v>
      </c>
      <c r="N2209">
        <f t="shared" si="102"/>
        <v>1.2586770182638762E-3</v>
      </c>
      <c r="O2209">
        <f>VLOOKUP(K2209,RatingLookup!$A$2:$C$8,3,FALSE)</f>
        <v>0.5</v>
      </c>
      <c r="P2209">
        <f t="shared" si="103"/>
        <v>0.13224290092389415</v>
      </c>
      <c r="Q2209" t="str">
        <f t="shared" ca="1" si="104"/>
        <v>No</v>
      </c>
    </row>
    <row r="2210" spans="1:17" x14ac:dyDescent="0.45">
      <c r="A2210" t="s">
        <v>108</v>
      </c>
      <c r="B2210" t="s">
        <v>109</v>
      </c>
      <c r="C2210" t="s">
        <v>85</v>
      </c>
      <c r="D2210" t="s">
        <v>20</v>
      </c>
      <c r="E2210" t="s">
        <v>21</v>
      </c>
      <c r="F2210" s="1">
        <v>45292</v>
      </c>
      <c r="G2210">
        <v>7.12</v>
      </c>
      <c r="H2210">
        <v>77.5197</v>
      </c>
      <c r="I2210">
        <v>19.28</v>
      </c>
      <c r="J2210">
        <v>68.64</v>
      </c>
      <c r="K2210" t="s">
        <v>30</v>
      </c>
      <c r="L2210">
        <v>238.41</v>
      </c>
      <c r="M2210">
        <f>VLOOKUP(K2210,RatingLookup!$A$2:$C$8,2,FALSE)</f>
        <v>1.4999999999999999E-2</v>
      </c>
      <c r="N2210">
        <f t="shared" si="102"/>
        <v>1.2586770182638762E-3</v>
      </c>
      <c r="O2210">
        <f>VLOOKUP(K2210,RatingLookup!$A$2:$C$8,3,FALSE)</f>
        <v>0.5</v>
      </c>
      <c r="P2210">
        <f t="shared" si="103"/>
        <v>0.15004059396214536</v>
      </c>
      <c r="Q2210" t="str">
        <f t="shared" ca="1" si="104"/>
        <v>No</v>
      </c>
    </row>
    <row r="2211" spans="1:17" x14ac:dyDescent="0.45">
      <c r="A2211" t="s">
        <v>108</v>
      </c>
      <c r="B2211" t="s">
        <v>109</v>
      </c>
      <c r="C2211" t="s">
        <v>85</v>
      </c>
      <c r="D2211" t="s">
        <v>20</v>
      </c>
      <c r="E2211" t="s">
        <v>21</v>
      </c>
      <c r="F2211" s="1">
        <v>45323</v>
      </c>
      <c r="G2211">
        <v>5.26</v>
      </c>
      <c r="H2211">
        <v>80.310599999999994</v>
      </c>
      <c r="I2211">
        <v>14.62</v>
      </c>
      <c r="J2211">
        <v>76.45</v>
      </c>
      <c r="K2211" t="s">
        <v>30</v>
      </c>
      <c r="L2211">
        <v>227.29</v>
      </c>
      <c r="M2211">
        <f>VLOOKUP(K2211,RatingLookup!$A$2:$C$8,2,FALSE)</f>
        <v>1.4999999999999999E-2</v>
      </c>
      <c r="N2211">
        <f t="shared" si="102"/>
        <v>1.2586770182638762E-3</v>
      </c>
      <c r="O2211">
        <f>VLOOKUP(K2211,RatingLookup!$A$2:$C$8,3,FALSE)</f>
        <v>0.5</v>
      </c>
      <c r="P2211">
        <f t="shared" si="103"/>
        <v>0.14304234974059821</v>
      </c>
      <c r="Q2211" t="str">
        <f t="shared" ca="1" si="104"/>
        <v>No</v>
      </c>
    </row>
    <row r="2212" spans="1:17" x14ac:dyDescent="0.45">
      <c r="A2212" t="s">
        <v>108</v>
      </c>
      <c r="B2212" t="s">
        <v>109</v>
      </c>
      <c r="C2212" t="s">
        <v>85</v>
      </c>
      <c r="D2212" t="s">
        <v>20</v>
      </c>
      <c r="E2212" t="s">
        <v>21</v>
      </c>
      <c r="F2212" s="1">
        <v>45352</v>
      </c>
      <c r="G2212">
        <v>5.64</v>
      </c>
      <c r="H2212">
        <v>81.468400000000003</v>
      </c>
      <c r="I2212">
        <v>13.53</v>
      </c>
      <c r="J2212">
        <v>71.84</v>
      </c>
      <c r="K2212" t="s">
        <v>30</v>
      </c>
      <c r="L2212">
        <v>232.17</v>
      </c>
      <c r="M2212">
        <f>VLOOKUP(K2212,RatingLookup!$A$2:$C$8,2,FALSE)</f>
        <v>1.4999999999999999E-2</v>
      </c>
      <c r="N2212">
        <f t="shared" si="102"/>
        <v>1.2586770182638762E-3</v>
      </c>
      <c r="O2212">
        <f>VLOOKUP(K2212,RatingLookup!$A$2:$C$8,3,FALSE)</f>
        <v>0.5</v>
      </c>
      <c r="P2212">
        <f t="shared" si="103"/>
        <v>0.14611352166516206</v>
      </c>
      <c r="Q2212" t="str">
        <f t="shared" ca="1" si="104"/>
        <v>No</v>
      </c>
    </row>
    <row r="2213" spans="1:17" x14ac:dyDescent="0.45">
      <c r="A2213" t="s">
        <v>108</v>
      </c>
      <c r="B2213" t="s">
        <v>109</v>
      </c>
      <c r="C2213" t="s">
        <v>85</v>
      </c>
      <c r="D2213" t="s">
        <v>20</v>
      </c>
      <c r="E2213" t="s">
        <v>21</v>
      </c>
      <c r="F2213" s="1">
        <v>45383</v>
      </c>
      <c r="G2213">
        <v>5.38</v>
      </c>
      <c r="H2213">
        <v>83.491799999999998</v>
      </c>
      <c r="I2213">
        <v>8.2100000000000009</v>
      </c>
      <c r="J2213">
        <v>66.72</v>
      </c>
      <c r="K2213" t="s">
        <v>30</v>
      </c>
      <c r="L2213">
        <v>216.22</v>
      </c>
      <c r="M2213">
        <f>VLOOKUP(K2213,RatingLookup!$A$2:$C$8,2,FALSE)</f>
        <v>1.4999999999999999E-2</v>
      </c>
      <c r="N2213">
        <f t="shared" si="102"/>
        <v>1.2586770182638762E-3</v>
      </c>
      <c r="O2213">
        <f>VLOOKUP(K2213,RatingLookup!$A$2:$C$8,3,FALSE)</f>
        <v>0.5</v>
      </c>
      <c r="P2213">
        <f t="shared" si="103"/>
        <v>0.13607557244450766</v>
      </c>
      <c r="Q2213" t="str">
        <f t="shared" ca="1" si="104"/>
        <v>No</v>
      </c>
    </row>
    <row r="2214" spans="1:17" x14ac:dyDescent="0.45">
      <c r="A2214" t="s">
        <v>108</v>
      </c>
      <c r="B2214" t="s">
        <v>109</v>
      </c>
      <c r="C2214" t="s">
        <v>85</v>
      </c>
      <c r="D2214" t="s">
        <v>20</v>
      </c>
      <c r="E2214" t="s">
        <v>21</v>
      </c>
      <c r="F2214" s="1">
        <v>45413</v>
      </c>
      <c r="G2214">
        <v>4.8099999999999996</v>
      </c>
      <c r="H2214">
        <v>84.702299999999994</v>
      </c>
      <c r="I2214">
        <v>13.88</v>
      </c>
      <c r="J2214">
        <v>79.790000000000006</v>
      </c>
      <c r="K2214" t="s">
        <v>30</v>
      </c>
      <c r="L2214">
        <v>235.89</v>
      </c>
      <c r="M2214">
        <f>VLOOKUP(K2214,RatingLookup!$A$2:$C$8,2,FALSE)</f>
        <v>1.4999999999999999E-2</v>
      </c>
      <c r="N2214">
        <f t="shared" si="102"/>
        <v>1.2586770182638762E-3</v>
      </c>
      <c r="O2214">
        <f>VLOOKUP(K2214,RatingLookup!$A$2:$C$8,3,FALSE)</f>
        <v>0.5</v>
      </c>
      <c r="P2214">
        <f t="shared" si="103"/>
        <v>0.14845466091913287</v>
      </c>
      <c r="Q2214" t="str">
        <f t="shared" ca="1" si="104"/>
        <v>No</v>
      </c>
    </row>
    <row r="2215" spans="1:17" x14ac:dyDescent="0.45">
      <c r="A2215" t="s">
        <v>108</v>
      </c>
      <c r="B2215" t="s">
        <v>109</v>
      </c>
      <c r="C2215" t="s">
        <v>85</v>
      </c>
      <c r="D2215" t="s">
        <v>20</v>
      </c>
      <c r="E2215" t="s">
        <v>21</v>
      </c>
      <c r="F2215" s="1">
        <v>45444</v>
      </c>
      <c r="G2215">
        <v>6.07</v>
      </c>
      <c r="H2215">
        <v>85.503200000000007</v>
      </c>
      <c r="I2215">
        <v>21.55</v>
      </c>
      <c r="J2215">
        <v>90.65</v>
      </c>
      <c r="K2215" t="s">
        <v>30</v>
      </c>
      <c r="L2215">
        <v>206.02</v>
      </c>
      <c r="M2215">
        <f>VLOOKUP(K2215,RatingLookup!$A$2:$C$8,2,FALSE)</f>
        <v>1.4999999999999999E-2</v>
      </c>
      <c r="N2215">
        <f t="shared" si="102"/>
        <v>1.2586770182638762E-3</v>
      </c>
      <c r="O2215">
        <f>VLOOKUP(K2215,RatingLookup!$A$2:$C$8,3,FALSE)</f>
        <v>0.5</v>
      </c>
      <c r="P2215">
        <f t="shared" si="103"/>
        <v>0.1296563196513619</v>
      </c>
      <c r="Q2215" t="str">
        <f t="shared" ca="1" si="104"/>
        <v>No</v>
      </c>
    </row>
    <row r="2216" spans="1:17" x14ac:dyDescent="0.45">
      <c r="A2216" t="s">
        <v>108</v>
      </c>
      <c r="B2216" t="s">
        <v>109</v>
      </c>
      <c r="C2216" t="s">
        <v>85</v>
      </c>
      <c r="D2216" t="s">
        <v>20</v>
      </c>
      <c r="E2216" t="s">
        <v>21</v>
      </c>
      <c r="F2216" s="1">
        <v>45474</v>
      </c>
      <c r="G2216">
        <v>5.43</v>
      </c>
      <c r="H2216">
        <v>83.388000000000005</v>
      </c>
      <c r="I2216">
        <v>16.63</v>
      </c>
      <c r="J2216">
        <v>88.29</v>
      </c>
      <c r="K2216" t="s">
        <v>30</v>
      </c>
      <c r="L2216">
        <v>223.58</v>
      </c>
      <c r="M2216">
        <f>VLOOKUP(K2216,RatingLookup!$A$2:$C$8,2,FALSE)</f>
        <v>1.4999999999999999E-2</v>
      </c>
      <c r="N2216">
        <f t="shared" si="102"/>
        <v>1.2586770182638762E-3</v>
      </c>
      <c r="O2216">
        <f>VLOOKUP(K2216,RatingLookup!$A$2:$C$8,3,FALSE)</f>
        <v>0.5</v>
      </c>
      <c r="P2216">
        <f t="shared" si="103"/>
        <v>0.14070750387171874</v>
      </c>
      <c r="Q2216" t="str">
        <f t="shared" ca="1" si="104"/>
        <v>No</v>
      </c>
    </row>
    <row r="2217" spans="1:17" x14ac:dyDescent="0.45">
      <c r="A2217" t="s">
        <v>108</v>
      </c>
      <c r="B2217" t="s">
        <v>109</v>
      </c>
      <c r="C2217" t="s">
        <v>85</v>
      </c>
      <c r="D2217" t="s">
        <v>20</v>
      </c>
      <c r="E2217" t="s">
        <v>21</v>
      </c>
      <c r="F2217" s="1">
        <v>45505</v>
      </c>
      <c r="G2217">
        <v>5.37</v>
      </c>
      <c r="H2217">
        <v>86.710099999999997</v>
      </c>
      <c r="I2217">
        <v>26.93</v>
      </c>
      <c r="J2217">
        <v>82.08</v>
      </c>
      <c r="K2217" t="s">
        <v>30</v>
      </c>
      <c r="L2217">
        <v>222.76</v>
      </c>
      <c r="M2217">
        <f>VLOOKUP(K2217,RatingLookup!$A$2:$C$8,2,FALSE)</f>
        <v>1.4999999999999999E-2</v>
      </c>
      <c r="N2217">
        <f t="shared" si="102"/>
        <v>1.2586770182638762E-3</v>
      </c>
      <c r="O2217">
        <f>VLOOKUP(K2217,RatingLookup!$A$2:$C$8,3,FALSE)</f>
        <v>0.5</v>
      </c>
      <c r="P2217">
        <f t="shared" si="103"/>
        <v>0.14019144629423053</v>
      </c>
      <c r="Q2217" t="str">
        <f t="shared" ca="1" si="104"/>
        <v>No</v>
      </c>
    </row>
    <row r="2218" spans="1:17" x14ac:dyDescent="0.45">
      <c r="A2218" t="s">
        <v>108</v>
      </c>
      <c r="B2218" t="s">
        <v>109</v>
      </c>
      <c r="C2218" t="s">
        <v>85</v>
      </c>
      <c r="D2218" t="s">
        <v>20</v>
      </c>
      <c r="E2218" t="s">
        <v>21</v>
      </c>
      <c r="F2218" s="1">
        <v>45536</v>
      </c>
      <c r="G2218">
        <v>5.8</v>
      </c>
      <c r="H2218">
        <v>81.317099999999996</v>
      </c>
      <c r="I2218">
        <v>19.16</v>
      </c>
      <c r="J2218">
        <v>77.12</v>
      </c>
      <c r="K2218" t="s">
        <v>30</v>
      </c>
      <c r="L2218">
        <v>211.28</v>
      </c>
      <c r="M2218">
        <f>VLOOKUP(K2218,RatingLookup!$A$2:$C$8,2,FALSE)</f>
        <v>1.4999999999999999E-2</v>
      </c>
      <c r="N2218">
        <f t="shared" si="102"/>
        <v>1.2586770182638762E-3</v>
      </c>
      <c r="O2218">
        <f>VLOOKUP(K2218,RatingLookup!$A$2:$C$8,3,FALSE)</f>
        <v>0.5</v>
      </c>
      <c r="P2218">
        <f t="shared" si="103"/>
        <v>0.13296664020939589</v>
      </c>
      <c r="Q2218" t="str">
        <f t="shared" ca="1" si="104"/>
        <v>No</v>
      </c>
    </row>
    <row r="2219" spans="1:17" x14ac:dyDescent="0.45">
      <c r="A2219" t="s">
        <v>108</v>
      </c>
      <c r="B2219" t="s">
        <v>109</v>
      </c>
      <c r="C2219" t="s">
        <v>85</v>
      </c>
      <c r="D2219" t="s">
        <v>20</v>
      </c>
      <c r="E2219" t="s">
        <v>21</v>
      </c>
      <c r="F2219" s="1">
        <v>45566</v>
      </c>
      <c r="G2219">
        <v>5.57</v>
      </c>
      <c r="H2219">
        <v>85.010499999999993</v>
      </c>
      <c r="I2219">
        <v>26.81</v>
      </c>
      <c r="J2219">
        <v>74.290000000000006</v>
      </c>
      <c r="K2219" t="s">
        <v>31</v>
      </c>
      <c r="L2219">
        <v>205.99</v>
      </c>
      <c r="M2219">
        <f>VLOOKUP(K2219,RatingLookup!$A$2:$C$8,2,FALSE)</f>
        <v>0.04</v>
      </c>
      <c r="N2219">
        <f t="shared" si="102"/>
        <v>3.3960531989175591E-3</v>
      </c>
      <c r="O2219">
        <f>VLOOKUP(K2219,RatingLookup!$A$2:$C$8,3,FALSE)</f>
        <v>0.6</v>
      </c>
      <c r="P2219">
        <f t="shared" si="103"/>
        <v>0.4197317990670168</v>
      </c>
      <c r="Q2219" t="str">
        <f t="shared" ca="1" si="104"/>
        <v>No</v>
      </c>
    </row>
    <row r="2220" spans="1:17" x14ac:dyDescent="0.45">
      <c r="A2220" t="s">
        <v>108</v>
      </c>
      <c r="B2220" t="s">
        <v>109</v>
      </c>
      <c r="C2220" t="s">
        <v>85</v>
      </c>
      <c r="D2220" t="s">
        <v>20</v>
      </c>
      <c r="E2220" t="s">
        <v>21</v>
      </c>
      <c r="F2220" s="1">
        <v>45597</v>
      </c>
      <c r="G2220">
        <v>5.92</v>
      </c>
      <c r="H2220">
        <v>81.891599999999997</v>
      </c>
      <c r="I2220">
        <v>20.51</v>
      </c>
      <c r="J2220">
        <v>81.3</v>
      </c>
      <c r="K2220" t="s">
        <v>31</v>
      </c>
      <c r="L2220">
        <v>197.4</v>
      </c>
      <c r="M2220">
        <f>VLOOKUP(K2220,RatingLookup!$A$2:$C$8,2,FALSE)</f>
        <v>0.04</v>
      </c>
      <c r="N2220">
        <f t="shared" si="102"/>
        <v>3.3960531989175591E-3</v>
      </c>
      <c r="O2220">
        <f>VLOOKUP(K2220,RatingLookup!$A$2:$C$8,3,FALSE)</f>
        <v>0.6</v>
      </c>
      <c r="P2220">
        <f t="shared" si="103"/>
        <v>0.4022285408797957</v>
      </c>
      <c r="Q2220" t="str">
        <f t="shared" ca="1" si="104"/>
        <v>No</v>
      </c>
    </row>
    <row r="2221" spans="1:17" x14ac:dyDescent="0.45">
      <c r="A2221" t="s">
        <v>108</v>
      </c>
      <c r="B2221" t="s">
        <v>109</v>
      </c>
      <c r="C2221" t="s">
        <v>85</v>
      </c>
      <c r="D2221" t="s">
        <v>20</v>
      </c>
      <c r="E2221" t="s">
        <v>21</v>
      </c>
      <c r="F2221" s="1">
        <v>45627</v>
      </c>
      <c r="G2221">
        <v>6.06</v>
      </c>
      <c r="H2221">
        <v>87.249099999999999</v>
      </c>
      <c r="I2221">
        <v>21.96</v>
      </c>
      <c r="J2221">
        <v>72.709999999999994</v>
      </c>
      <c r="K2221" t="s">
        <v>32</v>
      </c>
      <c r="L2221">
        <v>198.73</v>
      </c>
      <c r="M2221">
        <f>VLOOKUP(K2221,RatingLookup!$A$2:$C$8,2,FALSE)</f>
        <v>0.12</v>
      </c>
      <c r="N2221">
        <f t="shared" si="102"/>
        <v>1.0596241035318976E-2</v>
      </c>
      <c r="O2221">
        <f>VLOOKUP(K2221,RatingLookup!$A$2:$C$8,3,FALSE)</f>
        <v>0.7</v>
      </c>
      <c r="P2221">
        <f t="shared" si="103"/>
        <v>1.474053686664258</v>
      </c>
      <c r="Q2221" t="str">
        <f t="shared" ca="1" si="104"/>
        <v>No</v>
      </c>
    </row>
    <row r="2222" spans="1:17" x14ac:dyDescent="0.45">
      <c r="A2222" t="s">
        <v>110</v>
      </c>
      <c r="B2222" t="s">
        <v>111</v>
      </c>
      <c r="C2222" t="s">
        <v>19</v>
      </c>
      <c r="D2222" t="s">
        <v>20</v>
      </c>
      <c r="E2222" t="s">
        <v>21</v>
      </c>
      <c r="F2222" s="1">
        <v>43831</v>
      </c>
      <c r="G2222">
        <v>5.54</v>
      </c>
      <c r="H2222">
        <v>87.380799999999994</v>
      </c>
      <c r="I2222">
        <v>19.27</v>
      </c>
      <c r="J2222">
        <v>96.43</v>
      </c>
      <c r="K2222" t="s">
        <v>31</v>
      </c>
      <c r="L2222">
        <v>530.48</v>
      </c>
      <c r="M2222">
        <f>VLOOKUP(K2222,RatingLookup!$A$2:$C$8,2,FALSE)</f>
        <v>0.04</v>
      </c>
      <c r="N2222">
        <f t="shared" si="102"/>
        <v>3.3960531989175591E-3</v>
      </c>
      <c r="O2222">
        <f>VLOOKUP(K2222,RatingLookup!$A$2:$C$8,3,FALSE)</f>
        <v>0.6</v>
      </c>
      <c r="P2222">
        <f t="shared" si="103"/>
        <v>1.0809229805770721</v>
      </c>
      <c r="Q2222" t="str">
        <f t="shared" ca="1" si="104"/>
        <v>No</v>
      </c>
    </row>
    <row r="2223" spans="1:17" x14ac:dyDescent="0.45">
      <c r="A2223" t="s">
        <v>110</v>
      </c>
      <c r="B2223" t="s">
        <v>111</v>
      </c>
      <c r="C2223" t="s">
        <v>19</v>
      </c>
      <c r="D2223" t="s">
        <v>20</v>
      </c>
      <c r="E2223" t="s">
        <v>21</v>
      </c>
      <c r="F2223" s="1">
        <v>43862</v>
      </c>
      <c r="G2223">
        <v>4.74</v>
      </c>
      <c r="H2223">
        <v>80.482200000000006</v>
      </c>
      <c r="I2223">
        <v>19.670000000000002</v>
      </c>
      <c r="J2223">
        <v>74.819999999999993</v>
      </c>
      <c r="K2223" t="s">
        <v>31</v>
      </c>
      <c r="L2223">
        <v>530.62</v>
      </c>
      <c r="M2223">
        <f>VLOOKUP(K2223,RatingLookup!$A$2:$C$8,2,FALSE)</f>
        <v>0.04</v>
      </c>
      <c r="N2223">
        <f t="shared" si="102"/>
        <v>3.3960531989175591E-3</v>
      </c>
      <c r="O2223">
        <f>VLOOKUP(K2223,RatingLookup!$A$2:$C$8,3,FALSE)</f>
        <v>0.6</v>
      </c>
      <c r="P2223">
        <f t="shared" si="103"/>
        <v>1.0812082490457811</v>
      </c>
      <c r="Q2223" t="str">
        <f t="shared" ca="1" si="104"/>
        <v>No</v>
      </c>
    </row>
    <row r="2224" spans="1:17" x14ac:dyDescent="0.45">
      <c r="A2224" t="s">
        <v>110</v>
      </c>
      <c r="B2224" t="s">
        <v>111</v>
      </c>
      <c r="C2224" t="s">
        <v>19</v>
      </c>
      <c r="D2224" t="s">
        <v>20</v>
      </c>
      <c r="E2224" t="s">
        <v>21</v>
      </c>
      <c r="F2224" s="1">
        <v>43891</v>
      </c>
      <c r="G2224">
        <v>6.04</v>
      </c>
      <c r="H2224">
        <v>85.251599999999996</v>
      </c>
      <c r="I2224">
        <v>5</v>
      </c>
      <c r="J2224">
        <v>67.19</v>
      </c>
      <c r="K2224" t="s">
        <v>32</v>
      </c>
      <c r="L2224">
        <v>508.65</v>
      </c>
      <c r="M2224">
        <f>VLOOKUP(K2224,RatingLookup!$A$2:$C$8,2,FALSE)</f>
        <v>0.12</v>
      </c>
      <c r="N2224">
        <f t="shared" si="102"/>
        <v>1.0596241035318976E-2</v>
      </c>
      <c r="O2224">
        <f>VLOOKUP(K2224,RatingLookup!$A$2:$C$8,3,FALSE)</f>
        <v>0.7</v>
      </c>
      <c r="P2224">
        <f t="shared" si="103"/>
        <v>3.7728446018304975</v>
      </c>
      <c r="Q2224" t="str">
        <f t="shared" ca="1" si="104"/>
        <v>No</v>
      </c>
    </row>
    <row r="2225" spans="1:17" x14ac:dyDescent="0.45">
      <c r="A2225" t="s">
        <v>110</v>
      </c>
      <c r="B2225" t="s">
        <v>111</v>
      </c>
      <c r="C2225" t="s">
        <v>19</v>
      </c>
      <c r="D2225" t="s">
        <v>20</v>
      </c>
      <c r="E2225" t="s">
        <v>21</v>
      </c>
      <c r="F2225" s="1">
        <v>43922</v>
      </c>
      <c r="G2225">
        <v>6</v>
      </c>
      <c r="H2225">
        <v>80.467299999999994</v>
      </c>
      <c r="I2225">
        <v>15</v>
      </c>
      <c r="J2225">
        <v>69.010000000000005</v>
      </c>
      <c r="K2225" t="s">
        <v>32</v>
      </c>
      <c r="L2225">
        <v>482.66</v>
      </c>
      <c r="M2225">
        <f>VLOOKUP(K2225,RatingLookup!$A$2:$C$8,2,FALSE)</f>
        <v>0.12</v>
      </c>
      <c r="N2225">
        <f t="shared" si="102"/>
        <v>1.0596241035318976E-2</v>
      </c>
      <c r="O2225">
        <f>VLOOKUP(K2225,RatingLookup!$A$2:$C$8,3,FALSE)</f>
        <v>0.7</v>
      </c>
      <c r="P2225">
        <f t="shared" si="103"/>
        <v>3.5800671886749398</v>
      </c>
      <c r="Q2225" t="str">
        <f t="shared" ca="1" si="104"/>
        <v>No</v>
      </c>
    </row>
    <row r="2226" spans="1:17" x14ac:dyDescent="0.45">
      <c r="A2226" t="s">
        <v>110</v>
      </c>
      <c r="B2226" t="s">
        <v>111</v>
      </c>
      <c r="C2226" t="s">
        <v>19</v>
      </c>
      <c r="D2226" t="s">
        <v>20</v>
      </c>
      <c r="E2226" t="s">
        <v>21</v>
      </c>
      <c r="F2226" s="1">
        <v>43952</v>
      </c>
      <c r="G2226">
        <v>5.7</v>
      </c>
      <c r="H2226">
        <v>82.390799999999999</v>
      </c>
      <c r="I2226">
        <v>12.52</v>
      </c>
      <c r="J2226">
        <v>58.29</v>
      </c>
      <c r="K2226" t="s">
        <v>32</v>
      </c>
      <c r="L2226">
        <v>497.4</v>
      </c>
      <c r="M2226">
        <f>VLOOKUP(K2226,RatingLookup!$A$2:$C$8,2,FALSE)</f>
        <v>0.12</v>
      </c>
      <c r="N2226">
        <f t="shared" si="102"/>
        <v>1.0596241035318976E-2</v>
      </c>
      <c r="O2226">
        <f>VLOOKUP(K2226,RatingLookup!$A$2:$C$8,3,FALSE)</f>
        <v>0.7</v>
      </c>
      <c r="P2226">
        <f t="shared" si="103"/>
        <v>3.6893992036773606</v>
      </c>
      <c r="Q2226" t="str">
        <f t="shared" ca="1" si="104"/>
        <v>No</v>
      </c>
    </row>
    <row r="2227" spans="1:17" x14ac:dyDescent="0.45">
      <c r="A2227" t="s">
        <v>110</v>
      </c>
      <c r="B2227" t="s">
        <v>111</v>
      </c>
      <c r="C2227" t="s">
        <v>19</v>
      </c>
      <c r="D2227" t="s">
        <v>20</v>
      </c>
      <c r="E2227" t="s">
        <v>21</v>
      </c>
      <c r="F2227" s="1">
        <v>43983</v>
      </c>
      <c r="G2227">
        <v>6.39</v>
      </c>
      <c r="H2227">
        <v>82.5501</v>
      </c>
      <c r="I2227">
        <v>17.75</v>
      </c>
      <c r="J2227">
        <v>60.77</v>
      </c>
      <c r="K2227" t="s">
        <v>32</v>
      </c>
      <c r="L2227">
        <v>496.23</v>
      </c>
      <c r="M2227">
        <f>VLOOKUP(K2227,RatingLookup!$A$2:$C$8,2,FALSE)</f>
        <v>0.12</v>
      </c>
      <c r="N2227">
        <f t="shared" si="102"/>
        <v>1.0596241035318976E-2</v>
      </c>
      <c r="O2227">
        <f>VLOOKUP(K2227,RatingLookup!$A$2:$C$8,3,FALSE)</f>
        <v>0.7</v>
      </c>
      <c r="P2227">
        <f t="shared" si="103"/>
        <v>3.6807208822694348</v>
      </c>
      <c r="Q2227" t="str">
        <f t="shared" ca="1" si="104"/>
        <v>No</v>
      </c>
    </row>
    <row r="2228" spans="1:17" x14ac:dyDescent="0.45">
      <c r="A2228" t="s">
        <v>110</v>
      </c>
      <c r="B2228" t="s">
        <v>111</v>
      </c>
      <c r="C2228" t="s">
        <v>19</v>
      </c>
      <c r="D2228" t="s">
        <v>20</v>
      </c>
      <c r="E2228" t="s">
        <v>21</v>
      </c>
      <c r="F2228" s="1">
        <v>44013</v>
      </c>
      <c r="G2228">
        <v>5.18</v>
      </c>
      <c r="H2228">
        <v>85.822999999999993</v>
      </c>
      <c r="I2228">
        <v>19.22</v>
      </c>
      <c r="J2228">
        <v>88.38</v>
      </c>
      <c r="K2228" t="s">
        <v>32</v>
      </c>
      <c r="L2228">
        <v>535.52</v>
      </c>
      <c r="M2228">
        <f>VLOOKUP(K2228,RatingLookup!$A$2:$C$8,2,FALSE)</f>
        <v>0.12</v>
      </c>
      <c r="N2228">
        <f t="shared" si="102"/>
        <v>1.0596241035318976E-2</v>
      </c>
      <c r="O2228">
        <f>VLOOKUP(K2228,RatingLookup!$A$2:$C$8,3,FALSE)</f>
        <v>0.7</v>
      </c>
      <c r="P2228">
        <f t="shared" si="103"/>
        <v>3.9721492994638123</v>
      </c>
      <c r="Q2228" t="str">
        <f t="shared" ca="1" si="104"/>
        <v>No</v>
      </c>
    </row>
    <row r="2229" spans="1:17" x14ac:dyDescent="0.45">
      <c r="A2229" t="s">
        <v>110</v>
      </c>
      <c r="B2229" t="s">
        <v>111</v>
      </c>
      <c r="C2229" t="s">
        <v>19</v>
      </c>
      <c r="D2229" t="s">
        <v>20</v>
      </c>
      <c r="E2229" t="s">
        <v>21</v>
      </c>
      <c r="F2229" s="1">
        <v>44044</v>
      </c>
      <c r="G2229">
        <v>4.99</v>
      </c>
      <c r="H2229">
        <v>83.547899999999998</v>
      </c>
      <c r="I2229">
        <v>21.16</v>
      </c>
      <c r="J2229">
        <v>84.84</v>
      </c>
      <c r="K2229" t="s">
        <v>32</v>
      </c>
      <c r="L2229">
        <v>518.21</v>
      </c>
      <c r="M2229">
        <f>VLOOKUP(K2229,RatingLookup!$A$2:$C$8,2,FALSE)</f>
        <v>0.12</v>
      </c>
      <c r="N2229">
        <f t="shared" si="102"/>
        <v>1.0596241035318976E-2</v>
      </c>
      <c r="O2229">
        <f>VLOOKUP(K2229,RatingLookup!$A$2:$C$8,3,FALSE)</f>
        <v>0.7</v>
      </c>
      <c r="P2229">
        <f t="shared" si="103"/>
        <v>3.8437546468388524</v>
      </c>
      <c r="Q2229" t="str">
        <f t="shared" ca="1" si="104"/>
        <v>No</v>
      </c>
    </row>
    <row r="2230" spans="1:17" x14ac:dyDescent="0.45">
      <c r="A2230" t="s">
        <v>110</v>
      </c>
      <c r="B2230" t="s">
        <v>111</v>
      </c>
      <c r="C2230" t="s">
        <v>19</v>
      </c>
      <c r="D2230" t="s">
        <v>20</v>
      </c>
      <c r="E2230" t="s">
        <v>21</v>
      </c>
      <c r="F2230" s="1">
        <v>44075</v>
      </c>
      <c r="G2230">
        <v>5.0599999999999996</v>
      </c>
      <c r="H2230">
        <v>76.434799999999996</v>
      </c>
      <c r="I2230">
        <v>24.48</v>
      </c>
      <c r="J2230">
        <v>66.34</v>
      </c>
      <c r="K2230" t="s">
        <v>31</v>
      </c>
      <c r="L2230">
        <v>501.34</v>
      </c>
      <c r="M2230">
        <f>VLOOKUP(K2230,RatingLookup!$A$2:$C$8,2,FALSE)</f>
        <v>0.04</v>
      </c>
      <c r="N2230">
        <f t="shared" si="102"/>
        <v>3.3960531989175591E-3</v>
      </c>
      <c r="O2230">
        <f>VLOOKUP(K2230,RatingLookup!$A$2:$C$8,3,FALSE)</f>
        <v>0.6</v>
      </c>
      <c r="P2230">
        <f t="shared" si="103"/>
        <v>1.0215463864471974</v>
      </c>
      <c r="Q2230" t="str">
        <f t="shared" ca="1" si="104"/>
        <v>No</v>
      </c>
    </row>
    <row r="2231" spans="1:17" x14ac:dyDescent="0.45">
      <c r="A2231" t="s">
        <v>110</v>
      </c>
      <c r="B2231" t="s">
        <v>111</v>
      </c>
      <c r="C2231" t="s">
        <v>19</v>
      </c>
      <c r="D2231" t="s">
        <v>20</v>
      </c>
      <c r="E2231" t="s">
        <v>21</v>
      </c>
      <c r="F2231" s="1">
        <v>44105</v>
      </c>
      <c r="G2231">
        <v>5.98</v>
      </c>
      <c r="H2231">
        <v>88.317099999999996</v>
      </c>
      <c r="I2231">
        <v>21.49</v>
      </c>
      <c r="J2231">
        <v>68.61</v>
      </c>
      <c r="K2231" t="s">
        <v>31</v>
      </c>
      <c r="L2231">
        <v>470.13</v>
      </c>
      <c r="M2231">
        <f>VLOOKUP(K2231,RatingLookup!$A$2:$C$8,2,FALSE)</f>
        <v>0.04</v>
      </c>
      <c r="N2231">
        <f t="shared" si="102"/>
        <v>3.3960531989175591E-3</v>
      </c>
      <c r="O2231">
        <f>VLOOKUP(K2231,RatingLookup!$A$2:$C$8,3,FALSE)</f>
        <v>0.6</v>
      </c>
      <c r="P2231">
        <f t="shared" si="103"/>
        <v>0.95795189424426719</v>
      </c>
      <c r="Q2231" t="str">
        <f t="shared" ca="1" si="104"/>
        <v>No</v>
      </c>
    </row>
    <row r="2232" spans="1:17" x14ac:dyDescent="0.45">
      <c r="A2232" t="s">
        <v>110</v>
      </c>
      <c r="B2232" t="s">
        <v>111</v>
      </c>
      <c r="C2232" t="s">
        <v>19</v>
      </c>
      <c r="D2232" t="s">
        <v>20</v>
      </c>
      <c r="E2232" t="s">
        <v>21</v>
      </c>
      <c r="F2232" s="1">
        <v>44136</v>
      </c>
      <c r="G2232">
        <v>5.5</v>
      </c>
      <c r="H2232">
        <v>83.164900000000003</v>
      </c>
      <c r="I2232">
        <v>18.670000000000002</v>
      </c>
      <c r="J2232">
        <v>83.03</v>
      </c>
      <c r="K2232" t="s">
        <v>31</v>
      </c>
      <c r="L2232">
        <v>545.80999999999995</v>
      </c>
      <c r="M2232">
        <f>VLOOKUP(K2232,RatingLookup!$A$2:$C$8,2,FALSE)</f>
        <v>0.04</v>
      </c>
      <c r="N2232">
        <f t="shared" si="102"/>
        <v>3.3960531989175591E-3</v>
      </c>
      <c r="O2232">
        <f>VLOOKUP(K2232,RatingLookup!$A$2:$C$8,3,FALSE)</f>
        <v>0.6</v>
      </c>
      <c r="P2232">
        <f t="shared" si="103"/>
        <v>1.1121598779007156</v>
      </c>
      <c r="Q2232" t="str">
        <f t="shared" ca="1" si="104"/>
        <v>No</v>
      </c>
    </row>
    <row r="2233" spans="1:17" x14ac:dyDescent="0.45">
      <c r="A2233" t="s">
        <v>110</v>
      </c>
      <c r="B2233" t="s">
        <v>111</v>
      </c>
      <c r="C2233" t="s">
        <v>19</v>
      </c>
      <c r="D2233" t="s">
        <v>20</v>
      </c>
      <c r="E2233" t="s">
        <v>21</v>
      </c>
      <c r="F2233" s="1">
        <v>44166</v>
      </c>
      <c r="G2233">
        <v>5.96</v>
      </c>
      <c r="H2233">
        <v>87.288600000000002</v>
      </c>
      <c r="I2233">
        <v>20.11</v>
      </c>
      <c r="J2233">
        <v>72.19</v>
      </c>
      <c r="K2233" t="s">
        <v>31</v>
      </c>
      <c r="L2233">
        <v>515.49</v>
      </c>
      <c r="M2233">
        <f>VLOOKUP(K2233,RatingLookup!$A$2:$C$8,2,FALSE)</f>
        <v>0.04</v>
      </c>
      <c r="N2233">
        <f t="shared" si="102"/>
        <v>3.3960531989175591E-3</v>
      </c>
      <c r="O2233">
        <f>VLOOKUP(K2233,RatingLookup!$A$2:$C$8,3,FALSE)</f>
        <v>0.6</v>
      </c>
      <c r="P2233">
        <f t="shared" si="103"/>
        <v>1.0503788781060075</v>
      </c>
      <c r="Q2233" t="str">
        <f t="shared" ca="1" si="104"/>
        <v>No</v>
      </c>
    </row>
    <row r="2234" spans="1:17" x14ac:dyDescent="0.45">
      <c r="A2234" t="s">
        <v>110</v>
      </c>
      <c r="B2234" t="s">
        <v>111</v>
      </c>
      <c r="C2234" t="s">
        <v>19</v>
      </c>
      <c r="D2234" t="s">
        <v>20</v>
      </c>
      <c r="E2234" t="s">
        <v>21</v>
      </c>
      <c r="F2234" s="1">
        <v>44197</v>
      </c>
      <c r="G2234">
        <v>5.68</v>
      </c>
      <c r="H2234">
        <v>80.5244</v>
      </c>
      <c r="I2234">
        <v>19.170000000000002</v>
      </c>
      <c r="J2234">
        <v>69.19</v>
      </c>
      <c r="K2234" t="s">
        <v>31</v>
      </c>
      <c r="L2234">
        <v>487.11</v>
      </c>
      <c r="M2234">
        <f>VLOOKUP(K2234,RatingLookup!$A$2:$C$8,2,FALSE)</f>
        <v>0.04</v>
      </c>
      <c r="N2234">
        <f t="shared" si="102"/>
        <v>3.3960531989175591E-3</v>
      </c>
      <c r="O2234">
        <f>VLOOKUP(K2234,RatingLookup!$A$2:$C$8,3,FALSE)</f>
        <v>0.6</v>
      </c>
      <c r="P2234">
        <f t="shared" si="103"/>
        <v>0.99255088423483928</v>
      </c>
      <c r="Q2234" t="str">
        <f t="shared" ca="1" si="104"/>
        <v>No</v>
      </c>
    </row>
    <row r="2235" spans="1:17" x14ac:dyDescent="0.45">
      <c r="A2235" t="s">
        <v>110</v>
      </c>
      <c r="B2235" t="s">
        <v>111</v>
      </c>
      <c r="C2235" t="s">
        <v>19</v>
      </c>
      <c r="D2235" t="s">
        <v>20</v>
      </c>
      <c r="E2235" t="s">
        <v>21</v>
      </c>
      <c r="F2235" s="1">
        <v>44228</v>
      </c>
      <c r="G2235">
        <v>4.8899999999999997</v>
      </c>
      <c r="H2235">
        <v>83.444699999999997</v>
      </c>
      <c r="I2235">
        <v>24.84</v>
      </c>
      <c r="J2235">
        <v>82.92</v>
      </c>
      <c r="K2235" t="s">
        <v>31</v>
      </c>
      <c r="L2235">
        <v>529.52</v>
      </c>
      <c r="M2235">
        <f>VLOOKUP(K2235,RatingLookup!$A$2:$C$8,2,FALSE)</f>
        <v>0.04</v>
      </c>
      <c r="N2235">
        <f t="shared" si="102"/>
        <v>3.3960531989175591E-3</v>
      </c>
      <c r="O2235">
        <f>VLOOKUP(K2235,RatingLookup!$A$2:$C$8,3,FALSE)</f>
        <v>0.6</v>
      </c>
      <c r="P2235">
        <f t="shared" si="103"/>
        <v>1.0789668539344954</v>
      </c>
      <c r="Q2235" t="str">
        <f t="shared" ca="1" si="104"/>
        <v>No</v>
      </c>
    </row>
    <row r="2236" spans="1:17" x14ac:dyDescent="0.45">
      <c r="A2236" t="s">
        <v>110</v>
      </c>
      <c r="B2236" t="s">
        <v>111</v>
      </c>
      <c r="C2236" t="s">
        <v>19</v>
      </c>
      <c r="D2236" t="s">
        <v>20</v>
      </c>
      <c r="E2236" t="s">
        <v>21</v>
      </c>
      <c r="F2236" s="1">
        <v>44256</v>
      </c>
      <c r="G2236">
        <v>5.3</v>
      </c>
      <c r="H2236">
        <v>86.728499999999997</v>
      </c>
      <c r="I2236">
        <v>15.01</v>
      </c>
      <c r="J2236">
        <v>94.94</v>
      </c>
      <c r="K2236" t="s">
        <v>31</v>
      </c>
      <c r="L2236">
        <v>493.73</v>
      </c>
      <c r="M2236">
        <f>VLOOKUP(K2236,RatingLookup!$A$2:$C$8,2,FALSE)</f>
        <v>0.04</v>
      </c>
      <c r="N2236">
        <f t="shared" si="102"/>
        <v>3.3960531989175591E-3</v>
      </c>
      <c r="O2236">
        <f>VLOOKUP(K2236,RatingLookup!$A$2:$C$8,3,FALSE)</f>
        <v>0.6</v>
      </c>
      <c r="P2236">
        <f t="shared" si="103"/>
        <v>1.0060400075409399</v>
      </c>
      <c r="Q2236" t="str">
        <f t="shared" ca="1" si="104"/>
        <v>No</v>
      </c>
    </row>
    <row r="2237" spans="1:17" x14ac:dyDescent="0.45">
      <c r="A2237" t="s">
        <v>110</v>
      </c>
      <c r="B2237" t="s">
        <v>111</v>
      </c>
      <c r="C2237" t="s">
        <v>19</v>
      </c>
      <c r="D2237" t="s">
        <v>20</v>
      </c>
      <c r="E2237" t="s">
        <v>21</v>
      </c>
      <c r="F2237" s="1">
        <v>44287</v>
      </c>
      <c r="G2237">
        <v>4.2699999999999996</v>
      </c>
      <c r="H2237">
        <v>86.458600000000004</v>
      </c>
      <c r="I2237">
        <v>9.43</v>
      </c>
      <c r="J2237">
        <v>84.78</v>
      </c>
      <c r="K2237" t="s">
        <v>31</v>
      </c>
      <c r="L2237">
        <v>526.89</v>
      </c>
      <c r="M2237">
        <f>VLOOKUP(K2237,RatingLookup!$A$2:$C$8,2,FALSE)</f>
        <v>0.04</v>
      </c>
      <c r="N2237">
        <f t="shared" si="102"/>
        <v>3.3960531989175591E-3</v>
      </c>
      <c r="O2237">
        <f>VLOOKUP(K2237,RatingLookup!$A$2:$C$8,3,FALSE)</f>
        <v>0.6</v>
      </c>
      <c r="P2237">
        <f t="shared" si="103"/>
        <v>1.0736078819866035</v>
      </c>
      <c r="Q2237" t="str">
        <f t="shared" ca="1" si="104"/>
        <v>No</v>
      </c>
    </row>
    <row r="2238" spans="1:17" x14ac:dyDescent="0.45">
      <c r="A2238" t="s">
        <v>110</v>
      </c>
      <c r="B2238" t="s">
        <v>111</v>
      </c>
      <c r="C2238" t="s">
        <v>19</v>
      </c>
      <c r="D2238" t="s">
        <v>20</v>
      </c>
      <c r="E2238" t="s">
        <v>21</v>
      </c>
      <c r="F2238" s="1">
        <v>44317</v>
      </c>
      <c r="G2238">
        <v>6.28</v>
      </c>
      <c r="H2238">
        <v>75.641999999999996</v>
      </c>
      <c r="I2238">
        <v>28.26</v>
      </c>
      <c r="J2238">
        <v>81.010000000000005</v>
      </c>
      <c r="K2238" t="s">
        <v>31</v>
      </c>
      <c r="L2238">
        <v>515.30999999999995</v>
      </c>
      <c r="M2238">
        <f>VLOOKUP(K2238,RatingLookup!$A$2:$C$8,2,FALSE)</f>
        <v>0.04</v>
      </c>
      <c r="N2238">
        <f t="shared" si="102"/>
        <v>3.3960531989175591E-3</v>
      </c>
      <c r="O2238">
        <f>VLOOKUP(K2238,RatingLookup!$A$2:$C$8,3,FALSE)</f>
        <v>0.6</v>
      </c>
      <c r="P2238">
        <f t="shared" si="103"/>
        <v>1.0500121043605242</v>
      </c>
      <c r="Q2238" t="str">
        <f t="shared" ca="1" si="104"/>
        <v>No</v>
      </c>
    </row>
    <row r="2239" spans="1:17" x14ac:dyDescent="0.45">
      <c r="A2239" t="s">
        <v>110</v>
      </c>
      <c r="B2239" t="s">
        <v>111</v>
      </c>
      <c r="C2239" t="s">
        <v>19</v>
      </c>
      <c r="D2239" t="s">
        <v>20</v>
      </c>
      <c r="E2239" t="s">
        <v>21</v>
      </c>
      <c r="F2239" s="1">
        <v>44348</v>
      </c>
      <c r="G2239">
        <v>6.12</v>
      </c>
      <c r="H2239">
        <v>88.277299999999997</v>
      </c>
      <c r="I2239">
        <v>10.130000000000001</v>
      </c>
      <c r="J2239">
        <v>76.06</v>
      </c>
      <c r="K2239" t="s">
        <v>31</v>
      </c>
      <c r="L2239">
        <v>504.32</v>
      </c>
      <c r="M2239">
        <f>VLOOKUP(K2239,RatingLookup!$A$2:$C$8,2,FALSE)</f>
        <v>0.04</v>
      </c>
      <c r="N2239">
        <f t="shared" si="102"/>
        <v>3.3960531989175591E-3</v>
      </c>
      <c r="O2239">
        <f>VLOOKUP(K2239,RatingLookup!$A$2:$C$8,3,FALSE)</f>
        <v>0.6</v>
      </c>
      <c r="P2239">
        <f t="shared" si="103"/>
        <v>1.0276185295668621</v>
      </c>
      <c r="Q2239" t="str">
        <f t="shared" ca="1" si="104"/>
        <v>No</v>
      </c>
    </row>
    <row r="2240" spans="1:17" x14ac:dyDescent="0.45">
      <c r="A2240" t="s">
        <v>110</v>
      </c>
      <c r="B2240" t="s">
        <v>111</v>
      </c>
      <c r="C2240" t="s">
        <v>19</v>
      </c>
      <c r="D2240" t="s">
        <v>20</v>
      </c>
      <c r="E2240" t="s">
        <v>21</v>
      </c>
      <c r="F2240" s="1">
        <v>44378</v>
      </c>
      <c r="G2240">
        <v>5.0999999999999996</v>
      </c>
      <c r="H2240">
        <v>82.459900000000005</v>
      </c>
      <c r="I2240">
        <v>28.82</v>
      </c>
      <c r="J2240">
        <v>80.86</v>
      </c>
      <c r="K2240" t="s">
        <v>31</v>
      </c>
      <c r="L2240">
        <v>512.47</v>
      </c>
      <c r="M2240">
        <f>VLOOKUP(K2240,RatingLookup!$A$2:$C$8,2,FALSE)</f>
        <v>0.04</v>
      </c>
      <c r="N2240">
        <f t="shared" si="102"/>
        <v>3.3960531989175591E-3</v>
      </c>
      <c r="O2240">
        <f>VLOOKUP(K2240,RatingLookup!$A$2:$C$8,3,FALSE)</f>
        <v>0.6</v>
      </c>
      <c r="P2240">
        <f t="shared" si="103"/>
        <v>1.0442252297095689</v>
      </c>
      <c r="Q2240" t="str">
        <f t="shared" ca="1" si="104"/>
        <v>No</v>
      </c>
    </row>
    <row r="2241" spans="1:17" x14ac:dyDescent="0.45">
      <c r="A2241" t="s">
        <v>110</v>
      </c>
      <c r="B2241" t="s">
        <v>111</v>
      </c>
      <c r="C2241" t="s">
        <v>19</v>
      </c>
      <c r="D2241" t="s">
        <v>20</v>
      </c>
      <c r="E2241" t="s">
        <v>21</v>
      </c>
      <c r="F2241" s="1">
        <v>44409</v>
      </c>
      <c r="G2241">
        <v>5.07</v>
      </c>
      <c r="H2241">
        <v>77.2547</v>
      </c>
      <c r="I2241">
        <v>20.9</v>
      </c>
      <c r="J2241">
        <v>83.97</v>
      </c>
      <c r="K2241" t="s">
        <v>31</v>
      </c>
      <c r="L2241">
        <v>495.41</v>
      </c>
      <c r="M2241">
        <f>VLOOKUP(K2241,RatingLookup!$A$2:$C$8,2,FALSE)</f>
        <v>0.04</v>
      </c>
      <c r="N2241">
        <f t="shared" si="102"/>
        <v>3.3960531989175591E-3</v>
      </c>
      <c r="O2241">
        <f>VLOOKUP(K2241,RatingLookup!$A$2:$C$8,3,FALSE)</f>
        <v>0.6</v>
      </c>
      <c r="P2241">
        <f t="shared" si="103"/>
        <v>1.0094632291654488</v>
      </c>
      <c r="Q2241" t="str">
        <f t="shared" ca="1" si="104"/>
        <v>No</v>
      </c>
    </row>
    <row r="2242" spans="1:17" x14ac:dyDescent="0.45">
      <c r="A2242" t="s">
        <v>110</v>
      </c>
      <c r="B2242" t="s">
        <v>111</v>
      </c>
      <c r="C2242" t="s">
        <v>19</v>
      </c>
      <c r="D2242" t="s">
        <v>20</v>
      </c>
      <c r="E2242" t="s">
        <v>21</v>
      </c>
      <c r="F2242" s="1">
        <v>44440</v>
      </c>
      <c r="G2242">
        <v>5.43</v>
      </c>
      <c r="H2242">
        <v>81.423900000000003</v>
      </c>
      <c r="I2242">
        <v>21.05</v>
      </c>
      <c r="J2242">
        <v>82.92</v>
      </c>
      <c r="K2242" t="s">
        <v>31</v>
      </c>
      <c r="L2242">
        <v>491.78</v>
      </c>
      <c r="M2242">
        <f>VLOOKUP(K2242,RatingLookup!$A$2:$C$8,2,FALSE)</f>
        <v>0.04</v>
      </c>
      <c r="N2242">
        <f t="shared" ref="N2242:N2305" si="105">1-(1-M2242)^(1/12)</f>
        <v>3.3960531989175591E-3</v>
      </c>
      <c r="O2242">
        <f>VLOOKUP(K2242,RatingLookup!$A$2:$C$8,3,FALSE)</f>
        <v>0.6</v>
      </c>
      <c r="P2242">
        <f t="shared" ref="P2242:P2305" si="106">L2242*N2242*O2242</f>
        <v>1.0020666252982062</v>
      </c>
      <c r="Q2242" t="str">
        <f t="shared" ref="Q2242:Q2305" ca="1" si="107">IF(RAND()&lt;N2242,"Yes","No")</f>
        <v>No</v>
      </c>
    </row>
    <row r="2243" spans="1:17" x14ac:dyDescent="0.45">
      <c r="A2243" t="s">
        <v>110</v>
      </c>
      <c r="B2243" t="s">
        <v>111</v>
      </c>
      <c r="C2243" t="s">
        <v>19</v>
      </c>
      <c r="D2243" t="s">
        <v>20</v>
      </c>
      <c r="E2243" t="s">
        <v>21</v>
      </c>
      <c r="F2243" s="1">
        <v>44470</v>
      </c>
      <c r="G2243">
        <v>4.66</v>
      </c>
      <c r="H2243">
        <v>84.476600000000005</v>
      </c>
      <c r="I2243">
        <v>24.29</v>
      </c>
      <c r="J2243">
        <v>74.08</v>
      </c>
      <c r="K2243" t="s">
        <v>32</v>
      </c>
      <c r="L2243">
        <v>527</v>
      </c>
      <c r="M2243">
        <f>VLOOKUP(K2243,RatingLookup!$A$2:$C$8,2,FALSE)</f>
        <v>0.12</v>
      </c>
      <c r="N2243">
        <f t="shared" si="105"/>
        <v>1.0596241035318976E-2</v>
      </c>
      <c r="O2243">
        <f>VLOOKUP(K2243,RatingLookup!$A$2:$C$8,3,FALSE)</f>
        <v>0.7</v>
      </c>
      <c r="P2243">
        <f t="shared" si="106"/>
        <v>3.90895331792917</v>
      </c>
      <c r="Q2243" t="str">
        <f t="shared" ca="1" si="107"/>
        <v>No</v>
      </c>
    </row>
    <row r="2244" spans="1:17" x14ac:dyDescent="0.45">
      <c r="A2244" t="s">
        <v>110</v>
      </c>
      <c r="B2244" t="s">
        <v>111</v>
      </c>
      <c r="C2244" t="s">
        <v>19</v>
      </c>
      <c r="D2244" t="s">
        <v>20</v>
      </c>
      <c r="E2244" t="s">
        <v>21</v>
      </c>
      <c r="F2244" s="1">
        <v>44501</v>
      </c>
      <c r="G2244">
        <v>5.12</v>
      </c>
      <c r="H2244">
        <v>84.102800000000002</v>
      </c>
      <c r="I2244">
        <v>17.52</v>
      </c>
      <c r="J2244">
        <v>77.680000000000007</v>
      </c>
      <c r="K2244" t="s">
        <v>32</v>
      </c>
      <c r="L2244">
        <v>506.27</v>
      </c>
      <c r="M2244">
        <f>VLOOKUP(K2244,RatingLookup!$A$2:$C$8,2,FALSE)</f>
        <v>0.12</v>
      </c>
      <c r="N2244">
        <f t="shared" si="105"/>
        <v>1.0596241035318976E-2</v>
      </c>
      <c r="O2244">
        <f>VLOOKUP(K2244,RatingLookup!$A$2:$C$8,3,FALSE)</f>
        <v>0.7</v>
      </c>
      <c r="P2244">
        <f t="shared" si="106"/>
        <v>3.7551912642656564</v>
      </c>
      <c r="Q2244" t="str">
        <f t="shared" ca="1" si="107"/>
        <v>No</v>
      </c>
    </row>
    <row r="2245" spans="1:17" x14ac:dyDescent="0.45">
      <c r="A2245" t="s">
        <v>110</v>
      </c>
      <c r="B2245" t="s">
        <v>111</v>
      </c>
      <c r="C2245" t="s">
        <v>19</v>
      </c>
      <c r="D2245" t="s">
        <v>20</v>
      </c>
      <c r="E2245" t="s">
        <v>21</v>
      </c>
      <c r="F2245" s="1">
        <v>44531</v>
      </c>
      <c r="G2245">
        <v>6.77</v>
      </c>
      <c r="H2245">
        <v>86.035899999999998</v>
      </c>
      <c r="I2245">
        <v>23.41</v>
      </c>
      <c r="J2245">
        <v>71.95</v>
      </c>
      <c r="K2245" t="s">
        <v>32</v>
      </c>
      <c r="L2245">
        <v>546.28</v>
      </c>
      <c r="M2245">
        <f>VLOOKUP(K2245,RatingLookup!$A$2:$C$8,2,FALSE)</f>
        <v>0.12</v>
      </c>
      <c r="N2245">
        <f t="shared" si="105"/>
        <v>1.0596241035318976E-2</v>
      </c>
      <c r="O2245">
        <f>VLOOKUP(K2245,RatingLookup!$A$2:$C$8,3,FALSE)</f>
        <v>0.7</v>
      </c>
      <c r="P2245">
        <f t="shared" si="106"/>
        <v>4.0519601869418347</v>
      </c>
      <c r="Q2245" t="str">
        <f t="shared" ca="1" si="107"/>
        <v>No</v>
      </c>
    </row>
    <row r="2246" spans="1:17" x14ac:dyDescent="0.45">
      <c r="A2246" t="s">
        <v>110</v>
      </c>
      <c r="B2246" t="s">
        <v>111</v>
      </c>
      <c r="C2246" t="s">
        <v>19</v>
      </c>
      <c r="D2246" t="s">
        <v>20</v>
      </c>
      <c r="E2246" t="s">
        <v>21</v>
      </c>
      <c r="F2246" s="1">
        <v>44562</v>
      </c>
      <c r="G2246">
        <v>5.57</v>
      </c>
      <c r="H2246">
        <v>81.557100000000005</v>
      </c>
      <c r="I2246">
        <v>21.76</v>
      </c>
      <c r="J2246">
        <v>96.19</v>
      </c>
      <c r="K2246" t="s">
        <v>32</v>
      </c>
      <c r="L2246">
        <v>508.07</v>
      </c>
      <c r="M2246">
        <f>VLOOKUP(K2246,RatingLookup!$A$2:$C$8,2,FALSE)</f>
        <v>0.12</v>
      </c>
      <c r="N2246">
        <f t="shared" si="105"/>
        <v>1.0596241035318976E-2</v>
      </c>
      <c r="O2246">
        <f>VLOOKUP(K2246,RatingLookup!$A$2:$C$8,3,FALSE)</f>
        <v>0.7</v>
      </c>
      <c r="P2246">
        <f t="shared" si="106"/>
        <v>3.7685425279701583</v>
      </c>
      <c r="Q2246" t="str">
        <f t="shared" ca="1" si="107"/>
        <v>No</v>
      </c>
    </row>
    <row r="2247" spans="1:17" x14ac:dyDescent="0.45">
      <c r="A2247" t="s">
        <v>110</v>
      </c>
      <c r="B2247" t="s">
        <v>111</v>
      </c>
      <c r="C2247" t="s">
        <v>19</v>
      </c>
      <c r="D2247" t="s">
        <v>20</v>
      </c>
      <c r="E2247" t="s">
        <v>21</v>
      </c>
      <c r="F2247" s="1">
        <v>44593</v>
      </c>
      <c r="G2247">
        <v>6.69</v>
      </c>
      <c r="H2247">
        <v>79.435500000000005</v>
      </c>
      <c r="I2247">
        <v>15.15</v>
      </c>
      <c r="J2247">
        <v>75.319999999999993</v>
      </c>
      <c r="K2247" t="s">
        <v>32</v>
      </c>
      <c r="L2247">
        <v>493.16</v>
      </c>
      <c r="M2247">
        <f>VLOOKUP(K2247,RatingLookup!$A$2:$C$8,2,FALSE)</f>
        <v>0.12</v>
      </c>
      <c r="N2247">
        <f t="shared" si="105"/>
        <v>1.0596241035318976E-2</v>
      </c>
      <c r="O2247">
        <f>VLOOKUP(K2247,RatingLookup!$A$2:$C$8,3,FALSE)</f>
        <v>0.7</v>
      </c>
      <c r="P2247">
        <f t="shared" si="106"/>
        <v>3.6579495602845342</v>
      </c>
      <c r="Q2247" t="str">
        <f t="shared" ca="1" si="107"/>
        <v>No</v>
      </c>
    </row>
    <row r="2248" spans="1:17" x14ac:dyDescent="0.45">
      <c r="A2248" t="s">
        <v>110</v>
      </c>
      <c r="B2248" t="s">
        <v>111</v>
      </c>
      <c r="C2248" t="s">
        <v>19</v>
      </c>
      <c r="D2248" t="s">
        <v>20</v>
      </c>
      <c r="E2248" t="s">
        <v>21</v>
      </c>
      <c r="F2248" s="1">
        <v>44621</v>
      </c>
      <c r="G2248">
        <v>4.92</v>
      </c>
      <c r="H2248">
        <v>80.615399999999994</v>
      </c>
      <c r="I2248">
        <v>16.8</v>
      </c>
      <c r="J2248">
        <v>89.47</v>
      </c>
      <c r="K2248" t="s">
        <v>32</v>
      </c>
      <c r="L2248">
        <v>464.99</v>
      </c>
      <c r="M2248">
        <f>VLOOKUP(K2248,RatingLookup!$A$2:$C$8,2,FALSE)</f>
        <v>0.12</v>
      </c>
      <c r="N2248">
        <f t="shared" si="105"/>
        <v>1.0596241035318976E-2</v>
      </c>
      <c r="O2248">
        <f>VLOOKUP(K2248,RatingLookup!$A$2:$C$8,3,FALSE)</f>
        <v>0.7</v>
      </c>
      <c r="P2248">
        <f t="shared" si="106"/>
        <v>3.4490022833090794</v>
      </c>
      <c r="Q2248" t="str">
        <f t="shared" ca="1" si="107"/>
        <v>No</v>
      </c>
    </row>
    <row r="2249" spans="1:17" x14ac:dyDescent="0.45">
      <c r="A2249" t="s">
        <v>110</v>
      </c>
      <c r="B2249" t="s">
        <v>111</v>
      </c>
      <c r="C2249" t="s">
        <v>19</v>
      </c>
      <c r="D2249" t="s">
        <v>20</v>
      </c>
      <c r="E2249" t="s">
        <v>21</v>
      </c>
      <c r="F2249" s="1">
        <v>44652</v>
      </c>
      <c r="G2249">
        <v>4.25</v>
      </c>
      <c r="H2249">
        <v>84.132400000000004</v>
      </c>
      <c r="I2249">
        <v>16.399999999999999</v>
      </c>
      <c r="J2249">
        <v>74</v>
      </c>
      <c r="K2249" t="s">
        <v>32</v>
      </c>
      <c r="L2249">
        <v>491.11</v>
      </c>
      <c r="M2249">
        <f>VLOOKUP(K2249,RatingLookup!$A$2:$C$8,2,FALSE)</f>
        <v>0.12</v>
      </c>
      <c r="N2249">
        <f t="shared" si="105"/>
        <v>1.0596241035318976E-2</v>
      </c>
      <c r="O2249">
        <f>VLOOKUP(K2249,RatingLookup!$A$2:$C$8,3,FALSE)</f>
        <v>0.7</v>
      </c>
      <c r="P2249">
        <f t="shared" si="106"/>
        <v>3.6427439543988513</v>
      </c>
      <c r="Q2249" t="str">
        <f t="shared" ca="1" si="107"/>
        <v>No</v>
      </c>
    </row>
    <row r="2250" spans="1:17" x14ac:dyDescent="0.45">
      <c r="A2250" t="s">
        <v>110</v>
      </c>
      <c r="B2250" t="s">
        <v>111</v>
      </c>
      <c r="C2250" t="s">
        <v>19</v>
      </c>
      <c r="D2250" t="s">
        <v>20</v>
      </c>
      <c r="E2250" t="s">
        <v>21</v>
      </c>
      <c r="F2250" s="1">
        <v>44682</v>
      </c>
      <c r="G2250">
        <v>6.29</v>
      </c>
      <c r="H2250">
        <v>81.721299999999999</v>
      </c>
      <c r="I2250">
        <v>19.07</v>
      </c>
      <c r="J2250">
        <v>78.989999999999995</v>
      </c>
      <c r="K2250" t="s">
        <v>32</v>
      </c>
      <c r="L2250">
        <v>474.56</v>
      </c>
      <c r="M2250">
        <f>VLOOKUP(K2250,RatingLookup!$A$2:$C$8,2,FALSE)</f>
        <v>0.12</v>
      </c>
      <c r="N2250">
        <f t="shared" si="105"/>
        <v>1.0596241035318976E-2</v>
      </c>
      <c r="O2250">
        <f>VLOOKUP(K2250,RatingLookup!$A$2:$C$8,3,FALSE)</f>
        <v>0.7</v>
      </c>
      <c r="P2250">
        <f t="shared" si="106"/>
        <v>3.5199865020046812</v>
      </c>
      <c r="Q2250" t="str">
        <f t="shared" ca="1" si="107"/>
        <v>No</v>
      </c>
    </row>
    <row r="2251" spans="1:17" x14ac:dyDescent="0.45">
      <c r="A2251" t="s">
        <v>110</v>
      </c>
      <c r="B2251" t="s">
        <v>111</v>
      </c>
      <c r="C2251" t="s">
        <v>19</v>
      </c>
      <c r="D2251" t="s">
        <v>20</v>
      </c>
      <c r="E2251" t="s">
        <v>21</v>
      </c>
      <c r="F2251" s="1">
        <v>44713</v>
      </c>
      <c r="G2251">
        <v>5.24</v>
      </c>
      <c r="H2251">
        <v>83.138800000000003</v>
      </c>
      <c r="I2251">
        <v>14.42</v>
      </c>
      <c r="J2251">
        <v>73.599999999999994</v>
      </c>
      <c r="K2251" t="s">
        <v>32</v>
      </c>
      <c r="L2251">
        <v>516.76</v>
      </c>
      <c r="M2251">
        <f>VLOOKUP(K2251,RatingLookup!$A$2:$C$8,2,FALSE)</f>
        <v>0.12</v>
      </c>
      <c r="N2251">
        <f t="shared" si="105"/>
        <v>1.0596241035318976E-2</v>
      </c>
      <c r="O2251">
        <f>VLOOKUP(K2251,RatingLookup!$A$2:$C$8,3,FALSE)</f>
        <v>0.7</v>
      </c>
      <c r="P2251">
        <f t="shared" si="106"/>
        <v>3.8329994621880039</v>
      </c>
      <c r="Q2251" t="str">
        <f t="shared" ca="1" si="107"/>
        <v>No</v>
      </c>
    </row>
    <row r="2252" spans="1:17" x14ac:dyDescent="0.45">
      <c r="A2252" t="s">
        <v>110</v>
      </c>
      <c r="B2252" t="s">
        <v>111</v>
      </c>
      <c r="C2252" t="s">
        <v>19</v>
      </c>
      <c r="D2252" t="s">
        <v>20</v>
      </c>
      <c r="E2252" t="s">
        <v>21</v>
      </c>
      <c r="F2252" s="1">
        <v>44743</v>
      </c>
      <c r="G2252">
        <v>4.53</v>
      </c>
      <c r="H2252">
        <v>81.017099999999999</v>
      </c>
      <c r="I2252">
        <v>9.7200000000000006</v>
      </c>
      <c r="J2252">
        <v>91.24</v>
      </c>
      <c r="K2252" t="s">
        <v>32</v>
      </c>
      <c r="L2252">
        <v>499.17</v>
      </c>
      <c r="M2252">
        <f>VLOOKUP(K2252,RatingLookup!$A$2:$C$8,2,FALSE)</f>
        <v>0.12</v>
      </c>
      <c r="N2252">
        <f t="shared" si="105"/>
        <v>1.0596241035318976E-2</v>
      </c>
      <c r="O2252">
        <f>VLOOKUP(K2252,RatingLookup!$A$2:$C$8,3,FALSE)</f>
        <v>0.7</v>
      </c>
      <c r="P2252">
        <f t="shared" si="106"/>
        <v>3.7025279463201213</v>
      </c>
      <c r="Q2252" t="str">
        <f t="shared" ca="1" si="107"/>
        <v>No</v>
      </c>
    </row>
    <row r="2253" spans="1:17" x14ac:dyDescent="0.45">
      <c r="A2253" t="s">
        <v>110</v>
      </c>
      <c r="B2253" t="s">
        <v>111</v>
      </c>
      <c r="C2253" t="s">
        <v>19</v>
      </c>
      <c r="D2253" t="s">
        <v>20</v>
      </c>
      <c r="E2253" t="s">
        <v>21</v>
      </c>
      <c r="F2253" s="1">
        <v>44774</v>
      </c>
      <c r="G2253">
        <v>5.33</v>
      </c>
      <c r="H2253">
        <v>83.614000000000004</v>
      </c>
      <c r="I2253">
        <v>27.01</v>
      </c>
      <c r="J2253">
        <v>80.260000000000005</v>
      </c>
      <c r="K2253" t="s">
        <v>32</v>
      </c>
      <c r="L2253">
        <v>529.21</v>
      </c>
      <c r="M2253">
        <f>VLOOKUP(K2253,RatingLookup!$A$2:$C$8,2,FALSE)</f>
        <v>0.12</v>
      </c>
      <c r="N2253">
        <f t="shared" si="105"/>
        <v>1.0596241035318976E-2</v>
      </c>
      <c r="O2253">
        <f>VLOOKUP(K2253,RatingLookup!$A$2:$C$8,3,FALSE)</f>
        <v>0.7</v>
      </c>
      <c r="P2253">
        <f t="shared" si="106"/>
        <v>3.9253457028108087</v>
      </c>
      <c r="Q2253" t="str">
        <f t="shared" ca="1" si="107"/>
        <v>No</v>
      </c>
    </row>
    <row r="2254" spans="1:17" x14ac:dyDescent="0.45">
      <c r="A2254" t="s">
        <v>110</v>
      </c>
      <c r="B2254" t="s">
        <v>111</v>
      </c>
      <c r="C2254" t="s">
        <v>19</v>
      </c>
      <c r="D2254" t="s">
        <v>20</v>
      </c>
      <c r="E2254" t="s">
        <v>21</v>
      </c>
      <c r="F2254" s="1">
        <v>44805</v>
      </c>
      <c r="G2254">
        <v>5.64</v>
      </c>
      <c r="H2254">
        <v>80.896600000000007</v>
      </c>
      <c r="I2254">
        <v>22.77</v>
      </c>
      <c r="J2254">
        <v>74.11</v>
      </c>
      <c r="K2254" t="s">
        <v>32</v>
      </c>
      <c r="L2254">
        <v>497.46</v>
      </c>
      <c r="M2254">
        <f>VLOOKUP(K2254,RatingLookup!$A$2:$C$8,2,FALSE)</f>
        <v>0.12</v>
      </c>
      <c r="N2254">
        <f t="shared" si="105"/>
        <v>1.0596241035318976E-2</v>
      </c>
      <c r="O2254">
        <f>VLOOKUP(K2254,RatingLookup!$A$2:$C$8,3,FALSE)</f>
        <v>0.7</v>
      </c>
      <c r="P2254">
        <f t="shared" si="106"/>
        <v>3.689844245800844</v>
      </c>
      <c r="Q2254" t="str">
        <f t="shared" ca="1" si="107"/>
        <v>No</v>
      </c>
    </row>
    <row r="2255" spans="1:17" x14ac:dyDescent="0.45">
      <c r="A2255" t="s">
        <v>110</v>
      </c>
      <c r="B2255" t="s">
        <v>111</v>
      </c>
      <c r="C2255" t="s">
        <v>19</v>
      </c>
      <c r="D2255" t="s">
        <v>20</v>
      </c>
      <c r="E2255" t="s">
        <v>21</v>
      </c>
      <c r="F2255" s="1">
        <v>44835</v>
      </c>
      <c r="G2255">
        <v>4.16</v>
      </c>
      <c r="H2255">
        <v>85.567400000000006</v>
      </c>
      <c r="I2255">
        <v>23.88</v>
      </c>
      <c r="J2255">
        <v>78.540000000000006</v>
      </c>
      <c r="K2255" t="s">
        <v>32</v>
      </c>
      <c r="L2255">
        <v>460.22</v>
      </c>
      <c r="M2255">
        <f>VLOOKUP(K2255,RatingLookup!$A$2:$C$8,2,FALSE)</f>
        <v>0.12</v>
      </c>
      <c r="N2255">
        <f t="shared" si="105"/>
        <v>1.0596241035318976E-2</v>
      </c>
      <c r="O2255">
        <f>VLOOKUP(K2255,RatingLookup!$A$2:$C$8,3,FALSE)</f>
        <v>0.7</v>
      </c>
      <c r="P2255">
        <f t="shared" si="106"/>
        <v>3.4136214344921494</v>
      </c>
      <c r="Q2255" t="str">
        <f t="shared" ca="1" si="107"/>
        <v>No</v>
      </c>
    </row>
    <row r="2256" spans="1:17" x14ac:dyDescent="0.45">
      <c r="A2256" t="s">
        <v>110</v>
      </c>
      <c r="B2256" t="s">
        <v>111</v>
      </c>
      <c r="C2256" t="s">
        <v>19</v>
      </c>
      <c r="D2256" t="s">
        <v>20</v>
      </c>
      <c r="E2256" t="s">
        <v>21</v>
      </c>
      <c r="F2256" s="1">
        <v>44866</v>
      </c>
      <c r="G2256">
        <v>5.38</v>
      </c>
      <c r="H2256">
        <v>80.013099999999994</v>
      </c>
      <c r="I2256">
        <v>25.59</v>
      </c>
      <c r="J2256">
        <v>62.16</v>
      </c>
      <c r="K2256" t="s">
        <v>32</v>
      </c>
      <c r="L2256">
        <v>496.25</v>
      </c>
      <c r="M2256">
        <f>VLOOKUP(K2256,RatingLookup!$A$2:$C$8,2,FALSE)</f>
        <v>0.12</v>
      </c>
      <c r="N2256">
        <f t="shared" si="105"/>
        <v>1.0596241035318976E-2</v>
      </c>
      <c r="O2256">
        <f>VLOOKUP(K2256,RatingLookup!$A$2:$C$8,3,FALSE)</f>
        <v>0.7</v>
      </c>
      <c r="P2256">
        <f t="shared" si="106"/>
        <v>3.6808692296439292</v>
      </c>
      <c r="Q2256" t="str">
        <f t="shared" ca="1" si="107"/>
        <v>No</v>
      </c>
    </row>
    <row r="2257" spans="1:17" x14ac:dyDescent="0.45">
      <c r="A2257" t="s">
        <v>110</v>
      </c>
      <c r="B2257" t="s">
        <v>111</v>
      </c>
      <c r="C2257" t="s">
        <v>19</v>
      </c>
      <c r="D2257" t="s">
        <v>20</v>
      </c>
      <c r="E2257" t="s">
        <v>21</v>
      </c>
      <c r="F2257" s="1">
        <v>44896</v>
      </c>
      <c r="G2257">
        <v>5.83</v>
      </c>
      <c r="H2257">
        <v>80.376999999999995</v>
      </c>
      <c r="I2257">
        <v>14.51</v>
      </c>
      <c r="J2257">
        <v>86.34</v>
      </c>
      <c r="K2257" t="s">
        <v>32</v>
      </c>
      <c r="L2257">
        <v>503.08</v>
      </c>
      <c r="M2257">
        <f>VLOOKUP(K2257,RatingLookup!$A$2:$C$8,2,FALSE)</f>
        <v>0.12</v>
      </c>
      <c r="N2257">
        <f t="shared" si="105"/>
        <v>1.0596241035318976E-2</v>
      </c>
      <c r="O2257">
        <f>VLOOKUP(K2257,RatingLookup!$A$2:$C$8,3,FALSE)</f>
        <v>0.7</v>
      </c>
      <c r="P2257">
        <f t="shared" si="106"/>
        <v>3.731529858033789</v>
      </c>
      <c r="Q2257" t="str">
        <f t="shared" ca="1" si="107"/>
        <v>No</v>
      </c>
    </row>
    <row r="2258" spans="1:17" x14ac:dyDescent="0.45">
      <c r="A2258" t="s">
        <v>110</v>
      </c>
      <c r="B2258" t="s">
        <v>111</v>
      </c>
      <c r="C2258" t="s">
        <v>19</v>
      </c>
      <c r="D2258" t="s">
        <v>20</v>
      </c>
      <c r="E2258" t="s">
        <v>21</v>
      </c>
      <c r="F2258" s="1">
        <v>44927</v>
      </c>
      <c r="G2258">
        <v>5.05</v>
      </c>
      <c r="H2258">
        <v>84.565899999999999</v>
      </c>
      <c r="I2258">
        <v>21.42</v>
      </c>
      <c r="J2258">
        <v>76.36</v>
      </c>
      <c r="K2258" t="s">
        <v>32</v>
      </c>
      <c r="L2258">
        <v>494.52</v>
      </c>
      <c r="M2258">
        <f>VLOOKUP(K2258,RatingLookup!$A$2:$C$8,2,FALSE)</f>
        <v>0.12</v>
      </c>
      <c r="N2258">
        <f t="shared" si="105"/>
        <v>1.0596241035318976E-2</v>
      </c>
      <c r="O2258">
        <f>VLOOKUP(K2258,RatingLookup!$A$2:$C$8,3,FALSE)</f>
        <v>0.7</v>
      </c>
      <c r="P2258">
        <f t="shared" si="106"/>
        <v>3.6680371817501576</v>
      </c>
      <c r="Q2258" t="str">
        <f t="shared" ca="1" si="107"/>
        <v>No</v>
      </c>
    </row>
    <row r="2259" spans="1:17" x14ac:dyDescent="0.45">
      <c r="A2259" t="s">
        <v>110</v>
      </c>
      <c r="B2259" t="s">
        <v>111</v>
      </c>
      <c r="C2259" t="s">
        <v>19</v>
      </c>
      <c r="D2259" t="s">
        <v>20</v>
      </c>
      <c r="E2259" t="s">
        <v>21</v>
      </c>
      <c r="F2259" s="1">
        <v>44958</v>
      </c>
      <c r="G2259">
        <v>5.29</v>
      </c>
      <c r="H2259">
        <v>82.198800000000006</v>
      </c>
      <c r="I2259">
        <v>12.92</v>
      </c>
      <c r="J2259">
        <v>84.59</v>
      </c>
      <c r="K2259" t="s">
        <v>32</v>
      </c>
      <c r="L2259">
        <v>512.01</v>
      </c>
      <c r="M2259">
        <f>VLOOKUP(K2259,RatingLookup!$A$2:$C$8,2,FALSE)</f>
        <v>0.12</v>
      </c>
      <c r="N2259">
        <f t="shared" si="105"/>
        <v>1.0596241035318976E-2</v>
      </c>
      <c r="O2259">
        <f>VLOOKUP(K2259,RatingLookup!$A$2:$C$8,3,FALSE)</f>
        <v>0.7</v>
      </c>
      <c r="P2259">
        <f t="shared" si="106"/>
        <v>3.7977669607455677</v>
      </c>
      <c r="Q2259" t="str">
        <f t="shared" ca="1" si="107"/>
        <v>No</v>
      </c>
    </row>
    <row r="2260" spans="1:17" x14ac:dyDescent="0.45">
      <c r="A2260" t="s">
        <v>110</v>
      </c>
      <c r="B2260" t="s">
        <v>111</v>
      </c>
      <c r="C2260" t="s">
        <v>19</v>
      </c>
      <c r="D2260" t="s">
        <v>20</v>
      </c>
      <c r="E2260" t="s">
        <v>21</v>
      </c>
      <c r="F2260" s="1">
        <v>44986</v>
      </c>
      <c r="G2260">
        <v>5.43</v>
      </c>
      <c r="H2260">
        <v>79.875900000000001</v>
      </c>
      <c r="I2260">
        <v>19.2</v>
      </c>
      <c r="J2260">
        <v>62.35</v>
      </c>
      <c r="K2260" t="s">
        <v>32</v>
      </c>
      <c r="L2260">
        <v>467.18</v>
      </c>
      <c r="M2260">
        <f>VLOOKUP(K2260,RatingLookup!$A$2:$C$8,2,FALSE)</f>
        <v>0.12</v>
      </c>
      <c r="N2260">
        <f t="shared" si="105"/>
        <v>1.0596241035318976E-2</v>
      </c>
      <c r="O2260">
        <f>VLOOKUP(K2260,RatingLookup!$A$2:$C$8,3,FALSE)</f>
        <v>0.7</v>
      </c>
      <c r="P2260">
        <f t="shared" si="106"/>
        <v>3.4652463208162239</v>
      </c>
      <c r="Q2260" t="str">
        <f t="shared" ca="1" si="107"/>
        <v>No</v>
      </c>
    </row>
    <row r="2261" spans="1:17" x14ac:dyDescent="0.45">
      <c r="A2261" t="s">
        <v>110</v>
      </c>
      <c r="B2261" t="s">
        <v>111</v>
      </c>
      <c r="C2261" t="s">
        <v>19</v>
      </c>
      <c r="D2261" t="s">
        <v>20</v>
      </c>
      <c r="E2261" t="s">
        <v>21</v>
      </c>
      <c r="F2261" s="1">
        <v>45017</v>
      </c>
      <c r="G2261">
        <v>5.19</v>
      </c>
      <c r="H2261">
        <v>83.487499999999997</v>
      </c>
      <c r="I2261">
        <v>27.04</v>
      </c>
      <c r="J2261">
        <v>79.83</v>
      </c>
      <c r="K2261" t="s">
        <v>32</v>
      </c>
      <c r="L2261">
        <v>502.95</v>
      </c>
      <c r="M2261">
        <f>VLOOKUP(K2261,RatingLookup!$A$2:$C$8,2,FALSE)</f>
        <v>0.12</v>
      </c>
      <c r="N2261">
        <f t="shared" si="105"/>
        <v>1.0596241035318976E-2</v>
      </c>
      <c r="O2261">
        <f>VLOOKUP(K2261,RatingLookup!$A$2:$C$8,3,FALSE)</f>
        <v>0.7</v>
      </c>
      <c r="P2261">
        <f t="shared" si="106"/>
        <v>3.7305656000995753</v>
      </c>
      <c r="Q2261" t="str">
        <f t="shared" ca="1" si="107"/>
        <v>No</v>
      </c>
    </row>
    <row r="2262" spans="1:17" x14ac:dyDescent="0.45">
      <c r="A2262" t="s">
        <v>110</v>
      </c>
      <c r="B2262" t="s">
        <v>111</v>
      </c>
      <c r="C2262" t="s">
        <v>19</v>
      </c>
      <c r="D2262" t="s">
        <v>20</v>
      </c>
      <c r="E2262" t="s">
        <v>21</v>
      </c>
      <c r="F2262" s="1">
        <v>45047</v>
      </c>
      <c r="G2262">
        <v>5.54</v>
      </c>
      <c r="H2262">
        <v>83.004300000000001</v>
      </c>
      <c r="I2262">
        <v>20.54</v>
      </c>
      <c r="J2262">
        <v>91.7</v>
      </c>
      <c r="K2262" t="s">
        <v>32</v>
      </c>
      <c r="L2262">
        <v>470.52</v>
      </c>
      <c r="M2262">
        <f>VLOOKUP(K2262,RatingLookup!$A$2:$C$8,2,FALSE)</f>
        <v>0.12</v>
      </c>
      <c r="N2262">
        <f t="shared" si="105"/>
        <v>1.0596241035318976E-2</v>
      </c>
      <c r="O2262">
        <f>VLOOKUP(K2262,RatingLookup!$A$2:$C$8,3,FALSE)</f>
        <v>0.7</v>
      </c>
      <c r="P2262">
        <f t="shared" si="106"/>
        <v>3.4900203323567989</v>
      </c>
      <c r="Q2262" t="str">
        <f t="shared" ca="1" si="107"/>
        <v>No</v>
      </c>
    </row>
    <row r="2263" spans="1:17" x14ac:dyDescent="0.45">
      <c r="A2263" t="s">
        <v>110</v>
      </c>
      <c r="B2263" t="s">
        <v>111</v>
      </c>
      <c r="C2263" t="s">
        <v>19</v>
      </c>
      <c r="D2263" t="s">
        <v>20</v>
      </c>
      <c r="E2263" t="s">
        <v>21</v>
      </c>
      <c r="F2263" s="1">
        <v>45078</v>
      </c>
      <c r="G2263">
        <v>6.51</v>
      </c>
      <c r="H2263">
        <v>79.704099999999997</v>
      </c>
      <c r="I2263">
        <v>23.16</v>
      </c>
      <c r="J2263">
        <v>64.260000000000005</v>
      </c>
      <c r="K2263" t="s">
        <v>32</v>
      </c>
      <c r="L2263">
        <v>433.78</v>
      </c>
      <c r="M2263">
        <f>VLOOKUP(K2263,RatingLookup!$A$2:$C$8,2,FALSE)</f>
        <v>0.12</v>
      </c>
      <c r="N2263">
        <f t="shared" si="105"/>
        <v>1.0596241035318976E-2</v>
      </c>
      <c r="O2263">
        <f>VLOOKUP(K2263,RatingLookup!$A$2:$C$8,3,FALSE)</f>
        <v>0.7</v>
      </c>
      <c r="P2263">
        <f t="shared" si="106"/>
        <v>3.2175062054104653</v>
      </c>
      <c r="Q2263" t="str">
        <f t="shared" ca="1" si="107"/>
        <v>Yes</v>
      </c>
    </row>
    <row r="2264" spans="1:17" x14ac:dyDescent="0.45">
      <c r="A2264" t="s">
        <v>110</v>
      </c>
      <c r="B2264" t="s">
        <v>111</v>
      </c>
      <c r="C2264" t="s">
        <v>19</v>
      </c>
      <c r="D2264" t="s">
        <v>20</v>
      </c>
      <c r="E2264" t="s">
        <v>21</v>
      </c>
      <c r="F2264" s="1">
        <v>45108</v>
      </c>
      <c r="G2264">
        <v>6.16</v>
      </c>
      <c r="H2264">
        <v>83.034700000000001</v>
      </c>
      <c r="I2264">
        <v>14.37</v>
      </c>
      <c r="J2264">
        <v>73.8</v>
      </c>
      <c r="K2264" t="s">
        <v>32</v>
      </c>
      <c r="L2264">
        <v>583.74</v>
      </c>
      <c r="M2264">
        <f>VLOOKUP(K2264,RatingLookup!$A$2:$C$8,2,FALSE)</f>
        <v>0.12</v>
      </c>
      <c r="N2264">
        <f t="shared" si="105"/>
        <v>1.0596241035318976E-2</v>
      </c>
      <c r="O2264">
        <f>VLOOKUP(K2264,RatingLookup!$A$2:$C$8,3,FALSE)</f>
        <v>0.7</v>
      </c>
      <c r="P2264">
        <f t="shared" si="106"/>
        <v>4.329814819369969</v>
      </c>
      <c r="Q2264" t="str">
        <f t="shared" ca="1" si="107"/>
        <v>No</v>
      </c>
    </row>
    <row r="2265" spans="1:17" x14ac:dyDescent="0.45">
      <c r="A2265" t="s">
        <v>110</v>
      </c>
      <c r="B2265" t="s">
        <v>111</v>
      </c>
      <c r="C2265" t="s">
        <v>19</v>
      </c>
      <c r="D2265" t="s">
        <v>20</v>
      </c>
      <c r="E2265" t="s">
        <v>21</v>
      </c>
      <c r="F2265" s="1">
        <v>45139</v>
      </c>
      <c r="G2265">
        <v>4.9800000000000004</v>
      </c>
      <c r="H2265">
        <v>84.171400000000006</v>
      </c>
      <c r="I2265">
        <v>21.27</v>
      </c>
      <c r="J2265">
        <v>84.78</v>
      </c>
      <c r="K2265" t="s">
        <v>32</v>
      </c>
      <c r="L2265">
        <v>508.49</v>
      </c>
      <c r="M2265">
        <f>VLOOKUP(K2265,RatingLookup!$A$2:$C$8,2,FALSE)</f>
        <v>0.12</v>
      </c>
      <c r="N2265">
        <f t="shared" si="105"/>
        <v>1.0596241035318976E-2</v>
      </c>
      <c r="O2265">
        <f>VLOOKUP(K2265,RatingLookup!$A$2:$C$8,3,FALSE)</f>
        <v>0.7</v>
      </c>
      <c r="P2265">
        <f t="shared" si="106"/>
        <v>3.7716578228345421</v>
      </c>
      <c r="Q2265" t="str">
        <f t="shared" ca="1" si="107"/>
        <v>No</v>
      </c>
    </row>
    <row r="2266" spans="1:17" x14ac:dyDescent="0.45">
      <c r="A2266" t="s">
        <v>110</v>
      </c>
      <c r="B2266" t="s">
        <v>111</v>
      </c>
      <c r="C2266" t="s">
        <v>19</v>
      </c>
      <c r="D2266" t="s">
        <v>20</v>
      </c>
      <c r="E2266" t="s">
        <v>21</v>
      </c>
      <c r="F2266" s="1">
        <v>45170</v>
      </c>
      <c r="G2266">
        <v>5.59</v>
      </c>
      <c r="H2266">
        <v>82.847899999999996</v>
      </c>
      <c r="I2266">
        <v>19.62</v>
      </c>
      <c r="J2266">
        <v>85.05</v>
      </c>
      <c r="K2266" t="s">
        <v>32</v>
      </c>
      <c r="L2266">
        <v>486.36</v>
      </c>
      <c r="M2266">
        <f>VLOOKUP(K2266,RatingLookup!$A$2:$C$8,2,FALSE)</f>
        <v>0.12</v>
      </c>
      <c r="N2266">
        <f t="shared" si="105"/>
        <v>1.0596241035318976E-2</v>
      </c>
      <c r="O2266">
        <f>VLOOKUP(K2266,RatingLookup!$A$2:$C$8,3,FALSE)</f>
        <v>0.7</v>
      </c>
      <c r="P2266">
        <f t="shared" si="106"/>
        <v>3.6075114529564161</v>
      </c>
      <c r="Q2266" t="str">
        <f t="shared" ca="1" si="107"/>
        <v>No</v>
      </c>
    </row>
    <row r="2267" spans="1:17" x14ac:dyDescent="0.45">
      <c r="A2267" t="s">
        <v>110</v>
      </c>
      <c r="B2267" t="s">
        <v>111</v>
      </c>
      <c r="C2267" t="s">
        <v>19</v>
      </c>
      <c r="D2267" t="s">
        <v>20</v>
      </c>
      <c r="E2267" t="s">
        <v>21</v>
      </c>
      <c r="F2267" s="1">
        <v>45200</v>
      </c>
      <c r="G2267">
        <v>5.13</v>
      </c>
      <c r="H2267">
        <v>81.665700000000001</v>
      </c>
      <c r="I2267">
        <v>15.42</v>
      </c>
      <c r="J2267">
        <v>85.45</v>
      </c>
      <c r="K2267" t="s">
        <v>32</v>
      </c>
      <c r="L2267">
        <v>491.09</v>
      </c>
      <c r="M2267">
        <f>VLOOKUP(K2267,RatingLookup!$A$2:$C$8,2,FALSE)</f>
        <v>0.12</v>
      </c>
      <c r="N2267">
        <f t="shared" si="105"/>
        <v>1.0596241035318976E-2</v>
      </c>
      <c r="O2267">
        <f>VLOOKUP(K2267,RatingLookup!$A$2:$C$8,3,FALSE)</f>
        <v>0.7</v>
      </c>
      <c r="P2267">
        <f t="shared" si="106"/>
        <v>3.642595607024357</v>
      </c>
      <c r="Q2267" t="str">
        <f t="shared" ca="1" si="107"/>
        <v>No</v>
      </c>
    </row>
    <row r="2268" spans="1:17" x14ac:dyDescent="0.45">
      <c r="A2268" t="s">
        <v>110</v>
      </c>
      <c r="B2268" t="s">
        <v>111</v>
      </c>
      <c r="C2268" t="s">
        <v>19</v>
      </c>
      <c r="D2268" t="s">
        <v>20</v>
      </c>
      <c r="E2268" t="s">
        <v>21</v>
      </c>
      <c r="F2268" s="1">
        <v>45231</v>
      </c>
      <c r="G2268">
        <v>4.78</v>
      </c>
      <c r="H2268">
        <v>81.827799999999996</v>
      </c>
      <c r="I2268">
        <v>22.85</v>
      </c>
      <c r="J2268">
        <v>73.599999999999994</v>
      </c>
      <c r="K2268" t="s">
        <v>32</v>
      </c>
      <c r="L2268">
        <v>495.59</v>
      </c>
      <c r="M2268">
        <f>VLOOKUP(K2268,RatingLookup!$A$2:$C$8,2,FALSE)</f>
        <v>0.12</v>
      </c>
      <c r="N2268">
        <f t="shared" si="105"/>
        <v>1.0596241035318976E-2</v>
      </c>
      <c r="O2268">
        <f>VLOOKUP(K2268,RatingLookup!$A$2:$C$8,3,FALSE)</f>
        <v>0.7</v>
      </c>
      <c r="P2268">
        <f t="shared" si="106"/>
        <v>3.6759737662856113</v>
      </c>
      <c r="Q2268" t="str">
        <f t="shared" ca="1" si="107"/>
        <v>No</v>
      </c>
    </row>
    <row r="2269" spans="1:17" x14ac:dyDescent="0.45">
      <c r="A2269" t="s">
        <v>110</v>
      </c>
      <c r="B2269" t="s">
        <v>111</v>
      </c>
      <c r="C2269" t="s">
        <v>19</v>
      </c>
      <c r="D2269" t="s">
        <v>20</v>
      </c>
      <c r="E2269" t="s">
        <v>21</v>
      </c>
      <c r="F2269" s="1">
        <v>45261</v>
      </c>
      <c r="G2269">
        <v>6.09</v>
      </c>
      <c r="H2269">
        <v>82.297899999999998</v>
      </c>
      <c r="I2269">
        <v>19.52</v>
      </c>
      <c r="J2269">
        <v>93.12</v>
      </c>
      <c r="K2269" t="s">
        <v>32</v>
      </c>
      <c r="L2269">
        <v>469.23</v>
      </c>
      <c r="M2269">
        <f>VLOOKUP(K2269,RatingLookup!$A$2:$C$8,2,FALSE)</f>
        <v>0.12</v>
      </c>
      <c r="N2269">
        <f t="shared" si="105"/>
        <v>1.0596241035318976E-2</v>
      </c>
      <c r="O2269">
        <f>VLOOKUP(K2269,RatingLookup!$A$2:$C$8,3,FALSE)</f>
        <v>0.7</v>
      </c>
      <c r="P2269">
        <f t="shared" si="106"/>
        <v>3.4804519267019058</v>
      </c>
      <c r="Q2269" t="str">
        <f t="shared" ca="1" si="107"/>
        <v>No</v>
      </c>
    </row>
    <row r="2270" spans="1:17" x14ac:dyDescent="0.45">
      <c r="A2270" t="s">
        <v>110</v>
      </c>
      <c r="B2270" t="s">
        <v>111</v>
      </c>
      <c r="C2270" t="s">
        <v>19</v>
      </c>
      <c r="D2270" t="s">
        <v>20</v>
      </c>
      <c r="E2270" t="s">
        <v>21</v>
      </c>
      <c r="F2270" s="1">
        <v>45292</v>
      </c>
      <c r="G2270">
        <v>4.96</v>
      </c>
      <c r="H2270">
        <v>86.053299999999993</v>
      </c>
      <c r="I2270">
        <v>24.9</v>
      </c>
      <c r="J2270">
        <v>95.18</v>
      </c>
      <c r="K2270" t="s">
        <v>32</v>
      </c>
      <c r="L2270">
        <v>525.63</v>
      </c>
      <c r="M2270">
        <f>VLOOKUP(K2270,RatingLookup!$A$2:$C$8,2,FALSE)</f>
        <v>0.12</v>
      </c>
      <c r="N2270">
        <f t="shared" si="105"/>
        <v>1.0596241035318976E-2</v>
      </c>
      <c r="O2270">
        <f>VLOOKUP(K2270,RatingLookup!$A$2:$C$8,3,FALSE)</f>
        <v>0.7</v>
      </c>
      <c r="P2270">
        <f t="shared" si="106"/>
        <v>3.8987915227762993</v>
      </c>
      <c r="Q2270" t="str">
        <f t="shared" ca="1" si="107"/>
        <v>No</v>
      </c>
    </row>
    <row r="2271" spans="1:17" x14ac:dyDescent="0.45">
      <c r="A2271" t="s">
        <v>110</v>
      </c>
      <c r="B2271" t="s">
        <v>111</v>
      </c>
      <c r="C2271" t="s">
        <v>19</v>
      </c>
      <c r="D2271" t="s">
        <v>20</v>
      </c>
      <c r="E2271" t="s">
        <v>21</v>
      </c>
      <c r="F2271" s="1">
        <v>45323</v>
      </c>
      <c r="G2271">
        <v>5.51</v>
      </c>
      <c r="H2271">
        <v>86.0197</v>
      </c>
      <c r="I2271">
        <v>9.89</v>
      </c>
      <c r="J2271">
        <v>78.94</v>
      </c>
      <c r="K2271" t="s">
        <v>31</v>
      </c>
      <c r="L2271">
        <v>503.99</v>
      </c>
      <c r="M2271">
        <f>VLOOKUP(K2271,RatingLookup!$A$2:$C$8,2,FALSE)</f>
        <v>0.04</v>
      </c>
      <c r="N2271">
        <f t="shared" si="105"/>
        <v>3.3960531989175591E-3</v>
      </c>
      <c r="O2271">
        <f>VLOOKUP(K2271,RatingLookup!$A$2:$C$8,3,FALSE)</f>
        <v>0.6</v>
      </c>
      <c r="P2271">
        <f t="shared" si="106"/>
        <v>1.0269461110334763</v>
      </c>
      <c r="Q2271" t="str">
        <f t="shared" ca="1" si="107"/>
        <v>No</v>
      </c>
    </row>
    <row r="2272" spans="1:17" x14ac:dyDescent="0.45">
      <c r="A2272" t="s">
        <v>110</v>
      </c>
      <c r="B2272" t="s">
        <v>111</v>
      </c>
      <c r="C2272" t="s">
        <v>19</v>
      </c>
      <c r="D2272" t="s">
        <v>20</v>
      </c>
      <c r="E2272" t="s">
        <v>21</v>
      </c>
      <c r="F2272" s="1">
        <v>45352</v>
      </c>
      <c r="G2272">
        <v>6.34</v>
      </c>
      <c r="H2272">
        <v>83.509100000000004</v>
      </c>
      <c r="I2272">
        <v>14.79</v>
      </c>
      <c r="J2272">
        <v>89.84</v>
      </c>
      <c r="K2272" t="s">
        <v>31</v>
      </c>
      <c r="L2272">
        <v>530.62</v>
      </c>
      <c r="M2272">
        <f>VLOOKUP(K2272,RatingLookup!$A$2:$C$8,2,FALSE)</f>
        <v>0.04</v>
      </c>
      <c r="N2272">
        <f t="shared" si="105"/>
        <v>3.3960531989175591E-3</v>
      </c>
      <c r="O2272">
        <f>VLOOKUP(K2272,RatingLookup!$A$2:$C$8,3,FALSE)</f>
        <v>0.6</v>
      </c>
      <c r="P2272">
        <f t="shared" si="106"/>
        <v>1.0812082490457811</v>
      </c>
      <c r="Q2272" t="str">
        <f t="shared" ca="1" si="107"/>
        <v>No</v>
      </c>
    </row>
    <row r="2273" spans="1:17" x14ac:dyDescent="0.45">
      <c r="A2273" t="s">
        <v>110</v>
      </c>
      <c r="B2273" t="s">
        <v>111</v>
      </c>
      <c r="C2273" t="s">
        <v>19</v>
      </c>
      <c r="D2273" t="s">
        <v>20</v>
      </c>
      <c r="E2273" t="s">
        <v>21</v>
      </c>
      <c r="F2273" s="1">
        <v>45383</v>
      </c>
      <c r="G2273">
        <v>6.18</v>
      </c>
      <c r="H2273">
        <v>81.980999999999995</v>
      </c>
      <c r="I2273">
        <v>16.79</v>
      </c>
      <c r="J2273">
        <v>69.7</v>
      </c>
      <c r="K2273" t="s">
        <v>31</v>
      </c>
      <c r="L2273">
        <v>501.07</v>
      </c>
      <c r="M2273">
        <f>VLOOKUP(K2273,RatingLookup!$A$2:$C$8,2,FALSE)</f>
        <v>0.04</v>
      </c>
      <c r="N2273">
        <f t="shared" si="105"/>
        <v>3.3960531989175591E-3</v>
      </c>
      <c r="O2273">
        <f>VLOOKUP(K2273,RatingLookup!$A$2:$C$8,3,FALSE)</f>
        <v>0.6</v>
      </c>
      <c r="P2273">
        <f t="shared" si="106"/>
        <v>1.0209962258289729</v>
      </c>
      <c r="Q2273" t="str">
        <f t="shared" ca="1" si="107"/>
        <v>No</v>
      </c>
    </row>
    <row r="2274" spans="1:17" x14ac:dyDescent="0.45">
      <c r="A2274" t="s">
        <v>110</v>
      </c>
      <c r="B2274" t="s">
        <v>111</v>
      </c>
      <c r="C2274" t="s">
        <v>19</v>
      </c>
      <c r="D2274" t="s">
        <v>20</v>
      </c>
      <c r="E2274" t="s">
        <v>21</v>
      </c>
      <c r="F2274" s="1">
        <v>45413</v>
      </c>
      <c r="G2274">
        <v>6.55</v>
      </c>
      <c r="H2274">
        <v>78.189099999999996</v>
      </c>
      <c r="I2274">
        <v>19.88</v>
      </c>
      <c r="J2274">
        <v>88.52</v>
      </c>
      <c r="K2274" t="s">
        <v>31</v>
      </c>
      <c r="L2274">
        <v>479.66</v>
      </c>
      <c r="M2274">
        <f>VLOOKUP(K2274,RatingLookup!$A$2:$C$8,2,FALSE)</f>
        <v>0.04</v>
      </c>
      <c r="N2274">
        <f t="shared" si="105"/>
        <v>3.3960531989175591E-3</v>
      </c>
      <c r="O2274">
        <f>VLOOKUP(K2274,RatingLookup!$A$2:$C$8,3,FALSE)</f>
        <v>0.6</v>
      </c>
      <c r="P2274">
        <f t="shared" si="106"/>
        <v>0.9773705264356779</v>
      </c>
      <c r="Q2274" t="str">
        <f t="shared" ca="1" si="107"/>
        <v>No</v>
      </c>
    </row>
    <row r="2275" spans="1:17" x14ac:dyDescent="0.45">
      <c r="A2275" t="s">
        <v>110</v>
      </c>
      <c r="B2275" t="s">
        <v>111</v>
      </c>
      <c r="C2275" t="s">
        <v>19</v>
      </c>
      <c r="D2275" t="s">
        <v>20</v>
      </c>
      <c r="E2275" t="s">
        <v>21</v>
      </c>
      <c r="F2275" s="1">
        <v>45444</v>
      </c>
      <c r="G2275">
        <v>4.82</v>
      </c>
      <c r="H2275">
        <v>79.979699999999994</v>
      </c>
      <c r="I2275">
        <v>27.9</v>
      </c>
      <c r="J2275">
        <v>85.45</v>
      </c>
      <c r="K2275" t="s">
        <v>31</v>
      </c>
      <c r="L2275">
        <v>489.3</v>
      </c>
      <c r="M2275">
        <f>VLOOKUP(K2275,RatingLookup!$A$2:$C$8,2,FALSE)</f>
        <v>0.04</v>
      </c>
      <c r="N2275">
        <f t="shared" si="105"/>
        <v>3.3960531989175591E-3</v>
      </c>
      <c r="O2275">
        <f>VLOOKUP(K2275,RatingLookup!$A$2:$C$8,3,FALSE)</f>
        <v>0.6</v>
      </c>
      <c r="P2275">
        <f t="shared" si="106"/>
        <v>0.99701329813821693</v>
      </c>
      <c r="Q2275" t="str">
        <f t="shared" ca="1" si="107"/>
        <v>No</v>
      </c>
    </row>
    <row r="2276" spans="1:17" x14ac:dyDescent="0.45">
      <c r="A2276" t="s">
        <v>110</v>
      </c>
      <c r="B2276" t="s">
        <v>111</v>
      </c>
      <c r="C2276" t="s">
        <v>19</v>
      </c>
      <c r="D2276" t="s">
        <v>20</v>
      </c>
      <c r="E2276" t="s">
        <v>21</v>
      </c>
      <c r="F2276" s="1">
        <v>45474</v>
      </c>
      <c r="G2276">
        <v>6.3</v>
      </c>
      <c r="H2276">
        <v>80.745199999999997</v>
      </c>
      <c r="I2276">
        <v>14.68</v>
      </c>
      <c r="J2276">
        <v>76.83</v>
      </c>
      <c r="K2276" t="s">
        <v>31</v>
      </c>
      <c r="L2276">
        <v>478.79</v>
      </c>
      <c r="M2276">
        <f>VLOOKUP(K2276,RatingLookup!$A$2:$C$8,2,FALSE)</f>
        <v>0.04</v>
      </c>
      <c r="N2276">
        <f t="shared" si="105"/>
        <v>3.3960531989175591E-3</v>
      </c>
      <c r="O2276">
        <f>VLOOKUP(K2276,RatingLookup!$A$2:$C$8,3,FALSE)</f>
        <v>0.6</v>
      </c>
      <c r="P2276">
        <f t="shared" si="106"/>
        <v>0.97559778666584285</v>
      </c>
      <c r="Q2276" t="str">
        <f t="shared" ca="1" si="107"/>
        <v>No</v>
      </c>
    </row>
    <row r="2277" spans="1:17" x14ac:dyDescent="0.45">
      <c r="A2277" t="s">
        <v>110</v>
      </c>
      <c r="B2277" t="s">
        <v>111</v>
      </c>
      <c r="C2277" t="s">
        <v>19</v>
      </c>
      <c r="D2277" t="s">
        <v>20</v>
      </c>
      <c r="E2277" t="s">
        <v>21</v>
      </c>
      <c r="F2277" s="1">
        <v>45505</v>
      </c>
      <c r="G2277">
        <v>4.42</v>
      </c>
      <c r="H2277">
        <v>80.099599999999995</v>
      </c>
      <c r="I2277">
        <v>21.74</v>
      </c>
      <c r="J2277">
        <v>79.239999999999995</v>
      </c>
      <c r="K2277" t="s">
        <v>31</v>
      </c>
      <c r="L2277">
        <v>509.2</v>
      </c>
      <c r="M2277">
        <f>VLOOKUP(K2277,RatingLookup!$A$2:$C$8,2,FALSE)</f>
        <v>0.04</v>
      </c>
      <c r="N2277">
        <f t="shared" si="105"/>
        <v>3.3960531989175591E-3</v>
      </c>
      <c r="O2277">
        <f>VLOOKUP(K2277,RatingLookup!$A$2:$C$8,3,FALSE)</f>
        <v>0.6</v>
      </c>
      <c r="P2277">
        <f t="shared" si="106"/>
        <v>1.0375621733332925</v>
      </c>
      <c r="Q2277" t="str">
        <f t="shared" ca="1" si="107"/>
        <v>No</v>
      </c>
    </row>
    <row r="2278" spans="1:17" x14ac:dyDescent="0.45">
      <c r="A2278" t="s">
        <v>110</v>
      </c>
      <c r="B2278" t="s">
        <v>111</v>
      </c>
      <c r="C2278" t="s">
        <v>19</v>
      </c>
      <c r="D2278" t="s">
        <v>20</v>
      </c>
      <c r="E2278" t="s">
        <v>21</v>
      </c>
      <c r="F2278" s="1">
        <v>45536</v>
      </c>
      <c r="G2278">
        <v>4.91</v>
      </c>
      <c r="H2278">
        <v>84.704800000000006</v>
      </c>
      <c r="I2278">
        <v>19.989999999999998</v>
      </c>
      <c r="J2278">
        <v>75.12</v>
      </c>
      <c r="K2278" t="s">
        <v>31</v>
      </c>
      <c r="L2278">
        <v>534.69000000000005</v>
      </c>
      <c r="M2278">
        <f>VLOOKUP(K2278,RatingLookup!$A$2:$C$8,2,FALSE)</f>
        <v>0.04</v>
      </c>
      <c r="N2278">
        <f t="shared" si="105"/>
        <v>3.3960531989175591E-3</v>
      </c>
      <c r="O2278">
        <f>VLOOKUP(K2278,RatingLookup!$A$2:$C$8,3,FALSE)</f>
        <v>0.6</v>
      </c>
      <c r="P2278">
        <f t="shared" si="106"/>
        <v>1.0895014109575378</v>
      </c>
      <c r="Q2278" t="str">
        <f t="shared" ca="1" si="107"/>
        <v>No</v>
      </c>
    </row>
    <row r="2279" spans="1:17" x14ac:dyDescent="0.45">
      <c r="A2279" t="s">
        <v>110</v>
      </c>
      <c r="B2279" t="s">
        <v>111</v>
      </c>
      <c r="C2279" t="s">
        <v>19</v>
      </c>
      <c r="D2279" t="s">
        <v>20</v>
      </c>
      <c r="E2279" t="s">
        <v>21</v>
      </c>
      <c r="F2279" s="1">
        <v>45566</v>
      </c>
      <c r="G2279">
        <v>5.57</v>
      </c>
      <c r="H2279">
        <v>86.499499999999998</v>
      </c>
      <c r="I2279">
        <v>24.56</v>
      </c>
      <c r="J2279">
        <v>78.17</v>
      </c>
      <c r="K2279" t="s">
        <v>32</v>
      </c>
      <c r="L2279">
        <v>464.97</v>
      </c>
      <c r="M2279">
        <f>VLOOKUP(K2279,RatingLookup!$A$2:$C$8,2,FALSE)</f>
        <v>0.12</v>
      </c>
      <c r="N2279">
        <f t="shared" si="105"/>
        <v>1.0596241035318976E-2</v>
      </c>
      <c r="O2279">
        <f>VLOOKUP(K2279,RatingLookup!$A$2:$C$8,3,FALSE)</f>
        <v>0.7</v>
      </c>
      <c r="P2279">
        <f t="shared" si="106"/>
        <v>3.4488539359345856</v>
      </c>
      <c r="Q2279" t="str">
        <f t="shared" ca="1" si="107"/>
        <v>No</v>
      </c>
    </row>
    <row r="2280" spans="1:17" x14ac:dyDescent="0.45">
      <c r="A2280" t="s">
        <v>110</v>
      </c>
      <c r="B2280" t="s">
        <v>111</v>
      </c>
      <c r="C2280" t="s">
        <v>19</v>
      </c>
      <c r="D2280" t="s">
        <v>20</v>
      </c>
      <c r="E2280" t="s">
        <v>21</v>
      </c>
      <c r="F2280" s="1">
        <v>45597</v>
      </c>
      <c r="G2280">
        <v>5.33</v>
      </c>
      <c r="H2280">
        <v>80.981899999999996</v>
      </c>
      <c r="I2280">
        <v>16.82</v>
      </c>
      <c r="J2280">
        <v>65.95</v>
      </c>
      <c r="K2280" t="s">
        <v>32</v>
      </c>
      <c r="L2280">
        <v>476.17</v>
      </c>
      <c r="M2280">
        <f>VLOOKUP(K2280,RatingLookup!$A$2:$C$8,2,FALSE)</f>
        <v>0.12</v>
      </c>
      <c r="N2280">
        <f t="shared" si="105"/>
        <v>1.0596241035318976E-2</v>
      </c>
      <c r="O2280">
        <f>VLOOKUP(K2280,RatingLookup!$A$2:$C$8,3,FALSE)</f>
        <v>0.7</v>
      </c>
      <c r="P2280">
        <f t="shared" si="106"/>
        <v>3.531928465651486</v>
      </c>
      <c r="Q2280" t="str">
        <f t="shared" ca="1" si="107"/>
        <v>No</v>
      </c>
    </row>
    <row r="2281" spans="1:17" x14ac:dyDescent="0.45">
      <c r="A2281" t="s">
        <v>110</v>
      </c>
      <c r="B2281" t="s">
        <v>111</v>
      </c>
      <c r="C2281" t="s">
        <v>19</v>
      </c>
      <c r="D2281" t="s">
        <v>20</v>
      </c>
      <c r="E2281" t="s">
        <v>21</v>
      </c>
      <c r="F2281" s="1">
        <v>45627</v>
      </c>
      <c r="G2281">
        <v>5.74</v>
      </c>
      <c r="H2281">
        <v>82.24</v>
      </c>
      <c r="I2281">
        <v>19.93</v>
      </c>
      <c r="J2281">
        <v>100.34</v>
      </c>
      <c r="K2281" t="s">
        <v>32</v>
      </c>
      <c r="L2281">
        <v>475.27</v>
      </c>
      <c r="M2281">
        <f>VLOOKUP(K2281,RatingLookup!$A$2:$C$8,2,FALSE)</f>
        <v>0.12</v>
      </c>
      <c r="N2281">
        <f t="shared" si="105"/>
        <v>1.0596241035318976E-2</v>
      </c>
      <c r="O2281">
        <f>VLOOKUP(K2281,RatingLookup!$A$2:$C$8,3,FALSE)</f>
        <v>0.7</v>
      </c>
      <c r="P2281">
        <f t="shared" si="106"/>
        <v>3.5252528337992346</v>
      </c>
      <c r="Q2281" t="str">
        <f t="shared" ca="1" si="107"/>
        <v>No</v>
      </c>
    </row>
    <row r="2282" spans="1:17" x14ac:dyDescent="0.45">
      <c r="A2282" t="s">
        <v>112</v>
      </c>
      <c r="B2282" t="s">
        <v>113</v>
      </c>
      <c r="C2282" t="s">
        <v>66</v>
      </c>
      <c r="D2282" t="s">
        <v>20</v>
      </c>
      <c r="E2282" t="s">
        <v>21</v>
      </c>
      <c r="F2282" s="1">
        <v>43831</v>
      </c>
      <c r="G2282">
        <v>6.02</v>
      </c>
      <c r="H2282">
        <v>82.642600000000002</v>
      </c>
      <c r="I2282">
        <v>17.52</v>
      </c>
      <c r="J2282">
        <v>87.79</v>
      </c>
      <c r="K2282" t="s">
        <v>30</v>
      </c>
      <c r="L2282">
        <v>2887</v>
      </c>
      <c r="M2282">
        <f>VLOOKUP(K2282,RatingLookup!$A$2:$C$8,2,FALSE)</f>
        <v>1.4999999999999999E-2</v>
      </c>
      <c r="N2282">
        <f t="shared" si="105"/>
        <v>1.2586770182638762E-3</v>
      </c>
      <c r="O2282">
        <f>VLOOKUP(K2282,RatingLookup!$A$2:$C$8,3,FALSE)</f>
        <v>0.5</v>
      </c>
      <c r="P2282">
        <f t="shared" si="106"/>
        <v>1.8169002758639055</v>
      </c>
      <c r="Q2282" t="str">
        <f t="shared" ca="1" si="107"/>
        <v>No</v>
      </c>
    </row>
    <row r="2283" spans="1:17" x14ac:dyDescent="0.45">
      <c r="A2283" t="s">
        <v>112</v>
      </c>
      <c r="B2283" t="s">
        <v>113</v>
      </c>
      <c r="C2283" t="s">
        <v>66</v>
      </c>
      <c r="D2283" t="s">
        <v>20</v>
      </c>
      <c r="E2283" t="s">
        <v>21</v>
      </c>
      <c r="F2283" s="1">
        <v>43862</v>
      </c>
      <c r="G2283">
        <v>5.25</v>
      </c>
      <c r="H2283">
        <v>83.667599999999993</v>
      </c>
      <c r="I2283">
        <v>12.7</v>
      </c>
      <c r="J2283">
        <v>85.11</v>
      </c>
      <c r="K2283" t="s">
        <v>30</v>
      </c>
      <c r="L2283">
        <v>2819.37</v>
      </c>
      <c r="M2283">
        <f>VLOOKUP(K2283,RatingLookup!$A$2:$C$8,2,FALSE)</f>
        <v>1.4999999999999999E-2</v>
      </c>
      <c r="N2283">
        <f t="shared" si="105"/>
        <v>1.2586770182638762E-3</v>
      </c>
      <c r="O2283">
        <f>VLOOKUP(K2283,RatingLookup!$A$2:$C$8,3,FALSE)</f>
        <v>0.5</v>
      </c>
      <c r="P2283">
        <f t="shared" si="106"/>
        <v>1.7743381124913122</v>
      </c>
      <c r="Q2283" t="str">
        <f t="shared" ca="1" si="107"/>
        <v>No</v>
      </c>
    </row>
    <row r="2284" spans="1:17" x14ac:dyDescent="0.45">
      <c r="A2284" t="s">
        <v>112</v>
      </c>
      <c r="B2284" t="s">
        <v>113</v>
      </c>
      <c r="C2284" t="s">
        <v>66</v>
      </c>
      <c r="D2284" t="s">
        <v>20</v>
      </c>
      <c r="E2284" t="s">
        <v>21</v>
      </c>
      <c r="F2284" s="1">
        <v>43891</v>
      </c>
      <c r="G2284">
        <v>5.28</v>
      </c>
      <c r="H2284">
        <v>81.434100000000001</v>
      </c>
      <c r="I2284">
        <v>20.62</v>
      </c>
      <c r="J2284">
        <v>72.3</v>
      </c>
      <c r="K2284" t="s">
        <v>30</v>
      </c>
      <c r="L2284">
        <v>2840.98</v>
      </c>
      <c r="M2284">
        <f>VLOOKUP(K2284,RatingLookup!$A$2:$C$8,2,FALSE)</f>
        <v>1.4999999999999999E-2</v>
      </c>
      <c r="N2284">
        <f t="shared" si="105"/>
        <v>1.2586770182638762E-3</v>
      </c>
      <c r="O2284">
        <f>VLOOKUP(K2284,RatingLookup!$A$2:$C$8,3,FALSE)</f>
        <v>0.5</v>
      </c>
      <c r="P2284">
        <f t="shared" si="106"/>
        <v>1.7879381176736535</v>
      </c>
      <c r="Q2284" t="str">
        <f t="shared" ca="1" si="107"/>
        <v>No</v>
      </c>
    </row>
    <row r="2285" spans="1:17" x14ac:dyDescent="0.45">
      <c r="A2285" t="s">
        <v>112</v>
      </c>
      <c r="B2285" t="s">
        <v>113</v>
      </c>
      <c r="C2285" t="s">
        <v>66</v>
      </c>
      <c r="D2285" t="s">
        <v>20</v>
      </c>
      <c r="E2285" t="s">
        <v>21</v>
      </c>
      <c r="F2285" s="1">
        <v>43922</v>
      </c>
      <c r="G2285">
        <v>5.16</v>
      </c>
      <c r="H2285">
        <v>85.074299999999994</v>
      </c>
      <c r="I2285">
        <v>13.02</v>
      </c>
      <c r="J2285">
        <v>79.650000000000006</v>
      </c>
      <c r="K2285" t="s">
        <v>30</v>
      </c>
      <c r="L2285">
        <v>2960.6</v>
      </c>
      <c r="M2285">
        <f>VLOOKUP(K2285,RatingLookup!$A$2:$C$8,2,FALSE)</f>
        <v>1.4999999999999999E-2</v>
      </c>
      <c r="N2285">
        <f t="shared" si="105"/>
        <v>1.2586770182638762E-3</v>
      </c>
      <c r="O2285">
        <f>VLOOKUP(K2285,RatingLookup!$A$2:$C$8,3,FALSE)</f>
        <v>0.5</v>
      </c>
      <c r="P2285">
        <f t="shared" si="106"/>
        <v>1.863219590136016</v>
      </c>
      <c r="Q2285" t="str">
        <f t="shared" ca="1" si="107"/>
        <v>No</v>
      </c>
    </row>
    <row r="2286" spans="1:17" x14ac:dyDescent="0.45">
      <c r="A2286" t="s">
        <v>112</v>
      </c>
      <c r="B2286" t="s">
        <v>113</v>
      </c>
      <c r="C2286" t="s">
        <v>66</v>
      </c>
      <c r="D2286" t="s">
        <v>20</v>
      </c>
      <c r="E2286" t="s">
        <v>21</v>
      </c>
      <c r="F2286" s="1">
        <v>43952</v>
      </c>
      <c r="G2286">
        <v>5.94</v>
      </c>
      <c r="H2286">
        <v>80.795699999999997</v>
      </c>
      <c r="I2286">
        <v>11.13</v>
      </c>
      <c r="J2286">
        <v>77.849999999999994</v>
      </c>
      <c r="K2286" t="s">
        <v>30</v>
      </c>
      <c r="L2286">
        <v>2985.31</v>
      </c>
      <c r="M2286">
        <f>VLOOKUP(K2286,RatingLookup!$A$2:$C$8,2,FALSE)</f>
        <v>1.4999999999999999E-2</v>
      </c>
      <c r="N2286">
        <f t="shared" si="105"/>
        <v>1.2586770182638762E-3</v>
      </c>
      <c r="O2286">
        <f>VLOOKUP(K2286,RatingLookup!$A$2:$C$8,3,FALSE)</f>
        <v>0.5</v>
      </c>
      <c r="P2286">
        <f t="shared" si="106"/>
        <v>1.878770544696666</v>
      </c>
      <c r="Q2286" t="str">
        <f t="shared" ca="1" si="107"/>
        <v>No</v>
      </c>
    </row>
    <row r="2287" spans="1:17" x14ac:dyDescent="0.45">
      <c r="A2287" t="s">
        <v>112</v>
      </c>
      <c r="B2287" t="s">
        <v>113</v>
      </c>
      <c r="C2287" t="s">
        <v>66</v>
      </c>
      <c r="D2287" t="s">
        <v>20</v>
      </c>
      <c r="E2287" t="s">
        <v>21</v>
      </c>
      <c r="F2287" s="1">
        <v>43983</v>
      </c>
      <c r="G2287">
        <v>4.63</v>
      </c>
      <c r="H2287">
        <v>77.930599999999998</v>
      </c>
      <c r="I2287">
        <v>18.350000000000001</v>
      </c>
      <c r="J2287">
        <v>63.05</v>
      </c>
      <c r="K2287" t="s">
        <v>30</v>
      </c>
      <c r="L2287">
        <v>3002.93</v>
      </c>
      <c r="M2287">
        <f>VLOOKUP(K2287,RatingLookup!$A$2:$C$8,2,FALSE)</f>
        <v>1.4999999999999999E-2</v>
      </c>
      <c r="N2287">
        <f t="shared" si="105"/>
        <v>1.2586770182638762E-3</v>
      </c>
      <c r="O2287">
        <f>VLOOKUP(K2287,RatingLookup!$A$2:$C$8,3,FALSE)</f>
        <v>0.5</v>
      </c>
      <c r="P2287">
        <f t="shared" si="106"/>
        <v>1.8898594892275709</v>
      </c>
      <c r="Q2287" t="str">
        <f t="shared" ca="1" si="107"/>
        <v>No</v>
      </c>
    </row>
    <row r="2288" spans="1:17" x14ac:dyDescent="0.45">
      <c r="A2288" t="s">
        <v>112</v>
      </c>
      <c r="B2288" t="s">
        <v>113</v>
      </c>
      <c r="C2288" t="s">
        <v>66</v>
      </c>
      <c r="D2288" t="s">
        <v>20</v>
      </c>
      <c r="E2288" t="s">
        <v>21</v>
      </c>
      <c r="F2288" s="1">
        <v>44013</v>
      </c>
      <c r="G2288">
        <v>5.88</v>
      </c>
      <c r="H2288">
        <v>82.363500000000002</v>
      </c>
      <c r="I2288">
        <v>11.75</v>
      </c>
      <c r="J2288">
        <v>64.650000000000006</v>
      </c>
      <c r="K2288" t="s">
        <v>30</v>
      </c>
      <c r="L2288">
        <v>3153.28</v>
      </c>
      <c r="M2288">
        <f>VLOOKUP(K2288,RatingLookup!$A$2:$C$8,2,FALSE)</f>
        <v>1.4999999999999999E-2</v>
      </c>
      <c r="N2288">
        <f t="shared" si="105"/>
        <v>1.2586770182638762E-3</v>
      </c>
      <c r="O2288">
        <f>VLOOKUP(K2288,RatingLookup!$A$2:$C$8,3,FALSE)</f>
        <v>0.5</v>
      </c>
      <c r="P2288">
        <f t="shared" si="106"/>
        <v>1.984480534075558</v>
      </c>
      <c r="Q2288" t="str">
        <f t="shared" ca="1" si="107"/>
        <v>No</v>
      </c>
    </row>
    <row r="2289" spans="1:17" x14ac:dyDescent="0.45">
      <c r="A2289" t="s">
        <v>112</v>
      </c>
      <c r="B2289" t="s">
        <v>113</v>
      </c>
      <c r="C2289" t="s">
        <v>66</v>
      </c>
      <c r="D2289" t="s">
        <v>20</v>
      </c>
      <c r="E2289" t="s">
        <v>21</v>
      </c>
      <c r="F2289" s="1">
        <v>44044</v>
      </c>
      <c r="G2289">
        <v>5.48</v>
      </c>
      <c r="H2289">
        <v>81.746399999999994</v>
      </c>
      <c r="I2289">
        <v>10.74</v>
      </c>
      <c r="J2289">
        <v>69.33</v>
      </c>
      <c r="K2289" t="s">
        <v>30</v>
      </c>
      <c r="L2289">
        <v>3173.35</v>
      </c>
      <c r="M2289">
        <f>VLOOKUP(K2289,RatingLookup!$A$2:$C$8,2,FALSE)</f>
        <v>1.4999999999999999E-2</v>
      </c>
      <c r="N2289">
        <f t="shared" si="105"/>
        <v>1.2586770182638762E-3</v>
      </c>
      <c r="O2289">
        <f>VLOOKUP(K2289,RatingLookup!$A$2:$C$8,3,FALSE)</f>
        <v>0.5</v>
      </c>
      <c r="P2289">
        <f t="shared" si="106"/>
        <v>1.9971113579538358</v>
      </c>
      <c r="Q2289" t="str">
        <f t="shared" ca="1" si="107"/>
        <v>No</v>
      </c>
    </row>
    <row r="2290" spans="1:17" x14ac:dyDescent="0.45">
      <c r="A2290" t="s">
        <v>112</v>
      </c>
      <c r="B2290" t="s">
        <v>113</v>
      </c>
      <c r="C2290" t="s">
        <v>66</v>
      </c>
      <c r="D2290" t="s">
        <v>20</v>
      </c>
      <c r="E2290" t="s">
        <v>21</v>
      </c>
      <c r="F2290" s="1">
        <v>44075</v>
      </c>
      <c r="G2290">
        <v>4.6900000000000004</v>
      </c>
      <c r="H2290">
        <v>81.615899999999996</v>
      </c>
      <c r="I2290">
        <v>18.89</v>
      </c>
      <c r="J2290">
        <v>83.66</v>
      </c>
      <c r="K2290" t="s">
        <v>30</v>
      </c>
      <c r="L2290">
        <v>3164.04</v>
      </c>
      <c r="M2290">
        <f>VLOOKUP(K2290,RatingLookup!$A$2:$C$8,2,FALSE)</f>
        <v>1.4999999999999999E-2</v>
      </c>
      <c r="N2290">
        <f t="shared" si="105"/>
        <v>1.2586770182638762E-3</v>
      </c>
      <c r="O2290">
        <f>VLOOKUP(K2290,RatingLookup!$A$2:$C$8,3,FALSE)</f>
        <v>0.5</v>
      </c>
      <c r="P2290">
        <f t="shared" si="106"/>
        <v>1.9912522164338176</v>
      </c>
      <c r="Q2290" t="str">
        <f t="shared" ca="1" si="107"/>
        <v>No</v>
      </c>
    </row>
    <row r="2291" spans="1:17" x14ac:dyDescent="0.45">
      <c r="A2291" t="s">
        <v>112</v>
      </c>
      <c r="B2291" t="s">
        <v>113</v>
      </c>
      <c r="C2291" t="s">
        <v>66</v>
      </c>
      <c r="D2291" t="s">
        <v>20</v>
      </c>
      <c r="E2291" t="s">
        <v>21</v>
      </c>
      <c r="F2291" s="1">
        <v>44105</v>
      </c>
      <c r="G2291">
        <v>6.32</v>
      </c>
      <c r="H2291">
        <v>77.4602</v>
      </c>
      <c r="I2291">
        <v>12.1</v>
      </c>
      <c r="J2291">
        <v>62.28</v>
      </c>
      <c r="K2291" t="s">
        <v>30</v>
      </c>
      <c r="L2291">
        <v>2920.53</v>
      </c>
      <c r="M2291">
        <f>VLOOKUP(K2291,RatingLookup!$A$2:$C$8,2,FALSE)</f>
        <v>1.4999999999999999E-2</v>
      </c>
      <c r="N2291">
        <f t="shared" si="105"/>
        <v>1.2586770182638762E-3</v>
      </c>
      <c r="O2291">
        <f>VLOOKUP(K2291,RatingLookup!$A$2:$C$8,3,FALSE)</f>
        <v>0.5</v>
      </c>
      <c r="P2291">
        <f t="shared" si="106"/>
        <v>1.8380019960750993</v>
      </c>
      <c r="Q2291" t="str">
        <f t="shared" ca="1" si="107"/>
        <v>No</v>
      </c>
    </row>
    <row r="2292" spans="1:17" x14ac:dyDescent="0.45">
      <c r="A2292" t="s">
        <v>112</v>
      </c>
      <c r="B2292" t="s">
        <v>113</v>
      </c>
      <c r="C2292" t="s">
        <v>66</v>
      </c>
      <c r="D2292" t="s">
        <v>20</v>
      </c>
      <c r="E2292" t="s">
        <v>21</v>
      </c>
      <c r="F2292" s="1">
        <v>44136</v>
      </c>
      <c r="G2292">
        <v>4.8099999999999996</v>
      </c>
      <c r="H2292">
        <v>79.489500000000007</v>
      </c>
      <c r="I2292">
        <v>24.74</v>
      </c>
      <c r="J2292">
        <v>56.76</v>
      </c>
      <c r="K2292" t="s">
        <v>30</v>
      </c>
      <c r="L2292">
        <v>3023.22</v>
      </c>
      <c r="M2292">
        <f>VLOOKUP(K2292,RatingLookup!$A$2:$C$8,2,FALSE)</f>
        <v>1.4999999999999999E-2</v>
      </c>
      <c r="N2292">
        <f t="shared" si="105"/>
        <v>1.2586770182638762E-3</v>
      </c>
      <c r="O2292">
        <f>VLOOKUP(K2292,RatingLookup!$A$2:$C$8,3,FALSE)</f>
        <v>0.5</v>
      </c>
      <c r="P2292">
        <f t="shared" si="106"/>
        <v>1.9026287675778579</v>
      </c>
      <c r="Q2292" t="str">
        <f t="shared" ca="1" si="107"/>
        <v>No</v>
      </c>
    </row>
    <row r="2293" spans="1:17" x14ac:dyDescent="0.45">
      <c r="A2293" t="s">
        <v>112</v>
      </c>
      <c r="B2293" t="s">
        <v>113</v>
      </c>
      <c r="C2293" t="s">
        <v>66</v>
      </c>
      <c r="D2293" t="s">
        <v>20</v>
      </c>
      <c r="E2293" t="s">
        <v>21</v>
      </c>
      <c r="F2293" s="1">
        <v>44166</v>
      </c>
      <c r="G2293">
        <v>6.02</v>
      </c>
      <c r="H2293">
        <v>80.721100000000007</v>
      </c>
      <c r="I2293">
        <v>28.72</v>
      </c>
      <c r="J2293">
        <v>60.41</v>
      </c>
      <c r="K2293" t="s">
        <v>30</v>
      </c>
      <c r="L2293">
        <v>3271.1</v>
      </c>
      <c r="M2293">
        <f>VLOOKUP(K2293,RatingLookup!$A$2:$C$8,2,FALSE)</f>
        <v>1.4999999999999999E-2</v>
      </c>
      <c r="N2293">
        <f t="shared" si="105"/>
        <v>1.2586770182638762E-3</v>
      </c>
      <c r="O2293">
        <f>VLOOKUP(K2293,RatingLookup!$A$2:$C$8,3,FALSE)</f>
        <v>0.5</v>
      </c>
      <c r="P2293">
        <f t="shared" si="106"/>
        <v>2.0586291972214825</v>
      </c>
      <c r="Q2293" t="str">
        <f t="shared" ca="1" si="107"/>
        <v>No</v>
      </c>
    </row>
    <row r="2294" spans="1:17" x14ac:dyDescent="0.45">
      <c r="A2294" t="s">
        <v>112</v>
      </c>
      <c r="B2294" t="s">
        <v>113</v>
      </c>
      <c r="C2294" t="s">
        <v>66</v>
      </c>
      <c r="D2294" t="s">
        <v>20</v>
      </c>
      <c r="E2294" t="s">
        <v>21</v>
      </c>
      <c r="F2294" s="1">
        <v>44197</v>
      </c>
      <c r="G2294">
        <v>4.96</v>
      </c>
      <c r="H2294">
        <v>85.852199999999996</v>
      </c>
      <c r="I2294">
        <v>15.43</v>
      </c>
      <c r="J2294">
        <v>87.25</v>
      </c>
      <c r="K2294" t="s">
        <v>30</v>
      </c>
      <c r="L2294">
        <v>3270.02</v>
      </c>
      <c r="M2294">
        <f>VLOOKUP(K2294,RatingLookup!$A$2:$C$8,2,FALSE)</f>
        <v>1.4999999999999999E-2</v>
      </c>
      <c r="N2294">
        <f t="shared" si="105"/>
        <v>1.2586770182638762E-3</v>
      </c>
      <c r="O2294">
        <f>VLOOKUP(K2294,RatingLookup!$A$2:$C$8,3,FALSE)</f>
        <v>0.5</v>
      </c>
      <c r="P2294">
        <f t="shared" si="106"/>
        <v>2.0579495116316204</v>
      </c>
      <c r="Q2294" t="str">
        <f t="shared" ca="1" si="107"/>
        <v>No</v>
      </c>
    </row>
    <row r="2295" spans="1:17" x14ac:dyDescent="0.45">
      <c r="A2295" t="s">
        <v>112</v>
      </c>
      <c r="B2295" t="s">
        <v>113</v>
      </c>
      <c r="C2295" t="s">
        <v>66</v>
      </c>
      <c r="D2295" t="s">
        <v>20</v>
      </c>
      <c r="E2295" t="s">
        <v>21</v>
      </c>
      <c r="F2295" s="1">
        <v>44228</v>
      </c>
      <c r="G2295">
        <v>5.15</v>
      </c>
      <c r="H2295">
        <v>83.264600000000002</v>
      </c>
      <c r="I2295">
        <v>9.1</v>
      </c>
      <c r="J2295">
        <v>82.31</v>
      </c>
      <c r="K2295" t="s">
        <v>30</v>
      </c>
      <c r="L2295">
        <v>2905.42</v>
      </c>
      <c r="M2295">
        <f>VLOOKUP(K2295,RatingLookup!$A$2:$C$8,2,FALSE)</f>
        <v>1.4999999999999999E-2</v>
      </c>
      <c r="N2295">
        <f t="shared" si="105"/>
        <v>1.2586770182638762E-3</v>
      </c>
      <c r="O2295">
        <f>VLOOKUP(K2295,RatingLookup!$A$2:$C$8,3,FALSE)</f>
        <v>0.5</v>
      </c>
      <c r="P2295">
        <f t="shared" si="106"/>
        <v>1.8284926912021158</v>
      </c>
      <c r="Q2295" t="str">
        <f t="shared" ca="1" si="107"/>
        <v>No</v>
      </c>
    </row>
    <row r="2296" spans="1:17" x14ac:dyDescent="0.45">
      <c r="A2296" t="s">
        <v>112</v>
      </c>
      <c r="B2296" t="s">
        <v>113</v>
      </c>
      <c r="C2296" t="s">
        <v>66</v>
      </c>
      <c r="D2296" t="s">
        <v>20</v>
      </c>
      <c r="E2296" t="s">
        <v>21</v>
      </c>
      <c r="F2296" s="1">
        <v>44256</v>
      </c>
      <c r="G2296">
        <v>5.44</v>
      </c>
      <c r="H2296">
        <v>81.6584</v>
      </c>
      <c r="I2296">
        <v>16</v>
      </c>
      <c r="J2296">
        <v>73.64</v>
      </c>
      <c r="K2296" t="s">
        <v>30</v>
      </c>
      <c r="L2296">
        <v>3124.69</v>
      </c>
      <c r="M2296">
        <f>VLOOKUP(K2296,RatingLookup!$A$2:$C$8,2,FALSE)</f>
        <v>1.4999999999999999E-2</v>
      </c>
      <c r="N2296">
        <f t="shared" si="105"/>
        <v>1.2586770182638762E-3</v>
      </c>
      <c r="O2296">
        <f>VLOOKUP(K2296,RatingLookup!$A$2:$C$8,3,FALSE)</f>
        <v>0.5</v>
      </c>
      <c r="P2296">
        <f t="shared" si="106"/>
        <v>1.9664877460994759</v>
      </c>
      <c r="Q2296" t="str">
        <f t="shared" ca="1" si="107"/>
        <v>No</v>
      </c>
    </row>
    <row r="2297" spans="1:17" x14ac:dyDescent="0.45">
      <c r="A2297" t="s">
        <v>112</v>
      </c>
      <c r="B2297" t="s">
        <v>113</v>
      </c>
      <c r="C2297" t="s">
        <v>66</v>
      </c>
      <c r="D2297" t="s">
        <v>20</v>
      </c>
      <c r="E2297" t="s">
        <v>21</v>
      </c>
      <c r="F2297" s="1">
        <v>44287</v>
      </c>
      <c r="G2297">
        <v>5.33</v>
      </c>
      <c r="H2297">
        <v>84.898899999999998</v>
      </c>
      <c r="I2297">
        <v>15.31</v>
      </c>
      <c r="J2297">
        <v>77.569999999999993</v>
      </c>
      <c r="K2297" t="s">
        <v>30</v>
      </c>
      <c r="L2297">
        <v>3094.98</v>
      </c>
      <c r="M2297">
        <f>VLOOKUP(K2297,RatingLookup!$A$2:$C$8,2,FALSE)</f>
        <v>1.4999999999999999E-2</v>
      </c>
      <c r="N2297">
        <f t="shared" si="105"/>
        <v>1.2586770182638762E-3</v>
      </c>
      <c r="O2297">
        <f>VLOOKUP(K2297,RatingLookup!$A$2:$C$8,3,FALSE)</f>
        <v>0.5</v>
      </c>
      <c r="P2297">
        <f t="shared" si="106"/>
        <v>1.9477900989931658</v>
      </c>
      <c r="Q2297" t="str">
        <f t="shared" ca="1" si="107"/>
        <v>No</v>
      </c>
    </row>
    <row r="2298" spans="1:17" x14ac:dyDescent="0.45">
      <c r="A2298" t="s">
        <v>112</v>
      </c>
      <c r="B2298" t="s">
        <v>113</v>
      </c>
      <c r="C2298" t="s">
        <v>66</v>
      </c>
      <c r="D2298" t="s">
        <v>20</v>
      </c>
      <c r="E2298" t="s">
        <v>21</v>
      </c>
      <c r="F2298" s="1">
        <v>44317</v>
      </c>
      <c r="G2298">
        <v>5.55</v>
      </c>
      <c r="H2298">
        <v>82.267700000000005</v>
      </c>
      <c r="I2298">
        <v>18.84</v>
      </c>
      <c r="J2298">
        <v>74.08</v>
      </c>
      <c r="K2298" t="s">
        <v>30</v>
      </c>
      <c r="L2298">
        <v>3004.29</v>
      </c>
      <c r="M2298">
        <f>VLOOKUP(K2298,RatingLookup!$A$2:$C$8,2,FALSE)</f>
        <v>1.4999999999999999E-2</v>
      </c>
      <c r="N2298">
        <f t="shared" si="105"/>
        <v>1.2586770182638762E-3</v>
      </c>
      <c r="O2298">
        <f>VLOOKUP(K2298,RatingLookup!$A$2:$C$8,3,FALSE)</f>
        <v>0.5</v>
      </c>
      <c r="P2298">
        <f t="shared" si="106"/>
        <v>1.8907153895999904</v>
      </c>
      <c r="Q2298" t="str">
        <f t="shared" ca="1" si="107"/>
        <v>No</v>
      </c>
    </row>
    <row r="2299" spans="1:17" x14ac:dyDescent="0.45">
      <c r="A2299" t="s">
        <v>112</v>
      </c>
      <c r="B2299" t="s">
        <v>113</v>
      </c>
      <c r="C2299" t="s">
        <v>66</v>
      </c>
      <c r="D2299" t="s">
        <v>20</v>
      </c>
      <c r="E2299" t="s">
        <v>21</v>
      </c>
      <c r="F2299" s="1">
        <v>44348</v>
      </c>
      <c r="G2299">
        <v>5.27</v>
      </c>
      <c r="H2299">
        <v>83.545199999999994</v>
      </c>
      <c r="I2299">
        <v>30.41</v>
      </c>
      <c r="J2299">
        <v>64.739999999999995</v>
      </c>
      <c r="K2299" t="s">
        <v>30</v>
      </c>
      <c r="L2299">
        <v>3043.44</v>
      </c>
      <c r="M2299">
        <f>VLOOKUP(K2299,RatingLookup!$A$2:$C$8,2,FALSE)</f>
        <v>1.4999999999999999E-2</v>
      </c>
      <c r="N2299">
        <f t="shared" si="105"/>
        <v>1.2586770182638762E-3</v>
      </c>
      <c r="O2299">
        <f>VLOOKUP(K2299,RatingLookup!$A$2:$C$8,3,FALSE)</f>
        <v>0.5</v>
      </c>
      <c r="P2299">
        <f t="shared" si="106"/>
        <v>1.9153539922325058</v>
      </c>
      <c r="Q2299" t="str">
        <f t="shared" ca="1" si="107"/>
        <v>No</v>
      </c>
    </row>
    <row r="2300" spans="1:17" x14ac:dyDescent="0.45">
      <c r="A2300" t="s">
        <v>112</v>
      </c>
      <c r="B2300" t="s">
        <v>113</v>
      </c>
      <c r="C2300" t="s">
        <v>66</v>
      </c>
      <c r="D2300" t="s">
        <v>20</v>
      </c>
      <c r="E2300" t="s">
        <v>21</v>
      </c>
      <c r="F2300" s="1">
        <v>44378</v>
      </c>
      <c r="G2300">
        <v>6.48</v>
      </c>
      <c r="H2300">
        <v>86.050700000000006</v>
      </c>
      <c r="I2300">
        <v>5</v>
      </c>
      <c r="J2300">
        <v>79.37</v>
      </c>
      <c r="K2300" t="s">
        <v>30</v>
      </c>
      <c r="L2300">
        <v>3154.08</v>
      </c>
      <c r="M2300">
        <f>VLOOKUP(K2300,RatingLookup!$A$2:$C$8,2,FALSE)</f>
        <v>1.4999999999999999E-2</v>
      </c>
      <c r="N2300">
        <f t="shared" si="105"/>
        <v>1.2586770182638762E-3</v>
      </c>
      <c r="O2300">
        <f>VLOOKUP(K2300,RatingLookup!$A$2:$C$8,3,FALSE)</f>
        <v>0.5</v>
      </c>
      <c r="P2300">
        <f t="shared" si="106"/>
        <v>1.9849840048828633</v>
      </c>
      <c r="Q2300" t="str">
        <f t="shared" ca="1" si="107"/>
        <v>No</v>
      </c>
    </row>
    <row r="2301" spans="1:17" x14ac:dyDescent="0.45">
      <c r="A2301" t="s">
        <v>112</v>
      </c>
      <c r="B2301" t="s">
        <v>113</v>
      </c>
      <c r="C2301" t="s">
        <v>66</v>
      </c>
      <c r="D2301" t="s">
        <v>20</v>
      </c>
      <c r="E2301" t="s">
        <v>21</v>
      </c>
      <c r="F2301" s="1">
        <v>44409</v>
      </c>
      <c r="G2301">
        <v>5.49</v>
      </c>
      <c r="H2301">
        <v>82.312399999999997</v>
      </c>
      <c r="I2301">
        <v>5</v>
      </c>
      <c r="J2301">
        <v>72.47</v>
      </c>
      <c r="K2301" t="s">
        <v>30</v>
      </c>
      <c r="L2301">
        <v>3460.84</v>
      </c>
      <c r="M2301">
        <f>VLOOKUP(K2301,RatingLookup!$A$2:$C$8,2,FALSE)</f>
        <v>1.4999999999999999E-2</v>
      </c>
      <c r="N2301">
        <f t="shared" si="105"/>
        <v>1.2586770182638762E-3</v>
      </c>
      <c r="O2301">
        <f>VLOOKUP(K2301,RatingLookup!$A$2:$C$8,3,FALSE)</f>
        <v>0.5</v>
      </c>
      <c r="P2301">
        <f t="shared" si="106"/>
        <v>2.1780398859441767</v>
      </c>
      <c r="Q2301" t="str">
        <f t="shared" ca="1" si="107"/>
        <v>No</v>
      </c>
    </row>
    <row r="2302" spans="1:17" x14ac:dyDescent="0.45">
      <c r="A2302" t="s">
        <v>112</v>
      </c>
      <c r="B2302" t="s">
        <v>113</v>
      </c>
      <c r="C2302" t="s">
        <v>66</v>
      </c>
      <c r="D2302" t="s">
        <v>20</v>
      </c>
      <c r="E2302" t="s">
        <v>21</v>
      </c>
      <c r="F2302" s="1">
        <v>44440</v>
      </c>
      <c r="G2302">
        <v>6.13</v>
      </c>
      <c r="H2302">
        <v>81.760300000000001</v>
      </c>
      <c r="I2302">
        <v>19.53</v>
      </c>
      <c r="J2302">
        <v>76.3</v>
      </c>
      <c r="K2302" t="s">
        <v>30</v>
      </c>
      <c r="L2302">
        <v>3046.43</v>
      </c>
      <c r="M2302">
        <f>VLOOKUP(K2302,RatingLookup!$A$2:$C$8,2,FALSE)</f>
        <v>1.4999999999999999E-2</v>
      </c>
      <c r="N2302">
        <f t="shared" si="105"/>
        <v>1.2586770182638762E-3</v>
      </c>
      <c r="O2302">
        <f>VLOOKUP(K2302,RatingLookup!$A$2:$C$8,3,FALSE)</f>
        <v>0.5</v>
      </c>
      <c r="P2302">
        <f t="shared" si="106"/>
        <v>1.9172357143748102</v>
      </c>
      <c r="Q2302" t="str">
        <f t="shared" ca="1" si="107"/>
        <v>No</v>
      </c>
    </row>
    <row r="2303" spans="1:17" x14ac:dyDescent="0.45">
      <c r="A2303" t="s">
        <v>112</v>
      </c>
      <c r="B2303" t="s">
        <v>113</v>
      </c>
      <c r="C2303" t="s">
        <v>66</v>
      </c>
      <c r="D2303" t="s">
        <v>20</v>
      </c>
      <c r="E2303" t="s">
        <v>21</v>
      </c>
      <c r="F2303" s="1">
        <v>44470</v>
      </c>
      <c r="G2303">
        <v>5.0999999999999996</v>
      </c>
      <c r="H2303">
        <v>80.489999999999995</v>
      </c>
      <c r="I2303">
        <v>21.72</v>
      </c>
      <c r="J2303">
        <v>81.36</v>
      </c>
      <c r="K2303" t="s">
        <v>30</v>
      </c>
      <c r="L2303">
        <v>2909.89</v>
      </c>
      <c r="M2303">
        <f>VLOOKUP(K2303,RatingLookup!$A$2:$C$8,2,FALSE)</f>
        <v>1.4999999999999999E-2</v>
      </c>
      <c r="N2303">
        <f t="shared" si="105"/>
        <v>1.2586770182638762E-3</v>
      </c>
      <c r="O2303">
        <f>VLOOKUP(K2303,RatingLookup!$A$2:$C$8,3,FALSE)</f>
        <v>0.5</v>
      </c>
      <c r="P2303">
        <f t="shared" si="106"/>
        <v>1.8313058343379354</v>
      </c>
      <c r="Q2303" t="str">
        <f t="shared" ca="1" si="107"/>
        <v>No</v>
      </c>
    </row>
    <row r="2304" spans="1:17" x14ac:dyDescent="0.45">
      <c r="A2304" t="s">
        <v>112</v>
      </c>
      <c r="B2304" t="s">
        <v>113</v>
      </c>
      <c r="C2304" t="s">
        <v>66</v>
      </c>
      <c r="D2304" t="s">
        <v>20</v>
      </c>
      <c r="E2304" t="s">
        <v>21</v>
      </c>
      <c r="F2304" s="1">
        <v>44501</v>
      </c>
      <c r="G2304">
        <v>7.03</v>
      </c>
      <c r="H2304">
        <v>81.533199999999994</v>
      </c>
      <c r="I2304">
        <v>14.38</v>
      </c>
      <c r="J2304">
        <v>72.2</v>
      </c>
      <c r="K2304" t="s">
        <v>30</v>
      </c>
      <c r="L2304">
        <v>3026.41</v>
      </c>
      <c r="M2304">
        <f>VLOOKUP(K2304,RatingLookup!$A$2:$C$8,2,FALSE)</f>
        <v>1.4999999999999999E-2</v>
      </c>
      <c r="N2304">
        <f t="shared" si="105"/>
        <v>1.2586770182638762E-3</v>
      </c>
      <c r="O2304">
        <f>VLOOKUP(K2304,RatingLookup!$A$2:$C$8,3,FALSE)</f>
        <v>0.5</v>
      </c>
      <c r="P2304">
        <f t="shared" si="106"/>
        <v>1.9046363574219887</v>
      </c>
      <c r="Q2304" t="str">
        <f t="shared" ca="1" si="107"/>
        <v>No</v>
      </c>
    </row>
    <row r="2305" spans="1:17" x14ac:dyDescent="0.45">
      <c r="A2305" t="s">
        <v>112</v>
      </c>
      <c r="B2305" t="s">
        <v>113</v>
      </c>
      <c r="C2305" t="s">
        <v>66</v>
      </c>
      <c r="D2305" t="s">
        <v>20</v>
      </c>
      <c r="E2305" t="s">
        <v>21</v>
      </c>
      <c r="F2305" s="1">
        <v>44531</v>
      </c>
      <c r="G2305">
        <v>5.39</v>
      </c>
      <c r="H2305">
        <v>78.991</v>
      </c>
      <c r="I2305">
        <v>11.57</v>
      </c>
      <c r="J2305">
        <v>79.05</v>
      </c>
      <c r="K2305" t="s">
        <v>30</v>
      </c>
      <c r="L2305">
        <v>3021.72</v>
      </c>
      <c r="M2305">
        <f>VLOOKUP(K2305,RatingLookup!$A$2:$C$8,2,FALSE)</f>
        <v>1.4999999999999999E-2</v>
      </c>
      <c r="N2305">
        <f t="shared" si="105"/>
        <v>1.2586770182638762E-3</v>
      </c>
      <c r="O2305">
        <f>VLOOKUP(K2305,RatingLookup!$A$2:$C$8,3,FALSE)</f>
        <v>0.5</v>
      </c>
      <c r="P2305">
        <f t="shared" si="106"/>
        <v>1.90168475981416</v>
      </c>
      <c r="Q2305" t="str">
        <f t="shared" ca="1" si="107"/>
        <v>No</v>
      </c>
    </row>
    <row r="2306" spans="1:17" x14ac:dyDescent="0.45">
      <c r="A2306" t="s">
        <v>112</v>
      </c>
      <c r="B2306" t="s">
        <v>113</v>
      </c>
      <c r="C2306" t="s">
        <v>66</v>
      </c>
      <c r="D2306" t="s">
        <v>20</v>
      </c>
      <c r="E2306" t="s">
        <v>21</v>
      </c>
      <c r="F2306" s="1">
        <v>44562</v>
      </c>
      <c r="G2306">
        <v>4.9000000000000004</v>
      </c>
      <c r="H2306">
        <v>78.864500000000007</v>
      </c>
      <c r="I2306">
        <v>14.04</v>
      </c>
      <c r="J2306">
        <v>59.41</v>
      </c>
      <c r="K2306" t="s">
        <v>30</v>
      </c>
      <c r="L2306">
        <v>3367.33</v>
      </c>
      <c r="M2306">
        <f>VLOOKUP(K2306,RatingLookup!$A$2:$C$8,2,FALSE)</f>
        <v>1.4999999999999999E-2</v>
      </c>
      <c r="N2306">
        <f t="shared" ref="N2306:N2369" si="108">1-(1-M2306)^(1/12)</f>
        <v>1.2586770182638762E-3</v>
      </c>
      <c r="O2306">
        <f>VLOOKUP(K2306,RatingLookup!$A$2:$C$8,3,FALSE)</f>
        <v>0.5</v>
      </c>
      <c r="P2306">
        <f t="shared" ref="P2306:P2369" si="109">L2306*N2306*O2306</f>
        <v>2.119190441955249</v>
      </c>
      <c r="Q2306" t="str">
        <f t="shared" ref="Q2306:Q2369" ca="1" si="110">IF(RAND()&lt;N2306,"Yes","No")</f>
        <v>No</v>
      </c>
    </row>
    <row r="2307" spans="1:17" x14ac:dyDescent="0.45">
      <c r="A2307" t="s">
        <v>112</v>
      </c>
      <c r="B2307" t="s">
        <v>113</v>
      </c>
      <c r="C2307" t="s">
        <v>66</v>
      </c>
      <c r="D2307" t="s">
        <v>20</v>
      </c>
      <c r="E2307" t="s">
        <v>21</v>
      </c>
      <c r="F2307" s="1">
        <v>44593</v>
      </c>
      <c r="G2307">
        <v>4.8</v>
      </c>
      <c r="H2307">
        <v>78.270899999999997</v>
      </c>
      <c r="I2307">
        <v>18.170000000000002</v>
      </c>
      <c r="J2307">
        <v>69.989999999999995</v>
      </c>
      <c r="K2307" t="s">
        <v>30</v>
      </c>
      <c r="L2307">
        <v>2891.97</v>
      </c>
      <c r="M2307">
        <f>VLOOKUP(K2307,RatingLookup!$A$2:$C$8,2,FALSE)</f>
        <v>1.4999999999999999E-2</v>
      </c>
      <c r="N2307">
        <f t="shared" si="108"/>
        <v>1.2586770182638762E-3</v>
      </c>
      <c r="O2307">
        <f>VLOOKUP(K2307,RatingLookup!$A$2:$C$8,3,FALSE)</f>
        <v>0.5</v>
      </c>
      <c r="P2307">
        <f t="shared" si="109"/>
        <v>1.820028088254291</v>
      </c>
      <c r="Q2307" t="str">
        <f t="shared" ca="1" si="110"/>
        <v>No</v>
      </c>
    </row>
    <row r="2308" spans="1:17" x14ac:dyDescent="0.45">
      <c r="A2308" t="s">
        <v>112</v>
      </c>
      <c r="B2308" t="s">
        <v>113</v>
      </c>
      <c r="C2308" t="s">
        <v>66</v>
      </c>
      <c r="D2308" t="s">
        <v>20</v>
      </c>
      <c r="E2308" t="s">
        <v>21</v>
      </c>
      <c r="F2308" s="1">
        <v>44621</v>
      </c>
      <c r="G2308">
        <v>5.23</v>
      </c>
      <c r="H2308">
        <v>84.018199999999993</v>
      </c>
      <c r="I2308">
        <v>28.71</v>
      </c>
      <c r="J2308">
        <v>85.74</v>
      </c>
      <c r="K2308" t="s">
        <v>30</v>
      </c>
      <c r="L2308">
        <v>3206.93</v>
      </c>
      <c r="M2308">
        <f>VLOOKUP(K2308,RatingLookup!$A$2:$C$8,2,FALSE)</f>
        <v>1.4999999999999999E-2</v>
      </c>
      <c r="N2308">
        <f t="shared" si="108"/>
        <v>1.2586770182638762E-3</v>
      </c>
      <c r="O2308">
        <f>VLOOKUP(K2308,RatingLookup!$A$2:$C$8,3,FALSE)</f>
        <v>0.5</v>
      </c>
      <c r="P2308">
        <f t="shared" si="109"/>
        <v>2.0182445450904862</v>
      </c>
      <c r="Q2308" t="str">
        <f t="shared" ca="1" si="110"/>
        <v>No</v>
      </c>
    </row>
    <row r="2309" spans="1:17" x14ac:dyDescent="0.45">
      <c r="A2309" t="s">
        <v>112</v>
      </c>
      <c r="B2309" t="s">
        <v>113</v>
      </c>
      <c r="C2309" t="s">
        <v>66</v>
      </c>
      <c r="D2309" t="s">
        <v>20</v>
      </c>
      <c r="E2309" t="s">
        <v>21</v>
      </c>
      <c r="F2309" s="1">
        <v>44652</v>
      </c>
      <c r="G2309">
        <v>5.99</v>
      </c>
      <c r="H2309">
        <v>84.121799999999993</v>
      </c>
      <c r="I2309">
        <v>12.56</v>
      </c>
      <c r="J2309">
        <v>80.12</v>
      </c>
      <c r="K2309" t="s">
        <v>30</v>
      </c>
      <c r="L2309">
        <v>2976.54</v>
      </c>
      <c r="M2309">
        <f>VLOOKUP(K2309,RatingLookup!$A$2:$C$8,2,FALSE)</f>
        <v>1.4999999999999999E-2</v>
      </c>
      <c r="N2309">
        <f t="shared" si="108"/>
        <v>1.2586770182638762E-3</v>
      </c>
      <c r="O2309">
        <f>VLOOKUP(K2309,RatingLookup!$A$2:$C$8,3,FALSE)</f>
        <v>0.5</v>
      </c>
      <c r="P2309">
        <f t="shared" si="109"/>
        <v>1.8732512459715791</v>
      </c>
      <c r="Q2309" t="str">
        <f t="shared" ca="1" si="110"/>
        <v>No</v>
      </c>
    </row>
    <row r="2310" spans="1:17" x14ac:dyDescent="0.45">
      <c r="A2310" t="s">
        <v>112</v>
      </c>
      <c r="B2310" t="s">
        <v>113</v>
      </c>
      <c r="C2310" t="s">
        <v>66</v>
      </c>
      <c r="D2310" t="s">
        <v>20</v>
      </c>
      <c r="E2310" t="s">
        <v>21</v>
      </c>
      <c r="F2310" s="1">
        <v>44682</v>
      </c>
      <c r="G2310">
        <v>5.15</v>
      </c>
      <c r="H2310">
        <v>83.782399999999996</v>
      </c>
      <c r="I2310">
        <v>19.09</v>
      </c>
      <c r="J2310">
        <v>65.63</v>
      </c>
      <c r="K2310" t="s">
        <v>22</v>
      </c>
      <c r="L2310">
        <v>3471.67</v>
      </c>
      <c r="M2310">
        <f>VLOOKUP(K2310,RatingLookup!$A$2:$C$8,2,FALSE)</f>
        <v>5.0000000000000001E-3</v>
      </c>
      <c r="N2310">
        <f t="shared" si="108"/>
        <v>4.1762458919303302E-4</v>
      </c>
      <c r="O2310">
        <f>VLOOKUP(K2310,RatingLookup!$A$2:$C$8,3,FALSE)</f>
        <v>0.45</v>
      </c>
      <c r="P2310">
        <f t="shared" si="109"/>
        <v>0.65243464090369963</v>
      </c>
      <c r="Q2310" t="str">
        <f t="shared" ca="1" si="110"/>
        <v>No</v>
      </c>
    </row>
    <row r="2311" spans="1:17" x14ac:dyDescent="0.45">
      <c r="A2311" t="s">
        <v>112</v>
      </c>
      <c r="B2311" t="s">
        <v>113</v>
      </c>
      <c r="C2311" t="s">
        <v>66</v>
      </c>
      <c r="D2311" t="s">
        <v>20</v>
      </c>
      <c r="E2311" t="s">
        <v>21</v>
      </c>
      <c r="F2311" s="1">
        <v>44713</v>
      </c>
      <c r="G2311">
        <v>6.25</v>
      </c>
      <c r="H2311">
        <v>79.636300000000006</v>
      </c>
      <c r="I2311">
        <v>21.36</v>
      </c>
      <c r="J2311">
        <v>78.38</v>
      </c>
      <c r="K2311" t="s">
        <v>22</v>
      </c>
      <c r="L2311">
        <v>3474.53</v>
      </c>
      <c r="M2311">
        <f>VLOOKUP(K2311,RatingLookup!$A$2:$C$8,2,FALSE)</f>
        <v>5.0000000000000001E-3</v>
      </c>
      <c r="N2311">
        <f t="shared" si="108"/>
        <v>4.1762458919303302E-4</v>
      </c>
      <c r="O2311">
        <f>VLOOKUP(K2311,RatingLookup!$A$2:$C$8,3,FALSE)</f>
        <v>0.45</v>
      </c>
      <c r="P2311">
        <f t="shared" si="109"/>
        <v>0.65297212374999114</v>
      </c>
      <c r="Q2311" t="str">
        <f t="shared" ca="1" si="110"/>
        <v>No</v>
      </c>
    </row>
    <row r="2312" spans="1:17" x14ac:dyDescent="0.45">
      <c r="A2312" t="s">
        <v>112</v>
      </c>
      <c r="B2312" t="s">
        <v>113</v>
      </c>
      <c r="C2312" t="s">
        <v>66</v>
      </c>
      <c r="D2312" t="s">
        <v>20</v>
      </c>
      <c r="E2312" t="s">
        <v>21</v>
      </c>
      <c r="F2312" s="1">
        <v>44743</v>
      </c>
      <c r="G2312">
        <v>6.11</v>
      </c>
      <c r="H2312">
        <v>81.498500000000007</v>
      </c>
      <c r="I2312">
        <v>15.67</v>
      </c>
      <c r="J2312">
        <v>78.290000000000006</v>
      </c>
      <c r="K2312" t="s">
        <v>22</v>
      </c>
      <c r="L2312">
        <v>3111.59</v>
      </c>
      <c r="M2312">
        <f>VLOOKUP(K2312,RatingLookup!$A$2:$C$8,2,FALSE)</f>
        <v>5.0000000000000001E-3</v>
      </c>
      <c r="N2312">
        <f t="shared" si="108"/>
        <v>4.1762458919303302E-4</v>
      </c>
      <c r="O2312">
        <f>VLOOKUP(K2312,RatingLookup!$A$2:$C$8,3,FALSE)</f>
        <v>0.45</v>
      </c>
      <c r="P2312">
        <f t="shared" si="109"/>
        <v>0.58476442296921738</v>
      </c>
      <c r="Q2312" t="str">
        <f t="shared" ca="1" si="110"/>
        <v>No</v>
      </c>
    </row>
    <row r="2313" spans="1:17" x14ac:dyDescent="0.45">
      <c r="A2313" t="s">
        <v>112</v>
      </c>
      <c r="B2313" t="s">
        <v>113</v>
      </c>
      <c r="C2313" t="s">
        <v>66</v>
      </c>
      <c r="D2313" t="s">
        <v>20</v>
      </c>
      <c r="E2313" t="s">
        <v>21</v>
      </c>
      <c r="F2313" s="1">
        <v>44774</v>
      </c>
      <c r="G2313">
        <v>6.58</v>
      </c>
      <c r="H2313">
        <v>80.801100000000005</v>
      </c>
      <c r="I2313">
        <v>10.76</v>
      </c>
      <c r="J2313">
        <v>87.78</v>
      </c>
      <c r="K2313" t="s">
        <v>22</v>
      </c>
      <c r="L2313">
        <v>3199.03</v>
      </c>
      <c r="M2313">
        <f>VLOOKUP(K2313,RatingLookup!$A$2:$C$8,2,FALSE)</f>
        <v>5.0000000000000001E-3</v>
      </c>
      <c r="N2313">
        <f t="shared" si="108"/>
        <v>4.1762458919303302E-4</v>
      </c>
      <c r="O2313">
        <f>VLOOKUP(K2313,RatingLookup!$A$2:$C$8,3,FALSE)</f>
        <v>0.45</v>
      </c>
      <c r="P2313">
        <f t="shared" si="109"/>
        <v>0.60119711530478481</v>
      </c>
      <c r="Q2313" t="str">
        <f t="shared" ca="1" si="110"/>
        <v>No</v>
      </c>
    </row>
    <row r="2314" spans="1:17" x14ac:dyDescent="0.45">
      <c r="A2314" t="s">
        <v>112</v>
      </c>
      <c r="B2314" t="s">
        <v>113</v>
      </c>
      <c r="C2314" t="s">
        <v>66</v>
      </c>
      <c r="D2314" t="s">
        <v>20</v>
      </c>
      <c r="E2314" t="s">
        <v>21</v>
      </c>
      <c r="F2314" s="1">
        <v>44805</v>
      </c>
      <c r="G2314">
        <v>5.8</v>
      </c>
      <c r="H2314">
        <v>83.103800000000007</v>
      </c>
      <c r="I2314">
        <v>19.47</v>
      </c>
      <c r="J2314">
        <v>64.62</v>
      </c>
      <c r="K2314" t="s">
        <v>22</v>
      </c>
      <c r="L2314">
        <v>3308.44</v>
      </c>
      <c r="M2314">
        <f>VLOOKUP(K2314,RatingLookup!$A$2:$C$8,2,FALSE)</f>
        <v>5.0000000000000001E-3</v>
      </c>
      <c r="N2314">
        <f t="shared" si="108"/>
        <v>4.1762458919303302E-4</v>
      </c>
      <c r="O2314">
        <f>VLOOKUP(K2314,RatingLookup!$A$2:$C$8,3,FALSE)</f>
        <v>0.45</v>
      </c>
      <c r="P2314">
        <f t="shared" si="109"/>
        <v>0.62175865314140921</v>
      </c>
      <c r="Q2314" t="str">
        <f t="shared" ca="1" si="110"/>
        <v>No</v>
      </c>
    </row>
    <row r="2315" spans="1:17" x14ac:dyDescent="0.45">
      <c r="A2315" t="s">
        <v>112</v>
      </c>
      <c r="B2315" t="s">
        <v>113</v>
      </c>
      <c r="C2315" t="s">
        <v>66</v>
      </c>
      <c r="D2315" t="s">
        <v>20</v>
      </c>
      <c r="E2315" t="s">
        <v>21</v>
      </c>
      <c r="F2315" s="1">
        <v>44835</v>
      </c>
      <c r="G2315">
        <v>5.25</v>
      </c>
      <c r="H2315">
        <v>82.507300000000001</v>
      </c>
      <c r="I2315">
        <v>17.87</v>
      </c>
      <c r="J2315">
        <v>94.89</v>
      </c>
      <c r="K2315" t="s">
        <v>22</v>
      </c>
      <c r="L2315">
        <v>3016.14</v>
      </c>
      <c r="M2315">
        <f>VLOOKUP(K2315,RatingLookup!$A$2:$C$8,2,FALSE)</f>
        <v>5.0000000000000001E-3</v>
      </c>
      <c r="N2315">
        <f t="shared" si="108"/>
        <v>4.1762458919303302E-4</v>
      </c>
      <c r="O2315">
        <f>VLOOKUP(K2315,RatingLookup!$A$2:$C$8,3,FALSE)</f>
        <v>0.45</v>
      </c>
      <c r="P2315">
        <f t="shared" si="109"/>
        <v>0.56682640280190366</v>
      </c>
      <c r="Q2315" t="str">
        <f t="shared" ca="1" si="110"/>
        <v>No</v>
      </c>
    </row>
    <row r="2316" spans="1:17" x14ac:dyDescent="0.45">
      <c r="A2316" t="s">
        <v>112</v>
      </c>
      <c r="B2316" t="s">
        <v>113</v>
      </c>
      <c r="C2316" t="s">
        <v>66</v>
      </c>
      <c r="D2316" t="s">
        <v>20</v>
      </c>
      <c r="E2316" t="s">
        <v>21</v>
      </c>
      <c r="F2316" s="1">
        <v>44866</v>
      </c>
      <c r="G2316">
        <v>6.39</v>
      </c>
      <c r="H2316">
        <v>82.335300000000004</v>
      </c>
      <c r="I2316">
        <v>14.48</v>
      </c>
      <c r="J2316">
        <v>71.61</v>
      </c>
      <c r="K2316" t="s">
        <v>22</v>
      </c>
      <c r="L2316">
        <v>3008.39</v>
      </c>
      <c r="M2316">
        <f>VLOOKUP(K2316,RatingLookup!$A$2:$C$8,2,FALSE)</f>
        <v>5.0000000000000001E-3</v>
      </c>
      <c r="N2316">
        <f t="shared" si="108"/>
        <v>4.1762458919303302E-4</v>
      </c>
      <c r="O2316">
        <f>VLOOKUP(K2316,RatingLookup!$A$2:$C$8,3,FALSE)</f>
        <v>0.45</v>
      </c>
      <c r="P2316">
        <f t="shared" si="109"/>
        <v>0.56536993704709282</v>
      </c>
      <c r="Q2316" t="str">
        <f t="shared" ca="1" si="110"/>
        <v>No</v>
      </c>
    </row>
    <row r="2317" spans="1:17" x14ac:dyDescent="0.45">
      <c r="A2317" t="s">
        <v>112</v>
      </c>
      <c r="B2317" t="s">
        <v>113</v>
      </c>
      <c r="C2317" t="s">
        <v>66</v>
      </c>
      <c r="D2317" t="s">
        <v>20</v>
      </c>
      <c r="E2317" t="s">
        <v>21</v>
      </c>
      <c r="F2317" s="1">
        <v>44896</v>
      </c>
      <c r="G2317">
        <v>6.7</v>
      </c>
      <c r="H2317">
        <v>83.887600000000006</v>
      </c>
      <c r="I2317">
        <v>27.6</v>
      </c>
      <c r="J2317">
        <v>74.31</v>
      </c>
      <c r="K2317" t="s">
        <v>22</v>
      </c>
      <c r="L2317">
        <v>3183.53</v>
      </c>
      <c r="M2317">
        <f>VLOOKUP(K2317,RatingLookup!$A$2:$C$8,2,FALSE)</f>
        <v>5.0000000000000001E-3</v>
      </c>
      <c r="N2317">
        <f t="shared" si="108"/>
        <v>4.1762458919303302E-4</v>
      </c>
      <c r="O2317">
        <f>VLOOKUP(K2317,RatingLookup!$A$2:$C$8,3,FALSE)</f>
        <v>0.45</v>
      </c>
      <c r="P2317">
        <f t="shared" si="109"/>
        <v>0.59828418379516346</v>
      </c>
      <c r="Q2317" t="str">
        <f t="shared" ca="1" si="110"/>
        <v>No</v>
      </c>
    </row>
    <row r="2318" spans="1:17" x14ac:dyDescent="0.45">
      <c r="A2318" t="s">
        <v>112</v>
      </c>
      <c r="B2318" t="s">
        <v>113</v>
      </c>
      <c r="C2318" t="s">
        <v>66</v>
      </c>
      <c r="D2318" t="s">
        <v>20</v>
      </c>
      <c r="E2318" t="s">
        <v>21</v>
      </c>
      <c r="F2318" s="1">
        <v>44927</v>
      </c>
      <c r="G2318">
        <v>6.39</v>
      </c>
      <c r="H2318">
        <v>87.065299999999993</v>
      </c>
      <c r="I2318">
        <v>20.190000000000001</v>
      </c>
      <c r="J2318">
        <v>69.22</v>
      </c>
      <c r="K2318" t="s">
        <v>22</v>
      </c>
      <c r="L2318">
        <v>3388.48</v>
      </c>
      <c r="M2318">
        <f>VLOOKUP(K2318,RatingLookup!$A$2:$C$8,2,FALSE)</f>
        <v>5.0000000000000001E-3</v>
      </c>
      <c r="N2318">
        <f t="shared" si="108"/>
        <v>4.1762458919303302E-4</v>
      </c>
      <c r="O2318">
        <f>VLOOKUP(K2318,RatingLookup!$A$2:$C$8,3,FALSE)</f>
        <v>0.45</v>
      </c>
      <c r="P2318">
        <f t="shared" si="109"/>
        <v>0.6368006555949639</v>
      </c>
      <c r="Q2318" t="str">
        <f t="shared" ca="1" si="110"/>
        <v>No</v>
      </c>
    </row>
    <row r="2319" spans="1:17" x14ac:dyDescent="0.45">
      <c r="A2319" t="s">
        <v>112</v>
      </c>
      <c r="B2319" t="s">
        <v>113</v>
      </c>
      <c r="C2319" t="s">
        <v>66</v>
      </c>
      <c r="D2319" t="s">
        <v>20</v>
      </c>
      <c r="E2319" t="s">
        <v>21</v>
      </c>
      <c r="F2319" s="1">
        <v>44958</v>
      </c>
      <c r="G2319">
        <v>5.39</v>
      </c>
      <c r="H2319">
        <v>81.094200000000001</v>
      </c>
      <c r="I2319">
        <v>20.82</v>
      </c>
      <c r="J2319">
        <v>64.069999999999993</v>
      </c>
      <c r="K2319" t="s">
        <v>22</v>
      </c>
      <c r="L2319">
        <v>2916.05</v>
      </c>
      <c r="M2319">
        <f>VLOOKUP(K2319,RatingLookup!$A$2:$C$8,2,FALSE)</f>
        <v>5.0000000000000001E-3</v>
      </c>
      <c r="N2319">
        <f t="shared" si="108"/>
        <v>4.1762458919303302E-4</v>
      </c>
      <c r="O2319">
        <f>VLOOKUP(K2319,RatingLookup!$A$2:$C$8,3,FALSE)</f>
        <v>0.45</v>
      </c>
      <c r="P2319">
        <f t="shared" si="109"/>
        <v>0.54801638249235485</v>
      </c>
      <c r="Q2319" t="str">
        <f t="shared" ca="1" si="110"/>
        <v>No</v>
      </c>
    </row>
    <row r="2320" spans="1:17" x14ac:dyDescent="0.45">
      <c r="A2320" t="s">
        <v>112</v>
      </c>
      <c r="B2320" t="s">
        <v>113</v>
      </c>
      <c r="C2320" t="s">
        <v>66</v>
      </c>
      <c r="D2320" t="s">
        <v>20</v>
      </c>
      <c r="E2320" t="s">
        <v>21</v>
      </c>
      <c r="F2320" s="1">
        <v>44986</v>
      </c>
      <c r="G2320">
        <v>5.19</v>
      </c>
      <c r="H2320">
        <v>81.335700000000003</v>
      </c>
      <c r="I2320">
        <v>22.65</v>
      </c>
      <c r="J2320">
        <v>78.59</v>
      </c>
      <c r="K2320" t="s">
        <v>22</v>
      </c>
      <c r="L2320">
        <v>3170.84</v>
      </c>
      <c r="M2320">
        <f>VLOOKUP(K2320,RatingLookup!$A$2:$C$8,2,FALSE)</f>
        <v>5.0000000000000001E-3</v>
      </c>
      <c r="N2320">
        <f t="shared" si="108"/>
        <v>4.1762458919303302E-4</v>
      </c>
      <c r="O2320">
        <f>VLOOKUP(K2320,RatingLookup!$A$2:$C$8,3,FALSE)</f>
        <v>0.45</v>
      </c>
      <c r="P2320">
        <f t="shared" si="109"/>
        <v>0.59589933857857658</v>
      </c>
      <c r="Q2320" t="str">
        <f t="shared" ca="1" si="110"/>
        <v>No</v>
      </c>
    </row>
    <row r="2321" spans="1:17" x14ac:dyDescent="0.45">
      <c r="A2321" t="s">
        <v>112</v>
      </c>
      <c r="B2321" t="s">
        <v>113</v>
      </c>
      <c r="C2321" t="s">
        <v>66</v>
      </c>
      <c r="D2321" t="s">
        <v>20</v>
      </c>
      <c r="E2321" t="s">
        <v>21</v>
      </c>
      <c r="F2321" s="1">
        <v>45017</v>
      </c>
      <c r="G2321">
        <v>5.68</v>
      </c>
      <c r="H2321">
        <v>82.507900000000006</v>
      </c>
      <c r="I2321">
        <v>19.88</v>
      </c>
      <c r="J2321">
        <v>73.56</v>
      </c>
      <c r="K2321" t="s">
        <v>22</v>
      </c>
      <c r="L2321">
        <v>3424.21</v>
      </c>
      <c r="M2321">
        <f>VLOOKUP(K2321,RatingLookup!$A$2:$C$8,2,FALSE)</f>
        <v>5.0000000000000001E-3</v>
      </c>
      <c r="N2321">
        <f t="shared" si="108"/>
        <v>4.1762458919303302E-4</v>
      </c>
      <c r="O2321">
        <f>VLOOKUP(K2321,RatingLookup!$A$2:$C$8,3,FALSE)</f>
        <v>0.45</v>
      </c>
      <c r="P2321">
        <f t="shared" si="109"/>
        <v>0.64351543255230403</v>
      </c>
      <c r="Q2321" t="str">
        <f t="shared" ca="1" si="110"/>
        <v>No</v>
      </c>
    </row>
    <row r="2322" spans="1:17" x14ac:dyDescent="0.45">
      <c r="A2322" t="s">
        <v>112</v>
      </c>
      <c r="B2322" t="s">
        <v>113</v>
      </c>
      <c r="C2322" t="s">
        <v>66</v>
      </c>
      <c r="D2322" t="s">
        <v>20</v>
      </c>
      <c r="E2322" t="s">
        <v>21</v>
      </c>
      <c r="F2322" s="1">
        <v>45047</v>
      </c>
      <c r="G2322">
        <v>5.3</v>
      </c>
      <c r="H2322">
        <v>83.096599999999995</v>
      </c>
      <c r="I2322">
        <v>21.79</v>
      </c>
      <c r="J2322">
        <v>83.56</v>
      </c>
      <c r="K2322" t="s">
        <v>23</v>
      </c>
      <c r="L2322">
        <v>3278.42</v>
      </c>
      <c r="M2322">
        <f>VLOOKUP(K2322,RatingLookup!$A$2:$C$8,2,FALSE)</f>
        <v>1E-3</v>
      </c>
      <c r="N2322">
        <f t="shared" si="108"/>
        <v>8.3371552197619714E-5</v>
      </c>
      <c r="O2322">
        <f>VLOOKUP(K2322,RatingLookup!$A$2:$C$8,3,FALSE)</f>
        <v>0.3</v>
      </c>
      <c r="P2322">
        <f t="shared" si="109"/>
        <v>8.199808924671613E-2</v>
      </c>
      <c r="Q2322" t="str">
        <f t="shared" ca="1" si="110"/>
        <v>No</v>
      </c>
    </row>
    <row r="2323" spans="1:17" x14ac:dyDescent="0.45">
      <c r="A2323" t="s">
        <v>112</v>
      </c>
      <c r="B2323" t="s">
        <v>113</v>
      </c>
      <c r="C2323" t="s">
        <v>66</v>
      </c>
      <c r="D2323" t="s">
        <v>20</v>
      </c>
      <c r="E2323" t="s">
        <v>21</v>
      </c>
      <c r="F2323" s="1">
        <v>45078</v>
      </c>
      <c r="G2323">
        <v>4.8600000000000003</v>
      </c>
      <c r="H2323">
        <v>79.900999999999996</v>
      </c>
      <c r="I2323">
        <v>19.09</v>
      </c>
      <c r="J2323">
        <v>87.06</v>
      </c>
      <c r="K2323" t="s">
        <v>23</v>
      </c>
      <c r="L2323">
        <v>3388.86</v>
      </c>
      <c r="M2323">
        <f>VLOOKUP(K2323,RatingLookup!$A$2:$C$8,2,FALSE)</f>
        <v>1E-3</v>
      </c>
      <c r="N2323">
        <f t="shared" si="108"/>
        <v>8.3371552197619714E-5</v>
      </c>
      <c r="O2323">
        <f>VLOOKUP(K2323,RatingLookup!$A$2:$C$8,3,FALSE)</f>
        <v>0.3</v>
      </c>
      <c r="P2323">
        <f t="shared" si="109"/>
        <v>8.4760355514127653E-2</v>
      </c>
      <c r="Q2323" t="str">
        <f t="shared" ca="1" si="110"/>
        <v>No</v>
      </c>
    </row>
    <row r="2324" spans="1:17" x14ac:dyDescent="0.45">
      <c r="A2324" t="s">
        <v>112</v>
      </c>
      <c r="B2324" t="s">
        <v>113</v>
      </c>
      <c r="C2324" t="s">
        <v>66</v>
      </c>
      <c r="D2324" t="s">
        <v>20</v>
      </c>
      <c r="E2324" t="s">
        <v>21</v>
      </c>
      <c r="F2324" s="1">
        <v>45108</v>
      </c>
      <c r="G2324">
        <v>4.8600000000000003</v>
      </c>
      <c r="H2324">
        <v>81.435500000000005</v>
      </c>
      <c r="I2324">
        <v>15.56</v>
      </c>
      <c r="J2324">
        <v>69.45</v>
      </c>
      <c r="K2324" t="s">
        <v>23</v>
      </c>
      <c r="L2324">
        <v>3233.06</v>
      </c>
      <c r="M2324">
        <f>VLOOKUP(K2324,RatingLookup!$A$2:$C$8,2,FALSE)</f>
        <v>1E-3</v>
      </c>
      <c r="N2324">
        <f t="shared" si="108"/>
        <v>8.3371552197619714E-5</v>
      </c>
      <c r="O2324">
        <f>VLOOKUP(K2324,RatingLookup!$A$2:$C$8,3,FALSE)</f>
        <v>0.3</v>
      </c>
      <c r="P2324">
        <f t="shared" si="109"/>
        <v>8.0863569164410912E-2</v>
      </c>
      <c r="Q2324" t="str">
        <f t="shared" ca="1" si="110"/>
        <v>No</v>
      </c>
    </row>
    <row r="2325" spans="1:17" x14ac:dyDescent="0.45">
      <c r="A2325" t="s">
        <v>112</v>
      </c>
      <c r="B2325" t="s">
        <v>113</v>
      </c>
      <c r="C2325" t="s">
        <v>66</v>
      </c>
      <c r="D2325" t="s">
        <v>20</v>
      </c>
      <c r="E2325" t="s">
        <v>21</v>
      </c>
      <c r="F2325" s="1">
        <v>45139</v>
      </c>
      <c r="G2325">
        <v>5.37</v>
      </c>
      <c r="H2325">
        <v>75.706299999999999</v>
      </c>
      <c r="I2325">
        <v>21.17</v>
      </c>
      <c r="J2325">
        <v>75.239999999999995</v>
      </c>
      <c r="K2325" t="s">
        <v>23</v>
      </c>
      <c r="L2325">
        <v>3232.72</v>
      </c>
      <c r="M2325">
        <f>VLOOKUP(K2325,RatingLookup!$A$2:$C$8,2,FALSE)</f>
        <v>1E-3</v>
      </c>
      <c r="N2325">
        <f t="shared" si="108"/>
        <v>8.3371552197619714E-5</v>
      </c>
      <c r="O2325">
        <f>VLOOKUP(K2325,RatingLookup!$A$2:$C$8,3,FALSE)</f>
        <v>0.3</v>
      </c>
      <c r="P2325">
        <f t="shared" si="109"/>
        <v>8.0855065266086754E-2</v>
      </c>
      <c r="Q2325" t="str">
        <f t="shared" ca="1" si="110"/>
        <v>No</v>
      </c>
    </row>
    <row r="2326" spans="1:17" x14ac:dyDescent="0.45">
      <c r="A2326" t="s">
        <v>112</v>
      </c>
      <c r="B2326" t="s">
        <v>113</v>
      </c>
      <c r="C2326" t="s">
        <v>66</v>
      </c>
      <c r="D2326" t="s">
        <v>20</v>
      </c>
      <c r="E2326" t="s">
        <v>21</v>
      </c>
      <c r="F2326" s="1">
        <v>45170</v>
      </c>
      <c r="G2326">
        <v>6.46</v>
      </c>
      <c r="H2326">
        <v>78.708600000000004</v>
      </c>
      <c r="I2326">
        <v>17.47</v>
      </c>
      <c r="J2326">
        <v>88.68</v>
      </c>
      <c r="K2326" t="s">
        <v>23</v>
      </c>
      <c r="L2326">
        <v>3247.81</v>
      </c>
      <c r="M2326">
        <f>VLOOKUP(K2326,RatingLookup!$A$2:$C$8,2,FALSE)</f>
        <v>1E-3</v>
      </c>
      <c r="N2326">
        <f t="shared" si="108"/>
        <v>8.3371552197619714E-5</v>
      </c>
      <c r="O2326">
        <f>VLOOKUP(K2326,RatingLookup!$A$2:$C$8,3,FALSE)</f>
        <v>0.3</v>
      </c>
      <c r="P2326">
        <f t="shared" si="109"/>
        <v>8.1232488282885387E-2</v>
      </c>
      <c r="Q2326" t="str">
        <f t="shared" ca="1" si="110"/>
        <v>No</v>
      </c>
    </row>
    <row r="2327" spans="1:17" x14ac:dyDescent="0.45">
      <c r="A2327" t="s">
        <v>112</v>
      </c>
      <c r="B2327" t="s">
        <v>113</v>
      </c>
      <c r="C2327" t="s">
        <v>66</v>
      </c>
      <c r="D2327" t="s">
        <v>20</v>
      </c>
      <c r="E2327" t="s">
        <v>21</v>
      </c>
      <c r="F2327" s="1">
        <v>45200</v>
      </c>
      <c r="G2327">
        <v>5.14</v>
      </c>
      <c r="H2327">
        <v>83.040400000000005</v>
      </c>
      <c r="I2327">
        <v>13.11</v>
      </c>
      <c r="J2327">
        <v>62.77</v>
      </c>
      <c r="K2327" t="s">
        <v>23</v>
      </c>
      <c r="L2327">
        <v>3407.58</v>
      </c>
      <c r="M2327">
        <f>VLOOKUP(K2327,RatingLookup!$A$2:$C$8,2,FALSE)</f>
        <v>1E-3</v>
      </c>
      <c r="N2327">
        <f t="shared" si="108"/>
        <v>8.3371552197619714E-5</v>
      </c>
      <c r="O2327">
        <f>VLOOKUP(K2327,RatingLookup!$A$2:$C$8,3,FALSE)</f>
        <v>0.3</v>
      </c>
      <c r="P2327">
        <f t="shared" si="109"/>
        <v>8.5228570151269487E-2</v>
      </c>
      <c r="Q2327" t="str">
        <f t="shared" ca="1" si="110"/>
        <v>No</v>
      </c>
    </row>
    <row r="2328" spans="1:17" x14ac:dyDescent="0.45">
      <c r="A2328" t="s">
        <v>112</v>
      </c>
      <c r="B2328" t="s">
        <v>113</v>
      </c>
      <c r="C2328" t="s">
        <v>66</v>
      </c>
      <c r="D2328" t="s">
        <v>20</v>
      </c>
      <c r="E2328" t="s">
        <v>21</v>
      </c>
      <c r="F2328" s="1">
        <v>45231</v>
      </c>
      <c r="G2328">
        <v>5.34</v>
      </c>
      <c r="H2328">
        <v>82.412700000000001</v>
      </c>
      <c r="I2328">
        <v>27.92</v>
      </c>
      <c r="J2328">
        <v>70.14</v>
      </c>
      <c r="K2328" t="s">
        <v>23</v>
      </c>
      <c r="L2328">
        <v>3446.71</v>
      </c>
      <c r="M2328">
        <f>VLOOKUP(K2328,RatingLookup!$A$2:$C$8,2,FALSE)</f>
        <v>1E-3</v>
      </c>
      <c r="N2328">
        <f t="shared" si="108"/>
        <v>8.3371552197619714E-5</v>
      </c>
      <c r="O2328">
        <f>VLOOKUP(K2328,RatingLookup!$A$2:$C$8,3,FALSE)</f>
        <v>0.3</v>
      </c>
      <c r="P2328">
        <f t="shared" si="109"/>
        <v>8.6207268802517348E-2</v>
      </c>
      <c r="Q2328" t="str">
        <f t="shared" ca="1" si="110"/>
        <v>No</v>
      </c>
    </row>
    <row r="2329" spans="1:17" x14ac:dyDescent="0.45">
      <c r="A2329" t="s">
        <v>112</v>
      </c>
      <c r="B2329" t="s">
        <v>113</v>
      </c>
      <c r="C2329" t="s">
        <v>66</v>
      </c>
      <c r="D2329" t="s">
        <v>20</v>
      </c>
      <c r="E2329" t="s">
        <v>21</v>
      </c>
      <c r="F2329" s="1">
        <v>45261</v>
      </c>
      <c r="G2329">
        <v>5.0599999999999996</v>
      </c>
      <c r="H2329">
        <v>81.078299999999999</v>
      </c>
      <c r="I2329">
        <v>21.42</v>
      </c>
      <c r="J2329">
        <v>92.64</v>
      </c>
      <c r="K2329" t="s">
        <v>23</v>
      </c>
      <c r="L2329">
        <v>3400.14</v>
      </c>
      <c r="M2329">
        <f>VLOOKUP(K2329,RatingLookup!$A$2:$C$8,2,FALSE)</f>
        <v>1E-3</v>
      </c>
      <c r="N2329">
        <f t="shared" si="108"/>
        <v>8.3371552197619714E-5</v>
      </c>
      <c r="O2329">
        <f>VLOOKUP(K2329,RatingLookup!$A$2:$C$8,3,FALSE)</f>
        <v>0.3</v>
      </c>
      <c r="P2329">
        <f t="shared" si="109"/>
        <v>8.504248484676441E-2</v>
      </c>
      <c r="Q2329" t="str">
        <f t="shared" ca="1" si="110"/>
        <v>No</v>
      </c>
    </row>
    <row r="2330" spans="1:17" x14ac:dyDescent="0.45">
      <c r="A2330" t="s">
        <v>112</v>
      </c>
      <c r="B2330" t="s">
        <v>113</v>
      </c>
      <c r="C2330" t="s">
        <v>66</v>
      </c>
      <c r="D2330" t="s">
        <v>20</v>
      </c>
      <c r="E2330" t="s">
        <v>21</v>
      </c>
      <c r="F2330" s="1">
        <v>45292</v>
      </c>
      <c r="G2330">
        <v>5.84</v>
      </c>
      <c r="H2330">
        <v>80.625900000000001</v>
      </c>
      <c r="I2330">
        <v>8.86</v>
      </c>
      <c r="J2330">
        <v>83.59</v>
      </c>
      <c r="K2330" t="s">
        <v>23</v>
      </c>
      <c r="L2330">
        <v>3109.77</v>
      </c>
      <c r="M2330">
        <f>VLOOKUP(K2330,RatingLookup!$A$2:$C$8,2,FALSE)</f>
        <v>1E-3</v>
      </c>
      <c r="N2330">
        <f t="shared" si="108"/>
        <v>8.3371552197619714E-5</v>
      </c>
      <c r="O2330">
        <f>VLOOKUP(K2330,RatingLookup!$A$2:$C$8,3,FALSE)</f>
        <v>0.3</v>
      </c>
      <c r="P2330">
        <f t="shared" si="109"/>
        <v>7.7779905563277546E-2</v>
      </c>
      <c r="Q2330" t="str">
        <f t="shared" ca="1" si="110"/>
        <v>No</v>
      </c>
    </row>
    <row r="2331" spans="1:17" x14ac:dyDescent="0.45">
      <c r="A2331" t="s">
        <v>112</v>
      </c>
      <c r="B2331" t="s">
        <v>113</v>
      </c>
      <c r="C2331" t="s">
        <v>66</v>
      </c>
      <c r="D2331" t="s">
        <v>20</v>
      </c>
      <c r="E2331" t="s">
        <v>21</v>
      </c>
      <c r="F2331" s="1">
        <v>45323</v>
      </c>
      <c r="G2331">
        <v>4.9000000000000004</v>
      </c>
      <c r="H2331">
        <v>82.265799999999999</v>
      </c>
      <c r="I2331">
        <v>11.74</v>
      </c>
      <c r="J2331">
        <v>78.44</v>
      </c>
      <c r="K2331" t="s">
        <v>23</v>
      </c>
      <c r="L2331">
        <v>3298.61</v>
      </c>
      <c r="M2331">
        <f>VLOOKUP(K2331,RatingLookup!$A$2:$C$8,2,FALSE)</f>
        <v>1E-3</v>
      </c>
      <c r="N2331">
        <f t="shared" si="108"/>
        <v>8.3371552197619714E-5</v>
      </c>
      <c r="O2331">
        <f>VLOOKUP(K2331,RatingLookup!$A$2:$C$8,3,FALSE)</f>
        <v>0.3</v>
      </c>
      <c r="P2331">
        <f t="shared" si="109"/>
        <v>8.2503070738377107E-2</v>
      </c>
      <c r="Q2331" t="str">
        <f t="shared" ca="1" si="110"/>
        <v>No</v>
      </c>
    </row>
    <row r="2332" spans="1:17" x14ac:dyDescent="0.45">
      <c r="A2332" t="s">
        <v>112</v>
      </c>
      <c r="B2332" t="s">
        <v>113</v>
      </c>
      <c r="C2332" t="s">
        <v>66</v>
      </c>
      <c r="D2332" t="s">
        <v>20</v>
      </c>
      <c r="E2332" t="s">
        <v>21</v>
      </c>
      <c r="F2332" s="1">
        <v>45352</v>
      </c>
      <c r="G2332">
        <v>5</v>
      </c>
      <c r="H2332">
        <v>85.558899999999994</v>
      </c>
      <c r="I2332">
        <v>23.57</v>
      </c>
      <c r="J2332">
        <v>91.64</v>
      </c>
      <c r="K2332" t="s">
        <v>23</v>
      </c>
      <c r="L2332">
        <v>3055.08</v>
      </c>
      <c r="M2332">
        <f>VLOOKUP(K2332,RatingLookup!$A$2:$C$8,2,FALSE)</f>
        <v>1E-3</v>
      </c>
      <c r="N2332">
        <f t="shared" si="108"/>
        <v>8.3371552197619714E-5</v>
      </c>
      <c r="O2332">
        <f>VLOOKUP(K2332,RatingLookup!$A$2:$C$8,3,FALSE)</f>
        <v>0.3</v>
      </c>
      <c r="P2332">
        <f t="shared" si="109"/>
        <v>7.6412028506371202E-2</v>
      </c>
      <c r="Q2332" t="str">
        <f t="shared" ca="1" si="110"/>
        <v>No</v>
      </c>
    </row>
    <row r="2333" spans="1:17" x14ac:dyDescent="0.45">
      <c r="A2333" t="s">
        <v>112</v>
      </c>
      <c r="B2333" t="s">
        <v>113</v>
      </c>
      <c r="C2333" t="s">
        <v>66</v>
      </c>
      <c r="D2333" t="s">
        <v>20</v>
      </c>
      <c r="E2333" t="s">
        <v>21</v>
      </c>
      <c r="F2333" s="1">
        <v>45383</v>
      </c>
      <c r="G2333">
        <v>4.97</v>
      </c>
      <c r="H2333">
        <v>84.038300000000007</v>
      </c>
      <c r="I2333">
        <v>16.850000000000001</v>
      </c>
      <c r="J2333">
        <v>73.900000000000006</v>
      </c>
      <c r="K2333" t="s">
        <v>23</v>
      </c>
      <c r="L2333">
        <v>3364.1</v>
      </c>
      <c r="M2333">
        <f>VLOOKUP(K2333,RatingLookup!$A$2:$C$8,2,FALSE)</f>
        <v>1E-3</v>
      </c>
      <c r="N2333">
        <f t="shared" si="108"/>
        <v>8.3371552197619714E-5</v>
      </c>
      <c r="O2333">
        <f>VLOOKUP(K2333,RatingLookup!$A$2:$C$8,3,FALSE)</f>
        <v>0.3</v>
      </c>
      <c r="P2333">
        <f t="shared" si="109"/>
        <v>8.4141071624403735E-2</v>
      </c>
      <c r="Q2333" t="str">
        <f t="shared" ca="1" si="110"/>
        <v>No</v>
      </c>
    </row>
    <row r="2334" spans="1:17" x14ac:dyDescent="0.45">
      <c r="A2334" t="s">
        <v>112</v>
      </c>
      <c r="B2334" t="s">
        <v>113</v>
      </c>
      <c r="C2334" t="s">
        <v>66</v>
      </c>
      <c r="D2334" t="s">
        <v>20</v>
      </c>
      <c r="E2334" t="s">
        <v>21</v>
      </c>
      <c r="F2334" s="1">
        <v>45413</v>
      </c>
      <c r="G2334">
        <v>5.23</v>
      </c>
      <c r="H2334">
        <v>84.360299999999995</v>
      </c>
      <c r="I2334">
        <v>19.260000000000002</v>
      </c>
      <c r="J2334">
        <v>70.489999999999995</v>
      </c>
      <c r="K2334" t="s">
        <v>23</v>
      </c>
      <c r="L2334">
        <v>3474.71</v>
      </c>
      <c r="M2334">
        <f>VLOOKUP(K2334,RatingLookup!$A$2:$C$8,2,FALSE)</f>
        <v>1E-3</v>
      </c>
      <c r="N2334">
        <f t="shared" si="108"/>
        <v>8.3371552197619714E-5</v>
      </c>
      <c r="O2334">
        <f>VLOOKUP(K2334,RatingLookup!$A$2:$C$8,3,FALSE)</f>
        <v>0.3</v>
      </c>
      <c r="P2334">
        <f t="shared" si="109"/>
        <v>8.6907589840977365E-2</v>
      </c>
      <c r="Q2334" t="str">
        <f t="shared" ca="1" si="110"/>
        <v>No</v>
      </c>
    </row>
    <row r="2335" spans="1:17" x14ac:dyDescent="0.45">
      <c r="A2335" t="s">
        <v>112</v>
      </c>
      <c r="B2335" t="s">
        <v>113</v>
      </c>
      <c r="C2335" t="s">
        <v>66</v>
      </c>
      <c r="D2335" t="s">
        <v>20</v>
      </c>
      <c r="E2335" t="s">
        <v>21</v>
      </c>
      <c r="F2335" s="1">
        <v>45444</v>
      </c>
      <c r="G2335">
        <v>6.25</v>
      </c>
      <c r="H2335">
        <v>84.777699999999996</v>
      </c>
      <c r="I2335">
        <v>12.09</v>
      </c>
      <c r="J2335">
        <v>73.59</v>
      </c>
      <c r="K2335" t="s">
        <v>23</v>
      </c>
      <c r="L2335">
        <v>3345.3</v>
      </c>
      <c r="M2335">
        <f>VLOOKUP(K2335,RatingLookup!$A$2:$C$8,2,FALSE)</f>
        <v>1E-3</v>
      </c>
      <c r="N2335">
        <f t="shared" si="108"/>
        <v>8.3371552197619714E-5</v>
      </c>
      <c r="O2335">
        <f>VLOOKUP(K2335,RatingLookup!$A$2:$C$8,3,FALSE)</f>
        <v>0.3</v>
      </c>
      <c r="P2335">
        <f t="shared" si="109"/>
        <v>8.3670856070009167E-2</v>
      </c>
      <c r="Q2335" t="str">
        <f t="shared" ca="1" si="110"/>
        <v>No</v>
      </c>
    </row>
    <row r="2336" spans="1:17" x14ac:dyDescent="0.45">
      <c r="A2336" t="s">
        <v>112</v>
      </c>
      <c r="B2336" t="s">
        <v>113</v>
      </c>
      <c r="C2336" t="s">
        <v>66</v>
      </c>
      <c r="D2336" t="s">
        <v>20</v>
      </c>
      <c r="E2336" t="s">
        <v>21</v>
      </c>
      <c r="F2336" s="1">
        <v>45474</v>
      </c>
      <c r="G2336">
        <v>5.32</v>
      </c>
      <c r="H2336">
        <v>84.478999999999999</v>
      </c>
      <c r="I2336">
        <v>19.899999999999999</v>
      </c>
      <c r="J2336">
        <v>83.74</v>
      </c>
      <c r="K2336" t="s">
        <v>23</v>
      </c>
      <c r="L2336">
        <v>3252.03</v>
      </c>
      <c r="M2336">
        <f>VLOOKUP(K2336,RatingLookup!$A$2:$C$8,2,FALSE)</f>
        <v>1E-3</v>
      </c>
      <c r="N2336">
        <f t="shared" si="108"/>
        <v>8.3371552197619714E-5</v>
      </c>
      <c r="O2336">
        <f>VLOOKUP(K2336,RatingLookup!$A$2:$C$8,3,FALSE)</f>
        <v>0.3</v>
      </c>
      <c r="P2336">
        <f t="shared" si="109"/>
        <v>8.1338036667967586E-2</v>
      </c>
      <c r="Q2336" t="str">
        <f t="shared" ca="1" si="110"/>
        <v>No</v>
      </c>
    </row>
    <row r="2337" spans="1:17" x14ac:dyDescent="0.45">
      <c r="A2337" t="s">
        <v>112</v>
      </c>
      <c r="B2337" t="s">
        <v>113</v>
      </c>
      <c r="C2337" t="s">
        <v>66</v>
      </c>
      <c r="D2337" t="s">
        <v>20</v>
      </c>
      <c r="E2337" t="s">
        <v>21</v>
      </c>
      <c r="F2337" s="1">
        <v>45505</v>
      </c>
      <c r="G2337">
        <v>5.31</v>
      </c>
      <c r="H2337">
        <v>82.017200000000003</v>
      </c>
      <c r="I2337">
        <v>15.69</v>
      </c>
      <c r="J2337">
        <v>81.75</v>
      </c>
      <c r="K2337" t="s">
        <v>23</v>
      </c>
      <c r="L2337">
        <v>3763</v>
      </c>
      <c r="M2337">
        <f>VLOOKUP(K2337,RatingLookup!$A$2:$C$8,2,FALSE)</f>
        <v>1E-3</v>
      </c>
      <c r="N2337">
        <f t="shared" si="108"/>
        <v>8.3371552197619714E-5</v>
      </c>
      <c r="O2337">
        <f>VLOOKUP(K2337,RatingLookup!$A$2:$C$8,3,FALSE)</f>
        <v>0.3</v>
      </c>
      <c r="P2337">
        <f t="shared" si="109"/>
        <v>9.4118145275892892E-2</v>
      </c>
      <c r="Q2337" t="str">
        <f t="shared" ca="1" si="110"/>
        <v>No</v>
      </c>
    </row>
    <row r="2338" spans="1:17" x14ac:dyDescent="0.45">
      <c r="A2338" t="s">
        <v>112</v>
      </c>
      <c r="B2338" t="s">
        <v>113</v>
      </c>
      <c r="C2338" t="s">
        <v>66</v>
      </c>
      <c r="D2338" t="s">
        <v>20</v>
      </c>
      <c r="E2338" t="s">
        <v>21</v>
      </c>
      <c r="F2338" s="1">
        <v>45536</v>
      </c>
      <c r="G2338">
        <v>5.71</v>
      </c>
      <c r="H2338">
        <v>81.832700000000003</v>
      </c>
      <c r="I2338">
        <v>13.47</v>
      </c>
      <c r="J2338">
        <v>87.64</v>
      </c>
      <c r="K2338" t="s">
        <v>23</v>
      </c>
      <c r="L2338">
        <v>3409.05</v>
      </c>
      <c r="M2338">
        <f>VLOOKUP(K2338,RatingLookup!$A$2:$C$8,2,FALSE)</f>
        <v>1E-3</v>
      </c>
      <c r="N2338">
        <f t="shared" si="108"/>
        <v>8.3371552197619714E-5</v>
      </c>
      <c r="O2338">
        <f>VLOOKUP(K2338,RatingLookup!$A$2:$C$8,3,FALSE)</f>
        <v>0.3</v>
      </c>
      <c r="P2338">
        <f t="shared" si="109"/>
        <v>8.5265337005788644E-2</v>
      </c>
      <c r="Q2338" t="str">
        <f t="shared" ca="1" si="110"/>
        <v>No</v>
      </c>
    </row>
    <row r="2339" spans="1:17" x14ac:dyDescent="0.45">
      <c r="A2339" t="s">
        <v>112</v>
      </c>
      <c r="B2339" t="s">
        <v>113</v>
      </c>
      <c r="C2339" t="s">
        <v>66</v>
      </c>
      <c r="D2339" t="s">
        <v>20</v>
      </c>
      <c r="E2339" t="s">
        <v>21</v>
      </c>
      <c r="F2339" s="1">
        <v>45566</v>
      </c>
      <c r="G2339">
        <v>6.99</v>
      </c>
      <c r="H2339">
        <v>86.132900000000006</v>
      </c>
      <c r="I2339">
        <v>19.27</v>
      </c>
      <c r="J2339">
        <v>70.13</v>
      </c>
      <c r="K2339" t="s">
        <v>23</v>
      </c>
      <c r="L2339">
        <v>3256.74</v>
      </c>
      <c r="M2339">
        <f>VLOOKUP(K2339,RatingLookup!$A$2:$C$8,2,FALSE)</f>
        <v>1E-3</v>
      </c>
      <c r="N2339">
        <f t="shared" si="108"/>
        <v>8.3371552197619714E-5</v>
      </c>
      <c r="O2339">
        <f>VLOOKUP(K2339,RatingLookup!$A$2:$C$8,3,FALSE)</f>
        <v>0.3</v>
      </c>
      <c r="P2339">
        <f t="shared" si="109"/>
        <v>8.1455840671222801E-2</v>
      </c>
      <c r="Q2339" t="str">
        <f t="shared" ca="1" si="110"/>
        <v>No</v>
      </c>
    </row>
    <row r="2340" spans="1:17" x14ac:dyDescent="0.45">
      <c r="A2340" t="s">
        <v>112</v>
      </c>
      <c r="B2340" t="s">
        <v>113</v>
      </c>
      <c r="C2340" t="s">
        <v>66</v>
      </c>
      <c r="D2340" t="s">
        <v>20</v>
      </c>
      <c r="E2340" t="s">
        <v>21</v>
      </c>
      <c r="F2340" s="1">
        <v>45597</v>
      </c>
      <c r="G2340">
        <v>6.26</v>
      </c>
      <c r="H2340">
        <v>85.164900000000003</v>
      </c>
      <c r="I2340">
        <v>22.57</v>
      </c>
      <c r="J2340">
        <v>91.77</v>
      </c>
      <c r="K2340" t="s">
        <v>23</v>
      </c>
      <c r="L2340">
        <v>3518.42</v>
      </c>
      <c r="M2340">
        <f>VLOOKUP(K2340,RatingLookup!$A$2:$C$8,2,FALSE)</f>
        <v>1E-3</v>
      </c>
      <c r="N2340">
        <f t="shared" si="108"/>
        <v>8.3371552197619714E-5</v>
      </c>
      <c r="O2340">
        <f>VLOOKUP(K2340,RatingLookup!$A$2:$C$8,3,FALSE)</f>
        <v>0.3</v>
      </c>
      <c r="P2340">
        <f t="shared" si="109"/>
        <v>8.8000841004944749E-2</v>
      </c>
      <c r="Q2340" t="str">
        <f t="shared" ca="1" si="110"/>
        <v>No</v>
      </c>
    </row>
    <row r="2341" spans="1:17" x14ac:dyDescent="0.45">
      <c r="A2341" t="s">
        <v>112</v>
      </c>
      <c r="B2341" t="s">
        <v>113</v>
      </c>
      <c r="C2341" t="s">
        <v>66</v>
      </c>
      <c r="D2341" t="s">
        <v>20</v>
      </c>
      <c r="E2341" t="s">
        <v>21</v>
      </c>
      <c r="F2341" s="1">
        <v>45627</v>
      </c>
      <c r="G2341">
        <v>4.96</v>
      </c>
      <c r="H2341">
        <v>86.335700000000003</v>
      </c>
      <c r="I2341">
        <v>13.45</v>
      </c>
      <c r="J2341">
        <v>71.55</v>
      </c>
      <c r="K2341" t="s">
        <v>23</v>
      </c>
      <c r="L2341">
        <v>3447.43</v>
      </c>
      <c r="M2341">
        <f>VLOOKUP(K2341,RatingLookup!$A$2:$C$8,2,FALSE)</f>
        <v>1E-3</v>
      </c>
      <c r="N2341">
        <f t="shared" si="108"/>
        <v>8.3371552197619714E-5</v>
      </c>
      <c r="O2341">
        <f>VLOOKUP(K2341,RatingLookup!$A$2:$C$8,3,FALSE)</f>
        <v>0.3</v>
      </c>
      <c r="P2341">
        <f t="shared" si="109"/>
        <v>8.6225277057792038E-2</v>
      </c>
      <c r="Q2341" t="str">
        <f t="shared" ca="1" si="110"/>
        <v>No</v>
      </c>
    </row>
    <row r="2342" spans="1:17" x14ac:dyDescent="0.45">
      <c r="A2342" t="s">
        <v>114</v>
      </c>
      <c r="B2342" t="s">
        <v>115</v>
      </c>
      <c r="C2342" t="s">
        <v>26</v>
      </c>
      <c r="D2342" t="s">
        <v>20</v>
      </c>
      <c r="E2342" t="s">
        <v>21</v>
      </c>
      <c r="F2342" s="1">
        <v>43831</v>
      </c>
      <c r="G2342">
        <v>6.13</v>
      </c>
      <c r="H2342">
        <v>79.233000000000004</v>
      </c>
      <c r="I2342">
        <v>22.01</v>
      </c>
      <c r="J2342">
        <v>63.89</v>
      </c>
      <c r="K2342" t="s">
        <v>23</v>
      </c>
      <c r="L2342">
        <v>2648.96</v>
      </c>
      <c r="M2342">
        <f>VLOOKUP(K2342,RatingLookup!$A$2:$C$8,2,FALSE)</f>
        <v>1E-3</v>
      </c>
      <c r="N2342">
        <f t="shared" si="108"/>
        <v>8.3371552197619714E-5</v>
      </c>
      <c r="O2342">
        <f>VLOOKUP(K2342,RatingLookup!$A$2:$C$8,3,FALSE)</f>
        <v>0.3</v>
      </c>
      <c r="P2342">
        <f t="shared" si="109"/>
        <v>6.6254372072822018E-2</v>
      </c>
      <c r="Q2342" t="str">
        <f t="shared" ca="1" si="110"/>
        <v>No</v>
      </c>
    </row>
    <row r="2343" spans="1:17" x14ac:dyDescent="0.45">
      <c r="A2343" t="s">
        <v>114</v>
      </c>
      <c r="B2343" t="s">
        <v>115</v>
      </c>
      <c r="C2343" t="s">
        <v>26</v>
      </c>
      <c r="D2343" t="s">
        <v>20</v>
      </c>
      <c r="E2343" t="s">
        <v>21</v>
      </c>
      <c r="F2343" s="1">
        <v>43862</v>
      </c>
      <c r="G2343">
        <v>4.5599999999999996</v>
      </c>
      <c r="H2343">
        <v>81.172200000000004</v>
      </c>
      <c r="I2343">
        <v>5.7</v>
      </c>
      <c r="J2343">
        <v>66.25</v>
      </c>
      <c r="K2343" t="s">
        <v>23</v>
      </c>
      <c r="L2343">
        <v>2384.2600000000002</v>
      </c>
      <c r="M2343">
        <f>VLOOKUP(K2343,RatingLookup!$A$2:$C$8,2,FALSE)</f>
        <v>1E-3</v>
      </c>
      <c r="N2343">
        <f t="shared" si="108"/>
        <v>8.3371552197619714E-5</v>
      </c>
      <c r="O2343">
        <f>VLOOKUP(K2343,RatingLookup!$A$2:$C$8,3,FALSE)</f>
        <v>0.3</v>
      </c>
      <c r="P2343">
        <f t="shared" si="109"/>
        <v>5.9633837112809035E-2</v>
      </c>
      <c r="Q2343" t="str">
        <f t="shared" ca="1" si="110"/>
        <v>No</v>
      </c>
    </row>
    <row r="2344" spans="1:17" x14ac:dyDescent="0.45">
      <c r="A2344" t="s">
        <v>114</v>
      </c>
      <c r="B2344" t="s">
        <v>115</v>
      </c>
      <c r="C2344" t="s">
        <v>26</v>
      </c>
      <c r="D2344" t="s">
        <v>20</v>
      </c>
      <c r="E2344" t="s">
        <v>21</v>
      </c>
      <c r="F2344" s="1">
        <v>43891</v>
      </c>
      <c r="G2344">
        <v>5.61</v>
      </c>
      <c r="H2344">
        <v>80.389600000000002</v>
      </c>
      <c r="I2344">
        <v>18.77</v>
      </c>
      <c r="J2344">
        <v>71.459999999999994</v>
      </c>
      <c r="K2344" t="s">
        <v>23</v>
      </c>
      <c r="L2344">
        <v>2644</v>
      </c>
      <c r="M2344">
        <f>VLOOKUP(K2344,RatingLookup!$A$2:$C$8,2,FALSE)</f>
        <v>1E-3</v>
      </c>
      <c r="N2344">
        <f t="shared" si="108"/>
        <v>8.3371552197619714E-5</v>
      </c>
      <c r="O2344">
        <f>VLOOKUP(K2344,RatingLookup!$A$2:$C$8,3,FALSE)</f>
        <v>0.3</v>
      </c>
      <c r="P2344">
        <f t="shared" si="109"/>
        <v>6.6130315203151949E-2</v>
      </c>
      <c r="Q2344" t="str">
        <f t="shared" ca="1" si="110"/>
        <v>No</v>
      </c>
    </row>
    <row r="2345" spans="1:17" x14ac:dyDescent="0.45">
      <c r="A2345" t="s">
        <v>114</v>
      </c>
      <c r="B2345" t="s">
        <v>115</v>
      </c>
      <c r="C2345" t="s">
        <v>26</v>
      </c>
      <c r="D2345" t="s">
        <v>20</v>
      </c>
      <c r="E2345" t="s">
        <v>21</v>
      </c>
      <c r="F2345" s="1">
        <v>43922</v>
      </c>
      <c r="G2345">
        <v>6.24</v>
      </c>
      <c r="H2345">
        <v>83.904899999999998</v>
      </c>
      <c r="I2345">
        <v>20.11</v>
      </c>
      <c r="J2345">
        <v>79.459999999999994</v>
      </c>
      <c r="K2345" t="s">
        <v>23</v>
      </c>
      <c r="L2345">
        <v>2770.1</v>
      </c>
      <c r="M2345">
        <f>VLOOKUP(K2345,RatingLookup!$A$2:$C$8,2,FALSE)</f>
        <v>1E-3</v>
      </c>
      <c r="N2345">
        <f t="shared" si="108"/>
        <v>8.3371552197619714E-5</v>
      </c>
      <c r="O2345">
        <f>VLOOKUP(K2345,RatingLookup!$A$2:$C$8,3,FALSE)</f>
        <v>0.3</v>
      </c>
      <c r="P2345">
        <f t="shared" si="109"/>
        <v>6.928426102278791E-2</v>
      </c>
      <c r="Q2345" t="str">
        <f t="shared" ca="1" si="110"/>
        <v>No</v>
      </c>
    </row>
    <row r="2346" spans="1:17" x14ac:dyDescent="0.45">
      <c r="A2346" t="s">
        <v>114</v>
      </c>
      <c r="B2346" t="s">
        <v>115</v>
      </c>
      <c r="C2346" t="s">
        <v>26</v>
      </c>
      <c r="D2346" t="s">
        <v>20</v>
      </c>
      <c r="E2346" t="s">
        <v>21</v>
      </c>
      <c r="F2346" s="1">
        <v>43952</v>
      </c>
      <c r="G2346">
        <v>5.71</v>
      </c>
      <c r="H2346">
        <v>80.638800000000003</v>
      </c>
      <c r="I2346">
        <v>13.96</v>
      </c>
      <c r="J2346">
        <v>74.33</v>
      </c>
      <c r="K2346" t="s">
        <v>22</v>
      </c>
      <c r="L2346">
        <v>2263.3200000000002</v>
      </c>
      <c r="M2346">
        <f>VLOOKUP(K2346,RatingLookup!$A$2:$C$8,2,FALSE)</f>
        <v>5.0000000000000001E-3</v>
      </c>
      <c r="N2346">
        <f t="shared" si="108"/>
        <v>4.1762458919303302E-4</v>
      </c>
      <c r="O2346">
        <f>VLOOKUP(K2346,RatingLookup!$A$2:$C$8,3,FALSE)</f>
        <v>0.45</v>
      </c>
      <c r="P2346">
        <f t="shared" si="109"/>
        <v>0.425348138345569</v>
      </c>
      <c r="Q2346" t="str">
        <f t="shared" ca="1" si="110"/>
        <v>No</v>
      </c>
    </row>
    <row r="2347" spans="1:17" x14ac:dyDescent="0.45">
      <c r="A2347" t="s">
        <v>114</v>
      </c>
      <c r="B2347" t="s">
        <v>115</v>
      </c>
      <c r="C2347" t="s">
        <v>26</v>
      </c>
      <c r="D2347" t="s">
        <v>20</v>
      </c>
      <c r="E2347" t="s">
        <v>21</v>
      </c>
      <c r="F2347" s="1">
        <v>43983</v>
      </c>
      <c r="G2347">
        <v>5.48</v>
      </c>
      <c r="H2347">
        <v>81.494600000000005</v>
      </c>
      <c r="I2347">
        <v>23.37</v>
      </c>
      <c r="J2347">
        <v>87.75</v>
      </c>
      <c r="K2347" t="s">
        <v>22</v>
      </c>
      <c r="L2347">
        <v>2940.61</v>
      </c>
      <c r="M2347">
        <f>VLOOKUP(K2347,RatingLookup!$A$2:$C$8,2,FALSE)</f>
        <v>5.0000000000000001E-3</v>
      </c>
      <c r="N2347">
        <f t="shared" si="108"/>
        <v>4.1762458919303302E-4</v>
      </c>
      <c r="O2347">
        <f>VLOOKUP(K2347,RatingLookup!$A$2:$C$8,3,FALSE)</f>
        <v>0.45</v>
      </c>
      <c r="P2347">
        <f t="shared" si="109"/>
        <v>0.55263196945211623</v>
      </c>
      <c r="Q2347" t="str">
        <f t="shared" ca="1" si="110"/>
        <v>No</v>
      </c>
    </row>
    <row r="2348" spans="1:17" x14ac:dyDescent="0.45">
      <c r="A2348" t="s">
        <v>114</v>
      </c>
      <c r="B2348" t="s">
        <v>115</v>
      </c>
      <c r="C2348" t="s">
        <v>26</v>
      </c>
      <c r="D2348" t="s">
        <v>20</v>
      </c>
      <c r="E2348" t="s">
        <v>21</v>
      </c>
      <c r="F2348" s="1">
        <v>44013</v>
      </c>
      <c r="G2348">
        <v>5.24</v>
      </c>
      <c r="H2348">
        <v>83.275300000000001</v>
      </c>
      <c r="I2348">
        <v>17.2</v>
      </c>
      <c r="J2348">
        <v>54.71</v>
      </c>
      <c r="K2348" t="s">
        <v>22</v>
      </c>
      <c r="L2348">
        <v>2598.3000000000002</v>
      </c>
      <c r="M2348">
        <f>VLOOKUP(K2348,RatingLookup!$A$2:$C$8,2,FALSE)</f>
        <v>5.0000000000000001E-3</v>
      </c>
      <c r="N2348">
        <f t="shared" si="108"/>
        <v>4.1762458919303302E-4</v>
      </c>
      <c r="O2348">
        <f>VLOOKUP(K2348,RatingLookup!$A$2:$C$8,3,FALSE)</f>
        <v>0.45</v>
      </c>
      <c r="P2348">
        <f t="shared" si="109"/>
        <v>0.48830128654511595</v>
      </c>
      <c r="Q2348" t="str">
        <f t="shared" ca="1" si="110"/>
        <v>No</v>
      </c>
    </row>
    <row r="2349" spans="1:17" x14ac:dyDescent="0.45">
      <c r="A2349" t="s">
        <v>114</v>
      </c>
      <c r="B2349" t="s">
        <v>115</v>
      </c>
      <c r="C2349" t="s">
        <v>26</v>
      </c>
      <c r="D2349" t="s">
        <v>20</v>
      </c>
      <c r="E2349" t="s">
        <v>21</v>
      </c>
      <c r="F2349" s="1">
        <v>44044</v>
      </c>
      <c r="G2349">
        <v>6.05</v>
      </c>
      <c r="H2349">
        <v>83.1952</v>
      </c>
      <c r="I2349">
        <v>23.78</v>
      </c>
      <c r="J2349">
        <v>63.38</v>
      </c>
      <c r="K2349" t="s">
        <v>30</v>
      </c>
      <c r="L2349">
        <v>2675.87</v>
      </c>
      <c r="M2349">
        <f>VLOOKUP(K2349,RatingLookup!$A$2:$C$8,2,FALSE)</f>
        <v>1.4999999999999999E-2</v>
      </c>
      <c r="N2349">
        <f t="shared" si="108"/>
        <v>1.2586770182638762E-3</v>
      </c>
      <c r="O2349">
        <f>VLOOKUP(K2349,RatingLookup!$A$2:$C$8,3,FALSE)</f>
        <v>0.5</v>
      </c>
      <c r="P2349">
        <f t="shared" si="109"/>
        <v>1.6840280364308793</v>
      </c>
      <c r="Q2349" t="str">
        <f t="shared" ca="1" si="110"/>
        <v>No</v>
      </c>
    </row>
    <row r="2350" spans="1:17" x14ac:dyDescent="0.45">
      <c r="A2350" t="s">
        <v>114</v>
      </c>
      <c r="B2350" t="s">
        <v>115</v>
      </c>
      <c r="C2350" t="s">
        <v>26</v>
      </c>
      <c r="D2350" t="s">
        <v>20</v>
      </c>
      <c r="E2350" t="s">
        <v>21</v>
      </c>
      <c r="F2350" s="1">
        <v>44075</v>
      </c>
      <c r="G2350">
        <v>5.13</v>
      </c>
      <c r="H2350">
        <v>78.680599999999998</v>
      </c>
      <c r="I2350">
        <v>26.8</v>
      </c>
      <c r="J2350">
        <v>66.11</v>
      </c>
      <c r="K2350" t="s">
        <v>30</v>
      </c>
      <c r="L2350">
        <v>2669.6</v>
      </c>
      <c r="M2350">
        <f>VLOOKUP(K2350,RatingLookup!$A$2:$C$8,2,FALSE)</f>
        <v>1.4999999999999999E-2</v>
      </c>
      <c r="N2350">
        <f t="shared" si="108"/>
        <v>1.2586770182638762E-3</v>
      </c>
      <c r="O2350">
        <f>VLOOKUP(K2350,RatingLookup!$A$2:$C$8,3,FALSE)</f>
        <v>0.5</v>
      </c>
      <c r="P2350">
        <f t="shared" si="109"/>
        <v>1.6800820839786219</v>
      </c>
      <c r="Q2350" t="str">
        <f t="shared" ca="1" si="110"/>
        <v>No</v>
      </c>
    </row>
    <row r="2351" spans="1:17" x14ac:dyDescent="0.45">
      <c r="A2351" t="s">
        <v>114</v>
      </c>
      <c r="B2351" t="s">
        <v>115</v>
      </c>
      <c r="C2351" t="s">
        <v>26</v>
      </c>
      <c r="D2351" t="s">
        <v>20</v>
      </c>
      <c r="E2351" t="s">
        <v>21</v>
      </c>
      <c r="F2351" s="1">
        <v>44105</v>
      </c>
      <c r="G2351">
        <v>5.65</v>
      </c>
      <c r="H2351">
        <v>79.160899999999998</v>
      </c>
      <c r="I2351">
        <v>27.96</v>
      </c>
      <c r="J2351">
        <v>102.25</v>
      </c>
      <c r="K2351" t="s">
        <v>30</v>
      </c>
      <c r="L2351">
        <v>2777.13</v>
      </c>
      <c r="M2351">
        <f>VLOOKUP(K2351,RatingLookup!$A$2:$C$8,2,FALSE)</f>
        <v>1.4999999999999999E-2</v>
      </c>
      <c r="N2351">
        <f t="shared" si="108"/>
        <v>1.2586770182638762E-3</v>
      </c>
      <c r="O2351">
        <f>VLOOKUP(K2351,RatingLookup!$A$2:$C$8,3,FALSE)</f>
        <v>0.5</v>
      </c>
      <c r="P2351">
        <f t="shared" si="109"/>
        <v>1.7477548538655794</v>
      </c>
      <c r="Q2351" t="str">
        <f t="shared" ca="1" si="110"/>
        <v>No</v>
      </c>
    </row>
    <row r="2352" spans="1:17" x14ac:dyDescent="0.45">
      <c r="A2352" t="s">
        <v>114</v>
      </c>
      <c r="B2352" t="s">
        <v>115</v>
      </c>
      <c r="C2352" t="s">
        <v>26</v>
      </c>
      <c r="D2352" t="s">
        <v>20</v>
      </c>
      <c r="E2352" t="s">
        <v>21</v>
      </c>
      <c r="F2352" s="1">
        <v>44136</v>
      </c>
      <c r="G2352">
        <v>5.79</v>
      </c>
      <c r="H2352">
        <v>78.9666</v>
      </c>
      <c r="I2352">
        <v>15.72</v>
      </c>
      <c r="J2352">
        <v>91.23</v>
      </c>
      <c r="K2352" t="s">
        <v>30</v>
      </c>
      <c r="L2352">
        <v>2839.13</v>
      </c>
      <c r="M2352">
        <f>VLOOKUP(K2352,RatingLookup!$A$2:$C$8,2,FALSE)</f>
        <v>1.4999999999999999E-2</v>
      </c>
      <c r="N2352">
        <f t="shared" si="108"/>
        <v>1.2586770182638762E-3</v>
      </c>
      <c r="O2352">
        <f>VLOOKUP(K2352,RatingLookup!$A$2:$C$8,3,FALSE)</f>
        <v>0.5</v>
      </c>
      <c r="P2352">
        <f t="shared" si="109"/>
        <v>1.7867738414317595</v>
      </c>
      <c r="Q2352" t="str">
        <f t="shared" ca="1" si="110"/>
        <v>No</v>
      </c>
    </row>
    <row r="2353" spans="1:17" x14ac:dyDescent="0.45">
      <c r="A2353" t="s">
        <v>114</v>
      </c>
      <c r="B2353" t="s">
        <v>115</v>
      </c>
      <c r="C2353" t="s">
        <v>26</v>
      </c>
      <c r="D2353" t="s">
        <v>20</v>
      </c>
      <c r="E2353" t="s">
        <v>21</v>
      </c>
      <c r="F2353" s="1">
        <v>44166</v>
      </c>
      <c r="G2353">
        <v>6.54</v>
      </c>
      <c r="H2353">
        <v>82.465999999999994</v>
      </c>
      <c r="I2353">
        <v>23.6</v>
      </c>
      <c r="J2353">
        <v>56.19</v>
      </c>
      <c r="K2353" t="s">
        <v>30</v>
      </c>
      <c r="L2353">
        <v>2434.62</v>
      </c>
      <c r="M2353">
        <f>VLOOKUP(K2353,RatingLookup!$A$2:$C$8,2,FALSE)</f>
        <v>1.4999999999999999E-2</v>
      </c>
      <c r="N2353">
        <f t="shared" si="108"/>
        <v>1.2586770182638762E-3</v>
      </c>
      <c r="O2353">
        <f>VLOOKUP(K2353,RatingLookup!$A$2:$C$8,3,FALSE)</f>
        <v>0.5</v>
      </c>
      <c r="P2353">
        <f t="shared" si="109"/>
        <v>1.5322001211027991</v>
      </c>
      <c r="Q2353" t="str">
        <f t="shared" ca="1" si="110"/>
        <v>No</v>
      </c>
    </row>
    <row r="2354" spans="1:17" x14ac:dyDescent="0.45">
      <c r="A2354" t="s">
        <v>114</v>
      </c>
      <c r="B2354" t="s">
        <v>115</v>
      </c>
      <c r="C2354" t="s">
        <v>26</v>
      </c>
      <c r="D2354" t="s">
        <v>20</v>
      </c>
      <c r="E2354" t="s">
        <v>21</v>
      </c>
      <c r="F2354" s="1">
        <v>44197</v>
      </c>
      <c r="G2354">
        <v>5.24</v>
      </c>
      <c r="H2354">
        <v>84.246600000000001</v>
      </c>
      <c r="I2354">
        <v>11.32</v>
      </c>
      <c r="J2354">
        <v>77.22</v>
      </c>
      <c r="K2354" t="s">
        <v>30</v>
      </c>
      <c r="L2354">
        <v>2703.84</v>
      </c>
      <c r="M2354">
        <f>VLOOKUP(K2354,RatingLookup!$A$2:$C$8,2,FALSE)</f>
        <v>1.4999999999999999E-2</v>
      </c>
      <c r="N2354">
        <f t="shared" si="108"/>
        <v>1.2586770182638762E-3</v>
      </c>
      <c r="O2354">
        <f>VLOOKUP(K2354,RatingLookup!$A$2:$C$8,3,FALSE)</f>
        <v>0.5</v>
      </c>
      <c r="P2354">
        <f t="shared" si="109"/>
        <v>1.7016306345312997</v>
      </c>
      <c r="Q2354" t="str">
        <f t="shared" ca="1" si="110"/>
        <v>No</v>
      </c>
    </row>
    <row r="2355" spans="1:17" x14ac:dyDescent="0.45">
      <c r="A2355" t="s">
        <v>114</v>
      </c>
      <c r="B2355" t="s">
        <v>115</v>
      </c>
      <c r="C2355" t="s">
        <v>26</v>
      </c>
      <c r="D2355" t="s">
        <v>20</v>
      </c>
      <c r="E2355" t="s">
        <v>21</v>
      </c>
      <c r="F2355" s="1">
        <v>44228</v>
      </c>
      <c r="G2355">
        <v>5.95</v>
      </c>
      <c r="H2355">
        <v>78.408100000000005</v>
      </c>
      <c r="I2355">
        <v>17.63</v>
      </c>
      <c r="J2355">
        <v>87.12</v>
      </c>
      <c r="K2355" t="s">
        <v>30</v>
      </c>
      <c r="L2355">
        <v>2602.4699999999998</v>
      </c>
      <c r="M2355">
        <f>VLOOKUP(K2355,RatingLookup!$A$2:$C$8,2,FALSE)</f>
        <v>1.4999999999999999E-2</v>
      </c>
      <c r="N2355">
        <f t="shared" si="108"/>
        <v>1.2586770182638762E-3</v>
      </c>
      <c r="O2355">
        <f>VLOOKUP(K2355,RatingLookup!$A$2:$C$8,3,FALSE)</f>
        <v>0.5</v>
      </c>
      <c r="P2355">
        <f t="shared" si="109"/>
        <v>1.6378345898605948</v>
      </c>
      <c r="Q2355" t="str">
        <f t="shared" ca="1" si="110"/>
        <v>No</v>
      </c>
    </row>
    <row r="2356" spans="1:17" x14ac:dyDescent="0.45">
      <c r="A2356" t="s">
        <v>114</v>
      </c>
      <c r="B2356" t="s">
        <v>115</v>
      </c>
      <c r="C2356" t="s">
        <v>26</v>
      </c>
      <c r="D2356" t="s">
        <v>20</v>
      </c>
      <c r="E2356" t="s">
        <v>21</v>
      </c>
      <c r="F2356" s="1">
        <v>44256</v>
      </c>
      <c r="G2356">
        <v>6.87</v>
      </c>
      <c r="H2356">
        <v>87.713200000000001</v>
      </c>
      <c r="I2356">
        <v>19.850000000000001</v>
      </c>
      <c r="J2356">
        <v>84.11</v>
      </c>
      <c r="K2356" t="s">
        <v>30</v>
      </c>
      <c r="L2356">
        <v>2868.97</v>
      </c>
      <c r="M2356">
        <f>VLOOKUP(K2356,RatingLookup!$A$2:$C$8,2,FALSE)</f>
        <v>1.4999999999999999E-2</v>
      </c>
      <c r="N2356">
        <f t="shared" si="108"/>
        <v>1.2586770182638762E-3</v>
      </c>
      <c r="O2356">
        <f>VLOOKUP(K2356,RatingLookup!$A$2:$C$8,3,FALSE)</f>
        <v>0.5</v>
      </c>
      <c r="P2356">
        <f t="shared" si="109"/>
        <v>1.8055533025442563</v>
      </c>
      <c r="Q2356" t="str">
        <f t="shared" ca="1" si="110"/>
        <v>No</v>
      </c>
    </row>
    <row r="2357" spans="1:17" x14ac:dyDescent="0.45">
      <c r="A2357" t="s">
        <v>114</v>
      </c>
      <c r="B2357" t="s">
        <v>115</v>
      </c>
      <c r="C2357" t="s">
        <v>26</v>
      </c>
      <c r="D2357" t="s">
        <v>20</v>
      </c>
      <c r="E2357" t="s">
        <v>21</v>
      </c>
      <c r="F2357" s="1">
        <v>44287</v>
      </c>
      <c r="G2357">
        <v>5.64</v>
      </c>
      <c r="H2357">
        <v>88.219899999999996</v>
      </c>
      <c r="I2357">
        <v>22.61</v>
      </c>
      <c r="J2357">
        <v>73.83</v>
      </c>
      <c r="K2357" t="s">
        <v>30</v>
      </c>
      <c r="L2357">
        <v>2574.5300000000002</v>
      </c>
      <c r="M2357">
        <f>VLOOKUP(K2357,RatingLookup!$A$2:$C$8,2,FALSE)</f>
        <v>1.4999999999999999E-2</v>
      </c>
      <c r="N2357">
        <f t="shared" si="108"/>
        <v>1.2586770182638762E-3</v>
      </c>
      <c r="O2357">
        <f>VLOOKUP(K2357,RatingLookup!$A$2:$C$8,3,FALSE)</f>
        <v>0.5</v>
      </c>
      <c r="P2357">
        <f t="shared" si="109"/>
        <v>1.6202508719154487</v>
      </c>
      <c r="Q2357" t="str">
        <f t="shared" ca="1" si="110"/>
        <v>No</v>
      </c>
    </row>
    <row r="2358" spans="1:17" x14ac:dyDescent="0.45">
      <c r="A2358" t="s">
        <v>114</v>
      </c>
      <c r="B2358" t="s">
        <v>115</v>
      </c>
      <c r="C2358" t="s">
        <v>26</v>
      </c>
      <c r="D2358" t="s">
        <v>20</v>
      </c>
      <c r="E2358" t="s">
        <v>21</v>
      </c>
      <c r="F2358" s="1">
        <v>44317</v>
      </c>
      <c r="G2358">
        <v>5.0599999999999996</v>
      </c>
      <c r="H2358">
        <v>84.640799999999999</v>
      </c>
      <c r="I2358">
        <v>20.28</v>
      </c>
      <c r="J2358">
        <v>64.05</v>
      </c>
      <c r="K2358" t="s">
        <v>30</v>
      </c>
      <c r="L2358">
        <v>2535.8200000000002</v>
      </c>
      <c r="M2358">
        <f>VLOOKUP(K2358,RatingLookup!$A$2:$C$8,2,FALSE)</f>
        <v>1.4999999999999999E-2</v>
      </c>
      <c r="N2358">
        <f t="shared" si="108"/>
        <v>1.2586770182638762E-3</v>
      </c>
      <c r="O2358">
        <f>VLOOKUP(K2358,RatingLookup!$A$2:$C$8,3,FALSE)</f>
        <v>0.5</v>
      </c>
      <c r="P2358">
        <f t="shared" si="109"/>
        <v>1.5958891782269513</v>
      </c>
      <c r="Q2358" t="str">
        <f t="shared" ca="1" si="110"/>
        <v>No</v>
      </c>
    </row>
    <row r="2359" spans="1:17" x14ac:dyDescent="0.45">
      <c r="A2359" t="s">
        <v>114</v>
      </c>
      <c r="B2359" t="s">
        <v>115</v>
      </c>
      <c r="C2359" t="s">
        <v>26</v>
      </c>
      <c r="D2359" t="s">
        <v>20</v>
      </c>
      <c r="E2359" t="s">
        <v>21</v>
      </c>
      <c r="F2359" s="1">
        <v>44348</v>
      </c>
      <c r="G2359">
        <v>5.67</v>
      </c>
      <c r="H2359">
        <v>81.794499999999999</v>
      </c>
      <c r="I2359">
        <v>23.51</v>
      </c>
      <c r="J2359">
        <v>65.95</v>
      </c>
      <c r="K2359" t="s">
        <v>22</v>
      </c>
      <c r="L2359">
        <v>2733.06</v>
      </c>
      <c r="M2359">
        <f>VLOOKUP(K2359,RatingLookup!$A$2:$C$8,2,FALSE)</f>
        <v>5.0000000000000001E-3</v>
      </c>
      <c r="N2359">
        <f t="shared" si="108"/>
        <v>4.1762458919303302E-4</v>
      </c>
      <c r="O2359">
        <f>VLOOKUP(K2359,RatingLookup!$A$2:$C$8,3,FALSE)</f>
        <v>0.45</v>
      </c>
      <c r="P2359">
        <f t="shared" si="109"/>
        <v>0.51362687688295994</v>
      </c>
      <c r="Q2359" t="str">
        <f t="shared" ca="1" si="110"/>
        <v>No</v>
      </c>
    </row>
    <row r="2360" spans="1:17" x14ac:dyDescent="0.45">
      <c r="A2360" t="s">
        <v>114</v>
      </c>
      <c r="B2360" t="s">
        <v>115</v>
      </c>
      <c r="C2360" t="s">
        <v>26</v>
      </c>
      <c r="D2360" t="s">
        <v>20</v>
      </c>
      <c r="E2360" t="s">
        <v>21</v>
      </c>
      <c r="F2360" s="1">
        <v>44378</v>
      </c>
      <c r="G2360">
        <v>4.68</v>
      </c>
      <c r="H2360">
        <v>80.872200000000007</v>
      </c>
      <c r="I2360">
        <v>19.45</v>
      </c>
      <c r="J2360">
        <v>78.510000000000005</v>
      </c>
      <c r="K2360" t="s">
        <v>22</v>
      </c>
      <c r="L2360">
        <v>2480.59</v>
      </c>
      <c r="M2360">
        <f>VLOOKUP(K2360,RatingLookup!$A$2:$C$8,2,FALSE)</f>
        <v>5.0000000000000001E-3</v>
      </c>
      <c r="N2360">
        <f t="shared" si="108"/>
        <v>4.1762458919303302E-4</v>
      </c>
      <c r="O2360">
        <f>VLOOKUP(K2360,RatingLookup!$A$2:$C$8,3,FALSE)</f>
        <v>0.45</v>
      </c>
      <c r="P2360">
        <f t="shared" si="109"/>
        <v>0.46617992086785565</v>
      </c>
      <c r="Q2360" t="str">
        <f t="shared" ca="1" si="110"/>
        <v>No</v>
      </c>
    </row>
    <row r="2361" spans="1:17" x14ac:dyDescent="0.45">
      <c r="A2361" t="s">
        <v>114</v>
      </c>
      <c r="B2361" t="s">
        <v>115</v>
      </c>
      <c r="C2361" t="s">
        <v>26</v>
      </c>
      <c r="D2361" t="s">
        <v>20</v>
      </c>
      <c r="E2361" t="s">
        <v>21</v>
      </c>
      <c r="F2361" s="1">
        <v>44409</v>
      </c>
      <c r="G2361">
        <v>4.92</v>
      </c>
      <c r="H2361">
        <v>84.018699999999995</v>
      </c>
      <c r="I2361">
        <v>19.52</v>
      </c>
      <c r="J2361">
        <v>66.37</v>
      </c>
      <c r="K2361" t="s">
        <v>22</v>
      </c>
      <c r="L2361">
        <v>2628.3</v>
      </c>
      <c r="M2361">
        <f>VLOOKUP(K2361,RatingLookup!$A$2:$C$8,2,FALSE)</f>
        <v>5.0000000000000001E-3</v>
      </c>
      <c r="N2361">
        <f t="shared" si="108"/>
        <v>4.1762458919303302E-4</v>
      </c>
      <c r="O2361">
        <f>VLOOKUP(K2361,RatingLookup!$A$2:$C$8,3,FALSE)</f>
        <v>0.45</v>
      </c>
      <c r="P2361">
        <f t="shared" si="109"/>
        <v>0.4939392184992219</v>
      </c>
      <c r="Q2361" t="str">
        <f t="shared" ca="1" si="110"/>
        <v>No</v>
      </c>
    </row>
    <row r="2362" spans="1:17" x14ac:dyDescent="0.45">
      <c r="A2362" t="s">
        <v>114</v>
      </c>
      <c r="B2362" t="s">
        <v>115</v>
      </c>
      <c r="C2362" t="s">
        <v>26</v>
      </c>
      <c r="D2362" t="s">
        <v>20</v>
      </c>
      <c r="E2362" t="s">
        <v>21</v>
      </c>
      <c r="F2362" s="1">
        <v>44440</v>
      </c>
      <c r="G2362">
        <v>4.82</v>
      </c>
      <c r="H2362">
        <v>81.642600000000002</v>
      </c>
      <c r="I2362">
        <v>20.03</v>
      </c>
      <c r="J2362">
        <v>58.57</v>
      </c>
      <c r="K2362" t="s">
        <v>22</v>
      </c>
      <c r="L2362">
        <v>2649.28</v>
      </c>
      <c r="M2362">
        <f>VLOOKUP(K2362,RatingLookup!$A$2:$C$8,2,FALSE)</f>
        <v>5.0000000000000001E-3</v>
      </c>
      <c r="N2362">
        <f t="shared" si="108"/>
        <v>4.1762458919303302E-4</v>
      </c>
      <c r="O2362">
        <f>VLOOKUP(K2362,RatingLookup!$A$2:$C$8,3,FALSE)</f>
        <v>0.45</v>
      </c>
      <c r="P2362">
        <f t="shared" si="109"/>
        <v>0.49788201224579343</v>
      </c>
      <c r="Q2362" t="str">
        <f t="shared" ca="1" si="110"/>
        <v>No</v>
      </c>
    </row>
    <row r="2363" spans="1:17" x14ac:dyDescent="0.45">
      <c r="A2363" t="s">
        <v>114</v>
      </c>
      <c r="B2363" t="s">
        <v>115</v>
      </c>
      <c r="C2363" t="s">
        <v>26</v>
      </c>
      <c r="D2363" t="s">
        <v>20</v>
      </c>
      <c r="E2363" t="s">
        <v>21</v>
      </c>
      <c r="F2363" s="1">
        <v>44470</v>
      </c>
      <c r="G2363">
        <v>5.81</v>
      </c>
      <c r="H2363">
        <v>83.349800000000002</v>
      </c>
      <c r="I2363">
        <v>24.38</v>
      </c>
      <c r="J2363">
        <v>83.17</v>
      </c>
      <c r="K2363" t="s">
        <v>22</v>
      </c>
      <c r="L2363">
        <v>2633.19</v>
      </c>
      <c r="M2363">
        <f>VLOOKUP(K2363,RatingLookup!$A$2:$C$8,2,FALSE)</f>
        <v>5.0000000000000001E-3</v>
      </c>
      <c r="N2363">
        <f t="shared" si="108"/>
        <v>4.1762458919303302E-4</v>
      </c>
      <c r="O2363">
        <f>VLOOKUP(K2363,RatingLookup!$A$2:$C$8,3,FALSE)</f>
        <v>0.45</v>
      </c>
      <c r="P2363">
        <f t="shared" si="109"/>
        <v>0.49485820140774123</v>
      </c>
      <c r="Q2363" t="str">
        <f t="shared" ca="1" si="110"/>
        <v>No</v>
      </c>
    </row>
    <row r="2364" spans="1:17" x14ac:dyDescent="0.45">
      <c r="A2364" t="s">
        <v>114</v>
      </c>
      <c r="B2364" t="s">
        <v>115</v>
      </c>
      <c r="C2364" t="s">
        <v>26</v>
      </c>
      <c r="D2364" t="s">
        <v>20</v>
      </c>
      <c r="E2364" t="s">
        <v>21</v>
      </c>
      <c r="F2364" s="1">
        <v>44501</v>
      </c>
      <c r="G2364">
        <v>6.45</v>
      </c>
      <c r="H2364">
        <v>84.500200000000007</v>
      </c>
      <c r="I2364">
        <v>22.97</v>
      </c>
      <c r="J2364">
        <v>78.88</v>
      </c>
      <c r="K2364" t="s">
        <v>22</v>
      </c>
      <c r="L2364">
        <v>2817.93</v>
      </c>
      <c r="M2364">
        <f>VLOOKUP(K2364,RatingLookup!$A$2:$C$8,2,FALSE)</f>
        <v>5.0000000000000001E-3</v>
      </c>
      <c r="N2364">
        <f t="shared" si="108"/>
        <v>4.1762458919303302E-4</v>
      </c>
      <c r="O2364">
        <f>VLOOKUP(K2364,RatingLookup!$A$2:$C$8,3,FALSE)</f>
        <v>0.45</v>
      </c>
      <c r="P2364">
        <f t="shared" si="109"/>
        <v>0.52957658638112559</v>
      </c>
      <c r="Q2364" t="str">
        <f t="shared" ca="1" si="110"/>
        <v>No</v>
      </c>
    </row>
    <row r="2365" spans="1:17" x14ac:dyDescent="0.45">
      <c r="A2365" t="s">
        <v>114</v>
      </c>
      <c r="B2365" t="s">
        <v>115</v>
      </c>
      <c r="C2365" t="s">
        <v>26</v>
      </c>
      <c r="D2365" t="s">
        <v>20</v>
      </c>
      <c r="E2365" t="s">
        <v>21</v>
      </c>
      <c r="F2365" s="1">
        <v>44531</v>
      </c>
      <c r="G2365">
        <v>5.68</v>
      </c>
      <c r="H2365">
        <v>80.307199999999995</v>
      </c>
      <c r="I2365">
        <v>18.86</v>
      </c>
      <c r="J2365">
        <v>84.69</v>
      </c>
      <c r="K2365" t="s">
        <v>22</v>
      </c>
      <c r="L2365">
        <v>2601.4499999999998</v>
      </c>
      <c r="M2365">
        <f>VLOOKUP(K2365,RatingLookup!$A$2:$C$8,2,FALSE)</f>
        <v>5.0000000000000001E-3</v>
      </c>
      <c r="N2365">
        <f t="shared" si="108"/>
        <v>4.1762458919303302E-4</v>
      </c>
      <c r="O2365">
        <f>VLOOKUP(K2365,RatingLookup!$A$2:$C$8,3,FALSE)</f>
        <v>0.45</v>
      </c>
      <c r="P2365">
        <f t="shared" si="109"/>
        <v>0.48889326940029709</v>
      </c>
      <c r="Q2365" t="str">
        <f t="shared" ca="1" si="110"/>
        <v>No</v>
      </c>
    </row>
    <row r="2366" spans="1:17" x14ac:dyDescent="0.45">
      <c r="A2366" t="s">
        <v>114</v>
      </c>
      <c r="B2366" t="s">
        <v>115</v>
      </c>
      <c r="C2366" t="s">
        <v>26</v>
      </c>
      <c r="D2366" t="s">
        <v>20</v>
      </c>
      <c r="E2366" t="s">
        <v>21</v>
      </c>
      <c r="F2366" s="1">
        <v>44562</v>
      </c>
      <c r="G2366">
        <v>4.83</v>
      </c>
      <c r="H2366">
        <v>81.998000000000005</v>
      </c>
      <c r="I2366">
        <v>25.25</v>
      </c>
      <c r="J2366">
        <v>93.66</v>
      </c>
      <c r="K2366" t="s">
        <v>22</v>
      </c>
      <c r="L2366">
        <v>2476.41</v>
      </c>
      <c r="M2366">
        <f>VLOOKUP(K2366,RatingLookup!$A$2:$C$8,2,FALSE)</f>
        <v>5.0000000000000001E-3</v>
      </c>
      <c r="N2366">
        <f t="shared" si="108"/>
        <v>4.1762458919303302E-4</v>
      </c>
      <c r="O2366">
        <f>VLOOKUP(K2366,RatingLookup!$A$2:$C$8,3,FALSE)</f>
        <v>0.45</v>
      </c>
      <c r="P2366">
        <f t="shared" si="109"/>
        <v>0.46539436901558351</v>
      </c>
      <c r="Q2366" t="str">
        <f t="shared" ca="1" si="110"/>
        <v>No</v>
      </c>
    </row>
    <row r="2367" spans="1:17" x14ac:dyDescent="0.45">
      <c r="A2367" t="s">
        <v>114</v>
      </c>
      <c r="B2367" t="s">
        <v>115</v>
      </c>
      <c r="C2367" t="s">
        <v>26</v>
      </c>
      <c r="D2367" t="s">
        <v>20</v>
      </c>
      <c r="E2367" t="s">
        <v>21</v>
      </c>
      <c r="F2367" s="1">
        <v>44593</v>
      </c>
      <c r="G2367">
        <v>5.37</v>
      </c>
      <c r="H2367">
        <v>84.479699999999994</v>
      </c>
      <c r="I2367">
        <v>23.7</v>
      </c>
      <c r="J2367">
        <v>71.39</v>
      </c>
      <c r="K2367" t="s">
        <v>22</v>
      </c>
      <c r="L2367">
        <v>2772.3</v>
      </c>
      <c r="M2367">
        <f>VLOOKUP(K2367,RatingLookup!$A$2:$C$8,2,FALSE)</f>
        <v>5.0000000000000001E-3</v>
      </c>
      <c r="N2367">
        <f t="shared" si="108"/>
        <v>4.1762458919303302E-4</v>
      </c>
      <c r="O2367">
        <f>VLOOKUP(K2367,RatingLookup!$A$2:$C$8,3,FALSE)</f>
        <v>0.45</v>
      </c>
      <c r="P2367">
        <f t="shared" si="109"/>
        <v>0.52100129187893041</v>
      </c>
      <c r="Q2367" t="str">
        <f t="shared" ca="1" si="110"/>
        <v>No</v>
      </c>
    </row>
    <row r="2368" spans="1:17" x14ac:dyDescent="0.45">
      <c r="A2368" t="s">
        <v>114</v>
      </c>
      <c r="B2368" t="s">
        <v>115</v>
      </c>
      <c r="C2368" t="s">
        <v>26</v>
      </c>
      <c r="D2368" t="s">
        <v>20</v>
      </c>
      <c r="E2368" t="s">
        <v>21</v>
      </c>
      <c r="F2368" s="1">
        <v>44621</v>
      </c>
      <c r="G2368">
        <v>5.79</v>
      </c>
      <c r="H2368">
        <v>84.795500000000004</v>
      </c>
      <c r="I2368">
        <v>8.77</v>
      </c>
      <c r="J2368">
        <v>90.53</v>
      </c>
      <c r="K2368" t="s">
        <v>22</v>
      </c>
      <c r="L2368">
        <v>2814.94</v>
      </c>
      <c r="M2368">
        <f>VLOOKUP(K2368,RatingLookup!$A$2:$C$8,2,FALSE)</f>
        <v>5.0000000000000001E-3</v>
      </c>
      <c r="N2368">
        <f t="shared" si="108"/>
        <v>4.1762458919303302E-4</v>
      </c>
      <c r="O2368">
        <f>VLOOKUP(K2368,RatingLookup!$A$2:$C$8,3,FALSE)</f>
        <v>0.45</v>
      </c>
      <c r="P2368">
        <f t="shared" si="109"/>
        <v>0.52901467249636636</v>
      </c>
      <c r="Q2368" t="str">
        <f t="shared" ca="1" si="110"/>
        <v>No</v>
      </c>
    </row>
    <row r="2369" spans="1:17" x14ac:dyDescent="0.45">
      <c r="A2369" t="s">
        <v>114</v>
      </c>
      <c r="B2369" t="s">
        <v>115</v>
      </c>
      <c r="C2369" t="s">
        <v>26</v>
      </c>
      <c r="D2369" t="s">
        <v>20</v>
      </c>
      <c r="E2369" t="s">
        <v>21</v>
      </c>
      <c r="F2369" s="1">
        <v>44652</v>
      </c>
      <c r="G2369">
        <v>4.82</v>
      </c>
      <c r="H2369">
        <v>79.847200000000001</v>
      </c>
      <c r="I2369">
        <v>12.99</v>
      </c>
      <c r="J2369">
        <v>77.89</v>
      </c>
      <c r="K2369" t="s">
        <v>22</v>
      </c>
      <c r="L2369">
        <v>2667.47</v>
      </c>
      <c r="M2369">
        <f>VLOOKUP(K2369,RatingLookup!$A$2:$C$8,2,FALSE)</f>
        <v>5.0000000000000001E-3</v>
      </c>
      <c r="N2369">
        <f t="shared" si="108"/>
        <v>4.1762458919303302E-4</v>
      </c>
      <c r="O2369">
        <f>VLOOKUP(K2369,RatingLookup!$A$2:$C$8,3,FALSE)</f>
        <v>0.45</v>
      </c>
      <c r="P2369">
        <f t="shared" si="109"/>
        <v>0.50130047832063285</v>
      </c>
      <c r="Q2369" t="str">
        <f t="shared" ca="1" si="110"/>
        <v>No</v>
      </c>
    </row>
    <row r="2370" spans="1:17" x14ac:dyDescent="0.45">
      <c r="A2370" t="s">
        <v>114</v>
      </c>
      <c r="B2370" t="s">
        <v>115</v>
      </c>
      <c r="C2370" t="s">
        <v>26</v>
      </c>
      <c r="D2370" t="s">
        <v>20</v>
      </c>
      <c r="E2370" t="s">
        <v>21</v>
      </c>
      <c r="F2370" s="1">
        <v>44682</v>
      </c>
      <c r="G2370">
        <v>5.65</v>
      </c>
      <c r="H2370">
        <v>84.617400000000004</v>
      </c>
      <c r="I2370">
        <v>20.190000000000001</v>
      </c>
      <c r="J2370">
        <v>77.7</v>
      </c>
      <c r="K2370" t="s">
        <v>22</v>
      </c>
      <c r="L2370">
        <v>2848.12</v>
      </c>
      <c r="M2370">
        <f>VLOOKUP(K2370,RatingLookup!$A$2:$C$8,2,FALSE)</f>
        <v>5.0000000000000001E-3</v>
      </c>
      <c r="N2370">
        <f t="shared" ref="N2370:N2433" si="111">1-(1-M2370)^(1/12)</f>
        <v>4.1762458919303302E-4</v>
      </c>
      <c r="O2370">
        <f>VLOOKUP(K2370,RatingLookup!$A$2:$C$8,3,FALSE)</f>
        <v>0.45</v>
      </c>
      <c r="P2370">
        <f t="shared" ref="P2370:P2433" si="112">L2370*N2370*O2370</f>
        <v>0.53525022523760757</v>
      </c>
      <c r="Q2370" t="str">
        <f t="shared" ref="Q2370:Q2433" ca="1" si="113">IF(RAND()&lt;N2370,"Yes","No")</f>
        <v>No</v>
      </c>
    </row>
    <row r="2371" spans="1:17" x14ac:dyDescent="0.45">
      <c r="A2371" t="s">
        <v>114</v>
      </c>
      <c r="B2371" t="s">
        <v>115</v>
      </c>
      <c r="C2371" t="s">
        <v>26</v>
      </c>
      <c r="D2371" t="s">
        <v>20</v>
      </c>
      <c r="E2371" t="s">
        <v>21</v>
      </c>
      <c r="F2371" s="1">
        <v>44713</v>
      </c>
      <c r="G2371">
        <v>5.44</v>
      </c>
      <c r="H2371">
        <v>76.533299999999997</v>
      </c>
      <c r="I2371">
        <v>18.96</v>
      </c>
      <c r="J2371">
        <v>74.27</v>
      </c>
      <c r="K2371" t="s">
        <v>22</v>
      </c>
      <c r="L2371">
        <v>2615.52</v>
      </c>
      <c r="M2371">
        <f>VLOOKUP(K2371,RatingLookup!$A$2:$C$8,2,FALSE)</f>
        <v>5.0000000000000001E-3</v>
      </c>
      <c r="N2371">
        <f t="shared" si="111"/>
        <v>4.1762458919303302E-4</v>
      </c>
      <c r="O2371">
        <f>VLOOKUP(K2371,RatingLookup!$A$2:$C$8,3,FALSE)</f>
        <v>0.45</v>
      </c>
      <c r="P2371">
        <f t="shared" si="112"/>
        <v>0.4915374594867728</v>
      </c>
      <c r="Q2371" t="str">
        <f t="shared" ca="1" si="113"/>
        <v>No</v>
      </c>
    </row>
    <row r="2372" spans="1:17" x14ac:dyDescent="0.45">
      <c r="A2372" t="s">
        <v>114</v>
      </c>
      <c r="B2372" t="s">
        <v>115</v>
      </c>
      <c r="C2372" t="s">
        <v>26</v>
      </c>
      <c r="D2372" t="s">
        <v>20</v>
      </c>
      <c r="E2372" t="s">
        <v>21</v>
      </c>
      <c r="F2372" s="1">
        <v>44743</v>
      </c>
      <c r="G2372">
        <v>5</v>
      </c>
      <c r="H2372">
        <v>79.110100000000003</v>
      </c>
      <c r="I2372">
        <v>10.76</v>
      </c>
      <c r="J2372">
        <v>96.13</v>
      </c>
      <c r="K2372" t="s">
        <v>22</v>
      </c>
      <c r="L2372">
        <v>3022.63</v>
      </c>
      <c r="M2372">
        <f>VLOOKUP(K2372,RatingLookup!$A$2:$C$8,2,FALSE)</f>
        <v>5.0000000000000001E-3</v>
      </c>
      <c r="N2372">
        <f t="shared" si="111"/>
        <v>4.1762458919303302E-4</v>
      </c>
      <c r="O2372">
        <f>VLOOKUP(K2372,RatingLookup!$A$2:$C$8,3,FALSE)</f>
        <v>0.45</v>
      </c>
      <c r="P2372">
        <f t="shared" si="112"/>
        <v>0.56804607541464192</v>
      </c>
      <c r="Q2372" t="str">
        <f t="shared" ca="1" si="113"/>
        <v>No</v>
      </c>
    </row>
    <row r="2373" spans="1:17" x14ac:dyDescent="0.45">
      <c r="A2373" t="s">
        <v>114</v>
      </c>
      <c r="B2373" t="s">
        <v>115</v>
      </c>
      <c r="C2373" t="s">
        <v>26</v>
      </c>
      <c r="D2373" t="s">
        <v>20</v>
      </c>
      <c r="E2373" t="s">
        <v>21</v>
      </c>
      <c r="F2373" s="1">
        <v>44774</v>
      </c>
      <c r="G2373">
        <v>5.52</v>
      </c>
      <c r="H2373">
        <v>77.118300000000005</v>
      </c>
      <c r="I2373">
        <v>20.51</v>
      </c>
      <c r="J2373">
        <v>68.16</v>
      </c>
      <c r="K2373" t="s">
        <v>22</v>
      </c>
      <c r="L2373">
        <v>2590.25</v>
      </c>
      <c r="M2373">
        <f>VLOOKUP(K2373,RatingLookup!$A$2:$C$8,2,FALSE)</f>
        <v>5.0000000000000001E-3</v>
      </c>
      <c r="N2373">
        <f t="shared" si="111"/>
        <v>4.1762458919303302E-4</v>
      </c>
      <c r="O2373">
        <f>VLOOKUP(K2373,RatingLookup!$A$2:$C$8,3,FALSE)</f>
        <v>0.45</v>
      </c>
      <c r="P2373">
        <f t="shared" si="112"/>
        <v>0.48678844147076428</v>
      </c>
      <c r="Q2373" t="str">
        <f t="shared" ca="1" si="113"/>
        <v>No</v>
      </c>
    </row>
    <row r="2374" spans="1:17" x14ac:dyDescent="0.45">
      <c r="A2374" t="s">
        <v>114</v>
      </c>
      <c r="B2374" t="s">
        <v>115</v>
      </c>
      <c r="C2374" t="s">
        <v>26</v>
      </c>
      <c r="D2374" t="s">
        <v>20</v>
      </c>
      <c r="E2374" t="s">
        <v>21</v>
      </c>
      <c r="F2374" s="1">
        <v>44805</v>
      </c>
      <c r="G2374">
        <v>5.29</v>
      </c>
      <c r="H2374">
        <v>87.754300000000001</v>
      </c>
      <c r="I2374">
        <v>16.059999999999999</v>
      </c>
      <c r="J2374">
        <v>90.23</v>
      </c>
      <c r="K2374" t="s">
        <v>22</v>
      </c>
      <c r="L2374">
        <v>2573.3200000000002</v>
      </c>
      <c r="M2374">
        <f>VLOOKUP(K2374,RatingLookup!$A$2:$C$8,2,FALSE)</f>
        <v>5.0000000000000001E-3</v>
      </c>
      <c r="N2374">
        <f t="shared" si="111"/>
        <v>4.1762458919303302E-4</v>
      </c>
      <c r="O2374">
        <f>VLOOKUP(K2374,RatingLookup!$A$2:$C$8,3,FALSE)</f>
        <v>0.45</v>
      </c>
      <c r="P2374">
        <f t="shared" si="112"/>
        <v>0.48360676853799711</v>
      </c>
      <c r="Q2374" t="str">
        <f t="shared" ca="1" si="113"/>
        <v>No</v>
      </c>
    </row>
    <row r="2375" spans="1:17" x14ac:dyDescent="0.45">
      <c r="A2375" t="s">
        <v>114</v>
      </c>
      <c r="B2375" t="s">
        <v>115</v>
      </c>
      <c r="C2375" t="s">
        <v>26</v>
      </c>
      <c r="D2375" t="s">
        <v>20</v>
      </c>
      <c r="E2375" t="s">
        <v>21</v>
      </c>
      <c r="F2375" s="1">
        <v>44835</v>
      </c>
      <c r="G2375">
        <v>5.68</v>
      </c>
      <c r="H2375">
        <v>81.772999999999996</v>
      </c>
      <c r="I2375">
        <v>19.78</v>
      </c>
      <c r="J2375">
        <v>66.25</v>
      </c>
      <c r="K2375" t="s">
        <v>23</v>
      </c>
      <c r="L2375">
        <v>2816.15</v>
      </c>
      <c r="M2375">
        <f>VLOOKUP(K2375,RatingLookup!$A$2:$C$8,2,FALSE)</f>
        <v>1E-3</v>
      </c>
      <c r="N2375">
        <f t="shared" si="111"/>
        <v>8.3371552197619714E-5</v>
      </c>
      <c r="O2375">
        <f>VLOOKUP(K2375,RatingLookup!$A$2:$C$8,3,FALSE)</f>
        <v>0.3</v>
      </c>
      <c r="P2375">
        <f t="shared" si="112"/>
        <v>7.0436039016398028E-2</v>
      </c>
      <c r="Q2375" t="str">
        <f t="shared" ca="1" si="113"/>
        <v>No</v>
      </c>
    </row>
    <row r="2376" spans="1:17" x14ac:dyDescent="0.45">
      <c r="A2376" t="s">
        <v>114</v>
      </c>
      <c r="B2376" t="s">
        <v>115</v>
      </c>
      <c r="C2376" t="s">
        <v>26</v>
      </c>
      <c r="D2376" t="s">
        <v>20</v>
      </c>
      <c r="E2376" t="s">
        <v>21</v>
      </c>
      <c r="F2376" s="1">
        <v>44866</v>
      </c>
      <c r="G2376">
        <v>5.6</v>
      </c>
      <c r="H2376">
        <v>80.849500000000006</v>
      </c>
      <c r="I2376">
        <v>14.06</v>
      </c>
      <c r="J2376">
        <v>69.680000000000007</v>
      </c>
      <c r="K2376" t="s">
        <v>23</v>
      </c>
      <c r="L2376">
        <v>2562.2199999999998</v>
      </c>
      <c r="M2376">
        <f>VLOOKUP(K2376,RatingLookup!$A$2:$C$8,2,FALSE)</f>
        <v>1E-3</v>
      </c>
      <c r="N2376">
        <f t="shared" si="111"/>
        <v>8.3371552197619714E-5</v>
      </c>
      <c r="O2376">
        <f>VLOOKUP(K2376,RatingLookup!$A$2:$C$8,3,FALSE)</f>
        <v>0.3</v>
      </c>
      <c r="P2376">
        <f t="shared" si="112"/>
        <v>6.4084877541535551E-2</v>
      </c>
      <c r="Q2376" t="str">
        <f t="shared" ca="1" si="113"/>
        <v>No</v>
      </c>
    </row>
    <row r="2377" spans="1:17" x14ac:dyDescent="0.45">
      <c r="A2377" t="s">
        <v>114</v>
      </c>
      <c r="B2377" t="s">
        <v>115</v>
      </c>
      <c r="C2377" t="s">
        <v>26</v>
      </c>
      <c r="D2377" t="s">
        <v>20</v>
      </c>
      <c r="E2377" t="s">
        <v>21</v>
      </c>
      <c r="F2377" s="1">
        <v>44896</v>
      </c>
      <c r="G2377">
        <v>6.47</v>
      </c>
      <c r="H2377">
        <v>82.394199999999998</v>
      </c>
      <c r="I2377">
        <v>20.14</v>
      </c>
      <c r="J2377">
        <v>70.319999999999993</v>
      </c>
      <c r="K2377" t="s">
        <v>23</v>
      </c>
      <c r="L2377">
        <v>2727.18</v>
      </c>
      <c r="M2377">
        <f>VLOOKUP(K2377,RatingLookup!$A$2:$C$8,2,FALSE)</f>
        <v>1E-3</v>
      </c>
      <c r="N2377">
        <f t="shared" si="111"/>
        <v>8.3371552197619714E-5</v>
      </c>
      <c r="O2377">
        <f>VLOOKUP(K2377,RatingLookup!$A$2:$C$8,3,FALSE)</f>
        <v>0.3</v>
      </c>
      <c r="P2377">
        <f t="shared" si="112"/>
        <v>6.8210768916691353E-2</v>
      </c>
      <c r="Q2377" t="str">
        <f t="shared" ca="1" si="113"/>
        <v>No</v>
      </c>
    </row>
    <row r="2378" spans="1:17" x14ac:dyDescent="0.45">
      <c r="A2378" t="s">
        <v>114</v>
      </c>
      <c r="B2378" t="s">
        <v>115</v>
      </c>
      <c r="C2378" t="s">
        <v>26</v>
      </c>
      <c r="D2378" t="s">
        <v>20</v>
      </c>
      <c r="E2378" t="s">
        <v>21</v>
      </c>
      <c r="F2378" s="1">
        <v>44927</v>
      </c>
      <c r="G2378">
        <v>5.15</v>
      </c>
      <c r="H2378">
        <v>77.706500000000005</v>
      </c>
      <c r="I2378">
        <v>29.66</v>
      </c>
      <c r="J2378">
        <v>85.18</v>
      </c>
      <c r="K2378" t="s">
        <v>23</v>
      </c>
      <c r="L2378">
        <v>2776.86</v>
      </c>
      <c r="M2378">
        <f>VLOOKUP(K2378,RatingLookup!$A$2:$C$8,2,FALSE)</f>
        <v>1E-3</v>
      </c>
      <c r="N2378">
        <f t="shared" si="111"/>
        <v>8.3371552197619714E-5</v>
      </c>
      <c r="O2378">
        <f>VLOOKUP(K2378,RatingLookup!$A$2:$C$8,3,FALSE)</f>
        <v>0.3</v>
      </c>
      <c r="P2378">
        <f t="shared" si="112"/>
        <v>6.9453338530644684E-2</v>
      </c>
      <c r="Q2378" t="str">
        <f t="shared" ca="1" si="113"/>
        <v>No</v>
      </c>
    </row>
    <row r="2379" spans="1:17" x14ac:dyDescent="0.45">
      <c r="A2379" t="s">
        <v>114</v>
      </c>
      <c r="B2379" t="s">
        <v>115</v>
      </c>
      <c r="C2379" t="s">
        <v>26</v>
      </c>
      <c r="D2379" t="s">
        <v>20</v>
      </c>
      <c r="E2379" t="s">
        <v>21</v>
      </c>
      <c r="F2379" s="1">
        <v>44958</v>
      </c>
      <c r="G2379">
        <v>5.07</v>
      </c>
      <c r="H2379">
        <v>80.808199999999999</v>
      </c>
      <c r="I2379">
        <v>15.35</v>
      </c>
      <c r="J2379">
        <v>88.41</v>
      </c>
      <c r="K2379" t="s">
        <v>22</v>
      </c>
      <c r="L2379">
        <v>2849.27</v>
      </c>
      <c r="M2379">
        <f>VLOOKUP(K2379,RatingLookup!$A$2:$C$8,2,FALSE)</f>
        <v>5.0000000000000001E-3</v>
      </c>
      <c r="N2379">
        <f t="shared" si="111"/>
        <v>4.1762458919303302E-4</v>
      </c>
      <c r="O2379">
        <f>VLOOKUP(K2379,RatingLookup!$A$2:$C$8,3,FALSE)</f>
        <v>0.45</v>
      </c>
      <c r="P2379">
        <f t="shared" si="112"/>
        <v>0.53546634596251497</v>
      </c>
      <c r="Q2379" t="str">
        <f t="shared" ca="1" si="113"/>
        <v>No</v>
      </c>
    </row>
    <row r="2380" spans="1:17" x14ac:dyDescent="0.45">
      <c r="A2380" t="s">
        <v>114</v>
      </c>
      <c r="B2380" t="s">
        <v>115</v>
      </c>
      <c r="C2380" t="s">
        <v>26</v>
      </c>
      <c r="D2380" t="s">
        <v>20</v>
      </c>
      <c r="E2380" t="s">
        <v>21</v>
      </c>
      <c r="F2380" s="1">
        <v>44986</v>
      </c>
      <c r="G2380">
        <v>5.0999999999999996</v>
      </c>
      <c r="H2380">
        <v>86.550700000000006</v>
      </c>
      <c r="I2380">
        <v>18.260000000000002</v>
      </c>
      <c r="J2380">
        <v>77.540000000000006</v>
      </c>
      <c r="K2380" t="s">
        <v>22</v>
      </c>
      <c r="L2380">
        <v>2785.04</v>
      </c>
      <c r="M2380">
        <f>VLOOKUP(K2380,RatingLookup!$A$2:$C$8,2,FALSE)</f>
        <v>5.0000000000000001E-3</v>
      </c>
      <c r="N2380">
        <f t="shared" si="111"/>
        <v>4.1762458919303302E-4</v>
      </c>
      <c r="O2380">
        <f>VLOOKUP(K2380,RatingLookup!$A$2:$C$8,3,FALSE)</f>
        <v>0.45</v>
      </c>
      <c r="P2380">
        <f t="shared" si="112"/>
        <v>0.52339553364877411</v>
      </c>
      <c r="Q2380" t="str">
        <f t="shared" ca="1" si="113"/>
        <v>No</v>
      </c>
    </row>
    <row r="2381" spans="1:17" x14ac:dyDescent="0.45">
      <c r="A2381" t="s">
        <v>114</v>
      </c>
      <c r="B2381" t="s">
        <v>115</v>
      </c>
      <c r="C2381" t="s">
        <v>26</v>
      </c>
      <c r="D2381" t="s">
        <v>20</v>
      </c>
      <c r="E2381" t="s">
        <v>21</v>
      </c>
      <c r="F2381" s="1">
        <v>45017</v>
      </c>
      <c r="G2381">
        <v>6.44</v>
      </c>
      <c r="H2381">
        <v>83.439800000000005</v>
      </c>
      <c r="I2381">
        <v>10.58</v>
      </c>
      <c r="J2381">
        <v>75.91</v>
      </c>
      <c r="K2381" t="s">
        <v>22</v>
      </c>
      <c r="L2381">
        <v>2688.46</v>
      </c>
      <c r="M2381">
        <f>VLOOKUP(K2381,RatingLookup!$A$2:$C$8,2,FALSE)</f>
        <v>5.0000000000000001E-3</v>
      </c>
      <c r="N2381">
        <f t="shared" si="111"/>
        <v>4.1762458919303302E-4</v>
      </c>
      <c r="O2381">
        <f>VLOOKUP(K2381,RatingLookup!$A$2:$C$8,3,FALSE)</f>
        <v>0.45</v>
      </c>
      <c r="P2381">
        <f t="shared" si="112"/>
        <v>0.50524515137785564</v>
      </c>
      <c r="Q2381" t="str">
        <f t="shared" ca="1" si="113"/>
        <v>No</v>
      </c>
    </row>
    <row r="2382" spans="1:17" x14ac:dyDescent="0.45">
      <c r="A2382" t="s">
        <v>114</v>
      </c>
      <c r="B2382" t="s">
        <v>115</v>
      </c>
      <c r="C2382" t="s">
        <v>26</v>
      </c>
      <c r="D2382" t="s">
        <v>20</v>
      </c>
      <c r="E2382" t="s">
        <v>21</v>
      </c>
      <c r="F2382" s="1">
        <v>45047</v>
      </c>
      <c r="G2382">
        <v>4.7699999999999996</v>
      </c>
      <c r="H2382">
        <v>84.673299999999998</v>
      </c>
      <c r="I2382">
        <v>13.63</v>
      </c>
      <c r="J2382">
        <v>92.57</v>
      </c>
      <c r="K2382" t="s">
        <v>22</v>
      </c>
      <c r="L2382">
        <v>2750.94</v>
      </c>
      <c r="M2382">
        <f>VLOOKUP(K2382,RatingLookup!$A$2:$C$8,2,FALSE)</f>
        <v>5.0000000000000001E-3</v>
      </c>
      <c r="N2382">
        <f t="shared" si="111"/>
        <v>4.1762458919303302E-4</v>
      </c>
      <c r="O2382">
        <f>VLOOKUP(K2382,RatingLookup!$A$2:$C$8,3,FALSE)</f>
        <v>0.45</v>
      </c>
      <c r="P2382">
        <f t="shared" si="112"/>
        <v>0.51698708432760698</v>
      </c>
      <c r="Q2382" t="str">
        <f t="shared" ca="1" si="113"/>
        <v>No</v>
      </c>
    </row>
    <row r="2383" spans="1:17" x14ac:dyDescent="0.45">
      <c r="A2383" t="s">
        <v>114</v>
      </c>
      <c r="B2383" t="s">
        <v>115</v>
      </c>
      <c r="C2383" t="s">
        <v>26</v>
      </c>
      <c r="D2383" t="s">
        <v>20</v>
      </c>
      <c r="E2383" t="s">
        <v>21</v>
      </c>
      <c r="F2383" s="1">
        <v>45078</v>
      </c>
      <c r="G2383">
        <v>5.7</v>
      </c>
      <c r="H2383">
        <v>78.6511</v>
      </c>
      <c r="I2383">
        <v>7.43</v>
      </c>
      <c r="J2383">
        <v>81.64</v>
      </c>
      <c r="K2383" t="s">
        <v>22</v>
      </c>
      <c r="L2383">
        <v>2811.64</v>
      </c>
      <c r="M2383">
        <f>VLOOKUP(K2383,RatingLookup!$A$2:$C$8,2,FALSE)</f>
        <v>5.0000000000000001E-3</v>
      </c>
      <c r="N2383">
        <f t="shared" si="111"/>
        <v>4.1762458919303302E-4</v>
      </c>
      <c r="O2383">
        <f>VLOOKUP(K2383,RatingLookup!$A$2:$C$8,3,FALSE)</f>
        <v>0.45</v>
      </c>
      <c r="P2383">
        <f t="shared" si="112"/>
        <v>0.52839449998141463</v>
      </c>
      <c r="Q2383" t="str">
        <f t="shared" ca="1" si="113"/>
        <v>No</v>
      </c>
    </row>
    <row r="2384" spans="1:17" x14ac:dyDescent="0.45">
      <c r="A2384" t="s">
        <v>114</v>
      </c>
      <c r="B2384" t="s">
        <v>115</v>
      </c>
      <c r="C2384" t="s">
        <v>26</v>
      </c>
      <c r="D2384" t="s">
        <v>20</v>
      </c>
      <c r="E2384" t="s">
        <v>21</v>
      </c>
      <c r="F2384" s="1">
        <v>45108</v>
      </c>
      <c r="G2384">
        <v>4.2</v>
      </c>
      <c r="H2384">
        <v>86.094800000000006</v>
      </c>
      <c r="I2384">
        <v>24.78</v>
      </c>
      <c r="J2384">
        <v>82.94</v>
      </c>
      <c r="K2384" t="s">
        <v>22</v>
      </c>
      <c r="L2384">
        <v>2983.24</v>
      </c>
      <c r="M2384">
        <f>VLOOKUP(K2384,RatingLookup!$A$2:$C$8,2,FALSE)</f>
        <v>5.0000000000000001E-3</v>
      </c>
      <c r="N2384">
        <f t="shared" si="111"/>
        <v>4.1762458919303302E-4</v>
      </c>
      <c r="O2384">
        <f>VLOOKUP(K2384,RatingLookup!$A$2:$C$8,3,FALSE)</f>
        <v>0.45</v>
      </c>
      <c r="P2384">
        <f t="shared" si="112"/>
        <v>0.56064347075890075</v>
      </c>
      <c r="Q2384" t="str">
        <f t="shared" ca="1" si="113"/>
        <v>No</v>
      </c>
    </row>
    <row r="2385" spans="1:17" x14ac:dyDescent="0.45">
      <c r="A2385" t="s">
        <v>114</v>
      </c>
      <c r="B2385" t="s">
        <v>115</v>
      </c>
      <c r="C2385" t="s">
        <v>26</v>
      </c>
      <c r="D2385" t="s">
        <v>20</v>
      </c>
      <c r="E2385" t="s">
        <v>21</v>
      </c>
      <c r="F2385" s="1">
        <v>45139</v>
      </c>
      <c r="G2385">
        <v>5.44</v>
      </c>
      <c r="H2385">
        <v>80.183300000000003</v>
      </c>
      <c r="I2385">
        <v>9.4</v>
      </c>
      <c r="J2385">
        <v>71.77</v>
      </c>
      <c r="K2385" t="s">
        <v>22</v>
      </c>
      <c r="L2385">
        <v>3231.11</v>
      </c>
      <c r="M2385">
        <f>VLOOKUP(K2385,RatingLookup!$A$2:$C$8,2,FALSE)</f>
        <v>5.0000000000000001E-3</v>
      </c>
      <c r="N2385">
        <f t="shared" si="111"/>
        <v>4.1762458919303302E-4</v>
      </c>
      <c r="O2385">
        <f>VLOOKUP(K2385,RatingLookup!$A$2:$C$8,3,FALSE)</f>
        <v>0.45</v>
      </c>
      <c r="P2385">
        <f t="shared" si="112"/>
        <v>0.60722594387437545</v>
      </c>
      <c r="Q2385" t="str">
        <f t="shared" ca="1" si="113"/>
        <v>No</v>
      </c>
    </row>
    <row r="2386" spans="1:17" x14ac:dyDescent="0.45">
      <c r="A2386" t="s">
        <v>114</v>
      </c>
      <c r="B2386" t="s">
        <v>115</v>
      </c>
      <c r="C2386" t="s">
        <v>26</v>
      </c>
      <c r="D2386" t="s">
        <v>20</v>
      </c>
      <c r="E2386" t="s">
        <v>21</v>
      </c>
      <c r="F2386" s="1">
        <v>45170</v>
      </c>
      <c r="G2386">
        <v>5.57</v>
      </c>
      <c r="H2386">
        <v>88.873599999999996</v>
      </c>
      <c r="I2386">
        <v>12.58</v>
      </c>
      <c r="J2386">
        <v>73.11</v>
      </c>
      <c r="K2386" t="s">
        <v>22</v>
      </c>
      <c r="L2386">
        <v>2931.62</v>
      </c>
      <c r="M2386">
        <f>VLOOKUP(K2386,RatingLookup!$A$2:$C$8,2,FALSE)</f>
        <v>5.0000000000000001E-3</v>
      </c>
      <c r="N2386">
        <f t="shared" si="111"/>
        <v>4.1762458919303302E-4</v>
      </c>
      <c r="O2386">
        <f>VLOOKUP(K2386,RatingLookup!$A$2:$C$8,3,FALSE)</f>
        <v>0.45</v>
      </c>
      <c r="P2386">
        <f t="shared" si="112"/>
        <v>0.55094246917653578</v>
      </c>
      <c r="Q2386" t="str">
        <f t="shared" ca="1" si="113"/>
        <v>No</v>
      </c>
    </row>
    <row r="2387" spans="1:17" x14ac:dyDescent="0.45">
      <c r="A2387" t="s">
        <v>114</v>
      </c>
      <c r="B2387" t="s">
        <v>115</v>
      </c>
      <c r="C2387" t="s">
        <v>26</v>
      </c>
      <c r="D2387" t="s">
        <v>20</v>
      </c>
      <c r="E2387" t="s">
        <v>21</v>
      </c>
      <c r="F2387" s="1">
        <v>45200</v>
      </c>
      <c r="G2387">
        <v>5.87</v>
      </c>
      <c r="H2387">
        <v>84.019800000000004</v>
      </c>
      <c r="I2387">
        <v>17.079999999999998</v>
      </c>
      <c r="J2387">
        <v>82.37</v>
      </c>
      <c r="K2387" t="s">
        <v>22</v>
      </c>
      <c r="L2387">
        <v>2817.26</v>
      </c>
      <c r="M2387">
        <f>VLOOKUP(K2387,RatingLookup!$A$2:$C$8,2,FALSE)</f>
        <v>5.0000000000000001E-3</v>
      </c>
      <c r="N2387">
        <f t="shared" si="111"/>
        <v>4.1762458919303302E-4</v>
      </c>
      <c r="O2387">
        <f>VLOOKUP(K2387,RatingLookup!$A$2:$C$8,3,FALSE)</f>
        <v>0.45</v>
      </c>
      <c r="P2387">
        <f t="shared" si="112"/>
        <v>0.5294506725674839</v>
      </c>
      <c r="Q2387" t="str">
        <f t="shared" ca="1" si="113"/>
        <v>No</v>
      </c>
    </row>
    <row r="2388" spans="1:17" x14ac:dyDescent="0.45">
      <c r="A2388" t="s">
        <v>114</v>
      </c>
      <c r="B2388" t="s">
        <v>115</v>
      </c>
      <c r="C2388" t="s">
        <v>26</v>
      </c>
      <c r="D2388" t="s">
        <v>20</v>
      </c>
      <c r="E2388" t="s">
        <v>21</v>
      </c>
      <c r="F2388" s="1">
        <v>45231</v>
      </c>
      <c r="G2388">
        <v>4.33</v>
      </c>
      <c r="H2388">
        <v>81.762500000000003</v>
      </c>
      <c r="I2388">
        <v>20.92</v>
      </c>
      <c r="J2388">
        <v>87.71</v>
      </c>
      <c r="K2388" t="s">
        <v>22</v>
      </c>
      <c r="L2388">
        <v>2800.72</v>
      </c>
      <c r="M2388">
        <f>VLOOKUP(K2388,RatingLookup!$A$2:$C$8,2,FALSE)</f>
        <v>5.0000000000000001E-3</v>
      </c>
      <c r="N2388">
        <f t="shared" si="111"/>
        <v>4.1762458919303302E-4</v>
      </c>
      <c r="O2388">
        <f>VLOOKUP(K2388,RatingLookup!$A$2:$C$8,3,FALSE)</f>
        <v>0.45</v>
      </c>
      <c r="P2388">
        <f t="shared" si="112"/>
        <v>0.52634229275012012</v>
      </c>
      <c r="Q2388" t="str">
        <f t="shared" ca="1" si="113"/>
        <v>No</v>
      </c>
    </row>
    <row r="2389" spans="1:17" x14ac:dyDescent="0.45">
      <c r="A2389" t="s">
        <v>114</v>
      </c>
      <c r="B2389" t="s">
        <v>115</v>
      </c>
      <c r="C2389" t="s">
        <v>26</v>
      </c>
      <c r="D2389" t="s">
        <v>20</v>
      </c>
      <c r="E2389" t="s">
        <v>21</v>
      </c>
      <c r="F2389" s="1">
        <v>45261</v>
      </c>
      <c r="G2389">
        <v>4.3899999999999997</v>
      </c>
      <c r="H2389">
        <v>86.947800000000001</v>
      </c>
      <c r="I2389">
        <v>24.26</v>
      </c>
      <c r="J2389">
        <v>84.15</v>
      </c>
      <c r="K2389" t="s">
        <v>22</v>
      </c>
      <c r="L2389">
        <v>2989.79</v>
      </c>
      <c r="M2389">
        <f>VLOOKUP(K2389,RatingLookup!$A$2:$C$8,2,FALSE)</f>
        <v>5.0000000000000001E-3</v>
      </c>
      <c r="N2389">
        <f t="shared" si="111"/>
        <v>4.1762458919303302E-4</v>
      </c>
      <c r="O2389">
        <f>VLOOKUP(K2389,RatingLookup!$A$2:$C$8,3,FALSE)</f>
        <v>0.45</v>
      </c>
      <c r="P2389">
        <f t="shared" si="112"/>
        <v>0.56187441923554715</v>
      </c>
      <c r="Q2389" t="str">
        <f t="shared" ca="1" si="113"/>
        <v>No</v>
      </c>
    </row>
    <row r="2390" spans="1:17" x14ac:dyDescent="0.45">
      <c r="A2390" t="s">
        <v>114</v>
      </c>
      <c r="B2390" t="s">
        <v>115</v>
      </c>
      <c r="C2390" t="s">
        <v>26</v>
      </c>
      <c r="D2390" t="s">
        <v>20</v>
      </c>
      <c r="E2390" t="s">
        <v>21</v>
      </c>
      <c r="F2390" s="1">
        <v>45292</v>
      </c>
      <c r="G2390">
        <v>6.05</v>
      </c>
      <c r="H2390">
        <v>81.269199999999998</v>
      </c>
      <c r="I2390">
        <v>25.17</v>
      </c>
      <c r="J2390">
        <v>73.12</v>
      </c>
      <c r="K2390" t="s">
        <v>22</v>
      </c>
      <c r="L2390">
        <v>2719.73</v>
      </c>
      <c r="M2390">
        <f>VLOOKUP(K2390,RatingLookup!$A$2:$C$8,2,FALSE)</f>
        <v>5.0000000000000001E-3</v>
      </c>
      <c r="N2390">
        <f t="shared" si="111"/>
        <v>4.1762458919303302E-4</v>
      </c>
      <c r="O2390">
        <f>VLOOKUP(K2390,RatingLookup!$A$2:$C$8,3,FALSE)</f>
        <v>0.45</v>
      </c>
      <c r="P2390">
        <f t="shared" si="112"/>
        <v>0.51112175578468544</v>
      </c>
      <c r="Q2390" t="str">
        <f t="shared" ca="1" si="113"/>
        <v>No</v>
      </c>
    </row>
    <row r="2391" spans="1:17" x14ac:dyDescent="0.45">
      <c r="A2391" t="s">
        <v>114</v>
      </c>
      <c r="B2391" t="s">
        <v>115</v>
      </c>
      <c r="C2391" t="s">
        <v>26</v>
      </c>
      <c r="D2391" t="s">
        <v>20</v>
      </c>
      <c r="E2391" t="s">
        <v>21</v>
      </c>
      <c r="F2391" s="1">
        <v>45323</v>
      </c>
      <c r="G2391">
        <v>5.42</v>
      </c>
      <c r="H2391">
        <v>83.926199999999994</v>
      </c>
      <c r="I2391">
        <v>20.65</v>
      </c>
      <c r="J2391">
        <v>86.3</v>
      </c>
      <c r="K2391" t="s">
        <v>22</v>
      </c>
      <c r="L2391">
        <v>2962.19</v>
      </c>
      <c r="M2391">
        <f>VLOOKUP(K2391,RatingLookup!$A$2:$C$8,2,FALSE)</f>
        <v>5.0000000000000001E-3</v>
      </c>
      <c r="N2391">
        <f t="shared" si="111"/>
        <v>4.1762458919303302E-4</v>
      </c>
      <c r="O2391">
        <f>VLOOKUP(K2391,RatingLookup!$A$2:$C$8,3,FALSE)</f>
        <v>0.45</v>
      </c>
      <c r="P2391">
        <f t="shared" si="112"/>
        <v>0.55668752183776971</v>
      </c>
      <c r="Q2391" t="str">
        <f t="shared" ca="1" si="113"/>
        <v>No</v>
      </c>
    </row>
    <row r="2392" spans="1:17" x14ac:dyDescent="0.45">
      <c r="A2392" t="s">
        <v>114</v>
      </c>
      <c r="B2392" t="s">
        <v>115</v>
      </c>
      <c r="C2392" t="s">
        <v>26</v>
      </c>
      <c r="D2392" t="s">
        <v>20</v>
      </c>
      <c r="E2392" t="s">
        <v>21</v>
      </c>
      <c r="F2392" s="1">
        <v>45352</v>
      </c>
      <c r="G2392">
        <v>6.05</v>
      </c>
      <c r="H2392">
        <v>82.725999999999999</v>
      </c>
      <c r="I2392">
        <v>20.440000000000001</v>
      </c>
      <c r="J2392">
        <v>81.040000000000006</v>
      </c>
      <c r="K2392" t="s">
        <v>22</v>
      </c>
      <c r="L2392">
        <v>3108.48</v>
      </c>
      <c r="M2392">
        <f>VLOOKUP(K2392,RatingLookup!$A$2:$C$8,2,FALSE)</f>
        <v>5.0000000000000001E-3</v>
      </c>
      <c r="N2392">
        <f t="shared" si="111"/>
        <v>4.1762458919303302E-4</v>
      </c>
      <c r="O2392">
        <f>VLOOKUP(K2392,RatingLookup!$A$2:$C$8,3,FALSE)</f>
        <v>0.45</v>
      </c>
      <c r="P2392">
        <f t="shared" si="112"/>
        <v>0.58417995735664174</v>
      </c>
      <c r="Q2392" t="str">
        <f t="shared" ca="1" si="113"/>
        <v>No</v>
      </c>
    </row>
    <row r="2393" spans="1:17" x14ac:dyDescent="0.45">
      <c r="A2393" t="s">
        <v>114</v>
      </c>
      <c r="B2393" t="s">
        <v>115</v>
      </c>
      <c r="C2393" t="s">
        <v>26</v>
      </c>
      <c r="D2393" t="s">
        <v>20</v>
      </c>
      <c r="E2393" t="s">
        <v>21</v>
      </c>
      <c r="F2393" s="1">
        <v>45383</v>
      </c>
      <c r="G2393">
        <v>4.78</v>
      </c>
      <c r="H2393">
        <v>83.074799999999996</v>
      </c>
      <c r="I2393">
        <v>16.11</v>
      </c>
      <c r="J2393">
        <v>60.92</v>
      </c>
      <c r="K2393" t="s">
        <v>22</v>
      </c>
      <c r="L2393">
        <v>2838.51</v>
      </c>
      <c r="M2393">
        <f>VLOOKUP(K2393,RatingLookup!$A$2:$C$8,2,FALSE)</f>
        <v>5.0000000000000001E-3</v>
      </c>
      <c r="N2393">
        <f t="shared" si="111"/>
        <v>4.1762458919303302E-4</v>
      </c>
      <c r="O2393">
        <f>VLOOKUP(K2393,RatingLookup!$A$2:$C$8,3,FALSE)</f>
        <v>0.45</v>
      </c>
      <c r="P2393">
        <f t="shared" si="112"/>
        <v>0.53344420770164225</v>
      </c>
      <c r="Q2393" t="str">
        <f t="shared" ca="1" si="113"/>
        <v>No</v>
      </c>
    </row>
    <row r="2394" spans="1:17" x14ac:dyDescent="0.45">
      <c r="A2394" t="s">
        <v>114</v>
      </c>
      <c r="B2394" t="s">
        <v>115</v>
      </c>
      <c r="C2394" t="s">
        <v>26</v>
      </c>
      <c r="D2394" t="s">
        <v>20</v>
      </c>
      <c r="E2394" t="s">
        <v>21</v>
      </c>
      <c r="F2394" s="1">
        <v>45413</v>
      </c>
      <c r="G2394">
        <v>5.4</v>
      </c>
      <c r="H2394">
        <v>83.484899999999996</v>
      </c>
      <c r="I2394">
        <v>12.18</v>
      </c>
      <c r="J2394">
        <v>84.09</v>
      </c>
      <c r="K2394" t="s">
        <v>22</v>
      </c>
      <c r="L2394">
        <v>2887.27</v>
      </c>
      <c r="M2394">
        <f>VLOOKUP(K2394,RatingLookup!$A$2:$C$8,2,FALSE)</f>
        <v>5.0000000000000001E-3</v>
      </c>
      <c r="N2394">
        <f t="shared" si="111"/>
        <v>4.1762458919303302E-4</v>
      </c>
      <c r="O2394">
        <f>VLOOKUP(K2394,RatingLookup!$A$2:$C$8,3,FALSE)</f>
        <v>0.45</v>
      </c>
      <c r="P2394">
        <f t="shared" si="112"/>
        <v>0.54260772643771582</v>
      </c>
      <c r="Q2394" t="str">
        <f t="shared" ca="1" si="113"/>
        <v>No</v>
      </c>
    </row>
    <row r="2395" spans="1:17" x14ac:dyDescent="0.45">
      <c r="A2395" t="s">
        <v>114</v>
      </c>
      <c r="B2395" t="s">
        <v>115</v>
      </c>
      <c r="C2395" t="s">
        <v>26</v>
      </c>
      <c r="D2395" t="s">
        <v>20</v>
      </c>
      <c r="E2395" t="s">
        <v>21</v>
      </c>
      <c r="F2395" s="1">
        <v>45444</v>
      </c>
      <c r="G2395">
        <v>5.6</v>
      </c>
      <c r="H2395">
        <v>84.646500000000003</v>
      </c>
      <c r="I2395">
        <v>20.59</v>
      </c>
      <c r="J2395">
        <v>62.07</v>
      </c>
      <c r="K2395" t="s">
        <v>22</v>
      </c>
      <c r="L2395">
        <v>2932.51</v>
      </c>
      <c r="M2395">
        <f>VLOOKUP(K2395,RatingLookup!$A$2:$C$8,2,FALSE)</f>
        <v>5.0000000000000001E-3</v>
      </c>
      <c r="N2395">
        <f t="shared" si="111"/>
        <v>4.1762458919303302E-4</v>
      </c>
      <c r="O2395">
        <f>VLOOKUP(K2395,RatingLookup!$A$2:$C$8,3,FALSE)</f>
        <v>0.45</v>
      </c>
      <c r="P2395">
        <f t="shared" si="112"/>
        <v>0.55110972782450762</v>
      </c>
      <c r="Q2395" t="str">
        <f t="shared" ca="1" si="113"/>
        <v>No</v>
      </c>
    </row>
    <row r="2396" spans="1:17" x14ac:dyDescent="0.45">
      <c r="A2396" t="s">
        <v>114</v>
      </c>
      <c r="B2396" t="s">
        <v>115</v>
      </c>
      <c r="C2396" t="s">
        <v>26</v>
      </c>
      <c r="D2396" t="s">
        <v>20</v>
      </c>
      <c r="E2396" t="s">
        <v>21</v>
      </c>
      <c r="F2396" s="1">
        <v>45474</v>
      </c>
      <c r="G2396">
        <v>6.31</v>
      </c>
      <c r="H2396">
        <v>80.748699999999999</v>
      </c>
      <c r="I2396">
        <v>14.16</v>
      </c>
      <c r="J2396">
        <v>57.99</v>
      </c>
      <c r="K2396" t="s">
        <v>22</v>
      </c>
      <c r="L2396">
        <v>3115.16</v>
      </c>
      <c r="M2396">
        <f>VLOOKUP(K2396,RatingLookup!$A$2:$C$8,2,FALSE)</f>
        <v>5.0000000000000001E-3</v>
      </c>
      <c r="N2396">
        <f t="shared" si="111"/>
        <v>4.1762458919303302E-4</v>
      </c>
      <c r="O2396">
        <f>VLOOKUP(K2396,RatingLookup!$A$2:$C$8,3,FALSE)</f>
        <v>0.45</v>
      </c>
      <c r="P2396">
        <f t="shared" si="112"/>
        <v>0.58543533687175597</v>
      </c>
      <c r="Q2396" t="str">
        <f t="shared" ca="1" si="113"/>
        <v>No</v>
      </c>
    </row>
    <row r="2397" spans="1:17" x14ac:dyDescent="0.45">
      <c r="A2397" t="s">
        <v>114</v>
      </c>
      <c r="B2397" t="s">
        <v>115</v>
      </c>
      <c r="C2397" t="s">
        <v>26</v>
      </c>
      <c r="D2397" t="s">
        <v>20</v>
      </c>
      <c r="E2397" t="s">
        <v>21</v>
      </c>
      <c r="F2397" s="1">
        <v>45505</v>
      </c>
      <c r="G2397">
        <v>6.03</v>
      </c>
      <c r="H2397">
        <v>77.536100000000005</v>
      </c>
      <c r="I2397">
        <v>21.95</v>
      </c>
      <c r="J2397">
        <v>71.930000000000007</v>
      </c>
      <c r="K2397" t="s">
        <v>22</v>
      </c>
      <c r="L2397">
        <v>3158.64</v>
      </c>
      <c r="M2397">
        <f>VLOOKUP(K2397,RatingLookup!$A$2:$C$8,2,FALSE)</f>
        <v>5.0000000000000001E-3</v>
      </c>
      <c r="N2397">
        <f t="shared" si="111"/>
        <v>4.1762458919303302E-4</v>
      </c>
      <c r="O2397">
        <f>VLOOKUP(K2397,RatingLookup!$A$2:$C$8,3,FALSE)</f>
        <v>0.45</v>
      </c>
      <c r="P2397">
        <f t="shared" si="112"/>
        <v>0.59360657958390683</v>
      </c>
      <c r="Q2397" t="str">
        <f t="shared" ca="1" si="113"/>
        <v>No</v>
      </c>
    </row>
    <row r="2398" spans="1:17" x14ac:dyDescent="0.45">
      <c r="A2398" t="s">
        <v>114</v>
      </c>
      <c r="B2398" t="s">
        <v>115</v>
      </c>
      <c r="C2398" t="s">
        <v>26</v>
      </c>
      <c r="D2398" t="s">
        <v>20</v>
      </c>
      <c r="E2398" t="s">
        <v>21</v>
      </c>
      <c r="F2398" s="1">
        <v>45536</v>
      </c>
      <c r="G2398">
        <v>5.07</v>
      </c>
      <c r="H2398">
        <v>81.664900000000003</v>
      </c>
      <c r="I2398">
        <v>13.92</v>
      </c>
      <c r="J2398">
        <v>93.82</v>
      </c>
      <c r="K2398" t="s">
        <v>30</v>
      </c>
      <c r="L2398">
        <v>2769.01</v>
      </c>
      <c r="M2398">
        <f>VLOOKUP(K2398,RatingLookup!$A$2:$C$8,2,FALSE)</f>
        <v>1.4999999999999999E-2</v>
      </c>
      <c r="N2398">
        <f t="shared" si="111"/>
        <v>1.2586770182638762E-3</v>
      </c>
      <c r="O2398">
        <f>VLOOKUP(K2398,RatingLookup!$A$2:$C$8,3,FALSE)</f>
        <v>0.5</v>
      </c>
      <c r="P2398">
        <f t="shared" si="112"/>
        <v>1.742644625171428</v>
      </c>
      <c r="Q2398" t="str">
        <f t="shared" ca="1" si="113"/>
        <v>No</v>
      </c>
    </row>
    <row r="2399" spans="1:17" x14ac:dyDescent="0.45">
      <c r="A2399" t="s">
        <v>114</v>
      </c>
      <c r="B2399" t="s">
        <v>115</v>
      </c>
      <c r="C2399" t="s">
        <v>26</v>
      </c>
      <c r="D2399" t="s">
        <v>20</v>
      </c>
      <c r="E2399" t="s">
        <v>21</v>
      </c>
      <c r="F2399" s="1">
        <v>45566</v>
      </c>
      <c r="G2399">
        <v>5.27</v>
      </c>
      <c r="H2399">
        <v>82.820899999999995</v>
      </c>
      <c r="I2399">
        <v>24.44</v>
      </c>
      <c r="J2399">
        <v>87.71</v>
      </c>
      <c r="K2399" t="s">
        <v>30</v>
      </c>
      <c r="L2399">
        <v>2687.92</v>
      </c>
      <c r="M2399">
        <f>VLOOKUP(K2399,RatingLookup!$A$2:$C$8,2,FALSE)</f>
        <v>1.4999999999999999E-2</v>
      </c>
      <c r="N2399">
        <f t="shared" si="111"/>
        <v>1.2586770182638762E-3</v>
      </c>
      <c r="O2399">
        <f>VLOOKUP(K2399,RatingLookup!$A$2:$C$8,3,FALSE)</f>
        <v>0.5</v>
      </c>
      <c r="P2399">
        <f t="shared" si="112"/>
        <v>1.6916115654659192</v>
      </c>
      <c r="Q2399" t="str">
        <f t="shared" ca="1" si="113"/>
        <v>No</v>
      </c>
    </row>
    <row r="2400" spans="1:17" x14ac:dyDescent="0.45">
      <c r="A2400" t="s">
        <v>114</v>
      </c>
      <c r="B2400" t="s">
        <v>115</v>
      </c>
      <c r="C2400" t="s">
        <v>26</v>
      </c>
      <c r="D2400" t="s">
        <v>20</v>
      </c>
      <c r="E2400" t="s">
        <v>21</v>
      </c>
      <c r="F2400" s="1">
        <v>45597</v>
      </c>
      <c r="G2400">
        <v>5.58</v>
      </c>
      <c r="H2400">
        <v>81.694800000000001</v>
      </c>
      <c r="I2400">
        <v>30.16</v>
      </c>
      <c r="J2400">
        <v>107.43</v>
      </c>
      <c r="K2400" t="s">
        <v>30</v>
      </c>
      <c r="L2400">
        <v>2888.64</v>
      </c>
      <c r="M2400">
        <f>VLOOKUP(K2400,RatingLookup!$A$2:$C$8,2,FALSE)</f>
        <v>1.4999999999999999E-2</v>
      </c>
      <c r="N2400">
        <f t="shared" si="111"/>
        <v>1.2586770182638762E-3</v>
      </c>
      <c r="O2400">
        <f>VLOOKUP(K2400,RatingLookup!$A$2:$C$8,3,FALSE)</f>
        <v>0.5</v>
      </c>
      <c r="P2400">
        <f t="shared" si="112"/>
        <v>1.8179323910188816</v>
      </c>
      <c r="Q2400" t="str">
        <f t="shared" ca="1" si="113"/>
        <v>No</v>
      </c>
    </row>
    <row r="2401" spans="1:17" x14ac:dyDescent="0.45">
      <c r="A2401" t="s">
        <v>114</v>
      </c>
      <c r="B2401" t="s">
        <v>115</v>
      </c>
      <c r="C2401" t="s">
        <v>26</v>
      </c>
      <c r="D2401" t="s">
        <v>20</v>
      </c>
      <c r="E2401" t="s">
        <v>21</v>
      </c>
      <c r="F2401" s="1">
        <v>45627</v>
      </c>
      <c r="G2401">
        <v>5.56</v>
      </c>
      <c r="H2401">
        <v>84.145499999999998</v>
      </c>
      <c r="I2401">
        <v>18.989999999999998</v>
      </c>
      <c r="J2401">
        <v>85.11</v>
      </c>
      <c r="K2401" t="s">
        <v>30</v>
      </c>
      <c r="L2401">
        <v>2815.97</v>
      </c>
      <c r="M2401">
        <f>VLOOKUP(K2401,RatingLookup!$A$2:$C$8,2,FALSE)</f>
        <v>1.4999999999999999E-2</v>
      </c>
      <c r="N2401">
        <f t="shared" si="111"/>
        <v>1.2586770182638762E-3</v>
      </c>
      <c r="O2401">
        <f>VLOOKUP(K2401,RatingLookup!$A$2:$C$8,3,FALSE)</f>
        <v>0.5</v>
      </c>
      <c r="P2401">
        <f t="shared" si="112"/>
        <v>1.7721983615602637</v>
      </c>
      <c r="Q2401" t="str">
        <f t="shared" ca="1" si="113"/>
        <v>No</v>
      </c>
    </row>
    <row r="2402" spans="1:17" x14ac:dyDescent="0.45">
      <c r="A2402" t="s">
        <v>116</v>
      </c>
      <c r="B2402" t="s">
        <v>117</v>
      </c>
      <c r="C2402" t="s">
        <v>85</v>
      </c>
      <c r="D2402" t="s">
        <v>20</v>
      </c>
      <c r="E2402" t="s">
        <v>21</v>
      </c>
      <c r="F2402" s="1">
        <v>43831</v>
      </c>
      <c r="G2402">
        <v>5.13</v>
      </c>
      <c r="H2402">
        <v>83.166399999999996</v>
      </c>
      <c r="I2402">
        <v>28.18</v>
      </c>
      <c r="J2402">
        <v>73.83</v>
      </c>
      <c r="K2402" t="s">
        <v>22</v>
      </c>
      <c r="L2402">
        <v>764.14</v>
      </c>
      <c r="M2402">
        <f>VLOOKUP(K2402,RatingLookup!$A$2:$C$8,2,FALSE)</f>
        <v>5.0000000000000001E-3</v>
      </c>
      <c r="N2402">
        <f t="shared" si="111"/>
        <v>4.1762458919303302E-4</v>
      </c>
      <c r="O2402">
        <f>VLOOKUP(K2402,RatingLookup!$A$2:$C$8,3,FALSE)</f>
        <v>0.45</v>
      </c>
      <c r="P2402">
        <f t="shared" si="112"/>
        <v>0.1436056441136839</v>
      </c>
      <c r="Q2402" t="str">
        <f t="shared" ca="1" si="113"/>
        <v>No</v>
      </c>
    </row>
    <row r="2403" spans="1:17" x14ac:dyDescent="0.45">
      <c r="A2403" t="s">
        <v>116</v>
      </c>
      <c r="B2403" t="s">
        <v>117</v>
      </c>
      <c r="C2403" t="s">
        <v>85</v>
      </c>
      <c r="D2403" t="s">
        <v>20</v>
      </c>
      <c r="E2403" t="s">
        <v>21</v>
      </c>
      <c r="F2403" s="1">
        <v>43862</v>
      </c>
      <c r="G2403">
        <v>5.0999999999999996</v>
      </c>
      <c r="H2403">
        <v>86.906800000000004</v>
      </c>
      <c r="I2403">
        <v>16.05</v>
      </c>
      <c r="J2403">
        <v>73.400000000000006</v>
      </c>
      <c r="K2403" t="s">
        <v>22</v>
      </c>
      <c r="L2403">
        <v>772.37</v>
      </c>
      <c r="M2403">
        <f>VLOOKUP(K2403,RatingLookup!$A$2:$C$8,2,FALSE)</f>
        <v>5.0000000000000001E-3</v>
      </c>
      <c r="N2403">
        <f t="shared" si="111"/>
        <v>4.1762458919303302E-4</v>
      </c>
      <c r="O2403">
        <f>VLOOKUP(K2403,RatingLookup!$A$2:$C$8,3,FALSE)</f>
        <v>0.45</v>
      </c>
      <c r="P2403">
        <f t="shared" si="112"/>
        <v>0.14515231677976032</v>
      </c>
      <c r="Q2403" t="str">
        <f t="shared" ca="1" si="113"/>
        <v>No</v>
      </c>
    </row>
    <row r="2404" spans="1:17" x14ac:dyDescent="0.45">
      <c r="A2404" t="s">
        <v>116</v>
      </c>
      <c r="B2404" t="s">
        <v>117</v>
      </c>
      <c r="C2404" t="s">
        <v>85</v>
      </c>
      <c r="D2404" t="s">
        <v>20</v>
      </c>
      <c r="E2404" t="s">
        <v>21</v>
      </c>
      <c r="F2404" s="1">
        <v>43891</v>
      </c>
      <c r="G2404">
        <v>5.75</v>
      </c>
      <c r="H2404">
        <v>79.403099999999995</v>
      </c>
      <c r="I2404">
        <v>19.399999999999999</v>
      </c>
      <c r="J2404">
        <v>80.69</v>
      </c>
      <c r="K2404" t="s">
        <v>22</v>
      </c>
      <c r="L2404">
        <v>728.59</v>
      </c>
      <c r="M2404">
        <f>VLOOKUP(K2404,RatingLookup!$A$2:$C$8,2,FALSE)</f>
        <v>5.0000000000000001E-3</v>
      </c>
      <c r="N2404">
        <f t="shared" si="111"/>
        <v>4.1762458919303302E-4</v>
      </c>
      <c r="O2404">
        <f>VLOOKUP(K2404,RatingLookup!$A$2:$C$8,3,FALSE)</f>
        <v>0.45</v>
      </c>
      <c r="P2404">
        <f t="shared" si="112"/>
        <v>0.1369246947480684</v>
      </c>
      <c r="Q2404" t="str">
        <f t="shared" ca="1" si="113"/>
        <v>No</v>
      </c>
    </row>
    <row r="2405" spans="1:17" x14ac:dyDescent="0.45">
      <c r="A2405" t="s">
        <v>116</v>
      </c>
      <c r="B2405" t="s">
        <v>117</v>
      </c>
      <c r="C2405" t="s">
        <v>85</v>
      </c>
      <c r="D2405" t="s">
        <v>20</v>
      </c>
      <c r="E2405" t="s">
        <v>21</v>
      </c>
      <c r="F2405" s="1">
        <v>43922</v>
      </c>
      <c r="G2405">
        <v>5.28</v>
      </c>
      <c r="H2405">
        <v>83.097999999999999</v>
      </c>
      <c r="I2405">
        <v>15.21</v>
      </c>
      <c r="J2405">
        <v>80.86</v>
      </c>
      <c r="K2405" t="s">
        <v>22</v>
      </c>
      <c r="L2405">
        <v>738.5</v>
      </c>
      <c r="M2405">
        <f>VLOOKUP(K2405,RatingLookup!$A$2:$C$8,2,FALSE)</f>
        <v>5.0000000000000001E-3</v>
      </c>
      <c r="N2405">
        <f t="shared" si="111"/>
        <v>4.1762458919303302E-4</v>
      </c>
      <c r="O2405">
        <f>VLOOKUP(K2405,RatingLookup!$A$2:$C$8,3,FALSE)</f>
        <v>0.45</v>
      </c>
      <c r="P2405">
        <f t="shared" si="112"/>
        <v>0.13878709160357469</v>
      </c>
      <c r="Q2405" t="str">
        <f t="shared" ca="1" si="113"/>
        <v>No</v>
      </c>
    </row>
    <row r="2406" spans="1:17" x14ac:dyDescent="0.45">
      <c r="A2406" t="s">
        <v>116</v>
      </c>
      <c r="B2406" t="s">
        <v>117</v>
      </c>
      <c r="C2406" t="s">
        <v>85</v>
      </c>
      <c r="D2406" t="s">
        <v>20</v>
      </c>
      <c r="E2406" t="s">
        <v>21</v>
      </c>
      <c r="F2406" s="1">
        <v>43952</v>
      </c>
      <c r="G2406">
        <v>4.42</v>
      </c>
      <c r="H2406">
        <v>83.941100000000006</v>
      </c>
      <c r="I2406">
        <v>21.93</v>
      </c>
      <c r="J2406">
        <v>60.84</v>
      </c>
      <c r="K2406" t="s">
        <v>23</v>
      </c>
      <c r="L2406">
        <v>714.54</v>
      </c>
      <c r="M2406">
        <f>VLOOKUP(K2406,RatingLookup!$A$2:$C$8,2,FALSE)</f>
        <v>1E-3</v>
      </c>
      <c r="N2406">
        <f t="shared" si="111"/>
        <v>8.3371552197619714E-5</v>
      </c>
      <c r="O2406">
        <f>VLOOKUP(K2406,RatingLookup!$A$2:$C$8,3,FALSE)</f>
        <v>0.3</v>
      </c>
      <c r="P2406">
        <f t="shared" si="112"/>
        <v>1.7871692672186155E-2</v>
      </c>
      <c r="Q2406" t="str">
        <f t="shared" ca="1" si="113"/>
        <v>No</v>
      </c>
    </row>
    <row r="2407" spans="1:17" x14ac:dyDescent="0.45">
      <c r="A2407" t="s">
        <v>116</v>
      </c>
      <c r="B2407" t="s">
        <v>117</v>
      </c>
      <c r="C2407" t="s">
        <v>85</v>
      </c>
      <c r="D2407" t="s">
        <v>20</v>
      </c>
      <c r="E2407" t="s">
        <v>21</v>
      </c>
      <c r="F2407" s="1">
        <v>43983</v>
      </c>
      <c r="G2407">
        <v>5.0999999999999996</v>
      </c>
      <c r="H2407">
        <v>83.938999999999993</v>
      </c>
      <c r="I2407">
        <v>16.809999999999999</v>
      </c>
      <c r="J2407">
        <v>88.43</v>
      </c>
      <c r="K2407" t="s">
        <v>48</v>
      </c>
      <c r="L2407">
        <v>713.01</v>
      </c>
      <c r="M2407">
        <f>VLOOKUP(K2407,RatingLookup!$A$2:$C$8,2,FALSE)</f>
        <v>5.0000000000000001E-4</v>
      </c>
      <c r="N2407">
        <f t="shared" si="111"/>
        <v>4.167621832917856E-5</v>
      </c>
      <c r="O2407">
        <f>VLOOKUP(K2407,RatingLookup!$A$2:$C$8,3,FALSE)</f>
        <v>0.25</v>
      </c>
      <c r="P2407">
        <f t="shared" si="112"/>
        <v>7.4288901077219013E-3</v>
      </c>
      <c r="Q2407" t="str">
        <f t="shared" ca="1" si="113"/>
        <v>No</v>
      </c>
    </row>
    <row r="2408" spans="1:17" x14ac:dyDescent="0.45">
      <c r="A2408" t="s">
        <v>116</v>
      </c>
      <c r="B2408" t="s">
        <v>117</v>
      </c>
      <c r="C2408" t="s">
        <v>85</v>
      </c>
      <c r="D2408" t="s">
        <v>20</v>
      </c>
      <c r="E2408" t="s">
        <v>21</v>
      </c>
      <c r="F2408" s="1">
        <v>44013</v>
      </c>
      <c r="G2408">
        <v>6.48</v>
      </c>
      <c r="H2408">
        <v>82.1721</v>
      </c>
      <c r="I2408">
        <v>12.08</v>
      </c>
      <c r="J2408">
        <v>66.58</v>
      </c>
      <c r="K2408" t="s">
        <v>48</v>
      </c>
      <c r="L2408">
        <v>768.1</v>
      </c>
      <c r="M2408">
        <f>VLOOKUP(K2408,RatingLookup!$A$2:$C$8,2,FALSE)</f>
        <v>5.0000000000000001E-4</v>
      </c>
      <c r="N2408">
        <f t="shared" si="111"/>
        <v>4.167621832917856E-5</v>
      </c>
      <c r="O2408">
        <f>VLOOKUP(K2408,RatingLookup!$A$2:$C$8,3,FALSE)</f>
        <v>0.25</v>
      </c>
      <c r="P2408">
        <f t="shared" si="112"/>
        <v>8.0028758246605131E-3</v>
      </c>
      <c r="Q2408" t="str">
        <f t="shared" ca="1" si="113"/>
        <v>No</v>
      </c>
    </row>
    <row r="2409" spans="1:17" x14ac:dyDescent="0.45">
      <c r="A2409" t="s">
        <v>116</v>
      </c>
      <c r="B2409" t="s">
        <v>117</v>
      </c>
      <c r="C2409" t="s">
        <v>85</v>
      </c>
      <c r="D2409" t="s">
        <v>20</v>
      </c>
      <c r="E2409" t="s">
        <v>21</v>
      </c>
      <c r="F2409" s="1">
        <v>44044</v>
      </c>
      <c r="G2409">
        <v>4.41</v>
      </c>
      <c r="H2409">
        <v>81.694400000000002</v>
      </c>
      <c r="I2409">
        <v>13.03</v>
      </c>
      <c r="J2409">
        <v>74.099999999999994</v>
      </c>
      <c r="K2409" t="s">
        <v>48</v>
      </c>
      <c r="L2409">
        <v>753.53</v>
      </c>
      <c r="M2409">
        <f>VLOOKUP(K2409,RatingLookup!$A$2:$C$8,2,FALSE)</f>
        <v>5.0000000000000001E-4</v>
      </c>
      <c r="N2409">
        <f t="shared" si="111"/>
        <v>4.167621832917856E-5</v>
      </c>
      <c r="O2409">
        <f>VLOOKUP(K2409,RatingLookup!$A$2:$C$8,3,FALSE)</f>
        <v>0.25</v>
      </c>
      <c r="P2409">
        <f t="shared" si="112"/>
        <v>7.8510701993964802E-3</v>
      </c>
      <c r="Q2409" t="str">
        <f t="shared" ca="1" si="113"/>
        <v>No</v>
      </c>
    </row>
    <row r="2410" spans="1:17" x14ac:dyDescent="0.45">
      <c r="A2410" t="s">
        <v>116</v>
      </c>
      <c r="B2410" t="s">
        <v>117</v>
      </c>
      <c r="C2410" t="s">
        <v>85</v>
      </c>
      <c r="D2410" t="s">
        <v>20</v>
      </c>
      <c r="E2410" t="s">
        <v>21</v>
      </c>
      <c r="F2410" s="1">
        <v>44075</v>
      </c>
      <c r="G2410">
        <v>5.6</v>
      </c>
      <c r="H2410">
        <v>86.534800000000004</v>
      </c>
      <c r="I2410">
        <v>25.8</v>
      </c>
      <c r="J2410">
        <v>72.42</v>
      </c>
      <c r="K2410" t="s">
        <v>48</v>
      </c>
      <c r="L2410">
        <v>778.55</v>
      </c>
      <c r="M2410">
        <f>VLOOKUP(K2410,RatingLookup!$A$2:$C$8,2,FALSE)</f>
        <v>5.0000000000000001E-4</v>
      </c>
      <c r="N2410">
        <f t="shared" si="111"/>
        <v>4.167621832917856E-5</v>
      </c>
      <c r="O2410">
        <f>VLOOKUP(K2410,RatingLookup!$A$2:$C$8,3,FALSE)</f>
        <v>0.25</v>
      </c>
      <c r="P2410">
        <f t="shared" si="112"/>
        <v>8.111754945045492E-3</v>
      </c>
      <c r="Q2410" t="str">
        <f t="shared" ca="1" si="113"/>
        <v>No</v>
      </c>
    </row>
    <row r="2411" spans="1:17" x14ac:dyDescent="0.45">
      <c r="A2411" t="s">
        <v>116</v>
      </c>
      <c r="B2411" t="s">
        <v>117</v>
      </c>
      <c r="C2411" t="s">
        <v>85</v>
      </c>
      <c r="D2411" t="s">
        <v>20</v>
      </c>
      <c r="E2411" t="s">
        <v>21</v>
      </c>
      <c r="F2411" s="1">
        <v>44105</v>
      </c>
      <c r="G2411">
        <v>5.91</v>
      </c>
      <c r="H2411">
        <v>83.523799999999994</v>
      </c>
      <c r="I2411">
        <v>13.8</v>
      </c>
      <c r="J2411">
        <v>73.489999999999995</v>
      </c>
      <c r="K2411" t="s">
        <v>48</v>
      </c>
      <c r="L2411">
        <v>744.55</v>
      </c>
      <c r="M2411">
        <f>VLOOKUP(K2411,RatingLookup!$A$2:$C$8,2,FALSE)</f>
        <v>5.0000000000000001E-4</v>
      </c>
      <c r="N2411">
        <f t="shared" si="111"/>
        <v>4.167621832917856E-5</v>
      </c>
      <c r="O2411">
        <f>VLOOKUP(K2411,RatingLookup!$A$2:$C$8,3,FALSE)</f>
        <v>0.25</v>
      </c>
      <c r="P2411">
        <f t="shared" si="112"/>
        <v>7.7575070892474734E-3</v>
      </c>
      <c r="Q2411" t="str">
        <f t="shared" ca="1" si="113"/>
        <v>No</v>
      </c>
    </row>
    <row r="2412" spans="1:17" x14ac:dyDescent="0.45">
      <c r="A2412" t="s">
        <v>116</v>
      </c>
      <c r="B2412" t="s">
        <v>117</v>
      </c>
      <c r="C2412" t="s">
        <v>85</v>
      </c>
      <c r="D2412" t="s">
        <v>20</v>
      </c>
      <c r="E2412" t="s">
        <v>21</v>
      </c>
      <c r="F2412" s="1">
        <v>44136</v>
      </c>
      <c r="G2412">
        <v>5.77</v>
      </c>
      <c r="H2412">
        <v>82.266199999999998</v>
      </c>
      <c r="I2412">
        <v>22.04</v>
      </c>
      <c r="J2412">
        <v>101.2</v>
      </c>
      <c r="K2412" t="s">
        <v>48</v>
      </c>
      <c r="L2412">
        <v>733.18</v>
      </c>
      <c r="M2412">
        <f>VLOOKUP(K2412,RatingLookup!$A$2:$C$8,2,FALSE)</f>
        <v>5.0000000000000001E-4</v>
      </c>
      <c r="N2412">
        <f t="shared" si="111"/>
        <v>4.167621832917856E-5</v>
      </c>
      <c r="O2412">
        <f>VLOOKUP(K2412,RatingLookup!$A$2:$C$8,3,FALSE)</f>
        <v>0.25</v>
      </c>
      <c r="P2412">
        <f t="shared" si="112"/>
        <v>7.6390424386467834E-3</v>
      </c>
      <c r="Q2412" t="str">
        <f t="shared" ca="1" si="113"/>
        <v>No</v>
      </c>
    </row>
    <row r="2413" spans="1:17" x14ac:dyDescent="0.45">
      <c r="A2413" t="s">
        <v>116</v>
      </c>
      <c r="B2413" t="s">
        <v>117</v>
      </c>
      <c r="C2413" t="s">
        <v>85</v>
      </c>
      <c r="D2413" t="s">
        <v>20</v>
      </c>
      <c r="E2413" t="s">
        <v>21</v>
      </c>
      <c r="F2413" s="1">
        <v>44166</v>
      </c>
      <c r="G2413">
        <v>5.63</v>
      </c>
      <c r="H2413">
        <v>83.306100000000001</v>
      </c>
      <c r="I2413">
        <v>11.66</v>
      </c>
      <c r="J2413">
        <v>69.48</v>
      </c>
      <c r="K2413" t="s">
        <v>48</v>
      </c>
      <c r="L2413">
        <v>759.71</v>
      </c>
      <c r="M2413">
        <f>VLOOKUP(K2413,RatingLookup!$A$2:$C$8,2,FALSE)</f>
        <v>5.0000000000000001E-4</v>
      </c>
      <c r="N2413">
        <f t="shared" si="111"/>
        <v>4.167621832917856E-5</v>
      </c>
      <c r="O2413">
        <f>VLOOKUP(K2413,RatingLookup!$A$2:$C$8,3,FALSE)</f>
        <v>0.25</v>
      </c>
      <c r="P2413">
        <f t="shared" si="112"/>
        <v>7.915459956715061E-3</v>
      </c>
      <c r="Q2413" t="str">
        <f t="shared" ca="1" si="113"/>
        <v>No</v>
      </c>
    </row>
    <row r="2414" spans="1:17" x14ac:dyDescent="0.45">
      <c r="A2414" t="s">
        <v>116</v>
      </c>
      <c r="B2414" t="s">
        <v>117</v>
      </c>
      <c r="C2414" t="s">
        <v>85</v>
      </c>
      <c r="D2414" t="s">
        <v>20</v>
      </c>
      <c r="E2414" t="s">
        <v>21</v>
      </c>
      <c r="F2414" s="1">
        <v>44197</v>
      </c>
      <c r="G2414">
        <v>5.0199999999999996</v>
      </c>
      <c r="H2414">
        <v>80.2376</v>
      </c>
      <c r="I2414">
        <v>12.18</v>
      </c>
      <c r="J2414">
        <v>101.47</v>
      </c>
      <c r="K2414" t="s">
        <v>48</v>
      </c>
      <c r="L2414">
        <v>767.29</v>
      </c>
      <c r="M2414">
        <f>VLOOKUP(K2414,RatingLookup!$A$2:$C$8,2,FALSE)</f>
        <v>5.0000000000000001E-4</v>
      </c>
      <c r="N2414">
        <f t="shared" si="111"/>
        <v>4.167621832917856E-5</v>
      </c>
      <c r="O2414">
        <f>VLOOKUP(K2414,RatingLookup!$A$2:$C$8,3,FALSE)</f>
        <v>0.25</v>
      </c>
      <c r="P2414">
        <f t="shared" si="112"/>
        <v>7.9944363904488544E-3</v>
      </c>
      <c r="Q2414" t="str">
        <f t="shared" ca="1" si="113"/>
        <v>No</v>
      </c>
    </row>
    <row r="2415" spans="1:17" x14ac:dyDescent="0.45">
      <c r="A2415" t="s">
        <v>116</v>
      </c>
      <c r="B2415" t="s">
        <v>117</v>
      </c>
      <c r="C2415" t="s">
        <v>85</v>
      </c>
      <c r="D2415" t="s">
        <v>20</v>
      </c>
      <c r="E2415" t="s">
        <v>21</v>
      </c>
      <c r="F2415" s="1">
        <v>44228</v>
      </c>
      <c r="G2415">
        <v>5.57</v>
      </c>
      <c r="H2415">
        <v>83.226699999999994</v>
      </c>
      <c r="I2415">
        <v>24.37</v>
      </c>
      <c r="J2415">
        <v>71.28</v>
      </c>
      <c r="K2415" t="s">
        <v>48</v>
      </c>
      <c r="L2415">
        <v>722.89</v>
      </c>
      <c r="M2415">
        <f>VLOOKUP(K2415,RatingLookup!$A$2:$C$8,2,FALSE)</f>
        <v>5.0000000000000001E-4</v>
      </c>
      <c r="N2415">
        <f t="shared" si="111"/>
        <v>4.167621832917856E-5</v>
      </c>
      <c r="O2415">
        <f>VLOOKUP(K2415,RatingLookup!$A$2:$C$8,3,FALSE)</f>
        <v>0.25</v>
      </c>
      <c r="P2415">
        <f t="shared" si="112"/>
        <v>7.5318303669949724E-3</v>
      </c>
      <c r="Q2415" t="str">
        <f t="shared" ca="1" si="113"/>
        <v>No</v>
      </c>
    </row>
    <row r="2416" spans="1:17" x14ac:dyDescent="0.45">
      <c r="A2416" t="s">
        <v>116</v>
      </c>
      <c r="B2416" t="s">
        <v>117</v>
      </c>
      <c r="C2416" t="s">
        <v>85</v>
      </c>
      <c r="D2416" t="s">
        <v>20</v>
      </c>
      <c r="E2416" t="s">
        <v>21</v>
      </c>
      <c r="F2416" s="1">
        <v>44256</v>
      </c>
      <c r="G2416">
        <v>5.98</v>
      </c>
      <c r="H2416">
        <v>82.593999999999994</v>
      </c>
      <c r="I2416">
        <v>13.6</v>
      </c>
      <c r="J2416">
        <v>71.59</v>
      </c>
      <c r="K2416" t="s">
        <v>48</v>
      </c>
      <c r="L2416">
        <v>802.55</v>
      </c>
      <c r="M2416">
        <f>VLOOKUP(K2416,RatingLookup!$A$2:$C$8,2,FALSE)</f>
        <v>5.0000000000000001E-4</v>
      </c>
      <c r="N2416">
        <f t="shared" si="111"/>
        <v>4.167621832917856E-5</v>
      </c>
      <c r="O2416">
        <f>VLOOKUP(K2416,RatingLookup!$A$2:$C$8,3,FALSE)</f>
        <v>0.25</v>
      </c>
      <c r="P2416">
        <f t="shared" si="112"/>
        <v>8.3618122550205634E-3</v>
      </c>
      <c r="Q2416" t="str">
        <f t="shared" ca="1" si="113"/>
        <v>No</v>
      </c>
    </row>
    <row r="2417" spans="1:17" x14ac:dyDescent="0.45">
      <c r="A2417" t="s">
        <v>116</v>
      </c>
      <c r="B2417" t="s">
        <v>117</v>
      </c>
      <c r="C2417" t="s">
        <v>85</v>
      </c>
      <c r="D2417" t="s">
        <v>20</v>
      </c>
      <c r="E2417" t="s">
        <v>21</v>
      </c>
      <c r="F2417" s="1">
        <v>44287</v>
      </c>
      <c r="G2417">
        <v>5.15</v>
      </c>
      <c r="H2417">
        <v>81.822000000000003</v>
      </c>
      <c r="I2417">
        <v>11.82</v>
      </c>
      <c r="J2417">
        <v>75.75</v>
      </c>
      <c r="K2417" t="s">
        <v>48</v>
      </c>
      <c r="L2417">
        <v>740.72</v>
      </c>
      <c r="M2417">
        <f>VLOOKUP(K2417,RatingLookup!$A$2:$C$8,2,FALSE)</f>
        <v>5.0000000000000001E-4</v>
      </c>
      <c r="N2417">
        <f t="shared" si="111"/>
        <v>4.167621832917856E-5</v>
      </c>
      <c r="O2417">
        <f>VLOOKUP(K2417,RatingLookup!$A$2:$C$8,3,FALSE)</f>
        <v>0.25</v>
      </c>
      <c r="P2417">
        <f t="shared" si="112"/>
        <v>7.7176021101972858E-3</v>
      </c>
      <c r="Q2417" t="str">
        <f t="shared" ca="1" si="113"/>
        <v>No</v>
      </c>
    </row>
    <row r="2418" spans="1:17" x14ac:dyDescent="0.45">
      <c r="A2418" t="s">
        <v>116</v>
      </c>
      <c r="B2418" t="s">
        <v>117</v>
      </c>
      <c r="C2418" t="s">
        <v>85</v>
      </c>
      <c r="D2418" t="s">
        <v>20</v>
      </c>
      <c r="E2418" t="s">
        <v>21</v>
      </c>
      <c r="F2418" s="1">
        <v>44317</v>
      </c>
      <c r="G2418">
        <v>5.87</v>
      </c>
      <c r="H2418">
        <v>82.460300000000004</v>
      </c>
      <c r="I2418">
        <v>11.58</v>
      </c>
      <c r="J2418">
        <v>65.5</v>
      </c>
      <c r="K2418" t="s">
        <v>48</v>
      </c>
      <c r="L2418">
        <v>853.63</v>
      </c>
      <c r="M2418">
        <f>VLOOKUP(K2418,RatingLookup!$A$2:$C$8,2,FALSE)</f>
        <v>5.0000000000000001E-4</v>
      </c>
      <c r="N2418">
        <f t="shared" si="111"/>
        <v>4.167621832917856E-5</v>
      </c>
      <c r="O2418">
        <f>VLOOKUP(K2418,RatingLookup!$A$2:$C$8,3,FALSE)</f>
        <v>0.25</v>
      </c>
      <c r="P2418">
        <f t="shared" si="112"/>
        <v>8.8940175630841736E-3</v>
      </c>
      <c r="Q2418" t="str">
        <f t="shared" ca="1" si="113"/>
        <v>No</v>
      </c>
    </row>
    <row r="2419" spans="1:17" x14ac:dyDescent="0.45">
      <c r="A2419" t="s">
        <v>116</v>
      </c>
      <c r="B2419" t="s">
        <v>117</v>
      </c>
      <c r="C2419" t="s">
        <v>85</v>
      </c>
      <c r="D2419" t="s">
        <v>20</v>
      </c>
      <c r="E2419" t="s">
        <v>21</v>
      </c>
      <c r="F2419" s="1">
        <v>44348</v>
      </c>
      <c r="G2419">
        <v>3.93</v>
      </c>
      <c r="H2419">
        <v>79.613399999999999</v>
      </c>
      <c r="I2419">
        <v>31.24</v>
      </c>
      <c r="J2419">
        <v>101.33</v>
      </c>
      <c r="K2419" t="s">
        <v>48</v>
      </c>
      <c r="L2419">
        <v>828.31</v>
      </c>
      <c r="M2419">
        <f>VLOOKUP(K2419,RatingLookup!$A$2:$C$8,2,FALSE)</f>
        <v>5.0000000000000001E-4</v>
      </c>
      <c r="N2419">
        <f t="shared" si="111"/>
        <v>4.167621832917856E-5</v>
      </c>
      <c r="O2419">
        <f>VLOOKUP(K2419,RatingLookup!$A$2:$C$8,3,FALSE)</f>
        <v>0.25</v>
      </c>
      <c r="P2419">
        <f t="shared" si="112"/>
        <v>8.6302071010604733E-3</v>
      </c>
      <c r="Q2419" t="str">
        <f t="shared" ca="1" si="113"/>
        <v>No</v>
      </c>
    </row>
    <row r="2420" spans="1:17" x14ac:dyDescent="0.45">
      <c r="A2420" t="s">
        <v>116</v>
      </c>
      <c r="B2420" t="s">
        <v>117</v>
      </c>
      <c r="C2420" t="s">
        <v>85</v>
      </c>
      <c r="D2420" t="s">
        <v>20</v>
      </c>
      <c r="E2420" t="s">
        <v>21</v>
      </c>
      <c r="F2420" s="1">
        <v>44378</v>
      </c>
      <c r="G2420">
        <v>4.49</v>
      </c>
      <c r="H2420">
        <v>83.375399999999999</v>
      </c>
      <c r="I2420">
        <v>13.78</v>
      </c>
      <c r="J2420">
        <v>91.32</v>
      </c>
      <c r="K2420" t="s">
        <v>48</v>
      </c>
      <c r="L2420">
        <v>694.52</v>
      </c>
      <c r="M2420">
        <f>VLOOKUP(K2420,RatingLookup!$A$2:$C$8,2,FALSE)</f>
        <v>5.0000000000000001E-4</v>
      </c>
      <c r="N2420">
        <f t="shared" si="111"/>
        <v>4.167621832917856E-5</v>
      </c>
      <c r="O2420">
        <f>VLOOKUP(K2420,RatingLookup!$A$2:$C$8,3,FALSE)</f>
        <v>0.25</v>
      </c>
      <c r="P2420">
        <f t="shared" si="112"/>
        <v>7.2362417884952734E-3</v>
      </c>
      <c r="Q2420" t="str">
        <f t="shared" ca="1" si="113"/>
        <v>No</v>
      </c>
    </row>
    <row r="2421" spans="1:17" x14ac:dyDescent="0.45">
      <c r="A2421" t="s">
        <v>116</v>
      </c>
      <c r="B2421" t="s">
        <v>117</v>
      </c>
      <c r="C2421" t="s">
        <v>85</v>
      </c>
      <c r="D2421" t="s">
        <v>20</v>
      </c>
      <c r="E2421" t="s">
        <v>21</v>
      </c>
      <c r="F2421" s="1">
        <v>44409</v>
      </c>
      <c r="G2421">
        <v>5.62</v>
      </c>
      <c r="H2421">
        <v>84.701899999999995</v>
      </c>
      <c r="I2421">
        <v>24.46</v>
      </c>
      <c r="J2421">
        <v>85.24</v>
      </c>
      <c r="K2421" t="s">
        <v>48</v>
      </c>
      <c r="L2421">
        <v>776.18</v>
      </c>
      <c r="M2421">
        <f>VLOOKUP(K2421,RatingLookup!$A$2:$C$8,2,FALSE)</f>
        <v>5.0000000000000001E-4</v>
      </c>
      <c r="N2421">
        <f t="shared" si="111"/>
        <v>4.167621832917856E-5</v>
      </c>
      <c r="O2421">
        <f>VLOOKUP(K2421,RatingLookup!$A$2:$C$8,3,FALSE)</f>
        <v>0.25</v>
      </c>
      <c r="P2421">
        <f t="shared" si="112"/>
        <v>8.0870617856854538E-3</v>
      </c>
      <c r="Q2421" t="str">
        <f t="shared" ca="1" si="113"/>
        <v>No</v>
      </c>
    </row>
    <row r="2422" spans="1:17" x14ac:dyDescent="0.45">
      <c r="A2422" t="s">
        <v>116</v>
      </c>
      <c r="B2422" t="s">
        <v>117</v>
      </c>
      <c r="C2422" t="s">
        <v>85</v>
      </c>
      <c r="D2422" t="s">
        <v>20</v>
      </c>
      <c r="E2422" t="s">
        <v>21</v>
      </c>
      <c r="F2422" s="1">
        <v>44440</v>
      </c>
      <c r="G2422">
        <v>5.7</v>
      </c>
      <c r="H2422">
        <v>83.332099999999997</v>
      </c>
      <c r="I2422">
        <v>18.61</v>
      </c>
      <c r="J2422">
        <v>73.150000000000006</v>
      </c>
      <c r="K2422" t="s">
        <v>48</v>
      </c>
      <c r="L2422">
        <v>714.31</v>
      </c>
      <c r="M2422">
        <f>VLOOKUP(K2422,RatingLookup!$A$2:$C$8,2,FALSE)</f>
        <v>5.0000000000000001E-4</v>
      </c>
      <c r="N2422">
        <f t="shared" si="111"/>
        <v>4.167621832917856E-5</v>
      </c>
      <c r="O2422">
        <f>VLOOKUP(K2422,RatingLookup!$A$2:$C$8,3,FALSE)</f>
        <v>0.25</v>
      </c>
      <c r="P2422">
        <f t="shared" si="112"/>
        <v>7.4424348786788835E-3</v>
      </c>
      <c r="Q2422" t="str">
        <f t="shared" ca="1" si="113"/>
        <v>No</v>
      </c>
    </row>
    <row r="2423" spans="1:17" x14ac:dyDescent="0.45">
      <c r="A2423" t="s">
        <v>116</v>
      </c>
      <c r="B2423" t="s">
        <v>117</v>
      </c>
      <c r="C2423" t="s">
        <v>85</v>
      </c>
      <c r="D2423" t="s">
        <v>20</v>
      </c>
      <c r="E2423" t="s">
        <v>21</v>
      </c>
      <c r="F2423" s="1">
        <v>44470</v>
      </c>
      <c r="G2423">
        <v>4.79</v>
      </c>
      <c r="H2423">
        <v>80.000799999999998</v>
      </c>
      <c r="I2423">
        <v>12.17</v>
      </c>
      <c r="J2423">
        <v>73.45</v>
      </c>
      <c r="K2423" t="s">
        <v>48</v>
      </c>
      <c r="L2423">
        <v>800.61</v>
      </c>
      <c r="M2423">
        <f>VLOOKUP(K2423,RatingLookup!$A$2:$C$8,2,FALSE)</f>
        <v>5.0000000000000001E-4</v>
      </c>
      <c r="N2423">
        <f t="shared" si="111"/>
        <v>4.167621832917856E-5</v>
      </c>
      <c r="O2423">
        <f>VLOOKUP(K2423,RatingLookup!$A$2:$C$8,3,FALSE)</f>
        <v>0.25</v>
      </c>
      <c r="P2423">
        <f t="shared" si="112"/>
        <v>8.3415992891309118E-3</v>
      </c>
      <c r="Q2423" t="str">
        <f t="shared" ca="1" si="113"/>
        <v>No</v>
      </c>
    </row>
    <row r="2424" spans="1:17" x14ac:dyDescent="0.45">
      <c r="A2424" t="s">
        <v>116</v>
      </c>
      <c r="B2424" t="s">
        <v>117</v>
      </c>
      <c r="C2424" t="s">
        <v>85</v>
      </c>
      <c r="D2424" t="s">
        <v>20</v>
      </c>
      <c r="E2424" t="s">
        <v>21</v>
      </c>
      <c r="F2424" s="1">
        <v>44501</v>
      </c>
      <c r="G2424">
        <v>5.6</v>
      </c>
      <c r="H2424">
        <v>85.656700000000001</v>
      </c>
      <c r="I2424">
        <v>31.4</v>
      </c>
      <c r="J2424">
        <v>73.78</v>
      </c>
      <c r="K2424" t="s">
        <v>48</v>
      </c>
      <c r="L2424">
        <v>752.86</v>
      </c>
      <c r="M2424">
        <f>VLOOKUP(K2424,RatingLookup!$A$2:$C$8,2,FALSE)</f>
        <v>5.0000000000000001E-4</v>
      </c>
      <c r="N2424">
        <f t="shared" si="111"/>
        <v>4.167621832917856E-5</v>
      </c>
      <c r="O2424">
        <f>VLOOKUP(K2424,RatingLookup!$A$2:$C$8,3,FALSE)</f>
        <v>0.25</v>
      </c>
      <c r="P2424">
        <f t="shared" si="112"/>
        <v>7.8440894328263427E-3</v>
      </c>
      <c r="Q2424" t="str">
        <f t="shared" ca="1" si="113"/>
        <v>No</v>
      </c>
    </row>
    <row r="2425" spans="1:17" x14ac:dyDescent="0.45">
      <c r="A2425" t="s">
        <v>116</v>
      </c>
      <c r="B2425" t="s">
        <v>117</v>
      </c>
      <c r="C2425" t="s">
        <v>85</v>
      </c>
      <c r="D2425" t="s">
        <v>20</v>
      </c>
      <c r="E2425" t="s">
        <v>21</v>
      </c>
      <c r="F2425" s="1">
        <v>44531</v>
      </c>
      <c r="G2425">
        <v>5.42</v>
      </c>
      <c r="H2425">
        <v>81.836399999999998</v>
      </c>
      <c r="I2425">
        <v>18.54</v>
      </c>
      <c r="J2425">
        <v>79.569999999999993</v>
      </c>
      <c r="K2425" t="s">
        <v>23</v>
      </c>
      <c r="L2425">
        <v>730.75</v>
      </c>
      <c r="M2425">
        <f>VLOOKUP(K2425,RatingLookup!$A$2:$C$8,2,FALSE)</f>
        <v>1E-3</v>
      </c>
      <c r="N2425">
        <f t="shared" si="111"/>
        <v>8.3371552197619714E-5</v>
      </c>
      <c r="O2425">
        <f>VLOOKUP(K2425,RatingLookup!$A$2:$C$8,3,FALSE)</f>
        <v>0.3</v>
      </c>
      <c r="P2425">
        <f t="shared" si="112"/>
        <v>1.8277128530523181E-2</v>
      </c>
      <c r="Q2425" t="str">
        <f t="shared" ca="1" si="113"/>
        <v>No</v>
      </c>
    </row>
    <row r="2426" spans="1:17" x14ac:dyDescent="0.45">
      <c r="A2426" t="s">
        <v>116</v>
      </c>
      <c r="B2426" t="s">
        <v>117</v>
      </c>
      <c r="C2426" t="s">
        <v>85</v>
      </c>
      <c r="D2426" t="s">
        <v>20</v>
      </c>
      <c r="E2426" t="s">
        <v>21</v>
      </c>
      <c r="F2426" s="1">
        <v>44562</v>
      </c>
      <c r="G2426">
        <v>5.63</v>
      </c>
      <c r="H2426">
        <v>78.897400000000005</v>
      </c>
      <c r="I2426">
        <v>27.8</v>
      </c>
      <c r="J2426">
        <v>77.709999999999994</v>
      </c>
      <c r="K2426" t="s">
        <v>48</v>
      </c>
      <c r="L2426">
        <v>740.45</v>
      </c>
      <c r="M2426">
        <f>VLOOKUP(K2426,RatingLookup!$A$2:$C$8,2,FALSE)</f>
        <v>5.0000000000000001E-4</v>
      </c>
      <c r="N2426">
        <f t="shared" si="111"/>
        <v>4.167621832917856E-5</v>
      </c>
      <c r="O2426">
        <f>VLOOKUP(K2426,RatingLookup!$A$2:$C$8,3,FALSE)</f>
        <v>0.25</v>
      </c>
      <c r="P2426">
        <f t="shared" si="112"/>
        <v>7.7147889654600671E-3</v>
      </c>
      <c r="Q2426" t="str">
        <f t="shared" ca="1" si="113"/>
        <v>No</v>
      </c>
    </row>
    <row r="2427" spans="1:17" x14ac:dyDescent="0.45">
      <c r="A2427" t="s">
        <v>116</v>
      </c>
      <c r="B2427" t="s">
        <v>117</v>
      </c>
      <c r="C2427" t="s">
        <v>85</v>
      </c>
      <c r="D2427" t="s">
        <v>20</v>
      </c>
      <c r="E2427" t="s">
        <v>21</v>
      </c>
      <c r="F2427" s="1">
        <v>44593</v>
      </c>
      <c r="G2427">
        <v>5.18</v>
      </c>
      <c r="H2427">
        <v>82.221999999999994</v>
      </c>
      <c r="I2427">
        <v>30.61</v>
      </c>
      <c r="J2427">
        <v>82.7</v>
      </c>
      <c r="K2427" t="s">
        <v>48</v>
      </c>
      <c r="L2427">
        <v>848.92</v>
      </c>
      <c r="M2427">
        <f>VLOOKUP(K2427,RatingLookup!$A$2:$C$8,2,FALSE)</f>
        <v>5.0000000000000001E-4</v>
      </c>
      <c r="N2427">
        <f t="shared" si="111"/>
        <v>4.167621832917856E-5</v>
      </c>
      <c r="O2427">
        <f>VLOOKUP(K2427,RatingLookup!$A$2:$C$8,3,FALSE)</f>
        <v>0.25</v>
      </c>
      <c r="P2427">
        <f t="shared" si="112"/>
        <v>8.8449438160015659E-3</v>
      </c>
      <c r="Q2427" t="str">
        <f t="shared" ca="1" si="113"/>
        <v>No</v>
      </c>
    </row>
    <row r="2428" spans="1:17" x14ac:dyDescent="0.45">
      <c r="A2428" t="s">
        <v>116</v>
      </c>
      <c r="B2428" t="s">
        <v>117</v>
      </c>
      <c r="C2428" t="s">
        <v>85</v>
      </c>
      <c r="D2428" t="s">
        <v>20</v>
      </c>
      <c r="E2428" t="s">
        <v>21</v>
      </c>
      <c r="F2428" s="1">
        <v>44621</v>
      </c>
      <c r="G2428">
        <v>6.03</v>
      </c>
      <c r="H2428">
        <v>83.9923</v>
      </c>
      <c r="I2428">
        <v>18.43</v>
      </c>
      <c r="J2428">
        <v>66.84</v>
      </c>
      <c r="K2428" t="s">
        <v>48</v>
      </c>
      <c r="L2428">
        <v>691.32</v>
      </c>
      <c r="M2428">
        <f>VLOOKUP(K2428,RatingLookup!$A$2:$C$8,2,FALSE)</f>
        <v>5.0000000000000001E-4</v>
      </c>
      <c r="N2428">
        <f t="shared" si="111"/>
        <v>4.167621832917856E-5</v>
      </c>
      <c r="O2428">
        <f>VLOOKUP(K2428,RatingLookup!$A$2:$C$8,3,FALSE)</f>
        <v>0.25</v>
      </c>
      <c r="P2428">
        <f t="shared" si="112"/>
        <v>7.2029008138319315E-3</v>
      </c>
      <c r="Q2428" t="str">
        <f t="shared" ca="1" si="113"/>
        <v>No</v>
      </c>
    </row>
    <row r="2429" spans="1:17" x14ac:dyDescent="0.45">
      <c r="A2429" t="s">
        <v>116</v>
      </c>
      <c r="B2429" t="s">
        <v>117</v>
      </c>
      <c r="C2429" t="s">
        <v>85</v>
      </c>
      <c r="D2429" t="s">
        <v>20</v>
      </c>
      <c r="E2429" t="s">
        <v>21</v>
      </c>
      <c r="F2429" s="1">
        <v>44652</v>
      </c>
      <c r="G2429">
        <v>5.37</v>
      </c>
      <c r="H2429">
        <v>78.926000000000002</v>
      </c>
      <c r="I2429">
        <v>13.26</v>
      </c>
      <c r="J2429">
        <v>81.62</v>
      </c>
      <c r="K2429" t="s">
        <v>48</v>
      </c>
      <c r="L2429">
        <v>794.89</v>
      </c>
      <c r="M2429">
        <f>VLOOKUP(K2429,RatingLookup!$A$2:$C$8,2,FALSE)</f>
        <v>5.0000000000000001E-4</v>
      </c>
      <c r="N2429">
        <f t="shared" si="111"/>
        <v>4.167621832917856E-5</v>
      </c>
      <c r="O2429">
        <f>VLOOKUP(K2429,RatingLookup!$A$2:$C$8,3,FALSE)</f>
        <v>0.25</v>
      </c>
      <c r="P2429">
        <f t="shared" si="112"/>
        <v>8.2820022969201865E-3</v>
      </c>
      <c r="Q2429" t="str">
        <f t="shared" ca="1" si="113"/>
        <v>No</v>
      </c>
    </row>
    <row r="2430" spans="1:17" x14ac:dyDescent="0.45">
      <c r="A2430" t="s">
        <v>116</v>
      </c>
      <c r="B2430" t="s">
        <v>117</v>
      </c>
      <c r="C2430" t="s">
        <v>85</v>
      </c>
      <c r="D2430" t="s">
        <v>20</v>
      </c>
      <c r="E2430" t="s">
        <v>21</v>
      </c>
      <c r="F2430" s="1">
        <v>44682</v>
      </c>
      <c r="G2430">
        <v>4.79</v>
      </c>
      <c r="H2430">
        <v>84.944699999999997</v>
      </c>
      <c r="I2430">
        <v>22.92</v>
      </c>
      <c r="J2430">
        <v>72.06</v>
      </c>
      <c r="K2430" t="s">
        <v>48</v>
      </c>
      <c r="L2430">
        <v>805.98</v>
      </c>
      <c r="M2430">
        <f>VLOOKUP(K2430,RatingLookup!$A$2:$C$8,2,FALSE)</f>
        <v>5.0000000000000001E-4</v>
      </c>
      <c r="N2430">
        <f t="shared" si="111"/>
        <v>4.167621832917856E-5</v>
      </c>
      <c r="O2430">
        <f>VLOOKUP(K2430,RatingLookup!$A$2:$C$8,3,FALSE)</f>
        <v>0.25</v>
      </c>
      <c r="P2430">
        <f t="shared" si="112"/>
        <v>8.397549612237834E-3</v>
      </c>
      <c r="Q2430" t="str">
        <f t="shared" ca="1" si="113"/>
        <v>No</v>
      </c>
    </row>
    <row r="2431" spans="1:17" x14ac:dyDescent="0.45">
      <c r="A2431" t="s">
        <v>116</v>
      </c>
      <c r="B2431" t="s">
        <v>117</v>
      </c>
      <c r="C2431" t="s">
        <v>85</v>
      </c>
      <c r="D2431" t="s">
        <v>20</v>
      </c>
      <c r="E2431" t="s">
        <v>21</v>
      </c>
      <c r="F2431" s="1">
        <v>44713</v>
      </c>
      <c r="G2431">
        <v>5.46</v>
      </c>
      <c r="H2431">
        <v>82.830399999999997</v>
      </c>
      <c r="I2431">
        <v>16.010000000000002</v>
      </c>
      <c r="J2431">
        <v>65.08</v>
      </c>
      <c r="K2431" t="s">
        <v>48</v>
      </c>
      <c r="L2431">
        <v>729.49</v>
      </c>
      <c r="M2431">
        <f>VLOOKUP(K2431,RatingLookup!$A$2:$C$8,2,FALSE)</f>
        <v>5.0000000000000001E-4</v>
      </c>
      <c r="N2431">
        <f t="shared" si="111"/>
        <v>4.167621832917856E-5</v>
      </c>
      <c r="O2431">
        <f>VLOOKUP(K2431,RatingLookup!$A$2:$C$8,3,FALSE)</f>
        <v>0.25</v>
      </c>
      <c r="P2431">
        <f t="shared" si="112"/>
        <v>7.600596127238117E-3</v>
      </c>
      <c r="Q2431" t="str">
        <f t="shared" ca="1" si="113"/>
        <v>No</v>
      </c>
    </row>
    <row r="2432" spans="1:17" x14ac:dyDescent="0.45">
      <c r="A2432" t="s">
        <v>116</v>
      </c>
      <c r="B2432" t="s">
        <v>117</v>
      </c>
      <c r="C2432" t="s">
        <v>85</v>
      </c>
      <c r="D2432" t="s">
        <v>20</v>
      </c>
      <c r="E2432" t="s">
        <v>21</v>
      </c>
      <c r="F2432" s="1">
        <v>44743</v>
      </c>
      <c r="G2432">
        <v>4.8</v>
      </c>
      <c r="H2432">
        <v>79.628500000000003</v>
      </c>
      <c r="I2432">
        <v>31.22</v>
      </c>
      <c r="J2432">
        <v>82.65</v>
      </c>
      <c r="K2432" t="s">
        <v>48</v>
      </c>
      <c r="L2432">
        <v>823.65</v>
      </c>
      <c r="M2432">
        <f>VLOOKUP(K2432,RatingLookup!$A$2:$C$8,2,FALSE)</f>
        <v>5.0000000000000001E-4</v>
      </c>
      <c r="N2432">
        <f t="shared" si="111"/>
        <v>4.167621832917856E-5</v>
      </c>
      <c r="O2432">
        <f>VLOOKUP(K2432,RatingLookup!$A$2:$C$8,3,FALSE)</f>
        <v>0.25</v>
      </c>
      <c r="P2432">
        <f t="shared" si="112"/>
        <v>8.5816543067069803E-3</v>
      </c>
      <c r="Q2432" t="str">
        <f t="shared" ca="1" si="113"/>
        <v>No</v>
      </c>
    </row>
    <row r="2433" spans="1:17" x14ac:dyDescent="0.45">
      <c r="A2433" t="s">
        <v>116</v>
      </c>
      <c r="B2433" t="s">
        <v>117</v>
      </c>
      <c r="C2433" t="s">
        <v>85</v>
      </c>
      <c r="D2433" t="s">
        <v>20</v>
      </c>
      <c r="E2433" t="s">
        <v>21</v>
      </c>
      <c r="F2433" s="1">
        <v>44774</v>
      </c>
      <c r="G2433">
        <v>6.4</v>
      </c>
      <c r="H2433">
        <v>83.670900000000003</v>
      </c>
      <c r="I2433">
        <v>15.2</v>
      </c>
      <c r="J2433">
        <v>79.239999999999995</v>
      </c>
      <c r="K2433" t="s">
        <v>82</v>
      </c>
      <c r="L2433">
        <v>788.69</v>
      </c>
      <c r="M2433">
        <f>VLOOKUP(K2433,RatingLookup!$A$2:$C$8,2,FALSE)</f>
        <v>1E-4</v>
      </c>
      <c r="N2433">
        <f t="shared" si="111"/>
        <v>8.3337153021778576E-6</v>
      </c>
      <c r="O2433">
        <f>VLOOKUP(K2433,RatingLookup!$A$2:$C$8,3,FALSE)</f>
        <v>0.2</v>
      </c>
      <c r="P2433">
        <f t="shared" si="112"/>
        <v>1.314543584334931E-3</v>
      </c>
      <c r="Q2433" t="str">
        <f t="shared" ca="1" si="113"/>
        <v>No</v>
      </c>
    </row>
    <row r="2434" spans="1:17" x14ac:dyDescent="0.45">
      <c r="A2434" t="s">
        <v>116</v>
      </c>
      <c r="B2434" t="s">
        <v>117</v>
      </c>
      <c r="C2434" t="s">
        <v>85</v>
      </c>
      <c r="D2434" t="s">
        <v>20</v>
      </c>
      <c r="E2434" t="s">
        <v>21</v>
      </c>
      <c r="F2434" s="1">
        <v>44805</v>
      </c>
      <c r="G2434">
        <v>5.93</v>
      </c>
      <c r="H2434">
        <v>82.351100000000002</v>
      </c>
      <c r="I2434">
        <v>23.11</v>
      </c>
      <c r="J2434">
        <v>77</v>
      </c>
      <c r="K2434" t="s">
        <v>82</v>
      </c>
      <c r="L2434">
        <v>824.69</v>
      </c>
      <c r="M2434">
        <f>VLOOKUP(K2434,RatingLookup!$A$2:$C$8,2,FALSE)</f>
        <v>1E-4</v>
      </c>
      <c r="N2434">
        <f t="shared" ref="N2434:N2497" si="114">1-(1-M2434)^(1/12)</f>
        <v>8.3337153021778576E-6</v>
      </c>
      <c r="O2434">
        <f>VLOOKUP(K2434,RatingLookup!$A$2:$C$8,3,FALSE)</f>
        <v>0.2</v>
      </c>
      <c r="P2434">
        <f t="shared" ref="P2434:P2497" si="115">L2434*N2434*O2434</f>
        <v>1.3745463345106116E-3</v>
      </c>
      <c r="Q2434" t="str">
        <f t="shared" ref="Q2434:Q2497" ca="1" si="116">IF(RAND()&lt;N2434,"Yes","No")</f>
        <v>No</v>
      </c>
    </row>
    <row r="2435" spans="1:17" x14ac:dyDescent="0.45">
      <c r="A2435" t="s">
        <v>116</v>
      </c>
      <c r="B2435" t="s">
        <v>117</v>
      </c>
      <c r="C2435" t="s">
        <v>85</v>
      </c>
      <c r="D2435" t="s">
        <v>20</v>
      </c>
      <c r="E2435" t="s">
        <v>21</v>
      </c>
      <c r="F2435" s="1">
        <v>44835</v>
      </c>
      <c r="G2435">
        <v>5.05</v>
      </c>
      <c r="H2435">
        <v>80.956699999999998</v>
      </c>
      <c r="I2435">
        <v>20.49</v>
      </c>
      <c r="J2435">
        <v>88.37</v>
      </c>
      <c r="K2435" t="s">
        <v>82</v>
      </c>
      <c r="L2435">
        <v>776.05</v>
      </c>
      <c r="M2435">
        <f>VLOOKUP(K2435,RatingLookup!$A$2:$C$8,2,FALSE)</f>
        <v>1E-4</v>
      </c>
      <c r="N2435">
        <f t="shared" si="114"/>
        <v>8.3337153021778576E-6</v>
      </c>
      <c r="O2435">
        <f>VLOOKUP(K2435,RatingLookup!$A$2:$C$8,3,FALSE)</f>
        <v>0.2</v>
      </c>
      <c r="P2435">
        <f t="shared" si="115"/>
        <v>1.2934759520510253E-3</v>
      </c>
      <c r="Q2435" t="str">
        <f t="shared" ca="1" si="116"/>
        <v>No</v>
      </c>
    </row>
    <row r="2436" spans="1:17" x14ac:dyDescent="0.45">
      <c r="A2436" t="s">
        <v>116</v>
      </c>
      <c r="B2436" t="s">
        <v>117</v>
      </c>
      <c r="C2436" t="s">
        <v>85</v>
      </c>
      <c r="D2436" t="s">
        <v>20</v>
      </c>
      <c r="E2436" t="s">
        <v>21</v>
      </c>
      <c r="F2436" s="1">
        <v>44866</v>
      </c>
      <c r="G2436">
        <v>4.84</v>
      </c>
      <c r="H2436">
        <v>84.418700000000001</v>
      </c>
      <c r="I2436">
        <v>15.32</v>
      </c>
      <c r="J2436">
        <v>61.63</v>
      </c>
      <c r="K2436" t="s">
        <v>82</v>
      </c>
      <c r="L2436">
        <v>750.68</v>
      </c>
      <c r="M2436">
        <f>VLOOKUP(K2436,RatingLookup!$A$2:$C$8,2,FALSE)</f>
        <v>1E-4</v>
      </c>
      <c r="N2436">
        <f t="shared" si="114"/>
        <v>8.3337153021778576E-6</v>
      </c>
      <c r="O2436">
        <f>VLOOKUP(K2436,RatingLookup!$A$2:$C$8,3,FALSE)</f>
        <v>0.2</v>
      </c>
      <c r="P2436">
        <f t="shared" si="115"/>
        <v>1.2511906806077749E-3</v>
      </c>
      <c r="Q2436" t="str">
        <f t="shared" ca="1" si="116"/>
        <v>No</v>
      </c>
    </row>
    <row r="2437" spans="1:17" x14ac:dyDescent="0.45">
      <c r="A2437" t="s">
        <v>116</v>
      </c>
      <c r="B2437" t="s">
        <v>117</v>
      </c>
      <c r="C2437" t="s">
        <v>85</v>
      </c>
      <c r="D2437" t="s">
        <v>20</v>
      </c>
      <c r="E2437" t="s">
        <v>21</v>
      </c>
      <c r="F2437" s="1">
        <v>44896</v>
      </c>
      <c r="G2437">
        <v>6.31</v>
      </c>
      <c r="H2437">
        <v>79.0458</v>
      </c>
      <c r="I2437">
        <v>16.239999999999998</v>
      </c>
      <c r="J2437">
        <v>88.9</v>
      </c>
      <c r="K2437" t="s">
        <v>82</v>
      </c>
      <c r="L2437">
        <v>773.28</v>
      </c>
      <c r="M2437">
        <f>VLOOKUP(K2437,RatingLookup!$A$2:$C$8,2,FALSE)</f>
        <v>1E-4</v>
      </c>
      <c r="N2437">
        <f t="shared" si="114"/>
        <v>8.3337153021778576E-6</v>
      </c>
      <c r="O2437">
        <f>VLOOKUP(K2437,RatingLookup!$A$2:$C$8,3,FALSE)</f>
        <v>0.2</v>
      </c>
      <c r="P2437">
        <f t="shared" si="115"/>
        <v>1.2888590737736188E-3</v>
      </c>
      <c r="Q2437" t="str">
        <f t="shared" ca="1" si="116"/>
        <v>No</v>
      </c>
    </row>
    <row r="2438" spans="1:17" x14ac:dyDescent="0.45">
      <c r="A2438" t="s">
        <v>116</v>
      </c>
      <c r="B2438" t="s">
        <v>117</v>
      </c>
      <c r="C2438" t="s">
        <v>85</v>
      </c>
      <c r="D2438" t="s">
        <v>20</v>
      </c>
      <c r="E2438" t="s">
        <v>21</v>
      </c>
      <c r="F2438" s="1">
        <v>44927</v>
      </c>
      <c r="G2438">
        <v>5.34</v>
      </c>
      <c r="H2438">
        <v>84.838499999999996</v>
      </c>
      <c r="I2438">
        <v>19.23</v>
      </c>
      <c r="J2438">
        <v>76.58</v>
      </c>
      <c r="K2438" t="s">
        <v>82</v>
      </c>
      <c r="L2438">
        <v>807.85</v>
      </c>
      <c r="M2438">
        <f>VLOOKUP(K2438,RatingLookup!$A$2:$C$8,2,FALSE)</f>
        <v>1E-4</v>
      </c>
      <c r="N2438">
        <f t="shared" si="114"/>
        <v>8.3337153021778576E-6</v>
      </c>
      <c r="O2438">
        <f>VLOOKUP(K2438,RatingLookup!$A$2:$C$8,3,FALSE)</f>
        <v>0.2</v>
      </c>
      <c r="P2438">
        <f t="shared" si="115"/>
        <v>1.3464783813728765E-3</v>
      </c>
      <c r="Q2438" t="str">
        <f t="shared" ca="1" si="116"/>
        <v>No</v>
      </c>
    </row>
    <row r="2439" spans="1:17" x14ac:dyDescent="0.45">
      <c r="A2439" t="s">
        <v>116</v>
      </c>
      <c r="B2439" t="s">
        <v>117</v>
      </c>
      <c r="C2439" t="s">
        <v>85</v>
      </c>
      <c r="D2439" t="s">
        <v>20</v>
      </c>
      <c r="E2439" t="s">
        <v>21</v>
      </c>
      <c r="F2439" s="1">
        <v>44958</v>
      </c>
      <c r="G2439">
        <v>5.54</v>
      </c>
      <c r="H2439">
        <v>85.115600000000001</v>
      </c>
      <c r="I2439">
        <v>14.66</v>
      </c>
      <c r="J2439">
        <v>81.42</v>
      </c>
      <c r="K2439" t="s">
        <v>82</v>
      </c>
      <c r="L2439">
        <v>818.64</v>
      </c>
      <c r="M2439">
        <f>VLOOKUP(K2439,RatingLookup!$A$2:$C$8,2,FALSE)</f>
        <v>1E-4</v>
      </c>
      <c r="N2439">
        <f t="shared" si="114"/>
        <v>8.3337153021778576E-6</v>
      </c>
      <c r="O2439">
        <f>VLOOKUP(K2439,RatingLookup!$A$2:$C$8,3,FALSE)</f>
        <v>0.2</v>
      </c>
      <c r="P2439">
        <f t="shared" si="115"/>
        <v>1.3644625389949764E-3</v>
      </c>
      <c r="Q2439" t="str">
        <f t="shared" ca="1" si="116"/>
        <v>No</v>
      </c>
    </row>
    <row r="2440" spans="1:17" x14ac:dyDescent="0.45">
      <c r="A2440" t="s">
        <v>116</v>
      </c>
      <c r="B2440" t="s">
        <v>117</v>
      </c>
      <c r="C2440" t="s">
        <v>85</v>
      </c>
      <c r="D2440" t="s">
        <v>20</v>
      </c>
      <c r="E2440" t="s">
        <v>21</v>
      </c>
      <c r="F2440" s="1">
        <v>44986</v>
      </c>
      <c r="G2440">
        <v>5.4</v>
      </c>
      <c r="H2440">
        <v>79.470200000000006</v>
      </c>
      <c r="I2440">
        <v>12.94</v>
      </c>
      <c r="J2440">
        <v>78.989999999999995</v>
      </c>
      <c r="K2440" t="s">
        <v>82</v>
      </c>
      <c r="L2440">
        <v>708.64</v>
      </c>
      <c r="M2440">
        <f>VLOOKUP(K2440,RatingLookup!$A$2:$C$8,2,FALSE)</f>
        <v>1E-4</v>
      </c>
      <c r="N2440">
        <f t="shared" si="114"/>
        <v>8.3337153021778576E-6</v>
      </c>
      <c r="O2440">
        <f>VLOOKUP(K2440,RatingLookup!$A$2:$C$8,3,FALSE)</f>
        <v>0.2</v>
      </c>
      <c r="P2440">
        <f t="shared" si="115"/>
        <v>1.1811208023470635E-3</v>
      </c>
      <c r="Q2440" t="str">
        <f t="shared" ca="1" si="116"/>
        <v>No</v>
      </c>
    </row>
    <row r="2441" spans="1:17" x14ac:dyDescent="0.45">
      <c r="A2441" t="s">
        <v>116</v>
      </c>
      <c r="B2441" t="s">
        <v>117</v>
      </c>
      <c r="C2441" t="s">
        <v>85</v>
      </c>
      <c r="D2441" t="s">
        <v>20</v>
      </c>
      <c r="E2441" t="s">
        <v>21</v>
      </c>
      <c r="F2441" s="1">
        <v>45017</v>
      </c>
      <c r="G2441">
        <v>5.75</v>
      </c>
      <c r="H2441">
        <v>82.561899999999994</v>
      </c>
      <c r="I2441">
        <v>13.08</v>
      </c>
      <c r="J2441">
        <v>68.599999999999994</v>
      </c>
      <c r="K2441" t="s">
        <v>48</v>
      </c>
      <c r="L2441">
        <v>724.15</v>
      </c>
      <c r="M2441">
        <f>VLOOKUP(K2441,RatingLookup!$A$2:$C$8,2,FALSE)</f>
        <v>5.0000000000000001E-4</v>
      </c>
      <c r="N2441">
        <f t="shared" si="114"/>
        <v>4.167621832917856E-5</v>
      </c>
      <c r="O2441">
        <f>VLOOKUP(K2441,RatingLookup!$A$2:$C$8,3,FALSE)</f>
        <v>0.25</v>
      </c>
      <c r="P2441">
        <f t="shared" si="115"/>
        <v>7.5449583757686636E-3</v>
      </c>
      <c r="Q2441" t="str">
        <f t="shared" ca="1" si="116"/>
        <v>No</v>
      </c>
    </row>
    <row r="2442" spans="1:17" x14ac:dyDescent="0.45">
      <c r="A2442" t="s">
        <v>116</v>
      </c>
      <c r="B2442" t="s">
        <v>117</v>
      </c>
      <c r="C2442" t="s">
        <v>85</v>
      </c>
      <c r="D2442" t="s">
        <v>20</v>
      </c>
      <c r="E2442" t="s">
        <v>21</v>
      </c>
      <c r="F2442" s="1">
        <v>45047</v>
      </c>
      <c r="G2442">
        <v>5.75</v>
      </c>
      <c r="H2442">
        <v>83.197900000000004</v>
      </c>
      <c r="I2442">
        <v>20.309999999999999</v>
      </c>
      <c r="J2442">
        <v>85.32</v>
      </c>
      <c r="K2442" t="s">
        <v>48</v>
      </c>
      <c r="L2442">
        <v>839.61</v>
      </c>
      <c r="M2442">
        <f>VLOOKUP(K2442,RatingLookup!$A$2:$C$8,2,FALSE)</f>
        <v>5.0000000000000001E-4</v>
      </c>
      <c r="N2442">
        <f t="shared" si="114"/>
        <v>4.167621832917856E-5</v>
      </c>
      <c r="O2442">
        <f>VLOOKUP(K2442,RatingLookup!$A$2:$C$8,3,FALSE)</f>
        <v>0.25</v>
      </c>
      <c r="P2442">
        <f t="shared" si="115"/>
        <v>8.7479424178404028E-3</v>
      </c>
      <c r="Q2442" t="str">
        <f t="shared" ca="1" si="116"/>
        <v>No</v>
      </c>
    </row>
    <row r="2443" spans="1:17" x14ac:dyDescent="0.45">
      <c r="A2443" t="s">
        <v>116</v>
      </c>
      <c r="B2443" t="s">
        <v>117</v>
      </c>
      <c r="C2443" t="s">
        <v>85</v>
      </c>
      <c r="D2443" t="s">
        <v>20</v>
      </c>
      <c r="E2443" t="s">
        <v>21</v>
      </c>
      <c r="F2443" s="1">
        <v>45078</v>
      </c>
      <c r="G2443">
        <v>5.52</v>
      </c>
      <c r="H2443">
        <v>83.188299999999998</v>
      </c>
      <c r="I2443">
        <v>18.940000000000001</v>
      </c>
      <c r="J2443">
        <v>80.099999999999994</v>
      </c>
      <c r="K2443" t="s">
        <v>48</v>
      </c>
      <c r="L2443">
        <v>851.51</v>
      </c>
      <c r="M2443">
        <f>VLOOKUP(K2443,RatingLookup!$A$2:$C$8,2,FALSE)</f>
        <v>5.0000000000000001E-4</v>
      </c>
      <c r="N2443">
        <f t="shared" si="114"/>
        <v>4.167621832917856E-5</v>
      </c>
      <c r="O2443">
        <f>VLOOKUP(K2443,RatingLookup!$A$2:$C$8,3,FALSE)</f>
        <v>0.25</v>
      </c>
      <c r="P2443">
        <f t="shared" si="115"/>
        <v>8.871929167369709E-3</v>
      </c>
      <c r="Q2443" t="str">
        <f t="shared" ca="1" si="116"/>
        <v>No</v>
      </c>
    </row>
    <row r="2444" spans="1:17" x14ac:dyDescent="0.45">
      <c r="A2444" t="s">
        <v>116</v>
      </c>
      <c r="B2444" t="s">
        <v>117</v>
      </c>
      <c r="C2444" t="s">
        <v>85</v>
      </c>
      <c r="D2444" t="s">
        <v>20</v>
      </c>
      <c r="E2444" t="s">
        <v>21</v>
      </c>
      <c r="F2444" s="1">
        <v>45108</v>
      </c>
      <c r="G2444">
        <v>5.63</v>
      </c>
      <c r="H2444">
        <v>82.857500000000002</v>
      </c>
      <c r="I2444">
        <v>26.4</v>
      </c>
      <c r="J2444">
        <v>78.84</v>
      </c>
      <c r="K2444" t="s">
        <v>48</v>
      </c>
      <c r="L2444">
        <v>798.65</v>
      </c>
      <c r="M2444">
        <f>VLOOKUP(K2444,RatingLookup!$A$2:$C$8,2,FALSE)</f>
        <v>5.0000000000000001E-4</v>
      </c>
      <c r="N2444">
        <f t="shared" si="114"/>
        <v>4.167621832917856E-5</v>
      </c>
      <c r="O2444">
        <f>VLOOKUP(K2444,RatingLookup!$A$2:$C$8,3,FALSE)</f>
        <v>0.25</v>
      </c>
      <c r="P2444">
        <f t="shared" si="115"/>
        <v>8.3211779421496143E-3</v>
      </c>
      <c r="Q2444" t="str">
        <f t="shared" ca="1" si="116"/>
        <v>No</v>
      </c>
    </row>
    <row r="2445" spans="1:17" x14ac:dyDescent="0.45">
      <c r="A2445" t="s">
        <v>116</v>
      </c>
      <c r="B2445" t="s">
        <v>117</v>
      </c>
      <c r="C2445" t="s">
        <v>85</v>
      </c>
      <c r="D2445" t="s">
        <v>20</v>
      </c>
      <c r="E2445" t="s">
        <v>21</v>
      </c>
      <c r="F2445" s="1">
        <v>45139</v>
      </c>
      <c r="G2445">
        <v>5.1100000000000003</v>
      </c>
      <c r="H2445">
        <v>82.096599999999995</v>
      </c>
      <c r="I2445">
        <v>12.53</v>
      </c>
      <c r="J2445">
        <v>76.290000000000006</v>
      </c>
      <c r="K2445" t="s">
        <v>48</v>
      </c>
      <c r="L2445">
        <v>768.4</v>
      </c>
      <c r="M2445">
        <f>VLOOKUP(K2445,RatingLookup!$A$2:$C$8,2,FALSE)</f>
        <v>5.0000000000000001E-4</v>
      </c>
      <c r="N2445">
        <f t="shared" si="114"/>
        <v>4.167621832917856E-5</v>
      </c>
      <c r="O2445">
        <f>VLOOKUP(K2445,RatingLookup!$A$2:$C$8,3,FALSE)</f>
        <v>0.25</v>
      </c>
      <c r="P2445">
        <f t="shared" si="115"/>
        <v>8.0060015410352015E-3</v>
      </c>
      <c r="Q2445" t="str">
        <f t="shared" ca="1" si="116"/>
        <v>No</v>
      </c>
    </row>
    <row r="2446" spans="1:17" x14ac:dyDescent="0.45">
      <c r="A2446" t="s">
        <v>116</v>
      </c>
      <c r="B2446" t="s">
        <v>117</v>
      </c>
      <c r="C2446" t="s">
        <v>85</v>
      </c>
      <c r="D2446" t="s">
        <v>20</v>
      </c>
      <c r="E2446" t="s">
        <v>21</v>
      </c>
      <c r="F2446" s="1">
        <v>45170</v>
      </c>
      <c r="G2446">
        <v>5.44</v>
      </c>
      <c r="H2446">
        <v>85.066299999999998</v>
      </c>
      <c r="I2446">
        <v>15.68</v>
      </c>
      <c r="J2446">
        <v>83.7</v>
      </c>
      <c r="K2446" t="s">
        <v>23</v>
      </c>
      <c r="L2446">
        <v>758.65</v>
      </c>
      <c r="M2446">
        <f>VLOOKUP(K2446,RatingLookup!$A$2:$C$8,2,FALSE)</f>
        <v>1E-3</v>
      </c>
      <c r="N2446">
        <f t="shared" si="114"/>
        <v>8.3371552197619714E-5</v>
      </c>
      <c r="O2446">
        <f>VLOOKUP(K2446,RatingLookup!$A$2:$C$8,3,FALSE)</f>
        <v>0.3</v>
      </c>
      <c r="P2446">
        <f t="shared" si="115"/>
        <v>1.8974948422417256E-2</v>
      </c>
      <c r="Q2446" t="str">
        <f t="shared" ca="1" si="116"/>
        <v>No</v>
      </c>
    </row>
    <row r="2447" spans="1:17" x14ac:dyDescent="0.45">
      <c r="A2447" t="s">
        <v>116</v>
      </c>
      <c r="B2447" t="s">
        <v>117</v>
      </c>
      <c r="C2447" t="s">
        <v>85</v>
      </c>
      <c r="D2447" t="s">
        <v>20</v>
      </c>
      <c r="E2447" t="s">
        <v>21</v>
      </c>
      <c r="F2447" s="1">
        <v>45200</v>
      </c>
      <c r="G2447">
        <v>6.57</v>
      </c>
      <c r="H2447">
        <v>87.2363</v>
      </c>
      <c r="I2447">
        <v>22.01</v>
      </c>
      <c r="J2447">
        <v>72.56</v>
      </c>
      <c r="K2447" t="s">
        <v>23</v>
      </c>
      <c r="L2447">
        <v>786.83</v>
      </c>
      <c r="M2447">
        <f>VLOOKUP(K2447,RatingLookup!$A$2:$C$8,2,FALSE)</f>
        <v>1E-3</v>
      </c>
      <c r="N2447">
        <f t="shared" si="114"/>
        <v>8.3371552197619714E-5</v>
      </c>
      <c r="O2447">
        <f>VLOOKUP(K2447,RatingLookup!$A$2:$C$8,3,FALSE)</f>
        <v>0.3</v>
      </c>
      <c r="P2447">
        <f t="shared" si="115"/>
        <v>1.9679771524695938E-2</v>
      </c>
      <c r="Q2447" t="str">
        <f t="shared" ca="1" si="116"/>
        <v>No</v>
      </c>
    </row>
    <row r="2448" spans="1:17" x14ac:dyDescent="0.45">
      <c r="A2448" t="s">
        <v>116</v>
      </c>
      <c r="B2448" t="s">
        <v>117</v>
      </c>
      <c r="C2448" t="s">
        <v>85</v>
      </c>
      <c r="D2448" t="s">
        <v>20</v>
      </c>
      <c r="E2448" t="s">
        <v>21</v>
      </c>
      <c r="F2448" s="1">
        <v>45231</v>
      </c>
      <c r="G2448">
        <v>6.23</v>
      </c>
      <c r="H2448">
        <v>80.6738</v>
      </c>
      <c r="I2448">
        <v>10.89</v>
      </c>
      <c r="J2448">
        <v>85.96</v>
      </c>
      <c r="K2448" t="s">
        <v>23</v>
      </c>
      <c r="L2448">
        <v>861.75</v>
      </c>
      <c r="M2448">
        <f>VLOOKUP(K2448,RatingLookup!$A$2:$C$8,2,FALSE)</f>
        <v>1E-3</v>
      </c>
      <c r="N2448">
        <f t="shared" si="114"/>
        <v>8.3371552197619714E-5</v>
      </c>
      <c r="O2448">
        <f>VLOOKUP(K2448,RatingLookup!$A$2:$C$8,3,FALSE)</f>
        <v>0.3</v>
      </c>
      <c r="P2448">
        <f t="shared" si="115"/>
        <v>2.1553630531889637E-2</v>
      </c>
      <c r="Q2448" t="str">
        <f t="shared" ca="1" si="116"/>
        <v>No</v>
      </c>
    </row>
    <row r="2449" spans="1:17" x14ac:dyDescent="0.45">
      <c r="A2449" t="s">
        <v>116</v>
      </c>
      <c r="B2449" t="s">
        <v>117</v>
      </c>
      <c r="C2449" t="s">
        <v>85</v>
      </c>
      <c r="D2449" t="s">
        <v>20</v>
      </c>
      <c r="E2449" t="s">
        <v>21</v>
      </c>
      <c r="F2449" s="1">
        <v>45261</v>
      </c>
      <c r="G2449">
        <v>6.19</v>
      </c>
      <c r="H2449">
        <v>80.688999999999993</v>
      </c>
      <c r="I2449">
        <v>17.07</v>
      </c>
      <c r="J2449">
        <v>63.99</v>
      </c>
      <c r="K2449" t="s">
        <v>23</v>
      </c>
      <c r="L2449">
        <v>749.37</v>
      </c>
      <c r="M2449">
        <f>VLOOKUP(K2449,RatingLookup!$A$2:$C$8,2,FALSE)</f>
        <v>1E-3</v>
      </c>
      <c r="N2449">
        <f t="shared" si="114"/>
        <v>8.3371552197619714E-5</v>
      </c>
      <c r="O2449">
        <f>VLOOKUP(K2449,RatingLookup!$A$2:$C$8,3,FALSE)</f>
        <v>0.3</v>
      </c>
      <c r="P2449">
        <f t="shared" si="115"/>
        <v>1.8742842021099083E-2</v>
      </c>
      <c r="Q2449" t="str">
        <f t="shared" ca="1" si="116"/>
        <v>No</v>
      </c>
    </row>
    <row r="2450" spans="1:17" x14ac:dyDescent="0.45">
      <c r="A2450" t="s">
        <v>116</v>
      </c>
      <c r="B2450" t="s">
        <v>117</v>
      </c>
      <c r="C2450" t="s">
        <v>85</v>
      </c>
      <c r="D2450" t="s">
        <v>20</v>
      </c>
      <c r="E2450" t="s">
        <v>21</v>
      </c>
      <c r="F2450" s="1">
        <v>45292</v>
      </c>
      <c r="G2450">
        <v>6.37</v>
      </c>
      <c r="H2450">
        <v>80.796400000000006</v>
      </c>
      <c r="I2450">
        <v>15.67</v>
      </c>
      <c r="J2450">
        <v>85.74</v>
      </c>
      <c r="K2450" t="s">
        <v>23</v>
      </c>
      <c r="L2450">
        <v>838.5</v>
      </c>
      <c r="M2450">
        <f>VLOOKUP(K2450,RatingLookup!$A$2:$C$8,2,FALSE)</f>
        <v>1E-3</v>
      </c>
      <c r="N2450">
        <f t="shared" si="114"/>
        <v>8.3371552197619714E-5</v>
      </c>
      <c r="O2450">
        <f>VLOOKUP(K2450,RatingLookup!$A$2:$C$8,3,FALSE)</f>
        <v>0.3</v>
      </c>
      <c r="P2450">
        <f t="shared" si="115"/>
        <v>2.0972113955311237E-2</v>
      </c>
      <c r="Q2450" t="str">
        <f t="shared" ca="1" si="116"/>
        <v>No</v>
      </c>
    </row>
    <row r="2451" spans="1:17" x14ac:dyDescent="0.45">
      <c r="A2451" t="s">
        <v>116</v>
      </c>
      <c r="B2451" t="s">
        <v>117</v>
      </c>
      <c r="C2451" t="s">
        <v>85</v>
      </c>
      <c r="D2451" t="s">
        <v>20</v>
      </c>
      <c r="E2451" t="s">
        <v>21</v>
      </c>
      <c r="F2451" s="1">
        <v>45323</v>
      </c>
      <c r="G2451">
        <v>4.5199999999999996</v>
      </c>
      <c r="H2451">
        <v>84.9375</v>
      </c>
      <c r="I2451">
        <v>24.86</v>
      </c>
      <c r="J2451">
        <v>79.150000000000006</v>
      </c>
      <c r="K2451" t="s">
        <v>23</v>
      </c>
      <c r="L2451">
        <v>748.75</v>
      </c>
      <c r="M2451">
        <f>VLOOKUP(K2451,RatingLookup!$A$2:$C$8,2,FALSE)</f>
        <v>1E-3</v>
      </c>
      <c r="N2451">
        <f t="shared" si="114"/>
        <v>8.3371552197619714E-5</v>
      </c>
      <c r="O2451">
        <f>VLOOKUP(K2451,RatingLookup!$A$2:$C$8,3,FALSE)</f>
        <v>0.3</v>
      </c>
      <c r="P2451">
        <f t="shared" si="115"/>
        <v>1.8727334912390328E-2</v>
      </c>
      <c r="Q2451" t="str">
        <f t="shared" ca="1" si="116"/>
        <v>No</v>
      </c>
    </row>
    <row r="2452" spans="1:17" x14ac:dyDescent="0.45">
      <c r="A2452" t="s">
        <v>116</v>
      </c>
      <c r="B2452" t="s">
        <v>117</v>
      </c>
      <c r="C2452" t="s">
        <v>85</v>
      </c>
      <c r="D2452" t="s">
        <v>20</v>
      </c>
      <c r="E2452" t="s">
        <v>21</v>
      </c>
      <c r="F2452" s="1">
        <v>45352</v>
      </c>
      <c r="G2452">
        <v>5.33</v>
      </c>
      <c r="H2452">
        <v>81.010000000000005</v>
      </c>
      <c r="I2452">
        <v>24.36</v>
      </c>
      <c r="J2452">
        <v>68.52</v>
      </c>
      <c r="K2452" t="s">
        <v>23</v>
      </c>
      <c r="L2452">
        <v>771.61</v>
      </c>
      <c r="M2452">
        <f>VLOOKUP(K2452,RatingLookup!$A$2:$C$8,2,FALSE)</f>
        <v>1E-3</v>
      </c>
      <c r="N2452">
        <f t="shared" si="114"/>
        <v>8.3371552197619714E-5</v>
      </c>
      <c r="O2452">
        <f>VLOOKUP(K2452,RatingLookup!$A$2:$C$8,3,FALSE)</f>
        <v>0.3</v>
      </c>
      <c r="P2452">
        <f t="shared" si="115"/>
        <v>1.9299097017361606E-2</v>
      </c>
      <c r="Q2452" t="str">
        <f t="shared" ca="1" si="116"/>
        <v>No</v>
      </c>
    </row>
    <row r="2453" spans="1:17" x14ac:dyDescent="0.45">
      <c r="A2453" t="s">
        <v>116</v>
      </c>
      <c r="B2453" t="s">
        <v>117</v>
      </c>
      <c r="C2453" t="s">
        <v>85</v>
      </c>
      <c r="D2453" t="s">
        <v>20</v>
      </c>
      <c r="E2453" t="s">
        <v>21</v>
      </c>
      <c r="F2453" s="1">
        <v>45383</v>
      </c>
      <c r="G2453">
        <v>6.2</v>
      </c>
      <c r="H2453">
        <v>82.995999999999995</v>
      </c>
      <c r="I2453">
        <v>20.48</v>
      </c>
      <c r="J2453">
        <v>88.92</v>
      </c>
      <c r="K2453" t="s">
        <v>23</v>
      </c>
      <c r="L2453">
        <v>811.78</v>
      </c>
      <c r="M2453">
        <f>VLOOKUP(K2453,RatingLookup!$A$2:$C$8,2,FALSE)</f>
        <v>1E-3</v>
      </c>
      <c r="N2453">
        <f t="shared" si="114"/>
        <v>8.3371552197619714E-5</v>
      </c>
      <c r="O2453">
        <f>VLOOKUP(K2453,RatingLookup!$A$2:$C$8,3,FALSE)</f>
        <v>0.3</v>
      </c>
      <c r="P2453">
        <f t="shared" si="115"/>
        <v>2.0303807592895119E-2</v>
      </c>
      <c r="Q2453" t="str">
        <f t="shared" ca="1" si="116"/>
        <v>No</v>
      </c>
    </row>
    <row r="2454" spans="1:17" x14ac:dyDescent="0.45">
      <c r="A2454" t="s">
        <v>116</v>
      </c>
      <c r="B2454" t="s">
        <v>117</v>
      </c>
      <c r="C2454" t="s">
        <v>85</v>
      </c>
      <c r="D2454" t="s">
        <v>20</v>
      </c>
      <c r="E2454" t="s">
        <v>21</v>
      </c>
      <c r="F2454" s="1">
        <v>45413</v>
      </c>
      <c r="G2454">
        <v>4.95</v>
      </c>
      <c r="H2454">
        <v>82.010999999999996</v>
      </c>
      <c r="I2454">
        <v>27.8</v>
      </c>
      <c r="J2454">
        <v>94.96</v>
      </c>
      <c r="K2454" t="s">
        <v>22</v>
      </c>
      <c r="L2454">
        <v>808.05</v>
      </c>
      <c r="M2454">
        <f>VLOOKUP(K2454,RatingLookup!$A$2:$C$8,2,FALSE)</f>
        <v>5.0000000000000001E-3</v>
      </c>
      <c r="N2454">
        <f t="shared" si="114"/>
        <v>4.1762458919303302E-4</v>
      </c>
      <c r="O2454">
        <f>VLOOKUP(K2454,RatingLookup!$A$2:$C$8,3,FALSE)</f>
        <v>0.45</v>
      </c>
      <c r="P2454">
        <f t="shared" si="115"/>
        <v>0.15185769718384365</v>
      </c>
      <c r="Q2454" t="str">
        <f t="shared" ca="1" si="116"/>
        <v>No</v>
      </c>
    </row>
    <row r="2455" spans="1:17" x14ac:dyDescent="0.45">
      <c r="A2455" t="s">
        <v>116</v>
      </c>
      <c r="B2455" t="s">
        <v>117</v>
      </c>
      <c r="C2455" t="s">
        <v>85</v>
      </c>
      <c r="D2455" t="s">
        <v>20</v>
      </c>
      <c r="E2455" t="s">
        <v>21</v>
      </c>
      <c r="F2455" s="1">
        <v>45444</v>
      </c>
      <c r="G2455">
        <v>6.13</v>
      </c>
      <c r="H2455">
        <v>82.144400000000005</v>
      </c>
      <c r="I2455">
        <v>17.8</v>
      </c>
      <c r="J2455">
        <v>84.53</v>
      </c>
      <c r="K2455" t="s">
        <v>30</v>
      </c>
      <c r="L2455">
        <v>797.45</v>
      </c>
      <c r="M2455">
        <f>VLOOKUP(K2455,RatingLookup!$A$2:$C$8,2,FALSE)</f>
        <v>1.4999999999999999E-2</v>
      </c>
      <c r="N2455">
        <f t="shared" si="114"/>
        <v>1.2586770182638762E-3</v>
      </c>
      <c r="O2455">
        <f>VLOOKUP(K2455,RatingLookup!$A$2:$C$8,3,FALSE)</f>
        <v>0.5</v>
      </c>
      <c r="P2455">
        <f t="shared" si="115"/>
        <v>0.50186599410726407</v>
      </c>
      <c r="Q2455" t="str">
        <f t="shared" ca="1" si="116"/>
        <v>No</v>
      </c>
    </row>
    <row r="2456" spans="1:17" x14ac:dyDescent="0.45">
      <c r="A2456" t="s">
        <v>116</v>
      </c>
      <c r="B2456" t="s">
        <v>117</v>
      </c>
      <c r="C2456" t="s">
        <v>85</v>
      </c>
      <c r="D2456" t="s">
        <v>20</v>
      </c>
      <c r="E2456" t="s">
        <v>21</v>
      </c>
      <c r="F2456" s="1">
        <v>45474</v>
      </c>
      <c r="G2456">
        <v>6.19</v>
      </c>
      <c r="H2456">
        <v>84.782499999999999</v>
      </c>
      <c r="I2456">
        <v>14.43</v>
      </c>
      <c r="J2456">
        <v>82.92</v>
      </c>
      <c r="K2456" t="s">
        <v>30</v>
      </c>
      <c r="L2456">
        <v>852.14</v>
      </c>
      <c r="M2456">
        <f>VLOOKUP(K2456,RatingLookup!$A$2:$C$8,2,FALSE)</f>
        <v>1.4999999999999999E-2</v>
      </c>
      <c r="N2456">
        <f t="shared" si="114"/>
        <v>1.2586770182638762E-3</v>
      </c>
      <c r="O2456">
        <f>VLOOKUP(K2456,RatingLookup!$A$2:$C$8,3,FALSE)</f>
        <v>0.5</v>
      </c>
      <c r="P2456">
        <f t="shared" si="115"/>
        <v>0.53628451717168979</v>
      </c>
      <c r="Q2456" t="str">
        <f t="shared" ca="1" si="116"/>
        <v>No</v>
      </c>
    </row>
    <row r="2457" spans="1:17" x14ac:dyDescent="0.45">
      <c r="A2457" t="s">
        <v>116</v>
      </c>
      <c r="B2457" t="s">
        <v>117</v>
      </c>
      <c r="C2457" t="s">
        <v>85</v>
      </c>
      <c r="D2457" t="s">
        <v>20</v>
      </c>
      <c r="E2457" t="s">
        <v>21</v>
      </c>
      <c r="F2457" s="1">
        <v>45505</v>
      </c>
      <c r="G2457">
        <v>5.81</v>
      </c>
      <c r="H2457">
        <v>84.866600000000005</v>
      </c>
      <c r="I2457">
        <v>16.07</v>
      </c>
      <c r="J2457">
        <v>82.07</v>
      </c>
      <c r="K2457" t="s">
        <v>30</v>
      </c>
      <c r="L2457">
        <v>837.95</v>
      </c>
      <c r="M2457">
        <f>VLOOKUP(K2457,RatingLookup!$A$2:$C$8,2,FALSE)</f>
        <v>1.4999999999999999E-2</v>
      </c>
      <c r="N2457">
        <f t="shared" si="114"/>
        <v>1.2586770182638762E-3</v>
      </c>
      <c r="O2457">
        <f>VLOOKUP(K2457,RatingLookup!$A$2:$C$8,3,FALSE)</f>
        <v>0.5</v>
      </c>
      <c r="P2457">
        <f t="shared" si="115"/>
        <v>0.52735420372710762</v>
      </c>
      <c r="Q2457" t="str">
        <f t="shared" ca="1" si="116"/>
        <v>No</v>
      </c>
    </row>
    <row r="2458" spans="1:17" x14ac:dyDescent="0.45">
      <c r="A2458" t="s">
        <v>116</v>
      </c>
      <c r="B2458" t="s">
        <v>117</v>
      </c>
      <c r="C2458" t="s">
        <v>85</v>
      </c>
      <c r="D2458" t="s">
        <v>20</v>
      </c>
      <c r="E2458" t="s">
        <v>21</v>
      </c>
      <c r="F2458" s="1">
        <v>45536</v>
      </c>
      <c r="G2458">
        <v>5.67</v>
      </c>
      <c r="H2458">
        <v>82.143799999999999</v>
      </c>
      <c r="I2458">
        <v>22.61</v>
      </c>
      <c r="J2458">
        <v>94.87</v>
      </c>
      <c r="K2458" t="s">
        <v>30</v>
      </c>
      <c r="L2458">
        <v>831.95</v>
      </c>
      <c r="M2458">
        <f>VLOOKUP(K2458,RatingLookup!$A$2:$C$8,2,FALSE)</f>
        <v>1.4999999999999999E-2</v>
      </c>
      <c r="N2458">
        <f t="shared" si="114"/>
        <v>1.2586770182638762E-3</v>
      </c>
      <c r="O2458">
        <f>VLOOKUP(K2458,RatingLookup!$A$2:$C$8,3,FALSE)</f>
        <v>0.5</v>
      </c>
      <c r="P2458">
        <f t="shared" si="115"/>
        <v>0.52357817267231599</v>
      </c>
      <c r="Q2458" t="str">
        <f t="shared" ca="1" si="116"/>
        <v>No</v>
      </c>
    </row>
    <row r="2459" spans="1:17" x14ac:dyDescent="0.45">
      <c r="A2459" t="s">
        <v>116</v>
      </c>
      <c r="B2459" t="s">
        <v>117</v>
      </c>
      <c r="C2459" t="s">
        <v>85</v>
      </c>
      <c r="D2459" t="s">
        <v>20</v>
      </c>
      <c r="E2459" t="s">
        <v>21</v>
      </c>
      <c r="F2459" s="1">
        <v>45566</v>
      </c>
      <c r="G2459">
        <v>5.01</v>
      </c>
      <c r="H2459">
        <v>82.890900000000002</v>
      </c>
      <c r="I2459">
        <v>24.78</v>
      </c>
      <c r="J2459">
        <v>84.72</v>
      </c>
      <c r="K2459" t="s">
        <v>30</v>
      </c>
      <c r="L2459">
        <v>809.81</v>
      </c>
      <c r="M2459">
        <f>VLOOKUP(K2459,RatingLookup!$A$2:$C$8,2,FALSE)</f>
        <v>1.4999999999999999E-2</v>
      </c>
      <c r="N2459">
        <f t="shared" si="114"/>
        <v>1.2586770182638762E-3</v>
      </c>
      <c r="O2459">
        <f>VLOOKUP(K2459,RatingLookup!$A$2:$C$8,3,FALSE)</f>
        <v>0.5</v>
      </c>
      <c r="P2459">
        <f t="shared" si="115"/>
        <v>0.50964461808013473</v>
      </c>
      <c r="Q2459" t="str">
        <f t="shared" ca="1" si="116"/>
        <v>No</v>
      </c>
    </row>
    <row r="2460" spans="1:17" x14ac:dyDescent="0.45">
      <c r="A2460" t="s">
        <v>116</v>
      </c>
      <c r="B2460" t="s">
        <v>117</v>
      </c>
      <c r="C2460" t="s">
        <v>85</v>
      </c>
      <c r="D2460" t="s">
        <v>20</v>
      </c>
      <c r="E2460" t="s">
        <v>21</v>
      </c>
      <c r="F2460" s="1">
        <v>45597</v>
      </c>
      <c r="G2460">
        <v>4.6100000000000003</v>
      </c>
      <c r="H2460">
        <v>84.365200000000002</v>
      </c>
      <c r="I2460">
        <v>24.55</v>
      </c>
      <c r="J2460">
        <v>90.19</v>
      </c>
      <c r="K2460" t="s">
        <v>30</v>
      </c>
      <c r="L2460">
        <v>783.71</v>
      </c>
      <c r="M2460">
        <f>VLOOKUP(K2460,RatingLookup!$A$2:$C$8,2,FALSE)</f>
        <v>1.4999999999999999E-2</v>
      </c>
      <c r="N2460">
        <f t="shared" si="114"/>
        <v>1.2586770182638762E-3</v>
      </c>
      <c r="O2460">
        <f>VLOOKUP(K2460,RatingLookup!$A$2:$C$8,3,FALSE)</f>
        <v>0.5</v>
      </c>
      <c r="P2460">
        <f t="shared" si="115"/>
        <v>0.49321888299179123</v>
      </c>
      <c r="Q2460" t="str">
        <f t="shared" ca="1" si="116"/>
        <v>No</v>
      </c>
    </row>
    <row r="2461" spans="1:17" x14ac:dyDescent="0.45">
      <c r="A2461" t="s">
        <v>116</v>
      </c>
      <c r="B2461" t="s">
        <v>117</v>
      </c>
      <c r="C2461" t="s">
        <v>85</v>
      </c>
      <c r="D2461" t="s">
        <v>20</v>
      </c>
      <c r="E2461" t="s">
        <v>21</v>
      </c>
      <c r="F2461" s="1">
        <v>45627</v>
      </c>
      <c r="G2461">
        <v>4.99</v>
      </c>
      <c r="H2461">
        <v>80.721999999999994</v>
      </c>
      <c r="I2461">
        <v>25.87</v>
      </c>
      <c r="J2461">
        <v>80.680000000000007</v>
      </c>
      <c r="K2461" t="s">
        <v>30</v>
      </c>
      <c r="L2461">
        <v>779.67</v>
      </c>
      <c r="M2461">
        <f>VLOOKUP(K2461,RatingLookup!$A$2:$C$8,2,FALSE)</f>
        <v>1.4999999999999999E-2</v>
      </c>
      <c r="N2461">
        <f t="shared" si="114"/>
        <v>1.2586770182638762E-3</v>
      </c>
      <c r="O2461">
        <f>VLOOKUP(K2461,RatingLookup!$A$2:$C$8,3,FALSE)</f>
        <v>0.5</v>
      </c>
      <c r="P2461">
        <f t="shared" si="115"/>
        <v>0.49067635541489818</v>
      </c>
      <c r="Q2461" t="str">
        <f t="shared" ca="1" si="116"/>
        <v>No</v>
      </c>
    </row>
    <row r="2462" spans="1:17" x14ac:dyDescent="0.45">
      <c r="A2462" t="s">
        <v>118</v>
      </c>
      <c r="B2462" t="s">
        <v>119</v>
      </c>
      <c r="C2462" t="s">
        <v>66</v>
      </c>
      <c r="D2462" t="s">
        <v>20</v>
      </c>
      <c r="E2462" t="s">
        <v>21</v>
      </c>
      <c r="F2462" s="1">
        <v>43831</v>
      </c>
      <c r="G2462">
        <v>5.0199999999999996</v>
      </c>
      <c r="H2462">
        <v>80.617999999999995</v>
      </c>
      <c r="I2462">
        <v>20.45</v>
      </c>
      <c r="J2462">
        <v>74.010000000000005</v>
      </c>
      <c r="K2462" t="s">
        <v>32</v>
      </c>
      <c r="L2462">
        <v>1433.17</v>
      </c>
      <c r="M2462">
        <f>VLOOKUP(K2462,RatingLookup!$A$2:$C$8,2,FALSE)</f>
        <v>0.12</v>
      </c>
      <c r="N2462">
        <f t="shared" si="114"/>
        <v>1.0596241035318976E-2</v>
      </c>
      <c r="O2462">
        <f>VLOOKUP(K2462,RatingLookup!$A$2:$C$8,3,FALSE)</f>
        <v>0.7</v>
      </c>
      <c r="P2462">
        <f t="shared" si="115"/>
        <v>10.630350335211668</v>
      </c>
      <c r="Q2462" t="str">
        <f t="shared" ca="1" si="116"/>
        <v>No</v>
      </c>
    </row>
    <row r="2463" spans="1:17" x14ac:dyDescent="0.45">
      <c r="A2463" t="s">
        <v>118</v>
      </c>
      <c r="B2463" t="s">
        <v>119</v>
      </c>
      <c r="C2463" t="s">
        <v>66</v>
      </c>
      <c r="D2463" t="s">
        <v>20</v>
      </c>
      <c r="E2463" t="s">
        <v>21</v>
      </c>
      <c r="F2463" s="1">
        <v>43862</v>
      </c>
      <c r="G2463">
        <v>4.76</v>
      </c>
      <c r="H2463">
        <v>81.225300000000004</v>
      </c>
      <c r="I2463">
        <v>24.71</v>
      </c>
      <c r="J2463">
        <v>73.099999999999994</v>
      </c>
      <c r="K2463" t="s">
        <v>32</v>
      </c>
      <c r="L2463">
        <v>1508.84</v>
      </c>
      <c r="M2463">
        <f>VLOOKUP(K2463,RatingLookup!$A$2:$C$8,2,FALSE)</f>
        <v>0.12</v>
      </c>
      <c r="N2463">
        <f t="shared" si="114"/>
        <v>1.0596241035318976E-2</v>
      </c>
      <c r="O2463">
        <f>VLOOKUP(K2463,RatingLookup!$A$2:$C$8,3,FALSE)</f>
        <v>0.7</v>
      </c>
      <c r="P2463">
        <f t="shared" si="115"/>
        <v>11.191622626611478</v>
      </c>
      <c r="Q2463" t="str">
        <f t="shared" ca="1" si="116"/>
        <v>No</v>
      </c>
    </row>
    <row r="2464" spans="1:17" x14ac:dyDescent="0.45">
      <c r="A2464" t="s">
        <v>118</v>
      </c>
      <c r="B2464" t="s">
        <v>119</v>
      </c>
      <c r="C2464" t="s">
        <v>66</v>
      </c>
      <c r="D2464" t="s">
        <v>20</v>
      </c>
      <c r="E2464" t="s">
        <v>21</v>
      </c>
      <c r="F2464" s="1">
        <v>43891</v>
      </c>
      <c r="G2464">
        <v>5.52</v>
      </c>
      <c r="H2464">
        <v>78.576899999999995</v>
      </c>
      <c r="I2464">
        <v>28.58</v>
      </c>
      <c r="J2464">
        <v>71.12</v>
      </c>
      <c r="K2464" t="s">
        <v>32</v>
      </c>
      <c r="L2464">
        <v>1497.37</v>
      </c>
      <c r="M2464">
        <f>VLOOKUP(K2464,RatingLookup!$A$2:$C$8,2,FALSE)</f>
        <v>0.12</v>
      </c>
      <c r="N2464">
        <f t="shared" si="114"/>
        <v>1.0596241035318976E-2</v>
      </c>
      <c r="O2464">
        <f>VLOOKUP(K2464,RatingLookup!$A$2:$C$8,3,FALSE)</f>
        <v>0.7</v>
      </c>
      <c r="P2464">
        <f t="shared" si="115"/>
        <v>11.106545407338901</v>
      </c>
      <c r="Q2464" t="str">
        <f t="shared" ca="1" si="116"/>
        <v>No</v>
      </c>
    </row>
    <row r="2465" spans="1:17" x14ac:dyDescent="0.45">
      <c r="A2465" t="s">
        <v>118</v>
      </c>
      <c r="B2465" t="s">
        <v>119</v>
      </c>
      <c r="C2465" t="s">
        <v>66</v>
      </c>
      <c r="D2465" t="s">
        <v>20</v>
      </c>
      <c r="E2465" t="s">
        <v>21</v>
      </c>
      <c r="F2465" s="1">
        <v>43922</v>
      </c>
      <c r="G2465">
        <v>5.1100000000000003</v>
      </c>
      <c r="H2465">
        <v>85.315700000000007</v>
      </c>
      <c r="I2465">
        <v>16.23</v>
      </c>
      <c r="J2465">
        <v>69.959999999999994</v>
      </c>
      <c r="K2465" t="s">
        <v>32</v>
      </c>
      <c r="L2465">
        <v>1452.06</v>
      </c>
      <c r="M2465">
        <f>VLOOKUP(K2465,RatingLookup!$A$2:$C$8,2,FALSE)</f>
        <v>0.12</v>
      </c>
      <c r="N2465">
        <f t="shared" si="114"/>
        <v>1.0596241035318976E-2</v>
      </c>
      <c r="O2465">
        <f>VLOOKUP(K2465,RatingLookup!$A$2:$C$8,3,FALSE)</f>
        <v>0.7</v>
      </c>
      <c r="P2465">
        <f t="shared" si="115"/>
        <v>10.77046443042169</v>
      </c>
      <c r="Q2465" t="str">
        <f t="shared" ca="1" si="116"/>
        <v>No</v>
      </c>
    </row>
    <row r="2466" spans="1:17" x14ac:dyDescent="0.45">
      <c r="A2466" t="s">
        <v>118</v>
      </c>
      <c r="B2466" t="s">
        <v>119</v>
      </c>
      <c r="C2466" t="s">
        <v>66</v>
      </c>
      <c r="D2466" t="s">
        <v>20</v>
      </c>
      <c r="E2466" t="s">
        <v>21</v>
      </c>
      <c r="F2466" s="1">
        <v>43952</v>
      </c>
      <c r="G2466">
        <v>5.18</v>
      </c>
      <c r="H2466">
        <v>78.853099999999998</v>
      </c>
      <c r="I2466">
        <v>7.2</v>
      </c>
      <c r="J2466">
        <v>88.45</v>
      </c>
      <c r="K2466" t="s">
        <v>32</v>
      </c>
      <c r="L2466">
        <v>1497.08</v>
      </c>
      <c r="M2466">
        <f>VLOOKUP(K2466,RatingLookup!$A$2:$C$8,2,FALSE)</f>
        <v>0.12</v>
      </c>
      <c r="N2466">
        <f t="shared" si="114"/>
        <v>1.0596241035318976E-2</v>
      </c>
      <c r="O2466">
        <f>VLOOKUP(K2466,RatingLookup!$A$2:$C$8,3,FALSE)</f>
        <v>0.7</v>
      </c>
      <c r="P2466">
        <f t="shared" si="115"/>
        <v>11.104394370408732</v>
      </c>
      <c r="Q2466" t="str">
        <f t="shared" ca="1" si="116"/>
        <v>No</v>
      </c>
    </row>
    <row r="2467" spans="1:17" x14ac:dyDescent="0.45">
      <c r="A2467" t="s">
        <v>118</v>
      </c>
      <c r="B2467" t="s">
        <v>119</v>
      </c>
      <c r="C2467" t="s">
        <v>66</v>
      </c>
      <c r="D2467" t="s">
        <v>20</v>
      </c>
      <c r="E2467" t="s">
        <v>21</v>
      </c>
      <c r="F2467" s="1">
        <v>43983</v>
      </c>
      <c r="G2467">
        <v>4.8</v>
      </c>
      <c r="H2467">
        <v>80.483599999999996</v>
      </c>
      <c r="I2467">
        <v>21.55</v>
      </c>
      <c r="J2467">
        <v>71.28</v>
      </c>
      <c r="K2467" t="s">
        <v>32</v>
      </c>
      <c r="L2467">
        <v>1429.37</v>
      </c>
      <c r="M2467">
        <f>VLOOKUP(K2467,RatingLookup!$A$2:$C$8,2,FALSE)</f>
        <v>0.12</v>
      </c>
      <c r="N2467">
        <f t="shared" si="114"/>
        <v>1.0596241035318976E-2</v>
      </c>
      <c r="O2467">
        <f>VLOOKUP(K2467,RatingLookup!$A$2:$C$8,3,FALSE)</f>
        <v>0.7</v>
      </c>
      <c r="P2467">
        <f t="shared" si="115"/>
        <v>10.602164334057719</v>
      </c>
      <c r="Q2467" t="str">
        <f t="shared" ca="1" si="116"/>
        <v>No</v>
      </c>
    </row>
    <row r="2468" spans="1:17" x14ac:dyDescent="0.45">
      <c r="A2468" t="s">
        <v>118</v>
      </c>
      <c r="B2468" t="s">
        <v>119</v>
      </c>
      <c r="C2468" t="s">
        <v>66</v>
      </c>
      <c r="D2468" t="s">
        <v>20</v>
      </c>
      <c r="E2468" t="s">
        <v>21</v>
      </c>
      <c r="F2468" s="1">
        <v>44013</v>
      </c>
      <c r="G2468">
        <v>5.51</v>
      </c>
      <c r="H2468">
        <v>84.892600000000002</v>
      </c>
      <c r="I2468">
        <v>20.190000000000001</v>
      </c>
      <c r="J2468">
        <v>82.2</v>
      </c>
      <c r="K2468" t="s">
        <v>31</v>
      </c>
      <c r="L2468">
        <v>1513.24</v>
      </c>
      <c r="M2468">
        <f>VLOOKUP(K2468,RatingLookup!$A$2:$C$8,2,FALSE)</f>
        <v>0.04</v>
      </c>
      <c r="N2468">
        <f t="shared" si="114"/>
        <v>3.3960531989175591E-3</v>
      </c>
      <c r="O2468">
        <f>VLOOKUP(K2468,RatingLookup!$A$2:$C$8,3,FALSE)</f>
        <v>0.6</v>
      </c>
      <c r="P2468">
        <f t="shared" si="115"/>
        <v>3.0834261256380038</v>
      </c>
      <c r="Q2468" t="str">
        <f t="shared" ca="1" si="116"/>
        <v>No</v>
      </c>
    </row>
    <row r="2469" spans="1:17" x14ac:dyDescent="0.45">
      <c r="A2469" t="s">
        <v>118</v>
      </c>
      <c r="B2469" t="s">
        <v>119</v>
      </c>
      <c r="C2469" t="s">
        <v>66</v>
      </c>
      <c r="D2469" t="s">
        <v>20</v>
      </c>
      <c r="E2469" t="s">
        <v>21</v>
      </c>
      <c r="F2469" s="1">
        <v>44044</v>
      </c>
      <c r="G2469">
        <v>6.62</v>
      </c>
      <c r="H2469">
        <v>82.759500000000003</v>
      </c>
      <c r="I2469">
        <v>22.57</v>
      </c>
      <c r="J2469">
        <v>79.040000000000006</v>
      </c>
      <c r="K2469" t="s">
        <v>31</v>
      </c>
      <c r="L2469">
        <v>1498.18</v>
      </c>
      <c r="M2469">
        <f>VLOOKUP(K2469,RatingLookup!$A$2:$C$8,2,FALSE)</f>
        <v>0.04</v>
      </c>
      <c r="N2469">
        <f t="shared" si="114"/>
        <v>3.3960531989175591E-3</v>
      </c>
      <c r="O2469">
        <f>VLOOKUP(K2469,RatingLookup!$A$2:$C$8,3,FALSE)</f>
        <v>0.6</v>
      </c>
      <c r="P2469">
        <f t="shared" si="115"/>
        <v>3.0527393889325851</v>
      </c>
      <c r="Q2469" t="str">
        <f t="shared" ca="1" si="116"/>
        <v>No</v>
      </c>
    </row>
    <row r="2470" spans="1:17" x14ac:dyDescent="0.45">
      <c r="A2470" t="s">
        <v>118</v>
      </c>
      <c r="B2470" t="s">
        <v>119</v>
      </c>
      <c r="C2470" t="s">
        <v>66</v>
      </c>
      <c r="D2470" t="s">
        <v>20</v>
      </c>
      <c r="E2470" t="s">
        <v>21</v>
      </c>
      <c r="F2470" s="1">
        <v>44075</v>
      </c>
      <c r="G2470">
        <v>5.88</v>
      </c>
      <c r="H2470">
        <v>85.818200000000004</v>
      </c>
      <c r="I2470">
        <v>19.32</v>
      </c>
      <c r="J2470">
        <v>64.83</v>
      </c>
      <c r="K2470" t="s">
        <v>31</v>
      </c>
      <c r="L2470">
        <v>1514.52</v>
      </c>
      <c r="M2470">
        <f>VLOOKUP(K2470,RatingLookup!$A$2:$C$8,2,FALSE)</f>
        <v>0.04</v>
      </c>
      <c r="N2470">
        <f t="shared" si="114"/>
        <v>3.3960531989175591E-3</v>
      </c>
      <c r="O2470">
        <f>VLOOKUP(K2470,RatingLookup!$A$2:$C$8,3,FALSE)</f>
        <v>0.6</v>
      </c>
      <c r="P2470">
        <f t="shared" si="115"/>
        <v>3.0860342944947727</v>
      </c>
      <c r="Q2470" t="str">
        <f t="shared" ca="1" si="116"/>
        <v>No</v>
      </c>
    </row>
    <row r="2471" spans="1:17" x14ac:dyDescent="0.45">
      <c r="A2471" t="s">
        <v>118</v>
      </c>
      <c r="B2471" t="s">
        <v>119</v>
      </c>
      <c r="C2471" t="s">
        <v>66</v>
      </c>
      <c r="D2471" t="s">
        <v>20</v>
      </c>
      <c r="E2471" t="s">
        <v>21</v>
      </c>
      <c r="F2471" s="1">
        <v>44105</v>
      </c>
      <c r="G2471">
        <v>5.23</v>
      </c>
      <c r="H2471">
        <v>79.923199999999994</v>
      </c>
      <c r="I2471">
        <v>5</v>
      </c>
      <c r="J2471">
        <v>90.65</v>
      </c>
      <c r="K2471" t="s">
        <v>31</v>
      </c>
      <c r="L2471">
        <v>1466.59</v>
      </c>
      <c r="M2471">
        <f>VLOOKUP(K2471,RatingLookup!$A$2:$C$8,2,FALSE)</f>
        <v>0.04</v>
      </c>
      <c r="N2471">
        <f t="shared" si="114"/>
        <v>3.3960531989175591E-3</v>
      </c>
      <c r="O2471">
        <f>VLOOKUP(K2471,RatingLookup!$A$2:$C$8,3,FALSE)</f>
        <v>0.6</v>
      </c>
      <c r="P2471">
        <f t="shared" si="115"/>
        <v>2.9883705966003018</v>
      </c>
      <c r="Q2471" t="str">
        <f t="shared" ca="1" si="116"/>
        <v>No</v>
      </c>
    </row>
    <row r="2472" spans="1:17" x14ac:dyDescent="0.45">
      <c r="A2472" t="s">
        <v>118</v>
      </c>
      <c r="B2472" t="s">
        <v>119</v>
      </c>
      <c r="C2472" t="s">
        <v>66</v>
      </c>
      <c r="D2472" t="s">
        <v>20</v>
      </c>
      <c r="E2472" t="s">
        <v>21</v>
      </c>
      <c r="F2472" s="1">
        <v>44136</v>
      </c>
      <c r="G2472">
        <v>4.47</v>
      </c>
      <c r="H2472">
        <v>82.647000000000006</v>
      </c>
      <c r="I2472">
        <v>21.89</v>
      </c>
      <c r="J2472">
        <v>74.22</v>
      </c>
      <c r="K2472" t="s">
        <v>31</v>
      </c>
      <c r="L2472">
        <v>1409.78</v>
      </c>
      <c r="M2472">
        <f>VLOOKUP(K2472,RatingLookup!$A$2:$C$8,2,FALSE)</f>
        <v>0.04</v>
      </c>
      <c r="N2472">
        <f t="shared" si="114"/>
        <v>3.3960531989175591E-3</v>
      </c>
      <c r="O2472">
        <f>VLOOKUP(K2472,RatingLookup!$A$2:$C$8,3,FALSE)</f>
        <v>0.6</v>
      </c>
      <c r="P2472">
        <f t="shared" si="115"/>
        <v>2.8726127272619979</v>
      </c>
      <c r="Q2472" t="str">
        <f t="shared" ca="1" si="116"/>
        <v>No</v>
      </c>
    </row>
    <row r="2473" spans="1:17" x14ac:dyDescent="0.45">
      <c r="A2473" t="s">
        <v>118</v>
      </c>
      <c r="B2473" t="s">
        <v>119</v>
      </c>
      <c r="C2473" t="s">
        <v>66</v>
      </c>
      <c r="D2473" t="s">
        <v>20</v>
      </c>
      <c r="E2473" t="s">
        <v>21</v>
      </c>
      <c r="F2473" s="1">
        <v>44166</v>
      </c>
      <c r="G2473">
        <v>4.6500000000000004</v>
      </c>
      <c r="H2473">
        <v>78.527799999999999</v>
      </c>
      <c r="I2473">
        <v>31.54</v>
      </c>
      <c r="J2473">
        <v>83.63</v>
      </c>
      <c r="K2473" t="s">
        <v>32</v>
      </c>
      <c r="L2473">
        <v>1459.96</v>
      </c>
      <c r="M2473">
        <f>VLOOKUP(K2473,RatingLookup!$A$2:$C$8,2,FALSE)</f>
        <v>0.12</v>
      </c>
      <c r="N2473">
        <f t="shared" si="114"/>
        <v>1.0596241035318976E-2</v>
      </c>
      <c r="O2473">
        <f>VLOOKUP(K2473,RatingLookup!$A$2:$C$8,3,FALSE)</f>
        <v>0.7</v>
      </c>
      <c r="P2473">
        <f t="shared" si="115"/>
        <v>10.829061643347005</v>
      </c>
      <c r="Q2473" t="str">
        <f t="shared" ca="1" si="116"/>
        <v>No</v>
      </c>
    </row>
    <row r="2474" spans="1:17" x14ac:dyDescent="0.45">
      <c r="A2474" t="s">
        <v>118</v>
      </c>
      <c r="B2474" t="s">
        <v>119</v>
      </c>
      <c r="C2474" t="s">
        <v>66</v>
      </c>
      <c r="D2474" t="s">
        <v>20</v>
      </c>
      <c r="E2474" t="s">
        <v>21</v>
      </c>
      <c r="F2474" s="1">
        <v>44197</v>
      </c>
      <c r="G2474">
        <v>4.8600000000000003</v>
      </c>
      <c r="H2474">
        <v>82.949200000000005</v>
      </c>
      <c r="I2474">
        <v>21.07</v>
      </c>
      <c r="J2474">
        <v>66.3</v>
      </c>
      <c r="K2474" t="s">
        <v>32</v>
      </c>
      <c r="L2474">
        <v>1423.55</v>
      </c>
      <c r="M2474">
        <f>VLOOKUP(K2474,RatingLookup!$A$2:$C$8,2,FALSE)</f>
        <v>0.12</v>
      </c>
      <c r="N2474">
        <f t="shared" si="114"/>
        <v>1.0596241035318976E-2</v>
      </c>
      <c r="O2474">
        <f>VLOOKUP(K2474,RatingLookup!$A$2:$C$8,3,FALSE)</f>
        <v>0.7</v>
      </c>
      <c r="P2474">
        <f t="shared" si="115"/>
        <v>10.55899524807983</v>
      </c>
      <c r="Q2474" t="str">
        <f t="shared" ca="1" si="116"/>
        <v>No</v>
      </c>
    </row>
    <row r="2475" spans="1:17" x14ac:dyDescent="0.45">
      <c r="A2475" t="s">
        <v>118</v>
      </c>
      <c r="B2475" t="s">
        <v>119</v>
      </c>
      <c r="C2475" t="s">
        <v>66</v>
      </c>
      <c r="D2475" t="s">
        <v>20</v>
      </c>
      <c r="E2475" t="s">
        <v>21</v>
      </c>
      <c r="F2475" s="1">
        <v>44228</v>
      </c>
      <c r="G2475">
        <v>4.96</v>
      </c>
      <c r="H2475">
        <v>82.421300000000002</v>
      </c>
      <c r="I2475">
        <v>18.72</v>
      </c>
      <c r="J2475">
        <v>97.94</v>
      </c>
      <c r="K2475" t="s">
        <v>32</v>
      </c>
      <c r="L2475">
        <v>1351.35</v>
      </c>
      <c r="M2475">
        <f>VLOOKUP(K2475,RatingLookup!$A$2:$C$8,2,FALSE)</f>
        <v>0.12</v>
      </c>
      <c r="N2475">
        <f t="shared" si="114"/>
        <v>1.0596241035318976E-2</v>
      </c>
      <c r="O2475">
        <f>VLOOKUP(K2475,RatingLookup!$A$2:$C$8,3,FALSE)</f>
        <v>0.7</v>
      </c>
      <c r="P2475">
        <f t="shared" si="115"/>
        <v>10.023461226154808</v>
      </c>
      <c r="Q2475" t="str">
        <f t="shared" ca="1" si="116"/>
        <v>No</v>
      </c>
    </row>
    <row r="2476" spans="1:17" x14ac:dyDescent="0.45">
      <c r="A2476" t="s">
        <v>118</v>
      </c>
      <c r="B2476" t="s">
        <v>119</v>
      </c>
      <c r="C2476" t="s">
        <v>66</v>
      </c>
      <c r="D2476" t="s">
        <v>20</v>
      </c>
      <c r="E2476" t="s">
        <v>21</v>
      </c>
      <c r="F2476" s="1">
        <v>44256</v>
      </c>
      <c r="G2476">
        <v>5.79</v>
      </c>
      <c r="H2476">
        <v>83.596699999999998</v>
      </c>
      <c r="I2476">
        <v>17.079999999999998</v>
      </c>
      <c r="J2476">
        <v>91.51</v>
      </c>
      <c r="K2476" t="s">
        <v>32</v>
      </c>
      <c r="L2476">
        <v>1424.82</v>
      </c>
      <c r="M2476">
        <f>VLOOKUP(K2476,RatingLookup!$A$2:$C$8,2,FALSE)</f>
        <v>0.12</v>
      </c>
      <c r="N2476">
        <f t="shared" si="114"/>
        <v>1.0596241035318976E-2</v>
      </c>
      <c r="O2476">
        <f>VLOOKUP(K2476,RatingLookup!$A$2:$C$8,3,FALSE)</f>
        <v>0.7</v>
      </c>
      <c r="P2476">
        <f t="shared" si="115"/>
        <v>10.568415306360228</v>
      </c>
      <c r="Q2476" t="str">
        <f t="shared" ca="1" si="116"/>
        <v>No</v>
      </c>
    </row>
    <row r="2477" spans="1:17" x14ac:dyDescent="0.45">
      <c r="A2477" t="s">
        <v>118</v>
      </c>
      <c r="B2477" t="s">
        <v>119</v>
      </c>
      <c r="C2477" t="s">
        <v>66</v>
      </c>
      <c r="D2477" t="s">
        <v>20</v>
      </c>
      <c r="E2477" t="s">
        <v>21</v>
      </c>
      <c r="F2477" s="1">
        <v>44287</v>
      </c>
      <c r="G2477">
        <v>5.08</v>
      </c>
      <c r="H2477">
        <v>81.470699999999994</v>
      </c>
      <c r="I2477">
        <v>23.02</v>
      </c>
      <c r="J2477">
        <v>95.03</v>
      </c>
      <c r="K2477" t="s">
        <v>32</v>
      </c>
      <c r="L2477">
        <v>1623.97</v>
      </c>
      <c r="M2477">
        <f>VLOOKUP(K2477,RatingLookup!$A$2:$C$8,2,FALSE)</f>
        <v>0.12</v>
      </c>
      <c r="N2477">
        <f t="shared" si="114"/>
        <v>1.0596241035318976E-2</v>
      </c>
      <c r="O2477">
        <f>VLOOKUP(K2477,RatingLookup!$A$2:$C$8,3,FALSE)</f>
        <v>0.7</v>
      </c>
      <c r="P2477">
        <f t="shared" si="115"/>
        <v>12.04558428788887</v>
      </c>
      <c r="Q2477" t="str">
        <f t="shared" ca="1" si="116"/>
        <v>No</v>
      </c>
    </row>
    <row r="2478" spans="1:17" x14ac:dyDescent="0.45">
      <c r="A2478" t="s">
        <v>118</v>
      </c>
      <c r="B2478" t="s">
        <v>119</v>
      </c>
      <c r="C2478" t="s">
        <v>66</v>
      </c>
      <c r="D2478" t="s">
        <v>20</v>
      </c>
      <c r="E2478" t="s">
        <v>21</v>
      </c>
      <c r="F2478" s="1">
        <v>44317</v>
      </c>
      <c r="G2478">
        <v>5.96</v>
      </c>
      <c r="H2478">
        <v>83.991100000000003</v>
      </c>
      <c r="I2478">
        <v>32.21</v>
      </c>
      <c r="J2478">
        <v>74.400000000000006</v>
      </c>
      <c r="K2478" t="s">
        <v>32</v>
      </c>
      <c r="L2478">
        <v>1513.99</v>
      </c>
      <c r="M2478">
        <f>VLOOKUP(K2478,RatingLookup!$A$2:$C$8,2,FALSE)</f>
        <v>0.12</v>
      </c>
      <c r="N2478">
        <f t="shared" si="114"/>
        <v>1.0596241035318976E-2</v>
      </c>
      <c r="O2478">
        <f>VLOOKUP(K2478,RatingLookup!$A$2:$C$8,3,FALSE)</f>
        <v>0.7</v>
      </c>
      <c r="P2478">
        <f t="shared" si="115"/>
        <v>11.229822075543805</v>
      </c>
      <c r="Q2478" t="str">
        <f t="shared" ca="1" si="116"/>
        <v>No</v>
      </c>
    </row>
    <row r="2479" spans="1:17" x14ac:dyDescent="0.45">
      <c r="A2479" t="s">
        <v>118</v>
      </c>
      <c r="B2479" t="s">
        <v>119</v>
      </c>
      <c r="C2479" t="s">
        <v>66</v>
      </c>
      <c r="D2479" t="s">
        <v>20</v>
      </c>
      <c r="E2479" t="s">
        <v>21</v>
      </c>
      <c r="F2479" s="1">
        <v>44348</v>
      </c>
      <c r="G2479">
        <v>6.84</v>
      </c>
      <c r="H2479">
        <v>79.903000000000006</v>
      </c>
      <c r="I2479">
        <v>19.59</v>
      </c>
      <c r="J2479">
        <v>87.37</v>
      </c>
      <c r="K2479" t="s">
        <v>32</v>
      </c>
      <c r="L2479">
        <v>1590.47</v>
      </c>
      <c r="M2479">
        <f>VLOOKUP(K2479,RatingLookup!$A$2:$C$8,2,FALSE)</f>
        <v>0.12</v>
      </c>
      <c r="N2479">
        <f t="shared" si="114"/>
        <v>1.0596241035318976E-2</v>
      </c>
      <c r="O2479">
        <f>VLOOKUP(K2479,RatingLookup!$A$2:$C$8,3,FALSE)</f>
        <v>0.7</v>
      </c>
      <c r="P2479">
        <f t="shared" si="115"/>
        <v>11.79710243561064</v>
      </c>
      <c r="Q2479" t="str">
        <f t="shared" ca="1" si="116"/>
        <v>No</v>
      </c>
    </row>
    <row r="2480" spans="1:17" x14ac:dyDescent="0.45">
      <c r="A2480" t="s">
        <v>118</v>
      </c>
      <c r="B2480" t="s">
        <v>119</v>
      </c>
      <c r="C2480" t="s">
        <v>66</v>
      </c>
      <c r="D2480" t="s">
        <v>20</v>
      </c>
      <c r="E2480" t="s">
        <v>21</v>
      </c>
      <c r="F2480" s="1">
        <v>44378</v>
      </c>
      <c r="G2480">
        <v>5.23</v>
      </c>
      <c r="H2480">
        <v>81.990200000000002</v>
      </c>
      <c r="I2480">
        <v>23.79</v>
      </c>
      <c r="J2480">
        <v>76.3</v>
      </c>
      <c r="K2480" t="s">
        <v>32</v>
      </c>
      <c r="L2480">
        <v>1559.65</v>
      </c>
      <c r="M2480">
        <f>VLOOKUP(K2480,RatingLookup!$A$2:$C$8,2,FALSE)</f>
        <v>0.12</v>
      </c>
      <c r="N2480">
        <f t="shared" si="114"/>
        <v>1.0596241035318976E-2</v>
      </c>
      <c r="O2480">
        <f>VLOOKUP(K2480,RatingLookup!$A$2:$C$8,3,FALSE)</f>
        <v>0.7</v>
      </c>
      <c r="P2480">
        <f t="shared" si="115"/>
        <v>11.568499131514669</v>
      </c>
      <c r="Q2480" t="str">
        <f t="shared" ca="1" si="116"/>
        <v>No</v>
      </c>
    </row>
    <row r="2481" spans="1:17" x14ac:dyDescent="0.45">
      <c r="A2481" t="s">
        <v>118</v>
      </c>
      <c r="B2481" t="s">
        <v>119</v>
      </c>
      <c r="C2481" t="s">
        <v>66</v>
      </c>
      <c r="D2481" t="s">
        <v>20</v>
      </c>
      <c r="E2481" t="s">
        <v>21</v>
      </c>
      <c r="F2481" s="1">
        <v>44409</v>
      </c>
      <c r="G2481">
        <v>5.91</v>
      </c>
      <c r="H2481">
        <v>79.641900000000007</v>
      </c>
      <c r="I2481">
        <v>10.8</v>
      </c>
      <c r="J2481">
        <v>72.12</v>
      </c>
      <c r="K2481" t="s">
        <v>32</v>
      </c>
      <c r="L2481">
        <v>1438.46</v>
      </c>
      <c r="M2481">
        <f>VLOOKUP(K2481,RatingLookup!$A$2:$C$8,2,FALSE)</f>
        <v>0.12</v>
      </c>
      <c r="N2481">
        <f t="shared" si="114"/>
        <v>1.0596241035318976E-2</v>
      </c>
      <c r="O2481">
        <f>VLOOKUP(K2481,RatingLookup!$A$2:$C$8,3,FALSE)</f>
        <v>0.7</v>
      </c>
      <c r="P2481">
        <f t="shared" si="115"/>
        <v>10.669588215765454</v>
      </c>
      <c r="Q2481" t="str">
        <f t="shared" ca="1" si="116"/>
        <v>No</v>
      </c>
    </row>
    <row r="2482" spans="1:17" x14ac:dyDescent="0.45">
      <c r="A2482" t="s">
        <v>118</v>
      </c>
      <c r="B2482" t="s">
        <v>119</v>
      </c>
      <c r="C2482" t="s">
        <v>66</v>
      </c>
      <c r="D2482" t="s">
        <v>20</v>
      </c>
      <c r="E2482" t="s">
        <v>21</v>
      </c>
      <c r="F2482" s="1">
        <v>44440</v>
      </c>
      <c r="G2482">
        <v>6.18</v>
      </c>
      <c r="H2482">
        <v>80.357500000000002</v>
      </c>
      <c r="I2482">
        <v>12.41</v>
      </c>
      <c r="J2482">
        <v>86.77</v>
      </c>
      <c r="K2482" t="s">
        <v>32</v>
      </c>
      <c r="L2482">
        <v>1424.24</v>
      </c>
      <c r="M2482">
        <f>VLOOKUP(K2482,RatingLookup!$A$2:$C$8,2,FALSE)</f>
        <v>0.12</v>
      </c>
      <c r="N2482">
        <f t="shared" si="114"/>
        <v>1.0596241035318976E-2</v>
      </c>
      <c r="O2482">
        <f>VLOOKUP(K2482,RatingLookup!$A$2:$C$8,3,FALSE)</f>
        <v>0.7</v>
      </c>
      <c r="P2482">
        <f t="shared" si="115"/>
        <v>10.564113232499889</v>
      </c>
      <c r="Q2482" t="str">
        <f t="shared" ca="1" si="116"/>
        <v>No</v>
      </c>
    </row>
    <row r="2483" spans="1:17" x14ac:dyDescent="0.45">
      <c r="A2483" t="s">
        <v>118</v>
      </c>
      <c r="B2483" t="s">
        <v>119</v>
      </c>
      <c r="C2483" t="s">
        <v>66</v>
      </c>
      <c r="D2483" t="s">
        <v>20</v>
      </c>
      <c r="E2483" t="s">
        <v>21</v>
      </c>
      <c r="F2483" s="1">
        <v>44470</v>
      </c>
      <c r="G2483">
        <v>4.91</v>
      </c>
      <c r="H2483">
        <v>82.718299999999999</v>
      </c>
      <c r="I2483">
        <v>16.440000000000001</v>
      </c>
      <c r="J2483">
        <v>76.819999999999993</v>
      </c>
      <c r="K2483" t="s">
        <v>32</v>
      </c>
      <c r="L2483">
        <v>1579.39</v>
      </c>
      <c r="M2483">
        <f>VLOOKUP(K2483,RatingLookup!$A$2:$C$8,2,FALSE)</f>
        <v>0.12</v>
      </c>
      <c r="N2483">
        <f t="shared" si="114"/>
        <v>1.0596241035318976E-2</v>
      </c>
      <c r="O2483">
        <f>VLOOKUP(K2483,RatingLookup!$A$2:$C$8,3,FALSE)</f>
        <v>0.7</v>
      </c>
      <c r="P2483">
        <f t="shared" si="115"/>
        <v>11.714917990140707</v>
      </c>
      <c r="Q2483" t="str">
        <f t="shared" ca="1" si="116"/>
        <v>No</v>
      </c>
    </row>
    <row r="2484" spans="1:17" x14ac:dyDescent="0.45">
      <c r="A2484" t="s">
        <v>118</v>
      </c>
      <c r="B2484" t="s">
        <v>119</v>
      </c>
      <c r="C2484" t="s">
        <v>66</v>
      </c>
      <c r="D2484" t="s">
        <v>20</v>
      </c>
      <c r="E2484" t="s">
        <v>21</v>
      </c>
      <c r="F2484" s="1">
        <v>44501</v>
      </c>
      <c r="G2484">
        <v>5.88</v>
      </c>
      <c r="H2484">
        <v>84.211100000000002</v>
      </c>
      <c r="I2484">
        <v>18.43</v>
      </c>
      <c r="J2484">
        <v>62.66</v>
      </c>
      <c r="K2484" t="s">
        <v>32</v>
      </c>
      <c r="L2484">
        <v>1504.48</v>
      </c>
      <c r="M2484">
        <f>VLOOKUP(K2484,RatingLookup!$A$2:$C$8,2,FALSE)</f>
        <v>0.12</v>
      </c>
      <c r="N2484">
        <f t="shared" si="114"/>
        <v>1.0596241035318976E-2</v>
      </c>
      <c r="O2484">
        <f>VLOOKUP(K2484,RatingLookup!$A$2:$C$8,3,FALSE)</f>
        <v>0.7</v>
      </c>
      <c r="P2484">
        <f t="shared" si="115"/>
        <v>11.159282898971686</v>
      </c>
      <c r="Q2484" t="str">
        <f t="shared" ca="1" si="116"/>
        <v>No</v>
      </c>
    </row>
    <row r="2485" spans="1:17" x14ac:dyDescent="0.45">
      <c r="A2485" t="s">
        <v>118</v>
      </c>
      <c r="B2485" t="s">
        <v>119</v>
      </c>
      <c r="C2485" t="s">
        <v>66</v>
      </c>
      <c r="D2485" t="s">
        <v>20</v>
      </c>
      <c r="E2485" t="s">
        <v>21</v>
      </c>
      <c r="F2485" s="1">
        <v>44531</v>
      </c>
      <c r="G2485">
        <v>5.69</v>
      </c>
      <c r="H2485">
        <v>87.612399999999994</v>
      </c>
      <c r="I2485">
        <v>15.45</v>
      </c>
      <c r="J2485">
        <v>73.25</v>
      </c>
      <c r="K2485" t="s">
        <v>32</v>
      </c>
      <c r="L2485">
        <v>1607.6</v>
      </c>
      <c r="M2485">
        <f>VLOOKUP(K2485,RatingLookup!$A$2:$C$8,2,FALSE)</f>
        <v>0.12</v>
      </c>
      <c r="N2485">
        <f t="shared" si="114"/>
        <v>1.0596241035318976E-2</v>
      </c>
      <c r="O2485">
        <f>VLOOKUP(K2485,RatingLookup!$A$2:$C$8,3,FALSE)</f>
        <v>0.7</v>
      </c>
      <c r="P2485">
        <f t="shared" si="115"/>
        <v>11.924161961865149</v>
      </c>
      <c r="Q2485" t="str">
        <f t="shared" ca="1" si="116"/>
        <v>No</v>
      </c>
    </row>
    <row r="2486" spans="1:17" x14ac:dyDescent="0.45">
      <c r="A2486" t="s">
        <v>118</v>
      </c>
      <c r="B2486" t="s">
        <v>119</v>
      </c>
      <c r="C2486" t="s">
        <v>66</v>
      </c>
      <c r="D2486" t="s">
        <v>20</v>
      </c>
      <c r="E2486" t="s">
        <v>21</v>
      </c>
      <c r="F2486" s="1">
        <v>44562</v>
      </c>
      <c r="G2486">
        <v>5.57</v>
      </c>
      <c r="H2486">
        <v>83.616600000000005</v>
      </c>
      <c r="I2486">
        <v>14.93</v>
      </c>
      <c r="J2486">
        <v>70.08</v>
      </c>
      <c r="K2486" t="s">
        <v>32</v>
      </c>
      <c r="L2486">
        <v>1425.4</v>
      </c>
      <c r="M2486">
        <f>VLOOKUP(K2486,RatingLookup!$A$2:$C$8,2,FALSE)</f>
        <v>0.12</v>
      </c>
      <c r="N2486">
        <f t="shared" si="114"/>
        <v>1.0596241035318976E-2</v>
      </c>
      <c r="O2486">
        <f>VLOOKUP(K2486,RatingLookup!$A$2:$C$8,3,FALSE)</f>
        <v>0.7</v>
      </c>
      <c r="P2486">
        <f t="shared" si="115"/>
        <v>10.572717380220569</v>
      </c>
      <c r="Q2486" t="str">
        <f t="shared" ca="1" si="116"/>
        <v>No</v>
      </c>
    </row>
    <row r="2487" spans="1:17" x14ac:dyDescent="0.45">
      <c r="A2487" t="s">
        <v>118</v>
      </c>
      <c r="B2487" t="s">
        <v>119</v>
      </c>
      <c r="C2487" t="s">
        <v>66</v>
      </c>
      <c r="D2487" t="s">
        <v>20</v>
      </c>
      <c r="E2487" t="s">
        <v>21</v>
      </c>
      <c r="F2487" s="1">
        <v>44593</v>
      </c>
      <c r="G2487">
        <v>5.6</v>
      </c>
      <c r="H2487">
        <v>84.152600000000007</v>
      </c>
      <c r="I2487">
        <v>14.69</v>
      </c>
      <c r="J2487">
        <v>65.5</v>
      </c>
      <c r="K2487" t="s">
        <v>32</v>
      </c>
      <c r="L2487">
        <v>1419.25</v>
      </c>
      <c r="M2487">
        <f>VLOOKUP(K2487,RatingLookup!$A$2:$C$8,2,FALSE)</f>
        <v>0.12</v>
      </c>
      <c r="N2487">
        <f t="shared" si="114"/>
        <v>1.0596241035318976E-2</v>
      </c>
      <c r="O2487">
        <f>VLOOKUP(K2487,RatingLookup!$A$2:$C$8,3,FALSE)</f>
        <v>0.7</v>
      </c>
      <c r="P2487">
        <f t="shared" si="115"/>
        <v>10.527100562563518</v>
      </c>
      <c r="Q2487" t="str">
        <f t="shared" ca="1" si="116"/>
        <v>No</v>
      </c>
    </row>
    <row r="2488" spans="1:17" x14ac:dyDescent="0.45">
      <c r="A2488" t="s">
        <v>118</v>
      </c>
      <c r="B2488" t="s">
        <v>119</v>
      </c>
      <c r="C2488" t="s">
        <v>66</v>
      </c>
      <c r="D2488" t="s">
        <v>20</v>
      </c>
      <c r="E2488" t="s">
        <v>21</v>
      </c>
      <c r="F2488" s="1">
        <v>44621</v>
      </c>
      <c r="G2488">
        <v>6.08</v>
      </c>
      <c r="H2488">
        <v>82.935400000000001</v>
      </c>
      <c r="I2488">
        <v>11.68</v>
      </c>
      <c r="J2488">
        <v>69.61</v>
      </c>
      <c r="K2488" t="s">
        <v>32</v>
      </c>
      <c r="L2488">
        <v>1561.74</v>
      </c>
      <c r="M2488">
        <f>VLOOKUP(K2488,RatingLookup!$A$2:$C$8,2,FALSE)</f>
        <v>0.12</v>
      </c>
      <c r="N2488">
        <f t="shared" si="114"/>
        <v>1.0596241035318976E-2</v>
      </c>
      <c r="O2488">
        <f>VLOOKUP(K2488,RatingLookup!$A$2:$C$8,3,FALSE)</f>
        <v>0.7</v>
      </c>
      <c r="P2488">
        <f t="shared" si="115"/>
        <v>11.584001432149339</v>
      </c>
      <c r="Q2488" t="str">
        <f t="shared" ca="1" si="116"/>
        <v>No</v>
      </c>
    </row>
    <row r="2489" spans="1:17" x14ac:dyDescent="0.45">
      <c r="A2489" t="s">
        <v>118</v>
      </c>
      <c r="B2489" t="s">
        <v>119</v>
      </c>
      <c r="C2489" t="s">
        <v>66</v>
      </c>
      <c r="D2489" t="s">
        <v>20</v>
      </c>
      <c r="E2489" t="s">
        <v>21</v>
      </c>
      <c r="F2489" s="1">
        <v>44652</v>
      </c>
      <c r="G2489">
        <v>6.38</v>
      </c>
      <c r="H2489">
        <v>81.152600000000007</v>
      </c>
      <c r="I2489">
        <v>13.6</v>
      </c>
      <c r="J2489">
        <v>78.05</v>
      </c>
      <c r="K2489" t="s">
        <v>32</v>
      </c>
      <c r="L2489">
        <v>1506.22</v>
      </c>
      <c r="M2489">
        <f>VLOOKUP(K2489,RatingLookup!$A$2:$C$8,2,FALSE)</f>
        <v>0.12</v>
      </c>
      <c r="N2489">
        <f t="shared" si="114"/>
        <v>1.0596241035318976E-2</v>
      </c>
      <c r="O2489">
        <f>VLOOKUP(K2489,RatingLookup!$A$2:$C$8,3,FALSE)</f>
        <v>0.7</v>
      </c>
      <c r="P2489">
        <f t="shared" si="115"/>
        <v>11.172189120552703</v>
      </c>
      <c r="Q2489" t="str">
        <f t="shared" ca="1" si="116"/>
        <v>No</v>
      </c>
    </row>
    <row r="2490" spans="1:17" x14ac:dyDescent="0.45">
      <c r="A2490" t="s">
        <v>118</v>
      </c>
      <c r="B2490" t="s">
        <v>119</v>
      </c>
      <c r="C2490" t="s">
        <v>66</v>
      </c>
      <c r="D2490" t="s">
        <v>20</v>
      </c>
      <c r="E2490" t="s">
        <v>21</v>
      </c>
      <c r="F2490" s="1">
        <v>44682</v>
      </c>
      <c r="G2490">
        <v>5.7</v>
      </c>
      <c r="H2490">
        <v>84.428299999999993</v>
      </c>
      <c r="I2490">
        <v>15.12</v>
      </c>
      <c r="J2490">
        <v>61.92</v>
      </c>
      <c r="K2490" t="s">
        <v>32</v>
      </c>
      <c r="L2490">
        <v>1485.44</v>
      </c>
      <c r="M2490">
        <f>VLOOKUP(K2490,RatingLookup!$A$2:$C$8,2,FALSE)</f>
        <v>0.12</v>
      </c>
      <c r="N2490">
        <f t="shared" si="114"/>
        <v>1.0596241035318976E-2</v>
      </c>
      <c r="O2490">
        <f>VLOOKUP(K2490,RatingLookup!$A$2:$C$8,3,FALSE)</f>
        <v>0.7</v>
      </c>
      <c r="P2490">
        <f t="shared" si="115"/>
        <v>11.018056198452953</v>
      </c>
      <c r="Q2490" t="str">
        <f t="shared" ca="1" si="116"/>
        <v>No</v>
      </c>
    </row>
    <row r="2491" spans="1:17" x14ac:dyDescent="0.45">
      <c r="A2491" t="s">
        <v>118</v>
      </c>
      <c r="B2491" t="s">
        <v>119</v>
      </c>
      <c r="C2491" t="s">
        <v>66</v>
      </c>
      <c r="D2491" t="s">
        <v>20</v>
      </c>
      <c r="E2491" t="s">
        <v>21</v>
      </c>
      <c r="F2491" s="1">
        <v>44713</v>
      </c>
      <c r="G2491">
        <v>5.92</v>
      </c>
      <c r="H2491">
        <v>79.327699999999993</v>
      </c>
      <c r="I2491">
        <v>23.45</v>
      </c>
      <c r="J2491">
        <v>80.39</v>
      </c>
      <c r="K2491" t="s">
        <v>32</v>
      </c>
      <c r="L2491">
        <v>1491.12</v>
      </c>
      <c r="M2491">
        <f>VLOOKUP(K2491,RatingLookup!$A$2:$C$8,2,FALSE)</f>
        <v>0.12</v>
      </c>
      <c r="N2491">
        <f t="shared" si="114"/>
        <v>1.0596241035318976E-2</v>
      </c>
      <c r="O2491">
        <f>VLOOKUP(K2491,RatingLookup!$A$2:$C$8,3,FALSE)</f>
        <v>0.7</v>
      </c>
      <c r="P2491">
        <f t="shared" si="115"/>
        <v>11.060186852809382</v>
      </c>
      <c r="Q2491" t="str">
        <f t="shared" ca="1" si="116"/>
        <v>No</v>
      </c>
    </row>
    <row r="2492" spans="1:17" x14ac:dyDescent="0.45">
      <c r="A2492" t="s">
        <v>118</v>
      </c>
      <c r="B2492" t="s">
        <v>119</v>
      </c>
      <c r="C2492" t="s">
        <v>66</v>
      </c>
      <c r="D2492" t="s">
        <v>20</v>
      </c>
      <c r="E2492" t="s">
        <v>21</v>
      </c>
      <c r="F2492" s="1">
        <v>44743</v>
      </c>
      <c r="G2492">
        <v>4.91</v>
      </c>
      <c r="H2492">
        <v>85.054699999999997</v>
      </c>
      <c r="I2492">
        <v>17.149999999999999</v>
      </c>
      <c r="J2492">
        <v>78.37</v>
      </c>
      <c r="K2492" t="s">
        <v>32</v>
      </c>
      <c r="L2492">
        <v>1454.41</v>
      </c>
      <c r="M2492">
        <f>VLOOKUP(K2492,RatingLookup!$A$2:$C$8,2,FALSE)</f>
        <v>0.12</v>
      </c>
      <c r="N2492">
        <f t="shared" si="114"/>
        <v>1.0596241035318976E-2</v>
      </c>
      <c r="O2492">
        <f>VLOOKUP(K2492,RatingLookup!$A$2:$C$8,3,FALSE)</f>
        <v>0.7</v>
      </c>
      <c r="P2492">
        <f t="shared" si="115"/>
        <v>10.787895246924791</v>
      </c>
      <c r="Q2492" t="str">
        <f t="shared" ca="1" si="116"/>
        <v>No</v>
      </c>
    </row>
    <row r="2493" spans="1:17" x14ac:dyDescent="0.45">
      <c r="A2493" t="s">
        <v>118</v>
      </c>
      <c r="B2493" t="s">
        <v>119</v>
      </c>
      <c r="C2493" t="s">
        <v>66</v>
      </c>
      <c r="D2493" t="s">
        <v>20</v>
      </c>
      <c r="E2493" t="s">
        <v>21</v>
      </c>
      <c r="F2493" s="1">
        <v>44774</v>
      </c>
      <c r="G2493">
        <v>5.47</v>
      </c>
      <c r="H2493">
        <v>82.696700000000007</v>
      </c>
      <c r="I2493">
        <v>22.25</v>
      </c>
      <c r="J2493">
        <v>64.03</v>
      </c>
      <c r="K2493" t="s">
        <v>32</v>
      </c>
      <c r="L2493">
        <v>1597.45</v>
      </c>
      <c r="M2493">
        <f>VLOOKUP(K2493,RatingLookup!$A$2:$C$8,2,FALSE)</f>
        <v>0.12</v>
      </c>
      <c r="N2493">
        <f t="shared" si="114"/>
        <v>1.0596241035318976E-2</v>
      </c>
      <c r="O2493">
        <f>VLOOKUP(K2493,RatingLookup!$A$2:$C$8,3,FALSE)</f>
        <v>0.7</v>
      </c>
      <c r="P2493">
        <f t="shared" si="115"/>
        <v>11.848875669309209</v>
      </c>
      <c r="Q2493" t="str">
        <f t="shared" ca="1" si="116"/>
        <v>No</v>
      </c>
    </row>
    <row r="2494" spans="1:17" x14ac:dyDescent="0.45">
      <c r="A2494" t="s">
        <v>118</v>
      </c>
      <c r="B2494" t="s">
        <v>119</v>
      </c>
      <c r="C2494" t="s">
        <v>66</v>
      </c>
      <c r="D2494" t="s">
        <v>20</v>
      </c>
      <c r="E2494" t="s">
        <v>21</v>
      </c>
      <c r="F2494" s="1">
        <v>44805</v>
      </c>
      <c r="G2494">
        <v>5.58</v>
      </c>
      <c r="H2494">
        <v>83.406300000000002</v>
      </c>
      <c r="I2494">
        <v>19.14</v>
      </c>
      <c r="J2494">
        <v>84.23</v>
      </c>
      <c r="K2494" t="s">
        <v>32</v>
      </c>
      <c r="L2494">
        <v>1490.91</v>
      </c>
      <c r="M2494">
        <f>VLOOKUP(K2494,RatingLookup!$A$2:$C$8,2,FALSE)</f>
        <v>0.12</v>
      </c>
      <c r="N2494">
        <f t="shared" si="114"/>
        <v>1.0596241035318976E-2</v>
      </c>
      <c r="O2494">
        <f>VLOOKUP(K2494,RatingLookup!$A$2:$C$8,3,FALSE)</f>
        <v>0.7</v>
      </c>
      <c r="P2494">
        <f t="shared" si="115"/>
        <v>11.058629205377191</v>
      </c>
      <c r="Q2494" t="str">
        <f t="shared" ca="1" si="116"/>
        <v>No</v>
      </c>
    </row>
    <row r="2495" spans="1:17" x14ac:dyDescent="0.45">
      <c r="A2495" t="s">
        <v>118</v>
      </c>
      <c r="B2495" t="s">
        <v>119</v>
      </c>
      <c r="C2495" t="s">
        <v>66</v>
      </c>
      <c r="D2495" t="s">
        <v>20</v>
      </c>
      <c r="E2495" t="s">
        <v>21</v>
      </c>
      <c r="F2495" s="1">
        <v>44835</v>
      </c>
      <c r="G2495">
        <v>5.04</v>
      </c>
      <c r="H2495">
        <v>84.207599999999999</v>
      </c>
      <c r="I2495">
        <v>23</v>
      </c>
      <c r="J2495">
        <v>70.48</v>
      </c>
      <c r="K2495" t="s">
        <v>32</v>
      </c>
      <c r="L2495">
        <v>1632.88</v>
      </c>
      <c r="M2495">
        <f>VLOOKUP(K2495,RatingLookup!$A$2:$C$8,2,FALSE)</f>
        <v>0.12</v>
      </c>
      <c r="N2495">
        <f t="shared" si="114"/>
        <v>1.0596241035318976E-2</v>
      </c>
      <c r="O2495">
        <f>VLOOKUP(K2495,RatingLookup!$A$2:$C$8,3,FALSE)</f>
        <v>0.7</v>
      </c>
      <c r="P2495">
        <f t="shared" si="115"/>
        <v>12.111673043226155</v>
      </c>
      <c r="Q2495" t="str">
        <f t="shared" ca="1" si="116"/>
        <v>No</v>
      </c>
    </row>
    <row r="2496" spans="1:17" x14ac:dyDescent="0.45">
      <c r="A2496" t="s">
        <v>118</v>
      </c>
      <c r="B2496" t="s">
        <v>119</v>
      </c>
      <c r="C2496" t="s">
        <v>66</v>
      </c>
      <c r="D2496" t="s">
        <v>20</v>
      </c>
      <c r="E2496" t="s">
        <v>21</v>
      </c>
      <c r="F2496" s="1">
        <v>44866</v>
      </c>
      <c r="G2496">
        <v>5.1100000000000003</v>
      </c>
      <c r="H2496">
        <v>83.800299999999993</v>
      </c>
      <c r="I2496">
        <v>16.329999999999998</v>
      </c>
      <c r="J2496">
        <v>64.03</v>
      </c>
      <c r="K2496" t="s">
        <v>32</v>
      </c>
      <c r="L2496">
        <v>1547.77</v>
      </c>
      <c r="M2496">
        <f>VLOOKUP(K2496,RatingLookup!$A$2:$C$8,2,FALSE)</f>
        <v>0.12</v>
      </c>
      <c r="N2496">
        <f t="shared" si="114"/>
        <v>1.0596241035318976E-2</v>
      </c>
      <c r="O2496">
        <f>VLOOKUP(K2496,RatingLookup!$A$2:$C$8,3,FALSE)</f>
        <v>0.7</v>
      </c>
      <c r="P2496">
        <f t="shared" si="115"/>
        <v>11.480380791064954</v>
      </c>
      <c r="Q2496" t="str">
        <f t="shared" ca="1" si="116"/>
        <v>No</v>
      </c>
    </row>
    <row r="2497" spans="1:17" x14ac:dyDescent="0.45">
      <c r="A2497" t="s">
        <v>118</v>
      </c>
      <c r="B2497" t="s">
        <v>119</v>
      </c>
      <c r="C2497" t="s">
        <v>66</v>
      </c>
      <c r="D2497" t="s">
        <v>20</v>
      </c>
      <c r="E2497" t="s">
        <v>21</v>
      </c>
      <c r="F2497" s="1">
        <v>44896</v>
      </c>
      <c r="G2497">
        <v>5.33</v>
      </c>
      <c r="H2497">
        <v>85.4148</v>
      </c>
      <c r="I2497">
        <v>20.55</v>
      </c>
      <c r="J2497">
        <v>81.16</v>
      </c>
      <c r="K2497" t="s">
        <v>32</v>
      </c>
      <c r="L2497">
        <v>1601.51</v>
      </c>
      <c r="M2497">
        <f>VLOOKUP(K2497,RatingLookup!$A$2:$C$8,2,FALSE)</f>
        <v>0.12</v>
      </c>
      <c r="N2497">
        <f t="shared" si="114"/>
        <v>1.0596241035318976E-2</v>
      </c>
      <c r="O2497">
        <f>VLOOKUP(K2497,RatingLookup!$A$2:$C$8,3,FALSE)</f>
        <v>0.7</v>
      </c>
      <c r="P2497">
        <f t="shared" si="115"/>
        <v>11.878990186331585</v>
      </c>
      <c r="Q2497" t="str">
        <f t="shared" ca="1" si="116"/>
        <v>No</v>
      </c>
    </row>
    <row r="2498" spans="1:17" x14ac:dyDescent="0.45">
      <c r="A2498" t="s">
        <v>118</v>
      </c>
      <c r="B2498" t="s">
        <v>119</v>
      </c>
      <c r="C2498" t="s">
        <v>66</v>
      </c>
      <c r="D2498" t="s">
        <v>20</v>
      </c>
      <c r="E2498" t="s">
        <v>21</v>
      </c>
      <c r="F2498" s="1">
        <v>44927</v>
      </c>
      <c r="G2498">
        <v>5.1100000000000003</v>
      </c>
      <c r="H2498">
        <v>86.835099999999997</v>
      </c>
      <c r="I2498">
        <v>20.37</v>
      </c>
      <c r="J2498">
        <v>66.58</v>
      </c>
      <c r="K2498" t="s">
        <v>32</v>
      </c>
      <c r="L2498">
        <v>1533.58</v>
      </c>
      <c r="M2498">
        <f>VLOOKUP(K2498,RatingLookup!$A$2:$C$8,2,FALSE)</f>
        <v>0.12</v>
      </c>
      <c r="N2498">
        <f t="shared" ref="N2498:N2561" si="117">1-(1-M2498)^(1/12)</f>
        <v>1.0596241035318976E-2</v>
      </c>
      <c r="O2498">
        <f>VLOOKUP(K2498,RatingLookup!$A$2:$C$8,3,FALSE)</f>
        <v>0.7</v>
      </c>
      <c r="P2498">
        <f t="shared" ref="P2498:P2561" si="118">L2498*N2498*O2498</f>
        <v>11.37512832886113</v>
      </c>
      <c r="Q2498" t="str">
        <f t="shared" ref="Q2498:Q2561" ca="1" si="119">IF(RAND()&lt;N2498,"Yes","No")</f>
        <v>No</v>
      </c>
    </row>
    <row r="2499" spans="1:17" x14ac:dyDescent="0.45">
      <c r="A2499" t="s">
        <v>118</v>
      </c>
      <c r="B2499" t="s">
        <v>119</v>
      </c>
      <c r="C2499" t="s">
        <v>66</v>
      </c>
      <c r="D2499" t="s">
        <v>20</v>
      </c>
      <c r="E2499" t="s">
        <v>21</v>
      </c>
      <c r="F2499" s="1">
        <v>44958</v>
      </c>
      <c r="G2499">
        <v>5.61</v>
      </c>
      <c r="H2499">
        <v>83.052000000000007</v>
      </c>
      <c r="I2499">
        <v>5</v>
      </c>
      <c r="J2499">
        <v>73.22</v>
      </c>
      <c r="K2499" t="s">
        <v>32</v>
      </c>
      <c r="L2499">
        <v>1422</v>
      </c>
      <c r="M2499">
        <f>VLOOKUP(K2499,RatingLookup!$A$2:$C$8,2,FALSE)</f>
        <v>0.12</v>
      </c>
      <c r="N2499">
        <f t="shared" si="117"/>
        <v>1.0596241035318976E-2</v>
      </c>
      <c r="O2499">
        <f>VLOOKUP(K2499,RatingLookup!$A$2:$C$8,3,FALSE)</f>
        <v>0.7</v>
      </c>
      <c r="P2499">
        <f t="shared" si="118"/>
        <v>10.547498326556507</v>
      </c>
      <c r="Q2499" t="str">
        <f t="shared" ca="1" si="119"/>
        <v>No</v>
      </c>
    </row>
    <row r="2500" spans="1:17" x14ac:dyDescent="0.45">
      <c r="A2500" t="s">
        <v>118</v>
      </c>
      <c r="B2500" t="s">
        <v>119</v>
      </c>
      <c r="C2500" t="s">
        <v>66</v>
      </c>
      <c r="D2500" t="s">
        <v>20</v>
      </c>
      <c r="E2500" t="s">
        <v>21</v>
      </c>
      <c r="F2500" s="1">
        <v>44986</v>
      </c>
      <c r="G2500">
        <v>5.16</v>
      </c>
      <c r="H2500">
        <v>81.850700000000003</v>
      </c>
      <c r="I2500">
        <v>13.39</v>
      </c>
      <c r="J2500">
        <v>92.59</v>
      </c>
      <c r="K2500" t="s">
        <v>32</v>
      </c>
      <c r="L2500">
        <v>1527.59</v>
      </c>
      <c r="M2500">
        <f>VLOOKUP(K2500,RatingLookup!$A$2:$C$8,2,FALSE)</f>
        <v>0.12</v>
      </c>
      <c r="N2500">
        <f t="shared" si="117"/>
        <v>1.0596241035318976E-2</v>
      </c>
      <c r="O2500">
        <f>VLOOKUP(K2500,RatingLookup!$A$2:$C$8,3,FALSE)</f>
        <v>0.7</v>
      </c>
      <c r="P2500">
        <f t="shared" si="118"/>
        <v>11.330698290200038</v>
      </c>
      <c r="Q2500" t="str">
        <f t="shared" ca="1" si="119"/>
        <v>No</v>
      </c>
    </row>
    <row r="2501" spans="1:17" x14ac:dyDescent="0.45">
      <c r="A2501" t="s">
        <v>118</v>
      </c>
      <c r="B2501" t="s">
        <v>119</v>
      </c>
      <c r="C2501" t="s">
        <v>66</v>
      </c>
      <c r="D2501" t="s">
        <v>20</v>
      </c>
      <c r="E2501" t="s">
        <v>21</v>
      </c>
      <c r="F2501" s="1">
        <v>45017</v>
      </c>
      <c r="G2501">
        <v>4.59</v>
      </c>
      <c r="H2501">
        <v>82.764399999999995</v>
      </c>
      <c r="I2501">
        <v>24.87</v>
      </c>
      <c r="J2501">
        <v>74.42</v>
      </c>
      <c r="K2501" t="s">
        <v>31</v>
      </c>
      <c r="L2501">
        <v>1573.33</v>
      </c>
      <c r="M2501">
        <f>VLOOKUP(K2501,RatingLookup!$A$2:$C$8,2,FALSE)</f>
        <v>0.04</v>
      </c>
      <c r="N2501">
        <f t="shared" si="117"/>
        <v>3.3960531989175591E-3</v>
      </c>
      <c r="O2501">
        <f>VLOOKUP(K2501,RatingLookup!$A$2:$C$8,3,FALSE)</f>
        <v>0.6</v>
      </c>
      <c r="P2501">
        <f t="shared" si="118"/>
        <v>3.2058674276717776</v>
      </c>
      <c r="Q2501" t="str">
        <f t="shared" ca="1" si="119"/>
        <v>No</v>
      </c>
    </row>
    <row r="2502" spans="1:17" x14ac:dyDescent="0.45">
      <c r="A2502" t="s">
        <v>118</v>
      </c>
      <c r="B2502" t="s">
        <v>119</v>
      </c>
      <c r="C2502" t="s">
        <v>66</v>
      </c>
      <c r="D2502" t="s">
        <v>20</v>
      </c>
      <c r="E2502" t="s">
        <v>21</v>
      </c>
      <c r="F2502" s="1">
        <v>45047</v>
      </c>
      <c r="G2502">
        <v>5.91</v>
      </c>
      <c r="H2502">
        <v>80.794399999999996</v>
      </c>
      <c r="I2502">
        <v>26.24</v>
      </c>
      <c r="J2502">
        <v>71.239999999999995</v>
      </c>
      <c r="K2502" t="s">
        <v>31</v>
      </c>
      <c r="L2502">
        <v>1427.1</v>
      </c>
      <c r="M2502">
        <f>VLOOKUP(K2502,RatingLookup!$A$2:$C$8,2,FALSE)</f>
        <v>0.04</v>
      </c>
      <c r="N2502">
        <f t="shared" si="117"/>
        <v>3.3960531989175591E-3</v>
      </c>
      <c r="O2502">
        <f>VLOOKUP(K2502,RatingLookup!$A$2:$C$8,3,FALSE)</f>
        <v>0.6</v>
      </c>
      <c r="P2502">
        <f t="shared" si="118"/>
        <v>2.9079045121051492</v>
      </c>
      <c r="Q2502" t="str">
        <f t="shared" ca="1" si="119"/>
        <v>No</v>
      </c>
    </row>
    <row r="2503" spans="1:17" x14ac:dyDescent="0.45">
      <c r="A2503" t="s">
        <v>118</v>
      </c>
      <c r="B2503" t="s">
        <v>119</v>
      </c>
      <c r="C2503" t="s">
        <v>66</v>
      </c>
      <c r="D2503" t="s">
        <v>20</v>
      </c>
      <c r="E2503" t="s">
        <v>21</v>
      </c>
      <c r="F2503" s="1">
        <v>45078</v>
      </c>
      <c r="G2503">
        <v>4.6500000000000004</v>
      </c>
      <c r="H2503">
        <v>83.047700000000006</v>
      </c>
      <c r="I2503">
        <v>15.44</v>
      </c>
      <c r="J2503">
        <v>80.91</v>
      </c>
      <c r="K2503" t="s">
        <v>31</v>
      </c>
      <c r="L2503">
        <v>1444.89</v>
      </c>
      <c r="M2503">
        <f>VLOOKUP(K2503,RatingLookup!$A$2:$C$8,2,FALSE)</f>
        <v>0.04</v>
      </c>
      <c r="N2503">
        <f t="shared" si="117"/>
        <v>3.3960531989175591E-3</v>
      </c>
      <c r="O2503">
        <f>VLOOKUP(K2503,RatingLookup!$A$2:$C$8,3,FALSE)</f>
        <v>0.6</v>
      </c>
      <c r="P2503">
        <f t="shared" si="118"/>
        <v>2.944153983950395</v>
      </c>
      <c r="Q2503" t="str">
        <f t="shared" ca="1" si="119"/>
        <v>No</v>
      </c>
    </row>
    <row r="2504" spans="1:17" x14ac:dyDescent="0.45">
      <c r="A2504" t="s">
        <v>118</v>
      </c>
      <c r="B2504" t="s">
        <v>119</v>
      </c>
      <c r="C2504" t="s">
        <v>66</v>
      </c>
      <c r="D2504" t="s">
        <v>20</v>
      </c>
      <c r="E2504" t="s">
        <v>21</v>
      </c>
      <c r="F2504" s="1">
        <v>45108</v>
      </c>
      <c r="G2504">
        <v>5.76</v>
      </c>
      <c r="H2504">
        <v>79.002600000000001</v>
      </c>
      <c r="I2504">
        <v>25.36</v>
      </c>
      <c r="J2504">
        <v>87.23</v>
      </c>
      <c r="K2504" t="s">
        <v>31</v>
      </c>
      <c r="L2504">
        <v>1619.36</v>
      </c>
      <c r="M2504">
        <f>VLOOKUP(K2504,RatingLookup!$A$2:$C$8,2,FALSE)</f>
        <v>0.04</v>
      </c>
      <c r="N2504">
        <f t="shared" si="117"/>
        <v>3.3960531989175591E-3</v>
      </c>
      <c r="O2504">
        <f>VLOOKUP(K2504,RatingLookup!$A$2:$C$8,3,FALSE)</f>
        <v>0.6</v>
      </c>
      <c r="P2504">
        <f t="shared" si="118"/>
        <v>3.2996596249194829</v>
      </c>
      <c r="Q2504" t="str">
        <f t="shared" ca="1" si="119"/>
        <v>No</v>
      </c>
    </row>
    <row r="2505" spans="1:17" x14ac:dyDescent="0.45">
      <c r="A2505" t="s">
        <v>118</v>
      </c>
      <c r="B2505" t="s">
        <v>119</v>
      </c>
      <c r="C2505" t="s">
        <v>66</v>
      </c>
      <c r="D2505" t="s">
        <v>20</v>
      </c>
      <c r="E2505" t="s">
        <v>21</v>
      </c>
      <c r="F2505" s="1">
        <v>45139</v>
      </c>
      <c r="G2505">
        <v>4.96</v>
      </c>
      <c r="H2505">
        <v>78.934899999999999</v>
      </c>
      <c r="I2505">
        <v>15.4</v>
      </c>
      <c r="J2505">
        <v>83.98</v>
      </c>
      <c r="K2505" t="s">
        <v>31</v>
      </c>
      <c r="L2505">
        <v>1496.8</v>
      </c>
      <c r="M2505">
        <f>VLOOKUP(K2505,RatingLookup!$A$2:$C$8,2,FALSE)</f>
        <v>0.04</v>
      </c>
      <c r="N2505">
        <f t="shared" si="117"/>
        <v>3.3960531989175591E-3</v>
      </c>
      <c r="O2505">
        <f>VLOOKUP(K2505,RatingLookup!$A$2:$C$8,3,FALSE)</f>
        <v>0.6</v>
      </c>
      <c r="P2505">
        <f t="shared" si="118"/>
        <v>3.0499274568838812</v>
      </c>
      <c r="Q2505" t="str">
        <f t="shared" ca="1" si="119"/>
        <v>No</v>
      </c>
    </row>
    <row r="2506" spans="1:17" x14ac:dyDescent="0.45">
      <c r="A2506" t="s">
        <v>118</v>
      </c>
      <c r="B2506" t="s">
        <v>119</v>
      </c>
      <c r="C2506" t="s">
        <v>66</v>
      </c>
      <c r="D2506" t="s">
        <v>20</v>
      </c>
      <c r="E2506" t="s">
        <v>21</v>
      </c>
      <c r="F2506" s="1">
        <v>45170</v>
      </c>
      <c r="G2506">
        <v>3.55</v>
      </c>
      <c r="H2506">
        <v>81.524000000000001</v>
      </c>
      <c r="I2506">
        <v>20.91</v>
      </c>
      <c r="J2506">
        <v>75.37</v>
      </c>
      <c r="K2506" t="s">
        <v>31</v>
      </c>
      <c r="L2506">
        <v>1631.66</v>
      </c>
      <c r="M2506">
        <f>VLOOKUP(K2506,RatingLookup!$A$2:$C$8,2,FALSE)</f>
        <v>0.04</v>
      </c>
      <c r="N2506">
        <f t="shared" si="117"/>
        <v>3.3960531989175591E-3</v>
      </c>
      <c r="O2506">
        <f>VLOOKUP(K2506,RatingLookup!$A$2:$C$8,3,FALSE)</f>
        <v>0.6</v>
      </c>
      <c r="P2506">
        <f t="shared" si="118"/>
        <v>3.3247224975274947</v>
      </c>
      <c r="Q2506" t="str">
        <f t="shared" ca="1" si="119"/>
        <v>No</v>
      </c>
    </row>
    <row r="2507" spans="1:17" x14ac:dyDescent="0.45">
      <c r="A2507" t="s">
        <v>118</v>
      </c>
      <c r="B2507" t="s">
        <v>119</v>
      </c>
      <c r="C2507" t="s">
        <v>66</v>
      </c>
      <c r="D2507" t="s">
        <v>20</v>
      </c>
      <c r="E2507" t="s">
        <v>21</v>
      </c>
      <c r="F2507" s="1">
        <v>45200</v>
      </c>
      <c r="G2507">
        <v>5.0999999999999996</v>
      </c>
      <c r="H2507">
        <v>81.005799999999994</v>
      </c>
      <c r="I2507">
        <v>20.56</v>
      </c>
      <c r="J2507">
        <v>87.58</v>
      </c>
      <c r="K2507" t="s">
        <v>31</v>
      </c>
      <c r="L2507">
        <v>1703.82</v>
      </c>
      <c r="M2507">
        <f>VLOOKUP(K2507,RatingLookup!$A$2:$C$8,2,FALSE)</f>
        <v>0.04</v>
      </c>
      <c r="N2507">
        <f t="shared" si="117"/>
        <v>3.3960531989175591E-3</v>
      </c>
      <c r="O2507">
        <f>VLOOKUP(K2507,RatingLookup!$A$2:$C$8,3,FALSE)</f>
        <v>0.6</v>
      </c>
      <c r="P2507">
        <f t="shared" si="118"/>
        <v>3.4717580168278293</v>
      </c>
      <c r="Q2507" t="str">
        <f t="shared" ca="1" si="119"/>
        <v>No</v>
      </c>
    </row>
    <row r="2508" spans="1:17" x14ac:dyDescent="0.45">
      <c r="A2508" t="s">
        <v>118</v>
      </c>
      <c r="B2508" t="s">
        <v>119</v>
      </c>
      <c r="C2508" t="s">
        <v>66</v>
      </c>
      <c r="D2508" t="s">
        <v>20</v>
      </c>
      <c r="E2508" t="s">
        <v>21</v>
      </c>
      <c r="F2508" s="1">
        <v>45231</v>
      </c>
      <c r="G2508">
        <v>6.24</v>
      </c>
      <c r="H2508">
        <v>84.137799999999999</v>
      </c>
      <c r="I2508">
        <v>19.09</v>
      </c>
      <c r="J2508">
        <v>90.27</v>
      </c>
      <c r="K2508" t="s">
        <v>31</v>
      </c>
      <c r="L2508">
        <v>1722.91</v>
      </c>
      <c r="M2508">
        <f>VLOOKUP(K2508,RatingLookup!$A$2:$C$8,2,FALSE)</f>
        <v>0.04</v>
      </c>
      <c r="N2508">
        <f t="shared" si="117"/>
        <v>3.3960531989175591E-3</v>
      </c>
      <c r="O2508">
        <f>VLOOKUP(K2508,RatingLookup!$A$2:$C$8,3,FALSE)</f>
        <v>0.6</v>
      </c>
      <c r="P2508">
        <f t="shared" si="118"/>
        <v>3.5106564101682309</v>
      </c>
      <c r="Q2508" t="str">
        <f t="shared" ca="1" si="119"/>
        <v>No</v>
      </c>
    </row>
    <row r="2509" spans="1:17" x14ac:dyDescent="0.45">
      <c r="A2509" t="s">
        <v>118</v>
      </c>
      <c r="B2509" t="s">
        <v>119</v>
      </c>
      <c r="C2509" t="s">
        <v>66</v>
      </c>
      <c r="D2509" t="s">
        <v>20</v>
      </c>
      <c r="E2509" t="s">
        <v>21</v>
      </c>
      <c r="F2509" s="1">
        <v>45261</v>
      </c>
      <c r="G2509">
        <v>5.39</v>
      </c>
      <c r="H2509">
        <v>89.580799999999996</v>
      </c>
      <c r="I2509">
        <v>19.809999999999999</v>
      </c>
      <c r="J2509">
        <v>80.010000000000005</v>
      </c>
      <c r="K2509" t="s">
        <v>31</v>
      </c>
      <c r="L2509">
        <v>1544.51</v>
      </c>
      <c r="M2509">
        <f>VLOOKUP(K2509,RatingLookup!$A$2:$C$8,2,FALSE)</f>
        <v>0.04</v>
      </c>
      <c r="N2509">
        <f t="shared" si="117"/>
        <v>3.3960531989175591E-3</v>
      </c>
      <c r="O2509">
        <f>VLOOKUP(K2509,RatingLookup!$A$2:$C$8,3,FALSE)</f>
        <v>0.6</v>
      </c>
      <c r="P2509">
        <f t="shared" si="118"/>
        <v>3.1471428757560953</v>
      </c>
      <c r="Q2509" t="str">
        <f t="shared" ca="1" si="119"/>
        <v>No</v>
      </c>
    </row>
    <row r="2510" spans="1:17" x14ac:dyDescent="0.45">
      <c r="A2510" t="s">
        <v>118</v>
      </c>
      <c r="B2510" t="s">
        <v>119</v>
      </c>
      <c r="C2510" t="s">
        <v>66</v>
      </c>
      <c r="D2510" t="s">
        <v>20</v>
      </c>
      <c r="E2510" t="s">
        <v>21</v>
      </c>
      <c r="F2510" s="1">
        <v>45292</v>
      </c>
      <c r="G2510">
        <v>5.68</v>
      </c>
      <c r="H2510">
        <v>83.643600000000006</v>
      </c>
      <c r="I2510">
        <v>20.260000000000002</v>
      </c>
      <c r="J2510">
        <v>81.47</v>
      </c>
      <c r="K2510" t="s">
        <v>31</v>
      </c>
      <c r="L2510">
        <v>1539.42</v>
      </c>
      <c r="M2510">
        <f>VLOOKUP(K2510,RatingLookup!$A$2:$C$8,2,FALSE)</f>
        <v>0.04</v>
      </c>
      <c r="N2510">
        <f t="shared" si="117"/>
        <v>3.3960531989175591E-3</v>
      </c>
      <c r="O2510">
        <f>VLOOKUP(K2510,RatingLookup!$A$2:$C$8,3,FALSE)</f>
        <v>0.6</v>
      </c>
      <c r="P2510">
        <f t="shared" si="118"/>
        <v>3.1367713292866011</v>
      </c>
      <c r="Q2510" t="str">
        <f t="shared" ca="1" si="119"/>
        <v>No</v>
      </c>
    </row>
    <row r="2511" spans="1:17" x14ac:dyDescent="0.45">
      <c r="A2511" t="s">
        <v>118</v>
      </c>
      <c r="B2511" t="s">
        <v>119</v>
      </c>
      <c r="C2511" t="s">
        <v>66</v>
      </c>
      <c r="D2511" t="s">
        <v>20</v>
      </c>
      <c r="E2511" t="s">
        <v>21</v>
      </c>
      <c r="F2511" s="1">
        <v>45323</v>
      </c>
      <c r="G2511">
        <v>4.24</v>
      </c>
      <c r="H2511">
        <v>85.706100000000006</v>
      </c>
      <c r="I2511">
        <v>16.440000000000001</v>
      </c>
      <c r="J2511">
        <v>70.33</v>
      </c>
      <c r="K2511" t="s">
        <v>31</v>
      </c>
      <c r="L2511">
        <v>1588.72</v>
      </c>
      <c r="M2511">
        <f>VLOOKUP(K2511,RatingLookup!$A$2:$C$8,2,FALSE)</f>
        <v>0.04</v>
      </c>
      <c r="N2511">
        <f t="shared" si="117"/>
        <v>3.3960531989175591E-3</v>
      </c>
      <c r="O2511">
        <f>VLOOKUP(K2511,RatingLookup!$A$2:$C$8,3,FALSE)</f>
        <v>0.6</v>
      </c>
      <c r="P2511">
        <f t="shared" si="118"/>
        <v>3.2372265829105826</v>
      </c>
      <c r="Q2511" t="str">
        <f t="shared" ca="1" si="119"/>
        <v>No</v>
      </c>
    </row>
    <row r="2512" spans="1:17" x14ac:dyDescent="0.45">
      <c r="A2512" t="s">
        <v>118</v>
      </c>
      <c r="B2512" t="s">
        <v>119</v>
      </c>
      <c r="C2512" t="s">
        <v>66</v>
      </c>
      <c r="D2512" t="s">
        <v>20</v>
      </c>
      <c r="E2512" t="s">
        <v>21</v>
      </c>
      <c r="F2512" s="1">
        <v>45352</v>
      </c>
      <c r="G2512">
        <v>4.91</v>
      </c>
      <c r="H2512">
        <v>84.326099999999997</v>
      </c>
      <c r="I2512">
        <v>17.38</v>
      </c>
      <c r="J2512">
        <v>73.19</v>
      </c>
      <c r="K2512" t="s">
        <v>31</v>
      </c>
      <c r="L2512">
        <v>1432.57</v>
      </c>
      <c r="M2512">
        <f>VLOOKUP(K2512,RatingLookup!$A$2:$C$8,2,FALSE)</f>
        <v>0.04</v>
      </c>
      <c r="N2512">
        <f t="shared" si="117"/>
        <v>3.3960531989175591E-3</v>
      </c>
      <c r="O2512">
        <f>VLOOKUP(K2512,RatingLookup!$A$2:$C$8,3,FALSE)</f>
        <v>0.6</v>
      </c>
      <c r="P2512">
        <f t="shared" si="118"/>
        <v>2.9190503587039962</v>
      </c>
      <c r="Q2512" t="str">
        <f t="shared" ca="1" si="119"/>
        <v>No</v>
      </c>
    </row>
    <row r="2513" spans="1:17" x14ac:dyDescent="0.45">
      <c r="A2513" t="s">
        <v>118</v>
      </c>
      <c r="B2513" t="s">
        <v>119</v>
      </c>
      <c r="C2513" t="s">
        <v>66</v>
      </c>
      <c r="D2513" t="s">
        <v>20</v>
      </c>
      <c r="E2513" t="s">
        <v>21</v>
      </c>
      <c r="F2513" s="1">
        <v>45383</v>
      </c>
      <c r="G2513">
        <v>5.9</v>
      </c>
      <c r="H2513">
        <v>82.708399999999997</v>
      </c>
      <c r="I2513">
        <v>13.42</v>
      </c>
      <c r="J2513">
        <v>78.680000000000007</v>
      </c>
      <c r="K2513" t="s">
        <v>31</v>
      </c>
      <c r="L2513">
        <v>1581.62</v>
      </c>
      <c r="M2513">
        <f>VLOOKUP(K2513,RatingLookup!$A$2:$C$8,2,FALSE)</f>
        <v>0.04</v>
      </c>
      <c r="N2513">
        <f t="shared" si="117"/>
        <v>3.3960531989175591E-3</v>
      </c>
      <c r="O2513">
        <f>VLOOKUP(K2513,RatingLookup!$A$2:$C$8,3,FALSE)</f>
        <v>0.6</v>
      </c>
      <c r="P2513">
        <f t="shared" si="118"/>
        <v>3.2227593962831933</v>
      </c>
      <c r="Q2513" t="str">
        <f t="shared" ca="1" si="119"/>
        <v>No</v>
      </c>
    </row>
    <row r="2514" spans="1:17" x14ac:dyDescent="0.45">
      <c r="A2514" t="s">
        <v>118</v>
      </c>
      <c r="B2514" t="s">
        <v>119</v>
      </c>
      <c r="C2514" t="s">
        <v>66</v>
      </c>
      <c r="D2514" t="s">
        <v>20</v>
      </c>
      <c r="E2514" t="s">
        <v>21</v>
      </c>
      <c r="F2514" s="1">
        <v>45413</v>
      </c>
      <c r="G2514">
        <v>5.92</v>
      </c>
      <c r="H2514">
        <v>84.850800000000007</v>
      </c>
      <c r="I2514">
        <v>18.13</v>
      </c>
      <c r="J2514">
        <v>91.8</v>
      </c>
      <c r="K2514" t="s">
        <v>31</v>
      </c>
      <c r="L2514">
        <v>1510.07</v>
      </c>
      <c r="M2514">
        <f>VLOOKUP(K2514,RatingLookup!$A$2:$C$8,2,FALSE)</f>
        <v>0.04</v>
      </c>
      <c r="N2514">
        <f t="shared" si="117"/>
        <v>3.3960531989175591E-3</v>
      </c>
      <c r="O2514">
        <f>VLOOKUP(K2514,RatingLookup!$A$2:$C$8,3,FALSE)</f>
        <v>0.6</v>
      </c>
      <c r="P2514">
        <f t="shared" si="118"/>
        <v>3.076966832453663</v>
      </c>
      <c r="Q2514" t="str">
        <f t="shared" ca="1" si="119"/>
        <v>No</v>
      </c>
    </row>
    <row r="2515" spans="1:17" x14ac:dyDescent="0.45">
      <c r="A2515" t="s">
        <v>118</v>
      </c>
      <c r="B2515" t="s">
        <v>119</v>
      </c>
      <c r="C2515" t="s">
        <v>66</v>
      </c>
      <c r="D2515" t="s">
        <v>20</v>
      </c>
      <c r="E2515" t="s">
        <v>21</v>
      </c>
      <c r="F2515" s="1">
        <v>45444</v>
      </c>
      <c r="G2515">
        <v>5.76</v>
      </c>
      <c r="H2515">
        <v>84.138000000000005</v>
      </c>
      <c r="I2515">
        <v>26.18</v>
      </c>
      <c r="J2515">
        <v>98.66</v>
      </c>
      <c r="K2515" t="s">
        <v>31</v>
      </c>
      <c r="L2515">
        <v>1607.73</v>
      </c>
      <c r="M2515">
        <f>VLOOKUP(K2515,RatingLookup!$A$2:$C$8,2,FALSE)</f>
        <v>0.04</v>
      </c>
      <c r="N2515">
        <f t="shared" si="117"/>
        <v>3.3960531989175591E-3</v>
      </c>
      <c r="O2515">
        <f>VLOOKUP(K2515,RatingLookup!$A$2:$C$8,3,FALSE)</f>
        <v>0.6</v>
      </c>
      <c r="P2515">
        <f t="shared" si="118"/>
        <v>3.2759619656974364</v>
      </c>
      <c r="Q2515" t="str">
        <f t="shared" ca="1" si="119"/>
        <v>No</v>
      </c>
    </row>
    <row r="2516" spans="1:17" x14ac:dyDescent="0.45">
      <c r="A2516" t="s">
        <v>118</v>
      </c>
      <c r="B2516" t="s">
        <v>119</v>
      </c>
      <c r="C2516" t="s">
        <v>66</v>
      </c>
      <c r="D2516" t="s">
        <v>20</v>
      </c>
      <c r="E2516" t="s">
        <v>21</v>
      </c>
      <c r="F2516" s="1">
        <v>45474</v>
      </c>
      <c r="G2516">
        <v>4.1399999999999997</v>
      </c>
      <c r="H2516">
        <v>86.325800000000001</v>
      </c>
      <c r="I2516">
        <v>30.22</v>
      </c>
      <c r="J2516">
        <v>83.53</v>
      </c>
      <c r="K2516" t="s">
        <v>31</v>
      </c>
      <c r="L2516">
        <v>1461.13</v>
      </c>
      <c r="M2516">
        <f>VLOOKUP(K2516,RatingLookup!$A$2:$C$8,2,FALSE)</f>
        <v>0.04</v>
      </c>
      <c r="N2516">
        <f t="shared" si="117"/>
        <v>3.3960531989175591E-3</v>
      </c>
      <c r="O2516">
        <f>VLOOKUP(K2516,RatingLookup!$A$2:$C$8,3,FALSE)</f>
        <v>0.6</v>
      </c>
      <c r="P2516">
        <f t="shared" si="118"/>
        <v>2.9772451263206481</v>
      </c>
      <c r="Q2516" t="str">
        <f t="shared" ca="1" si="119"/>
        <v>No</v>
      </c>
    </row>
    <row r="2517" spans="1:17" x14ac:dyDescent="0.45">
      <c r="A2517" t="s">
        <v>118</v>
      </c>
      <c r="B2517" t="s">
        <v>119</v>
      </c>
      <c r="C2517" t="s">
        <v>66</v>
      </c>
      <c r="D2517" t="s">
        <v>20</v>
      </c>
      <c r="E2517" t="s">
        <v>21</v>
      </c>
      <c r="F2517" s="1">
        <v>45505</v>
      </c>
      <c r="G2517">
        <v>6.33</v>
      </c>
      <c r="H2517">
        <v>83.450999999999993</v>
      </c>
      <c r="I2517">
        <v>20.56</v>
      </c>
      <c r="J2517">
        <v>64.459999999999994</v>
      </c>
      <c r="K2517" t="s">
        <v>31</v>
      </c>
      <c r="L2517">
        <v>1456.54</v>
      </c>
      <c r="M2517">
        <f>VLOOKUP(K2517,RatingLookup!$A$2:$C$8,2,FALSE)</f>
        <v>0.04</v>
      </c>
      <c r="N2517">
        <f t="shared" si="117"/>
        <v>3.3960531989175591E-3</v>
      </c>
      <c r="O2517">
        <f>VLOOKUP(K2517,RatingLookup!$A$2:$C$8,3,FALSE)</f>
        <v>0.6</v>
      </c>
      <c r="P2517">
        <f t="shared" si="118"/>
        <v>2.967892395810829</v>
      </c>
      <c r="Q2517" t="str">
        <f t="shared" ca="1" si="119"/>
        <v>No</v>
      </c>
    </row>
    <row r="2518" spans="1:17" x14ac:dyDescent="0.45">
      <c r="A2518" t="s">
        <v>118</v>
      </c>
      <c r="B2518" t="s">
        <v>119</v>
      </c>
      <c r="C2518" t="s">
        <v>66</v>
      </c>
      <c r="D2518" t="s">
        <v>20</v>
      </c>
      <c r="E2518" t="s">
        <v>21</v>
      </c>
      <c r="F2518" s="1">
        <v>45536</v>
      </c>
      <c r="G2518">
        <v>4.93</v>
      </c>
      <c r="H2518">
        <v>81.4465</v>
      </c>
      <c r="I2518">
        <v>11.91</v>
      </c>
      <c r="J2518">
        <v>81.349999999999994</v>
      </c>
      <c r="K2518" t="s">
        <v>31</v>
      </c>
      <c r="L2518">
        <v>1596.97</v>
      </c>
      <c r="M2518">
        <f>VLOOKUP(K2518,RatingLookup!$A$2:$C$8,2,FALSE)</f>
        <v>0.04</v>
      </c>
      <c r="N2518">
        <f t="shared" si="117"/>
        <v>3.3960531989175591E-3</v>
      </c>
      <c r="O2518">
        <f>VLOOKUP(K2518,RatingLookup!$A$2:$C$8,3,FALSE)</f>
        <v>0.6</v>
      </c>
      <c r="P2518">
        <f t="shared" si="118"/>
        <v>3.2540370462452248</v>
      </c>
      <c r="Q2518" t="str">
        <f t="shared" ca="1" si="119"/>
        <v>No</v>
      </c>
    </row>
    <row r="2519" spans="1:17" x14ac:dyDescent="0.45">
      <c r="A2519" t="s">
        <v>118</v>
      </c>
      <c r="B2519" t="s">
        <v>119</v>
      </c>
      <c r="C2519" t="s">
        <v>66</v>
      </c>
      <c r="D2519" t="s">
        <v>20</v>
      </c>
      <c r="E2519" t="s">
        <v>21</v>
      </c>
      <c r="F2519" s="1">
        <v>45566</v>
      </c>
      <c r="G2519">
        <v>6.21</v>
      </c>
      <c r="H2519">
        <v>84.392899999999997</v>
      </c>
      <c r="I2519">
        <v>24.86</v>
      </c>
      <c r="J2519">
        <v>84.41</v>
      </c>
      <c r="K2519" t="s">
        <v>31</v>
      </c>
      <c r="L2519">
        <v>1639.44</v>
      </c>
      <c r="M2519">
        <f>VLOOKUP(K2519,RatingLookup!$A$2:$C$8,2,FALSE)</f>
        <v>0.04</v>
      </c>
      <c r="N2519">
        <f t="shared" si="117"/>
        <v>3.3960531989175591E-3</v>
      </c>
      <c r="O2519">
        <f>VLOOKUP(K2519,RatingLookup!$A$2:$C$8,3,FALSE)</f>
        <v>0.6</v>
      </c>
      <c r="P2519">
        <f t="shared" si="118"/>
        <v>3.340575273860042</v>
      </c>
      <c r="Q2519" t="str">
        <f t="shared" ca="1" si="119"/>
        <v>No</v>
      </c>
    </row>
    <row r="2520" spans="1:17" x14ac:dyDescent="0.45">
      <c r="A2520" t="s">
        <v>118</v>
      </c>
      <c r="B2520" t="s">
        <v>119</v>
      </c>
      <c r="C2520" t="s">
        <v>66</v>
      </c>
      <c r="D2520" t="s">
        <v>20</v>
      </c>
      <c r="E2520" t="s">
        <v>21</v>
      </c>
      <c r="F2520" s="1">
        <v>45597</v>
      </c>
      <c r="G2520">
        <v>6.41</v>
      </c>
      <c r="H2520">
        <v>86.406400000000005</v>
      </c>
      <c r="I2520">
        <v>12.11</v>
      </c>
      <c r="J2520">
        <v>85.44</v>
      </c>
      <c r="K2520" t="s">
        <v>31</v>
      </c>
      <c r="L2520">
        <v>1589.25</v>
      </c>
      <c r="M2520">
        <f>VLOOKUP(K2520,RatingLookup!$A$2:$C$8,2,FALSE)</f>
        <v>0.04</v>
      </c>
      <c r="N2520">
        <f t="shared" si="117"/>
        <v>3.3960531989175591E-3</v>
      </c>
      <c r="O2520">
        <f>VLOOKUP(K2520,RatingLookup!$A$2:$C$8,3,FALSE)</f>
        <v>0.6</v>
      </c>
      <c r="P2520">
        <f t="shared" si="118"/>
        <v>3.2383065278278385</v>
      </c>
      <c r="Q2520" t="str">
        <f t="shared" ca="1" si="119"/>
        <v>No</v>
      </c>
    </row>
    <row r="2521" spans="1:17" x14ac:dyDescent="0.45">
      <c r="A2521" t="s">
        <v>118</v>
      </c>
      <c r="B2521" t="s">
        <v>119</v>
      </c>
      <c r="C2521" t="s">
        <v>66</v>
      </c>
      <c r="D2521" t="s">
        <v>20</v>
      </c>
      <c r="E2521" t="s">
        <v>21</v>
      </c>
      <c r="F2521" s="1">
        <v>45627</v>
      </c>
      <c r="G2521">
        <v>4.8499999999999996</v>
      </c>
      <c r="H2521">
        <v>83.027299999999997</v>
      </c>
      <c r="I2521">
        <v>20.12</v>
      </c>
      <c r="J2521">
        <v>70.099999999999994</v>
      </c>
      <c r="K2521" t="s">
        <v>31</v>
      </c>
      <c r="L2521">
        <v>1514.37</v>
      </c>
      <c r="M2521">
        <f>VLOOKUP(K2521,RatingLookup!$A$2:$C$8,2,FALSE)</f>
        <v>0.04</v>
      </c>
      <c r="N2521">
        <f t="shared" si="117"/>
        <v>3.3960531989175591E-3</v>
      </c>
      <c r="O2521">
        <f>VLOOKUP(K2521,RatingLookup!$A$2:$C$8,3,FALSE)</f>
        <v>0.6</v>
      </c>
      <c r="P2521">
        <f t="shared" si="118"/>
        <v>3.0857286497068701</v>
      </c>
      <c r="Q2521" t="str">
        <f t="shared" ca="1" si="119"/>
        <v>No</v>
      </c>
    </row>
    <row r="2522" spans="1:17" x14ac:dyDescent="0.45">
      <c r="A2522" t="s">
        <v>120</v>
      </c>
      <c r="B2522" t="s">
        <v>121</v>
      </c>
      <c r="C2522" t="s">
        <v>40</v>
      </c>
      <c r="D2522" t="s">
        <v>20</v>
      </c>
      <c r="E2522" t="s">
        <v>21</v>
      </c>
      <c r="F2522" s="1">
        <v>43831</v>
      </c>
      <c r="G2522">
        <v>4.84</v>
      </c>
      <c r="H2522">
        <v>75.338200000000001</v>
      </c>
      <c r="I2522">
        <v>25.42</v>
      </c>
      <c r="J2522">
        <v>93.22</v>
      </c>
      <c r="K2522" t="s">
        <v>22</v>
      </c>
      <c r="L2522">
        <v>9688.9699999999993</v>
      </c>
      <c r="M2522">
        <f>VLOOKUP(K2522,RatingLookup!$A$2:$C$8,2,FALSE)</f>
        <v>5.0000000000000001E-3</v>
      </c>
      <c r="N2522">
        <f t="shared" si="117"/>
        <v>4.1762458919303302E-4</v>
      </c>
      <c r="O2522">
        <f>VLOOKUP(K2522,RatingLookup!$A$2:$C$8,3,FALSE)</f>
        <v>0.45</v>
      </c>
      <c r="P2522">
        <f t="shared" si="118"/>
        <v>1.8208584521791293</v>
      </c>
      <c r="Q2522" t="str">
        <f t="shared" ca="1" si="119"/>
        <v>No</v>
      </c>
    </row>
    <row r="2523" spans="1:17" x14ac:dyDescent="0.45">
      <c r="A2523" t="s">
        <v>120</v>
      </c>
      <c r="B2523" t="s">
        <v>121</v>
      </c>
      <c r="C2523" t="s">
        <v>40</v>
      </c>
      <c r="D2523" t="s">
        <v>20</v>
      </c>
      <c r="E2523" t="s">
        <v>21</v>
      </c>
      <c r="F2523" s="1">
        <v>43862</v>
      </c>
      <c r="G2523">
        <v>5.33</v>
      </c>
      <c r="H2523">
        <v>84.656700000000001</v>
      </c>
      <c r="I2523">
        <v>14.06</v>
      </c>
      <c r="J2523">
        <v>77.849999999999994</v>
      </c>
      <c r="K2523" t="s">
        <v>22</v>
      </c>
      <c r="L2523">
        <v>9087.6200000000008</v>
      </c>
      <c r="M2523">
        <f>VLOOKUP(K2523,RatingLookup!$A$2:$C$8,2,FALSE)</f>
        <v>5.0000000000000001E-3</v>
      </c>
      <c r="N2523">
        <f t="shared" si="117"/>
        <v>4.1762458919303302E-4</v>
      </c>
      <c r="O2523">
        <f>VLOOKUP(K2523,RatingLookup!$A$2:$C$8,3,FALSE)</f>
        <v>0.45</v>
      </c>
      <c r="P2523">
        <f t="shared" si="118"/>
        <v>1.7078461061590759</v>
      </c>
      <c r="Q2523" t="str">
        <f t="shared" ca="1" si="119"/>
        <v>No</v>
      </c>
    </row>
    <row r="2524" spans="1:17" x14ac:dyDescent="0.45">
      <c r="A2524" t="s">
        <v>120</v>
      </c>
      <c r="B2524" t="s">
        <v>121</v>
      </c>
      <c r="C2524" t="s">
        <v>40</v>
      </c>
      <c r="D2524" t="s">
        <v>20</v>
      </c>
      <c r="E2524" t="s">
        <v>21</v>
      </c>
      <c r="F2524" s="1">
        <v>43891</v>
      </c>
      <c r="G2524">
        <v>5.74</v>
      </c>
      <c r="H2524">
        <v>81.125100000000003</v>
      </c>
      <c r="I2524">
        <v>29.03</v>
      </c>
      <c r="J2524">
        <v>78.319999999999993</v>
      </c>
      <c r="K2524" t="s">
        <v>22</v>
      </c>
      <c r="L2524">
        <v>9636.26</v>
      </c>
      <c r="M2524">
        <f>VLOOKUP(K2524,RatingLookup!$A$2:$C$8,2,FALSE)</f>
        <v>5.0000000000000001E-3</v>
      </c>
      <c r="N2524">
        <f t="shared" si="117"/>
        <v>4.1762458919303302E-4</v>
      </c>
      <c r="O2524">
        <f>VLOOKUP(K2524,RatingLookup!$A$2:$C$8,3,FALSE)</f>
        <v>0.45</v>
      </c>
      <c r="P2524">
        <f t="shared" si="118"/>
        <v>1.8109526057357654</v>
      </c>
      <c r="Q2524" t="str">
        <f t="shared" ca="1" si="119"/>
        <v>No</v>
      </c>
    </row>
    <row r="2525" spans="1:17" x14ac:dyDescent="0.45">
      <c r="A2525" t="s">
        <v>120</v>
      </c>
      <c r="B2525" t="s">
        <v>121</v>
      </c>
      <c r="C2525" t="s">
        <v>40</v>
      </c>
      <c r="D2525" t="s">
        <v>20</v>
      </c>
      <c r="E2525" t="s">
        <v>21</v>
      </c>
      <c r="F2525" s="1">
        <v>43922</v>
      </c>
      <c r="G2525">
        <v>4.93</v>
      </c>
      <c r="H2525">
        <v>81.1614</v>
      </c>
      <c r="I2525">
        <v>16.61</v>
      </c>
      <c r="J2525">
        <v>77.930000000000007</v>
      </c>
      <c r="K2525" t="s">
        <v>22</v>
      </c>
      <c r="L2525">
        <v>8550.39</v>
      </c>
      <c r="M2525">
        <f>VLOOKUP(K2525,RatingLookup!$A$2:$C$8,2,FALSE)</f>
        <v>5.0000000000000001E-3</v>
      </c>
      <c r="N2525">
        <f t="shared" si="117"/>
        <v>4.1762458919303302E-4</v>
      </c>
      <c r="O2525">
        <f>VLOOKUP(K2525,RatingLookup!$A$2:$C$8,3,FALSE)</f>
        <v>0.45</v>
      </c>
      <c r="P2525">
        <f t="shared" si="118"/>
        <v>1.6068839000355979</v>
      </c>
      <c r="Q2525" t="str">
        <f t="shared" ca="1" si="119"/>
        <v>No</v>
      </c>
    </row>
    <row r="2526" spans="1:17" x14ac:dyDescent="0.45">
      <c r="A2526" t="s">
        <v>120</v>
      </c>
      <c r="B2526" t="s">
        <v>121</v>
      </c>
      <c r="C2526" t="s">
        <v>40</v>
      </c>
      <c r="D2526" t="s">
        <v>20</v>
      </c>
      <c r="E2526" t="s">
        <v>21</v>
      </c>
      <c r="F2526" s="1">
        <v>43952</v>
      </c>
      <c r="G2526">
        <v>5.26</v>
      </c>
      <c r="H2526">
        <v>87.921400000000006</v>
      </c>
      <c r="I2526">
        <v>18.62</v>
      </c>
      <c r="J2526">
        <v>56.88</v>
      </c>
      <c r="K2526" t="s">
        <v>22</v>
      </c>
      <c r="L2526">
        <v>9538.4</v>
      </c>
      <c r="M2526">
        <f>VLOOKUP(K2526,RatingLookup!$A$2:$C$8,2,FALSE)</f>
        <v>5.0000000000000001E-3</v>
      </c>
      <c r="N2526">
        <f t="shared" si="117"/>
        <v>4.1762458919303302E-4</v>
      </c>
      <c r="O2526">
        <f>VLOOKUP(K2526,RatingLookup!$A$2:$C$8,3,FALSE)</f>
        <v>0.45</v>
      </c>
      <c r="P2526">
        <f t="shared" si="118"/>
        <v>1.7925616717014716</v>
      </c>
      <c r="Q2526" t="str">
        <f t="shared" ca="1" si="119"/>
        <v>No</v>
      </c>
    </row>
    <row r="2527" spans="1:17" x14ac:dyDescent="0.45">
      <c r="A2527" t="s">
        <v>120</v>
      </c>
      <c r="B2527" t="s">
        <v>121</v>
      </c>
      <c r="C2527" t="s">
        <v>40</v>
      </c>
      <c r="D2527" t="s">
        <v>20</v>
      </c>
      <c r="E2527" t="s">
        <v>21</v>
      </c>
      <c r="F2527" s="1">
        <v>43983</v>
      </c>
      <c r="G2527">
        <v>4.87</v>
      </c>
      <c r="H2527">
        <v>80.851399999999998</v>
      </c>
      <c r="I2527">
        <v>24.31</v>
      </c>
      <c r="J2527">
        <v>59.67</v>
      </c>
      <c r="K2527" t="s">
        <v>22</v>
      </c>
      <c r="L2527">
        <v>9118.99</v>
      </c>
      <c r="M2527">
        <f>VLOOKUP(K2527,RatingLookup!$A$2:$C$8,2,FALSE)</f>
        <v>5.0000000000000001E-3</v>
      </c>
      <c r="N2527">
        <f t="shared" si="117"/>
        <v>4.1762458919303302E-4</v>
      </c>
      <c r="O2527">
        <f>VLOOKUP(K2527,RatingLookup!$A$2:$C$8,3,FALSE)</f>
        <v>0.45</v>
      </c>
      <c r="P2527">
        <f t="shared" si="118"/>
        <v>1.7137415036724193</v>
      </c>
      <c r="Q2527" t="str">
        <f t="shared" ca="1" si="119"/>
        <v>No</v>
      </c>
    </row>
    <row r="2528" spans="1:17" x14ac:dyDescent="0.45">
      <c r="A2528" t="s">
        <v>120</v>
      </c>
      <c r="B2528" t="s">
        <v>121</v>
      </c>
      <c r="C2528" t="s">
        <v>40</v>
      </c>
      <c r="D2528" t="s">
        <v>20</v>
      </c>
      <c r="E2528" t="s">
        <v>21</v>
      </c>
      <c r="F2528" s="1">
        <v>44013</v>
      </c>
      <c r="G2528">
        <v>5.29</v>
      </c>
      <c r="H2528">
        <v>79.766099999999994</v>
      </c>
      <c r="I2528">
        <v>19.510000000000002</v>
      </c>
      <c r="J2528">
        <v>66.66</v>
      </c>
      <c r="K2528" t="s">
        <v>22</v>
      </c>
      <c r="L2528">
        <v>9012.76</v>
      </c>
      <c r="M2528">
        <f>VLOOKUP(K2528,RatingLookup!$A$2:$C$8,2,FALSE)</f>
        <v>5.0000000000000001E-3</v>
      </c>
      <c r="N2528">
        <f t="shared" si="117"/>
        <v>4.1762458919303302E-4</v>
      </c>
      <c r="O2528">
        <f>VLOOKUP(K2528,RatingLookup!$A$2:$C$8,3,FALSE)</f>
        <v>0.45</v>
      </c>
      <c r="P2528">
        <f t="shared" si="118"/>
        <v>1.6937775866229303</v>
      </c>
      <c r="Q2528" t="str">
        <f t="shared" ca="1" si="119"/>
        <v>No</v>
      </c>
    </row>
    <row r="2529" spans="1:17" x14ac:dyDescent="0.45">
      <c r="A2529" t="s">
        <v>120</v>
      </c>
      <c r="B2529" t="s">
        <v>121</v>
      </c>
      <c r="C2529" t="s">
        <v>40</v>
      </c>
      <c r="D2529" t="s">
        <v>20</v>
      </c>
      <c r="E2529" t="s">
        <v>21</v>
      </c>
      <c r="F2529" s="1">
        <v>44044</v>
      </c>
      <c r="G2529">
        <v>5.91</v>
      </c>
      <c r="H2529">
        <v>80.448099999999997</v>
      </c>
      <c r="I2529">
        <v>27.41</v>
      </c>
      <c r="J2529">
        <v>80.150000000000006</v>
      </c>
      <c r="K2529" t="s">
        <v>22</v>
      </c>
      <c r="L2529">
        <v>9355.92</v>
      </c>
      <c r="M2529">
        <f>VLOOKUP(K2529,RatingLookup!$A$2:$C$8,2,FALSE)</f>
        <v>5.0000000000000001E-3</v>
      </c>
      <c r="N2529">
        <f t="shared" si="117"/>
        <v>4.1762458919303302E-4</v>
      </c>
      <c r="O2529">
        <f>VLOOKUP(K2529,RatingLookup!$A$2:$C$8,3,FALSE)</f>
        <v>0.45</v>
      </c>
      <c r="P2529">
        <f t="shared" si="118"/>
        <v>1.7582680109352966</v>
      </c>
      <c r="Q2529" t="str">
        <f t="shared" ca="1" si="119"/>
        <v>No</v>
      </c>
    </row>
    <row r="2530" spans="1:17" x14ac:dyDescent="0.45">
      <c r="A2530" t="s">
        <v>120</v>
      </c>
      <c r="B2530" t="s">
        <v>121</v>
      </c>
      <c r="C2530" t="s">
        <v>40</v>
      </c>
      <c r="D2530" t="s">
        <v>20</v>
      </c>
      <c r="E2530" t="s">
        <v>21</v>
      </c>
      <c r="F2530" s="1">
        <v>44075</v>
      </c>
      <c r="G2530">
        <v>5.65</v>
      </c>
      <c r="H2530">
        <v>82.473799999999997</v>
      </c>
      <c r="I2530">
        <v>29.84</v>
      </c>
      <c r="J2530">
        <v>71.41</v>
      </c>
      <c r="K2530" t="s">
        <v>22</v>
      </c>
      <c r="L2530">
        <v>9466.8700000000008</v>
      </c>
      <c r="M2530">
        <f>VLOOKUP(K2530,RatingLookup!$A$2:$C$8,2,FALSE)</f>
        <v>5.0000000000000001E-3</v>
      </c>
      <c r="N2530">
        <f t="shared" si="117"/>
        <v>4.1762458919303302E-4</v>
      </c>
      <c r="O2530">
        <f>VLOOKUP(K2530,RatingLookup!$A$2:$C$8,3,FALSE)</f>
        <v>0.45</v>
      </c>
      <c r="P2530">
        <f t="shared" si="118"/>
        <v>1.7791189626122321</v>
      </c>
      <c r="Q2530" t="str">
        <f t="shared" ca="1" si="119"/>
        <v>No</v>
      </c>
    </row>
    <row r="2531" spans="1:17" x14ac:dyDescent="0.45">
      <c r="A2531" t="s">
        <v>120</v>
      </c>
      <c r="B2531" t="s">
        <v>121</v>
      </c>
      <c r="C2531" t="s">
        <v>40</v>
      </c>
      <c r="D2531" t="s">
        <v>20</v>
      </c>
      <c r="E2531" t="s">
        <v>21</v>
      </c>
      <c r="F2531" s="1">
        <v>44105</v>
      </c>
      <c r="G2531">
        <v>5.52</v>
      </c>
      <c r="H2531">
        <v>81.263000000000005</v>
      </c>
      <c r="I2531">
        <v>9.11</v>
      </c>
      <c r="J2531">
        <v>85.77</v>
      </c>
      <c r="K2531" t="s">
        <v>22</v>
      </c>
      <c r="L2531">
        <v>8709.5</v>
      </c>
      <c r="M2531">
        <f>VLOOKUP(K2531,RatingLookup!$A$2:$C$8,2,FALSE)</f>
        <v>5.0000000000000001E-3</v>
      </c>
      <c r="N2531">
        <f t="shared" si="117"/>
        <v>4.1762458919303302E-4</v>
      </c>
      <c r="O2531">
        <f>VLOOKUP(K2531,RatingLookup!$A$2:$C$8,3,FALSE)</f>
        <v>0.45</v>
      </c>
      <c r="P2531">
        <f t="shared" si="118"/>
        <v>1.6367856118095245</v>
      </c>
      <c r="Q2531" t="str">
        <f t="shared" ca="1" si="119"/>
        <v>No</v>
      </c>
    </row>
    <row r="2532" spans="1:17" x14ac:dyDescent="0.45">
      <c r="A2532" t="s">
        <v>120</v>
      </c>
      <c r="B2532" t="s">
        <v>121</v>
      </c>
      <c r="C2532" t="s">
        <v>40</v>
      </c>
      <c r="D2532" t="s">
        <v>20</v>
      </c>
      <c r="E2532" t="s">
        <v>21</v>
      </c>
      <c r="F2532" s="1">
        <v>44136</v>
      </c>
      <c r="G2532">
        <v>5.82</v>
      </c>
      <c r="H2532">
        <v>86.402699999999996</v>
      </c>
      <c r="I2532">
        <v>29.75</v>
      </c>
      <c r="J2532">
        <v>72.94</v>
      </c>
      <c r="K2532" t="s">
        <v>22</v>
      </c>
      <c r="L2532">
        <v>9251.1200000000008</v>
      </c>
      <c r="M2532">
        <f>VLOOKUP(K2532,RatingLookup!$A$2:$C$8,2,FALSE)</f>
        <v>5.0000000000000001E-3</v>
      </c>
      <c r="N2532">
        <f t="shared" si="117"/>
        <v>4.1762458919303302E-4</v>
      </c>
      <c r="O2532">
        <f>VLOOKUP(K2532,RatingLookup!$A$2:$C$8,3,FALSE)</f>
        <v>0.45</v>
      </c>
      <c r="P2532">
        <f t="shared" si="118"/>
        <v>1.7385728353089536</v>
      </c>
      <c r="Q2532" t="str">
        <f t="shared" ca="1" si="119"/>
        <v>No</v>
      </c>
    </row>
    <row r="2533" spans="1:17" x14ac:dyDescent="0.45">
      <c r="A2533" t="s">
        <v>120</v>
      </c>
      <c r="B2533" t="s">
        <v>121</v>
      </c>
      <c r="C2533" t="s">
        <v>40</v>
      </c>
      <c r="D2533" t="s">
        <v>20</v>
      </c>
      <c r="E2533" t="s">
        <v>21</v>
      </c>
      <c r="F2533" s="1">
        <v>44166</v>
      </c>
      <c r="G2533">
        <v>5.46</v>
      </c>
      <c r="H2533">
        <v>81.403400000000005</v>
      </c>
      <c r="I2533">
        <v>17.850000000000001</v>
      </c>
      <c r="J2533">
        <v>89.48</v>
      </c>
      <c r="K2533" t="s">
        <v>22</v>
      </c>
      <c r="L2533">
        <v>9789.6</v>
      </c>
      <c r="M2533">
        <f>VLOOKUP(K2533,RatingLookup!$A$2:$C$8,2,FALSE)</f>
        <v>5.0000000000000001E-3</v>
      </c>
      <c r="N2533">
        <f t="shared" si="117"/>
        <v>4.1762458919303302E-4</v>
      </c>
      <c r="O2533">
        <f>VLOOKUP(K2533,RatingLookup!$A$2:$C$8,3,FALSE)</f>
        <v>0.45</v>
      </c>
      <c r="P2533">
        <f t="shared" si="118"/>
        <v>1.8397699552638525</v>
      </c>
      <c r="Q2533" t="str">
        <f t="shared" ca="1" si="119"/>
        <v>No</v>
      </c>
    </row>
    <row r="2534" spans="1:17" x14ac:dyDescent="0.45">
      <c r="A2534" t="s">
        <v>120</v>
      </c>
      <c r="B2534" t="s">
        <v>121</v>
      </c>
      <c r="C2534" t="s">
        <v>40</v>
      </c>
      <c r="D2534" t="s">
        <v>20</v>
      </c>
      <c r="E2534" t="s">
        <v>21</v>
      </c>
      <c r="F2534" s="1">
        <v>44197</v>
      </c>
      <c r="G2534">
        <v>5.51</v>
      </c>
      <c r="H2534">
        <v>82.572100000000006</v>
      </c>
      <c r="I2534">
        <v>25.79</v>
      </c>
      <c r="J2534">
        <v>61.5</v>
      </c>
      <c r="K2534" t="s">
        <v>22</v>
      </c>
      <c r="L2534">
        <v>9210.23</v>
      </c>
      <c r="M2534">
        <f>VLOOKUP(K2534,RatingLookup!$A$2:$C$8,2,FALSE)</f>
        <v>5.0000000000000001E-3</v>
      </c>
      <c r="N2534">
        <f t="shared" si="117"/>
        <v>4.1762458919303302E-4</v>
      </c>
      <c r="O2534">
        <f>VLOOKUP(K2534,RatingLookup!$A$2:$C$8,3,FALSE)</f>
        <v>0.45</v>
      </c>
      <c r="P2534">
        <f t="shared" si="118"/>
        <v>1.7308883340555068</v>
      </c>
      <c r="Q2534" t="str">
        <f t="shared" ca="1" si="119"/>
        <v>No</v>
      </c>
    </row>
    <row r="2535" spans="1:17" x14ac:dyDescent="0.45">
      <c r="A2535" t="s">
        <v>120</v>
      </c>
      <c r="B2535" t="s">
        <v>121</v>
      </c>
      <c r="C2535" t="s">
        <v>40</v>
      </c>
      <c r="D2535" t="s">
        <v>20</v>
      </c>
      <c r="E2535" t="s">
        <v>21</v>
      </c>
      <c r="F2535" s="1">
        <v>44228</v>
      </c>
      <c r="G2535">
        <v>5.18</v>
      </c>
      <c r="H2535">
        <v>83.355999999999995</v>
      </c>
      <c r="I2535">
        <v>6.89</v>
      </c>
      <c r="J2535">
        <v>78.03</v>
      </c>
      <c r="K2535" t="s">
        <v>22</v>
      </c>
      <c r="L2535">
        <v>9571.07</v>
      </c>
      <c r="M2535">
        <f>VLOOKUP(K2535,RatingLookup!$A$2:$C$8,2,FALSE)</f>
        <v>5.0000000000000001E-3</v>
      </c>
      <c r="N2535">
        <f t="shared" si="117"/>
        <v>4.1762458919303302E-4</v>
      </c>
      <c r="O2535">
        <f>VLOOKUP(K2535,RatingLookup!$A$2:$C$8,3,FALSE)</f>
        <v>0.45</v>
      </c>
      <c r="P2535">
        <f t="shared" si="118"/>
        <v>1.7987013795994931</v>
      </c>
      <c r="Q2535" t="str">
        <f t="shared" ca="1" si="119"/>
        <v>No</v>
      </c>
    </row>
    <row r="2536" spans="1:17" x14ac:dyDescent="0.45">
      <c r="A2536" t="s">
        <v>120</v>
      </c>
      <c r="B2536" t="s">
        <v>121</v>
      </c>
      <c r="C2536" t="s">
        <v>40</v>
      </c>
      <c r="D2536" t="s">
        <v>20</v>
      </c>
      <c r="E2536" t="s">
        <v>21</v>
      </c>
      <c r="F2536" s="1">
        <v>44256</v>
      </c>
      <c r="G2536">
        <v>3.45</v>
      </c>
      <c r="H2536">
        <v>83.700400000000002</v>
      </c>
      <c r="I2536">
        <v>12.44</v>
      </c>
      <c r="J2536">
        <v>82.54</v>
      </c>
      <c r="K2536" t="s">
        <v>22</v>
      </c>
      <c r="L2536">
        <v>10078.86</v>
      </c>
      <c r="M2536">
        <f>VLOOKUP(K2536,RatingLookup!$A$2:$C$8,2,FALSE)</f>
        <v>5.0000000000000001E-3</v>
      </c>
      <c r="N2536">
        <f t="shared" si="117"/>
        <v>4.1762458919303302E-4</v>
      </c>
      <c r="O2536">
        <f>VLOOKUP(K2536,RatingLookup!$A$2:$C$8,3,FALSE)</f>
        <v>0.45</v>
      </c>
      <c r="P2536">
        <f t="shared" si="118"/>
        <v>1.8941308951653419</v>
      </c>
      <c r="Q2536" t="str">
        <f t="shared" ca="1" si="119"/>
        <v>No</v>
      </c>
    </row>
    <row r="2537" spans="1:17" x14ac:dyDescent="0.45">
      <c r="A2537" t="s">
        <v>120</v>
      </c>
      <c r="B2537" t="s">
        <v>121</v>
      </c>
      <c r="C2537" t="s">
        <v>40</v>
      </c>
      <c r="D2537" t="s">
        <v>20</v>
      </c>
      <c r="E2537" t="s">
        <v>21</v>
      </c>
      <c r="F2537" s="1">
        <v>44287</v>
      </c>
      <c r="G2537">
        <v>4.49</v>
      </c>
      <c r="H2537">
        <v>82.194000000000003</v>
      </c>
      <c r="I2537">
        <v>17.54</v>
      </c>
      <c r="J2537">
        <v>84.06</v>
      </c>
      <c r="K2537" t="s">
        <v>22</v>
      </c>
      <c r="L2537">
        <v>9774.69</v>
      </c>
      <c r="M2537">
        <f>VLOOKUP(K2537,RatingLookup!$A$2:$C$8,2,FALSE)</f>
        <v>5.0000000000000001E-3</v>
      </c>
      <c r="N2537">
        <f t="shared" si="117"/>
        <v>4.1762458919303302E-4</v>
      </c>
      <c r="O2537">
        <f>VLOOKUP(K2537,RatingLookup!$A$2:$C$8,3,FALSE)</f>
        <v>0.45</v>
      </c>
      <c r="P2537">
        <f t="shared" si="118"/>
        <v>1.8369679030826618</v>
      </c>
      <c r="Q2537" t="str">
        <f t="shared" ca="1" si="119"/>
        <v>No</v>
      </c>
    </row>
    <row r="2538" spans="1:17" x14ac:dyDescent="0.45">
      <c r="A2538" t="s">
        <v>120</v>
      </c>
      <c r="B2538" t="s">
        <v>121</v>
      </c>
      <c r="C2538" t="s">
        <v>40</v>
      </c>
      <c r="D2538" t="s">
        <v>20</v>
      </c>
      <c r="E2538" t="s">
        <v>21</v>
      </c>
      <c r="F2538" s="1">
        <v>44317</v>
      </c>
      <c r="G2538">
        <v>3.99</v>
      </c>
      <c r="H2538">
        <v>84.600700000000003</v>
      </c>
      <c r="I2538">
        <v>22.8</v>
      </c>
      <c r="J2538">
        <v>66.63</v>
      </c>
      <c r="K2538" t="s">
        <v>22</v>
      </c>
      <c r="L2538">
        <v>9662.32</v>
      </c>
      <c r="M2538">
        <f>VLOOKUP(K2538,RatingLookup!$A$2:$C$8,2,FALSE)</f>
        <v>5.0000000000000001E-3</v>
      </c>
      <c r="N2538">
        <f t="shared" si="117"/>
        <v>4.1762458919303302E-4</v>
      </c>
      <c r="O2538">
        <f>VLOOKUP(K2538,RatingLookup!$A$2:$C$8,3,FALSE)</f>
        <v>0.45</v>
      </c>
      <c r="P2538">
        <f t="shared" si="118"/>
        <v>1.8158500892932319</v>
      </c>
      <c r="Q2538" t="str">
        <f t="shared" ca="1" si="119"/>
        <v>No</v>
      </c>
    </row>
    <row r="2539" spans="1:17" x14ac:dyDescent="0.45">
      <c r="A2539" t="s">
        <v>120</v>
      </c>
      <c r="B2539" t="s">
        <v>121</v>
      </c>
      <c r="C2539" t="s">
        <v>40</v>
      </c>
      <c r="D2539" t="s">
        <v>20</v>
      </c>
      <c r="E2539" t="s">
        <v>21</v>
      </c>
      <c r="F2539" s="1">
        <v>44348</v>
      </c>
      <c r="G2539">
        <v>5.37</v>
      </c>
      <c r="H2539">
        <v>84.590999999999994</v>
      </c>
      <c r="I2539">
        <v>14.66</v>
      </c>
      <c r="J2539">
        <v>79.55</v>
      </c>
      <c r="K2539" t="s">
        <v>22</v>
      </c>
      <c r="L2539">
        <v>9315.66</v>
      </c>
      <c r="M2539">
        <f>VLOOKUP(K2539,RatingLookup!$A$2:$C$8,2,FALSE)</f>
        <v>5.0000000000000001E-3</v>
      </c>
      <c r="N2539">
        <f t="shared" si="117"/>
        <v>4.1762458919303302E-4</v>
      </c>
      <c r="O2539">
        <f>VLOOKUP(K2539,RatingLookup!$A$2:$C$8,3,FALSE)</f>
        <v>0.45</v>
      </c>
      <c r="P2539">
        <f t="shared" si="118"/>
        <v>1.7507019062528866</v>
      </c>
      <c r="Q2539" t="str">
        <f t="shared" ca="1" si="119"/>
        <v>No</v>
      </c>
    </row>
    <row r="2540" spans="1:17" x14ac:dyDescent="0.45">
      <c r="A2540" t="s">
        <v>120</v>
      </c>
      <c r="B2540" t="s">
        <v>121</v>
      </c>
      <c r="C2540" t="s">
        <v>40</v>
      </c>
      <c r="D2540" t="s">
        <v>20</v>
      </c>
      <c r="E2540" t="s">
        <v>21</v>
      </c>
      <c r="F2540" s="1">
        <v>44378</v>
      </c>
      <c r="G2540">
        <v>6.05</v>
      </c>
      <c r="H2540">
        <v>86.734200000000001</v>
      </c>
      <c r="I2540">
        <v>10.029999999999999</v>
      </c>
      <c r="J2540">
        <v>83.74</v>
      </c>
      <c r="K2540" t="s">
        <v>22</v>
      </c>
      <c r="L2540">
        <v>9839.33</v>
      </c>
      <c r="M2540">
        <f>VLOOKUP(K2540,RatingLookup!$A$2:$C$8,2,FALSE)</f>
        <v>5.0000000000000001E-3</v>
      </c>
      <c r="N2540">
        <f t="shared" si="117"/>
        <v>4.1762458919303302E-4</v>
      </c>
      <c r="O2540">
        <f>VLOOKUP(K2540,RatingLookup!$A$2:$C$8,3,FALSE)</f>
        <v>0.45</v>
      </c>
      <c r="P2540">
        <f t="shared" si="118"/>
        <v>1.8491157671331087</v>
      </c>
      <c r="Q2540" t="str">
        <f t="shared" ca="1" si="119"/>
        <v>No</v>
      </c>
    </row>
    <row r="2541" spans="1:17" x14ac:dyDescent="0.45">
      <c r="A2541" t="s">
        <v>120</v>
      </c>
      <c r="B2541" t="s">
        <v>121</v>
      </c>
      <c r="C2541" t="s">
        <v>40</v>
      </c>
      <c r="D2541" t="s">
        <v>20</v>
      </c>
      <c r="E2541" t="s">
        <v>21</v>
      </c>
      <c r="F2541" s="1">
        <v>44409</v>
      </c>
      <c r="G2541">
        <v>5.19</v>
      </c>
      <c r="H2541">
        <v>85.067800000000005</v>
      </c>
      <c r="I2541">
        <v>21.09</v>
      </c>
      <c r="J2541">
        <v>71.7</v>
      </c>
      <c r="K2541" t="s">
        <v>22</v>
      </c>
      <c r="L2541">
        <v>10071.65</v>
      </c>
      <c r="M2541">
        <f>VLOOKUP(K2541,RatingLookup!$A$2:$C$8,2,FALSE)</f>
        <v>5.0000000000000001E-3</v>
      </c>
      <c r="N2541">
        <f t="shared" si="117"/>
        <v>4.1762458919303302E-4</v>
      </c>
      <c r="O2541">
        <f>VLOOKUP(K2541,RatingLookup!$A$2:$C$8,3,FALSE)</f>
        <v>0.45</v>
      </c>
      <c r="P2541">
        <f t="shared" si="118"/>
        <v>1.8927759121857048</v>
      </c>
      <c r="Q2541" t="str">
        <f t="shared" ca="1" si="119"/>
        <v>No</v>
      </c>
    </row>
    <row r="2542" spans="1:17" x14ac:dyDescent="0.45">
      <c r="A2542" t="s">
        <v>120</v>
      </c>
      <c r="B2542" t="s">
        <v>121</v>
      </c>
      <c r="C2542" t="s">
        <v>40</v>
      </c>
      <c r="D2542" t="s">
        <v>20</v>
      </c>
      <c r="E2542" t="s">
        <v>21</v>
      </c>
      <c r="F2542" s="1">
        <v>44440</v>
      </c>
      <c r="G2542">
        <v>6.48</v>
      </c>
      <c r="H2542">
        <v>85.353700000000003</v>
      </c>
      <c r="I2542">
        <v>20.46</v>
      </c>
      <c r="J2542">
        <v>51.53</v>
      </c>
      <c r="K2542" t="s">
        <v>22</v>
      </c>
      <c r="L2542">
        <v>9463.76</v>
      </c>
      <c r="M2542">
        <f>VLOOKUP(K2542,RatingLookup!$A$2:$C$8,2,FALSE)</f>
        <v>5.0000000000000001E-3</v>
      </c>
      <c r="N2542">
        <f t="shared" si="117"/>
        <v>4.1762458919303302E-4</v>
      </c>
      <c r="O2542">
        <f>VLOOKUP(K2542,RatingLookup!$A$2:$C$8,3,FALSE)</f>
        <v>0.45</v>
      </c>
      <c r="P2542">
        <f t="shared" si="118"/>
        <v>1.7785344969996564</v>
      </c>
      <c r="Q2542" t="str">
        <f t="shared" ca="1" si="119"/>
        <v>No</v>
      </c>
    </row>
    <row r="2543" spans="1:17" x14ac:dyDescent="0.45">
      <c r="A2543" t="s">
        <v>120</v>
      </c>
      <c r="B2543" t="s">
        <v>121</v>
      </c>
      <c r="C2543" t="s">
        <v>40</v>
      </c>
      <c r="D2543" t="s">
        <v>20</v>
      </c>
      <c r="E2543" t="s">
        <v>21</v>
      </c>
      <c r="F2543" s="1">
        <v>44470</v>
      </c>
      <c r="G2543">
        <v>6.56</v>
      </c>
      <c r="H2543">
        <v>84.762600000000006</v>
      </c>
      <c r="I2543">
        <v>21.03</v>
      </c>
      <c r="J2543">
        <v>70.290000000000006</v>
      </c>
      <c r="K2543" t="s">
        <v>22</v>
      </c>
      <c r="L2543">
        <v>10068.23</v>
      </c>
      <c r="M2543">
        <f>VLOOKUP(K2543,RatingLookup!$A$2:$C$8,2,FALSE)</f>
        <v>5.0000000000000001E-3</v>
      </c>
      <c r="N2543">
        <f t="shared" si="117"/>
        <v>4.1762458919303302E-4</v>
      </c>
      <c r="O2543">
        <f>VLOOKUP(K2543,RatingLookup!$A$2:$C$8,3,FALSE)</f>
        <v>0.45</v>
      </c>
      <c r="P2543">
        <f t="shared" si="118"/>
        <v>1.8921331879429368</v>
      </c>
      <c r="Q2543" t="str">
        <f t="shared" ca="1" si="119"/>
        <v>No</v>
      </c>
    </row>
    <row r="2544" spans="1:17" x14ac:dyDescent="0.45">
      <c r="A2544" t="s">
        <v>120</v>
      </c>
      <c r="B2544" t="s">
        <v>121</v>
      </c>
      <c r="C2544" t="s">
        <v>40</v>
      </c>
      <c r="D2544" t="s">
        <v>20</v>
      </c>
      <c r="E2544" t="s">
        <v>21</v>
      </c>
      <c r="F2544" s="1">
        <v>44501</v>
      </c>
      <c r="G2544">
        <v>6.54</v>
      </c>
      <c r="H2544">
        <v>80.429100000000005</v>
      </c>
      <c r="I2544">
        <v>22.1</v>
      </c>
      <c r="J2544">
        <v>59.63</v>
      </c>
      <c r="K2544" t="s">
        <v>22</v>
      </c>
      <c r="L2544">
        <v>9272.07</v>
      </c>
      <c r="M2544">
        <f>VLOOKUP(K2544,RatingLookup!$A$2:$C$8,2,FALSE)</f>
        <v>5.0000000000000001E-3</v>
      </c>
      <c r="N2544">
        <f t="shared" si="117"/>
        <v>4.1762458919303302E-4</v>
      </c>
      <c r="O2544">
        <f>VLOOKUP(K2544,RatingLookup!$A$2:$C$8,3,FALSE)</f>
        <v>0.45</v>
      </c>
      <c r="P2544">
        <f t="shared" si="118"/>
        <v>1.7425099911235704</v>
      </c>
      <c r="Q2544" t="str">
        <f t="shared" ca="1" si="119"/>
        <v>No</v>
      </c>
    </row>
    <row r="2545" spans="1:17" x14ac:dyDescent="0.45">
      <c r="A2545" t="s">
        <v>120</v>
      </c>
      <c r="B2545" t="s">
        <v>121</v>
      </c>
      <c r="C2545" t="s">
        <v>40</v>
      </c>
      <c r="D2545" t="s">
        <v>20</v>
      </c>
      <c r="E2545" t="s">
        <v>21</v>
      </c>
      <c r="F2545" s="1">
        <v>44531</v>
      </c>
      <c r="G2545">
        <v>5.61</v>
      </c>
      <c r="H2545">
        <v>81.1999</v>
      </c>
      <c r="I2545">
        <v>22.03</v>
      </c>
      <c r="J2545">
        <v>82.96</v>
      </c>
      <c r="K2545" t="s">
        <v>22</v>
      </c>
      <c r="L2545">
        <v>9315</v>
      </c>
      <c r="M2545">
        <f>VLOOKUP(K2545,RatingLookup!$A$2:$C$8,2,FALSE)</f>
        <v>5.0000000000000001E-3</v>
      </c>
      <c r="N2545">
        <f t="shared" si="117"/>
        <v>4.1762458919303302E-4</v>
      </c>
      <c r="O2545">
        <f>VLOOKUP(K2545,RatingLookup!$A$2:$C$8,3,FALSE)</f>
        <v>0.45</v>
      </c>
      <c r="P2545">
        <f t="shared" si="118"/>
        <v>1.7505778717498963</v>
      </c>
      <c r="Q2545" t="str">
        <f t="shared" ca="1" si="119"/>
        <v>No</v>
      </c>
    </row>
    <row r="2546" spans="1:17" x14ac:dyDescent="0.45">
      <c r="A2546" t="s">
        <v>120</v>
      </c>
      <c r="B2546" t="s">
        <v>121</v>
      </c>
      <c r="C2546" t="s">
        <v>40</v>
      </c>
      <c r="D2546" t="s">
        <v>20</v>
      </c>
      <c r="E2546" t="s">
        <v>21</v>
      </c>
      <c r="F2546" s="1">
        <v>44562</v>
      </c>
      <c r="G2546">
        <v>5.34</v>
      </c>
      <c r="H2546">
        <v>82.966800000000006</v>
      </c>
      <c r="I2546">
        <v>12.72</v>
      </c>
      <c r="J2546">
        <v>68.540000000000006</v>
      </c>
      <c r="K2546" t="s">
        <v>22</v>
      </c>
      <c r="L2546">
        <v>9596.89</v>
      </c>
      <c r="M2546">
        <f>VLOOKUP(K2546,RatingLookup!$A$2:$C$8,2,FALSE)</f>
        <v>5.0000000000000001E-3</v>
      </c>
      <c r="N2546">
        <f t="shared" si="117"/>
        <v>4.1762458919303302E-4</v>
      </c>
      <c r="O2546">
        <f>VLOOKUP(K2546,RatingLookup!$A$2:$C$8,3,FALSE)</f>
        <v>0.45</v>
      </c>
      <c r="P2546">
        <f t="shared" si="118"/>
        <v>1.8035537597013267</v>
      </c>
      <c r="Q2546" t="str">
        <f t="shared" ca="1" si="119"/>
        <v>No</v>
      </c>
    </row>
    <row r="2547" spans="1:17" x14ac:dyDescent="0.45">
      <c r="A2547" t="s">
        <v>120</v>
      </c>
      <c r="B2547" t="s">
        <v>121</v>
      </c>
      <c r="C2547" t="s">
        <v>40</v>
      </c>
      <c r="D2547" t="s">
        <v>20</v>
      </c>
      <c r="E2547" t="s">
        <v>21</v>
      </c>
      <c r="F2547" s="1">
        <v>44593</v>
      </c>
      <c r="G2547">
        <v>5.95</v>
      </c>
      <c r="H2547">
        <v>81.923199999999994</v>
      </c>
      <c r="I2547">
        <v>23.47</v>
      </c>
      <c r="J2547">
        <v>63.98</v>
      </c>
      <c r="K2547" t="s">
        <v>22</v>
      </c>
      <c r="L2547">
        <v>10044.56</v>
      </c>
      <c r="M2547">
        <f>VLOOKUP(K2547,RatingLookup!$A$2:$C$8,2,FALSE)</f>
        <v>5.0000000000000001E-3</v>
      </c>
      <c r="N2547">
        <f t="shared" si="117"/>
        <v>4.1762458919303302E-4</v>
      </c>
      <c r="O2547">
        <f>VLOOKUP(K2547,RatingLookup!$A$2:$C$8,3,FALSE)</f>
        <v>0.45</v>
      </c>
      <c r="P2547">
        <f t="shared" si="118"/>
        <v>1.8876848596311473</v>
      </c>
      <c r="Q2547" t="str">
        <f t="shared" ca="1" si="119"/>
        <v>No</v>
      </c>
    </row>
    <row r="2548" spans="1:17" x14ac:dyDescent="0.45">
      <c r="A2548" t="s">
        <v>120</v>
      </c>
      <c r="B2548" t="s">
        <v>121</v>
      </c>
      <c r="C2548" t="s">
        <v>40</v>
      </c>
      <c r="D2548" t="s">
        <v>20</v>
      </c>
      <c r="E2548" t="s">
        <v>21</v>
      </c>
      <c r="F2548" s="1">
        <v>44621</v>
      </c>
      <c r="G2548">
        <v>5.81</v>
      </c>
      <c r="H2548">
        <v>79.128600000000006</v>
      </c>
      <c r="I2548">
        <v>17.11</v>
      </c>
      <c r="J2548">
        <v>83.96</v>
      </c>
      <c r="K2548" t="s">
        <v>22</v>
      </c>
      <c r="L2548">
        <v>8757.2900000000009</v>
      </c>
      <c r="M2548">
        <f>VLOOKUP(K2548,RatingLookup!$A$2:$C$8,2,FALSE)</f>
        <v>5.0000000000000001E-3</v>
      </c>
      <c r="N2548">
        <f t="shared" si="117"/>
        <v>4.1762458919303302E-4</v>
      </c>
      <c r="O2548">
        <f>VLOOKUP(K2548,RatingLookup!$A$2:$C$8,3,FALSE)</f>
        <v>0.45</v>
      </c>
      <c r="P2548">
        <f t="shared" si="118"/>
        <v>1.6457668374124155</v>
      </c>
      <c r="Q2548" t="str">
        <f t="shared" ca="1" si="119"/>
        <v>No</v>
      </c>
    </row>
    <row r="2549" spans="1:17" x14ac:dyDescent="0.45">
      <c r="A2549" t="s">
        <v>120</v>
      </c>
      <c r="B2549" t="s">
        <v>121</v>
      </c>
      <c r="C2549" t="s">
        <v>40</v>
      </c>
      <c r="D2549" t="s">
        <v>20</v>
      </c>
      <c r="E2549" t="s">
        <v>21</v>
      </c>
      <c r="F2549" s="1">
        <v>44652</v>
      </c>
      <c r="G2549">
        <v>4.88</v>
      </c>
      <c r="H2549">
        <v>85.134299999999996</v>
      </c>
      <c r="I2549">
        <v>23.33</v>
      </c>
      <c r="J2549">
        <v>72.650000000000006</v>
      </c>
      <c r="K2549" t="s">
        <v>22</v>
      </c>
      <c r="L2549">
        <v>10158.379999999999</v>
      </c>
      <c r="M2549">
        <f>VLOOKUP(K2549,RatingLookup!$A$2:$C$8,2,FALSE)</f>
        <v>5.0000000000000001E-3</v>
      </c>
      <c r="N2549">
        <f t="shared" si="117"/>
        <v>4.1762458919303302E-4</v>
      </c>
      <c r="O2549">
        <f>VLOOKUP(K2549,RatingLookup!$A$2:$C$8,3,FALSE)</f>
        <v>0.45</v>
      </c>
      <c r="P2549">
        <f t="shared" si="118"/>
        <v>1.9090751734650251</v>
      </c>
      <c r="Q2549" t="str">
        <f t="shared" ca="1" si="119"/>
        <v>No</v>
      </c>
    </row>
    <row r="2550" spans="1:17" x14ac:dyDescent="0.45">
      <c r="A2550" t="s">
        <v>120</v>
      </c>
      <c r="B2550" t="s">
        <v>121</v>
      </c>
      <c r="C2550" t="s">
        <v>40</v>
      </c>
      <c r="D2550" t="s">
        <v>20</v>
      </c>
      <c r="E2550" t="s">
        <v>21</v>
      </c>
      <c r="F2550" s="1">
        <v>44682</v>
      </c>
      <c r="G2550">
        <v>5.45</v>
      </c>
      <c r="H2550">
        <v>83.907700000000006</v>
      </c>
      <c r="I2550">
        <v>38.79</v>
      </c>
      <c r="J2550">
        <v>74.7</v>
      </c>
      <c r="K2550" t="s">
        <v>22</v>
      </c>
      <c r="L2550">
        <v>9631.5400000000009</v>
      </c>
      <c r="M2550">
        <f>VLOOKUP(K2550,RatingLookup!$A$2:$C$8,2,FALSE)</f>
        <v>5.0000000000000001E-3</v>
      </c>
      <c r="N2550">
        <f t="shared" si="117"/>
        <v>4.1762458919303302E-4</v>
      </c>
      <c r="O2550">
        <f>VLOOKUP(K2550,RatingLookup!$A$2:$C$8,3,FALSE)</f>
        <v>0.45</v>
      </c>
      <c r="P2550">
        <f t="shared" si="118"/>
        <v>1.8100655711083196</v>
      </c>
      <c r="Q2550" t="str">
        <f t="shared" ca="1" si="119"/>
        <v>No</v>
      </c>
    </row>
    <row r="2551" spans="1:17" x14ac:dyDescent="0.45">
      <c r="A2551" t="s">
        <v>120</v>
      </c>
      <c r="B2551" t="s">
        <v>121</v>
      </c>
      <c r="C2551" t="s">
        <v>40</v>
      </c>
      <c r="D2551" t="s">
        <v>20</v>
      </c>
      <c r="E2551" t="s">
        <v>21</v>
      </c>
      <c r="F2551" s="1">
        <v>44713</v>
      </c>
      <c r="G2551">
        <v>5.4</v>
      </c>
      <c r="H2551">
        <v>82.725300000000004</v>
      </c>
      <c r="I2551">
        <v>10.39</v>
      </c>
      <c r="J2551">
        <v>78.08</v>
      </c>
      <c r="K2551" t="s">
        <v>22</v>
      </c>
      <c r="L2551">
        <v>9425.4599999999991</v>
      </c>
      <c r="M2551">
        <f>VLOOKUP(K2551,RatingLookup!$A$2:$C$8,2,FALSE)</f>
        <v>5.0000000000000001E-3</v>
      </c>
      <c r="N2551">
        <f t="shared" si="117"/>
        <v>4.1762458919303302E-4</v>
      </c>
      <c r="O2551">
        <f>VLOOKUP(K2551,RatingLookup!$A$2:$C$8,3,FALSE)</f>
        <v>0.45</v>
      </c>
      <c r="P2551">
        <f t="shared" si="118"/>
        <v>1.7713367372049142</v>
      </c>
      <c r="Q2551" t="str">
        <f t="shared" ca="1" si="119"/>
        <v>No</v>
      </c>
    </row>
    <row r="2552" spans="1:17" x14ac:dyDescent="0.45">
      <c r="A2552" t="s">
        <v>120</v>
      </c>
      <c r="B2552" t="s">
        <v>121</v>
      </c>
      <c r="C2552" t="s">
        <v>40</v>
      </c>
      <c r="D2552" t="s">
        <v>20</v>
      </c>
      <c r="E2552" t="s">
        <v>21</v>
      </c>
      <c r="F2552" s="1">
        <v>44743</v>
      </c>
      <c r="G2552">
        <v>5.18</v>
      </c>
      <c r="H2552">
        <v>83.558400000000006</v>
      </c>
      <c r="I2552">
        <v>5</v>
      </c>
      <c r="J2552">
        <v>82.99</v>
      </c>
      <c r="K2552" t="s">
        <v>22</v>
      </c>
      <c r="L2552">
        <v>9540.0300000000007</v>
      </c>
      <c r="M2552">
        <f>VLOOKUP(K2552,RatingLookup!$A$2:$C$8,2,FALSE)</f>
        <v>5.0000000000000001E-3</v>
      </c>
      <c r="N2552">
        <f t="shared" si="117"/>
        <v>4.1762458919303302E-4</v>
      </c>
      <c r="O2552">
        <f>VLOOKUP(K2552,RatingLookup!$A$2:$C$8,3,FALSE)</f>
        <v>0.45</v>
      </c>
      <c r="P2552">
        <f t="shared" si="118"/>
        <v>1.7928679993376451</v>
      </c>
      <c r="Q2552" t="str">
        <f t="shared" ca="1" si="119"/>
        <v>No</v>
      </c>
    </row>
    <row r="2553" spans="1:17" x14ac:dyDescent="0.45">
      <c r="A2553" t="s">
        <v>120</v>
      </c>
      <c r="B2553" t="s">
        <v>121</v>
      </c>
      <c r="C2553" t="s">
        <v>40</v>
      </c>
      <c r="D2553" t="s">
        <v>20</v>
      </c>
      <c r="E2553" t="s">
        <v>21</v>
      </c>
      <c r="F2553" s="1">
        <v>44774</v>
      </c>
      <c r="G2553">
        <v>4.57</v>
      </c>
      <c r="H2553">
        <v>81.240200000000002</v>
      </c>
      <c r="I2553">
        <v>14.5</v>
      </c>
      <c r="J2553">
        <v>85.61</v>
      </c>
      <c r="K2553" t="s">
        <v>22</v>
      </c>
      <c r="L2553">
        <v>9748.59</v>
      </c>
      <c r="M2553">
        <f>VLOOKUP(K2553,RatingLookup!$A$2:$C$8,2,FALSE)</f>
        <v>5.0000000000000001E-3</v>
      </c>
      <c r="N2553">
        <f t="shared" si="117"/>
        <v>4.1762458919303302E-4</v>
      </c>
      <c r="O2553">
        <f>VLOOKUP(K2553,RatingLookup!$A$2:$C$8,3,FALSE)</f>
        <v>0.45</v>
      </c>
      <c r="P2553">
        <f t="shared" si="118"/>
        <v>1.8320629022825894</v>
      </c>
      <c r="Q2553" t="str">
        <f t="shared" ca="1" si="119"/>
        <v>No</v>
      </c>
    </row>
    <row r="2554" spans="1:17" x14ac:dyDescent="0.45">
      <c r="A2554" t="s">
        <v>120</v>
      </c>
      <c r="B2554" t="s">
        <v>121</v>
      </c>
      <c r="C2554" t="s">
        <v>40</v>
      </c>
      <c r="D2554" t="s">
        <v>20</v>
      </c>
      <c r="E2554" t="s">
        <v>21</v>
      </c>
      <c r="F2554" s="1">
        <v>44805</v>
      </c>
      <c r="G2554">
        <v>4.26</v>
      </c>
      <c r="H2554">
        <v>79.827299999999994</v>
      </c>
      <c r="I2554">
        <v>18.73</v>
      </c>
      <c r="J2554">
        <v>71.959999999999994</v>
      </c>
      <c r="K2554" t="s">
        <v>22</v>
      </c>
      <c r="L2554">
        <v>10315.209999999999</v>
      </c>
      <c r="M2554">
        <f>VLOOKUP(K2554,RatingLookup!$A$2:$C$8,2,FALSE)</f>
        <v>5.0000000000000001E-3</v>
      </c>
      <c r="N2554">
        <f t="shared" si="117"/>
        <v>4.1762458919303302E-4</v>
      </c>
      <c r="O2554">
        <f>VLOOKUP(K2554,RatingLookup!$A$2:$C$8,3,FALSE)</f>
        <v>0.45</v>
      </c>
      <c r="P2554">
        <f t="shared" si="118"/>
        <v>1.9385484024104398</v>
      </c>
      <c r="Q2554" t="str">
        <f t="shared" ca="1" si="119"/>
        <v>No</v>
      </c>
    </row>
    <row r="2555" spans="1:17" x14ac:dyDescent="0.45">
      <c r="A2555" t="s">
        <v>120</v>
      </c>
      <c r="B2555" t="s">
        <v>121</v>
      </c>
      <c r="C2555" t="s">
        <v>40</v>
      </c>
      <c r="D2555" t="s">
        <v>20</v>
      </c>
      <c r="E2555" t="s">
        <v>21</v>
      </c>
      <c r="F2555" s="1">
        <v>44835</v>
      </c>
      <c r="G2555">
        <v>5.6</v>
      </c>
      <c r="H2555">
        <v>82.247699999999995</v>
      </c>
      <c r="I2555">
        <v>19.329999999999998</v>
      </c>
      <c r="J2555">
        <v>72.790000000000006</v>
      </c>
      <c r="K2555" t="s">
        <v>30</v>
      </c>
      <c r="L2555">
        <v>9502.98</v>
      </c>
      <c r="M2555">
        <f>VLOOKUP(K2555,RatingLookup!$A$2:$C$8,2,FALSE)</f>
        <v>1.4999999999999999E-2</v>
      </c>
      <c r="N2555">
        <f t="shared" si="117"/>
        <v>1.2586770182638762E-3</v>
      </c>
      <c r="O2555">
        <f>VLOOKUP(K2555,RatingLookup!$A$2:$C$8,3,FALSE)</f>
        <v>0.5</v>
      </c>
      <c r="P2555">
        <f t="shared" si="118"/>
        <v>5.9805912655106246</v>
      </c>
      <c r="Q2555" t="str">
        <f t="shared" ca="1" si="119"/>
        <v>No</v>
      </c>
    </row>
    <row r="2556" spans="1:17" x14ac:dyDescent="0.45">
      <c r="A2556" t="s">
        <v>120</v>
      </c>
      <c r="B2556" t="s">
        <v>121</v>
      </c>
      <c r="C2556" t="s">
        <v>40</v>
      </c>
      <c r="D2556" t="s">
        <v>20</v>
      </c>
      <c r="E2556" t="s">
        <v>21</v>
      </c>
      <c r="F2556" s="1">
        <v>44866</v>
      </c>
      <c r="G2556">
        <v>5.36</v>
      </c>
      <c r="H2556">
        <v>84.157399999999996</v>
      </c>
      <c r="I2556">
        <v>18.52</v>
      </c>
      <c r="J2556">
        <v>62.87</v>
      </c>
      <c r="K2556" t="s">
        <v>22</v>
      </c>
      <c r="L2556">
        <v>9056.5499999999993</v>
      </c>
      <c r="M2556">
        <f>VLOOKUP(K2556,RatingLookup!$A$2:$C$8,2,FALSE)</f>
        <v>5.0000000000000001E-3</v>
      </c>
      <c r="N2556">
        <f t="shared" si="117"/>
        <v>4.1762458919303302E-4</v>
      </c>
      <c r="O2556">
        <f>VLOOKUP(K2556,RatingLookup!$A$2:$C$8,3,FALSE)</f>
        <v>0.45</v>
      </c>
      <c r="P2556">
        <f t="shared" si="118"/>
        <v>1.7020070879652733</v>
      </c>
      <c r="Q2556" t="str">
        <f t="shared" ca="1" si="119"/>
        <v>No</v>
      </c>
    </row>
    <row r="2557" spans="1:17" x14ac:dyDescent="0.45">
      <c r="A2557" t="s">
        <v>120</v>
      </c>
      <c r="B2557" t="s">
        <v>121</v>
      </c>
      <c r="C2557" t="s">
        <v>40</v>
      </c>
      <c r="D2557" t="s">
        <v>20</v>
      </c>
      <c r="E2557" t="s">
        <v>21</v>
      </c>
      <c r="F2557" s="1">
        <v>44896</v>
      </c>
      <c r="G2557">
        <v>6.44</v>
      </c>
      <c r="H2557">
        <v>84.994</v>
      </c>
      <c r="I2557">
        <v>11.54</v>
      </c>
      <c r="J2557">
        <v>71.66</v>
      </c>
      <c r="K2557" t="s">
        <v>22</v>
      </c>
      <c r="L2557">
        <v>9657.51</v>
      </c>
      <c r="M2557">
        <f>VLOOKUP(K2557,RatingLookup!$A$2:$C$8,2,FALSE)</f>
        <v>5.0000000000000001E-3</v>
      </c>
      <c r="N2557">
        <f t="shared" si="117"/>
        <v>4.1762458919303302E-4</v>
      </c>
      <c r="O2557">
        <f>VLOOKUP(K2557,RatingLookup!$A$2:$C$8,3,FALSE)</f>
        <v>0.45</v>
      </c>
      <c r="P2557">
        <f t="shared" si="118"/>
        <v>1.8149461408699237</v>
      </c>
      <c r="Q2557" t="str">
        <f t="shared" ca="1" si="119"/>
        <v>No</v>
      </c>
    </row>
    <row r="2558" spans="1:17" x14ac:dyDescent="0.45">
      <c r="A2558" t="s">
        <v>120</v>
      </c>
      <c r="B2558" t="s">
        <v>121</v>
      </c>
      <c r="C2558" t="s">
        <v>40</v>
      </c>
      <c r="D2558" t="s">
        <v>20</v>
      </c>
      <c r="E2558" t="s">
        <v>21</v>
      </c>
      <c r="F2558" s="1">
        <v>44927</v>
      </c>
      <c r="G2558">
        <v>5.38</v>
      </c>
      <c r="H2558">
        <v>84.417699999999996</v>
      </c>
      <c r="I2558">
        <v>17.98</v>
      </c>
      <c r="J2558">
        <v>72.02</v>
      </c>
      <c r="K2558" t="s">
        <v>22</v>
      </c>
      <c r="L2558">
        <v>10247.64</v>
      </c>
      <c r="M2558">
        <f>VLOOKUP(K2558,RatingLookup!$A$2:$C$8,2,FALSE)</f>
        <v>5.0000000000000001E-3</v>
      </c>
      <c r="N2558">
        <f t="shared" si="117"/>
        <v>4.1762458919303302E-4</v>
      </c>
      <c r="O2558">
        <f>VLOOKUP(K2558,RatingLookup!$A$2:$C$8,3,FALSE)</f>
        <v>0.45</v>
      </c>
      <c r="P2558">
        <f t="shared" si="118"/>
        <v>1.9258499003391416</v>
      </c>
      <c r="Q2558" t="str">
        <f t="shared" ca="1" si="119"/>
        <v>No</v>
      </c>
    </row>
    <row r="2559" spans="1:17" x14ac:dyDescent="0.45">
      <c r="A2559" t="s">
        <v>120</v>
      </c>
      <c r="B2559" t="s">
        <v>121</v>
      </c>
      <c r="C2559" t="s">
        <v>40</v>
      </c>
      <c r="D2559" t="s">
        <v>20</v>
      </c>
      <c r="E2559" t="s">
        <v>21</v>
      </c>
      <c r="F2559" s="1">
        <v>44958</v>
      </c>
      <c r="G2559">
        <v>6.52</v>
      </c>
      <c r="H2559">
        <v>79.998199999999997</v>
      </c>
      <c r="I2559">
        <v>21.36</v>
      </c>
      <c r="J2559">
        <v>80.41</v>
      </c>
      <c r="K2559" t="s">
        <v>22</v>
      </c>
      <c r="L2559">
        <v>9206.65</v>
      </c>
      <c r="M2559">
        <f>VLOOKUP(K2559,RatingLookup!$A$2:$C$8,2,FALSE)</f>
        <v>5.0000000000000001E-3</v>
      </c>
      <c r="N2559">
        <f t="shared" si="117"/>
        <v>4.1762458919303302E-4</v>
      </c>
      <c r="O2559">
        <f>VLOOKUP(K2559,RatingLookup!$A$2:$C$8,3,FALSE)</f>
        <v>0.45</v>
      </c>
      <c r="P2559">
        <f t="shared" si="118"/>
        <v>1.7302155408423168</v>
      </c>
      <c r="Q2559" t="str">
        <f t="shared" ca="1" si="119"/>
        <v>No</v>
      </c>
    </row>
    <row r="2560" spans="1:17" x14ac:dyDescent="0.45">
      <c r="A2560" t="s">
        <v>120</v>
      </c>
      <c r="B2560" t="s">
        <v>121</v>
      </c>
      <c r="C2560" t="s">
        <v>40</v>
      </c>
      <c r="D2560" t="s">
        <v>20</v>
      </c>
      <c r="E2560" t="s">
        <v>21</v>
      </c>
      <c r="F2560" s="1">
        <v>44986</v>
      </c>
      <c r="G2560">
        <v>5.24</v>
      </c>
      <c r="H2560">
        <v>83.513099999999994</v>
      </c>
      <c r="I2560">
        <v>20.47</v>
      </c>
      <c r="J2560">
        <v>87.14</v>
      </c>
      <c r="K2560" t="s">
        <v>30</v>
      </c>
      <c r="L2560">
        <v>9330.9599999999991</v>
      </c>
      <c r="M2560">
        <f>VLOOKUP(K2560,RatingLookup!$A$2:$C$8,2,FALSE)</f>
        <v>1.4999999999999999E-2</v>
      </c>
      <c r="N2560">
        <f t="shared" si="117"/>
        <v>1.2586770182638762E-3</v>
      </c>
      <c r="O2560">
        <f>VLOOKUP(K2560,RatingLookup!$A$2:$C$8,3,FALSE)</f>
        <v>0.5</v>
      </c>
      <c r="P2560">
        <f t="shared" si="118"/>
        <v>5.8723324551697491</v>
      </c>
      <c r="Q2560" t="str">
        <f t="shared" ca="1" si="119"/>
        <v>No</v>
      </c>
    </row>
    <row r="2561" spans="1:17" x14ac:dyDescent="0.45">
      <c r="A2561" t="s">
        <v>120</v>
      </c>
      <c r="B2561" t="s">
        <v>121</v>
      </c>
      <c r="C2561" t="s">
        <v>40</v>
      </c>
      <c r="D2561" t="s">
        <v>20</v>
      </c>
      <c r="E2561" t="s">
        <v>21</v>
      </c>
      <c r="F2561" s="1">
        <v>45017</v>
      </c>
      <c r="G2561">
        <v>5.71</v>
      </c>
      <c r="H2561">
        <v>79.863500000000002</v>
      </c>
      <c r="I2561">
        <v>30.03</v>
      </c>
      <c r="J2561">
        <v>74.709999999999994</v>
      </c>
      <c r="K2561" t="s">
        <v>30</v>
      </c>
      <c r="L2561">
        <v>9036.3799999999992</v>
      </c>
      <c r="M2561">
        <f>VLOOKUP(K2561,RatingLookup!$A$2:$C$8,2,FALSE)</f>
        <v>1.4999999999999999E-2</v>
      </c>
      <c r="N2561">
        <f t="shared" si="117"/>
        <v>1.2586770182638762E-3</v>
      </c>
      <c r="O2561">
        <f>VLOOKUP(K2561,RatingLookup!$A$2:$C$8,3,FALSE)</f>
        <v>0.5</v>
      </c>
      <c r="P2561">
        <f t="shared" si="118"/>
        <v>5.6869419171496629</v>
      </c>
      <c r="Q2561" t="str">
        <f t="shared" ca="1" si="119"/>
        <v>No</v>
      </c>
    </row>
    <row r="2562" spans="1:17" x14ac:dyDescent="0.45">
      <c r="A2562" t="s">
        <v>120</v>
      </c>
      <c r="B2562" t="s">
        <v>121</v>
      </c>
      <c r="C2562" t="s">
        <v>40</v>
      </c>
      <c r="D2562" t="s">
        <v>20</v>
      </c>
      <c r="E2562" t="s">
        <v>21</v>
      </c>
      <c r="F2562" s="1">
        <v>45047</v>
      </c>
      <c r="G2562">
        <v>4.54</v>
      </c>
      <c r="H2562">
        <v>83.897800000000004</v>
      </c>
      <c r="I2562">
        <v>28.82</v>
      </c>
      <c r="J2562">
        <v>79.92</v>
      </c>
      <c r="K2562" t="s">
        <v>22</v>
      </c>
      <c r="L2562">
        <v>8928.69</v>
      </c>
      <c r="M2562">
        <f>VLOOKUP(K2562,RatingLookup!$A$2:$C$8,2,FALSE)</f>
        <v>5.0000000000000001E-3</v>
      </c>
      <c r="N2562">
        <f t="shared" ref="N2562:N2625" si="120">1-(1-M2562)^(1/12)</f>
        <v>4.1762458919303302E-4</v>
      </c>
      <c r="O2562">
        <f>VLOOKUP(K2562,RatingLookup!$A$2:$C$8,3,FALSE)</f>
        <v>0.45</v>
      </c>
      <c r="P2562">
        <f t="shared" ref="P2562:P2625" si="121">L2562*N2562*O2562</f>
        <v>1.6779782219768742</v>
      </c>
      <c r="Q2562" t="str">
        <f t="shared" ref="Q2562:Q2625" ca="1" si="122">IF(RAND()&lt;N2562,"Yes","No")</f>
        <v>No</v>
      </c>
    </row>
    <row r="2563" spans="1:17" x14ac:dyDescent="0.45">
      <c r="A2563" t="s">
        <v>120</v>
      </c>
      <c r="B2563" t="s">
        <v>121</v>
      </c>
      <c r="C2563" t="s">
        <v>40</v>
      </c>
      <c r="D2563" t="s">
        <v>20</v>
      </c>
      <c r="E2563" t="s">
        <v>21</v>
      </c>
      <c r="F2563" s="1">
        <v>45078</v>
      </c>
      <c r="G2563">
        <v>5.45</v>
      </c>
      <c r="H2563">
        <v>80.912099999999995</v>
      </c>
      <c r="I2563">
        <v>24.33</v>
      </c>
      <c r="J2563">
        <v>85.47</v>
      </c>
      <c r="K2563" t="s">
        <v>22</v>
      </c>
      <c r="L2563">
        <v>9607.39</v>
      </c>
      <c r="M2563">
        <f>VLOOKUP(K2563,RatingLookup!$A$2:$C$8,2,FALSE)</f>
        <v>5.0000000000000001E-3</v>
      </c>
      <c r="N2563">
        <f t="shared" si="120"/>
        <v>4.1762458919303302E-4</v>
      </c>
      <c r="O2563">
        <f>VLOOKUP(K2563,RatingLookup!$A$2:$C$8,3,FALSE)</f>
        <v>0.45</v>
      </c>
      <c r="P2563">
        <f t="shared" si="121"/>
        <v>1.8055270358852638</v>
      </c>
      <c r="Q2563" t="str">
        <f t="shared" ca="1" si="122"/>
        <v>No</v>
      </c>
    </row>
    <row r="2564" spans="1:17" x14ac:dyDescent="0.45">
      <c r="A2564" t="s">
        <v>120</v>
      </c>
      <c r="B2564" t="s">
        <v>121</v>
      </c>
      <c r="C2564" t="s">
        <v>40</v>
      </c>
      <c r="D2564" t="s">
        <v>20</v>
      </c>
      <c r="E2564" t="s">
        <v>21</v>
      </c>
      <c r="F2564" s="1">
        <v>45108</v>
      </c>
      <c r="G2564">
        <v>4.72</v>
      </c>
      <c r="H2564">
        <v>76.606800000000007</v>
      </c>
      <c r="I2564">
        <v>24.39</v>
      </c>
      <c r="J2564">
        <v>78.150000000000006</v>
      </c>
      <c r="K2564" t="s">
        <v>22</v>
      </c>
      <c r="L2564">
        <v>9859.7099999999991</v>
      </c>
      <c r="M2564">
        <f>VLOOKUP(K2564,RatingLookup!$A$2:$C$8,2,FALSE)</f>
        <v>5.0000000000000001E-3</v>
      </c>
      <c r="N2564">
        <f t="shared" si="120"/>
        <v>4.1762458919303302E-4</v>
      </c>
      <c r="O2564">
        <f>VLOOKUP(K2564,RatingLookup!$A$2:$C$8,3,FALSE)</f>
        <v>0.45</v>
      </c>
      <c r="P2564">
        <f t="shared" si="121"/>
        <v>1.8529458022405976</v>
      </c>
      <c r="Q2564" t="str">
        <f t="shared" ca="1" si="122"/>
        <v>No</v>
      </c>
    </row>
    <row r="2565" spans="1:17" x14ac:dyDescent="0.45">
      <c r="A2565" t="s">
        <v>120</v>
      </c>
      <c r="B2565" t="s">
        <v>121</v>
      </c>
      <c r="C2565" t="s">
        <v>40</v>
      </c>
      <c r="D2565" t="s">
        <v>20</v>
      </c>
      <c r="E2565" t="s">
        <v>21</v>
      </c>
      <c r="F2565" s="1">
        <v>45139</v>
      </c>
      <c r="G2565">
        <v>3.66</v>
      </c>
      <c r="H2565">
        <v>77.636399999999995</v>
      </c>
      <c r="I2565">
        <v>19.13</v>
      </c>
      <c r="J2565">
        <v>78.63</v>
      </c>
      <c r="K2565" t="s">
        <v>22</v>
      </c>
      <c r="L2565">
        <v>9644.52</v>
      </c>
      <c r="M2565">
        <f>VLOOKUP(K2565,RatingLookup!$A$2:$C$8,2,FALSE)</f>
        <v>5.0000000000000001E-3</v>
      </c>
      <c r="N2565">
        <f t="shared" si="120"/>
        <v>4.1762458919303302E-4</v>
      </c>
      <c r="O2565">
        <f>VLOOKUP(K2565,RatingLookup!$A$2:$C$8,3,FALSE)</f>
        <v>0.45</v>
      </c>
      <c r="P2565">
        <f t="shared" si="121"/>
        <v>1.8125049163337961</v>
      </c>
      <c r="Q2565" t="str">
        <f t="shared" ca="1" si="122"/>
        <v>No</v>
      </c>
    </row>
    <row r="2566" spans="1:17" x14ac:dyDescent="0.45">
      <c r="A2566" t="s">
        <v>120</v>
      </c>
      <c r="B2566" t="s">
        <v>121</v>
      </c>
      <c r="C2566" t="s">
        <v>40</v>
      </c>
      <c r="D2566" t="s">
        <v>20</v>
      </c>
      <c r="E2566" t="s">
        <v>21</v>
      </c>
      <c r="F2566" s="1">
        <v>45170</v>
      </c>
      <c r="G2566">
        <v>7.49</v>
      </c>
      <c r="H2566">
        <v>79.847700000000003</v>
      </c>
      <c r="I2566">
        <v>21.45</v>
      </c>
      <c r="J2566">
        <v>94.4</v>
      </c>
      <c r="K2566" t="s">
        <v>22</v>
      </c>
      <c r="L2566">
        <v>9549.16</v>
      </c>
      <c r="M2566">
        <f>VLOOKUP(K2566,RatingLookup!$A$2:$C$8,2,FALSE)</f>
        <v>5.0000000000000001E-3</v>
      </c>
      <c r="N2566">
        <f t="shared" si="120"/>
        <v>4.1762458919303302E-4</v>
      </c>
      <c r="O2566">
        <f>VLOOKUP(K2566,RatingLookup!$A$2:$C$8,3,FALSE)</f>
        <v>0.45</v>
      </c>
      <c r="P2566">
        <f t="shared" si="121"/>
        <v>1.7945838099623446</v>
      </c>
      <c r="Q2566" t="str">
        <f t="shared" ca="1" si="122"/>
        <v>No</v>
      </c>
    </row>
    <row r="2567" spans="1:17" x14ac:dyDescent="0.45">
      <c r="A2567" t="s">
        <v>120</v>
      </c>
      <c r="B2567" t="s">
        <v>121</v>
      </c>
      <c r="C2567" t="s">
        <v>40</v>
      </c>
      <c r="D2567" t="s">
        <v>20</v>
      </c>
      <c r="E2567" t="s">
        <v>21</v>
      </c>
      <c r="F2567" s="1">
        <v>45200</v>
      </c>
      <c r="G2567">
        <v>6.51</v>
      </c>
      <c r="H2567">
        <v>79.685299999999998</v>
      </c>
      <c r="I2567">
        <v>15.42</v>
      </c>
      <c r="J2567">
        <v>78.62</v>
      </c>
      <c r="K2567" t="s">
        <v>22</v>
      </c>
      <c r="L2567">
        <v>10531.72</v>
      </c>
      <c r="M2567">
        <f>VLOOKUP(K2567,RatingLookup!$A$2:$C$8,2,FALSE)</f>
        <v>5.0000000000000001E-3</v>
      </c>
      <c r="N2567">
        <f t="shared" si="120"/>
        <v>4.1762458919303302E-4</v>
      </c>
      <c r="O2567">
        <f>VLOOKUP(K2567,RatingLookup!$A$2:$C$8,3,FALSE)</f>
        <v>0.45</v>
      </c>
      <c r="P2567">
        <f t="shared" si="121"/>
        <v>1.9792373573232223</v>
      </c>
      <c r="Q2567" t="str">
        <f t="shared" ca="1" si="122"/>
        <v>No</v>
      </c>
    </row>
    <row r="2568" spans="1:17" x14ac:dyDescent="0.45">
      <c r="A2568" t="s">
        <v>120</v>
      </c>
      <c r="B2568" t="s">
        <v>121</v>
      </c>
      <c r="C2568" t="s">
        <v>40</v>
      </c>
      <c r="D2568" t="s">
        <v>20</v>
      </c>
      <c r="E2568" t="s">
        <v>21</v>
      </c>
      <c r="F2568" s="1">
        <v>45231</v>
      </c>
      <c r="G2568">
        <v>5.56</v>
      </c>
      <c r="H2568">
        <v>82.950900000000004</v>
      </c>
      <c r="I2568">
        <v>17.170000000000002</v>
      </c>
      <c r="J2568">
        <v>89.42</v>
      </c>
      <c r="K2568" t="s">
        <v>22</v>
      </c>
      <c r="L2568">
        <v>9977.65</v>
      </c>
      <c r="M2568">
        <f>VLOOKUP(K2568,RatingLookup!$A$2:$C$8,2,FALSE)</f>
        <v>5.0000000000000001E-3</v>
      </c>
      <c r="N2568">
        <f t="shared" si="120"/>
        <v>4.1762458919303302E-4</v>
      </c>
      <c r="O2568">
        <f>VLOOKUP(K2568,RatingLookup!$A$2:$C$8,3,FALSE)</f>
        <v>0.45</v>
      </c>
      <c r="P2568">
        <f t="shared" si="121"/>
        <v>1.8751103920628396</v>
      </c>
      <c r="Q2568" t="str">
        <f t="shared" ca="1" si="122"/>
        <v>No</v>
      </c>
    </row>
    <row r="2569" spans="1:17" x14ac:dyDescent="0.45">
      <c r="A2569" t="s">
        <v>120</v>
      </c>
      <c r="B2569" t="s">
        <v>121</v>
      </c>
      <c r="C2569" t="s">
        <v>40</v>
      </c>
      <c r="D2569" t="s">
        <v>20</v>
      </c>
      <c r="E2569" t="s">
        <v>21</v>
      </c>
      <c r="F2569" s="1">
        <v>45261</v>
      </c>
      <c r="G2569">
        <v>5.0599999999999996</v>
      </c>
      <c r="H2569">
        <v>84.634200000000007</v>
      </c>
      <c r="I2569">
        <v>22.58</v>
      </c>
      <c r="J2569">
        <v>94.21</v>
      </c>
      <c r="K2569" t="s">
        <v>30</v>
      </c>
      <c r="L2569">
        <v>9348.49</v>
      </c>
      <c r="M2569">
        <f>VLOOKUP(K2569,RatingLookup!$A$2:$C$8,2,FALSE)</f>
        <v>1.4999999999999999E-2</v>
      </c>
      <c r="N2569">
        <f t="shared" si="120"/>
        <v>1.2586770182638762E-3</v>
      </c>
      <c r="O2569">
        <f>VLOOKUP(K2569,RatingLookup!$A$2:$C$8,3,FALSE)</f>
        <v>0.5</v>
      </c>
      <c r="P2569">
        <f t="shared" si="121"/>
        <v>5.8833647592348317</v>
      </c>
      <c r="Q2569" t="str">
        <f t="shared" ca="1" si="122"/>
        <v>No</v>
      </c>
    </row>
    <row r="2570" spans="1:17" x14ac:dyDescent="0.45">
      <c r="A2570" t="s">
        <v>120</v>
      </c>
      <c r="B2570" t="s">
        <v>121</v>
      </c>
      <c r="C2570" t="s">
        <v>40</v>
      </c>
      <c r="D2570" t="s">
        <v>20</v>
      </c>
      <c r="E2570" t="s">
        <v>21</v>
      </c>
      <c r="F2570" s="1">
        <v>45292</v>
      </c>
      <c r="G2570">
        <v>5.0199999999999996</v>
      </c>
      <c r="H2570">
        <v>85.144900000000007</v>
      </c>
      <c r="I2570">
        <v>12.55</v>
      </c>
      <c r="J2570">
        <v>74.3</v>
      </c>
      <c r="K2570" t="s">
        <v>30</v>
      </c>
      <c r="L2570">
        <v>9777.26</v>
      </c>
      <c r="M2570">
        <f>VLOOKUP(K2570,RatingLookup!$A$2:$C$8,2,FALSE)</f>
        <v>1.4999999999999999E-2</v>
      </c>
      <c r="N2570">
        <f t="shared" si="120"/>
        <v>1.2586770182638762E-3</v>
      </c>
      <c r="O2570">
        <f>VLOOKUP(K2570,RatingLookup!$A$2:$C$8,3,FALSE)</f>
        <v>0.5</v>
      </c>
      <c r="P2570">
        <f t="shared" si="121"/>
        <v>6.1532062317953331</v>
      </c>
      <c r="Q2570" t="str">
        <f t="shared" ca="1" si="122"/>
        <v>No</v>
      </c>
    </row>
    <row r="2571" spans="1:17" x14ac:dyDescent="0.45">
      <c r="A2571" t="s">
        <v>120</v>
      </c>
      <c r="B2571" t="s">
        <v>121</v>
      </c>
      <c r="C2571" t="s">
        <v>40</v>
      </c>
      <c r="D2571" t="s">
        <v>20</v>
      </c>
      <c r="E2571" t="s">
        <v>21</v>
      </c>
      <c r="F2571" s="1">
        <v>45323</v>
      </c>
      <c r="G2571">
        <v>6.56</v>
      </c>
      <c r="H2571">
        <v>77.490700000000004</v>
      </c>
      <c r="I2571">
        <v>15.54</v>
      </c>
      <c r="J2571">
        <v>79.53</v>
      </c>
      <c r="K2571" t="s">
        <v>30</v>
      </c>
      <c r="L2571">
        <v>9934.35</v>
      </c>
      <c r="M2571">
        <f>VLOOKUP(K2571,RatingLookup!$A$2:$C$8,2,FALSE)</f>
        <v>1.4999999999999999E-2</v>
      </c>
      <c r="N2571">
        <f t="shared" si="120"/>
        <v>1.2586770182638762E-3</v>
      </c>
      <c r="O2571">
        <f>VLOOKUP(K2571,RatingLookup!$A$2:$C$8,3,FALSE)</f>
        <v>0.5</v>
      </c>
      <c r="P2571">
        <f t="shared" si="121"/>
        <v>6.2520690181948693</v>
      </c>
      <c r="Q2571" t="str">
        <f t="shared" ca="1" si="122"/>
        <v>No</v>
      </c>
    </row>
    <row r="2572" spans="1:17" x14ac:dyDescent="0.45">
      <c r="A2572" t="s">
        <v>120</v>
      </c>
      <c r="B2572" t="s">
        <v>121</v>
      </c>
      <c r="C2572" t="s">
        <v>40</v>
      </c>
      <c r="D2572" t="s">
        <v>20</v>
      </c>
      <c r="E2572" t="s">
        <v>21</v>
      </c>
      <c r="F2572" s="1">
        <v>45352</v>
      </c>
      <c r="G2572">
        <v>5.26</v>
      </c>
      <c r="H2572">
        <v>83.5334</v>
      </c>
      <c r="I2572">
        <v>22.87</v>
      </c>
      <c r="J2572">
        <v>82.19</v>
      </c>
      <c r="K2572" t="s">
        <v>30</v>
      </c>
      <c r="L2572">
        <v>10311.459999999999</v>
      </c>
      <c r="M2572">
        <f>VLOOKUP(K2572,RatingLookup!$A$2:$C$8,2,FALSE)</f>
        <v>1.4999999999999999E-2</v>
      </c>
      <c r="N2572">
        <f t="shared" si="120"/>
        <v>1.2586770182638762E-3</v>
      </c>
      <c r="O2572">
        <f>VLOOKUP(K2572,RatingLookup!$A$2:$C$8,3,FALSE)</f>
        <v>0.5</v>
      </c>
      <c r="P2572">
        <f t="shared" si="121"/>
        <v>6.4893988633736139</v>
      </c>
      <c r="Q2572" t="str">
        <f t="shared" ca="1" si="122"/>
        <v>No</v>
      </c>
    </row>
    <row r="2573" spans="1:17" x14ac:dyDescent="0.45">
      <c r="A2573" t="s">
        <v>120</v>
      </c>
      <c r="B2573" t="s">
        <v>121</v>
      </c>
      <c r="C2573" t="s">
        <v>40</v>
      </c>
      <c r="D2573" t="s">
        <v>20</v>
      </c>
      <c r="E2573" t="s">
        <v>21</v>
      </c>
      <c r="F2573" s="1">
        <v>45383</v>
      </c>
      <c r="G2573">
        <v>4.4800000000000004</v>
      </c>
      <c r="H2573">
        <v>82.605999999999995</v>
      </c>
      <c r="I2573">
        <v>15.43</v>
      </c>
      <c r="J2573">
        <v>84.71</v>
      </c>
      <c r="K2573" t="s">
        <v>30</v>
      </c>
      <c r="L2573">
        <v>10044.370000000001</v>
      </c>
      <c r="M2573">
        <f>VLOOKUP(K2573,RatingLookup!$A$2:$C$8,2,FALSE)</f>
        <v>1.4999999999999999E-2</v>
      </c>
      <c r="N2573">
        <f t="shared" si="120"/>
        <v>1.2586770182638762E-3</v>
      </c>
      <c r="O2573">
        <f>VLOOKUP(K2573,RatingLookup!$A$2:$C$8,3,FALSE)</f>
        <v>0.5</v>
      </c>
      <c r="P2573">
        <f t="shared" si="121"/>
        <v>6.3213088409695661</v>
      </c>
      <c r="Q2573" t="str">
        <f t="shared" ca="1" si="122"/>
        <v>No</v>
      </c>
    </row>
    <row r="2574" spans="1:17" x14ac:dyDescent="0.45">
      <c r="A2574" t="s">
        <v>120</v>
      </c>
      <c r="B2574" t="s">
        <v>121</v>
      </c>
      <c r="C2574" t="s">
        <v>40</v>
      </c>
      <c r="D2574" t="s">
        <v>20</v>
      </c>
      <c r="E2574" t="s">
        <v>21</v>
      </c>
      <c r="F2574" s="1">
        <v>45413</v>
      </c>
      <c r="G2574">
        <v>5.33</v>
      </c>
      <c r="H2574">
        <v>81.126499999999993</v>
      </c>
      <c r="I2574">
        <v>16.190000000000001</v>
      </c>
      <c r="J2574">
        <v>70.81</v>
      </c>
      <c r="K2574" t="s">
        <v>30</v>
      </c>
      <c r="L2574">
        <v>9805.06</v>
      </c>
      <c r="M2574">
        <f>VLOOKUP(K2574,RatingLookup!$A$2:$C$8,2,FALSE)</f>
        <v>1.4999999999999999E-2</v>
      </c>
      <c r="N2574">
        <f t="shared" si="120"/>
        <v>1.2586770182638762E-3</v>
      </c>
      <c r="O2574">
        <f>VLOOKUP(K2574,RatingLookup!$A$2:$C$8,3,FALSE)</f>
        <v>0.5</v>
      </c>
      <c r="P2574">
        <f t="shared" si="121"/>
        <v>6.1707018423492013</v>
      </c>
      <c r="Q2574" t="str">
        <f t="shared" ca="1" si="122"/>
        <v>No</v>
      </c>
    </row>
    <row r="2575" spans="1:17" x14ac:dyDescent="0.45">
      <c r="A2575" t="s">
        <v>120</v>
      </c>
      <c r="B2575" t="s">
        <v>121</v>
      </c>
      <c r="C2575" t="s">
        <v>40</v>
      </c>
      <c r="D2575" t="s">
        <v>20</v>
      </c>
      <c r="E2575" t="s">
        <v>21</v>
      </c>
      <c r="F2575" s="1">
        <v>45444</v>
      </c>
      <c r="G2575">
        <v>5.72</v>
      </c>
      <c r="H2575">
        <v>81.657200000000003</v>
      </c>
      <c r="I2575">
        <v>9.77</v>
      </c>
      <c r="J2575">
        <v>83.09</v>
      </c>
      <c r="K2575" t="s">
        <v>30</v>
      </c>
      <c r="L2575">
        <v>10196.58</v>
      </c>
      <c r="M2575">
        <f>VLOOKUP(K2575,RatingLookup!$A$2:$C$8,2,FALSE)</f>
        <v>1.4999999999999999E-2</v>
      </c>
      <c r="N2575">
        <f t="shared" si="120"/>
        <v>1.2586770182638762E-3</v>
      </c>
      <c r="O2575">
        <f>VLOOKUP(K2575,RatingLookup!$A$2:$C$8,3,FALSE)</f>
        <v>0.5</v>
      </c>
      <c r="P2575">
        <f t="shared" si="121"/>
        <v>6.4171004554445377</v>
      </c>
      <c r="Q2575" t="str">
        <f t="shared" ca="1" si="122"/>
        <v>No</v>
      </c>
    </row>
    <row r="2576" spans="1:17" x14ac:dyDescent="0.45">
      <c r="A2576" t="s">
        <v>120</v>
      </c>
      <c r="B2576" t="s">
        <v>121</v>
      </c>
      <c r="C2576" t="s">
        <v>40</v>
      </c>
      <c r="D2576" t="s">
        <v>20</v>
      </c>
      <c r="E2576" t="s">
        <v>21</v>
      </c>
      <c r="F2576" s="1">
        <v>45474</v>
      </c>
      <c r="G2576">
        <v>5.7</v>
      </c>
      <c r="H2576">
        <v>79.264300000000006</v>
      </c>
      <c r="I2576">
        <v>14.35</v>
      </c>
      <c r="J2576">
        <v>57.96</v>
      </c>
      <c r="K2576" t="s">
        <v>30</v>
      </c>
      <c r="L2576">
        <v>9794.86</v>
      </c>
      <c r="M2576">
        <f>VLOOKUP(K2576,RatingLookup!$A$2:$C$8,2,FALSE)</f>
        <v>1.4999999999999999E-2</v>
      </c>
      <c r="N2576">
        <f t="shared" si="120"/>
        <v>1.2586770182638762E-3</v>
      </c>
      <c r="O2576">
        <f>VLOOKUP(K2576,RatingLookup!$A$2:$C$8,3,FALSE)</f>
        <v>0.5</v>
      </c>
      <c r="P2576">
        <f t="shared" si="121"/>
        <v>6.1642825895560556</v>
      </c>
      <c r="Q2576" t="str">
        <f t="shared" ca="1" si="122"/>
        <v>No</v>
      </c>
    </row>
    <row r="2577" spans="1:17" x14ac:dyDescent="0.45">
      <c r="A2577" t="s">
        <v>120</v>
      </c>
      <c r="B2577" t="s">
        <v>121</v>
      </c>
      <c r="C2577" t="s">
        <v>40</v>
      </c>
      <c r="D2577" t="s">
        <v>20</v>
      </c>
      <c r="E2577" t="s">
        <v>21</v>
      </c>
      <c r="F2577" s="1">
        <v>45505</v>
      </c>
      <c r="G2577">
        <v>4.9800000000000004</v>
      </c>
      <c r="H2577">
        <v>87.720500000000001</v>
      </c>
      <c r="I2577">
        <v>19.010000000000002</v>
      </c>
      <c r="J2577">
        <v>82.3</v>
      </c>
      <c r="K2577" t="s">
        <v>30</v>
      </c>
      <c r="L2577">
        <v>10058.790000000001</v>
      </c>
      <c r="M2577">
        <f>VLOOKUP(K2577,RatingLookup!$A$2:$C$8,2,FALSE)</f>
        <v>1.4999999999999999E-2</v>
      </c>
      <c r="N2577">
        <f t="shared" si="120"/>
        <v>1.2586770182638762E-3</v>
      </c>
      <c r="O2577">
        <f>VLOOKUP(K2577,RatingLookup!$A$2:$C$8,3,FALSE)</f>
        <v>0.5</v>
      </c>
      <c r="P2577">
        <f t="shared" si="121"/>
        <v>6.3303839022712483</v>
      </c>
      <c r="Q2577" t="str">
        <f t="shared" ca="1" si="122"/>
        <v>No</v>
      </c>
    </row>
    <row r="2578" spans="1:17" x14ac:dyDescent="0.45">
      <c r="A2578" t="s">
        <v>120</v>
      </c>
      <c r="B2578" t="s">
        <v>121</v>
      </c>
      <c r="C2578" t="s">
        <v>40</v>
      </c>
      <c r="D2578" t="s">
        <v>20</v>
      </c>
      <c r="E2578" t="s">
        <v>21</v>
      </c>
      <c r="F2578" s="1">
        <v>45536</v>
      </c>
      <c r="G2578">
        <v>4.83</v>
      </c>
      <c r="H2578">
        <v>83.084299999999999</v>
      </c>
      <c r="I2578">
        <v>21.17</v>
      </c>
      <c r="J2578">
        <v>93.21</v>
      </c>
      <c r="K2578" t="s">
        <v>30</v>
      </c>
      <c r="L2578">
        <v>9947.51</v>
      </c>
      <c r="M2578">
        <f>VLOOKUP(K2578,RatingLookup!$A$2:$C$8,2,FALSE)</f>
        <v>1.4999999999999999E-2</v>
      </c>
      <c r="N2578">
        <f t="shared" si="120"/>
        <v>1.2586770182638762E-3</v>
      </c>
      <c r="O2578">
        <f>VLOOKUP(K2578,RatingLookup!$A$2:$C$8,3,FALSE)</f>
        <v>0.5</v>
      </c>
      <c r="P2578">
        <f t="shared" si="121"/>
        <v>6.2603511129750462</v>
      </c>
      <c r="Q2578" t="str">
        <f t="shared" ca="1" si="122"/>
        <v>No</v>
      </c>
    </row>
    <row r="2579" spans="1:17" x14ac:dyDescent="0.45">
      <c r="A2579" t="s">
        <v>120</v>
      </c>
      <c r="B2579" t="s">
        <v>121</v>
      </c>
      <c r="C2579" t="s">
        <v>40</v>
      </c>
      <c r="D2579" t="s">
        <v>20</v>
      </c>
      <c r="E2579" t="s">
        <v>21</v>
      </c>
      <c r="F2579" s="1">
        <v>45566</v>
      </c>
      <c r="G2579">
        <v>6.42</v>
      </c>
      <c r="H2579">
        <v>80.128699999999995</v>
      </c>
      <c r="I2579">
        <v>20.399999999999999</v>
      </c>
      <c r="J2579">
        <v>78.03</v>
      </c>
      <c r="K2579" t="s">
        <v>30</v>
      </c>
      <c r="L2579">
        <v>9426.8700000000008</v>
      </c>
      <c r="M2579">
        <f>VLOOKUP(K2579,RatingLookup!$A$2:$C$8,2,FALSE)</f>
        <v>1.4999999999999999E-2</v>
      </c>
      <c r="N2579">
        <f t="shared" si="120"/>
        <v>1.2586770182638762E-3</v>
      </c>
      <c r="O2579">
        <f>VLOOKUP(K2579,RatingLookup!$A$2:$C$8,3,FALSE)</f>
        <v>0.5</v>
      </c>
      <c r="P2579">
        <f t="shared" si="121"/>
        <v>5.9326923115805936</v>
      </c>
      <c r="Q2579" t="str">
        <f t="shared" ca="1" si="122"/>
        <v>No</v>
      </c>
    </row>
    <row r="2580" spans="1:17" x14ac:dyDescent="0.45">
      <c r="A2580" t="s">
        <v>120</v>
      </c>
      <c r="B2580" t="s">
        <v>121</v>
      </c>
      <c r="C2580" t="s">
        <v>40</v>
      </c>
      <c r="D2580" t="s">
        <v>20</v>
      </c>
      <c r="E2580" t="s">
        <v>21</v>
      </c>
      <c r="F2580" s="1">
        <v>45597</v>
      </c>
      <c r="G2580">
        <v>5.28</v>
      </c>
      <c r="H2580">
        <v>80.939599999999999</v>
      </c>
      <c r="I2580">
        <v>23.73</v>
      </c>
      <c r="J2580">
        <v>76.739999999999995</v>
      </c>
      <c r="K2580" t="s">
        <v>30</v>
      </c>
      <c r="L2580">
        <v>9594.9599999999991</v>
      </c>
      <c r="M2580">
        <f>VLOOKUP(K2580,RatingLookup!$A$2:$C$8,2,FALSE)</f>
        <v>1.4999999999999999E-2</v>
      </c>
      <c r="N2580">
        <f t="shared" si="120"/>
        <v>1.2586770182638762E-3</v>
      </c>
      <c r="O2580">
        <f>VLOOKUP(K2580,RatingLookup!$A$2:$C$8,3,FALSE)</f>
        <v>0.5</v>
      </c>
      <c r="P2580">
        <f t="shared" si="121"/>
        <v>6.0384778215805808</v>
      </c>
      <c r="Q2580" t="str">
        <f t="shared" ca="1" si="122"/>
        <v>No</v>
      </c>
    </row>
    <row r="2581" spans="1:17" x14ac:dyDescent="0.45">
      <c r="A2581" t="s">
        <v>120</v>
      </c>
      <c r="B2581" t="s">
        <v>121</v>
      </c>
      <c r="C2581" t="s">
        <v>40</v>
      </c>
      <c r="D2581" t="s">
        <v>20</v>
      </c>
      <c r="E2581" t="s">
        <v>21</v>
      </c>
      <c r="F2581" s="1">
        <v>45627</v>
      </c>
      <c r="G2581">
        <v>5.36</v>
      </c>
      <c r="H2581">
        <v>81.601799999999997</v>
      </c>
      <c r="I2581">
        <v>29.06</v>
      </c>
      <c r="J2581">
        <v>77.75</v>
      </c>
      <c r="K2581" t="s">
        <v>30</v>
      </c>
      <c r="L2581">
        <v>9641.3799999999992</v>
      </c>
      <c r="M2581">
        <f>VLOOKUP(K2581,RatingLookup!$A$2:$C$8,2,FALSE)</f>
        <v>1.4999999999999999E-2</v>
      </c>
      <c r="N2581">
        <f t="shared" si="120"/>
        <v>1.2586770182638762E-3</v>
      </c>
      <c r="O2581">
        <f>VLOOKUP(K2581,RatingLookup!$A$2:$C$8,3,FALSE)</f>
        <v>0.5</v>
      </c>
      <c r="P2581">
        <f t="shared" si="121"/>
        <v>6.0676917151744849</v>
      </c>
      <c r="Q2581" t="str">
        <f t="shared" ca="1" si="122"/>
        <v>No</v>
      </c>
    </row>
    <row r="2582" spans="1:17" x14ac:dyDescent="0.45">
      <c r="A2582" t="s">
        <v>122</v>
      </c>
      <c r="B2582" t="s">
        <v>123</v>
      </c>
      <c r="C2582" t="s">
        <v>85</v>
      </c>
      <c r="D2582" t="s">
        <v>20</v>
      </c>
      <c r="E2582" t="s">
        <v>21</v>
      </c>
      <c r="F2582" s="1">
        <v>43831</v>
      </c>
      <c r="G2582">
        <v>5.56</v>
      </c>
      <c r="H2582">
        <v>80.009299999999996</v>
      </c>
      <c r="I2582">
        <v>22.6</v>
      </c>
      <c r="J2582">
        <v>60.37</v>
      </c>
      <c r="K2582" t="s">
        <v>30</v>
      </c>
      <c r="L2582">
        <v>1009.76</v>
      </c>
      <c r="M2582">
        <f>VLOOKUP(K2582,RatingLookup!$A$2:$C$8,2,FALSE)</f>
        <v>1.4999999999999999E-2</v>
      </c>
      <c r="N2582">
        <f t="shared" si="120"/>
        <v>1.2586770182638762E-3</v>
      </c>
      <c r="O2582">
        <f>VLOOKUP(K2582,RatingLookup!$A$2:$C$8,3,FALSE)</f>
        <v>0.5</v>
      </c>
      <c r="P2582">
        <f t="shared" si="121"/>
        <v>0.63548085298106582</v>
      </c>
      <c r="Q2582" t="str">
        <f t="shared" ca="1" si="122"/>
        <v>No</v>
      </c>
    </row>
    <row r="2583" spans="1:17" x14ac:dyDescent="0.45">
      <c r="A2583" t="s">
        <v>122</v>
      </c>
      <c r="B2583" t="s">
        <v>123</v>
      </c>
      <c r="C2583" t="s">
        <v>85</v>
      </c>
      <c r="D2583" t="s">
        <v>20</v>
      </c>
      <c r="E2583" t="s">
        <v>21</v>
      </c>
      <c r="F2583" s="1">
        <v>43862</v>
      </c>
      <c r="G2583">
        <v>5.65</v>
      </c>
      <c r="H2583">
        <v>79.718500000000006</v>
      </c>
      <c r="I2583">
        <v>12.02</v>
      </c>
      <c r="J2583">
        <v>63.92</v>
      </c>
      <c r="K2583" t="s">
        <v>30</v>
      </c>
      <c r="L2583">
        <v>997.8</v>
      </c>
      <c r="M2583">
        <f>VLOOKUP(K2583,RatingLookup!$A$2:$C$8,2,FALSE)</f>
        <v>1.4999999999999999E-2</v>
      </c>
      <c r="N2583">
        <f t="shared" si="120"/>
        <v>1.2586770182638762E-3</v>
      </c>
      <c r="O2583">
        <f>VLOOKUP(K2583,RatingLookup!$A$2:$C$8,3,FALSE)</f>
        <v>0.5</v>
      </c>
      <c r="P2583">
        <f t="shared" si="121"/>
        <v>0.62795396441184781</v>
      </c>
      <c r="Q2583" t="str">
        <f t="shared" ca="1" si="122"/>
        <v>No</v>
      </c>
    </row>
    <row r="2584" spans="1:17" x14ac:dyDescent="0.45">
      <c r="A2584" t="s">
        <v>122</v>
      </c>
      <c r="B2584" t="s">
        <v>123</v>
      </c>
      <c r="C2584" t="s">
        <v>85</v>
      </c>
      <c r="D2584" t="s">
        <v>20</v>
      </c>
      <c r="E2584" t="s">
        <v>21</v>
      </c>
      <c r="F2584" s="1">
        <v>43891</v>
      </c>
      <c r="G2584">
        <v>4.84</v>
      </c>
      <c r="H2584">
        <v>79.637100000000004</v>
      </c>
      <c r="I2584">
        <v>23.23</v>
      </c>
      <c r="J2584">
        <v>74.53</v>
      </c>
      <c r="K2584" t="s">
        <v>30</v>
      </c>
      <c r="L2584">
        <v>1019.81</v>
      </c>
      <c r="M2584">
        <f>VLOOKUP(K2584,RatingLookup!$A$2:$C$8,2,FALSE)</f>
        <v>1.4999999999999999E-2</v>
      </c>
      <c r="N2584">
        <f t="shared" si="120"/>
        <v>1.2586770182638762E-3</v>
      </c>
      <c r="O2584">
        <f>VLOOKUP(K2584,RatingLookup!$A$2:$C$8,3,FALSE)</f>
        <v>0.5</v>
      </c>
      <c r="P2584">
        <f t="shared" si="121"/>
        <v>0.64180570499784173</v>
      </c>
      <c r="Q2584" t="str">
        <f t="shared" ca="1" si="122"/>
        <v>No</v>
      </c>
    </row>
    <row r="2585" spans="1:17" x14ac:dyDescent="0.45">
      <c r="A2585" t="s">
        <v>122</v>
      </c>
      <c r="B2585" t="s">
        <v>123</v>
      </c>
      <c r="C2585" t="s">
        <v>85</v>
      </c>
      <c r="D2585" t="s">
        <v>20</v>
      </c>
      <c r="E2585" t="s">
        <v>21</v>
      </c>
      <c r="F2585" s="1">
        <v>43922</v>
      </c>
      <c r="G2585">
        <v>7.1</v>
      </c>
      <c r="H2585">
        <v>82.0154</v>
      </c>
      <c r="I2585">
        <v>9.56</v>
      </c>
      <c r="J2585">
        <v>73.930000000000007</v>
      </c>
      <c r="K2585" t="s">
        <v>30</v>
      </c>
      <c r="L2585">
        <v>1076.26</v>
      </c>
      <c r="M2585">
        <f>VLOOKUP(K2585,RatingLookup!$A$2:$C$8,2,FALSE)</f>
        <v>1.4999999999999999E-2</v>
      </c>
      <c r="N2585">
        <f t="shared" si="120"/>
        <v>1.2586770182638762E-3</v>
      </c>
      <c r="O2585">
        <f>VLOOKUP(K2585,RatingLookup!$A$2:$C$8,3,FALSE)</f>
        <v>0.5</v>
      </c>
      <c r="P2585">
        <f t="shared" si="121"/>
        <v>0.67733186383833976</v>
      </c>
      <c r="Q2585" t="str">
        <f t="shared" ca="1" si="122"/>
        <v>No</v>
      </c>
    </row>
    <row r="2586" spans="1:17" x14ac:dyDescent="0.45">
      <c r="A2586" t="s">
        <v>122</v>
      </c>
      <c r="B2586" t="s">
        <v>123</v>
      </c>
      <c r="C2586" t="s">
        <v>85</v>
      </c>
      <c r="D2586" t="s">
        <v>20</v>
      </c>
      <c r="E2586" t="s">
        <v>21</v>
      </c>
      <c r="F2586" s="1">
        <v>43952</v>
      </c>
      <c r="G2586">
        <v>5.66</v>
      </c>
      <c r="H2586">
        <v>82.578199999999995</v>
      </c>
      <c r="I2586">
        <v>23.88</v>
      </c>
      <c r="J2586">
        <v>71.099999999999994</v>
      </c>
      <c r="K2586" t="s">
        <v>22</v>
      </c>
      <c r="L2586">
        <v>1008</v>
      </c>
      <c r="M2586">
        <f>VLOOKUP(K2586,RatingLookup!$A$2:$C$8,2,FALSE)</f>
        <v>5.0000000000000001E-3</v>
      </c>
      <c r="N2586">
        <f t="shared" si="120"/>
        <v>4.1762458919303302E-4</v>
      </c>
      <c r="O2586">
        <f>VLOOKUP(K2586,RatingLookup!$A$2:$C$8,3,FALSE)</f>
        <v>0.45</v>
      </c>
      <c r="P2586">
        <f t="shared" si="121"/>
        <v>0.1894345136579598</v>
      </c>
      <c r="Q2586" t="str">
        <f t="shared" ca="1" si="122"/>
        <v>No</v>
      </c>
    </row>
    <row r="2587" spans="1:17" x14ac:dyDescent="0.45">
      <c r="A2587" t="s">
        <v>122</v>
      </c>
      <c r="B2587" t="s">
        <v>123</v>
      </c>
      <c r="C2587" t="s">
        <v>85</v>
      </c>
      <c r="D2587" t="s">
        <v>20</v>
      </c>
      <c r="E2587" t="s">
        <v>21</v>
      </c>
      <c r="F2587" s="1">
        <v>43983</v>
      </c>
      <c r="G2587">
        <v>5.67</v>
      </c>
      <c r="H2587">
        <v>81.336799999999997</v>
      </c>
      <c r="I2587">
        <v>26.46</v>
      </c>
      <c r="J2587">
        <v>60.24</v>
      </c>
      <c r="K2587" t="s">
        <v>23</v>
      </c>
      <c r="L2587">
        <v>910.61</v>
      </c>
      <c r="M2587">
        <f>VLOOKUP(K2587,RatingLookup!$A$2:$C$8,2,FALSE)</f>
        <v>1E-3</v>
      </c>
      <c r="N2587">
        <f t="shared" si="120"/>
        <v>8.3371552197619714E-5</v>
      </c>
      <c r="O2587">
        <f>VLOOKUP(K2587,RatingLookup!$A$2:$C$8,3,FALSE)</f>
        <v>0.3</v>
      </c>
      <c r="P2587">
        <f t="shared" si="121"/>
        <v>2.2775690744002347E-2</v>
      </c>
      <c r="Q2587" t="str">
        <f t="shared" ca="1" si="122"/>
        <v>No</v>
      </c>
    </row>
    <row r="2588" spans="1:17" x14ac:dyDescent="0.45">
      <c r="A2588" t="s">
        <v>122</v>
      </c>
      <c r="B2588" t="s">
        <v>123</v>
      </c>
      <c r="C2588" t="s">
        <v>85</v>
      </c>
      <c r="D2588" t="s">
        <v>20</v>
      </c>
      <c r="E2588" t="s">
        <v>21</v>
      </c>
      <c r="F2588" s="1">
        <v>44013</v>
      </c>
      <c r="G2588">
        <v>4.58</v>
      </c>
      <c r="H2588">
        <v>77.8536</v>
      </c>
      <c r="I2588">
        <v>24.53</v>
      </c>
      <c r="J2588">
        <v>73.930000000000007</v>
      </c>
      <c r="K2588" t="s">
        <v>23</v>
      </c>
      <c r="L2588">
        <v>972.27</v>
      </c>
      <c r="M2588">
        <f>VLOOKUP(K2588,RatingLookup!$A$2:$C$8,2,FALSE)</f>
        <v>1E-3</v>
      </c>
      <c r="N2588">
        <f t="shared" si="120"/>
        <v>8.3371552197619714E-5</v>
      </c>
      <c r="O2588">
        <f>VLOOKUP(K2588,RatingLookup!$A$2:$C$8,3,FALSE)</f>
        <v>0.3</v>
      </c>
      <c r="P2588">
        <f t="shared" si="121"/>
        <v>2.4317897716553915E-2</v>
      </c>
      <c r="Q2588" t="str">
        <f t="shared" ca="1" si="122"/>
        <v>No</v>
      </c>
    </row>
    <row r="2589" spans="1:17" x14ac:dyDescent="0.45">
      <c r="A2589" t="s">
        <v>122</v>
      </c>
      <c r="B2589" t="s">
        <v>123</v>
      </c>
      <c r="C2589" t="s">
        <v>85</v>
      </c>
      <c r="D2589" t="s">
        <v>20</v>
      </c>
      <c r="E2589" t="s">
        <v>21</v>
      </c>
      <c r="F2589" s="1">
        <v>44044</v>
      </c>
      <c r="G2589">
        <v>5.53</v>
      </c>
      <c r="H2589">
        <v>81.861900000000006</v>
      </c>
      <c r="I2589">
        <v>14.31</v>
      </c>
      <c r="J2589">
        <v>81.69</v>
      </c>
      <c r="K2589" t="s">
        <v>23</v>
      </c>
      <c r="L2589">
        <v>982.43</v>
      </c>
      <c r="M2589">
        <f>VLOOKUP(K2589,RatingLookup!$A$2:$C$8,2,FALSE)</f>
        <v>1E-3</v>
      </c>
      <c r="N2589">
        <f t="shared" si="120"/>
        <v>8.3371552197619714E-5</v>
      </c>
      <c r="O2589">
        <f>VLOOKUP(K2589,RatingLookup!$A$2:$C$8,3,FALSE)</f>
        <v>0.3</v>
      </c>
      <c r="P2589">
        <f t="shared" si="121"/>
        <v>2.457201420765226E-2</v>
      </c>
      <c r="Q2589" t="str">
        <f t="shared" ca="1" si="122"/>
        <v>No</v>
      </c>
    </row>
    <row r="2590" spans="1:17" x14ac:dyDescent="0.45">
      <c r="A2590" t="s">
        <v>122</v>
      </c>
      <c r="B2590" t="s">
        <v>123</v>
      </c>
      <c r="C2590" t="s">
        <v>85</v>
      </c>
      <c r="D2590" t="s">
        <v>20</v>
      </c>
      <c r="E2590" t="s">
        <v>21</v>
      </c>
      <c r="F2590" s="1">
        <v>44075</v>
      </c>
      <c r="G2590">
        <v>6.1</v>
      </c>
      <c r="H2590">
        <v>80.382300000000001</v>
      </c>
      <c r="I2590">
        <v>13.83</v>
      </c>
      <c r="J2590">
        <v>57.53</v>
      </c>
      <c r="K2590" t="s">
        <v>23</v>
      </c>
      <c r="L2590">
        <v>1027.06</v>
      </c>
      <c r="M2590">
        <f>VLOOKUP(K2590,RatingLookup!$A$2:$C$8,2,FALSE)</f>
        <v>1E-3</v>
      </c>
      <c r="N2590">
        <f t="shared" si="120"/>
        <v>8.3371552197619714E-5</v>
      </c>
      <c r="O2590">
        <f>VLOOKUP(K2590,RatingLookup!$A$2:$C$8,3,FALSE)</f>
        <v>0.3</v>
      </c>
      <c r="P2590">
        <f t="shared" si="121"/>
        <v>2.5688275920026191E-2</v>
      </c>
      <c r="Q2590" t="str">
        <f t="shared" ca="1" si="122"/>
        <v>No</v>
      </c>
    </row>
    <row r="2591" spans="1:17" x14ac:dyDescent="0.45">
      <c r="A2591" t="s">
        <v>122</v>
      </c>
      <c r="B2591" t="s">
        <v>123</v>
      </c>
      <c r="C2591" t="s">
        <v>85</v>
      </c>
      <c r="D2591" t="s">
        <v>20</v>
      </c>
      <c r="E2591" t="s">
        <v>21</v>
      </c>
      <c r="F2591" s="1">
        <v>44105</v>
      </c>
      <c r="G2591">
        <v>5.48</v>
      </c>
      <c r="H2591">
        <v>83.778899999999993</v>
      </c>
      <c r="I2591">
        <v>28.36</v>
      </c>
      <c r="J2591">
        <v>67.430000000000007</v>
      </c>
      <c r="K2591" t="s">
        <v>23</v>
      </c>
      <c r="L2591">
        <v>940.41</v>
      </c>
      <c r="M2591">
        <f>VLOOKUP(K2591,RatingLookup!$A$2:$C$8,2,FALSE)</f>
        <v>1E-3</v>
      </c>
      <c r="N2591">
        <f t="shared" si="120"/>
        <v>8.3371552197619714E-5</v>
      </c>
      <c r="O2591">
        <f>VLOOKUP(K2591,RatingLookup!$A$2:$C$8,3,FALSE)</f>
        <v>0.3</v>
      </c>
      <c r="P2591">
        <f t="shared" si="121"/>
        <v>2.3521032420649065E-2</v>
      </c>
      <c r="Q2591" t="str">
        <f t="shared" ca="1" si="122"/>
        <v>No</v>
      </c>
    </row>
    <row r="2592" spans="1:17" x14ac:dyDescent="0.45">
      <c r="A2592" t="s">
        <v>122</v>
      </c>
      <c r="B2592" t="s">
        <v>123</v>
      </c>
      <c r="C2592" t="s">
        <v>85</v>
      </c>
      <c r="D2592" t="s">
        <v>20</v>
      </c>
      <c r="E2592" t="s">
        <v>21</v>
      </c>
      <c r="F2592" s="1">
        <v>44136</v>
      </c>
      <c r="G2592">
        <v>5.38</v>
      </c>
      <c r="H2592">
        <v>84.410499999999999</v>
      </c>
      <c r="I2592">
        <v>18.489999999999998</v>
      </c>
      <c r="J2592">
        <v>60.29</v>
      </c>
      <c r="K2592" t="s">
        <v>23</v>
      </c>
      <c r="L2592">
        <v>972.48</v>
      </c>
      <c r="M2592">
        <f>VLOOKUP(K2592,RatingLookup!$A$2:$C$8,2,FALSE)</f>
        <v>1E-3</v>
      </c>
      <c r="N2592">
        <f t="shared" si="120"/>
        <v>8.3371552197619714E-5</v>
      </c>
      <c r="O2592">
        <f>VLOOKUP(K2592,RatingLookup!$A$2:$C$8,3,FALSE)</f>
        <v>0.3</v>
      </c>
      <c r="P2592">
        <f t="shared" si="121"/>
        <v>2.4323150124342368E-2</v>
      </c>
      <c r="Q2592" t="str">
        <f t="shared" ca="1" si="122"/>
        <v>No</v>
      </c>
    </row>
    <row r="2593" spans="1:17" x14ac:dyDescent="0.45">
      <c r="A2593" t="s">
        <v>122</v>
      </c>
      <c r="B2593" t="s">
        <v>123</v>
      </c>
      <c r="C2593" t="s">
        <v>85</v>
      </c>
      <c r="D2593" t="s">
        <v>20</v>
      </c>
      <c r="E2593" t="s">
        <v>21</v>
      </c>
      <c r="F2593" s="1">
        <v>44166</v>
      </c>
      <c r="G2593">
        <v>5.58</v>
      </c>
      <c r="H2593">
        <v>81.356300000000005</v>
      </c>
      <c r="I2593">
        <v>16.14</v>
      </c>
      <c r="J2593">
        <v>82.04</v>
      </c>
      <c r="K2593" t="s">
        <v>23</v>
      </c>
      <c r="L2593">
        <v>962.47</v>
      </c>
      <c r="M2593">
        <f>VLOOKUP(K2593,RatingLookup!$A$2:$C$8,2,FALSE)</f>
        <v>1E-3</v>
      </c>
      <c r="N2593">
        <f t="shared" si="120"/>
        <v>8.3371552197619714E-5</v>
      </c>
      <c r="O2593">
        <f>VLOOKUP(K2593,RatingLookup!$A$2:$C$8,3,FALSE)</f>
        <v>0.3</v>
      </c>
      <c r="P2593">
        <f t="shared" si="121"/>
        <v>2.4072785353092912E-2</v>
      </c>
      <c r="Q2593" t="str">
        <f t="shared" ca="1" si="122"/>
        <v>No</v>
      </c>
    </row>
    <row r="2594" spans="1:17" x14ac:dyDescent="0.45">
      <c r="A2594" t="s">
        <v>122</v>
      </c>
      <c r="B2594" t="s">
        <v>123</v>
      </c>
      <c r="C2594" t="s">
        <v>85</v>
      </c>
      <c r="D2594" t="s">
        <v>20</v>
      </c>
      <c r="E2594" t="s">
        <v>21</v>
      </c>
      <c r="F2594" s="1">
        <v>44197</v>
      </c>
      <c r="G2594">
        <v>6.43</v>
      </c>
      <c r="H2594">
        <v>82.828199999999995</v>
      </c>
      <c r="I2594">
        <v>6.48</v>
      </c>
      <c r="J2594">
        <v>82.6</v>
      </c>
      <c r="K2594" t="s">
        <v>23</v>
      </c>
      <c r="L2594">
        <v>1005.65</v>
      </c>
      <c r="M2594">
        <f>VLOOKUP(K2594,RatingLookup!$A$2:$C$8,2,FALSE)</f>
        <v>1E-3</v>
      </c>
      <c r="N2594">
        <f t="shared" si="120"/>
        <v>8.3371552197619714E-5</v>
      </c>
      <c r="O2594">
        <f>VLOOKUP(K2594,RatingLookup!$A$2:$C$8,3,FALSE)</f>
        <v>0.3</v>
      </c>
      <c r="P2594">
        <f t="shared" si="121"/>
        <v>2.5152780440260879E-2</v>
      </c>
      <c r="Q2594" t="str">
        <f t="shared" ca="1" si="122"/>
        <v>No</v>
      </c>
    </row>
    <row r="2595" spans="1:17" x14ac:dyDescent="0.45">
      <c r="A2595" t="s">
        <v>122</v>
      </c>
      <c r="B2595" t="s">
        <v>123</v>
      </c>
      <c r="C2595" t="s">
        <v>85</v>
      </c>
      <c r="D2595" t="s">
        <v>20</v>
      </c>
      <c r="E2595" t="s">
        <v>21</v>
      </c>
      <c r="F2595" s="1">
        <v>44228</v>
      </c>
      <c r="G2595">
        <v>5.79</v>
      </c>
      <c r="H2595">
        <v>78.378799999999998</v>
      </c>
      <c r="I2595">
        <v>25.87</v>
      </c>
      <c r="J2595">
        <v>58.5</v>
      </c>
      <c r="K2595" t="s">
        <v>23</v>
      </c>
      <c r="L2595">
        <v>957.95</v>
      </c>
      <c r="M2595">
        <f>VLOOKUP(K2595,RatingLookup!$A$2:$C$8,2,FALSE)</f>
        <v>1E-3</v>
      </c>
      <c r="N2595">
        <f t="shared" si="120"/>
        <v>8.3371552197619714E-5</v>
      </c>
      <c r="O2595">
        <f>VLOOKUP(K2595,RatingLookup!$A$2:$C$8,3,FALSE)</f>
        <v>0.3</v>
      </c>
      <c r="P2595">
        <f t="shared" si="121"/>
        <v>2.3959733528312942E-2</v>
      </c>
      <c r="Q2595" t="str">
        <f t="shared" ca="1" si="122"/>
        <v>No</v>
      </c>
    </row>
    <row r="2596" spans="1:17" x14ac:dyDescent="0.45">
      <c r="A2596" t="s">
        <v>122</v>
      </c>
      <c r="B2596" t="s">
        <v>123</v>
      </c>
      <c r="C2596" t="s">
        <v>85</v>
      </c>
      <c r="D2596" t="s">
        <v>20</v>
      </c>
      <c r="E2596" t="s">
        <v>21</v>
      </c>
      <c r="F2596" s="1">
        <v>44256</v>
      </c>
      <c r="G2596">
        <v>5.53</v>
      </c>
      <c r="H2596">
        <v>80.033100000000005</v>
      </c>
      <c r="I2596">
        <v>17.899999999999999</v>
      </c>
      <c r="J2596">
        <v>75.040000000000006</v>
      </c>
      <c r="K2596" t="s">
        <v>23</v>
      </c>
      <c r="L2596">
        <v>1075.33</v>
      </c>
      <c r="M2596">
        <f>VLOOKUP(K2596,RatingLookup!$A$2:$C$8,2,FALSE)</f>
        <v>1E-3</v>
      </c>
      <c r="N2596">
        <f t="shared" si="120"/>
        <v>8.3371552197619714E-5</v>
      </c>
      <c r="O2596">
        <f>VLOOKUP(K2596,RatingLookup!$A$2:$C$8,3,FALSE)</f>
        <v>0.3</v>
      </c>
      <c r="P2596">
        <f t="shared" si="121"/>
        <v>2.6895579367399919E-2</v>
      </c>
      <c r="Q2596" t="str">
        <f t="shared" ca="1" si="122"/>
        <v>No</v>
      </c>
    </row>
    <row r="2597" spans="1:17" x14ac:dyDescent="0.45">
      <c r="A2597" t="s">
        <v>122</v>
      </c>
      <c r="B2597" t="s">
        <v>123</v>
      </c>
      <c r="C2597" t="s">
        <v>85</v>
      </c>
      <c r="D2597" t="s">
        <v>20</v>
      </c>
      <c r="E2597" t="s">
        <v>21</v>
      </c>
      <c r="F2597" s="1">
        <v>44287</v>
      </c>
      <c r="G2597">
        <v>4.05</v>
      </c>
      <c r="H2597">
        <v>85.623400000000004</v>
      </c>
      <c r="I2597">
        <v>19.260000000000002</v>
      </c>
      <c r="J2597">
        <v>84.33</v>
      </c>
      <c r="K2597" t="s">
        <v>22</v>
      </c>
      <c r="L2597">
        <v>957.28</v>
      </c>
      <c r="M2597">
        <f>VLOOKUP(K2597,RatingLookup!$A$2:$C$8,2,FALSE)</f>
        <v>5.0000000000000001E-3</v>
      </c>
      <c r="N2597">
        <f t="shared" si="120"/>
        <v>4.1762458919303302E-4</v>
      </c>
      <c r="O2597">
        <f>VLOOKUP(K2597,RatingLookup!$A$2:$C$8,3,FALSE)</f>
        <v>0.45</v>
      </c>
      <c r="P2597">
        <f t="shared" si="121"/>
        <v>0.17990265003421799</v>
      </c>
      <c r="Q2597" t="str">
        <f t="shared" ca="1" si="122"/>
        <v>No</v>
      </c>
    </row>
    <row r="2598" spans="1:17" x14ac:dyDescent="0.45">
      <c r="A2598" t="s">
        <v>122</v>
      </c>
      <c r="B2598" t="s">
        <v>123</v>
      </c>
      <c r="C2598" t="s">
        <v>85</v>
      </c>
      <c r="D2598" t="s">
        <v>20</v>
      </c>
      <c r="E2598" t="s">
        <v>21</v>
      </c>
      <c r="F2598" s="1">
        <v>44317</v>
      </c>
      <c r="G2598">
        <v>5.83</v>
      </c>
      <c r="H2598">
        <v>81.753600000000006</v>
      </c>
      <c r="I2598">
        <v>20.420000000000002</v>
      </c>
      <c r="J2598">
        <v>82.83</v>
      </c>
      <c r="K2598" t="s">
        <v>22</v>
      </c>
      <c r="L2598">
        <v>1060.5999999999999</v>
      </c>
      <c r="M2598">
        <f>VLOOKUP(K2598,RatingLookup!$A$2:$C$8,2,FALSE)</f>
        <v>5.0000000000000001E-3</v>
      </c>
      <c r="N2598">
        <f t="shared" si="120"/>
        <v>4.1762458919303302E-4</v>
      </c>
      <c r="O2598">
        <f>VLOOKUP(K2598,RatingLookup!$A$2:$C$8,3,FALSE)</f>
        <v>0.45</v>
      </c>
      <c r="P2598">
        <f t="shared" si="121"/>
        <v>0.19931968768415886</v>
      </c>
      <c r="Q2598" t="str">
        <f t="shared" ca="1" si="122"/>
        <v>No</v>
      </c>
    </row>
    <row r="2599" spans="1:17" x14ac:dyDescent="0.45">
      <c r="A2599" t="s">
        <v>122</v>
      </c>
      <c r="B2599" t="s">
        <v>123</v>
      </c>
      <c r="C2599" t="s">
        <v>85</v>
      </c>
      <c r="D2599" t="s">
        <v>20</v>
      </c>
      <c r="E2599" t="s">
        <v>21</v>
      </c>
      <c r="F2599" s="1">
        <v>44348</v>
      </c>
      <c r="G2599">
        <v>5.16</v>
      </c>
      <c r="H2599">
        <v>82.703500000000005</v>
      </c>
      <c r="I2599">
        <v>18.37</v>
      </c>
      <c r="J2599">
        <v>82.97</v>
      </c>
      <c r="K2599" t="s">
        <v>22</v>
      </c>
      <c r="L2599">
        <v>1042.6600000000001</v>
      </c>
      <c r="M2599">
        <f>VLOOKUP(K2599,RatingLookup!$A$2:$C$8,2,FALSE)</f>
        <v>5.0000000000000001E-3</v>
      </c>
      <c r="N2599">
        <f t="shared" si="120"/>
        <v>4.1762458919303302E-4</v>
      </c>
      <c r="O2599">
        <f>VLOOKUP(K2599,RatingLookup!$A$2:$C$8,3,FALSE)</f>
        <v>0.45</v>
      </c>
      <c r="P2599">
        <f t="shared" si="121"/>
        <v>0.19594820437560354</v>
      </c>
      <c r="Q2599" t="str">
        <f t="shared" ca="1" si="122"/>
        <v>No</v>
      </c>
    </row>
    <row r="2600" spans="1:17" x14ac:dyDescent="0.45">
      <c r="A2600" t="s">
        <v>122</v>
      </c>
      <c r="B2600" t="s">
        <v>123</v>
      </c>
      <c r="C2600" t="s">
        <v>85</v>
      </c>
      <c r="D2600" t="s">
        <v>20</v>
      </c>
      <c r="E2600" t="s">
        <v>21</v>
      </c>
      <c r="F2600" s="1">
        <v>44378</v>
      </c>
      <c r="G2600">
        <v>5.63</v>
      </c>
      <c r="H2600">
        <v>85.147900000000007</v>
      </c>
      <c r="I2600">
        <v>18.04</v>
      </c>
      <c r="J2600">
        <v>90.45</v>
      </c>
      <c r="K2600" t="s">
        <v>22</v>
      </c>
      <c r="L2600">
        <v>1029.69</v>
      </c>
      <c r="M2600">
        <f>VLOOKUP(K2600,RatingLookup!$A$2:$C$8,2,FALSE)</f>
        <v>5.0000000000000001E-3</v>
      </c>
      <c r="N2600">
        <f t="shared" si="120"/>
        <v>4.1762458919303302E-4</v>
      </c>
      <c r="O2600">
        <f>VLOOKUP(K2600,RatingLookup!$A$2:$C$8,3,FALSE)</f>
        <v>0.45</v>
      </c>
      <c r="P2600">
        <f t="shared" si="121"/>
        <v>0.1935107384607784</v>
      </c>
      <c r="Q2600" t="str">
        <f t="shared" ca="1" si="122"/>
        <v>No</v>
      </c>
    </row>
    <row r="2601" spans="1:17" x14ac:dyDescent="0.45">
      <c r="A2601" t="s">
        <v>122</v>
      </c>
      <c r="B2601" t="s">
        <v>123</v>
      </c>
      <c r="C2601" t="s">
        <v>85</v>
      </c>
      <c r="D2601" t="s">
        <v>20</v>
      </c>
      <c r="E2601" t="s">
        <v>21</v>
      </c>
      <c r="F2601" s="1">
        <v>44409</v>
      </c>
      <c r="G2601">
        <v>5.73</v>
      </c>
      <c r="H2601">
        <v>83.206999999999994</v>
      </c>
      <c r="I2601">
        <v>17.21</v>
      </c>
      <c r="J2601">
        <v>88.03</v>
      </c>
      <c r="K2601" t="s">
        <v>22</v>
      </c>
      <c r="L2601">
        <v>1048.26</v>
      </c>
      <c r="M2601">
        <f>VLOOKUP(K2601,RatingLookup!$A$2:$C$8,2,FALSE)</f>
        <v>5.0000000000000001E-3</v>
      </c>
      <c r="N2601">
        <f t="shared" si="120"/>
        <v>4.1762458919303302E-4</v>
      </c>
      <c r="O2601">
        <f>VLOOKUP(K2601,RatingLookup!$A$2:$C$8,3,FALSE)</f>
        <v>0.45</v>
      </c>
      <c r="P2601">
        <f t="shared" si="121"/>
        <v>0.19700061834036994</v>
      </c>
      <c r="Q2601" t="str">
        <f t="shared" ca="1" si="122"/>
        <v>No</v>
      </c>
    </row>
    <row r="2602" spans="1:17" x14ac:dyDescent="0.45">
      <c r="A2602" t="s">
        <v>122</v>
      </c>
      <c r="B2602" t="s">
        <v>123</v>
      </c>
      <c r="C2602" t="s">
        <v>85</v>
      </c>
      <c r="D2602" t="s">
        <v>20</v>
      </c>
      <c r="E2602" t="s">
        <v>21</v>
      </c>
      <c r="F2602" s="1">
        <v>44440</v>
      </c>
      <c r="G2602">
        <v>4.8600000000000003</v>
      </c>
      <c r="H2602">
        <v>83.619799999999998</v>
      </c>
      <c r="I2602">
        <v>17.920000000000002</v>
      </c>
      <c r="J2602">
        <v>79.59</v>
      </c>
      <c r="K2602" t="s">
        <v>22</v>
      </c>
      <c r="L2602">
        <v>950.03</v>
      </c>
      <c r="M2602">
        <f>VLOOKUP(K2602,RatingLookup!$A$2:$C$8,2,FALSE)</f>
        <v>5.0000000000000001E-3</v>
      </c>
      <c r="N2602">
        <f t="shared" si="120"/>
        <v>4.1762458919303302E-4</v>
      </c>
      <c r="O2602">
        <f>VLOOKUP(K2602,RatingLookup!$A$2:$C$8,3,FALSE)</f>
        <v>0.45</v>
      </c>
      <c r="P2602">
        <f t="shared" si="121"/>
        <v>0.17854014981197572</v>
      </c>
      <c r="Q2602" t="str">
        <f t="shared" ca="1" si="122"/>
        <v>No</v>
      </c>
    </row>
    <row r="2603" spans="1:17" x14ac:dyDescent="0.45">
      <c r="A2603" t="s">
        <v>122</v>
      </c>
      <c r="B2603" t="s">
        <v>123</v>
      </c>
      <c r="C2603" t="s">
        <v>85</v>
      </c>
      <c r="D2603" t="s">
        <v>20</v>
      </c>
      <c r="E2603" t="s">
        <v>21</v>
      </c>
      <c r="F2603" s="1">
        <v>44470</v>
      </c>
      <c r="G2603">
        <v>4.63</v>
      </c>
      <c r="H2603">
        <v>84.205299999999994</v>
      </c>
      <c r="I2603">
        <v>14.73</v>
      </c>
      <c r="J2603">
        <v>68.23</v>
      </c>
      <c r="K2603" t="s">
        <v>22</v>
      </c>
      <c r="L2603">
        <v>898.29</v>
      </c>
      <c r="M2603">
        <f>VLOOKUP(K2603,RatingLookup!$A$2:$C$8,2,FALSE)</f>
        <v>5.0000000000000001E-3</v>
      </c>
      <c r="N2603">
        <f t="shared" si="120"/>
        <v>4.1762458919303302E-4</v>
      </c>
      <c r="O2603">
        <f>VLOOKUP(K2603,RatingLookup!$A$2:$C$8,3,FALSE)</f>
        <v>0.45</v>
      </c>
      <c r="P2603">
        <f t="shared" si="121"/>
        <v>0.16881659650179434</v>
      </c>
      <c r="Q2603" t="str">
        <f t="shared" ca="1" si="122"/>
        <v>No</v>
      </c>
    </row>
    <row r="2604" spans="1:17" x14ac:dyDescent="0.45">
      <c r="A2604" t="s">
        <v>122</v>
      </c>
      <c r="B2604" t="s">
        <v>123</v>
      </c>
      <c r="C2604" t="s">
        <v>85</v>
      </c>
      <c r="D2604" t="s">
        <v>20</v>
      </c>
      <c r="E2604" t="s">
        <v>21</v>
      </c>
      <c r="F2604" s="1">
        <v>44501</v>
      </c>
      <c r="G2604">
        <v>4.5999999999999996</v>
      </c>
      <c r="H2604">
        <v>77.446399999999997</v>
      </c>
      <c r="I2604">
        <v>14.86</v>
      </c>
      <c r="J2604">
        <v>86.67</v>
      </c>
      <c r="K2604" t="s">
        <v>22</v>
      </c>
      <c r="L2604">
        <v>981.34</v>
      </c>
      <c r="M2604">
        <f>VLOOKUP(K2604,RatingLookup!$A$2:$C$8,2,FALSE)</f>
        <v>5.0000000000000001E-3</v>
      </c>
      <c r="N2604">
        <f t="shared" si="120"/>
        <v>4.1762458919303302E-4</v>
      </c>
      <c r="O2604">
        <f>VLOOKUP(K2604,RatingLookup!$A$2:$C$8,3,FALSE)</f>
        <v>0.45</v>
      </c>
      <c r="P2604">
        <f t="shared" si="121"/>
        <v>0.18442427146141097</v>
      </c>
      <c r="Q2604" t="str">
        <f t="shared" ca="1" si="122"/>
        <v>No</v>
      </c>
    </row>
    <row r="2605" spans="1:17" x14ac:dyDescent="0.45">
      <c r="A2605" t="s">
        <v>122</v>
      </c>
      <c r="B2605" t="s">
        <v>123</v>
      </c>
      <c r="C2605" t="s">
        <v>85</v>
      </c>
      <c r="D2605" t="s">
        <v>20</v>
      </c>
      <c r="E2605" t="s">
        <v>21</v>
      </c>
      <c r="F2605" s="1">
        <v>44531</v>
      </c>
      <c r="G2605">
        <v>5.38</v>
      </c>
      <c r="H2605">
        <v>80.7547</v>
      </c>
      <c r="I2605">
        <v>19.78</v>
      </c>
      <c r="J2605">
        <v>74.5</v>
      </c>
      <c r="K2605" t="s">
        <v>22</v>
      </c>
      <c r="L2605">
        <v>965.71</v>
      </c>
      <c r="M2605">
        <f>VLOOKUP(K2605,RatingLookup!$A$2:$C$8,2,FALSE)</f>
        <v>5.0000000000000001E-3</v>
      </c>
      <c r="N2605">
        <f t="shared" si="120"/>
        <v>4.1762458919303302E-4</v>
      </c>
      <c r="O2605">
        <f>VLOOKUP(K2605,RatingLookup!$A$2:$C$8,3,FALSE)</f>
        <v>0.45</v>
      </c>
      <c r="P2605">
        <f t="shared" si="121"/>
        <v>0.18148690891332175</v>
      </c>
      <c r="Q2605" t="str">
        <f t="shared" ca="1" si="122"/>
        <v>No</v>
      </c>
    </row>
    <row r="2606" spans="1:17" x14ac:dyDescent="0.45">
      <c r="A2606" t="s">
        <v>122</v>
      </c>
      <c r="B2606" t="s">
        <v>123</v>
      </c>
      <c r="C2606" t="s">
        <v>85</v>
      </c>
      <c r="D2606" t="s">
        <v>20</v>
      </c>
      <c r="E2606" t="s">
        <v>21</v>
      </c>
      <c r="F2606" s="1">
        <v>44562</v>
      </c>
      <c r="G2606">
        <v>6</v>
      </c>
      <c r="H2606">
        <v>82.096699999999998</v>
      </c>
      <c r="I2606">
        <v>7.91</v>
      </c>
      <c r="J2606">
        <v>77.510000000000005</v>
      </c>
      <c r="K2606" t="s">
        <v>22</v>
      </c>
      <c r="L2606">
        <v>952.97</v>
      </c>
      <c r="M2606">
        <f>VLOOKUP(K2606,RatingLookup!$A$2:$C$8,2,FALSE)</f>
        <v>5.0000000000000001E-3</v>
      </c>
      <c r="N2606">
        <f t="shared" si="120"/>
        <v>4.1762458919303302E-4</v>
      </c>
      <c r="O2606">
        <f>VLOOKUP(K2606,RatingLookup!$A$2:$C$8,3,FALSE)</f>
        <v>0.45</v>
      </c>
      <c r="P2606">
        <f t="shared" si="121"/>
        <v>0.17909266714347813</v>
      </c>
      <c r="Q2606" t="str">
        <f t="shared" ca="1" si="122"/>
        <v>No</v>
      </c>
    </row>
    <row r="2607" spans="1:17" x14ac:dyDescent="0.45">
      <c r="A2607" t="s">
        <v>122</v>
      </c>
      <c r="B2607" t="s">
        <v>123</v>
      </c>
      <c r="C2607" t="s">
        <v>85</v>
      </c>
      <c r="D2607" t="s">
        <v>20</v>
      </c>
      <c r="E2607" t="s">
        <v>21</v>
      </c>
      <c r="F2607" s="1">
        <v>44593</v>
      </c>
      <c r="G2607">
        <v>4.28</v>
      </c>
      <c r="H2607">
        <v>86.495699999999999</v>
      </c>
      <c r="I2607">
        <v>11.27</v>
      </c>
      <c r="J2607">
        <v>84.27</v>
      </c>
      <c r="K2607" t="s">
        <v>22</v>
      </c>
      <c r="L2607">
        <v>934.19</v>
      </c>
      <c r="M2607">
        <f>VLOOKUP(K2607,RatingLookup!$A$2:$C$8,2,FALSE)</f>
        <v>5.0000000000000001E-3</v>
      </c>
      <c r="N2607">
        <f t="shared" si="120"/>
        <v>4.1762458919303302E-4</v>
      </c>
      <c r="O2607">
        <f>VLOOKUP(K2607,RatingLookup!$A$2:$C$8,3,FALSE)</f>
        <v>0.45</v>
      </c>
      <c r="P2607">
        <f t="shared" si="121"/>
        <v>0.17556332174020781</v>
      </c>
      <c r="Q2607" t="str">
        <f t="shared" ca="1" si="122"/>
        <v>No</v>
      </c>
    </row>
    <row r="2608" spans="1:17" x14ac:dyDescent="0.45">
      <c r="A2608" t="s">
        <v>122</v>
      </c>
      <c r="B2608" t="s">
        <v>123</v>
      </c>
      <c r="C2608" t="s">
        <v>85</v>
      </c>
      <c r="D2608" t="s">
        <v>20</v>
      </c>
      <c r="E2608" t="s">
        <v>21</v>
      </c>
      <c r="F2608" s="1">
        <v>44621</v>
      </c>
      <c r="G2608">
        <v>5.3</v>
      </c>
      <c r="H2608">
        <v>81.715000000000003</v>
      </c>
      <c r="I2608">
        <v>23.07</v>
      </c>
      <c r="J2608">
        <v>63.1</v>
      </c>
      <c r="K2608" t="s">
        <v>22</v>
      </c>
      <c r="L2608">
        <v>1004.45</v>
      </c>
      <c r="M2608">
        <f>VLOOKUP(K2608,RatingLookup!$A$2:$C$8,2,FALSE)</f>
        <v>5.0000000000000001E-3</v>
      </c>
      <c r="N2608">
        <f t="shared" si="120"/>
        <v>4.1762458919303302E-4</v>
      </c>
      <c r="O2608">
        <f>VLOOKUP(K2608,RatingLookup!$A$2:$C$8,3,FALSE)</f>
        <v>0.45</v>
      </c>
      <c r="P2608">
        <f t="shared" si="121"/>
        <v>0.18876735837672393</v>
      </c>
      <c r="Q2608" t="str">
        <f t="shared" ca="1" si="122"/>
        <v>No</v>
      </c>
    </row>
    <row r="2609" spans="1:17" x14ac:dyDescent="0.45">
      <c r="A2609" t="s">
        <v>122</v>
      </c>
      <c r="B2609" t="s">
        <v>123</v>
      </c>
      <c r="C2609" t="s">
        <v>85</v>
      </c>
      <c r="D2609" t="s">
        <v>20</v>
      </c>
      <c r="E2609" t="s">
        <v>21</v>
      </c>
      <c r="F2609" s="1">
        <v>44652</v>
      </c>
      <c r="G2609">
        <v>5.12</v>
      </c>
      <c r="H2609">
        <v>76.084800000000001</v>
      </c>
      <c r="I2609">
        <v>28.71</v>
      </c>
      <c r="J2609">
        <v>82.61</v>
      </c>
      <c r="K2609" t="s">
        <v>22</v>
      </c>
      <c r="L2609">
        <v>975.68</v>
      </c>
      <c r="M2609">
        <f>VLOOKUP(K2609,RatingLookup!$A$2:$C$8,2,FALSE)</f>
        <v>5.0000000000000001E-3</v>
      </c>
      <c r="N2609">
        <f t="shared" si="120"/>
        <v>4.1762458919303302E-4</v>
      </c>
      <c r="O2609">
        <f>VLOOKUP(K2609,RatingLookup!$A$2:$C$8,3,FALSE)</f>
        <v>0.45</v>
      </c>
      <c r="P2609">
        <f t="shared" si="121"/>
        <v>0.1833605816327363</v>
      </c>
      <c r="Q2609" t="str">
        <f t="shared" ca="1" si="122"/>
        <v>No</v>
      </c>
    </row>
    <row r="2610" spans="1:17" x14ac:dyDescent="0.45">
      <c r="A2610" t="s">
        <v>122</v>
      </c>
      <c r="B2610" t="s">
        <v>123</v>
      </c>
      <c r="C2610" t="s">
        <v>85</v>
      </c>
      <c r="D2610" t="s">
        <v>20</v>
      </c>
      <c r="E2610" t="s">
        <v>21</v>
      </c>
      <c r="F2610" s="1">
        <v>44682</v>
      </c>
      <c r="G2610">
        <v>4.33</v>
      </c>
      <c r="H2610">
        <v>82.149299999999997</v>
      </c>
      <c r="I2610">
        <v>17.53</v>
      </c>
      <c r="J2610">
        <v>81.19</v>
      </c>
      <c r="K2610" t="s">
        <v>22</v>
      </c>
      <c r="L2610">
        <v>968.06</v>
      </c>
      <c r="M2610">
        <f>VLOOKUP(K2610,RatingLookup!$A$2:$C$8,2,FALSE)</f>
        <v>5.0000000000000001E-3</v>
      </c>
      <c r="N2610">
        <f t="shared" si="120"/>
        <v>4.1762458919303302E-4</v>
      </c>
      <c r="O2610">
        <f>VLOOKUP(K2610,RatingLookup!$A$2:$C$8,3,FALSE)</f>
        <v>0.45</v>
      </c>
      <c r="P2610">
        <f t="shared" si="121"/>
        <v>0.1819285469163934</v>
      </c>
      <c r="Q2610" t="str">
        <f t="shared" ca="1" si="122"/>
        <v>No</v>
      </c>
    </row>
    <row r="2611" spans="1:17" x14ac:dyDescent="0.45">
      <c r="A2611" t="s">
        <v>122</v>
      </c>
      <c r="B2611" t="s">
        <v>123</v>
      </c>
      <c r="C2611" t="s">
        <v>85</v>
      </c>
      <c r="D2611" t="s">
        <v>20</v>
      </c>
      <c r="E2611" t="s">
        <v>21</v>
      </c>
      <c r="F2611" s="1">
        <v>44713</v>
      </c>
      <c r="G2611">
        <v>5.04</v>
      </c>
      <c r="H2611">
        <v>85.421899999999994</v>
      </c>
      <c r="I2611">
        <v>23.67</v>
      </c>
      <c r="J2611">
        <v>72.739999999999995</v>
      </c>
      <c r="K2611" t="s">
        <v>22</v>
      </c>
      <c r="L2611">
        <v>1045.3599999999999</v>
      </c>
      <c r="M2611">
        <f>VLOOKUP(K2611,RatingLookup!$A$2:$C$8,2,FALSE)</f>
        <v>5.0000000000000001E-3</v>
      </c>
      <c r="N2611">
        <f t="shared" si="120"/>
        <v>4.1762458919303302E-4</v>
      </c>
      <c r="O2611">
        <f>VLOOKUP(K2611,RatingLookup!$A$2:$C$8,3,FALSE)</f>
        <v>0.45</v>
      </c>
      <c r="P2611">
        <f t="shared" si="121"/>
        <v>0.19645561825147304</v>
      </c>
      <c r="Q2611" t="str">
        <f t="shared" ca="1" si="122"/>
        <v>No</v>
      </c>
    </row>
    <row r="2612" spans="1:17" x14ac:dyDescent="0.45">
      <c r="A2612" t="s">
        <v>122</v>
      </c>
      <c r="B2612" t="s">
        <v>123</v>
      </c>
      <c r="C2612" t="s">
        <v>85</v>
      </c>
      <c r="D2612" t="s">
        <v>20</v>
      </c>
      <c r="E2612" t="s">
        <v>21</v>
      </c>
      <c r="F2612" s="1">
        <v>44743</v>
      </c>
      <c r="G2612">
        <v>5.37</v>
      </c>
      <c r="H2612">
        <v>84.512500000000003</v>
      </c>
      <c r="I2612">
        <v>21.25</v>
      </c>
      <c r="J2612">
        <v>65.44</v>
      </c>
      <c r="K2612" t="s">
        <v>30</v>
      </c>
      <c r="L2612">
        <v>989.46</v>
      </c>
      <c r="M2612">
        <f>VLOOKUP(K2612,RatingLookup!$A$2:$C$8,2,FALSE)</f>
        <v>1.4999999999999999E-2</v>
      </c>
      <c r="N2612">
        <f t="shared" si="120"/>
        <v>1.2586770182638762E-3</v>
      </c>
      <c r="O2612">
        <f>VLOOKUP(K2612,RatingLookup!$A$2:$C$8,3,FALSE)</f>
        <v>0.5</v>
      </c>
      <c r="P2612">
        <f t="shared" si="121"/>
        <v>0.62270528124568747</v>
      </c>
      <c r="Q2612" t="str">
        <f t="shared" ca="1" si="122"/>
        <v>No</v>
      </c>
    </row>
    <row r="2613" spans="1:17" x14ac:dyDescent="0.45">
      <c r="A2613" t="s">
        <v>122</v>
      </c>
      <c r="B2613" t="s">
        <v>123</v>
      </c>
      <c r="C2613" t="s">
        <v>85</v>
      </c>
      <c r="D2613" t="s">
        <v>20</v>
      </c>
      <c r="E2613" t="s">
        <v>21</v>
      </c>
      <c r="F2613" s="1">
        <v>44774</v>
      </c>
      <c r="G2613">
        <v>5.73</v>
      </c>
      <c r="H2613">
        <v>85.526300000000006</v>
      </c>
      <c r="I2613">
        <v>18.46</v>
      </c>
      <c r="J2613">
        <v>72.040000000000006</v>
      </c>
      <c r="K2613" t="s">
        <v>30</v>
      </c>
      <c r="L2613">
        <v>984.64</v>
      </c>
      <c r="M2613">
        <f>VLOOKUP(K2613,RatingLookup!$A$2:$C$8,2,FALSE)</f>
        <v>1.4999999999999999E-2</v>
      </c>
      <c r="N2613">
        <f t="shared" si="120"/>
        <v>1.2586770182638762E-3</v>
      </c>
      <c r="O2613">
        <f>VLOOKUP(K2613,RatingLookup!$A$2:$C$8,3,FALSE)</f>
        <v>0.5</v>
      </c>
      <c r="P2613">
        <f t="shared" si="121"/>
        <v>0.61967186963167153</v>
      </c>
      <c r="Q2613" t="str">
        <f t="shared" ca="1" si="122"/>
        <v>No</v>
      </c>
    </row>
    <row r="2614" spans="1:17" x14ac:dyDescent="0.45">
      <c r="A2614" t="s">
        <v>122</v>
      </c>
      <c r="B2614" t="s">
        <v>123</v>
      </c>
      <c r="C2614" t="s">
        <v>85</v>
      </c>
      <c r="D2614" t="s">
        <v>20</v>
      </c>
      <c r="E2614" t="s">
        <v>21</v>
      </c>
      <c r="F2614" s="1">
        <v>44805</v>
      </c>
      <c r="G2614">
        <v>5.28</v>
      </c>
      <c r="H2614">
        <v>81.554400000000001</v>
      </c>
      <c r="I2614">
        <v>23.82</v>
      </c>
      <c r="J2614">
        <v>72.34</v>
      </c>
      <c r="K2614" t="s">
        <v>30</v>
      </c>
      <c r="L2614">
        <v>1013.23</v>
      </c>
      <c r="M2614">
        <f>VLOOKUP(K2614,RatingLookup!$A$2:$C$8,2,FALSE)</f>
        <v>1.4999999999999999E-2</v>
      </c>
      <c r="N2614">
        <f t="shared" si="120"/>
        <v>1.2586770182638762E-3</v>
      </c>
      <c r="O2614">
        <f>VLOOKUP(K2614,RatingLookup!$A$2:$C$8,3,FALSE)</f>
        <v>0.5</v>
      </c>
      <c r="P2614">
        <f t="shared" si="121"/>
        <v>0.6376646576077537</v>
      </c>
      <c r="Q2614" t="str">
        <f t="shared" ca="1" si="122"/>
        <v>No</v>
      </c>
    </row>
    <row r="2615" spans="1:17" x14ac:dyDescent="0.45">
      <c r="A2615" t="s">
        <v>122</v>
      </c>
      <c r="B2615" t="s">
        <v>123</v>
      </c>
      <c r="C2615" t="s">
        <v>85</v>
      </c>
      <c r="D2615" t="s">
        <v>20</v>
      </c>
      <c r="E2615" t="s">
        <v>21</v>
      </c>
      <c r="F2615" s="1">
        <v>44835</v>
      </c>
      <c r="G2615">
        <v>5.97</v>
      </c>
      <c r="H2615">
        <v>84.838300000000004</v>
      </c>
      <c r="I2615">
        <v>25.62</v>
      </c>
      <c r="J2615">
        <v>78.680000000000007</v>
      </c>
      <c r="K2615" t="s">
        <v>30</v>
      </c>
      <c r="L2615">
        <v>1112.27</v>
      </c>
      <c r="M2615">
        <f>VLOOKUP(K2615,RatingLookup!$A$2:$C$8,2,FALSE)</f>
        <v>1.4999999999999999E-2</v>
      </c>
      <c r="N2615">
        <f t="shared" si="120"/>
        <v>1.2586770182638762E-3</v>
      </c>
      <c r="O2615">
        <f>VLOOKUP(K2615,RatingLookup!$A$2:$C$8,3,FALSE)</f>
        <v>0.5</v>
      </c>
      <c r="P2615">
        <f t="shared" si="121"/>
        <v>0.69999434355218082</v>
      </c>
      <c r="Q2615" t="str">
        <f t="shared" ca="1" si="122"/>
        <v>No</v>
      </c>
    </row>
    <row r="2616" spans="1:17" x14ac:dyDescent="0.45">
      <c r="A2616" t="s">
        <v>122</v>
      </c>
      <c r="B2616" t="s">
        <v>123</v>
      </c>
      <c r="C2616" t="s">
        <v>85</v>
      </c>
      <c r="D2616" t="s">
        <v>20</v>
      </c>
      <c r="E2616" t="s">
        <v>21</v>
      </c>
      <c r="F2616" s="1">
        <v>44866</v>
      </c>
      <c r="G2616">
        <v>6.67</v>
      </c>
      <c r="H2616">
        <v>81.1083</v>
      </c>
      <c r="I2616">
        <v>15.55</v>
      </c>
      <c r="J2616">
        <v>86.39</v>
      </c>
      <c r="K2616" t="s">
        <v>30</v>
      </c>
      <c r="L2616">
        <v>1016.91</v>
      </c>
      <c r="M2616">
        <f>VLOOKUP(K2616,RatingLookup!$A$2:$C$8,2,FALSE)</f>
        <v>1.4999999999999999E-2</v>
      </c>
      <c r="N2616">
        <f t="shared" si="120"/>
        <v>1.2586770182638762E-3</v>
      </c>
      <c r="O2616">
        <f>VLOOKUP(K2616,RatingLookup!$A$2:$C$8,3,FALSE)</f>
        <v>0.5</v>
      </c>
      <c r="P2616">
        <f t="shared" si="121"/>
        <v>0.63998062332135919</v>
      </c>
      <c r="Q2616" t="str">
        <f t="shared" ca="1" si="122"/>
        <v>No</v>
      </c>
    </row>
    <row r="2617" spans="1:17" x14ac:dyDescent="0.45">
      <c r="A2617" t="s">
        <v>122</v>
      </c>
      <c r="B2617" t="s">
        <v>123</v>
      </c>
      <c r="C2617" t="s">
        <v>85</v>
      </c>
      <c r="D2617" t="s">
        <v>20</v>
      </c>
      <c r="E2617" t="s">
        <v>21</v>
      </c>
      <c r="F2617" s="1">
        <v>44896</v>
      </c>
      <c r="G2617">
        <v>4.9400000000000004</v>
      </c>
      <c r="H2617">
        <v>82.761499999999998</v>
      </c>
      <c r="I2617">
        <v>19.68</v>
      </c>
      <c r="J2617">
        <v>89.35</v>
      </c>
      <c r="K2617" t="s">
        <v>30</v>
      </c>
      <c r="L2617">
        <v>1088.98</v>
      </c>
      <c r="M2617">
        <f>VLOOKUP(K2617,RatingLookup!$A$2:$C$8,2,FALSE)</f>
        <v>1.4999999999999999E-2</v>
      </c>
      <c r="N2617">
        <f t="shared" si="120"/>
        <v>1.2586770182638762E-3</v>
      </c>
      <c r="O2617">
        <f>VLOOKUP(K2617,RatingLookup!$A$2:$C$8,3,FALSE)</f>
        <v>0.5</v>
      </c>
      <c r="P2617">
        <f t="shared" si="121"/>
        <v>0.68533704967449793</v>
      </c>
      <c r="Q2617" t="str">
        <f t="shared" ca="1" si="122"/>
        <v>No</v>
      </c>
    </row>
    <row r="2618" spans="1:17" x14ac:dyDescent="0.45">
      <c r="A2618" t="s">
        <v>122</v>
      </c>
      <c r="B2618" t="s">
        <v>123</v>
      </c>
      <c r="C2618" t="s">
        <v>85</v>
      </c>
      <c r="D2618" t="s">
        <v>20</v>
      </c>
      <c r="E2618" t="s">
        <v>21</v>
      </c>
      <c r="F2618" s="1">
        <v>44927</v>
      </c>
      <c r="G2618">
        <v>4.3099999999999996</v>
      </c>
      <c r="H2618">
        <v>82.069100000000006</v>
      </c>
      <c r="I2618">
        <v>10.33</v>
      </c>
      <c r="J2618">
        <v>66.8</v>
      </c>
      <c r="K2618" t="s">
        <v>30</v>
      </c>
      <c r="L2618">
        <v>1091.25</v>
      </c>
      <c r="M2618">
        <f>VLOOKUP(K2618,RatingLookup!$A$2:$C$8,2,FALSE)</f>
        <v>1.4999999999999999E-2</v>
      </c>
      <c r="N2618">
        <f t="shared" si="120"/>
        <v>1.2586770182638762E-3</v>
      </c>
      <c r="O2618">
        <f>VLOOKUP(K2618,RatingLookup!$A$2:$C$8,3,FALSE)</f>
        <v>0.5</v>
      </c>
      <c r="P2618">
        <f t="shared" si="121"/>
        <v>0.68676564809022744</v>
      </c>
      <c r="Q2618" t="str">
        <f t="shared" ca="1" si="122"/>
        <v>No</v>
      </c>
    </row>
    <row r="2619" spans="1:17" x14ac:dyDescent="0.45">
      <c r="A2619" t="s">
        <v>122</v>
      </c>
      <c r="B2619" t="s">
        <v>123</v>
      </c>
      <c r="C2619" t="s">
        <v>85</v>
      </c>
      <c r="D2619" t="s">
        <v>20</v>
      </c>
      <c r="E2619" t="s">
        <v>21</v>
      </c>
      <c r="F2619" s="1">
        <v>44958</v>
      </c>
      <c r="G2619">
        <v>4.8499999999999996</v>
      </c>
      <c r="H2619">
        <v>82.568299999999994</v>
      </c>
      <c r="I2619">
        <v>21.42</v>
      </c>
      <c r="J2619">
        <v>96.26</v>
      </c>
      <c r="K2619" t="s">
        <v>30</v>
      </c>
      <c r="L2619">
        <v>1059.4000000000001</v>
      </c>
      <c r="M2619">
        <f>VLOOKUP(K2619,RatingLookup!$A$2:$C$8,2,FALSE)</f>
        <v>1.4999999999999999E-2</v>
      </c>
      <c r="N2619">
        <f t="shared" si="120"/>
        <v>1.2586770182638762E-3</v>
      </c>
      <c r="O2619">
        <f>VLOOKUP(K2619,RatingLookup!$A$2:$C$8,3,FALSE)</f>
        <v>0.5</v>
      </c>
      <c r="P2619">
        <f t="shared" si="121"/>
        <v>0.66672121657437533</v>
      </c>
      <c r="Q2619" t="str">
        <f t="shared" ca="1" si="122"/>
        <v>No</v>
      </c>
    </row>
    <row r="2620" spans="1:17" x14ac:dyDescent="0.45">
      <c r="A2620" t="s">
        <v>122</v>
      </c>
      <c r="B2620" t="s">
        <v>123</v>
      </c>
      <c r="C2620" t="s">
        <v>85</v>
      </c>
      <c r="D2620" t="s">
        <v>20</v>
      </c>
      <c r="E2620" t="s">
        <v>21</v>
      </c>
      <c r="F2620" s="1">
        <v>44986</v>
      </c>
      <c r="G2620">
        <v>5.37</v>
      </c>
      <c r="H2620">
        <v>83.179900000000004</v>
      </c>
      <c r="I2620">
        <v>8.84</v>
      </c>
      <c r="J2620">
        <v>83.83</v>
      </c>
      <c r="K2620" t="s">
        <v>30</v>
      </c>
      <c r="L2620">
        <v>966</v>
      </c>
      <c r="M2620">
        <f>VLOOKUP(K2620,RatingLookup!$A$2:$C$8,2,FALSE)</f>
        <v>1.4999999999999999E-2</v>
      </c>
      <c r="N2620">
        <f t="shared" si="120"/>
        <v>1.2586770182638762E-3</v>
      </c>
      <c r="O2620">
        <f>VLOOKUP(K2620,RatingLookup!$A$2:$C$8,3,FALSE)</f>
        <v>0.5</v>
      </c>
      <c r="P2620">
        <f t="shared" si="121"/>
        <v>0.60794099982145222</v>
      </c>
      <c r="Q2620" t="str">
        <f t="shared" ca="1" si="122"/>
        <v>No</v>
      </c>
    </row>
    <row r="2621" spans="1:17" x14ac:dyDescent="0.45">
      <c r="A2621" t="s">
        <v>122</v>
      </c>
      <c r="B2621" t="s">
        <v>123</v>
      </c>
      <c r="C2621" t="s">
        <v>85</v>
      </c>
      <c r="D2621" t="s">
        <v>20</v>
      </c>
      <c r="E2621" t="s">
        <v>21</v>
      </c>
      <c r="F2621" s="1">
        <v>45017</v>
      </c>
      <c r="G2621">
        <v>5.82</v>
      </c>
      <c r="H2621">
        <v>79.542400000000001</v>
      </c>
      <c r="I2621">
        <v>9.42</v>
      </c>
      <c r="J2621">
        <v>73.489999999999995</v>
      </c>
      <c r="K2621" t="s">
        <v>30</v>
      </c>
      <c r="L2621">
        <v>1046.26</v>
      </c>
      <c r="M2621">
        <f>VLOOKUP(K2621,RatingLookup!$A$2:$C$8,2,FALSE)</f>
        <v>1.4999999999999999E-2</v>
      </c>
      <c r="N2621">
        <f t="shared" si="120"/>
        <v>1.2586770182638762E-3</v>
      </c>
      <c r="O2621">
        <f>VLOOKUP(K2621,RatingLookup!$A$2:$C$8,3,FALSE)</f>
        <v>0.5</v>
      </c>
      <c r="P2621">
        <f t="shared" si="121"/>
        <v>0.65845170856438162</v>
      </c>
      <c r="Q2621" t="str">
        <f t="shared" ca="1" si="122"/>
        <v>No</v>
      </c>
    </row>
    <row r="2622" spans="1:17" x14ac:dyDescent="0.45">
      <c r="A2622" t="s">
        <v>122</v>
      </c>
      <c r="B2622" t="s">
        <v>123</v>
      </c>
      <c r="C2622" t="s">
        <v>85</v>
      </c>
      <c r="D2622" t="s">
        <v>20</v>
      </c>
      <c r="E2622" t="s">
        <v>21</v>
      </c>
      <c r="F2622" s="1">
        <v>45047</v>
      </c>
      <c r="G2622">
        <v>4.8099999999999996</v>
      </c>
      <c r="H2622">
        <v>83.309600000000003</v>
      </c>
      <c r="I2622">
        <v>24.05</v>
      </c>
      <c r="J2622">
        <v>65.760000000000005</v>
      </c>
      <c r="K2622" t="s">
        <v>30</v>
      </c>
      <c r="L2622">
        <v>1044.55</v>
      </c>
      <c r="M2622">
        <f>VLOOKUP(K2622,RatingLookup!$A$2:$C$8,2,FALSE)</f>
        <v>1.4999999999999999E-2</v>
      </c>
      <c r="N2622">
        <f t="shared" si="120"/>
        <v>1.2586770182638762E-3</v>
      </c>
      <c r="O2622">
        <f>VLOOKUP(K2622,RatingLookup!$A$2:$C$8,3,FALSE)</f>
        <v>0.5</v>
      </c>
      <c r="P2622">
        <f t="shared" si="121"/>
        <v>0.65737553971376594</v>
      </c>
      <c r="Q2622" t="str">
        <f t="shared" ca="1" si="122"/>
        <v>No</v>
      </c>
    </row>
    <row r="2623" spans="1:17" x14ac:dyDescent="0.45">
      <c r="A2623" t="s">
        <v>122</v>
      </c>
      <c r="B2623" t="s">
        <v>123</v>
      </c>
      <c r="C2623" t="s">
        <v>85</v>
      </c>
      <c r="D2623" t="s">
        <v>20</v>
      </c>
      <c r="E2623" t="s">
        <v>21</v>
      </c>
      <c r="F2623" s="1">
        <v>45078</v>
      </c>
      <c r="G2623">
        <v>5.82</v>
      </c>
      <c r="H2623">
        <v>79.297799999999995</v>
      </c>
      <c r="I2623">
        <v>21.44</v>
      </c>
      <c r="J2623">
        <v>79.709999999999994</v>
      </c>
      <c r="K2623" t="s">
        <v>30</v>
      </c>
      <c r="L2623">
        <v>1043.17</v>
      </c>
      <c r="M2623">
        <f>VLOOKUP(K2623,RatingLookup!$A$2:$C$8,2,FALSE)</f>
        <v>1.4999999999999999E-2</v>
      </c>
      <c r="N2623">
        <f t="shared" si="120"/>
        <v>1.2586770182638762E-3</v>
      </c>
      <c r="O2623">
        <f>VLOOKUP(K2623,RatingLookup!$A$2:$C$8,3,FALSE)</f>
        <v>0.5</v>
      </c>
      <c r="P2623">
        <f t="shared" si="121"/>
        <v>0.65650705257116393</v>
      </c>
      <c r="Q2623" t="str">
        <f t="shared" ca="1" si="122"/>
        <v>No</v>
      </c>
    </row>
    <row r="2624" spans="1:17" x14ac:dyDescent="0.45">
      <c r="A2624" t="s">
        <v>122</v>
      </c>
      <c r="B2624" t="s">
        <v>123</v>
      </c>
      <c r="C2624" t="s">
        <v>85</v>
      </c>
      <c r="D2624" t="s">
        <v>20</v>
      </c>
      <c r="E2624" t="s">
        <v>21</v>
      </c>
      <c r="F2624" s="1">
        <v>45108</v>
      </c>
      <c r="G2624">
        <v>6.74</v>
      </c>
      <c r="H2624">
        <v>82.323300000000003</v>
      </c>
      <c r="I2624">
        <v>20.78</v>
      </c>
      <c r="J2624">
        <v>92.08</v>
      </c>
      <c r="K2624" t="s">
        <v>30</v>
      </c>
      <c r="L2624">
        <v>1034.31</v>
      </c>
      <c r="M2624">
        <f>VLOOKUP(K2624,RatingLookup!$A$2:$C$8,2,FALSE)</f>
        <v>1.4999999999999999E-2</v>
      </c>
      <c r="N2624">
        <f t="shared" si="120"/>
        <v>1.2586770182638762E-3</v>
      </c>
      <c r="O2624">
        <f>VLOOKUP(K2624,RatingLookup!$A$2:$C$8,3,FALSE)</f>
        <v>0.5</v>
      </c>
      <c r="P2624">
        <f t="shared" si="121"/>
        <v>0.65093111338025489</v>
      </c>
      <c r="Q2624" t="str">
        <f t="shared" ca="1" si="122"/>
        <v>No</v>
      </c>
    </row>
    <row r="2625" spans="1:17" x14ac:dyDescent="0.45">
      <c r="A2625" t="s">
        <v>122</v>
      </c>
      <c r="B2625" t="s">
        <v>123</v>
      </c>
      <c r="C2625" t="s">
        <v>85</v>
      </c>
      <c r="D2625" t="s">
        <v>20</v>
      </c>
      <c r="E2625" t="s">
        <v>21</v>
      </c>
      <c r="F2625" s="1">
        <v>45139</v>
      </c>
      <c r="G2625">
        <v>5.07</v>
      </c>
      <c r="H2625">
        <v>85.858400000000003</v>
      </c>
      <c r="I2625">
        <v>21.95</v>
      </c>
      <c r="J2625">
        <v>70.69</v>
      </c>
      <c r="K2625" t="s">
        <v>30</v>
      </c>
      <c r="L2625">
        <v>975.5</v>
      </c>
      <c r="M2625">
        <f>VLOOKUP(K2625,RatingLookup!$A$2:$C$8,2,FALSE)</f>
        <v>1.4999999999999999E-2</v>
      </c>
      <c r="N2625">
        <f t="shared" si="120"/>
        <v>1.2586770182638762E-3</v>
      </c>
      <c r="O2625">
        <f>VLOOKUP(K2625,RatingLookup!$A$2:$C$8,3,FALSE)</f>
        <v>0.5</v>
      </c>
      <c r="P2625">
        <f t="shared" si="121"/>
        <v>0.61391971565820569</v>
      </c>
      <c r="Q2625" t="str">
        <f t="shared" ca="1" si="122"/>
        <v>No</v>
      </c>
    </row>
    <row r="2626" spans="1:17" x14ac:dyDescent="0.45">
      <c r="A2626" t="s">
        <v>122</v>
      </c>
      <c r="B2626" t="s">
        <v>123</v>
      </c>
      <c r="C2626" t="s">
        <v>85</v>
      </c>
      <c r="D2626" t="s">
        <v>20</v>
      </c>
      <c r="E2626" t="s">
        <v>21</v>
      </c>
      <c r="F2626" s="1">
        <v>45170</v>
      </c>
      <c r="G2626">
        <v>4.75</v>
      </c>
      <c r="H2626">
        <v>84.844399999999993</v>
      </c>
      <c r="I2626">
        <v>22.87</v>
      </c>
      <c r="J2626">
        <v>82.82</v>
      </c>
      <c r="K2626" t="s">
        <v>30</v>
      </c>
      <c r="L2626">
        <v>1079.8900000000001</v>
      </c>
      <c r="M2626">
        <f>VLOOKUP(K2626,RatingLookup!$A$2:$C$8,2,FALSE)</f>
        <v>1.4999999999999999E-2</v>
      </c>
      <c r="N2626">
        <f t="shared" ref="N2626:N2689" si="123">1-(1-M2626)^(1/12)</f>
        <v>1.2586770182638762E-3</v>
      </c>
      <c r="O2626">
        <f>VLOOKUP(K2626,RatingLookup!$A$2:$C$8,3,FALSE)</f>
        <v>0.5</v>
      </c>
      <c r="P2626">
        <f t="shared" ref="P2626:P2689" si="124">L2626*N2626*O2626</f>
        <v>0.67961636262648872</v>
      </c>
      <c r="Q2626" t="str">
        <f t="shared" ref="Q2626:Q2689" ca="1" si="125">IF(RAND()&lt;N2626,"Yes","No")</f>
        <v>No</v>
      </c>
    </row>
    <row r="2627" spans="1:17" x14ac:dyDescent="0.45">
      <c r="A2627" t="s">
        <v>122</v>
      </c>
      <c r="B2627" t="s">
        <v>123</v>
      </c>
      <c r="C2627" t="s">
        <v>85</v>
      </c>
      <c r="D2627" t="s">
        <v>20</v>
      </c>
      <c r="E2627" t="s">
        <v>21</v>
      </c>
      <c r="F2627" s="1">
        <v>45200</v>
      </c>
      <c r="G2627">
        <v>4.91</v>
      </c>
      <c r="H2627">
        <v>81.313900000000004</v>
      </c>
      <c r="I2627">
        <v>21.91</v>
      </c>
      <c r="J2627">
        <v>87.56</v>
      </c>
      <c r="K2627" t="s">
        <v>30</v>
      </c>
      <c r="L2627">
        <v>1005.21</v>
      </c>
      <c r="M2627">
        <f>VLOOKUP(K2627,RatingLookup!$A$2:$C$8,2,FALSE)</f>
        <v>1.4999999999999999E-2</v>
      </c>
      <c r="N2627">
        <f t="shared" si="123"/>
        <v>1.2586770182638762E-3</v>
      </c>
      <c r="O2627">
        <f>VLOOKUP(K2627,RatingLookup!$A$2:$C$8,3,FALSE)</f>
        <v>0.5</v>
      </c>
      <c r="P2627">
        <f t="shared" si="124"/>
        <v>0.63261736276451552</v>
      </c>
      <c r="Q2627" t="str">
        <f t="shared" ca="1" si="125"/>
        <v>No</v>
      </c>
    </row>
    <row r="2628" spans="1:17" x14ac:dyDescent="0.45">
      <c r="A2628" t="s">
        <v>122</v>
      </c>
      <c r="B2628" t="s">
        <v>123</v>
      </c>
      <c r="C2628" t="s">
        <v>85</v>
      </c>
      <c r="D2628" t="s">
        <v>20</v>
      </c>
      <c r="E2628" t="s">
        <v>21</v>
      </c>
      <c r="F2628" s="1">
        <v>45231</v>
      </c>
      <c r="G2628">
        <v>4.91</v>
      </c>
      <c r="H2628">
        <v>82.206100000000006</v>
      </c>
      <c r="I2628">
        <v>12.86</v>
      </c>
      <c r="J2628">
        <v>73.680000000000007</v>
      </c>
      <c r="K2628" t="s">
        <v>30</v>
      </c>
      <c r="L2628">
        <v>967.01</v>
      </c>
      <c r="M2628">
        <f>VLOOKUP(K2628,RatingLookup!$A$2:$C$8,2,FALSE)</f>
        <v>1.4999999999999999E-2</v>
      </c>
      <c r="N2628">
        <f t="shared" si="123"/>
        <v>1.2586770182638762E-3</v>
      </c>
      <c r="O2628">
        <f>VLOOKUP(K2628,RatingLookup!$A$2:$C$8,3,FALSE)</f>
        <v>0.5</v>
      </c>
      <c r="P2628">
        <f t="shared" si="124"/>
        <v>0.60857663171567544</v>
      </c>
      <c r="Q2628" t="str">
        <f t="shared" ca="1" si="125"/>
        <v>No</v>
      </c>
    </row>
    <row r="2629" spans="1:17" x14ac:dyDescent="0.45">
      <c r="A2629" t="s">
        <v>122</v>
      </c>
      <c r="B2629" t="s">
        <v>123</v>
      </c>
      <c r="C2629" t="s">
        <v>85</v>
      </c>
      <c r="D2629" t="s">
        <v>20</v>
      </c>
      <c r="E2629" t="s">
        <v>21</v>
      </c>
      <c r="F2629" s="1">
        <v>45261</v>
      </c>
      <c r="G2629">
        <v>6.27</v>
      </c>
      <c r="H2629">
        <v>84.0976</v>
      </c>
      <c r="I2629">
        <v>10.33</v>
      </c>
      <c r="J2629">
        <v>85.92</v>
      </c>
      <c r="K2629" t="s">
        <v>30</v>
      </c>
      <c r="L2629">
        <v>998.98</v>
      </c>
      <c r="M2629">
        <f>VLOOKUP(K2629,RatingLookup!$A$2:$C$8,2,FALSE)</f>
        <v>1.4999999999999999E-2</v>
      </c>
      <c r="N2629">
        <f t="shared" si="123"/>
        <v>1.2586770182638762E-3</v>
      </c>
      <c r="O2629">
        <f>VLOOKUP(K2629,RatingLookup!$A$2:$C$8,3,FALSE)</f>
        <v>0.5</v>
      </c>
      <c r="P2629">
        <f t="shared" si="124"/>
        <v>0.6286965838526235</v>
      </c>
      <c r="Q2629" t="str">
        <f t="shared" ca="1" si="125"/>
        <v>No</v>
      </c>
    </row>
    <row r="2630" spans="1:17" x14ac:dyDescent="0.45">
      <c r="A2630" t="s">
        <v>122</v>
      </c>
      <c r="B2630" t="s">
        <v>123</v>
      </c>
      <c r="C2630" t="s">
        <v>85</v>
      </c>
      <c r="D2630" t="s">
        <v>20</v>
      </c>
      <c r="E2630" t="s">
        <v>21</v>
      </c>
      <c r="F2630" s="1">
        <v>45292</v>
      </c>
      <c r="G2630">
        <v>5.28</v>
      </c>
      <c r="H2630">
        <v>81.939499999999995</v>
      </c>
      <c r="I2630">
        <v>19.829999999999998</v>
      </c>
      <c r="J2630">
        <v>70.56</v>
      </c>
      <c r="K2630" t="s">
        <v>30</v>
      </c>
      <c r="L2630">
        <v>1106.08</v>
      </c>
      <c r="M2630">
        <f>VLOOKUP(K2630,RatingLookup!$A$2:$C$8,2,FALSE)</f>
        <v>1.4999999999999999E-2</v>
      </c>
      <c r="N2630">
        <f t="shared" si="123"/>
        <v>1.2586770182638762E-3</v>
      </c>
      <c r="O2630">
        <f>VLOOKUP(K2630,RatingLookup!$A$2:$C$8,3,FALSE)</f>
        <v>0.5</v>
      </c>
      <c r="P2630">
        <f t="shared" si="124"/>
        <v>0.69609873818065404</v>
      </c>
      <c r="Q2630" t="str">
        <f t="shared" ca="1" si="125"/>
        <v>No</v>
      </c>
    </row>
    <row r="2631" spans="1:17" x14ac:dyDescent="0.45">
      <c r="A2631" t="s">
        <v>122</v>
      </c>
      <c r="B2631" t="s">
        <v>123</v>
      </c>
      <c r="C2631" t="s">
        <v>85</v>
      </c>
      <c r="D2631" t="s">
        <v>20</v>
      </c>
      <c r="E2631" t="s">
        <v>21</v>
      </c>
      <c r="F2631" s="1">
        <v>45323</v>
      </c>
      <c r="G2631">
        <v>5.68</v>
      </c>
      <c r="H2631">
        <v>83.020200000000003</v>
      </c>
      <c r="I2631">
        <v>20.47</v>
      </c>
      <c r="J2631">
        <v>79.87</v>
      </c>
      <c r="K2631" t="s">
        <v>30</v>
      </c>
      <c r="L2631">
        <v>1048.23</v>
      </c>
      <c r="M2631">
        <f>VLOOKUP(K2631,RatingLookup!$A$2:$C$8,2,FALSE)</f>
        <v>1.4999999999999999E-2</v>
      </c>
      <c r="N2631">
        <f t="shared" si="123"/>
        <v>1.2586770182638762E-3</v>
      </c>
      <c r="O2631">
        <f>VLOOKUP(K2631,RatingLookup!$A$2:$C$8,3,FALSE)</f>
        <v>0.5</v>
      </c>
      <c r="P2631">
        <f t="shared" si="124"/>
        <v>0.65969150542737154</v>
      </c>
      <c r="Q2631" t="str">
        <f t="shared" ca="1" si="125"/>
        <v>No</v>
      </c>
    </row>
    <row r="2632" spans="1:17" x14ac:dyDescent="0.45">
      <c r="A2632" t="s">
        <v>122</v>
      </c>
      <c r="B2632" t="s">
        <v>123</v>
      </c>
      <c r="C2632" t="s">
        <v>85</v>
      </c>
      <c r="D2632" t="s">
        <v>20</v>
      </c>
      <c r="E2632" t="s">
        <v>21</v>
      </c>
      <c r="F2632" s="1">
        <v>45352</v>
      </c>
      <c r="G2632">
        <v>5.65</v>
      </c>
      <c r="H2632">
        <v>83.306200000000004</v>
      </c>
      <c r="I2632">
        <v>24.62</v>
      </c>
      <c r="J2632">
        <v>74.41</v>
      </c>
      <c r="K2632" t="s">
        <v>30</v>
      </c>
      <c r="L2632">
        <v>983.13</v>
      </c>
      <c r="M2632">
        <f>VLOOKUP(K2632,RatingLookup!$A$2:$C$8,2,FALSE)</f>
        <v>1.4999999999999999E-2</v>
      </c>
      <c r="N2632">
        <f t="shared" si="123"/>
        <v>1.2586770182638762E-3</v>
      </c>
      <c r="O2632">
        <f>VLOOKUP(K2632,RatingLookup!$A$2:$C$8,3,FALSE)</f>
        <v>0.5</v>
      </c>
      <c r="P2632">
        <f t="shared" si="124"/>
        <v>0.61872156848288229</v>
      </c>
      <c r="Q2632" t="str">
        <f t="shared" ca="1" si="125"/>
        <v>No</v>
      </c>
    </row>
    <row r="2633" spans="1:17" x14ac:dyDescent="0.45">
      <c r="A2633" t="s">
        <v>122</v>
      </c>
      <c r="B2633" t="s">
        <v>123</v>
      </c>
      <c r="C2633" t="s">
        <v>85</v>
      </c>
      <c r="D2633" t="s">
        <v>20</v>
      </c>
      <c r="E2633" t="s">
        <v>21</v>
      </c>
      <c r="F2633" s="1">
        <v>45383</v>
      </c>
      <c r="G2633">
        <v>6.04</v>
      </c>
      <c r="H2633">
        <v>86.265000000000001</v>
      </c>
      <c r="I2633">
        <v>5.08</v>
      </c>
      <c r="J2633">
        <v>80.819999999999993</v>
      </c>
      <c r="K2633" t="s">
        <v>30</v>
      </c>
      <c r="L2633">
        <v>1108.04</v>
      </c>
      <c r="M2633">
        <f>VLOOKUP(K2633,RatingLookup!$A$2:$C$8,2,FALSE)</f>
        <v>1.4999999999999999E-2</v>
      </c>
      <c r="N2633">
        <f t="shared" si="123"/>
        <v>1.2586770182638762E-3</v>
      </c>
      <c r="O2633">
        <f>VLOOKUP(K2633,RatingLookup!$A$2:$C$8,3,FALSE)</f>
        <v>0.5</v>
      </c>
      <c r="P2633">
        <f t="shared" si="124"/>
        <v>0.69733224165855268</v>
      </c>
      <c r="Q2633" t="str">
        <f t="shared" ca="1" si="125"/>
        <v>No</v>
      </c>
    </row>
    <row r="2634" spans="1:17" x14ac:dyDescent="0.45">
      <c r="A2634" t="s">
        <v>122</v>
      </c>
      <c r="B2634" t="s">
        <v>123</v>
      </c>
      <c r="C2634" t="s">
        <v>85</v>
      </c>
      <c r="D2634" t="s">
        <v>20</v>
      </c>
      <c r="E2634" t="s">
        <v>21</v>
      </c>
      <c r="F2634" s="1">
        <v>45413</v>
      </c>
      <c r="G2634">
        <v>5.89</v>
      </c>
      <c r="H2634">
        <v>82.903099999999995</v>
      </c>
      <c r="I2634">
        <v>18.75</v>
      </c>
      <c r="J2634">
        <v>92.18</v>
      </c>
      <c r="K2634" t="s">
        <v>30</v>
      </c>
      <c r="L2634">
        <v>975.73</v>
      </c>
      <c r="M2634">
        <f>VLOOKUP(K2634,RatingLookup!$A$2:$C$8,2,FALSE)</f>
        <v>1.4999999999999999E-2</v>
      </c>
      <c r="N2634">
        <f t="shared" si="123"/>
        <v>1.2586770182638762E-3</v>
      </c>
      <c r="O2634">
        <f>VLOOKUP(K2634,RatingLookup!$A$2:$C$8,3,FALSE)</f>
        <v>0.5</v>
      </c>
      <c r="P2634">
        <f t="shared" si="124"/>
        <v>0.61406446351530597</v>
      </c>
      <c r="Q2634" t="str">
        <f t="shared" ca="1" si="125"/>
        <v>Yes</v>
      </c>
    </row>
    <row r="2635" spans="1:17" x14ac:dyDescent="0.45">
      <c r="A2635" t="s">
        <v>122</v>
      </c>
      <c r="B2635" t="s">
        <v>123</v>
      </c>
      <c r="C2635" t="s">
        <v>85</v>
      </c>
      <c r="D2635" t="s">
        <v>20</v>
      </c>
      <c r="E2635" t="s">
        <v>21</v>
      </c>
      <c r="F2635" s="1">
        <v>45444</v>
      </c>
      <c r="G2635">
        <v>6</v>
      </c>
      <c r="H2635">
        <v>80.689599999999999</v>
      </c>
      <c r="I2635">
        <v>27.92</v>
      </c>
      <c r="J2635">
        <v>66.42</v>
      </c>
      <c r="K2635" t="s">
        <v>30</v>
      </c>
      <c r="L2635">
        <v>1035.6500000000001</v>
      </c>
      <c r="M2635">
        <f>VLOOKUP(K2635,RatingLookup!$A$2:$C$8,2,FALSE)</f>
        <v>1.4999999999999999E-2</v>
      </c>
      <c r="N2635">
        <f t="shared" si="123"/>
        <v>1.2586770182638762E-3</v>
      </c>
      <c r="O2635">
        <f>VLOOKUP(K2635,RatingLookup!$A$2:$C$8,3,FALSE)</f>
        <v>0.5</v>
      </c>
      <c r="P2635">
        <f t="shared" si="124"/>
        <v>0.65177442698249177</v>
      </c>
      <c r="Q2635" t="str">
        <f t="shared" ca="1" si="125"/>
        <v>No</v>
      </c>
    </row>
    <row r="2636" spans="1:17" x14ac:dyDescent="0.45">
      <c r="A2636" t="s">
        <v>122</v>
      </c>
      <c r="B2636" t="s">
        <v>123</v>
      </c>
      <c r="C2636" t="s">
        <v>85</v>
      </c>
      <c r="D2636" t="s">
        <v>20</v>
      </c>
      <c r="E2636" t="s">
        <v>21</v>
      </c>
      <c r="F2636" s="1">
        <v>45474</v>
      </c>
      <c r="G2636">
        <v>5.61</v>
      </c>
      <c r="H2636">
        <v>84.322800000000001</v>
      </c>
      <c r="I2636">
        <v>23.66</v>
      </c>
      <c r="J2636">
        <v>72.62</v>
      </c>
      <c r="K2636" t="s">
        <v>30</v>
      </c>
      <c r="L2636">
        <v>1020.97</v>
      </c>
      <c r="M2636">
        <f>VLOOKUP(K2636,RatingLookup!$A$2:$C$8,2,FALSE)</f>
        <v>1.4999999999999999E-2</v>
      </c>
      <c r="N2636">
        <f t="shared" si="123"/>
        <v>1.2586770182638762E-3</v>
      </c>
      <c r="O2636">
        <f>VLOOKUP(K2636,RatingLookup!$A$2:$C$8,3,FALSE)</f>
        <v>0.5</v>
      </c>
      <c r="P2636">
        <f t="shared" si="124"/>
        <v>0.64253573766843486</v>
      </c>
      <c r="Q2636" t="str">
        <f t="shared" ca="1" si="125"/>
        <v>No</v>
      </c>
    </row>
    <row r="2637" spans="1:17" x14ac:dyDescent="0.45">
      <c r="A2637" t="s">
        <v>122</v>
      </c>
      <c r="B2637" t="s">
        <v>123</v>
      </c>
      <c r="C2637" t="s">
        <v>85</v>
      </c>
      <c r="D2637" t="s">
        <v>20</v>
      </c>
      <c r="E2637" t="s">
        <v>21</v>
      </c>
      <c r="F2637" s="1">
        <v>45505</v>
      </c>
      <c r="G2637">
        <v>4.37</v>
      </c>
      <c r="H2637">
        <v>81.3185</v>
      </c>
      <c r="I2637">
        <v>21.07</v>
      </c>
      <c r="J2637">
        <v>83.64</v>
      </c>
      <c r="K2637" t="s">
        <v>30</v>
      </c>
      <c r="L2637">
        <v>1020.84</v>
      </c>
      <c r="M2637">
        <f>VLOOKUP(K2637,RatingLookup!$A$2:$C$8,2,FALSE)</f>
        <v>1.4999999999999999E-2</v>
      </c>
      <c r="N2637">
        <f t="shared" si="123"/>
        <v>1.2586770182638762E-3</v>
      </c>
      <c r="O2637">
        <f>VLOOKUP(K2637,RatingLookup!$A$2:$C$8,3,FALSE)</f>
        <v>0.5</v>
      </c>
      <c r="P2637">
        <f t="shared" si="124"/>
        <v>0.64245392366224774</v>
      </c>
      <c r="Q2637" t="str">
        <f t="shared" ca="1" si="125"/>
        <v>No</v>
      </c>
    </row>
    <row r="2638" spans="1:17" x14ac:dyDescent="0.45">
      <c r="A2638" t="s">
        <v>122</v>
      </c>
      <c r="B2638" t="s">
        <v>123</v>
      </c>
      <c r="C2638" t="s">
        <v>85</v>
      </c>
      <c r="D2638" t="s">
        <v>20</v>
      </c>
      <c r="E2638" t="s">
        <v>21</v>
      </c>
      <c r="F2638" s="1">
        <v>45536</v>
      </c>
      <c r="G2638">
        <v>5.33</v>
      </c>
      <c r="H2638">
        <v>79.922499999999999</v>
      </c>
      <c r="I2638">
        <v>23.83</v>
      </c>
      <c r="J2638">
        <v>91.52</v>
      </c>
      <c r="K2638" t="s">
        <v>30</v>
      </c>
      <c r="L2638">
        <v>1021.11</v>
      </c>
      <c r="M2638">
        <f>VLOOKUP(K2638,RatingLookup!$A$2:$C$8,2,FALSE)</f>
        <v>1.4999999999999999E-2</v>
      </c>
      <c r="N2638">
        <f t="shared" si="123"/>
        <v>1.2586770182638762E-3</v>
      </c>
      <c r="O2638">
        <f>VLOOKUP(K2638,RatingLookup!$A$2:$C$8,3,FALSE)</f>
        <v>0.5</v>
      </c>
      <c r="P2638">
        <f t="shared" si="124"/>
        <v>0.64262384505971337</v>
      </c>
      <c r="Q2638" t="str">
        <f t="shared" ca="1" si="125"/>
        <v>No</v>
      </c>
    </row>
    <row r="2639" spans="1:17" x14ac:dyDescent="0.45">
      <c r="A2639" t="s">
        <v>122</v>
      </c>
      <c r="B2639" t="s">
        <v>123</v>
      </c>
      <c r="C2639" t="s">
        <v>85</v>
      </c>
      <c r="D2639" t="s">
        <v>20</v>
      </c>
      <c r="E2639" t="s">
        <v>21</v>
      </c>
      <c r="F2639" s="1">
        <v>45566</v>
      </c>
      <c r="G2639">
        <v>5.09</v>
      </c>
      <c r="H2639">
        <v>80.833200000000005</v>
      </c>
      <c r="I2639">
        <v>10</v>
      </c>
      <c r="J2639">
        <v>77.05</v>
      </c>
      <c r="K2639" t="s">
        <v>30</v>
      </c>
      <c r="L2639">
        <v>1058.49</v>
      </c>
      <c r="M2639">
        <f>VLOOKUP(K2639,RatingLookup!$A$2:$C$8,2,FALSE)</f>
        <v>1.4999999999999999E-2</v>
      </c>
      <c r="N2639">
        <f t="shared" si="123"/>
        <v>1.2586770182638762E-3</v>
      </c>
      <c r="O2639">
        <f>VLOOKUP(K2639,RatingLookup!$A$2:$C$8,3,FALSE)</f>
        <v>0.5</v>
      </c>
      <c r="P2639">
        <f t="shared" si="124"/>
        <v>0.66614851853106516</v>
      </c>
      <c r="Q2639" t="str">
        <f t="shared" ca="1" si="125"/>
        <v>No</v>
      </c>
    </row>
    <row r="2640" spans="1:17" x14ac:dyDescent="0.45">
      <c r="A2640" t="s">
        <v>122</v>
      </c>
      <c r="B2640" t="s">
        <v>123</v>
      </c>
      <c r="C2640" t="s">
        <v>85</v>
      </c>
      <c r="D2640" t="s">
        <v>20</v>
      </c>
      <c r="E2640" t="s">
        <v>21</v>
      </c>
      <c r="F2640" s="1">
        <v>45597</v>
      </c>
      <c r="G2640">
        <v>6.41</v>
      </c>
      <c r="H2640">
        <v>83.9285</v>
      </c>
      <c r="I2640">
        <v>23.06</v>
      </c>
      <c r="J2640">
        <v>98.91</v>
      </c>
      <c r="K2640" t="s">
        <v>30</v>
      </c>
      <c r="L2640">
        <v>1113.8499999999999</v>
      </c>
      <c r="M2640">
        <f>VLOOKUP(K2640,RatingLookup!$A$2:$C$8,2,FALSE)</f>
        <v>1.4999999999999999E-2</v>
      </c>
      <c r="N2640">
        <f t="shared" si="123"/>
        <v>1.2586770182638762E-3</v>
      </c>
      <c r="O2640">
        <f>VLOOKUP(K2640,RatingLookup!$A$2:$C$8,3,FALSE)</f>
        <v>0.5</v>
      </c>
      <c r="P2640">
        <f t="shared" si="124"/>
        <v>0.70098869839660927</v>
      </c>
      <c r="Q2640" t="str">
        <f t="shared" ca="1" si="125"/>
        <v>No</v>
      </c>
    </row>
    <row r="2641" spans="1:17" x14ac:dyDescent="0.45">
      <c r="A2641" t="s">
        <v>122</v>
      </c>
      <c r="B2641" t="s">
        <v>123</v>
      </c>
      <c r="C2641" t="s">
        <v>85</v>
      </c>
      <c r="D2641" t="s">
        <v>20</v>
      </c>
      <c r="E2641" t="s">
        <v>21</v>
      </c>
      <c r="F2641" s="1">
        <v>45627</v>
      </c>
      <c r="G2641">
        <v>5.34</v>
      </c>
      <c r="H2641">
        <v>86.818700000000007</v>
      </c>
      <c r="I2641">
        <v>25.06</v>
      </c>
      <c r="J2641">
        <v>77.23</v>
      </c>
      <c r="K2641" t="s">
        <v>30</v>
      </c>
      <c r="L2641">
        <v>1057.49</v>
      </c>
      <c r="M2641">
        <f>VLOOKUP(K2641,RatingLookup!$A$2:$C$8,2,FALSE)</f>
        <v>1.4999999999999999E-2</v>
      </c>
      <c r="N2641">
        <f t="shared" si="123"/>
        <v>1.2586770182638762E-3</v>
      </c>
      <c r="O2641">
        <f>VLOOKUP(K2641,RatingLookup!$A$2:$C$8,3,FALSE)</f>
        <v>0.5</v>
      </c>
      <c r="P2641">
        <f t="shared" si="124"/>
        <v>0.66551918002193322</v>
      </c>
      <c r="Q2641" t="str">
        <f t="shared" ca="1" si="125"/>
        <v>No</v>
      </c>
    </row>
    <row r="2642" spans="1:17" x14ac:dyDescent="0.45">
      <c r="A2642" t="s">
        <v>124</v>
      </c>
      <c r="B2642" t="s">
        <v>125</v>
      </c>
      <c r="C2642" t="s">
        <v>40</v>
      </c>
      <c r="D2642" t="s">
        <v>20</v>
      </c>
      <c r="E2642" t="s">
        <v>21</v>
      </c>
      <c r="F2642" s="1">
        <v>43831</v>
      </c>
      <c r="G2642">
        <v>5.58</v>
      </c>
      <c r="H2642">
        <v>80.460099999999997</v>
      </c>
      <c r="I2642">
        <v>14.66</v>
      </c>
      <c r="J2642">
        <v>68.510000000000005</v>
      </c>
      <c r="K2642" t="s">
        <v>82</v>
      </c>
      <c r="L2642">
        <v>1015.47</v>
      </c>
      <c r="M2642">
        <f>VLOOKUP(K2642,RatingLookup!$A$2:$C$8,2,FALSE)</f>
        <v>1E-4</v>
      </c>
      <c r="N2642">
        <f t="shared" si="123"/>
        <v>8.3337153021778576E-6</v>
      </c>
      <c r="O2642">
        <f>VLOOKUP(K2642,RatingLookup!$A$2:$C$8,3,FALSE)</f>
        <v>0.2</v>
      </c>
      <c r="P2642">
        <f t="shared" si="124"/>
        <v>1.69252757558051E-3</v>
      </c>
      <c r="Q2642" t="str">
        <f t="shared" ca="1" si="125"/>
        <v>No</v>
      </c>
    </row>
    <row r="2643" spans="1:17" x14ac:dyDescent="0.45">
      <c r="A2643" t="s">
        <v>124</v>
      </c>
      <c r="B2643" t="s">
        <v>125</v>
      </c>
      <c r="C2643" t="s">
        <v>40</v>
      </c>
      <c r="D2643" t="s">
        <v>20</v>
      </c>
      <c r="E2643" t="s">
        <v>21</v>
      </c>
      <c r="F2643" s="1">
        <v>43862</v>
      </c>
      <c r="G2643">
        <v>4.87</v>
      </c>
      <c r="H2643">
        <v>79.255499999999998</v>
      </c>
      <c r="I2643">
        <v>24.18</v>
      </c>
      <c r="J2643">
        <v>90.1</v>
      </c>
      <c r="K2643" t="s">
        <v>82</v>
      </c>
      <c r="L2643">
        <v>1161.01</v>
      </c>
      <c r="M2643">
        <f>VLOOKUP(K2643,RatingLookup!$A$2:$C$8,2,FALSE)</f>
        <v>1E-4</v>
      </c>
      <c r="N2643">
        <f t="shared" si="123"/>
        <v>8.3337153021778576E-6</v>
      </c>
      <c r="O2643">
        <f>VLOOKUP(K2643,RatingLookup!$A$2:$C$8,3,FALSE)</f>
        <v>0.2</v>
      </c>
      <c r="P2643">
        <f t="shared" si="124"/>
        <v>1.9351053605963031E-3</v>
      </c>
      <c r="Q2643" t="str">
        <f t="shared" ca="1" si="125"/>
        <v>No</v>
      </c>
    </row>
    <row r="2644" spans="1:17" x14ac:dyDescent="0.45">
      <c r="A2644" t="s">
        <v>124</v>
      </c>
      <c r="B2644" t="s">
        <v>125</v>
      </c>
      <c r="C2644" t="s">
        <v>40</v>
      </c>
      <c r="D2644" t="s">
        <v>20</v>
      </c>
      <c r="E2644" t="s">
        <v>21</v>
      </c>
      <c r="F2644" s="1">
        <v>43891</v>
      </c>
      <c r="G2644">
        <v>5.63</v>
      </c>
      <c r="H2644">
        <v>88.361800000000002</v>
      </c>
      <c r="I2644">
        <v>13.37</v>
      </c>
      <c r="J2644">
        <v>62.5</v>
      </c>
      <c r="K2644" t="s">
        <v>82</v>
      </c>
      <c r="L2644">
        <v>974.56</v>
      </c>
      <c r="M2644">
        <f>VLOOKUP(K2644,RatingLookup!$A$2:$C$8,2,FALSE)</f>
        <v>1E-4</v>
      </c>
      <c r="N2644">
        <f t="shared" si="123"/>
        <v>8.3337153021778576E-6</v>
      </c>
      <c r="O2644">
        <f>VLOOKUP(K2644,RatingLookup!$A$2:$C$8,3,FALSE)</f>
        <v>0.2</v>
      </c>
      <c r="P2644">
        <f t="shared" si="124"/>
        <v>1.6243411169780905E-3</v>
      </c>
      <c r="Q2644" t="str">
        <f t="shared" ca="1" si="125"/>
        <v>No</v>
      </c>
    </row>
    <row r="2645" spans="1:17" x14ac:dyDescent="0.45">
      <c r="A2645" t="s">
        <v>124</v>
      </c>
      <c r="B2645" t="s">
        <v>125</v>
      </c>
      <c r="C2645" t="s">
        <v>40</v>
      </c>
      <c r="D2645" t="s">
        <v>20</v>
      </c>
      <c r="E2645" t="s">
        <v>21</v>
      </c>
      <c r="F2645" s="1">
        <v>43922</v>
      </c>
      <c r="G2645">
        <v>4.8899999999999997</v>
      </c>
      <c r="H2645">
        <v>83.850099999999998</v>
      </c>
      <c r="I2645">
        <v>10.28</v>
      </c>
      <c r="J2645">
        <v>76.61</v>
      </c>
      <c r="K2645" t="s">
        <v>82</v>
      </c>
      <c r="L2645">
        <v>957.89</v>
      </c>
      <c r="M2645">
        <f>VLOOKUP(K2645,RatingLookup!$A$2:$C$8,2,FALSE)</f>
        <v>1E-4</v>
      </c>
      <c r="N2645">
        <f t="shared" si="123"/>
        <v>8.3337153021778576E-6</v>
      </c>
      <c r="O2645">
        <f>VLOOKUP(K2645,RatingLookup!$A$2:$C$8,3,FALSE)</f>
        <v>0.2</v>
      </c>
      <c r="P2645">
        <f t="shared" si="124"/>
        <v>1.5965565101606297E-3</v>
      </c>
      <c r="Q2645" t="str">
        <f t="shared" ca="1" si="125"/>
        <v>No</v>
      </c>
    </row>
    <row r="2646" spans="1:17" x14ac:dyDescent="0.45">
      <c r="A2646" t="s">
        <v>124</v>
      </c>
      <c r="B2646" t="s">
        <v>125</v>
      </c>
      <c r="C2646" t="s">
        <v>40</v>
      </c>
      <c r="D2646" t="s">
        <v>20</v>
      </c>
      <c r="E2646" t="s">
        <v>21</v>
      </c>
      <c r="F2646" s="1">
        <v>43952</v>
      </c>
      <c r="G2646">
        <v>6.04</v>
      </c>
      <c r="H2646">
        <v>84.311099999999996</v>
      </c>
      <c r="I2646">
        <v>14.35</v>
      </c>
      <c r="J2646">
        <v>75.36</v>
      </c>
      <c r="K2646" t="s">
        <v>82</v>
      </c>
      <c r="L2646">
        <v>1072.72</v>
      </c>
      <c r="M2646">
        <f>VLOOKUP(K2646,RatingLookup!$A$2:$C$8,2,FALSE)</f>
        <v>1E-4</v>
      </c>
      <c r="N2646">
        <f t="shared" si="123"/>
        <v>8.3337153021778576E-6</v>
      </c>
      <c r="O2646">
        <f>VLOOKUP(K2646,RatingLookup!$A$2:$C$8,3,FALSE)</f>
        <v>0.2</v>
      </c>
      <c r="P2646">
        <f t="shared" si="124"/>
        <v>1.7879486157904466E-3</v>
      </c>
      <c r="Q2646" t="str">
        <f t="shared" ca="1" si="125"/>
        <v>No</v>
      </c>
    </row>
    <row r="2647" spans="1:17" x14ac:dyDescent="0.45">
      <c r="A2647" t="s">
        <v>124</v>
      </c>
      <c r="B2647" t="s">
        <v>125</v>
      </c>
      <c r="C2647" t="s">
        <v>40</v>
      </c>
      <c r="D2647" t="s">
        <v>20</v>
      </c>
      <c r="E2647" t="s">
        <v>21</v>
      </c>
      <c r="F2647" s="1">
        <v>43983</v>
      </c>
      <c r="G2647">
        <v>5.77</v>
      </c>
      <c r="H2647">
        <v>84.483999999999995</v>
      </c>
      <c r="I2647">
        <v>6.78</v>
      </c>
      <c r="J2647">
        <v>60.21</v>
      </c>
      <c r="K2647" t="s">
        <v>82</v>
      </c>
      <c r="L2647">
        <v>954.32</v>
      </c>
      <c r="M2647">
        <f>VLOOKUP(K2647,RatingLookup!$A$2:$C$8,2,FALSE)</f>
        <v>1E-4</v>
      </c>
      <c r="N2647">
        <f t="shared" si="123"/>
        <v>8.3337153021778576E-6</v>
      </c>
      <c r="O2647">
        <f>VLOOKUP(K2647,RatingLookup!$A$2:$C$8,3,FALSE)</f>
        <v>0.2</v>
      </c>
      <c r="P2647">
        <f t="shared" si="124"/>
        <v>1.590606237434875E-3</v>
      </c>
      <c r="Q2647" t="str">
        <f t="shared" ca="1" si="125"/>
        <v>No</v>
      </c>
    </row>
    <row r="2648" spans="1:17" x14ac:dyDescent="0.45">
      <c r="A2648" t="s">
        <v>124</v>
      </c>
      <c r="B2648" t="s">
        <v>125</v>
      </c>
      <c r="C2648" t="s">
        <v>40</v>
      </c>
      <c r="D2648" t="s">
        <v>20</v>
      </c>
      <c r="E2648" t="s">
        <v>21</v>
      </c>
      <c r="F2648" s="1">
        <v>44013</v>
      </c>
      <c r="G2648">
        <v>5.01</v>
      </c>
      <c r="H2648">
        <v>77.308199999999999</v>
      </c>
      <c r="I2648">
        <v>23.84</v>
      </c>
      <c r="J2648">
        <v>81.48</v>
      </c>
      <c r="K2648" t="s">
        <v>82</v>
      </c>
      <c r="L2648">
        <v>1021.31</v>
      </c>
      <c r="M2648">
        <f>VLOOKUP(K2648,RatingLookup!$A$2:$C$8,2,FALSE)</f>
        <v>1E-4</v>
      </c>
      <c r="N2648">
        <f t="shared" si="123"/>
        <v>8.3337153021778576E-6</v>
      </c>
      <c r="O2648">
        <f>VLOOKUP(K2648,RatingLookup!$A$2:$C$8,3,FALSE)</f>
        <v>0.2</v>
      </c>
      <c r="P2648">
        <f t="shared" si="124"/>
        <v>1.7022613550534535E-3</v>
      </c>
      <c r="Q2648" t="str">
        <f t="shared" ca="1" si="125"/>
        <v>No</v>
      </c>
    </row>
    <row r="2649" spans="1:17" x14ac:dyDescent="0.45">
      <c r="A2649" t="s">
        <v>124</v>
      </c>
      <c r="B2649" t="s">
        <v>125</v>
      </c>
      <c r="C2649" t="s">
        <v>40</v>
      </c>
      <c r="D2649" t="s">
        <v>20</v>
      </c>
      <c r="E2649" t="s">
        <v>21</v>
      </c>
      <c r="F2649" s="1">
        <v>44044</v>
      </c>
      <c r="G2649">
        <v>6.66</v>
      </c>
      <c r="H2649">
        <v>82.515000000000001</v>
      </c>
      <c r="I2649">
        <v>12.19</v>
      </c>
      <c r="J2649">
        <v>88.99</v>
      </c>
      <c r="K2649" t="s">
        <v>82</v>
      </c>
      <c r="L2649">
        <v>980.99</v>
      </c>
      <c r="M2649">
        <f>VLOOKUP(K2649,RatingLookup!$A$2:$C$8,2,FALSE)</f>
        <v>1E-4</v>
      </c>
      <c r="N2649">
        <f t="shared" si="123"/>
        <v>8.3337153021778576E-6</v>
      </c>
      <c r="O2649">
        <f>VLOOKUP(K2649,RatingLookup!$A$2:$C$8,3,FALSE)</f>
        <v>0.2</v>
      </c>
      <c r="P2649">
        <f t="shared" si="124"/>
        <v>1.6350582748566912E-3</v>
      </c>
      <c r="Q2649" t="str">
        <f t="shared" ca="1" si="125"/>
        <v>No</v>
      </c>
    </row>
    <row r="2650" spans="1:17" x14ac:dyDescent="0.45">
      <c r="A2650" t="s">
        <v>124</v>
      </c>
      <c r="B2650" t="s">
        <v>125</v>
      </c>
      <c r="C2650" t="s">
        <v>40</v>
      </c>
      <c r="D2650" t="s">
        <v>20</v>
      </c>
      <c r="E2650" t="s">
        <v>21</v>
      </c>
      <c r="F2650" s="1">
        <v>44075</v>
      </c>
      <c r="G2650">
        <v>5</v>
      </c>
      <c r="H2650">
        <v>81.106099999999998</v>
      </c>
      <c r="I2650">
        <v>27.28</v>
      </c>
      <c r="J2650">
        <v>65.13</v>
      </c>
      <c r="K2650" t="s">
        <v>82</v>
      </c>
      <c r="L2650">
        <v>1057.75</v>
      </c>
      <c r="M2650">
        <f>VLOOKUP(K2650,RatingLookup!$A$2:$C$8,2,FALSE)</f>
        <v>1E-4</v>
      </c>
      <c r="N2650">
        <f t="shared" si="123"/>
        <v>8.3337153021778576E-6</v>
      </c>
      <c r="O2650">
        <f>VLOOKUP(K2650,RatingLookup!$A$2:$C$8,3,FALSE)</f>
        <v>0.2</v>
      </c>
      <c r="P2650">
        <f t="shared" si="124"/>
        <v>1.7629974721757259E-3</v>
      </c>
      <c r="Q2650" t="str">
        <f t="shared" ca="1" si="125"/>
        <v>No</v>
      </c>
    </row>
    <row r="2651" spans="1:17" x14ac:dyDescent="0.45">
      <c r="A2651" t="s">
        <v>124</v>
      </c>
      <c r="B2651" t="s">
        <v>125</v>
      </c>
      <c r="C2651" t="s">
        <v>40</v>
      </c>
      <c r="D2651" t="s">
        <v>20</v>
      </c>
      <c r="E2651" t="s">
        <v>21</v>
      </c>
      <c r="F2651" s="1">
        <v>44105</v>
      </c>
      <c r="G2651">
        <v>4.3899999999999997</v>
      </c>
      <c r="H2651">
        <v>79.620599999999996</v>
      </c>
      <c r="I2651">
        <v>18.649999999999999</v>
      </c>
      <c r="J2651">
        <v>82.34</v>
      </c>
      <c r="K2651" t="s">
        <v>82</v>
      </c>
      <c r="L2651">
        <v>974.28</v>
      </c>
      <c r="M2651">
        <f>VLOOKUP(K2651,RatingLookup!$A$2:$C$8,2,FALSE)</f>
        <v>1E-4</v>
      </c>
      <c r="N2651">
        <f t="shared" si="123"/>
        <v>8.3337153021778576E-6</v>
      </c>
      <c r="O2651">
        <f>VLOOKUP(K2651,RatingLookup!$A$2:$C$8,3,FALSE)</f>
        <v>0.2</v>
      </c>
      <c r="P2651">
        <f t="shared" si="124"/>
        <v>1.6238744289211685E-3</v>
      </c>
      <c r="Q2651" t="str">
        <f t="shared" ca="1" si="125"/>
        <v>No</v>
      </c>
    </row>
    <row r="2652" spans="1:17" x14ac:dyDescent="0.45">
      <c r="A2652" t="s">
        <v>124</v>
      </c>
      <c r="B2652" t="s">
        <v>125</v>
      </c>
      <c r="C2652" t="s">
        <v>40</v>
      </c>
      <c r="D2652" t="s">
        <v>20</v>
      </c>
      <c r="E2652" t="s">
        <v>21</v>
      </c>
      <c r="F2652" s="1">
        <v>44136</v>
      </c>
      <c r="G2652">
        <v>5.19</v>
      </c>
      <c r="H2652">
        <v>82.397099999999995</v>
      </c>
      <c r="I2652">
        <v>13.78</v>
      </c>
      <c r="J2652">
        <v>76.209999999999994</v>
      </c>
      <c r="K2652" t="s">
        <v>82</v>
      </c>
      <c r="L2652">
        <v>983.28</v>
      </c>
      <c r="M2652">
        <f>VLOOKUP(K2652,RatingLookup!$A$2:$C$8,2,FALSE)</f>
        <v>1E-4</v>
      </c>
      <c r="N2652">
        <f t="shared" si="123"/>
        <v>8.3337153021778576E-6</v>
      </c>
      <c r="O2652">
        <f>VLOOKUP(K2652,RatingLookup!$A$2:$C$8,3,FALSE)</f>
        <v>0.2</v>
      </c>
      <c r="P2652">
        <f t="shared" si="124"/>
        <v>1.6388751164650888E-3</v>
      </c>
      <c r="Q2652" t="str">
        <f t="shared" ca="1" si="125"/>
        <v>No</v>
      </c>
    </row>
    <row r="2653" spans="1:17" x14ac:dyDescent="0.45">
      <c r="A2653" t="s">
        <v>124</v>
      </c>
      <c r="B2653" t="s">
        <v>125</v>
      </c>
      <c r="C2653" t="s">
        <v>40</v>
      </c>
      <c r="D2653" t="s">
        <v>20</v>
      </c>
      <c r="E2653" t="s">
        <v>21</v>
      </c>
      <c r="F2653" s="1">
        <v>44166</v>
      </c>
      <c r="G2653">
        <v>5.03</v>
      </c>
      <c r="H2653">
        <v>84.213700000000003</v>
      </c>
      <c r="I2653">
        <v>8.07</v>
      </c>
      <c r="J2653">
        <v>93.73</v>
      </c>
      <c r="K2653" t="s">
        <v>82</v>
      </c>
      <c r="L2653">
        <v>1018.8</v>
      </c>
      <c r="M2653">
        <f>VLOOKUP(K2653,RatingLookup!$A$2:$C$8,2,FALSE)</f>
        <v>1E-4</v>
      </c>
      <c r="N2653">
        <f t="shared" si="123"/>
        <v>8.3337153021778576E-6</v>
      </c>
      <c r="O2653">
        <f>VLOOKUP(K2653,RatingLookup!$A$2:$C$8,3,FALSE)</f>
        <v>0.2</v>
      </c>
      <c r="P2653">
        <f t="shared" si="124"/>
        <v>1.6980778299717605E-3</v>
      </c>
      <c r="Q2653" t="str">
        <f t="shared" ca="1" si="125"/>
        <v>No</v>
      </c>
    </row>
    <row r="2654" spans="1:17" x14ac:dyDescent="0.45">
      <c r="A2654" t="s">
        <v>124</v>
      </c>
      <c r="B2654" t="s">
        <v>125</v>
      </c>
      <c r="C2654" t="s">
        <v>40</v>
      </c>
      <c r="D2654" t="s">
        <v>20</v>
      </c>
      <c r="E2654" t="s">
        <v>21</v>
      </c>
      <c r="F2654" s="1">
        <v>44197</v>
      </c>
      <c r="G2654">
        <v>6.61</v>
      </c>
      <c r="H2654">
        <v>84.644999999999996</v>
      </c>
      <c r="I2654">
        <v>10.18</v>
      </c>
      <c r="J2654">
        <v>76.91</v>
      </c>
      <c r="K2654" t="s">
        <v>82</v>
      </c>
      <c r="L2654">
        <v>922.03</v>
      </c>
      <c r="M2654">
        <f>VLOOKUP(K2654,RatingLookup!$A$2:$C$8,2,FALSE)</f>
        <v>1E-4</v>
      </c>
      <c r="N2654">
        <f t="shared" si="123"/>
        <v>8.3337153021778576E-6</v>
      </c>
      <c r="O2654">
        <f>VLOOKUP(K2654,RatingLookup!$A$2:$C$8,3,FALSE)</f>
        <v>0.2</v>
      </c>
      <c r="P2654">
        <f t="shared" si="124"/>
        <v>1.53678710401341E-3</v>
      </c>
      <c r="Q2654" t="str">
        <f t="shared" ca="1" si="125"/>
        <v>No</v>
      </c>
    </row>
    <row r="2655" spans="1:17" x14ac:dyDescent="0.45">
      <c r="A2655" t="s">
        <v>124</v>
      </c>
      <c r="B2655" t="s">
        <v>125</v>
      </c>
      <c r="C2655" t="s">
        <v>40</v>
      </c>
      <c r="D2655" t="s">
        <v>20</v>
      </c>
      <c r="E2655" t="s">
        <v>21</v>
      </c>
      <c r="F2655" s="1">
        <v>44228</v>
      </c>
      <c r="G2655">
        <v>4.96</v>
      </c>
      <c r="H2655">
        <v>81.068799999999996</v>
      </c>
      <c r="I2655">
        <v>14.26</v>
      </c>
      <c r="J2655">
        <v>98.59</v>
      </c>
      <c r="K2655" t="s">
        <v>82</v>
      </c>
      <c r="L2655">
        <v>1016.12</v>
      </c>
      <c r="M2655">
        <f>VLOOKUP(K2655,RatingLookup!$A$2:$C$8,2,FALSE)</f>
        <v>1E-4</v>
      </c>
      <c r="N2655">
        <f t="shared" si="123"/>
        <v>8.3337153021778576E-6</v>
      </c>
      <c r="O2655">
        <f>VLOOKUP(K2655,RatingLookup!$A$2:$C$8,3,FALSE)</f>
        <v>0.2</v>
      </c>
      <c r="P2655">
        <f t="shared" si="124"/>
        <v>1.6936109585697929E-3</v>
      </c>
      <c r="Q2655" t="str">
        <f t="shared" ca="1" si="125"/>
        <v>No</v>
      </c>
    </row>
    <row r="2656" spans="1:17" x14ac:dyDescent="0.45">
      <c r="A2656" t="s">
        <v>124</v>
      </c>
      <c r="B2656" t="s">
        <v>125</v>
      </c>
      <c r="C2656" t="s">
        <v>40</v>
      </c>
      <c r="D2656" t="s">
        <v>20</v>
      </c>
      <c r="E2656" t="s">
        <v>21</v>
      </c>
      <c r="F2656" s="1">
        <v>44256</v>
      </c>
      <c r="G2656">
        <v>5.0199999999999996</v>
      </c>
      <c r="H2656">
        <v>82.409300000000002</v>
      </c>
      <c r="I2656">
        <v>16.66</v>
      </c>
      <c r="J2656">
        <v>87.4</v>
      </c>
      <c r="K2656" t="s">
        <v>48</v>
      </c>
      <c r="L2656">
        <v>1066.26</v>
      </c>
      <c r="M2656">
        <f>VLOOKUP(K2656,RatingLookup!$A$2:$C$8,2,FALSE)</f>
        <v>5.0000000000000001E-4</v>
      </c>
      <c r="N2656">
        <f t="shared" si="123"/>
        <v>4.167621832917856E-5</v>
      </c>
      <c r="O2656">
        <f>VLOOKUP(K2656,RatingLookup!$A$2:$C$8,3,FALSE)</f>
        <v>0.25</v>
      </c>
      <c r="P2656">
        <f t="shared" si="124"/>
        <v>1.1109421138917483E-2</v>
      </c>
      <c r="Q2656" t="str">
        <f t="shared" ca="1" si="125"/>
        <v>No</v>
      </c>
    </row>
    <row r="2657" spans="1:17" x14ac:dyDescent="0.45">
      <c r="A2657" t="s">
        <v>124</v>
      </c>
      <c r="B2657" t="s">
        <v>125</v>
      </c>
      <c r="C2657" t="s">
        <v>40</v>
      </c>
      <c r="D2657" t="s">
        <v>20</v>
      </c>
      <c r="E2657" t="s">
        <v>21</v>
      </c>
      <c r="F2657" s="1">
        <v>44287</v>
      </c>
      <c r="G2657">
        <v>6.2</v>
      </c>
      <c r="H2657">
        <v>84.3095</v>
      </c>
      <c r="I2657">
        <v>9.7200000000000006</v>
      </c>
      <c r="J2657">
        <v>91.92</v>
      </c>
      <c r="K2657" t="s">
        <v>48</v>
      </c>
      <c r="L2657">
        <v>1012.78</v>
      </c>
      <c r="M2657">
        <f>VLOOKUP(K2657,RatingLookup!$A$2:$C$8,2,FALSE)</f>
        <v>5.0000000000000001E-4</v>
      </c>
      <c r="N2657">
        <f t="shared" si="123"/>
        <v>4.167621832917856E-5</v>
      </c>
      <c r="O2657">
        <f>VLOOKUP(K2657,RatingLookup!$A$2:$C$8,3,FALSE)</f>
        <v>0.25</v>
      </c>
      <c r="P2657">
        <f t="shared" si="124"/>
        <v>1.0552210099856366E-2</v>
      </c>
      <c r="Q2657" t="str">
        <f t="shared" ca="1" si="125"/>
        <v>No</v>
      </c>
    </row>
    <row r="2658" spans="1:17" x14ac:dyDescent="0.45">
      <c r="A2658" t="s">
        <v>124</v>
      </c>
      <c r="B2658" t="s">
        <v>125</v>
      </c>
      <c r="C2658" t="s">
        <v>40</v>
      </c>
      <c r="D2658" t="s">
        <v>20</v>
      </c>
      <c r="E2658" t="s">
        <v>21</v>
      </c>
      <c r="F2658" s="1">
        <v>44317</v>
      </c>
      <c r="G2658">
        <v>5.46</v>
      </c>
      <c r="H2658">
        <v>84.194900000000004</v>
      </c>
      <c r="I2658">
        <v>19.78</v>
      </c>
      <c r="J2658">
        <v>75.11</v>
      </c>
      <c r="K2658" t="s">
        <v>48</v>
      </c>
      <c r="L2658">
        <v>897.21</v>
      </c>
      <c r="M2658">
        <f>VLOOKUP(K2658,RatingLookup!$A$2:$C$8,2,FALSE)</f>
        <v>5.0000000000000001E-4</v>
      </c>
      <c r="N2658">
        <f t="shared" si="123"/>
        <v>4.167621832917856E-5</v>
      </c>
      <c r="O2658">
        <f>VLOOKUP(K2658,RatingLookup!$A$2:$C$8,3,FALSE)</f>
        <v>0.25</v>
      </c>
      <c r="P2658">
        <f t="shared" si="124"/>
        <v>9.348079961780574E-3</v>
      </c>
      <c r="Q2658" t="str">
        <f t="shared" ca="1" si="125"/>
        <v>No</v>
      </c>
    </row>
    <row r="2659" spans="1:17" x14ac:dyDescent="0.45">
      <c r="A2659" t="s">
        <v>124</v>
      </c>
      <c r="B2659" t="s">
        <v>125</v>
      </c>
      <c r="C2659" t="s">
        <v>40</v>
      </c>
      <c r="D2659" t="s">
        <v>20</v>
      </c>
      <c r="E2659" t="s">
        <v>21</v>
      </c>
      <c r="F2659" s="1">
        <v>44348</v>
      </c>
      <c r="G2659">
        <v>5.0599999999999996</v>
      </c>
      <c r="H2659">
        <v>80.566500000000005</v>
      </c>
      <c r="I2659">
        <v>29.49</v>
      </c>
      <c r="J2659">
        <v>88.28</v>
      </c>
      <c r="K2659" t="s">
        <v>48</v>
      </c>
      <c r="L2659">
        <v>974.49</v>
      </c>
      <c r="M2659">
        <f>VLOOKUP(K2659,RatingLookup!$A$2:$C$8,2,FALSE)</f>
        <v>5.0000000000000001E-4</v>
      </c>
      <c r="N2659">
        <f t="shared" si="123"/>
        <v>4.167621832917856E-5</v>
      </c>
      <c r="O2659">
        <f>VLOOKUP(K2659,RatingLookup!$A$2:$C$8,3,FALSE)</f>
        <v>0.25</v>
      </c>
      <c r="P2659">
        <f t="shared" si="124"/>
        <v>1.0153264499900304E-2</v>
      </c>
      <c r="Q2659" t="str">
        <f t="shared" ca="1" si="125"/>
        <v>No</v>
      </c>
    </row>
    <row r="2660" spans="1:17" x14ac:dyDescent="0.45">
      <c r="A2660" t="s">
        <v>124</v>
      </c>
      <c r="B2660" t="s">
        <v>125</v>
      </c>
      <c r="C2660" t="s">
        <v>40</v>
      </c>
      <c r="D2660" t="s">
        <v>20</v>
      </c>
      <c r="E2660" t="s">
        <v>21</v>
      </c>
      <c r="F2660" s="1">
        <v>44378</v>
      </c>
      <c r="G2660">
        <v>5.95</v>
      </c>
      <c r="H2660">
        <v>83.372500000000002</v>
      </c>
      <c r="I2660">
        <v>14.09</v>
      </c>
      <c r="J2660">
        <v>70.83</v>
      </c>
      <c r="K2660" t="s">
        <v>48</v>
      </c>
      <c r="L2660">
        <v>1074.06</v>
      </c>
      <c r="M2660">
        <f>VLOOKUP(K2660,RatingLookup!$A$2:$C$8,2,FALSE)</f>
        <v>5.0000000000000001E-4</v>
      </c>
      <c r="N2660">
        <f t="shared" si="123"/>
        <v>4.167621832917856E-5</v>
      </c>
      <c r="O2660">
        <f>VLOOKUP(K2660,RatingLookup!$A$2:$C$8,3,FALSE)</f>
        <v>0.25</v>
      </c>
      <c r="P2660">
        <f t="shared" si="124"/>
        <v>1.1190689764659381E-2</v>
      </c>
      <c r="Q2660" t="str">
        <f t="shared" ca="1" si="125"/>
        <v>No</v>
      </c>
    </row>
    <row r="2661" spans="1:17" x14ac:dyDescent="0.45">
      <c r="A2661" t="s">
        <v>124</v>
      </c>
      <c r="B2661" t="s">
        <v>125</v>
      </c>
      <c r="C2661" t="s">
        <v>40</v>
      </c>
      <c r="D2661" t="s">
        <v>20</v>
      </c>
      <c r="E2661" t="s">
        <v>21</v>
      </c>
      <c r="F2661" s="1">
        <v>44409</v>
      </c>
      <c r="G2661">
        <v>6.41</v>
      </c>
      <c r="H2661">
        <v>82.700999999999993</v>
      </c>
      <c r="I2661">
        <v>17.25</v>
      </c>
      <c r="J2661">
        <v>88.2</v>
      </c>
      <c r="K2661" t="s">
        <v>48</v>
      </c>
      <c r="L2661">
        <v>1011.29</v>
      </c>
      <c r="M2661">
        <f>VLOOKUP(K2661,RatingLookup!$A$2:$C$8,2,FALSE)</f>
        <v>5.0000000000000001E-4</v>
      </c>
      <c r="N2661">
        <f t="shared" si="123"/>
        <v>4.167621832917856E-5</v>
      </c>
      <c r="O2661">
        <f>VLOOKUP(K2661,RatingLookup!$A$2:$C$8,3,FALSE)</f>
        <v>0.25</v>
      </c>
      <c r="P2661">
        <f t="shared" si="124"/>
        <v>1.0536685708528747E-2</v>
      </c>
      <c r="Q2661" t="str">
        <f t="shared" ca="1" si="125"/>
        <v>No</v>
      </c>
    </row>
    <row r="2662" spans="1:17" x14ac:dyDescent="0.45">
      <c r="A2662" t="s">
        <v>124</v>
      </c>
      <c r="B2662" t="s">
        <v>125</v>
      </c>
      <c r="C2662" t="s">
        <v>40</v>
      </c>
      <c r="D2662" t="s">
        <v>20</v>
      </c>
      <c r="E2662" t="s">
        <v>21</v>
      </c>
      <c r="F2662" s="1">
        <v>44440</v>
      </c>
      <c r="G2662">
        <v>5.09</v>
      </c>
      <c r="H2662">
        <v>82.567099999999996</v>
      </c>
      <c r="I2662">
        <v>12.54</v>
      </c>
      <c r="J2662">
        <v>73.09</v>
      </c>
      <c r="K2662" t="s">
        <v>48</v>
      </c>
      <c r="L2662">
        <v>1065.9100000000001</v>
      </c>
      <c r="M2662">
        <f>VLOOKUP(K2662,RatingLookup!$A$2:$C$8,2,FALSE)</f>
        <v>5.0000000000000001E-4</v>
      </c>
      <c r="N2662">
        <f t="shared" si="123"/>
        <v>4.167621832917856E-5</v>
      </c>
      <c r="O2662">
        <f>VLOOKUP(K2662,RatingLookup!$A$2:$C$8,3,FALSE)</f>
        <v>0.25</v>
      </c>
      <c r="P2662">
        <f t="shared" si="124"/>
        <v>1.110577446981368E-2</v>
      </c>
      <c r="Q2662" t="str">
        <f t="shared" ca="1" si="125"/>
        <v>No</v>
      </c>
    </row>
    <row r="2663" spans="1:17" x14ac:dyDescent="0.45">
      <c r="A2663" t="s">
        <v>124</v>
      </c>
      <c r="B2663" t="s">
        <v>125</v>
      </c>
      <c r="C2663" t="s">
        <v>40</v>
      </c>
      <c r="D2663" t="s">
        <v>20</v>
      </c>
      <c r="E2663" t="s">
        <v>21</v>
      </c>
      <c r="F2663" s="1">
        <v>44470</v>
      </c>
      <c r="G2663">
        <v>5.65</v>
      </c>
      <c r="H2663">
        <v>82.337599999999995</v>
      </c>
      <c r="I2663">
        <v>15.39</v>
      </c>
      <c r="J2663">
        <v>73.94</v>
      </c>
      <c r="K2663" t="s">
        <v>48</v>
      </c>
      <c r="L2663">
        <v>1024.1300000000001</v>
      </c>
      <c r="M2663">
        <f>VLOOKUP(K2663,RatingLookup!$A$2:$C$8,2,FALSE)</f>
        <v>5.0000000000000001E-4</v>
      </c>
      <c r="N2663">
        <f t="shared" si="123"/>
        <v>4.167621832917856E-5</v>
      </c>
      <c r="O2663">
        <f>VLOOKUP(K2663,RatingLookup!$A$2:$C$8,3,FALSE)</f>
        <v>0.25</v>
      </c>
      <c r="P2663">
        <f t="shared" si="124"/>
        <v>1.0670466369365411E-2</v>
      </c>
      <c r="Q2663" t="str">
        <f t="shared" ca="1" si="125"/>
        <v>No</v>
      </c>
    </row>
    <row r="2664" spans="1:17" x14ac:dyDescent="0.45">
      <c r="A2664" t="s">
        <v>124</v>
      </c>
      <c r="B2664" t="s">
        <v>125</v>
      </c>
      <c r="C2664" t="s">
        <v>40</v>
      </c>
      <c r="D2664" t="s">
        <v>20</v>
      </c>
      <c r="E2664" t="s">
        <v>21</v>
      </c>
      <c r="F2664" s="1">
        <v>44501</v>
      </c>
      <c r="G2664">
        <v>6.55</v>
      </c>
      <c r="H2664">
        <v>76.601200000000006</v>
      </c>
      <c r="I2664">
        <v>26.8</v>
      </c>
      <c r="J2664">
        <v>102.37</v>
      </c>
      <c r="K2664" t="s">
        <v>48</v>
      </c>
      <c r="L2664">
        <v>1033.23</v>
      </c>
      <c r="M2664">
        <f>VLOOKUP(K2664,RatingLookup!$A$2:$C$8,2,FALSE)</f>
        <v>5.0000000000000001E-4</v>
      </c>
      <c r="N2664">
        <f t="shared" si="123"/>
        <v>4.167621832917856E-5</v>
      </c>
      <c r="O2664">
        <f>VLOOKUP(K2664,RatingLookup!$A$2:$C$8,3,FALSE)</f>
        <v>0.25</v>
      </c>
      <c r="P2664">
        <f t="shared" si="124"/>
        <v>1.0765279766064291E-2</v>
      </c>
      <c r="Q2664" t="str">
        <f t="shared" ca="1" si="125"/>
        <v>No</v>
      </c>
    </row>
    <row r="2665" spans="1:17" x14ac:dyDescent="0.45">
      <c r="A2665" t="s">
        <v>124</v>
      </c>
      <c r="B2665" t="s">
        <v>125</v>
      </c>
      <c r="C2665" t="s">
        <v>40</v>
      </c>
      <c r="D2665" t="s">
        <v>20</v>
      </c>
      <c r="E2665" t="s">
        <v>21</v>
      </c>
      <c r="F2665" s="1">
        <v>44531</v>
      </c>
      <c r="G2665">
        <v>5.13</v>
      </c>
      <c r="H2665">
        <v>83.536000000000001</v>
      </c>
      <c r="I2665">
        <v>15.9</v>
      </c>
      <c r="J2665">
        <v>76.5</v>
      </c>
      <c r="K2665" t="s">
        <v>48</v>
      </c>
      <c r="L2665">
        <v>977.13</v>
      </c>
      <c r="M2665">
        <f>VLOOKUP(K2665,RatingLookup!$A$2:$C$8,2,FALSE)</f>
        <v>5.0000000000000001E-4</v>
      </c>
      <c r="N2665">
        <f t="shared" si="123"/>
        <v>4.167621832917856E-5</v>
      </c>
      <c r="O2665">
        <f>VLOOKUP(K2665,RatingLookup!$A$2:$C$8,3,FALSE)</f>
        <v>0.25</v>
      </c>
      <c r="P2665">
        <f t="shared" si="124"/>
        <v>1.0180770803997562E-2</v>
      </c>
      <c r="Q2665" t="str">
        <f t="shared" ca="1" si="125"/>
        <v>No</v>
      </c>
    </row>
    <row r="2666" spans="1:17" x14ac:dyDescent="0.45">
      <c r="A2666" t="s">
        <v>124</v>
      </c>
      <c r="B2666" t="s">
        <v>125</v>
      </c>
      <c r="C2666" t="s">
        <v>40</v>
      </c>
      <c r="D2666" t="s">
        <v>20</v>
      </c>
      <c r="E2666" t="s">
        <v>21</v>
      </c>
      <c r="F2666" s="1">
        <v>44562</v>
      </c>
      <c r="G2666">
        <v>5.48</v>
      </c>
      <c r="H2666">
        <v>78.841899999999995</v>
      </c>
      <c r="I2666">
        <v>16.5</v>
      </c>
      <c r="J2666">
        <v>75.260000000000005</v>
      </c>
      <c r="K2666" t="s">
        <v>48</v>
      </c>
      <c r="L2666">
        <v>1035.98</v>
      </c>
      <c r="M2666">
        <f>VLOOKUP(K2666,RatingLookup!$A$2:$C$8,2,FALSE)</f>
        <v>5.0000000000000001E-4</v>
      </c>
      <c r="N2666">
        <f t="shared" si="123"/>
        <v>4.167621832917856E-5</v>
      </c>
      <c r="O2666">
        <f>VLOOKUP(K2666,RatingLookup!$A$2:$C$8,3,FALSE)</f>
        <v>0.25</v>
      </c>
      <c r="P2666">
        <f t="shared" si="124"/>
        <v>1.0793932166165601E-2</v>
      </c>
      <c r="Q2666" t="str">
        <f t="shared" ca="1" si="125"/>
        <v>No</v>
      </c>
    </row>
    <row r="2667" spans="1:17" x14ac:dyDescent="0.45">
      <c r="A2667" t="s">
        <v>124</v>
      </c>
      <c r="B2667" t="s">
        <v>125</v>
      </c>
      <c r="C2667" t="s">
        <v>40</v>
      </c>
      <c r="D2667" t="s">
        <v>20</v>
      </c>
      <c r="E2667" t="s">
        <v>21</v>
      </c>
      <c r="F2667" s="1">
        <v>44593</v>
      </c>
      <c r="G2667">
        <v>6.34</v>
      </c>
      <c r="H2667">
        <v>82.830200000000005</v>
      </c>
      <c r="I2667">
        <v>14.25</v>
      </c>
      <c r="J2667">
        <v>70.150000000000006</v>
      </c>
      <c r="K2667" t="s">
        <v>48</v>
      </c>
      <c r="L2667">
        <v>1012.84</v>
      </c>
      <c r="M2667">
        <f>VLOOKUP(K2667,RatingLookup!$A$2:$C$8,2,FALSE)</f>
        <v>5.0000000000000001E-4</v>
      </c>
      <c r="N2667">
        <f t="shared" si="123"/>
        <v>4.167621832917856E-5</v>
      </c>
      <c r="O2667">
        <f>VLOOKUP(K2667,RatingLookup!$A$2:$C$8,3,FALSE)</f>
        <v>0.25</v>
      </c>
      <c r="P2667">
        <f t="shared" si="124"/>
        <v>1.0552835243131303E-2</v>
      </c>
      <c r="Q2667" t="str">
        <f t="shared" ca="1" si="125"/>
        <v>No</v>
      </c>
    </row>
    <row r="2668" spans="1:17" x14ac:dyDescent="0.45">
      <c r="A2668" t="s">
        <v>124</v>
      </c>
      <c r="B2668" t="s">
        <v>125</v>
      </c>
      <c r="C2668" t="s">
        <v>40</v>
      </c>
      <c r="D2668" t="s">
        <v>20</v>
      </c>
      <c r="E2668" t="s">
        <v>21</v>
      </c>
      <c r="F2668" s="1">
        <v>44621</v>
      </c>
      <c r="G2668">
        <v>5.21</v>
      </c>
      <c r="H2668">
        <v>83.659199999999998</v>
      </c>
      <c r="I2668">
        <v>18.760000000000002</v>
      </c>
      <c r="J2668">
        <v>67.67</v>
      </c>
      <c r="K2668" t="s">
        <v>48</v>
      </c>
      <c r="L2668">
        <v>986.07</v>
      </c>
      <c r="M2668">
        <f>VLOOKUP(K2668,RatingLookup!$A$2:$C$8,2,FALSE)</f>
        <v>5.0000000000000001E-4</v>
      </c>
      <c r="N2668">
        <f t="shared" si="123"/>
        <v>4.167621832917856E-5</v>
      </c>
      <c r="O2668">
        <f>VLOOKUP(K2668,RatingLookup!$A$2:$C$8,3,FALSE)</f>
        <v>0.25</v>
      </c>
      <c r="P2668">
        <f t="shared" si="124"/>
        <v>1.0273917151963276E-2</v>
      </c>
      <c r="Q2668" t="str">
        <f t="shared" ca="1" si="125"/>
        <v>No</v>
      </c>
    </row>
    <row r="2669" spans="1:17" x14ac:dyDescent="0.45">
      <c r="A2669" t="s">
        <v>124</v>
      </c>
      <c r="B2669" t="s">
        <v>125</v>
      </c>
      <c r="C2669" t="s">
        <v>40</v>
      </c>
      <c r="D2669" t="s">
        <v>20</v>
      </c>
      <c r="E2669" t="s">
        <v>21</v>
      </c>
      <c r="F2669" s="1">
        <v>44652</v>
      </c>
      <c r="G2669">
        <v>5.57</v>
      </c>
      <c r="H2669">
        <v>81.112499999999997</v>
      </c>
      <c r="I2669">
        <v>12.71</v>
      </c>
      <c r="J2669">
        <v>78.709999999999994</v>
      </c>
      <c r="K2669" t="s">
        <v>48</v>
      </c>
      <c r="L2669">
        <v>1015.17</v>
      </c>
      <c r="M2669">
        <f>VLOOKUP(K2669,RatingLookup!$A$2:$C$8,2,FALSE)</f>
        <v>5.0000000000000001E-4</v>
      </c>
      <c r="N2669">
        <f t="shared" si="123"/>
        <v>4.167621832917856E-5</v>
      </c>
      <c r="O2669">
        <f>VLOOKUP(K2669,RatingLookup!$A$2:$C$8,3,FALSE)</f>
        <v>0.25</v>
      </c>
      <c r="P2669">
        <f t="shared" si="124"/>
        <v>1.057711164030805E-2</v>
      </c>
      <c r="Q2669" t="str">
        <f t="shared" ca="1" si="125"/>
        <v>No</v>
      </c>
    </row>
    <row r="2670" spans="1:17" x14ac:dyDescent="0.45">
      <c r="A2670" t="s">
        <v>124</v>
      </c>
      <c r="B2670" t="s">
        <v>125</v>
      </c>
      <c r="C2670" t="s">
        <v>40</v>
      </c>
      <c r="D2670" t="s">
        <v>20</v>
      </c>
      <c r="E2670" t="s">
        <v>21</v>
      </c>
      <c r="F2670" s="1">
        <v>44682</v>
      </c>
      <c r="G2670">
        <v>6.34</v>
      </c>
      <c r="H2670">
        <v>79.6554</v>
      </c>
      <c r="I2670">
        <v>25.46</v>
      </c>
      <c r="J2670">
        <v>80.17</v>
      </c>
      <c r="K2670" t="s">
        <v>48</v>
      </c>
      <c r="L2670">
        <v>1112.3</v>
      </c>
      <c r="M2670">
        <f>VLOOKUP(K2670,RatingLookup!$A$2:$C$8,2,FALSE)</f>
        <v>5.0000000000000001E-4</v>
      </c>
      <c r="N2670">
        <f t="shared" si="123"/>
        <v>4.167621832917856E-5</v>
      </c>
      <c r="O2670">
        <f>VLOOKUP(K2670,RatingLookup!$A$2:$C$8,3,FALSE)</f>
        <v>0.25</v>
      </c>
      <c r="P2670">
        <f t="shared" si="124"/>
        <v>1.1589114411886328E-2</v>
      </c>
      <c r="Q2670" t="str">
        <f t="shared" ca="1" si="125"/>
        <v>No</v>
      </c>
    </row>
    <row r="2671" spans="1:17" x14ac:dyDescent="0.45">
      <c r="A2671" t="s">
        <v>124</v>
      </c>
      <c r="B2671" t="s">
        <v>125</v>
      </c>
      <c r="C2671" t="s">
        <v>40</v>
      </c>
      <c r="D2671" t="s">
        <v>20</v>
      </c>
      <c r="E2671" t="s">
        <v>21</v>
      </c>
      <c r="F2671" s="1">
        <v>44713</v>
      </c>
      <c r="G2671">
        <v>6.31</v>
      </c>
      <c r="H2671">
        <v>82.211100000000002</v>
      </c>
      <c r="I2671">
        <v>6.72</v>
      </c>
      <c r="J2671">
        <v>84.5</v>
      </c>
      <c r="K2671" t="s">
        <v>48</v>
      </c>
      <c r="L2671">
        <v>1041.74</v>
      </c>
      <c r="M2671">
        <f>VLOOKUP(K2671,RatingLookup!$A$2:$C$8,2,FALSE)</f>
        <v>5.0000000000000001E-4</v>
      </c>
      <c r="N2671">
        <f t="shared" si="123"/>
        <v>4.167621832917856E-5</v>
      </c>
      <c r="O2671">
        <f>VLOOKUP(K2671,RatingLookup!$A$2:$C$8,3,FALSE)</f>
        <v>0.25</v>
      </c>
      <c r="P2671">
        <f t="shared" si="124"/>
        <v>1.0853945920559618E-2</v>
      </c>
      <c r="Q2671" t="str">
        <f t="shared" ca="1" si="125"/>
        <v>No</v>
      </c>
    </row>
    <row r="2672" spans="1:17" x14ac:dyDescent="0.45">
      <c r="A2672" t="s">
        <v>124</v>
      </c>
      <c r="B2672" t="s">
        <v>125</v>
      </c>
      <c r="C2672" t="s">
        <v>40</v>
      </c>
      <c r="D2672" t="s">
        <v>20</v>
      </c>
      <c r="E2672" t="s">
        <v>21</v>
      </c>
      <c r="F2672" s="1">
        <v>44743</v>
      </c>
      <c r="G2672">
        <v>4.8899999999999997</v>
      </c>
      <c r="H2672">
        <v>82.52</v>
      </c>
      <c r="I2672">
        <v>12.65</v>
      </c>
      <c r="J2672">
        <v>77.63</v>
      </c>
      <c r="K2672" t="s">
        <v>48</v>
      </c>
      <c r="L2672">
        <v>1053.81</v>
      </c>
      <c r="M2672">
        <f>VLOOKUP(K2672,RatingLookup!$A$2:$C$8,2,FALSE)</f>
        <v>5.0000000000000001E-4</v>
      </c>
      <c r="N2672">
        <f t="shared" si="123"/>
        <v>4.167621832917856E-5</v>
      </c>
      <c r="O2672">
        <f>VLOOKUP(K2672,RatingLookup!$A$2:$C$8,3,FALSE)</f>
        <v>0.25</v>
      </c>
      <c r="P2672">
        <f t="shared" si="124"/>
        <v>1.0979703909367915E-2</v>
      </c>
      <c r="Q2672" t="str">
        <f t="shared" ca="1" si="125"/>
        <v>No</v>
      </c>
    </row>
    <row r="2673" spans="1:17" x14ac:dyDescent="0.45">
      <c r="A2673" t="s">
        <v>124</v>
      </c>
      <c r="B2673" t="s">
        <v>125</v>
      </c>
      <c r="C2673" t="s">
        <v>40</v>
      </c>
      <c r="D2673" t="s">
        <v>20</v>
      </c>
      <c r="E2673" t="s">
        <v>21</v>
      </c>
      <c r="F2673" s="1">
        <v>44774</v>
      </c>
      <c r="G2673">
        <v>5.89</v>
      </c>
      <c r="H2673">
        <v>84.088499999999996</v>
      </c>
      <c r="I2673">
        <v>18.98</v>
      </c>
      <c r="J2673">
        <v>78.23</v>
      </c>
      <c r="K2673" t="s">
        <v>48</v>
      </c>
      <c r="L2673">
        <v>1041.8800000000001</v>
      </c>
      <c r="M2673">
        <f>VLOOKUP(K2673,RatingLookup!$A$2:$C$8,2,FALSE)</f>
        <v>5.0000000000000001E-4</v>
      </c>
      <c r="N2673">
        <f t="shared" si="123"/>
        <v>4.167621832917856E-5</v>
      </c>
      <c r="O2673">
        <f>VLOOKUP(K2673,RatingLookup!$A$2:$C$8,3,FALSE)</f>
        <v>0.25</v>
      </c>
      <c r="P2673">
        <f t="shared" si="124"/>
        <v>1.0855404588201141E-2</v>
      </c>
      <c r="Q2673" t="str">
        <f t="shared" ca="1" si="125"/>
        <v>No</v>
      </c>
    </row>
    <row r="2674" spans="1:17" x14ac:dyDescent="0.45">
      <c r="A2674" t="s">
        <v>124</v>
      </c>
      <c r="B2674" t="s">
        <v>125</v>
      </c>
      <c r="C2674" t="s">
        <v>40</v>
      </c>
      <c r="D2674" t="s">
        <v>20</v>
      </c>
      <c r="E2674" t="s">
        <v>21</v>
      </c>
      <c r="F2674" s="1">
        <v>44805</v>
      </c>
      <c r="G2674">
        <v>5.8</v>
      </c>
      <c r="H2674">
        <v>86.241799999999998</v>
      </c>
      <c r="I2674">
        <v>8.59</v>
      </c>
      <c r="J2674">
        <v>102.07</v>
      </c>
      <c r="K2674" t="s">
        <v>48</v>
      </c>
      <c r="L2674">
        <v>1074.93</v>
      </c>
      <c r="M2674">
        <f>VLOOKUP(K2674,RatingLookup!$A$2:$C$8,2,FALSE)</f>
        <v>5.0000000000000001E-4</v>
      </c>
      <c r="N2674">
        <f t="shared" si="123"/>
        <v>4.167621832917856E-5</v>
      </c>
      <c r="O2674">
        <f>VLOOKUP(K2674,RatingLookup!$A$2:$C$8,3,FALSE)</f>
        <v>0.25</v>
      </c>
      <c r="P2674">
        <f t="shared" si="124"/>
        <v>1.1199754342145977E-2</v>
      </c>
      <c r="Q2674" t="str">
        <f t="shared" ca="1" si="125"/>
        <v>No</v>
      </c>
    </row>
    <row r="2675" spans="1:17" x14ac:dyDescent="0.45">
      <c r="A2675" t="s">
        <v>124</v>
      </c>
      <c r="B2675" t="s">
        <v>125</v>
      </c>
      <c r="C2675" t="s">
        <v>40</v>
      </c>
      <c r="D2675" t="s">
        <v>20</v>
      </c>
      <c r="E2675" t="s">
        <v>21</v>
      </c>
      <c r="F2675" s="1">
        <v>44835</v>
      </c>
      <c r="G2675">
        <v>5.76</v>
      </c>
      <c r="H2675">
        <v>84.188199999999995</v>
      </c>
      <c r="I2675">
        <v>20.170000000000002</v>
      </c>
      <c r="J2675">
        <v>65.38</v>
      </c>
      <c r="K2675" t="s">
        <v>48</v>
      </c>
      <c r="L2675">
        <v>995.95</v>
      </c>
      <c r="M2675">
        <f>VLOOKUP(K2675,RatingLookup!$A$2:$C$8,2,FALSE)</f>
        <v>5.0000000000000001E-4</v>
      </c>
      <c r="N2675">
        <f t="shared" si="123"/>
        <v>4.167621832917856E-5</v>
      </c>
      <c r="O2675">
        <f>VLOOKUP(K2675,RatingLookup!$A$2:$C$8,3,FALSE)</f>
        <v>0.25</v>
      </c>
      <c r="P2675">
        <f t="shared" si="124"/>
        <v>1.0376857411236347E-2</v>
      </c>
      <c r="Q2675" t="str">
        <f t="shared" ca="1" si="125"/>
        <v>No</v>
      </c>
    </row>
    <row r="2676" spans="1:17" x14ac:dyDescent="0.45">
      <c r="A2676" t="s">
        <v>124</v>
      </c>
      <c r="B2676" t="s">
        <v>125</v>
      </c>
      <c r="C2676" t="s">
        <v>40</v>
      </c>
      <c r="D2676" t="s">
        <v>20</v>
      </c>
      <c r="E2676" t="s">
        <v>21</v>
      </c>
      <c r="F2676" s="1">
        <v>44866</v>
      </c>
      <c r="G2676">
        <v>5.66</v>
      </c>
      <c r="H2676">
        <v>80.12</v>
      </c>
      <c r="I2676">
        <v>23.35</v>
      </c>
      <c r="J2676">
        <v>63.55</v>
      </c>
      <c r="K2676" t="s">
        <v>48</v>
      </c>
      <c r="L2676">
        <v>1093.4000000000001</v>
      </c>
      <c r="M2676">
        <f>VLOOKUP(K2676,RatingLookup!$A$2:$C$8,2,FALSE)</f>
        <v>5.0000000000000001E-4</v>
      </c>
      <c r="N2676">
        <f t="shared" si="123"/>
        <v>4.167621832917856E-5</v>
      </c>
      <c r="O2676">
        <f>VLOOKUP(K2676,RatingLookup!$A$2:$C$8,3,FALSE)</f>
        <v>0.25</v>
      </c>
      <c r="P2676">
        <f t="shared" si="124"/>
        <v>1.1392194280280961E-2</v>
      </c>
      <c r="Q2676" t="str">
        <f t="shared" ca="1" si="125"/>
        <v>No</v>
      </c>
    </row>
    <row r="2677" spans="1:17" x14ac:dyDescent="0.45">
      <c r="A2677" t="s">
        <v>124</v>
      </c>
      <c r="B2677" t="s">
        <v>125</v>
      </c>
      <c r="C2677" t="s">
        <v>40</v>
      </c>
      <c r="D2677" t="s">
        <v>20</v>
      </c>
      <c r="E2677" t="s">
        <v>21</v>
      </c>
      <c r="F2677" s="1">
        <v>44896</v>
      </c>
      <c r="G2677">
        <v>7.34</v>
      </c>
      <c r="H2677">
        <v>81.449399999999997</v>
      </c>
      <c r="I2677">
        <v>11.96</v>
      </c>
      <c r="J2677">
        <v>89.28</v>
      </c>
      <c r="K2677" t="s">
        <v>48</v>
      </c>
      <c r="L2677">
        <v>1051.33</v>
      </c>
      <c r="M2677">
        <f>VLOOKUP(K2677,RatingLookup!$A$2:$C$8,2,FALSE)</f>
        <v>5.0000000000000001E-4</v>
      </c>
      <c r="N2677">
        <f t="shared" si="123"/>
        <v>4.167621832917856E-5</v>
      </c>
      <c r="O2677">
        <f>VLOOKUP(K2677,RatingLookup!$A$2:$C$8,3,FALSE)</f>
        <v>0.25</v>
      </c>
      <c r="P2677">
        <f t="shared" si="124"/>
        <v>1.0953864654003824E-2</v>
      </c>
      <c r="Q2677" t="str">
        <f t="shared" ca="1" si="125"/>
        <v>No</v>
      </c>
    </row>
    <row r="2678" spans="1:17" x14ac:dyDescent="0.45">
      <c r="A2678" t="s">
        <v>124</v>
      </c>
      <c r="B2678" t="s">
        <v>125</v>
      </c>
      <c r="C2678" t="s">
        <v>40</v>
      </c>
      <c r="D2678" t="s">
        <v>20</v>
      </c>
      <c r="E2678" t="s">
        <v>21</v>
      </c>
      <c r="F2678" s="1">
        <v>44927</v>
      </c>
      <c r="G2678">
        <v>4.45</v>
      </c>
      <c r="H2678">
        <v>84.626099999999994</v>
      </c>
      <c r="I2678">
        <v>12.71</v>
      </c>
      <c r="J2678">
        <v>86.94</v>
      </c>
      <c r="K2678" t="s">
        <v>48</v>
      </c>
      <c r="L2678">
        <v>1015.54</v>
      </c>
      <c r="M2678">
        <f>VLOOKUP(K2678,RatingLookup!$A$2:$C$8,2,FALSE)</f>
        <v>5.0000000000000001E-4</v>
      </c>
      <c r="N2678">
        <f t="shared" si="123"/>
        <v>4.167621832917856E-5</v>
      </c>
      <c r="O2678">
        <f>VLOOKUP(K2678,RatingLookup!$A$2:$C$8,3,FALSE)</f>
        <v>0.25</v>
      </c>
      <c r="P2678">
        <f t="shared" si="124"/>
        <v>1.0580966690503499E-2</v>
      </c>
      <c r="Q2678" t="str">
        <f t="shared" ca="1" si="125"/>
        <v>No</v>
      </c>
    </row>
    <row r="2679" spans="1:17" x14ac:dyDescent="0.45">
      <c r="A2679" t="s">
        <v>124</v>
      </c>
      <c r="B2679" t="s">
        <v>125</v>
      </c>
      <c r="C2679" t="s">
        <v>40</v>
      </c>
      <c r="D2679" t="s">
        <v>20</v>
      </c>
      <c r="E2679" t="s">
        <v>21</v>
      </c>
      <c r="F2679" s="1">
        <v>44958</v>
      </c>
      <c r="G2679">
        <v>5.98</v>
      </c>
      <c r="H2679">
        <v>82.096599999999995</v>
      </c>
      <c r="I2679">
        <v>24.44</v>
      </c>
      <c r="J2679">
        <v>70.78</v>
      </c>
      <c r="K2679" t="s">
        <v>48</v>
      </c>
      <c r="L2679">
        <v>1008.05</v>
      </c>
      <c r="M2679">
        <f>VLOOKUP(K2679,RatingLookup!$A$2:$C$8,2,FALSE)</f>
        <v>5.0000000000000001E-4</v>
      </c>
      <c r="N2679">
        <f t="shared" si="123"/>
        <v>4.167621832917856E-5</v>
      </c>
      <c r="O2679">
        <f>VLOOKUP(K2679,RatingLookup!$A$2:$C$8,3,FALSE)</f>
        <v>0.25</v>
      </c>
      <c r="P2679">
        <f t="shared" si="124"/>
        <v>1.0502927971682112E-2</v>
      </c>
      <c r="Q2679" t="str">
        <f t="shared" ca="1" si="125"/>
        <v>No</v>
      </c>
    </row>
    <row r="2680" spans="1:17" x14ac:dyDescent="0.45">
      <c r="A2680" t="s">
        <v>124</v>
      </c>
      <c r="B2680" t="s">
        <v>125</v>
      </c>
      <c r="C2680" t="s">
        <v>40</v>
      </c>
      <c r="D2680" t="s">
        <v>20</v>
      </c>
      <c r="E2680" t="s">
        <v>21</v>
      </c>
      <c r="F2680" s="1">
        <v>44986</v>
      </c>
      <c r="G2680">
        <v>4.8499999999999996</v>
      </c>
      <c r="H2680">
        <v>81.3185</v>
      </c>
      <c r="I2680">
        <v>17.260000000000002</v>
      </c>
      <c r="J2680">
        <v>82.79</v>
      </c>
      <c r="K2680" t="s">
        <v>48</v>
      </c>
      <c r="L2680">
        <v>1026.71</v>
      </c>
      <c r="M2680">
        <f>VLOOKUP(K2680,RatingLookup!$A$2:$C$8,2,FALSE)</f>
        <v>5.0000000000000001E-4</v>
      </c>
      <c r="N2680">
        <f t="shared" si="123"/>
        <v>4.167621832917856E-5</v>
      </c>
      <c r="O2680">
        <f>VLOOKUP(K2680,RatingLookup!$A$2:$C$8,3,FALSE)</f>
        <v>0.25</v>
      </c>
      <c r="P2680">
        <f t="shared" si="124"/>
        <v>1.069734753018773E-2</v>
      </c>
      <c r="Q2680" t="str">
        <f t="shared" ca="1" si="125"/>
        <v>No</v>
      </c>
    </row>
    <row r="2681" spans="1:17" x14ac:dyDescent="0.45">
      <c r="A2681" t="s">
        <v>124</v>
      </c>
      <c r="B2681" t="s">
        <v>125</v>
      </c>
      <c r="C2681" t="s">
        <v>40</v>
      </c>
      <c r="D2681" t="s">
        <v>20</v>
      </c>
      <c r="E2681" t="s">
        <v>21</v>
      </c>
      <c r="F2681" s="1">
        <v>45017</v>
      </c>
      <c r="G2681">
        <v>5.85</v>
      </c>
      <c r="H2681">
        <v>80.910499999999999</v>
      </c>
      <c r="I2681">
        <v>24.71</v>
      </c>
      <c r="J2681">
        <v>86.47</v>
      </c>
      <c r="K2681" t="s">
        <v>48</v>
      </c>
      <c r="L2681">
        <v>1019.13</v>
      </c>
      <c r="M2681">
        <f>VLOOKUP(K2681,RatingLookup!$A$2:$C$8,2,FALSE)</f>
        <v>5.0000000000000001E-4</v>
      </c>
      <c r="N2681">
        <f t="shared" si="123"/>
        <v>4.167621832917856E-5</v>
      </c>
      <c r="O2681">
        <f>VLOOKUP(K2681,RatingLookup!$A$2:$C$8,3,FALSE)</f>
        <v>0.25</v>
      </c>
      <c r="P2681">
        <f t="shared" si="124"/>
        <v>1.0618371096453937E-2</v>
      </c>
      <c r="Q2681" t="str">
        <f t="shared" ca="1" si="125"/>
        <v>No</v>
      </c>
    </row>
    <row r="2682" spans="1:17" x14ac:dyDescent="0.45">
      <c r="A2682" t="s">
        <v>124</v>
      </c>
      <c r="B2682" t="s">
        <v>125</v>
      </c>
      <c r="C2682" t="s">
        <v>40</v>
      </c>
      <c r="D2682" t="s">
        <v>20</v>
      </c>
      <c r="E2682" t="s">
        <v>21</v>
      </c>
      <c r="F2682" s="1">
        <v>45047</v>
      </c>
      <c r="G2682">
        <v>5.6</v>
      </c>
      <c r="H2682">
        <v>80.825800000000001</v>
      </c>
      <c r="I2682">
        <v>20.68</v>
      </c>
      <c r="J2682">
        <v>77.3</v>
      </c>
      <c r="K2682" t="s">
        <v>48</v>
      </c>
      <c r="L2682">
        <v>1011.11</v>
      </c>
      <c r="M2682">
        <f>VLOOKUP(K2682,RatingLookup!$A$2:$C$8,2,FALSE)</f>
        <v>5.0000000000000001E-4</v>
      </c>
      <c r="N2682">
        <f t="shared" si="123"/>
        <v>4.167621832917856E-5</v>
      </c>
      <c r="O2682">
        <f>VLOOKUP(K2682,RatingLookup!$A$2:$C$8,3,FALSE)</f>
        <v>0.25</v>
      </c>
      <c r="P2682">
        <f t="shared" si="124"/>
        <v>1.0534810278703934E-2</v>
      </c>
      <c r="Q2682" t="str">
        <f t="shared" ca="1" si="125"/>
        <v>No</v>
      </c>
    </row>
    <row r="2683" spans="1:17" x14ac:dyDescent="0.45">
      <c r="A2683" t="s">
        <v>124</v>
      </c>
      <c r="B2683" t="s">
        <v>125</v>
      </c>
      <c r="C2683" t="s">
        <v>40</v>
      </c>
      <c r="D2683" t="s">
        <v>20</v>
      </c>
      <c r="E2683" t="s">
        <v>21</v>
      </c>
      <c r="F2683" s="1">
        <v>45078</v>
      </c>
      <c r="G2683">
        <v>4.5599999999999996</v>
      </c>
      <c r="H2683">
        <v>83.530600000000007</v>
      </c>
      <c r="I2683">
        <v>9.44</v>
      </c>
      <c r="J2683">
        <v>76.760000000000005</v>
      </c>
      <c r="K2683" t="s">
        <v>48</v>
      </c>
      <c r="L2683">
        <v>1116.0999999999999</v>
      </c>
      <c r="M2683">
        <f>VLOOKUP(K2683,RatingLookup!$A$2:$C$8,2,FALSE)</f>
        <v>5.0000000000000001E-4</v>
      </c>
      <c r="N2683">
        <f t="shared" si="123"/>
        <v>4.167621832917856E-5</v>
      </c>
      <c r="O2683">
        <f>VLOOKUP(K2683,RatingLookup!$A$2:$C$8,3,FALSE)</f>
        <v>0.25</v>
      </c>
      <c r="P2683">
        <f t="shared" si="124"/>
        <v>1.1628706819299046E-2</v>
      </c>
      <c r="Q2683" t="str">
        <f t="shared" ca="1" si="125"/>
        <v>No</v>
      </c>
    </row>
    <row r="2684" spans="1:17" x14ac:dyDescent="0.45">
      <c r="A2684" t="s">
        <v>124</v>
      </c>
      <c r="B2684" t="s">
        <v>125</v>
      </c>
      <c r="C2684" t="s">
        <v>40</v>
      </c>
      <c r="D2684" t="s">
        <v>20</v>
      </c>
      <c r="E2684" t="s">
        <v>21</v>
      </c>
      <c r="F2684" s="1">
        <v>45108</v>
      </c>
      <c r="G2684">
        <v>6.55</v>
      </c>
      <c r="H2684">
        <v>80.138300000000001</v>
      </c>
      <c r="I2684">
        <v>17.48</v>
      </c>
      <c r="J2684">
        <v>73.05</v>
      </c>
      <c r="K2684" t="s">
        <v>48</v>
      </c>
      <c r="L2684">
        <v>1088.1500000000001</v>
      </c>
      <c r="M2684">
        <f>VLOOKUP(K2684,RatingLookup!$A$2:$C$8,2,FALSE)</f>
        <v>5.0000000000000001E-4</v>
      </c>
      <c r="N2684">
        <f t="shared" si="123"/>
        <v>4.167621832917856E-5</v>
      </c>
      <c r="O2684">
        <f>VLOOKUP(K2684,RatingLookup!$A$2:$C$8,3,FALSE)</f>
        <v>0.25</v>
      </c>
      <c r="P2684">
        <f t="shared" si="124"/>
        <v>1.1337494243723914E-2</v>
      </c>
      <c r="Q2684" t="str">
        <f t="shared" ca="1" si="125"/>
        <v>No</v>
      </c>
    </row>
    <row r="2685" spans="1:17" x14ac:dyDescent="0.45">
      <c r="A2685" t="s">
        <v>124</v>
      </c>
      <c r="B2685" t="s">
        <v>125</v>
      </c>
      <c r="C2685" t="s">
        <v>40</v>
      </c>
      <c r="D2685" t="s">
        <v>20</v>
      </c>
      <c r="E2685" t="s">
        <v>21</v>
      </c>
      <c r="F2685" s="1">
        <v>45139</v>
      </c>
      <c r="G2685">
        <v>5.79</v>
      </c>
      <c r="H2685">
        <v>83.2072</v>
      </c>
      <c r="I2685">
        <v>20.170000000000002</v>
      </c>
      <c r="J2685">
        <v>77.010000000000005</v>
      </c>
      <c r="K2685" t="s">
        <v>48</v>
      </c>
      <c r="L2685">
        <v>1038.5999999999999</v>
      </c>
      <c r="M2685">
        <f>VLOOKUP(K2685,RatingLookup!$A$2:$C$8,2,FALSE)</f>
        <v>5.0000000000000001E-4</v>
      </c>
      <c r="N2685">
        <f t="shared" si="123"/>
        <v>4.167621832917856E-5</v>
      </c>
      <c r="O2685">
        <f>VLOOKUP(K2685,RatingLookup!$A$2:$C$8,3,FALSE)</f>
        <v>0.25</v>
      </c>
      <c r="P2685">
        <f t="shared" si="124"/>
        <v>1.0821230089171211E-2</v>
      </c>
      <c r="Q2685" t="str">
        <f t="shared" ca="1" si="125"/>
        <v>No</v>
      </c>
    </row>
    <row r="2686" spans="1:17" x14ac:dyDescent="0.45">
      <c r="A2686" t="s">
        <v>124</v>
      </c>
      <c r="B2686" t="s">
        <v>125</v>
      </c>
      <c r="C2686" t="s">
        <v>40</v>
      </c>
      <c r="D2686" t="s">
        <v>20</v>
      </c>
      <c r="E2686" t="s">
        <v>21</v>
      </c>
      <c r="F2686" s="1">
        <v>45170</v>
      </c>
      <c r="G2686">
        <v>5.88</v>
      </c>
      <c r="H2686">
        <v>82.894800000000004</v>
      </c>
      <c r="I2686">
        <v>24.74</v>
      </c>
      <c r="J2686">
        <v>77.36</v>
      </c>
      <c r="K2686" t="s">
        <v>48</v>
      </c>
      <c r="L2686">
        <v>1014.03</v>
      </c>
      <c r="M2686">
        <f>VLOOKUP(K2686,RatingLookup!$A$2:$C$8,2,FALSE)</f>
        <v>5.0000000000000001E-4</v>
      </c>
      <c r="N2686">
        <f t="shared" si="123"/>
        <v>4.167621832917856E-5</v>
      </c>
      <c r="O2686">
        <f>VLOOKUP(K2686,RatingLookup!$A$2:$C$8,3,FALSE)</f>
        <v>0.25</v>
      </c>
      <c r="P2686">
        <f t="shared" si="124"/>
        <v>1.0565233918084234E-2</v>
      </c>
      <c r="Q2686" t="str">
        <f t="shared" ca="1" si="125"/>
        <v>No</v>
      </c>
    </row>
    <row r="2687" spans="1:17" x14ac:dyDescent="0.45">
      <c r="A2687" t="s">
        <v>124</v>
      </c>
      <c r="B2687" t="s">
        <v>125</v>
      </c>
      <c r="C2687" t="s">
        <v>40</v>
      </c>
      <c r="D2687" t="s">
        <v>20</v>
      </c>
      <c r="E2687" t="s">
        <v>21</v>
      </c>
      <c r="F2687" s="1">
        <v>45200</v>
      </c>
      <c r="G2687">
        <v>5.71</v>
      </c>
      <c r="H2687">
        <v>81.057299999999998</v>
      </c>
      <c r="I2687">
        <v>13.12</v>
      </c>
      <c r="J2687">
        <v>100.51</v>
      </c>
      <c r="K2687" t="s">
        <v>48</v>
      </c>
      <c r="L2687">
        <v>1122.19</v>
      </c>
      <c r="M2687">
        <f>VLOOKUP(K2687,RatingLookup!$A$2:$C$8,2,FALSE)</f>
        <v>5.0000000000000001E-4</v>
      </c>
      <c r="N2687">
        <f t="shared" si="123"/>
        <v>4.167621832917856E-5</v>
      </c>
      <c r="O2687">
        <f>VLOOKUP(K2687,RatingLookup!$A$2:$C$8,3,FALSE)</f>
        <v>0.25</v>
      </c>
      <c r="P2687">
        <f t="shared" si="124"/>
        <v>1.1692158861705222E-2</v>
      </c>
      <c r="Q2687" t="str">
        <f t="shared" ca="1" si="125"/>
        <v>No</v>
      </c>
    </row>
    <row r="2688" spans="1:17" x14ac:dyDescent="0.45">
      <c r="A2688" t="s">
        <v>124</v>
      </c>
      <c r="B2688" t="s">
        <v>125</v>
      </c>
      <c r="C2688" t="s">
        <v>40</v>
      </c>
      <c r="D2688" t="s">
        <v>20</v>
      </c>
      <c r="E2688" t="s">
        <v>21</v>
      </c>
      <c r="F2688" s="1">
        <v>45231</v>
      </c>
      <c r="G2688">
        <v>5.88</v>
      </c>
      <c r="H2688">
        <v>81.211100000000002</v>
      </c>
      <c r="I2688">
        <v>21.43</v>
      </c>
      <c r="J2688">
        <v>66.69</v>
      </c>
      <c r="K2688" t="s">
        <v>48</v>
      </c>
      <c r="L2688">
        <v>1032.3</v>
      </c>
      <c r="M2688">
        <f>VLOOKUP(K2688,RatingLookup!$A$2:$C$8,2,FALSE)</f>
        <v>5.0000000000000001E-4</v>
      </c>
      <c r="N2688">
        <f t="shared" si="123"/>
        <v>4.167621832917856E-5</v>
      </c>
      <c r="O2688">
        <f>VLOOKUP(K2688,RatingLookup!$A$2:$C$8,3,FALSE)</f>
        <v>0.25</v>
      </c>
      <c r="P2688">
        <f t="shared" si="124"/>
        <v>1.0755590045302757E-2</v>
      </c>
      <c r="Q2688" t="str">
        <f t="shared" ca="1" si="125"/>
        <v>No</v>
      </c>
    </row>
    <row r="2689" spans="1:17" x14ac:dyDescent="0.45">
      <c r="A2689" t="s">
        <v>124</v>
      </c>
      <c r="B2689" t="s">
        <v>125</v>
      </c>
      <c r="C2689" t="s">
        <v>40</v>
      </c>
      <c r="D2689" t="s">
        <v>20</v>
      </c>
      <c r="E2689" t="s">
        <v>21</v>
      </c>
      <c r="F2689" s="1">
        <v>45261</v>
      </c>
      <c r="G2689">
        <v>4.8</v>
      </c>
      <c r="H2689">
        <v>84.6798</v>
      </c>
      <c r="I2689">
        <v>29.66</v>
      </c>
      <c r="J2689">
        <v>89.46</v>
      </c>
      <c r="K2689" t="s">
        <v>48</v>
      </c>
      <c r="L2689">
        <v>1101.1099999999999</v>
      </c>
      <c r="M2689">
        <f>VLOOKUP(K2689,RatingLookup!$A$2:$C$8,2,FALSE)</f>
        <v>5.0000000000000001E-4</v>
      </c>
      <c r="N2689">
        <f t="shared" si="123"/>
        <v>4.167621832917856E-5</v>
      </c>
      <c r="O2689">
        <f>VLOOKUP(K2689,RatingLookup!$A$2:$C$8,3,FALSE)</f>
        <v>0.25</v>
      </c>
      <c r="P2689">
        <f t="shared" si="124"/>
        <v>1.1472525191110449E-2</v>
      </c>
      <c r="Q2689" t="str">
        <f t="shared" ca="1" si="125"/>
        <v>No</v>
      </c>
    </row>
    <row r="2690" spans="1:17" x14ac:dyDescent="0.45">
      <c r="A2690" t="s">
        <v>124</v>
      </c>
      <c r="B2690" t="s">
        <v>125</v>
      </c>
      <c r="C2690" t="s">
        <v>40</v>
      </c>
      <c r="D2690" t="s">
        <v>20</v>
      </c>
      <c r="E2690" t="s">
        <v>21</v>
      </c>
      <c r="F2690" s="1">
        <v>45292</v>
      </c>
      <c r="G2690">
        <v>4.8600000000000003</v>
      </c>
      <c r="H2690">
        <v>79.712100000000007</v>
      </c>
      <c r="I2690">
        <v>10.24</v>
      </c>
      <c r="J2690">
        <v>67.599999999999994</v>
      </c>
      <c r="K2690" t="s">
        <v>48</v>
      </c>
      <c r="L2690">
        <v>1099.24</v>
      </c>
      <c r="M2690">
        <f>VLOOKUP(K2690,RatingLookup!$A$2:$C$8,2,FALSE)</f>
        <v>5.0000000000000001E-4</v>
      </c>
      <c r="N2690">
        <f t="shared" ref="N2690:N2753" si="126">1-(1-M2690)^(1/12)</f>
        <v>4.167621832917856E-5</v>
      </c>
      <c r="O2690">
        <f>VLOOKUP(K2690,RatingLookup!$A$2:$C$8,3,FALSE)</f>
        <v>0.25</v>
      </c>
      <c r="P2690">
        <f t="shared" ref="P2690:P2753" si="127">L2690*N2690*O2690</f>
        <v>1.145304155904156E-2</v>
      </c>
      <c r="Q2690" t="str">
        <f t="shared" ref="Q2690:Q2753" ca="1" si="128">IF(RAND()&lt;N2690,"Yes","No")</f>
        <v>No</v>
      </c>
    </row>
    <row r="2691" spans="1:17" x14ac:dyDescent="0.45">
      <c r="A2691" t="s">
        <v>124</v>
      </c>
      <c r="B2691" t="s">
        <v>125</v>
      </c>
      <c r="C2691" t="s">
        <v>40</v>
      </c>
      <c r="D2691" t="s">
        <v>20</v>
      </c>
      <c r="E2691" t="s">
        <v>21</v>
      </c>
      <c r="F2691" s="1">
        <v>45323</v>
      </c>
      <c r="G2691">
        <v>5.98</v>
      </c>
      <c r="H2691">
        <v>80.726200000000006</v>
      </c>
      <c r="I2691">
        <v>20.74</v>
      </c>
      <c r="J2691">
        <v>91.32</v>
      </c>
      <c r="K2691" t="s">
        <v>48</v>
      </c>
      <c r="L2691">
        <v>1055.55</v>
      </c>
      <c r="M2691">
        <f>VLOOKUP(K2691,RatingLookup!$A$2:$C$8,2,FALSE)</f>
        <v>5.0000000000000001E-4</v>
      </c>
      <c r="N2691">
        <f t="shared" si="126"/>
        <v>4.167621832917856E-5</v>
      </c>
      <c r="O2691">
        <f>VLOOKUP(K2691,RatingLookup!$A$2:$C$8,3,FALSE)</f>
        <v>0.25</v>
      </c>
      <c r="P2691">
        <f t="shared" si="127"/>
        <v>1.0997833064341107E-2</v>
      </c>
      <c r="Q2691" t="str">
        <f t="shared" ca="1" si="128"/>
        <v>No</v>
      </c>
    </row>
    <row r="2692" spans="1:17" x14ac:dyDescent="0.45">
      <c r="A2692" t="s">
        <v>124</v>
      </c>
      <c r="B2692" t="s">
        <v>125</v>
      </c>
      <c r="C2692" t="s">
        <v>40</v>
      </c>
      <c r="D2692" t="s">
        <v>20</v>
      </c>
      <c r="E2692" t="s">
        <v>21</v>
      </c>
      <c r="F2692" s="1">
        <v>45352</v>
      </c>
      <c r="G2692">
        <v>5.15</v>
      </c>
      <c r="H2692">
        <v>80.743300000000005</v>
      </c>
      <c r="I2692">
        <v>18.73</v>
      </c>
      <c r="J2692">
        <v>68.739999999999995</v>
      </c>
      <c r="K2692" t="s">
        <v>82</v>
      </c>
      <c r="L2692">
        <v>1059.3800000000001</v>
      </c>
      <c r="M2692">
        <f>VLOOKUP(K2692,RatingLookup!$A$2:$C$8,2,FALSE)</f>
        <v>1E-4</v>
      </c>
      <c r="N2692">
        <f t="shared" si="126"/>
        <v>8.3337153021778576E-6</v>
      </c>
      <c r="O2692">
        <f>VLOOKUP(K2692,RatingLookup!$A$2:$C$8,3,FALSE)</f>
        <v>0.2</v>
      </c>
      <c r="P2692">
        <f t="shared" si="127"/>
        <v>1.7657142633642358E-3</v>
      </c>
      <c r="Q2692" t="str">
        <f t="shared" ca="1" si="128"/>
        <v>No</v>
      </c>
    </row>
    <row r="2693" spans="1:17" x14ac:dyDescent="0.45">
      <c r="A2693" t="s">
        <v>124</v>
      </c>
      <c r="B2693" t="s">
        <v>125</v>
      </c>
      <c r="C2693" t="s">
        <v>40</v>
      </c>
      <c r="D2693" t="s">
        <v>20</v>
      </c>
      <c r="E2693" t="s">
        <v>21</v>
      </c>
      <c r="F2693" s="1">
        <v>45383</v>
      </c>
      <c r="G2693">
        <v>6.09</v>
      </c>
      <c r="H2693">
        <v>85.509799999999998</v>
      </c>
      <c r="I2693">
        <v>17.46</v>
      </c>
      <c r="J2693">
        <v>80.430000000000007</v>
      </c>
      <c r="K2693" t="s">
        <v>82</v>
      </c>
      <c r="L2693">
        <v>1041.31</v>
      </c>
      <c r="M2693">
        <f>VLOOKUP(K2693,RatingLookup!$A$2:$C$8,2,FALSE)</f>
        <v>1E-4</v>
      </c>
      <c r="N2693">
        <f t="shared" si="126"/>
        <v>8.3337153021778576E-6</v>
      </c>
      <c r="O2693">
        <f>VLOOKUP(K2693,RatingLookup!$A$2:$C$8,3,FALSE)</f>
        <v>0.2</v>
      </c>
      <c r="P2693">
        <f t="shared" si="127"/>
        <v>1.7355962162621649E-3</v>
      </c>
      <c r="Q2693" t="str">
        <f t="shared" ca="1" si="128"/>
        <v>No</v>
      </c>
    </row>
    <row r="2694" spans="1:17" x14ac:dyDescent="0.45">
      <c r="A2694" t="s">
        <v>124</v>
      </c>
      <c r="B2694" t="s">
        <v>125</v>
      </c>
      <c r="C2694" t="s">
        <v>40</v>
      </c>
      <c r="D2694" t="s">
        <v>20</v>
      </c>
      <c r="E2694" t="s">
        <v>21</v>
      </c>
      <c r="F2694" s="1">
        <v>45413</v>
      </c>
      <c r="G2694">
        <v>5.31</v>
      </c>
      <c r="H2694">
        <v>85.085300000000004</v>
      </c>
      <c r="I2694">
        <v>23.39</v>
      </c>
      <c r="J2694">
        <v>84.13</v>
      </c>
      <c r="K2694" t="s">
        <v>82</v>
      </c>
      <c r="L2694">
        <v>1101.02</v>
      </c>
      <c r="M2694">
        <f>VLOOKUP(K2694,RatingLookup!$A$2:$C$8,2,FALSE)</f>
        <v>1E-4</v>
      </c>
      <c r="N2694">
        <f t="shared" si="126"/>
        <v>8.3337153021778576E-6</v>
      </c>
      <c r="O2694">
        <f>VLOOKUP(K2694,RatingLookup!$A$2:$C$8,3,FALSE)</f>
        <v>0.2</v>
      </c>
      <c r="P2694">
        <f t="shared" si="127"/>
        <v>1.8351174444007729E-3</v>
      </c>
      <c r="Q2694" t="str">
        <f t="shared" ca="1" si="128"/>
        <v>No</v>
      </c>
    </row>
    <row r="2695" spans="1:17" x14ac:dyDescent="0.45">
      <c r="A2695" t="s">
        <v>124</v>
      </c>
      <c r="B2695" t="s">
        <v>125</v>
      </c>
      <c r="C2695" t="s">
        <v>40</v>
      </c>
      <c r="D2695" t="s">
        <v>20</v>
      </c>
      <c r="E2695" t="s">
        <v>21</v>
      </c>
      <c r="F2695" s="1">
        <v>45444</v>
      </c>
      <c r="G2695">
        <v>5.62</v>
      </c>
      <c r="H2695">
        <v>79.992800000000003</v>
      </c>
      <c r="I2695">
        <v>25.44</v>
      </c>
      <c r="J2695">
        <v>71.37</v>
      </c>
      <c r="K2695" t="s">
        <v>82</v>
      </c>
      <c r="L2695">
        <v>1064.21</v>
      </c>
      <c r="M2695">
        <f>VLOOKUP(K2695,RatingLookup!$A$2:$C$8,2,FALSE)</f>
        <v>1E-4</v>
      </c>
      <c r="N2695">
        <f t="shared" si="126"/>
        <v>8.3337153021778576E-6</v>
      </c>
      <c r="O2695">
        <f>VLOOKUP(K2695,RatingLookup!$A$2:$C$8,3,FALSE)</f>
        <v>0.2</v>
      </c>
      <c r="P2695">
        <f t="shared" si="127"/>
        <v>1.7737646323461396E-3</v>
      </c>
      <c r="Q2695" t="str">
        <f t="shared" ca="1" si="128"/>
        <v>No</v>
      </c>
    </row>
    <row r="2696" spans="1:17" x14ac:dyDescent="0.45">
      <c r="A2696" t="s">
        <v>124</v>
      </c>
      <c r="B2696" t="s">
        <v>125</v>
      </c>
      <c r="C2696" t="s">
        <v>40</v>
      </c>
      <c r="D2696" t="s">
        <v>20</v>
      </c>
      <c r="E2696" t="s">
        <v>21</v>
      </c>
      <c r="F2696" s="1">
        <v>45474</v>
      </c>
      <c r="G2696">
        <v>5.87</v>
      </c>
      <c r="H2696">
        <v>80.099699999999999</v>
      </c>
      <c r="I2696">
        <v>22.65</v>
      </c>
      <c r="J2696">
        <v>92.43</v>
      </c>
      <c r="K2696" t="s">
        <v>82</v>
      </c>
      <c r="L2696">
        <v>1032.26</v>
      </c>
      <c r="M2696">
        <f>VLOOKUP(K2696,RatingLookup!$A$2:$C$8,2,FALSE)</f>
        <v>1E-4</v>
      </c>
      <c r="N2696">
        <f t="shared" si="126"/>
        <v>8.3337153021778576E-6</v>
      </c>
      <c r="O2696">
        <f>VLOOKUP(K2696,RatingLookup!$A$2:$C$8,3,FALSE)</f>
        <v>0.2</v>
      </c>
      <c r="P2696">
        <f t="shared" si="127"/>
        <v>1.7205121915652233E-3</v>
      </c>
      <c r="Q2696" t="str">
        <f t="shared" ca="1" si="128"/>
        <v>No</v>
      </c>
    </row>
    <row r="2697" spans="1:17" x14ac:dyDescent="0.45">
      <c r="A2697" t="s">
        <v>124</v>
      </c>
      <c r="B2697" t="s">
        <v>125</v>
      </c>
      <c r="C2697" t="s">
        <v>40</v>
      </c>
      <c r="D2697" t="s">
        <v>20</v>
      </c>
      <c r="E2697" t="s">
        <v>21</v>
      </c>
      <c r="F2697" s="1">
        <v>45505</v>
      </c>
      <c r="G2697">
        <v>4.9800000000000004</v>
      </c>
      <c r="H2697">
        <v>77.656899999999993</v>
      </c>
      <c r="I2697">
        <v>18.95</v>
      </c>
      <c r="J2697">
        <v>83.85</v>
      </c>
      <c r="K2697" t="s">
        <v>82</v>
      </c>
      <c r="L2697">
        <v>1055.05</v>
      </c>
      <c r="M2697">
        <f>VLOOKUP(K2697,RatingLookup!$A$2:$C$8,2,FALSE)</f>
        <v>1E-4</v>
      </c>
      <c r="N2697">
        <f t="shared" si="126"/>
        <v>8.3337153021778576E-6</v>
      </c>
      <c r="O2697">
        <f>VLOOKUP(K2697,RatingLookup!$A$2:$C$8,3,FALSE)</f>
        <v>0.2</v>
      </c>
      <c r="P2697">
        <f t="shared" si="127"/>
        <v>1.7584972659125499E-3</v>
      </c>
      <c r="Q2697" t="str">
        <f t="shared" ca="1" si="128"/>
        <v>No</v>
      </c>
    </row>
    <row r="2698" spans="1:17" x14ac:dyDescent="0.45">
      <c r="A2698" t="s">
        <v>124</v>
      </c>
      <c r="B2698" t="s">
        <v>125</v>
      </c>
      <c r="C2698" t="s">
        <v>40</v>
      </c>
      <c r="D2698" t="s">
        <v>20</v>
      </c>
      <c r="E2698" t="s">
        <v>21</v>
      </c>
      <c r="F2698" s="1">
        <v>45536</v>
      </c>
      <c r="G2698">
        <v>5.29</v>
      </c>
      <c r="H2698">
        <v>82.553399999999996</v>
      </c>
      <c r="I2698">
        <v>19</v>
      </c>
      <c r="J2698">
        <v>77.459999999999994</v>
      </c>
      <c r="K2698" t="s">
        <v>82</v>
      </c>
      <c r="L2698">
        <v>1057.29</v>
      </c>
      <c r="M2698">
        <f>VLOOKUP(K2698,RatingLookup!$A$2:$C$8,2,FALSE)</f>
        <v>1E-4</v>
      </c>
      <c r="N2698">
        <f t="shared" si="126"/>
        <v>8.3337153021778576E-6</v>
      </c>
      <c r="O2698">
        <f>VLOOKUP(K2698,RatingLookup!$A$2:$C$8,3,FALSE)</f>
        <v>0.2</v>
      </c>
      <c r="P2698">
        <f t="shared" si="127"/>
        <v>1.7622307703679255E-3</v>
      </c>
      <c r="Q2698" t="str">
        <f t="shared" ca="1" si="128"/>
        <v>No</v>
      </c>
    </row>
    <row r="2699" spans="1:17" x14ac:dyDescent="0.45">
      <c r="A2699" t="s">
        <v>124</v>
      </c>
      <c r="B2699" t="s">
        <v>125</v>
      </c>
      <c r="C2699" t="s">
        <v>40</v>
      </c>
      <c r="D2699" t="s">
        <v>20</v>
      </c>
      <c r="E2699" t="s">
        <v>21</v>
      </c>
      <c r="F2699" s="1">
        <v>45566</v>
      </c>
      <c r="G2699">
        <v>6.53</v>
      </c>
      <c r="H2699">
        <v>86.600800000000007</v>
      </c>
      <c r="I2699">
        <v>25.65</v>
      </c>
      <c r="J2699">
        <v>86.94</v>
      </c>
      <c r="K2699" t="s">
        <v>82</v>
      </c>
      <c r="L2699">
        <v>1043.2</v>
      </c>
      <c r="M2699">
        <f>VLOOKUP(K2699,RatingLookup!$A$2:$C$8,2,FALSE)</f>
        <v>1E-4</v>
      </c>
      <c r="N2699">
        <f t="shared" si="126"/>
        <v>8.3337153021778576E-6</v>
      </c>
      <c r="O2699">
        <f>VLOOKUP(K2699,RatingLookup!$A$2:$C$8,3,FALSE)</f>
        <v>0.2</v>
      </c>
      <c r="P2699">
        <f t="shared" si="127"/>
        <v>1.7387463606463882E-3</v>
      </c>
      <c r="Q2699" t="str">
        <f t="shared" ca="1" si="128"/>
        <v>No</v>
      </c>
    </row>
    <row r="2700" spans="1:17" x14ac:dyDescent="0.45">
      <c r="A2700" t="s">
        <v>124</v>
      </c>
      <c r="B2700" t="s">
        <v>125</v>
      </c>
      <c r="C2700" t="s">
        <v>40</v>
      </c>
      <c r="D2700" t="s">
        <v>20</v>
      </c>
      <c r="E2700" t="s">
        <v>21</v>
      </c>
      <c r="F2700" s="1">
        <v>45597</v>
      </c>
      <c r="G2700">
        <v>4.43</v>
      </c>
      <c r="H2700">
        <v>84.1173</v>
      </c>
      <c r="I2700">
        <v>17.02</v>
      </c>
      <c r="J2700">
        <v>56.03</v>
      </c>
      <c r="K2700" t="s">
        <v>82</v>
      </c>
      <c r="L2700">
        <v>1069.42</v>
      </c>
      <c r="M2700">
        <f>VLOOKUP(K2700,RatingLookup!$A$2:$C$8,2,FALSE)</f>
        <v>1E-4</v>
      </c>
      <c r="N2700">
        <f t="shared" si="126"/>
        <v>8.3337153021778576E-6</v>
      </c>
      <c r="O2700">
        <f>VLOOKUP(K2700,RatingLookup!$A$2:$C$8,3,FALSE)</f>
        <v>0.2</v>
      </c>
      <c r="P2700">
        <f t="shared" si="127"/>
        <v>1.782448363691009E-3</v>
      </c>
      <c r="Q2700" t="str">
        <f t="shared" ca="1" si="128"/>
        <v>No</v>
      </c>
    </row>
    <row r="2701" spans="1:17" x14ac:dyDescent="0.45">
      <c r="A2701" t="s">
        <v>124</v>
      </c>
      <c r="B2701" t="s">
        <v>125</v>
      </c>
      <c r="C2701" t="s">
        <v>40</v>
      </c>
      <c r="D2701" t="s">
        <v>20</v>
      </c>
      <c r="E2701" t="s">
        <v>21</v>
      </c>
      <c r="F2701" s="1">
        <v>45627</v>
      </c>
      <c r="G2701">
        <v>5.55</v>
      </c>
      <c r="H2701">
        <v>82.005600000000001</v>
      </c>
      <c r="I2701">
        <v>18.350000000000001</v>
      </c>
      <c r="J2701">
        <v>93.98</v>
      </c>
      <c r="K2701" t="s">
        <v>82</v>
      </c>
      <c r="L2701">
        <v>1131.43</v>
      </c>
      <c r="M2701">
        <f>VLOOKUP(K2701,RatingLookup!$A$2:$C$8,2,FALSE)</f>
        <v>1E-4</v>
      </c>
      <c r="N2701">
        <f t="shared" si="126"/>
        <v>8.3337153021778576E-6</v>
      </c>
      <c r="O2701">
        <f>VLOOKUP(K2701,RatingLookup!$A$2:$C$8,3,FALSE)</f>
        <v>0.2</v>
      </c>
      <c r="P2701">
        <f t="shared" si="127"/>
        <v>1.8858031008686189E-3</v>
      </c>
      <c r="Q2701" t="str">
        <f t="shared" ca="1" si="128"/>
        <v>No</v>
      </c>
    </row>
    <row r="2702" spans="1:17" x14ac:dyDescent="0.45">
      <c r="A2702" t="s">
        <v>126</v>
      </c>
      <c r="B2702" t="s">
        <v>127</v>
      </c>
      <c r="C2702" t="s">
        <v>35</v>
      </c>
      <c r="D2702" t="s">
        <v>20</v>
      </c>
      <c r="E2702" t="s">
        <v>21</v>
      </c>
      <c r="F2702" s="1">
        <v>43831</v>
      </c>
      <c r="G2702">
        <v>6.02</v>
      </c>
      <c r="H2702">
        <v>79.656099999999995</v>
      </c>
      <c r="I2702">
        <v>19.98</v>
      </c>
      <c r="J2702">
        <v>76.56</v>
      </c>
      <c r="K2702" t="s">
        <v>22</v>
      </c>
      <c r="L2702">
        <v>1203.6500000000001</v>
      </c>
      <c r="M2702">
        <f>VLOOKUP(K2702,RatingLookup!$A$2:$C$8,2,FALSE)</f>
        <v>5.0000000000000001E-3</v>
      </c>
      <c r="N2702">
        <f t="shared" si="126"/>
        <v>4.1762458919303302E-4</v>
      </c>
      <c r="O2702">
        <f>VLOOKUP(K2702,RatingLookup!$A$2:$C$8,3,FALSE)</f>
        <v>0.45</v>
      </c>
      <c r="P2702">
        <f t="shared" si="127"/>
        <v>0.22620322655198741</v>
      </c>
      <c r="Q2702" t="str">
        <f t="shared" ca="1" si="128"/>
        <v>No</v>
      </c>
    </row>
    <row r="2703" spans="1:17" x14ac:dyDescent="0.45">
      <c r="A2703" t="s">
        <v>126</v>
      </c>
      <c r="B2703" t="s">
        <v>127</v>
      </c>
      <c r="C2703" t="s">
        <v>35</v>
      </c>
      <c r="D2703" t="s">
        <v>20</v>
      </c>
      <c r="E2703" t="s">
        <v>21</v>
      </c>
      <c r="F2703" s="1">
        <v>43862</v>
      </c>
      <c r="G2703">
        <v>4.93</v>
      </c>
      <c r="H2703">
        <v>82.850099999999998</v>
      </c>
      <c r="I2703">
        <v>13.07</v>
      </c>
      <c r="J2703">
        <v>69.650000000000006</v>
      </c>
      <c r="K2703" t="s">
        <v>22</v>
      </c>
      <c r="L2703">
        <v>1173.6400000000001</v>
      </c>
      <c r="M2703">
        <f>VLOOKUP(K2703,RatingLookup!$A$2:$C$8,2,FALSE)</f>
        <v>5.0000000000000001E-3</v>
      </c>
      <c r="N2703">
        <f t="shared" si="126"/>
        <v>4.1762458919303302E-4</v>
      </c>
      <c r="O2703">
        <f>VLOOKUP(K2703,RatingLookup!$A$2:$C$8,3,FALSE)</f>
        <v>0.45</v>
      </c>
      <c r="P2703">
        <f t="shared" si="127"/>
        <v>0.22056341528723009</v>
      </c>
      <c r="Q2703" t="str">
        <f t="shared" ca="1" si="128"/>
        <v>No</v>
      </c>
    </row>
    <row r="2704" spans="1:17" x14ac:dyDescent="0.45">
      <c r="A2704" t="s">
        <v>126</v>
      </c>
      <c r="B2704" t="s">
        <v>127</v>
      </c>
      <c r="C2704" t="s">
        <v>35</v>
      </c>
      <c r="D2704" t="s">
        <v>20</v>
      </c>
      <c r="E2704" t="s">
        <v>21</v>
      </c>
      <c r="F2704" s="1">
        <v>43891</v>
      </c>
      <c r="G2704">
        <v>6.12</v>
      </c>
      <c r="H2704">
        <v>80.4315</v>
      </c>
      <c r="I2704">
        <v>9.64</v>
      </c>
      <c r="J2704">
        <v>64.11</v>
      </c>
      <c r="K2704" t="s">
        <v>22</v>
      </c>
      <c r="L2704">
        <v>1162.4000000000001</v>
      </c>
      <c r="M2704">
        <f>VLOOKUP(K2704,RatingLookup!$A$2:$C$8,2,FALSE)</f>
        <v>5.0000000000000001E-3</v>
      </c>
      <c r="N2704">
        <f t="shared" si="126"/>
        <v>4.1762458919303302E-4</v>
      </c>
      <c r="O2704">
        <f>VLOOKUP(K2704,RatingLookup!$A$2:$C$8,3,FALSE)</f>
        <v>0.45</v>
      </c>
      <c r="P2704">
        <f t="shared" si="127"/>
        <v>0.21845107011509171</v>
      </c>
      <c r="Q2704" t="str">
        <f t="shared" ca="1" si="128"/>
        <v>No</v>
      </c>
    </row>
    <row r="2705" spans="1:17" x14ac:dyDescent="0.45">
      <c r="A2705" t="s">
        <v>126</v>
      </c>
      <c r="B2705" t="s">
        <v>127</v>
      </c>
      <c r="C2705" t="s">
        <v>35</v>
      </c>
      <c r="D2705" t="s">
        <v>20</v>
      </c>
      <c r="E2705" t="s">
        <v>21</v>
      </c>
      <c r="F2705" s="1">
        <v>43922</v>
      </c>
      <c r="G2705">
        <v>6.45</v>
      </c>
      <c r="H2705">
        <v>81.099500000000006</v>
      </c>
      <c r="I2705">
        <v>19.18</v>
      </c>
      <c r="J2705">
        <v>73.23</v>
      </c>
      <c r="K2705" t="s">
        <v>22</v>
      </c>
      <c r="L2705">
        <v>1203.79</v>
      </c>
      <c r="M2705">
        <f>VLOOKUP(K2705,RatingLookup!$A$2:$C$8,2,FALSE)</f>
        <v>5.0000000000000001E-3</v>
      </c>
      <c r="N2705">
        <f t="shared" si="126"/>
        <v>4.1762458919303302E-4</v>
      </c>
      <c r="O2705">
        <f>VLOOKUP(K2705,RatingLookup!$A$2:$C$8,3,FALSE)</f>
        <v>0.45</v>
      </c>
      <c r="P2705">
        <f t="shared" si="127"/>
        <v>0.22622953690110653</v>
      </c>
      <c r="Q2705" t="str">
        <f t="shared" ca="1" si="128"/>
        <v>No</v>
      </c>
    </row>
    <row r="2706" spans="1:17" x14ac:dyDescent="0.45">
      <c r="A2706" t="s">
        <v>126</v>
      </c>
      <c r="B2706" t="s">
        <v>127</v>
      </c>
      <c r="C2706" t="s">
        <v>35</v>
      </c>
      <c r="D2706" t="s">
        <v>20</v>
      </c>
      <c r="E2706" t="s">
        <v>21</v>
      </c>
      <c r="F2706" s="1">
        <v>43952</v>
      </c>
      <c r="G2706">
        <v>5.59</v>
      </c>
      <c r="H2706">
        <v>83.069800000000001</v>
      </c>
      <c r="I2706">
        <v>10.01</v>
      </c>
      <c r="J2706">
        <v>70.64</v>
      </c>
      <c r="K2706" t="s">
        <v>22</v>
      </c>
      <c r="L2706">
        <v>1207.45</v>
      </c>
      <c r="M2706">
        <f>VLOOKUP(K2706,RatingLookup!$A$2:$C$8,2,FALSE)</f>
        <v>5.0000000000000001E-3</v>
      </c>
      <c r="N2706">
        <f t="shared" si="126"/>
        <v>4.1762458919303302E-4</v>
      </c>
      <c r="O2706">
        <f>VLOOKUP(K2706,RatingLookup!$A$2:$C$8,3,FALSE)</f>
        <v>0.45</v>
      </c>
      <c r="P2706">
        <f t="shared" si="127"/>
        <v>0.22691736459950751</v>
      </c>
      <c r="Q2706" t="str">
        <f t="shared" ca="1" si="128"/>
        <v>No</v>
      </c>
    </row>
    <row r="2707" spans="1:17" x14ac:dyDescent="0.45">
      <c r="A2707" t="s">
        <v>126</v>
      </c>
      <c r="B2707" t="s">
        <v>127</v>
      </c>
      <c r="C2707" t="s">
        <v>35</v>
      </c>
      <c r="D2707" t="s">
        <v>20</v>
      </c>
      <c r="E2707" t="s">
        <v>21</v>
      </c>
      <c r="F2707" s="1">
        <v>43983</v>
      </c>
      <c r="G2707">
        <v>5.64</v>
      </c>
      <c r="H2707">
        <v>77.132000000000005</v>
      </c>
      <c r="I2707">
        <v>15.3</v>
      </c>
      <c r="J2707">
        <v>48.88</v>
      </c>
      <c r="K2707" t="s">
        <v>22</v>
      </c>
      <c r="L2707">
        <v>1215.3800000000001</v>
      </c>
      <c r="M2707">
        <f>VLOOKUP(K2707,RatingLookup!$A$2:$C$8,2,FALSE)</f>
        <v>5.0000000000000001E-3</v>
      </c>
      <c r="N2707">
        <f t="shared" si="126"/>
        <v>4.1762458919303302E-4</v>
      </c>
      <c r="O2707">
        <f>VLOOKUP(K2707,RatingLookup!$A$2:$C$8,3,FALSE)</f>
        <v>0.45</v>
      </c>
      <c r="P2707">
        <f t="shared" si="127"/>
        <v>0.22840765794604284</v>
      </c>
      <c r="Q2707" t="str">
        <f t="shared" ca="1" si="128"/>
        <v>No</v>
      </c>
    </row>
    <row r="2708" spans="1:17" x14ac:dyDescent="0.45">
      <c r="A2708" t="s">
        <v>126</v>
      </c>
      <c r="B2708" t="s">
        <v>127</v>
      </c>
      <c r="C2708" t="s">
        <v>35</v>
      </c>
      <c r="D2708" t="s">
        <v>20</v>
      </c>
      <c r="E2708" t="s">
        <v>21</v>
      </c>
      <c r="F2708" s="1">
        <v>44013</v>
      </c>
      <c r="G2708">
        <v>5.83</v>
      </c>
      <c r="H2708">
        <v>84.719800000000006</v>
      </c>
      <c r="I2708">
        <v>5</v>
      </c>
      <c r="J2708">
        <v>55.18</v>
      </c>
      <c r="K2708" t="s">
        <v>22</v>
      </c>
      <c r="L2708">
        <v>1131.6400000000001</v>
      </c>
      <c r="M2708">
        <f>VLOOKUP(K2708,RatingLookup!$A$2:$C$8,2,FALSE)</f>
        <v>5.0000000000000001E-3</v>
      </c>
      <c r="N2708">
        <f t="shared" si="126"/>
        <v>4.1762458919303302E-4</v>
      </c>
      <c r="O2708">
        <f>VLOOKUP(K2708,RatingLookup!$A$2:$C$8,3,FALSE)</f>
        <v>0.45</v>
      </c>
      <c r="P2708">
        <f t="shared" si="127"/>
        <v>0.21267031055148178</v>
      </c>
      <c r="Q2708" t="str">
        <f t="shared" ca="1" si="128"/>
        <v>No</v>
      </c>
    </row>
    <row r="2709" spans="1:17" x14ac:dyDescent="0.45">
      <c r="A2709" t="s">
        <v>126</v>
      </c>
      <c r="B2709" t="s">
        <v>127</v>
      </c>
      <c r="C2709" t="s">
        <v>35</v>
      </c>
      <c r="D2709" t="s">
        <v>20</v>
      </c>
      <c r="E2709" t="s">
        <v>21</v>
      </c>
      <c r="F2709" s="1">
        <v>44044</v>
      </c>
      <c r="G2709">
        <v>5.32</v>
      </c>
      <c r="H2709">
        <v>76.888000000000005</v>
      </c>
      <c r="I2709">
        <v>20.56</v>
      </c>
      <c r="J2709">
        <v>71.12</v>
      </c>
      <c r="K2709" t="s">
        <v>23</v>
      </c>
      <c r="L2709">
        <v>1168.96</v>
      </c>
      <c r="M2709">
        <f>VLOOKUP(K2709,RatingLookup!$A$2:$C$8,2,FALSE)</f>
        <v>1E-3</v>
      </c>
      <c r="N2709">
        <f t="shared" si="126"/>
        <v>8.3371552197619714E-5</v>
      </c>
      <c r="O2709">
        <f>VLOOKUP(K2709,RatingLookup!$A$2:$C$8,3,FALSE)</f>
        <v>0.3</v>
      </c>
      <c r="P2709">
        <f t="shared" si="127"/>
        <v>2.9237402897078858E-2</v>
      </c>
      <c r="Q2709" t="str">
        <f t="shared" ca="1" si="128"/>
        <v>No</v>
      </c>
    </row>
    <row r="2710" spans="1:17" x14ac:dyDescent="0.45">
      <c r="A2710" t="s">
        <v>126</v>
      </c>
      <c r="B2710" t="s">
        <v>127</v>
      </c>
      <c r="C2710" t="s">
        <v>35</v>
      </c>
      <c r="D2710" t="s">
        <v>20</v>
      </c>
      <c r="E2710" t="s">
        <v>21</v>
      </c>
      <c r="F2710" s="1">
        <v>44075</v>
      </c>
      <c r="G2710">
        <v>6.26</v>
      </c>
      <c r="H2710">
        <v>82.921199999999999</v>
      </c>
      <c r="I2710">
        <v>14.44</v>
      </c>
      <c r="J2710">
        <v>79.739999999999995</v>
      </c>
      <c r="K2710" t="s">
        <v>23</v>
      </c>
      <c r="L2710">
        <v>1153.94</v>
      </c>
      <c r="M2710">
        <f>VLOOKUP(K2710,RatingLookup!$A$2:$C$8,2,FALSE)</f>
        <v>1E-3</v>
      </c>
      <c r="N2710">
        <f t="shared" si="126"/>
        <v>8.3371552197619714E-5</v>
      </c>
      <c r="O2710">
        <f>VLOOKUP(K2710,RatingLookup!$A$2:$C$8,3,FALSE)</f>
        <v>0.3</v>
      </c>
      <c r="P2710">
        <f t="shared" si="127"/>
        <v>2.8861730682876386E-2</v>
      </c>
      <c r="Q2710" t="str">
        <f t="shared" ca="1" si="128"/>
        <v>No</v>
      </c>
    </row>
    <row r="2711" spans="1:17" x14ac:dyDescent="0.45">
      <c r="A2711" t="s">
        <v>126</v>
      </c>
      <c r="B2711" t="s">
        <v>127</v>
      </c>
      <c r="C2711" t="s">
        <v>35</v>
      </c>
      <c r="D2711" t="s">
        <v>20</v>
      </c>
      <c r="E2711" t="s">
        <v>21</v>
      </c>
      <c r="F2711" s="1">
        <v>44105</v>
      </c>
      <c r="G2711">
        <v>5.32</v>
      </c>
      <c r="H2711">
        <v>83.5839</v>
      </c>
      <c r="I2711">
        <v>16.8</v>
      </c>
      <c r="J2711">
        <v>70.819999999999993</v>
      </c>
      <c r="K2711" t="s">
        <v>23</v>
      </c>
      <c r="L2711">
        <v>1151.04</v>
      </c>
      <c r="M2711">
        <f>VLOOKUP(K2711,RatingLookup!$A$2:$C$8,2,FALSE)</f>
        <v>1E-3</v>
      </c>
      <c r="N2711">
        <f t="shared" si="126"/>
        <v>8.3371552197619714E-5</v>
      </c>
      <c r="O2711">
        <f>VLOOKUP(K2711,RatingLookup!$A$2:$C$8,3,FALSE)</f>
        <v>0.3</v>
      </c>
      <c r="P2711">
        <f t="shared" si="127"/>
        <v>2.8789197432464459E-2</v>
      </c>
      <c r="Q2711" t="str">
        <f t="shared" ca="1" si="128"/>
        <v>No</v>
      </c>
    </row>
    <row r="2712" spans="1:17" x14ac:dyDescent="0.45">
      <c r="A2712" t="s">
        <v>126</v>
      </c>
      <c r="B2712" t="s">
        <v>127</v>
      </c>
      <c r="C2712" t="s">
        <v>35</v>
      </c>
      <c r="D2712" t="s">
        <v>20</v>
      </c>
      <c r="E2712" t="s">
        <v>21</v>
      </c>
      <c r="F2712" s="1">
        <v>44136</v>
      </c>
      <c r="G2712">
        <v>5.34</v>
      </c>
      <c r="H2712">
        <v>85.623800000000003</v>
      </c>
      <c r="I2712">
        <v>12.88</v>
      </c>
      <c r="J2712">
        <v>81.430000000000007</v>
      </c>
      <c r="K2712" t="s">
        <v>23</v>
      </c>
      <c r="L2712">
        <v>1251.74</v>
      </c>
      <c r="M2712">
        <f>VLOOKUP(K2712,RatingLookup!$A$2:$C$8,2,FALSE)</f>
        <v>1E-3</v>
      </c>
      <c r="N2712">
        <f t="shared" si="126"/>
        <v>8.3371552197619714E-5</v>
      </c>
      <c r="O2712">
        <f>VLOOKUP(K2712,RatingLookup!$A$2:$C$8,3,FALSE)</f>
        <v>0.3</v>
      </c>
      <c r="P2712">
        <f t="shared" si="127"/>
        <v>3.130785202435455E-2</v>
      </c>
      <c r="Q2712" t="str">
        <f t="shared" ca="1" si="128"/>
        <v>No</v>
      </c>
    </row>
    <row r="2713" spans="1:17" x14ac:dyDescent="0.45">
      <c r="A2713" t="s">
        <v>126</v>
      </c>
      <c r="B2713" t="s">
        <v>127</v>
      </c>
      <c r="C2713" t="s">
        <v>35</v>
      </c>
      <c r="D2713" t="s">
        <v>20</v>
      </c>
      <c r="E2713" t="s">
        <v>21</v>
      </c>
      <c r="F2713" s="1">
        <v>44166</v>
      </c>
      <c r="G2713">
        <v>6.54</v>
      </c>
      <c r="H2713">
        <v>82.734800000000007</v>
      </c>
      <c r="I2713">
        <v>24.53</v>
      </c>
      <c r="J2713">
        <v>69.650000000000006</v>
      </c>
      <c r="K2713" t="s">
        <v>23</v>
      </c>
      <c r="L2713">
        <v>1177.08</v>
      </c>
      <c r="M2713">
        <f>VLOOKUP(K2713,RatingLookup!$A$2:$C$8,2,FALSE)</f>
        <v>1E-3</v>
      </c>
      <c r="N2713">
        <f t="shared" si="126"/>
        <v>8.3371552197619714E-5</v>
      </c>
      <c r="O2713">
        <f>VLOOKUP(K2713,RatingLookup!$A$2:$C$8,3,FALSE)</f>
        <v>0.3</v>
      </c>
      <c r="P2713">
        <f t="shared" si="127"/>
        <v>2.9440495998232261E-2</v>
      </c>
      <c r="Q2713" t="str">
        <f t="shared" ca="1" si="128"/>
        <v>No</v>
      </c>
    </row>
    <row r="2714" spans="1:17" x14ac:dyDescent="0.45">
      <c r="A2714" t="s">
        <v>126</v>
      </c>
      <c r="B2714" t="s">
        <v>127</v>
      </c>
      <c r="C2714" t="s">
        <v>35</v>
      </c>
      <c r="D2714" t="s">
        <v>20</v>
      </c>
      <c r="E2714" t="s">
        <v>21</v>
      </c>
      <c r="F2714" s="1">
        <v>44197</v>
      </c>
      <c r="G2714">
        <v>6.01</v>
      </c>
      <c r="H2714">
        <v>81.436300000000003</v>
      </c>
      <c r="I2714">
        <v>21.11</v>
      </c>
      <c r="J2714">
        <v>63.09</v>
      </c>
      <c r="K2714" t="s">
        <v>22</v>
      </c>
      <c r="L2714">
        <v>1077.8800000000001</v>
      </c>
      <c r="M2714">
        <f>VLOOKUP(K2714,RatingLookup!$A$2:$C$8,2,FALSE)</f>
        <v>5.0000000000000001E-3</v>
      </c>
      <c r="N2714">
        <f t="shared" si="126"/>
        <v>4.1762458919303302E-4</v>
      </c>
      <c r="O2714">
        <f>VLOOKUP(K2714,RatingLookup!$A$2:$C$8,3,FALSE)</f>
        <v>0.45</v>
      </c>
      <c r="P2714">
        <f t="shared" si="127"/>
        <v>0.20256713648972391</v>
      </c>
      <c r="Q2714" t="str">
        <f t="shared" ca="1" si="128"/>
        <v>No</v>
      </c>
    </row>
    <row r="2715" spans="1:17" x14ac:dyDescent="0.45">
      <c r="A2715" t="s">
        <v>126</v>
      </c>
      <c r="B2715" t="s">
        <v>127</v>
      </c>
      <c r="C2715" t="s">
        <v>35</v>
      </c>
      <c r="D2715" t="s">
        <v>20</v>
      </c>
      <c r="E2715" t="s">
        <v>21</v>
      </c>
      <c r="F2715" s="1">
        <v>44228</v>
      </c>
      <c r="G2715">
        <v>5.51</v>
      </c>
      <c r="H2715">
        <v>81.794600000000003</v>
      </c>
      <c r="I2715">
        <v>17.16</v>
      </c>
      <c r="J2715">
        <v>65.209999999999994</v>
      </c>
      <c r="K2715" t="s">
        <v>23</v>
      </c>
      <c r="L2715">
        <v>1184.6400000000001</v>
      </c>
      <c r="M2715">
        <f>VLOOKUP(K2715,RatingLookup!$A$2:$C$8,2,FALSE)</f>
        <v>1E-3</v>
      </c>
      <c r="N2715">
        <f t="shared" si="126"/>
        <v>8.3371552197619714E-5</v>
      </c>
      <c r="O2715">
        <f>VLOOKUP(K2715,RatingLookup!$A$2:$C$8,3,FALSE)</f>
        <v>0.3</v>
      </c>
      <c r="P2715">
        <f t="shared" si="127"/>
        <v>2.9629582678616467E-2</v>
      </c>
      <c r="Q2715" t="str">
        <f t="shared" ca="1" si="128"/>
        <v>No</v>
      </c>
    </row>
    <row r="2716" spans="1:17" x14ac:dyDescent="0.45">
      <c r="A2716" t="s">
        <v>126</v>
      </c>
      <c r="B2716" t="s">
        <v>127</v>
      </c>
      <c r="C2716" t="s">
        <v>35</v>
      </c>
      <c r="D2716" t="s">
        <v>20</v>
      </c>
      <c r="E2716" t="s">
        <v>21</v>
      </c>
      <c r="F2716" s="1">
        <v>44256</v>
      </c>
      <c r="G2716">
        <v>5.29</v>
      </c>
      <c r="H2716">
        <v>83.930700000000002</v>
      </c>
      <c r="I2716">
        <v>27.95</v>
      </c>
      <c r="J2716">
        <v>80.41</v>
      </c>
      <c r="K2716" t="s">
        <v>23</v>
      </c>
      <c r="L2716">
        <v>1221.3699999999999</v>
      </c>
      <c r="M2716">
        <f>VLOOKUP(K2716,RatingLookup!$A$2:$C$8,2,FALSE)</f>
        <v>1E-3</v>
      </c>
      <c r="N2716">
        <f t="shared" si="126"/>
        <v>8.3371552197619714E-5</v>
      </c>
      <c r="O2716">
        <f>VLOOKUP(K2716,RatingLookup!$A$2:$C$8,3,FALSE)</f>
        <v>0.3</v>
      </c>
      <c r="P2716">
        <f t="shared" si="127"/>
        <v>3.0548253812282034E-2</v>
      </c>
      <c r="Q2716" t="str">
        <f t="shared" ca="1" si="128"/>
        <v>No</v>
      </c>
    </row>
    <row r="2717" spans="1:17" x14ac:dyDescent="0.45">
      <c r="A2717" t="s">
        <v>126</v>
      </c>
      <c r="B2717" t="s">
        <v>127</v>
      </c>
      <c r="C2717" t="s">
        <v>35</v>
      </c>
      <c r="D2717" t="s">
        <v>20</v>
      </c>
      <c r="E2717" t="s">
        <v>21</v>
      </c>
      <c r="F2717" s="1">
        <v>44287</v>
      </c>
      <c r="G2717">
        <v>5.57</v>
      </c>
      <c r="H2717">
        <v>86.302999999999997</v>
      </c>
      <c r="I2717">
        <v>31.78</v>
      </c>
      <c r="J2717">
        <v>79.67</v>
      </c>
      <c r="K2717" t="s">
        <v>48</v>
      </c>
      <c r="L2717">
        <v>1131.73</v>
      </c>
      <c r="M2717">
        <f>VLOOKUP(K2717,RatingLookup!$A$2:$C$8,2,FALSE)</f>
        <v>5.0000000000000001E-4</v>
      </c>
      <c r="N2717">
        <f t="shared" si="126"/>
        <v>4.167621832917856E-5</v>
      </c>
      <c r="O2717">
        <f>VLOOKUP(K2717,RatingLookup!$A$2:$C$8,3,FALSE)</f>
        <v>0.25</v>
      </c>
      <c r="P2717">
        <f t="shared" si="127"/>
        <v>1.1791556642420313E-2</v>
      </c>
      <c r="Q2717" t="str">
        <f t="shared" ca="1" si="128"/>
        <v>No</v>
      </c>
    </row>
    <row r="2718" spans="1:17" x14ac:dyDescent="0.45">
      <c r="A2718" t="s">
        <v>126</v>
      </c>
      <c r="B2718" t="s">
        <v>127</v>
      </c>
      <c r="C2718" t="s">
        <v>35</v>
      </c>
      <c r="D2718" t="s">
        <v>20</v>
      </c>
      <c r="E2718" t="s">
        <v>21</v>
      </c>
      <c r="F2718" s="1">
        <v>44317</v>
      </c>
      <c r="G2718">
        <v>5.13</v>
      </c>
      <c r="H2718">
        <v>81.044499999999999</v>
      </c>
      <c r="I2718">
        <v>30.57</v>
      </c>
      <c r="J2718">
        <v>90.89</v>
      </c>
      <c r="K2718" t="s">
        <v>48</v>
      </c>
      <c r="L2718">
        <v>1267.79</v>
      </c>
      <c r="M2718">
        <f>VLOOKUP(K2718,RatingLookup!$A$2:$C$8,2,FALSE)</f>
        <v>5.0000000000000001E-4</v>
      </c>
      <c r="N2718">
        <f t="shared" si="126"/>
        <v>4.167621832917856E-5</v>
      </c>
      <c r="O2718">
        <f>VLOOKUP(K2718,RatingLookup!$A$2:$C$8,3,FALSE)</f>
        <v>0.25</v>
      </c>
      <c r="P2718">
        <f t="shared" si="127"/>
        <v>1.3209173208887322E-2</v>
      </c>
      <c r="Q2718" t="str">
        <f t="shared" ca="1" si="128"/>
        <v>No</v>
      </c>
    </row>
    <row r="2719" spans="1:17" x14ac:dyDescent="0.45">
      <c r="A2719" t="s">
        <v>126</v>
      </c>
      <c r="B2719" t="s">
        <v>127</v>
      </c>
      <c r="C2719" t="s">
        <v>35</v>
      </c>
      <c r="D2719" t="s">
        <v>20</v>
      </c>
      <c r="E2719" t="s">
        <v>21</v>
      </c>
      <c r="F2719" s="1">
        <v>44348</v>
      </c>
      <c r="G2719">
        <v>5.99</v>
      </c>
      <c r="H2719">
        <v>86.934799999999996</v>
      </c>
      <c r="I2719">
        <v>21.03</v>
      </c>
      <c r="J2719">
        <v>87</v>
      </c>
      <c r="K2719" t="s">
        <v>48</v>
      </c>
      <c r="L2719">
        <v>1102.05</v>
      </c>
      <c r="M2719">
        <f>VLOOKUP(K2719,RatingLookup!$A$2:$C$8,2,FALSE)</f>
        <v>5.0000000000000001E-4</v>
      </c>
      <c r="N2719">
        <f t="shared" si="126"/>
        <v>4.167621832917856E-5</v>
      </c>
      <c r="O2719">
        <f>VLOOKUP(K2719,RatingLookup!$A$2:$C$8,3,FALSE)</f>
        <v>0.25</v>
      </c>
      <c r="P2719">
        <f t="shared" si="127"/>
        <v>1.1482319102417808E-2</v>
      </c>
      <c r="Q2719" t="str">
        <f t="shared" ca="1" si="128"/>
        <v>No</v>
      </c>
    </row>
    <row r="2720" spans="1:17" x14ac:dyDescent="0.45">
      <c r="A2720" t="s">
        <v>126</v>
      </c>
      <c r="B2720" t="s">
        <v>127</v>
      </c>
      <c r="C2720" t="s">
        <v>35</v>
      </c>
      <c r="D2720" t="s">
        <v>20</v>
      </c>
      <c r="E2720" t="s">
        <v>21</v>
      </c>
      <c r="F2720" s="1">
        <v>44378</v>
      </c>
      <c r="G2720">
        <v>5.37</v>
      </c>
      <c r="H2720">
        <v>85.915099999999995</v>
      </c>
      <c r="I2720">
        <v>20.440000000000001</v>
      </c>
      <c r="J2720">
        <v>84.95</v>
      </c>
      <c r="K2720" t="s">
        <v>48</v>
      </c>
      <c r="L2720">
        <v>1185.1600000000001</v>
      </c>
      <c r="M2720">
        <f>VLOOKUP(K2720,RatingLookup!$A$2:$C$8,2,FALSE)</f>
        <v>5.0000000000000001E-4</v>
      </c>
      <c r="N2720">
        <f t="shared" si="126"/>
        <v>4.167621832917856E-5</v>
      </c>
      <c r="O2720">
        <f>VLOOKUP(K2720,RatingLookup!$A$2:$C$8,3,FALSE)</f>
        <v>0.25</v>
      </c>
      <c r="P2720">
        <f t="shared" si="127"/>
        <v>1.2348246728752316E-2</v>
      </c>
      <c r="Q2720" t="str">
        <f t="shared" ca="1" si="128"/>
        <v>No</v>
      </c>
    </row>
    <row r="2721" spans="1:17" x14ac:dyDescent="0.45">
      <c r="A2721" t="s">
        <v>126</v>
      </c>
      <c r="B2721" t="s">
        <v>127</v>
      </c>
      <c r="C2721" t="s">
        <v>35</v>
      </c>
      <c r="D2721" t="s">
        <v>20</v>
      </c>
      <c r="E2721" t="s">
        <v>21</v>
      </c>
      <c r="F2721" s="1">
        <v>44409</v>
      </c>
      <c r="G2721">
        <v>4.34</v>
      </c>
      <c r="H2721">
        <v>83.216800000000006</v>
      </c>
      <c r="I2721">
        <v>28.35</v>
      </c>
      <c r="J2721">
        <v>78.17</v>
      </c>
      <c r="K2721" t="s">
        <v>48</v>
      </c>
      <c r="L2721">
        <v>1145.6199999999999</v>
      </c>
      <c r="M2721">
        <f>VLOOKUP(K2721,RatingLookup!$A$2:$C$8,2,FALSE)</f>
        <v>5.0000000000000001E-4</v>
      </c>
      <c r="N2721">
        <f t="shared" si="126"/>
        <v>4.167621832917856E-5</v>
      </c>
      <c r="O2721">
        <f>VLOOKUP(K2721,RatingLookup!$A$2:$C$8,3,FALSE)</f>
        <v>0.25</v>
      </c>
      <c r="P2721">
        <f t="shared" si="127"/>
        <v>1.1936277310568384E-2</v>
      </c>
      <c r="Q2721" t="str">
        <f t="shared" ca="1" si="128"/>
        <v>No</v>
      </c>
    </row>
    <row r="2722" spans="1:17" x14ac:dyDescent="0.45">
      <c r="A2722" t="s">
        <v>126</v>
      </c>
      <c r="B2722" t="s">
        <v>127</v>
      </c>
      <c r="C2722" t="s">
        <v>35</v>
      </c>
      <c r="D2722" t="s">
        <v>20</v>
      </c>
      <c r="E2722" t="s">
        <v>21</v>
      </c>
      <c r="F2722" s="1">
        <v>44440</v>
      </c>
      <c r="G2722">
        <v>5.48</v>
      </c>
      <c r="H2722">
        <v>84.894599999999997</v>
      </c>
      <c r="I2722">
        <v>7.86</v>
      </c>
      <c r="J2722">
        <v>80.459999999999994</v>
      </c>
      <c r="K2722" t="s">
        <v>48</v>
      </c>
      <c r="L2722">
        <v>1126.3900000000001</v>
      </c>
      <c r="M2722">
        <f>VLOOKUP(K2722,RatingLookup!$A$2:$C$8,2,FALSE)</f>
        <v>5.0000000000000001E-4</v>
      </c>
      <c r="N2722">
        <f t="shared" si="126"/>
        <v>4.167621832917856E-5</v>
      </c>
      <c r="O2722">
        <f>VLOOKUP(K2722,RatingLookup!$A$2:$C$8,3,FALSE)</f>
        <v>0.25</v>
      </c>
      <c r="P2722">
        <f t="shared" si="127"/>
        <v>1.1735918890950861E-2</v>
      </c>
      <c r="Q2722" t="str">
        <f t="shared" ca="1" si="128"/>
        <v>No</v>
      </c>
    </row>
    <row r="2723" spans="1:17" x14ac:dyDescent="0.45">
      <c r="A2723" t="s">
        <v>126</v>
      </c>
      <c r="B2723" t="s">
        <v>127</v>
      </c>
      <c r="C2723" t="s">
        <v>35</v>
      </c>
      <c r="D2723" t="s">
        <v>20</v>
      </c>
      <c r="E2723" t="s">
        <v>21</v>
      </c>
      <c r="F2723" s="1">
        <v>44470</v>
      </c>
      <c r="G2723">
        <v>5.6</v>
      </c>
      <c r="H2723">
        <v>85.771000000000001</v>
      </c>
      <c r="I2723">
        <v>19.920000000000002</v>
      </c>
      <c r="J2723">
        <v>82.24</v>
      </c>
      <c r="K2723" t="s">
        <v>48</v>
      </c>
      <c r="L2723">
        <v>1234.82</v>
      </c>
      <c r="M2723">
        <f>VLOOKUP(K2723,RatingLookup!$A$2:$C$8,2,FALSE)</f>
        <v>5.0000000000000001E-4</v>
      </c>
      <c r="N2723">
        <f t="shared" si="126"/>
        <v>4.167621832917856E-5</v>
      </c>
      <c r="O2723">
        <f>VLOOKUP(K2723,RatingLookup!$A$2:$C$8,3,FALSE)</f>
        <v>0.25</v>
      </c>
      <c r="P2723">
        <f t="shared" si="127"/>
        <v>1.2865656979309067E-2</v>
      </c>
      <c r="Q2723" t="str">
        <f t="shared" ca="1" si="128"/>
        <v>No</v>
      </c>
    </row>
    <row r="2724" spans="1:17" x14ac:dyDescent="0.45">
      <c r="A2724" t="s">
        <v>126</v>
      </c>
      <c r="B2724" t="s">
        <v>127</v>
      </c>
      <c r="C2724" t="s">
        <v>35</v>
      </c>
      <c r="D2724" t="s">
        <v>20</v>
      </c>
      <c r="E2724" t="s">
        <v>21</v>
      </c>
      <c r="F2724" s="1">
        <v>44501</v>
      </c>
      <c r="G2724">
        <v>4.0199999999999996</v>
      </c>
      <c r="H2724">
        <v>83.382199999999997</v>
      </c>
      <c r="I2724">
        <v>5</v>
      </c>
      <c r="J2724">
        <v>85.69</v>
      </c>
      <c r="K2724" t="s">
        <v>48</v>
      </c>
      <c r="L2724">
        <v>1306.8399999999999</v>
      </c>
      <c r="M2724">
        <f>VLOOKUP(K2724,RatingLookup!$A$2:$C$8,2,FALSE)</f>
        <v>5.0000000000000001E-4</v>
      </c>
      <c r="N2724">
        <f t="shared" si="126"/>
        <v>4.167621832917856E-5</v>
      </c>
      <c r="O2724">
        <f>VLOOKUP(K2724,RatingLookup!$A$2:$C$8,3,FALSE)</f>
        <v>0.25</v>
      </c>
      <c r="P2724">
        <f t="shared" si="127"/>
        <v>1.3616037290325927E-2</v>
      </c>
      <c r="Q2724" t="str">
        <f t="shared" ca="1" si="128"/>
        <v>No</v>
      </c>
    </row>
    <row r="2725" spans="1:17" x14ac:dyDescent="0.45">
      <c r="A2725" t="s">
        <v>126</v>
      </c>
      <c r="B2725" t="s">
        <v>127</v>
      </c>
      <c r="C2725" t="s">
        <v>35</v>
      </c>
      <c r="D2725" t="s">
        <v>20</v>
      </c>
      <c r="E2725" t="s">
        <v>21</v>
      </c>
      <c r="F2725" s="1">
        <v>44531</v>
      </c>
      <c r="G2725">
        <v>5.8</v>
      </c>
      <c r="H2725">
        <v>81.372900000000001</v>
      </c>
      <c r="I2725">
        <v>10.83</v>
      </c>
      <c r="J2725">
        <v>76.44</v>
      </c>
      <c r="K2725" t="s">
        <v>48</v>
      </c>
      <c r="L2725">
        <v>1159.81</v>
      </c>
      <c r="M2725">
        <f>VLOOKUP(K2725,RatingLookup!$A$2:$C$8,2,FALSE)</f>
        <v>5.0000000000000001E-4</v>
      </c>
      <c r="N2725">
        <f t="shared" si="126"/>
        <v>4.167621832917856E-5</v>
      </c>
      <c r="O2725">
        <f>VLOOKUP(K2725,RatingLookup!$A$2:$C$8,3,FALSE)</f>
        <v>0.25</v>
      </c>
      <c r="P2725">
        <f t="shared" si="127"/>
        <v>1.2084123695091147E-2</v>
      </c>
      <c r="Q2725" t="str">
        <f t="shared" ca="1" si="128"/>
        <v>No</v>
      </c>
    </row>
    <row r="2726" spans="1:17" x14ac:dyDescent="0.45">
      <c r="A2726" t="s">
        <v>126</v>
      </c>
      <c r="B2726" t="s">
        <v>127</v>
      </c>
      <c r="C2726" t="s">
        <v>35</v>
      </c>
      <c r="D2726" t="s">
        <v>20</v>
      </c>
      <c r="E2726" t="s">
        <v>21</v>
      </c>
      <c r="F2726" s="1">
        <v>44562</v>
      </c>
      <c r="G2726">
        <v>5.21</v>
      </c>
      <c r="H2726">
        <v>80.695700000000002</v>
      </c>
      <c r="I2726">
        <v>5.56</v>
      </c>
      <c r="J2726">
        <v>75.709999999999994</v>
      </c>
      <c r="K2726" t="s">
        <v>48</v>
      </c>
      <c r="L2726">
        <v>1180.58</v>
      </c>
      <c r="M2726">
        <f>VLOOKUP(K2726,RatingLookup!$A$2:$C$8,2,FALSE)</f>
        <v>5.0000000000000001E-4</v>
      </c>
      <c r="N2726">
        <f t="shared" si="126"/>
        <v>4.167621832917856E-5</v>
      </c>
      <c r="O2726">
        <f>VLOOKUP(K2726,RatingLookup!$A$2:$C$8,3,FALSE)</f>
        <v>0.25</v>
      </c>
      <c r="P2726">
        <f t="shared" si="127"/>
        <v>1.2300527458765406E-2</v>
      </c>
      <c r="Q2726" t="str">
        <f t="shared" ca="1" si="128"/>
        <v>No</v>
      </c>
    </row>
    <row r="2727" spans="1:17" x14ac:dyDescent="0.45">
      <c r="A2727" t="s">
        <v>126</v>
      </c>
      <c r="B2727" t="s">
        <v>127</v>
      </c>
      <c r="C2727" t="s">
        <v>35</v>
      </c>
      <c r="D2727" t="s">
        <v>20</v>
      </c>
      <c r="E2727" t="s">
        <v>21</v>
      </c>
      <c r="F2727" s="1">
        <v>44593</v>
      </c>
      <c r="G2727">
        <v>5.28</v>
      </c>
      <c r="H2727">
        <v>81.607799999999997</v>
      </c>
      <c r="I2727">
        <v>20.82</v>
      </c>
      <c r="J2727">
        <v>80.040000000000006</v>
      </c>
      <c r="K2727" t="s">
        <v>48</v>
      </c>
      <c r="L2727">
        <v>1278.93</v>
      </c>
      <c r="M2727">
        <f>VLOOKUP(K2727,RatingLookup!$A$2:$C$8,2,FALSE)</f>
        <v>5.0000000000000001E-4</v>
      </c>
      <c r="N2727">
        <f t="shared" si="126"/>
        <v>4.167621832917856E-5</v>
      </c>
      <c r="O2727">
        <f>VLOOKUP(K2727,RatingLookup!$A$2:$C$8,3,FALSE)</f>
        <v>0.25</v>
      </c>
      <c r="P2727">
        <f t="shared" si="127"/>
        <v>1.3325241476934084E-2</v>
      </c>
      <c r="Q2727" t="str">
        <f t="shared" ca="1" si="128"/>
        <v>No</v>
      </c>
    </row>
    <row r="2728" spans="1:17" x14ac:dyDescent="0.45">
      <c r="A2728" t="s">
        <v>126</v>
      </c>
      <c r="B2728" t="s">
        <v>127</v>
      </c>
      <c r="C2728" t="s">
        <v>35</v>
      </c>
      <c r="D2728" t="s">
        <v>20</v>
      </c>
      <c r="E2728" t="s">
        <v>21</v>
      </c>
      <c r="F2728" s="1">
        <v>44621</v>
      </c>
      <c r="G2728">
        <v>5.01</v>
      </c>
      <c r="H2728">
        <v>76.851200000000006</v>
      </c>
      <c r="I2728">
        <v>18.239999999999998</v>
      </c>
      <c r="J2728">
        <v>67.069999999999993</v>
      </c>
      <c r="K2728" t="s">
        <v>48</v>
      </c>
      <c r="L2728">
        <v>1225.44</v>
      </c>
      <c r="M2728">
        <f>VLOOKUP(K2728,RatingLookup!$A$2:$C$8,2,FALSE)</f>
        <v>5.0000000000000001E-4</v>
      </c>
      <c r="N2728">
        <f t="shared" si="126"/>
        <v>4.167621832917856E-5</v>
      </c>
      <c r="O2728">
        <f>VLOOKUP(K2728,RatingLookup!$A$2:$C$8,3,FALSE)</f>
        <v>0.25</v>
      </c>
      <c r="P2728">
        <f t="shared" si="127"/>
        <v>1.2767926247327144E-2</v>
      </c>
      <c r="Q2728" t="str">
        <f t="shared" ca="1" si="128"/>
        <v>No</v>
      </c>
    </row>
    <row r="2729" spans="1:17" x14ac:dyDescent="0.45">
      <c r="A2729" t="s">
        <v>126</v>
      </c>
      <c r="B2729" t="s">
        <v>127</v>
      </c>
      <c r="C2729" t="s">
        <v>35</v>
      </c>
      <c r="D2729" t="s">
        <v>20</v>
      </c>
      <c r="E2729" t="s">
        <v>21</v>
      </c>
      <c r="F2729" s="1">
        <v>44652</v>
      </c>
      <c r="G2729">
        <v>4.0599999999999996</v>
      </c>
      <c r="H2729">
        <v>85.538399999999996</v>
      </c>
      <c r="I2729">
        <v>16.12</v>
      </c>
      <c r="J2729">
        <v>89.23</v>
      </c>
      <c r="K2729" t="s">
        <v>23</v>
      </c>
      <c r="L2729">
        <v>1133.26</v>
      </c>
      <c r="M2729">
        <f>VLOOKUP(K2729,RatingLookup!$A$2:$C$8,2,FALSE)</f>
        <v>1E-3</v>
      </c>
      <c r="N2729">
        <f t="shared" si="126"/>
        <v>8.3371552197619714E-5</v>
      </c>
      <c r="O2729">
        <f>VLOOKUP(K2729,RatingLookup!$A$2:$C$8,3,FALSE)</f>
        <v>0.3</v>
      </c>
      <c r="P2729">
        <f t="shared" si="127"/>
        <v>2.8344493573042355E-2</v>
      </c>
      <c r="Q2729" t="str">
        <f t="shared" ca="1" si="128"/>
        <v>No</v>
      </c>
    </row>
    <row r="2730" spans="1:17" x14ac:dyDescent="0.45">
      <c r="A2730" t="s">
        <v>126</v>
      </c>
      <c r="B2730" t="s">
        <v>127</v>
      </c>
      <c r="C2730" t="s">
        <v>35</v>
      </c>
      <c r="D2730" t="s">
        <v>20</v>
      </c>
      <c r="E2730" t="s">
        <v>21</v>
      </c>
      <c r="F2730" s="1">
        <v>44682</v>
      </c>
      <c r="G2730">
        <v>5.86</v>
      </c>
      <c r="H2730">
        <v>82.289299999999997</v>
      </c>
      <c r="I2730">
        <v>26.69</v>
      </c>
      <c r="J2730">
        <v>73.680000000000007</v>
      </c>
      <c r="K2730" t="s">
        <v>23</v>
      </c>
      <c r="L2730">
        <v>1151.42</v>
      </c>
      <c r="M2730">
        <f>VLOOKUP(K2730,RatingLookup!$A$2:$C$8,2,FALSE)</f>
        <v>1E-3</v>
      </c>
      <c r="N2730">
        <f t="shared" si="126"/>
        <v>8.3371552197619714E-5</v>
      </c>
      <c r="O2730">
        <f>VLOOKUP(K2730,RatingLookup!$A$2:$C$8,3,FALSE)</f>
        <v>0.3</v>
      </c>
      <c r="P2730">
        <f t="shared" si="127"/>
        <v>2.8798701789414988E-2</v>
      </c>
      <c r="Q2730" t="str">
        <f t="shared" ca="1" si="128"/>
        <v>No</v>
      </c>
    </row>
    <row r="2731" spans="1:17" x14ac:dyDescent="0.45">
      <c r="A2731" t="s">
        <v>126</v>
      </c>
      <c r="B2731" t="s">
        <v>127</v>
      </c>
      <c r="C2731" t="s">
        <v>35</v>
      </c>
      <c r="D2731" t="s">
        <v>20</v>
      </c>
      <c r="E2731" t="s">
        <v>21</v>
      </c>
      <c r="F2731" s="1">
        <v>44713</v>
      </c>
      <c r="G2731">
        <v>5.8</v>
      </c>
      <c r="H2731">
        <v>82.474699999999999</v>
      </c>
      <c r="I2731">
        <v>11.29</v>
      </c>
      <c r="J2731">
        <v>87.37</v>
      </c>
      <c r="K2731" t="s">
        <v>23</v>
      </c>
      <c r="L2731">
        <v>1212.25</v>
      </c>
      <c r="M2731">
        <f>VLOOKUP(K2731,RatingLookup!$A$2:$C$8,2,FALSE)</f>
        <v>1E-3</v>
      </c>
      <c r="N2731">
        <f t="shared" si="126"/>
        <v>8.3371552197619714E-5</v>
      </c>
      <c r="O2731">
        <f>VLOOKUP(K2731,RatingLookup!$A$2:$C$8,3,FALSE)</f>
        <v>0.3</v>
      </c>
      <c r="P2731">
        <f t="shared" si="127"/>
        <v>3.0320149245469347E-2</v>
      </c>
      <c r="Q2731" t="str">
        <f t="shared" ca="1" si="128"/>
        <v>No</v>
      </c>
    </row>
    <row r="2732" spans="1:17" x14ac:dyDescent="0.45">
      <c r="A2732" t="s">
        <v>126</v>
      </c>
      <c r="B2732" t="s">
        <v>127</v>
      </c>
      <c r="C2732" t="s">
        <v>35</v>
      </c>
      <c r="D2732" t="s">
        <v>20</v>
      </c>
      <c r="E2732" t="s">
        <v>21</v>
      </c>
      <c r="F2732" s="1">
        <v>44743</v>
      </c>
      <c r="G2732">
        <v>5.92</v>
      </c>
      <c r="H2732">
        <v>83.093100000000007</v>
      </c>
      <c r="I2732">
        <v>30.84</v>
      </c>
      <c r="J2732">
        <v>72.430000000000007</v>
      </c>
      <c r="K2732" t="s">
        <v>23</v>
      </c>
      <c r="L2732">
        <v>1185.8499999999999</v>
      </c>
      <c r="M2732">
        <f>VLOOKUP(K2732,RatingLookup!$A$2:$C$8,2,FALSE)</f>
        <v>1E-3</v>
      </c>
      <c r="N2732">
        <f t="shared" si="126"/>
        <v>8.3371552197619714E-5</v>
      </c>
      <c r="O2732">
        <f>VLOOKUP(K2732,RatingLookup!$A$2:$C$8,3,FALSE)</f>
        <v>0.3</v>
      </c>
      <c r="P2732">
        <f t="shared" si="127"/>
        <v>2.9659846552064197E-2</v>
      </c>
      <c r="Q2732" t="str">
        <f t="shared" ca="1" si="128"/>
        <v>No</v>
      </c>
    </row>
    <row r="2733" spans="1:17" x14ac:dyDescent="0.45">
      <c r="A2733" t="s">
        <v>126</v>
      </c>
      <c r="B2733" t="s">
        <v>127</v>
      </c>
      <c r="C2733" t="s">
        <v>35</v>
      </c>
      <c r="D2733" t="s">
        <v>20</v>
      </c>
      <c r="E2733" t="s">
        <v>21</v>
      </c>
      <c r="F2733" s="1">
        <v>44774</v>
      </c>
      <c r="G2733">
        <v>6.11</v>
      </c>
      <c r="H2733">
        <v>82.588300000000004</v>
      </c>
      <c r="I2733">
        <v>19.87</v>
      </c>
      <c r="J2733">
        <v>64.63</v>
      </c>
      <c r="K2733" t="s">
        <v>23</v>
      </c>
      <c r="L2733">
        <v>1209.1099999999999</v>
      </c>
      <c r="M2733">
        <f>VLOOKUP(K2733,RatingLookup!$A$2:$C$8,2,FALSE)</f>
        <v>1E-3</v>
      </c>
      <c r="N2733">
        <f t="shared" si="126"/>
        <v>8.3371552197619714E-5</v>
      </c>
      <c r="O2733">
        <f>VLOOKUP(K2733,RatingLookup!$A$2:$C$8,3,FALSE)</f>
        <v>0.3</v>
      </c>
      <c r="P2733">
        <f t="shared" si="127"/>
        <v>3.0241613243299187E-2</v>
      </c>
      <c r="Q2733" t="str">
        <f t="shared" ca="1" si="128"/>
        <v>No</v>
      </c>
    </row>
    <row r="2734" spans="1:17" x14ac:dyDescent="0.45">
      <c r="A2734" t="s">
        <v>126</v>
      </c>
      <c r="B2734" t="s">
        <v>127</v>
      </c>
      <c r="C2734" t="s">
        <v>35</v>
      </c>
      <c r="D2734" t="s">
        <v>20</v>
      </c>
      <c r="E2734" t="s">
        <v>21</v>
      </c>
      <c r="F2734" s="1">
        <v>44805</v>
      </c>
      <c r="G2734">
        <v>5.05</v>
      </c>
      <c r="H2734">
        <v>79.891599999999997</v>
      </c>
      <c r="I2734">
        <v>24.91</v>
      </c>
      <c r="J2734">
        <v>87.07</v>
      </c>
      <c r="K2734" t="s">
        <v>23</v>
      </c>
      <c r="L2734">
        <v>1206.53</v>
      </c>
      <c r="M2734">
        <f>VLOOKUP(K2734,RatingLookup!$A$2:$C$8,2,FALSE)</f>
        <v>1E-3</v>
      </c>
      <c r="N2734">
        <f t="shared" si="126"/>
        <v>8.3371552197619714E-5</v>
      </c>
      <c r="O2734">
        <f>VLOOKUP(K2734,RatingLookup!$A$2:$C$8,3,FALSE)</f>
        <v>0.3</v>
      </c>
      <c r="P2734">
        <f t="shared" si="127"/>
        <v>3.0177083661898231E-2</v>
      </c>
      <c r="Q2734" t="str">
        <f t="shared" ca="1" si="128"/>
        <v>No</v>
      </c>
    </row>
    <row r="2735" spans="1:17" x14ac:dyDescent="0.45">
      <c r="A2735" t="s">
        <v>126</v>
      </c>
      <c r="B2735" t="s">
        <v>127</v>
      </c>
      <c r="C2735" t="s">
        <v>35</v>
      </c>
      <c r="D2735" t="s">
        <v>20</v>
      </c>
      <c r="E2735" t="s">
        <v>21</v>
      </c>
      <c r="F2735" s="1">
        <v>44835</v>
      </c>
      <c r="G2735">
        <v>6.12</v>
      </c>
      <c r="H2735">
        <v>82.400199999999998</v>
      </c>
      <c r="I2735">
        <v>26.69</v>
      </c>
      <c r="J2735">
        <v>62.4</v>
      </c>
      <c r="K2735" t="s">
        <v>23</v>
      </c>
      <c r="L2735">
        <v>1136.8499999999999</v>
      </c>
      <c r="M2735">
        <f>VLOOKUP(K2735,RatingLookup!$A$2:$C$8,2,FALSE)</f>
        <v>1E-3</v>
      </c>
      <c r="N2735">
        <f t="shared" si="126"/>
        <v>8.3371552197619714E-5</v>
      </c>
      <c r="O2735">
        <f>VLOOKUP(K2735,RatingLookup!$A$2:$C$8,3,FALSE)</f>
        <v>0.3</v>
      </c>
      <c r="P2735">
        <f t="shared" si="127"/>
        <v>2.8434284734759188E-2</v>
      </c>
      <c r="Q2735" t="str">
        <f t="shared" ca="1" si="128"/>
        <v>No</v>
      </c>
    </row>
    <row r="2736" spans="1:17" x14ac:dyDescent="0.45">
      <c r="A2736" t="s">
        <v>126</v>
      </c>
      <c r="B2736" t="s">
        <v>127</v>
      </c>
      <c r="C2736" t="s">
        <v>35</v>
      </c>
      <c r="D2736" t="s">
        <v>20</v>
      </c>
      <c r="E2736" t="s">
        <v>21</v>
      </c>
      <c r="F2736" s="1">
        <v>44866</v>
      </c>
      <c r="G2736">
        <v>5.88</v>
      </c>
      <c r="H2736">
        <v>85.910899999999998</v>
      </c>
      <c r="I2736">
        <v>17</v>
      </c>
      <c r="J2736">
        <v>73.709999999999994</v>
      </c>
      <c r="K2736" t="s">
        <v>23</v>
      </c>
      <c r="L2736">
        <v>1124.42</v>
      </c>
      <c r="M2736">
        <f>VLOOKUP(K2736,RatingLookup!$A$2:$C$8,2,FALSE)</f>
        <v>1E-3</v>
      </c>
      <c r="N2736">
        <f t="shared" si="126"/>
        <v>8.3371552197619714E-5</v>
      </c>
      <c r="O2736">
        <f>VLOOKUP(K2736,RatingLookup!$A$2:$C$8,3,FALSE)</f>
        <v>0.3</v>
      </c>
      <c r="P2736">
        <f t="shared" si="127"/>
        <v>2.8123392216614269E-2</v>
      </c>
      <c r="Q2736" t="str">
        <f t="shared" ca="1" si="128"/>
        <v>No</v>
      </c>
    </row>
    <row r="2737" spans="1:17" x14ac:dyDescent="0.45">
      <c r="A2737" t="s">
        <v>126</v>
      </c>
      <c r="B2737" t="s">
        <v>127</v>
      </c>
      <c r="C2737" t="s">
        <v>35</v>
      </c>
      <c r="D2737" t="s">
        <v>20</v>
      </c>
      <c r="E2737" t="s">
        <v>21</v>
      </c>
      <c r="F2737" s="1">
        <v>44896</v>
      </c>
      <c r="G2737">
        <v>5.32</v>
      </c>
      <c r="H2737">
        <v>85.976900000000001</v>
      </c>
      <c r="I2737">
        <v>10.93</v>
      </c>
      <c r="J2737">
        <v>75.98</v>
      </c>
      <c r="K2737" t="s">
        <v>23</v>
      </c>
      <c r="L2737">
        <v>1279.79</v>
      </c>
      <c r="M2737">
        <f>VLOOKUP(K2737,RatingLookup!$A$2:$C$8,2,FALSE)</f>
        <v>1E-3</v>
      </c>
      <c r="N2737">
        <f t="shared" si="126"/>
        <v>8.3371552197619714E-5</v>
      </c>
      <c r="O2737">
        <f>VLOOKUP(K2737,RatingLookup!$A$2:$C$8,3,FALSE)</f>
        <v>0.3</v>
      </c>
      <c r="P2737">
        <f t="shared" si="127"/>
        <v>3.2009423636097517E-2</v>
      </c>
      <c r="Q2737" t="str">
        <f t="shared" ca="1" si="128"/>
        <v>No</v>
      </c>
    </row>
    <row r="2738" spans="1:17" x14ac:dyDescent="0.45">
      <c r="A2738" t="s">
        <v>126</v>
      </c>
      <c r="B2738" t="s">
        <v>127</v>
      </c>
      <c r="C2738" t="s">
        <v>35</v>
      </c>
      <c r="D2738" t="s">
        <v>20</v>
      </c>
      <c r="E2738" t="s">
        <v>21</v>
      </c>
      <c r="F2738" s="1">
        <v>44927</v>
      </c>
      <c r="G2738">
        <v>5.99</v>
      </c>
      <c r="H2738">
        <v>82.9161</v>
      </c>
      <c r="I2738">
        <v>19.309999999999999</v>
      </c>
      <c r="J2738">
        <v>67.62</v>
      </c>
      <c r="K2738" t="s">
        <v>23</v>
      </c>
      <c r="L2738">
        <v>1203.3499999999999</v>
      </c>
      <c r="M2738">
        <f>VLOOKUP(K2738,RatingLookup!$A$2:$C$8,2,FALSE)</f>
        <v>1E-3</v>
      </c>
      <c r="N2738">
        <f t="shared" si="126"/>
        <v>8.3371552197619714E-5</v>
      </c>
      <c r="O2738">
        <f>VLOOKUP(K2738,RatingLookup!$A$2:$C$8,3,FALSE)</f>
        <v>0.3</v>
      </c>
      <c r="P2738">
        <f t="shared" si="127"/>
        <v>3.00975472011017E-2</v>
      </c>
      <c r="Q2738" t="str">
        <f t="shared" ca="1" si="128"/>
        <v>No</v>
      </c>
    </row>
    <row r="2739" spans="1:17" x14ac:dyDescent="0.45">
      <c r="A2739" t="s">
        <v>126</v>
      </c>
      <c r="B2739" t="s">
        <v>127</v>
      </c>
      <c r="C2739" t="s">
        <v>35</v>
      </c>
      <c r="D2739" t="s">
        <v>20</v>
      </c>
      <c r="E2739" t="s">
        <v>21</v>
      </c>
      <c r="F2739" s="1">
        <v>44958</v>
      </c>
      <c r="G2739">
        <v>5.6</v>
      </c>
      <c r="H2739">
        <v>77.986099999999993</v>
      </c>
      <c r="I2739">
        <v>5.26</v>
      </c>
      <c r="J2739">
        <v>77.17</v>
      </c>
      <c r="K2739" t="s">
        <v>23</v>
      </c>
      <c r="L2739">
        <v>1252.8699999999999</v>
      </c>
      <c r="M2739">
        <f>VLOOKUP(K2739,RatingLookup!$A$2:$C$8,2,FALSE)</f>
        <v>1E-3</v>
      </c>
      <c r="N2739">
        <f t="shared" si="126"/>
        <v>8.3371552197619714E-5</v>
      </c>
      <c r="O2739">
        <f>VLOOKUP(K2739,RatingLookup!$A$2:$C$8,3,FALSE)</f>
        <v>0.3</v>
      </c>
      <c r="P2739">
        <f t="shared" si="127"/>
        <v>3.1336114980549543E-2</v>
      </c>
      <c r="Q2739" t="str">
        <f t="shared" ca="1" si="128"/>
        <v>No</v>
      </c>
    </row>
    <row r="2740" spans="1:17" x14ac:dyDescent="0.45">
      <c r="A2740" t="s">
        <v>126</v>
      </c>
      <c r="B2740" t="s">
        <v>127</v>
      </c>
      <c r="C2740" t="s">
        <v>35</v>
      </c>
      <c r="D2740" t="s">
        <v>20</v>
      </c>
      <c r="E2740" t="s">
        <v>21</v>
      </c>
      <c r="F2740" s="1">
        <v>44986</v>
      </c>
      <c r="G2740">
        <v>7.29</v>
      </c>
      <c r="H2740">
        <v>85.81</v>
      </c>
      <c r="I2740">
        <v>16.32</v>
      </c>
      <c r="J2740">
        <v>86.39</v>
      </c>
      <c r="K2740" t="s">
        <v>22</v>
      </c>
      <c r="L2740">
        <v>1265.3599999999999</v>
      </c>
      <c r="M2740">
        <f>VLOOKUP(K2740,RatingLookup!$A$2:$C$8,2,FALSE)</f>
        <v>5.0000000000000001E-3</v>
      </c>
      <c r="N2740">
        <f t="shared" si="126"/>
        <v>4.1762458919303302E-4</v>
      </c>
      <c r="O2740">
        <f>VLOOKUP(K2740,RatingLookup!$A$2:$C$8,3,FALSE)</f>
        <v>0.45</v>
      </c>
      <c r="P2740">
        <f t="shared" si="127"/>
        <v>0.23780045258158328</v>
      </c>
      <c r="Q2740" t="str">
        <f t="shared" ca="1" si="128"/>
        <v>No</v>
      </c>
    </row>
    <row r="2741" spans="1:17" x14ac:dyDescent="0.45">
      <c r="A2741" t="s">
        <v>126</v>
      </c>
      <c r="B2741" t="s">
        <v>127</v>
      </c>
      <c r="C2741" t="s">
        <v>35</v>
      </c>
      <c r="D2741" t="s">
        <v>20</v>
      </c>
      <c r="E2741" t="s">
        <v>21</v>
      </c>
      <c r="F2741" s="1">
        <v>45017</v>
      </c>
      <c r="G2741">
        <v>5.67</v>
      </c>
      <c r="H2741">
        <v>81.692400000000006</v>
      </c>
      <c r="I2741">
        <v>28.73</v>
      </c>
      <c r="J2741">
        <v>80.94</v>
      </c>
      <c r="K2741" t="s">
        <v>22</v>
      </c>
      <c r="L2741">
        <v>1190.44</v>
      </c>
      <c r="M2741">
        <f>VLOOKUP(K2741,RatingLookup!$A$2:$C$8,2,FALSE)</f>
        <v>5.0000000000000001E-3</v>
      </c>
      <c r="N2741">
        <f t="shared" si="126"/>
        <v>4.1762458919303302E-4</v>
      </c>
      <c r="O2741">
        <f>VLOOKUP(K2741,RatingLookup!$A$2:$C$8,3,FALSE)</f>
        <v>0.45</v>
      </c>
      <c r="P2741">
        <f t="shared" si="127"/>
        <v>0.22372065718152942</v>
      </c>
      <c r="Q2741" t="str">
        <f t="shared" ca="1" si="128"/>
        <v>No</v>
      </c>
    </row>
    <row r="2742" spans="1:17" x14ac:dyDescent="0.45">
      <c r="A2742" t="s">
        <v>126</v>
      </c>
      <c r="B2742" t="s">
        <v>127</v>
      </c>
      <c r="C2742" t="s">
        <v>35</v>
      </c>
      <c r="D2742" t="s">
        <v>20</v>
      </c>
      <c r="E2742" t="s">
        <v>21</v>
      </c>
      <c r="F2742" s="1">
        <v>45047</v>
      </c>
      <c r="G2742">
        <v>6.04</v>
      </c>
      <c r="H2742">
        <v>81.397900000000007</v>
      </c>
      <c r="I2742">
        <v>19.059999999999999</v>
      </c>
      <c r="J2742">
        <v>72.37</v>
      </c>
      <c r="K2742" t="s">
        <v>22</v>
      </c>
      <c r="L2742">
        <v>1378.71</v>
      </c>
      <c r="M2742">
        <f>VLOOKUP(K2742,RatingLookup!$A$2:$C$8,2,FALSE)</f>
        <v>5.0000000000000001E-3</v>
      </c>
      <c r="N2742">
        <f t="shared" si="126"/>
        <v>4.1762458919303302E-4</v>
      </c>
      <c r="O2742">
        <f>VLOOKUP(K2742,RatingLookup!$A$2:$C$8,3,FALSE)</f>
        <v>0.45</v>
      </c>
      <c r="P2742">
        <f t="shared" si="127"/>
        <v>0.25910243881484696</v>
      </c>
      <c r="Q2742" t="str">
        <f t="shared" ca="1" si="128"/>
        <v>No</v>
      </c>
    </row>
    <row r="2743" spans="1:17" x14ac:dyDescent="0.45">
      <c r="A2743" t="s">
        <v>126</v>
      </c>
      <c r="B2743" t="s">
        <v>127</v>
      </c>
      <c r="C2743" t="s">
        <v>35</v>
      </c>
      <c r="D2743" t="s">
        <v>20</v>
      </c>
      <c r="E2743" t="s">
        <v>21</v>
      </c>
      <c r="F2743" s="1">
        <v>45078</v>
      </c>
      <c r="G2743">
        <v>5.88</v>
      </c>
      <c r="H2743">
        <v>81.833399999999997</v>
      </c>
      <c r="I2743">
        <v>27.95</v>
      </c>
      <c r="J2743">
        <v>78.42</v>
      </c>
      <c r="K2743" t="s">
        <v>22</v>
      </c>
      <c r="L2743">
        <v>1350.94</v>
      </c>
      <c r="M2743">
        <f>VLOOKUP(K2743,RatingLookup!$A$2:$C$8,2,FALSE)</f>
        <v>5.0000000000000001E-3</v>
      </c>
      <c r="N2743">
        <f t="shared" si="126"/>
        <v>4.1762458919303302E-4</v>
      </c>
      <c r="O2743">
        <f>VLOOKUP(K2743,RatingLookup!$A$2:$C$8,3,FALSE)</f>
        <v>0.45</v>
      </c>
      <c r="P2743">
        <f t="shared" si="127"/>
        <v>0.25388359313599623</v>
      </c>
      <c r="Q2743" t="str">
        <f t="shared" ca="1" si="128"/>
        <v>No</v>
      </c>
    </row>
    <row r="2744" spans="1:17" x14ac:dyDescent="0.45">
      <c r="A2744" t="s">
        <v>126</v>
      </c>
      <c r="B2744" t="s">
        <v>127</v>
      </c>
      <c r="C2744" t="s">
        <v>35</v>
      </c>
      <c r="D2744" t="s">
        <v>20</v>
      </c>
      <c r="E2744" t="s">
        <v>21</v>
      </c>
      <c r="F2744" s="1">
        <v>45108</v>
      </c>
      <c r="G2744">
        <v>5.86</v>
      </c>
      <c r="H2744">
        <v>82.2029</v>
      </c>
      <c r="I2744">
        <v>15.52</v>
      </c>
      <c r="J2744">
        <v>93.57</v>
      </c>
      <c r="K2744" t="s">
        <v>22</v>
      </c>
      <c r="L2744">
        <v>1187.3499999999999</v>
      </c>
      <c r="M2744">
        <f>VLOOKUP(K2744,RatingLookup!$A$2:$C$8,2,FALSE)</f>
        <v>5.0000000000000001E-3</v>
      </c>
      <c r="N2744">
        <f t="shared" si="126"/>
        <v>4.1762458919303302E-4</v>
      </c>
      <c r="O2744">
        <f>VLOOKUP(K2744,RatingLookup!$A$2:$C$8,3,FALSE)</f>
        <v>0.45</v>
      </c>
      <c r="P2744">
        <f t="shared" si="127"/>
        <v>0.22313995019025648</v>
      </c>
      <c r="Q2744" t="str">
        <f t="shared" ca="1" si="128"/>
        <v>No</v>
      </c>
    </row>
    <row r="2745" spans="1:17" x14ac:dyDescent="0.45">
      <c r="A2745" t="s">
        <v>126</v>
      </c>
      <c r="B2745" t="s">
        <v>127</v>
      </c>
      <c r="C2745" t="s">
        <v>35</v>
      </c>
      <c r="D2745" t="s">
        <v>20</v>
      </c>
      <c r="E2745" t="s">
        <v>21</v>
      </c>
      <c r="F2745" s="1">
        <v>45139</v>
      </c>
      <c r="G2745">
        <v>6.38</v>
      </c>
      <c r="H2745">
        <v>88.317800000000005</v>
      </c>
      <c r="I2745">
        <v>21.08</v>
      </c>
      <c r="J2745">
        <v>100.08</v>
      </c>
      <c r="K2745" t="s">
        <v>22</v>
      </c>
      <c r="L2745">
        <v>1271.56</v>
      </c>
      <c r="M2745">
        <f>VLOOKUP(K2745,RatingLookup!$A$2:$C$8,2,FALSE)</f>
        <v>5.0000000000000001E-3</v>
      </c>
      <c r="N2745">
        <f t="shared" si="126"/>
        <v>4.1762458919303302E-4</v>
      </c>
      <c r="O2745">
        <f>VLOOKUP(K2745,RatingLookup!$A$2:$C$8,3,FALSE)</f>
        <v>0.45</v>
      </c>
      <c r="P2745">
        <f t="shared" si="127"/>
        <v>0.23896562518543188</v>
      </c>
      <c r="Q2745" t="str">
        <f t="shared" ca="1" si="128"/>
        <v>No</v>
      </c>
    </row>
    <row r="2746" spans="1:17" x14ac:dyDescent="0.45">
      <c r="A2746" t="s">
        <v>126</v>
      </c>
      <c r="B2746" t="s">
        <v>127</v>
      </c>
      <c r="C2746" t="s">
        <v>35</v>
      </c>
      <c r="D2746" t="s">
        <v>20</v>
      </c>
      <c r="E2746" t="s">
        <v>21</v>
      </c>
      <c r="F2746" s="1">
        <v>45170</v>
      </c>
      <c r="G2746">
        <v>5.72</v>
      </c>
      <c r="H2746">
        <v>82.436599999999999</v>
      </c>
      <c r="I2746">
        <v>17.63</v>
      </c>
      <c r="J2746">
        <v>74.150000000000006</v>
      </c>
      <c r="K2746" t="s">
        <v>22</v>
      </c>
      <c r="L2746">
        <v>1268.1400000000001</v>
      </c>
      <c r="M2746">
        <f>VLOOKUP(K2746,RatingLookup!$A$2:$C$8,2,FALSE)</f>
        <v>5.0000000000000001E-3</v>
      </c>
      <c r="N2746">
        <f t="shared" si="126"/>
        <v>4.1762458919303302E-4</v>
      </c>
      <c r="O2746">
        <f>VLOOKUP(K2746,RatingLookup!$A$2:$C$8,3,FALSE)</f>
        <v>0.45</v>
      </c>
      <c r="P2746">
        <f t="shared" si="127"/>
        <v>0.23832290094266381</v>
      </c>
      <c r="Q2746" t="str">
        <f t="shared" ca="1" si="128"/>
        <v>No</v>
      </c>
    </row>
    <row r="2747" spans="1:17" x14ac:dyDescent="0.45">
      <c r="A2747" t="s">
        <v>126</v>
      </c>
      <c r="B2747" t="s">
        <v>127</v>
      </c>
      <c r="C2747" t="s">
        <v>35</v>
      </c>
      <c r="D2747" t="s">
        <v>20</v>
      </c>
      <c r="E2747" t="s">
        <v>21</v>
      </c>
      <c r="F2747" s="1">
        <v>45200</v>
      </c>
      <c r="G2747">
        <v>6.82</v>
      </c>
      <c r="H2747">
        <v>84.435500000000005</v>
      </c>
      <c r="I2747">
        <v>18.39</v>
      </c>
      <c r="J2747">
        <v>93.71</v>
      </c>
      <c r="K2747" t="s">
        <v>22</v>
      </c>
      <c r="L2747">
        <v>1145.8900000000001</v>
      </c>
      <c r="M2747">
        <f>VLOOKUP(K2747,RatingLookup!$A$2:$C$8,2,FALSE)</f>
        <v>5.0000000000000001E-3</v>
      </c>
      <c r="N2747">
        <f t="shared" si="126"/>
        <v>4.1762458919303302E-4</v>
      </c>
      <c r="O2747">
        <f>VLOOKUP(K2747,RatingLookup!$A$2:$C$8,3,FALSE)</f>
        <v>0.45</v>
      </c>
      <c r="P2747">
        <f t="shared" si="127"/>
        <v>0.21534832822968211</v>
      </c>
      <c r="Q2747" t="str">
        <f t="shared" ca="1" si="128"/>
        <v>No</v>
      </c>
    </row>
    <row r="2748" spans="1:17" x14ac:dyDescent="0.45">
      <c r="A2748" t="s">
        <v>126</v>
      </c>
      <c r="B2748" t="s">
        <v>127</v>
      </c>
      <c r="C2748" t="s">
        <v>35</v>
      </c>
      <c r="D2748" t="s">
        <v>20</v>
      </c>
      <c r="E2748" t="s">
        <v>21</v>
      </c>
      <c r="F2748" s="1">
        <v>45231</v>
      </c>
      <c r="G2748">
        <v>5.27</v>
      </c>
      <c r="H2748">
        <v>79.863200000000006</v>
      </c>
      <c r="I2748">
        <v>19.850000000000001</v>
      </c>
      <c r="J2748">
        <v>72.790000000000006</v>
      </c>
      <c r="K2748" t="s">
        <v>22</v>
      </c>
      <c r="L2748">
        <v>1319.67</v>
      </c>
      <c r="M2748">
        <f>VLOOKUP(K2748,RatingLookup!$A$2:$C$8,2,FALSE)</f>
        <v>5.0000000000000001E-3</v>
      </c>
      <c r="N2748">
        <f t="shared" si="126"/>
        <v>4.1762458919303302E-4</v>
      </c>
      <c r="O2748">
        <f>VLOOKUP(K2748,RatingLookup!$A$2:$C$8,3,FALSE)</f>
        <v>0.45</v>
      </c>
      <c r="P2748">
        <f t="shared" si="127"/>
        <v>0.24800698872916649</v>
      </c>
      <c r="Q2748" t="str">
        <f t="shared" ca="1" si="128"/>
        <v>No</v>
      </c>
    </row>
    <row r="2749" spans="1:17" x14ac:dyDescent="0.45">
      <c r="A2749" t="s">
        <v>126</v>
      </c>
      <c r="B2749" t="s">
        <v>127</v>
      </c>
      <c r="C2749" t="s">
        <v>35</v>
      </c>
      <c r="D2749" t="s">
        <v>20</v>
      </c>
      <c r="E2749" t="s">
        <v>21</v>
      </c>
      <c r="F2749" s="1">
        <v>45261</v>
      </c>
      <c r="G2749">
        <v>5.91</v>
      </c>
      <c r="H2749">
        <v>81.335099999999997</v>
      </c>
      <c r="I2749">
        <v>13.27</v>
      </c>
      <c r="J2749">
        <v>76.900000000000006</v>
      </c>
      <c r="K2749" t="s">
        <v>22</v>
      </c>
      <c r="L2749">
        <v>1195.51</v>
      </c>
      <c r="M2749">
        <f>VLOOKUP(K2749,RatingLookup!$A$2:$C$8,2,FALSE)</f>
        <v>5.0000000000000001E-3</v>
      </c>
      <c r="N2749">
        <f t="shared" si="126"/>
        <v>4.1762458919303302E-4</v>
      </c>
      <c r="O2749">
        <f>VLOOKUP(K2749,RatingLookup!$A$2:$C$8,3,FALSE)</f>
        <v>0.45</v>
      </c>
      <c r="P2749">
        <f t="shared" si="127"/>
        <v>0.22467346768177332</v>
      </c>
      <c r="Q2749" t="str">
        <f t="shared" ca="1" si="128"/>
        <v>No</v>
      </c>
    </row>
    <row r="2750" spans="1:17" x14ac:dyDescent="0.45">
      <c r="A2750" t="s">
        <v>126</v>
      </c>
      <c r="B2750" t="s">
        <v>127</v>
      </c>
      <c r="C2750" t="s">
        <v>35</v>
      </c>
      <c r="D2750" t="s">
        <v>20</v>
      </c>
      <c r="E2750" t="s">
        <v>21</v>
      </c>
      <c r="F2750" s="1">
        <v>45292</v>
      </c>
      <c r="G2750">
        <v>5.85</v>
      </c>
      <c r="H2750">
        <v>84.419799999999995</v>
      </c>
      <c r="I2750">
        <v>7.84</v>
      </c>
      <c r="J2750">
        <v>86.93</v>
      </c>
      <c r="K2750" t="s">
        <v>22</v>
      </c>
      <c r="L2750">
        <v>1146.44</v>
      </c>
      <c r="M2750">
        <f>VLOOKUP(K2750,RatingLookup!$A$2:$C$8,2,FALSE)</f>
        <v>5.0000000000000001E-3</v>
      </c>
      <c r="N2750">
        <f t="shared" si="126"/>
        <v>4.1762458919303302E-4</v>
      </c>
      <c r="O2750">
        <f>VLOOKUP(K2750,RatingLookup!$A$2:$C$8,3,FALSE)</f>
        <v>0.45</v>
      </c>
      <c r="P2750">
        <f t="shared" si="127"/>
        <v>0.21545169031550734</v>
      </c>
      <c r="Q2750" t="str">
        <f t="shared" ca="1" si="128"/>
        <v>No</v>
      </c>
    </row>
    <row r="2751" spans="1:17" x14ac:dyDescent="0.45">
      <c r="A2751" t="s">
        <v>126</v>
      </c>
      <c r="B2751" t="s">
        <v>127</v>
      </c>
      <c r="C2751" t="s">
        <v>35</v>
      </c>
      <c r="D2751" t="s">
        <v>20</v>
      </c>
      <c r="E2751" t="s">
        <v>21</v>
      </c>
      <c r="F2751" s="1">
        <v>45323</v>
      </c>
      <c r="G2751">
        <v>5</v>
      </c>
      <c r="H2751">
        <v>88.132000000000005</v>
      </c>
      <c r="I2751">
        <v>15.7</v>
      </c>
      <c r="J2751">
        <v>75.17</v>
      </c>
      <c r="K2751" t="s">
        <v>23</v>
      </c>
      <c r="L2751">
        <v>1292.3499999999999</v>
      </c>
      <c r="M2751">
        <f>VLOOKUP(K2751,RatingLookup!$A$2:$C$8,2,FALSE)</f>
        <v>1E-3</v>
      </c>
      <c r="N2751">
        <f t="shared" si="126"/>
        <v>8.3371552197619714E-5</v>
      </c>
      <c r="O2751">
        <f>VLOOKUP(K2751,RatingLookup!$A$2:$C$8,3,FALSE)</f>
        <v>0.3</v>
      </c>
      <c r="P2751">
        <f t="shared" si="127"/>
        <v>3.2323567644778145E-2</v>
      </c>
      <c r="Q2751" t="str">
        <f t="shared" ca="1" si="128"/>
        <v>No</v>
      </c>
    </row>
    <row r="2752" spans="1:17" x14ac:dyDescent="0.45">
      <c r="A2752" t="s">
        <v>126</v>
      </c>
      <c r="B2752" t="s">
        <v>127</v>
      </c>
      <c r="C2752" t="s">
        <v>35</v>
      </c>
      <c r="D2752" t="s">
        <v>20</v>
      </c>
      <c r="E2752" t="s">
        <v>21</v>
      </c>
      <c r="F2752" s="1">
        <v>45352</v>
      </c>
      <c r="G2752">
        <v>6.12</v>
      </c>
      <c r="H2752">
        <v>83.751000000000005</v>
      </c>
      <c r="I2752">
        <v>10.84</v>
      </c>
      <c r="J2752">
        <v>72.7</v>
      </c>
      <c r="K2752" t="s">
        <v>48</v>
      </c>
      <c r="L2752">
        <v>1380.8</v>
      </c>
      <c r="M2752">
        <f>VLOOKUP(K2752,RatingLookup!$A$2:$C$8,2,FALSE)</f>
        <v>5.0000000000000001E-4</v>
      </c>
      <c r="N2752">
        <f t="shared" si="126"/>
        <v>4.167621832917856E-5</v>
      </c>
      <c r="O2752">
        <f>VLOOKUP(K2752,RatingLookup!$A$2:$C$8,3,FALSE)</f>
        <v>0.25</v>
      </c>
      <c r="P2752">
        <f t="shared" si="127"/>
        <v>1.4386630567232439E-2</v>
      </c>
      <c r="Q2752" t="str">
        <f t="shared" ca="1" si="128"/>
        <v>No</v>
      </c>
    </row>
    <row r="2753" spans="1:17" x14ac:dyDescent="0.45">
      <c r="A2753" t="s">
        <v>126</v>
      </c>
      <c r="B2753" t="s">
        <v>127</v>
      </c>
      <c r="C2753" t="s">
        <v>35</v>
      </c>
      <c r="D2753" t="s">
        <v>20</v>
      </c>
      <c r="E2753" t="s">
        <v>21</v>
      </c>
      <c r="F2753" s="1">
        <v>45383</v>
      </c>
      <c r="G2753">
        <v>6.1</v>
      </c>
      <c r="H2753">
        <v>77.581500000000005</v>
      </c>
      <c r="I2753">
        <v>26.86</v>
      </c>
      <c r="J2753">
        <v>75.59</v>
      </c>
      <c r="K2753" t="s">
        <v>48</v>
      </c>
      <c r="L2753">
        <v>1204.1400000000001</v>
      </c>
      <c r="M2753">
        <f>VLOOKUP(K2753,RatingLookup!$A$2:$C$8,2,FALSE)</f>
        <v>5.0000000000000001E-4</v>
      </c>
      <c r="N2753">
        <f t="shared" si="126"/>
        <v>4.167621832917856E-5</v>
      </c>
      <c r="O2753">
        <f>VLOOKUP(K2753,RatingLookup!$A$2:$C$8,3,FALSE)</f>
        <v>0.25</v>
      </c>
      <c r="P2753">
        <f t="shared" si="127"/>
        <v>1.254600038472427E-2</v>
      </c>
      <c r="Q2753" t="str">
        <f t="shared" ca="1" si="128"/>
        <v>No</v>
      </c>
    </row>
    <row r="2754" spans="1:17" x14ac:dyDescent="0.45">
      <c r="A2754" t="s">
        <v>126</v>
      </c>
      <c r="B2754" t="s">
        <v>127</v>
      </c>
      <c r="C2754" t="s">
        <v>35</v>
      </c>
      <c r="D2754" t="s">
        <v>20</v>
      </c>
      <c r="E2754" t="s">
        <v>21</v>
      </c>
      <c r="F2754" s="1">
        <v>45413</v>
      </c>
      <c r="G2754">
        <v>4.41</v>
      </c>
      <c r="H2754">
        <v>84.064499999999995</v>
      </c>
      <c r="I2754">
        <v>9.9499999999999993</v>
      </c>
      <c r="J2754">
        <v>79.61</v>
      </c>
      <c r="K2754" t="s">
        <v>48</v>
      </c>
      <c r="L2754">
        <v>1275.67</v>
      </c>
      <c r="M2754">
        <f>VLOOKUP(K2754,RatingLookup!$A$2:$C$8,2,FALSE)</f>
        <v>5.0000000000000001E-4</v>
      </c>
      <c r="N2754">
        <f t="shared" ref="N2754:N2817" si="129">1-(1-M2754)^(1/12)</f>
        <v>4.167621832917856E-5</v>
      </c>
      <c r="O2754">
        <f>VLOOKUP(K2754,RatingLookup!$A$2:$C$8,3,FALSE)</f>
        <v>0.25</v>
      </c>
      <c r="P2754">
        <f t="shared" ref="P2754:P2817" si="130">L2754*N2754*O2754</f>
        <v>1.3291275358995804E-2</v>
      </c>
      <c r="Q2754" t="str">
        <f t="shared" ref="Q2754:Q2817" ca="1" si="131">IF(RAND()&lt;N2754,"Yes","No")</f>
        <v>No</v>
      </c>
    </row>
    <row r="2755" spans="1:17" x14ac:dyDescent="0.45">
      <c r="A2755" t="s">
        <v>126</v>
      </c>
      <c r="B2755" t="s">
        <v>127</v>
      </c>
      <c r="C2755" t="s">
        <v>35</v>
      </c>
      <c r="D2755" t="s">
        <v>20</v>
      </c>
      <c r="E2755" t="s">
        <v>21</v>
      </c>
      <c r="F2755" s="1">
        <v>45444</v>
      </c>
      <c r="G2755">
        <v>5.33</v>
      </c>
      <c r="H2755">
        <v>82.376599999999996</v>
      </c>
      <c r="I2755">
        <v>28.37</v>
      </c>
      <c r="J2755">
        <v>95.95</v>
      </c>
      <c r="K2755" t="s">
        <v>48</v>
      </c>
      <c r="L2755">
        <v>1200.94</v>
      </c>
      <c r="M2755">
        <f>VLOOKUP(K2755,RatingLookup!$A$2:$C$8,2,FALSE)</f>
        <v>5.0000000000000001E-4</v>
      </c>
      <c r="N2755">
        <f t="shared" si="129"/>
        <v>4.167621832917856E-5</v>
      </c>
      <c r="O2755">
        <f>VLOOKUP(K2755,RatingLookup!$A$2:$C$8,3,FALSE)</f>
        <v>0.25</v>
      </c>
      <c r="P2755">
        <f t="shared" si="130"/>
        <v>1.2512659410060925E-2</v>
      </c>
      <c r="Q2755" t="str">
        <f t="shared" ca="1" si="131"/>
        <v>No</v>
      </c>
    </row>
    <row r="2756" spans="1:17" x14ac:dyDescent="0.45">
      <c r="A2756" t="s">
        <v>126</v>
      </c>
      <c r="B2756" t="s">
        <v>127</v>
      </c>
      <c r="C2756" t="s">
        <v>35</v>
      </c>
      <c r="D2756" t="s">
        <v>20</v>
      </c>
      <c r="E2756" t="s">
        <v>21</v>
      </c>
      <c r="F2756" s="1">
        <v>45474</v>
      </c>
      <c r="G2756">
        <v>5.14</v>
      </c>
      <c r="H2756">
        <v>81.7303</v>
      </c>
      <c r="I2756">
        <v>18.89</v>
      </c>
      <c r="J2756">
        <v>79.58</v>
      </c>
      <c r="K2756" t="s">
        <v>48</v>
      </c>
      <c r="L2756">
        <v>1371.93</v>
      </c>
      <c r="M2756">
        <f>VLOOKUP(K2756,RatingLookup!$A$2:$C$8,2,FALSE)</f>
        <v>5.0000000000000001E-4</v>
      </c>
      <c r="N2756">
        <f t="shared" si="129"/>
        <v>4.167621832917856E-5</v>
      </c>
      <c r="O2756">
        <f>VLOOKUP(K2756,RatingLookup!$A$2:$C$8,3,FALSE)</f>
        <v>0.25</v>
      </c>
      <c r="P2756">
        <f t="shared" si="130"/>
        <v>1.4294213553087486E-2</v>
      </c>
      <c r="Q2756" t="str">
        <f t="shared" ca="1" si="131"/>
        <v>No</v>
      </c>
    </row>
    <row r="2757" spans="1:17" x14ac:dyDescent="0.45">
      <c r="A2757" t="s">
        <v>126</v>
      </c>
      <c r="B2757" t="s">
        <v>127</v>
      </c>
      <c r="C2757" t="s">
        <v>35</v>
      </c>
      <c r="D2757" t="s">
        <v>20</v>
      </c>
      <c r="E2757" t="s">
        <v>21</v>
      </c>
      <c r="F2757" s="1">
        <v>45505</v>
      </c>
      <c r="G2757">
        <v>5.39</v>
      </c>
      <c r="H2757">
        <v>84.033500000000004</v>
      </c>
      <c r="I2757">
        <v>17.559999999999999</v>
      </c>
      <c r="J2757">
        <v>83.64</v>
      </c>
      <c r="K2757" t="s">
        <v>48</v>
      </c>
      <c r="L2757">
        <v>1245.51</v>
      </c>
      <c r="M2757">
        <f>VLOOKUP(K2757,RatingLookup!$A$2:$C$8,2,FALSE)</f>
        <v>5.0000000000000001E-4</v>
      </c>
      <c r="N2757">
        <f t="shared" si="129"/>
        <v>4.167621832917856E-5</v>
      </c>
      <c r="O2757">
        <f>VLOOKUP(K2757,RatingLookup!$A$2:$C$8,3,FALSE)</f>
        <v>0.25</v>
      </c>
      <c r="P2757">
        <f t="shared" si="130"/>
        <v>1.2977036672793797E-2</v>
      </c>
      <c r="Q2757" t="str">
        <f t="shared" ca="1" si="131"/>
        <v>No</v>
      </c>
    </row>
    <row r="2758" spans="1:17" x14ac:dyDescent="0.45">
      <c r="A2758" t="s">
        <v>126</v>
      </c>
      <c r="B2758" t="s">
        <v>127</v>
      </c>
      <c r="C2758" t="s">
        <v>35</v>
      </c>
      <c r="D2758" t="s">
        <v>20</v>
      </c>
      <c r="E2758" t="s">
        <v>21</v>
      </c>
      <c r="F2758" s="1">
        <v>45536</v>
      </c>
      <c r="G2758">
        <v>5.62</v>
      </c>
      <c r="H2758">
        <v>79.887500000000003</v>
      </c>
      <c r="I2758">
        <v>29.83</v>
      </c>
      <c r="J2758">
        <v>92.16</v>
      </c>
      <c r="K2758" t="s">
        <v>82</v>
      </c>
      <c r="L2758">
        <v>1227.28</v>
      </c>
      <c r="M2758">
        <f>VLOOKUP(K2758,RatingLookup!$A$2:$C$8,2,FALSE)</f>
        <v>1E-4</v>
      </c>
      <c r="N2758">
        <f t="shared" si="129"/>
        <v>8.3337153021778576E-6</v>
      </c>
      <c r="O2758">
        <f>VLOOKUP(K2758,RatingLookup!$A$2:$C$8,3,FALSE)</f>
        <v>0.2</v>
      </c>
      <c r="P2758">
        <f t="shared" si="130"/>
        <v>2.0455604232113684E-3</v>
      </c>
      <c r="Q2758" t="str">
        <f t="shared" ca="1" si="131"/>
        <v>No</v>
      </c>
    </row>
    <row r="2759" spans="1:17" x14ac:dyDescent="0.45">
      <c r="A2759" t="s">
        <v>126</v>
      </c>
      <c r="B2759" t="s">
        <v>127</v>
      </c>
      <c r="C2759" t="s">
        <v>35</v>
      </c>
      <c r="D2759" t="s">
        <v>20</v>
      </c>
      <c r="E2759" t="s">
        <v>21</v>
      </c>
      <c r="F2759" s="1">
        <v>45566</v>
      </c>
      <c r="G2759">
        <v>5.43</v>
      </c>
      <c r="H2759">
        <v>83.407600000000002</v>
      </c>
      <c r="I2759">
        <v>22.17</v>
      </c>
      <c r="J2759">
        <v>84.23</v>
      </c>
      <c r="K2759" t="s">
        <v>82</v>
      </c>
      <c r="L2759">
        <v>1287.1400000000001</v>
      </c>
      <c r="M2759">
        <f>VLOOKUP(K2759,RatingLookup!$A$2:$C$8,2,FALSE)</f>
        <v>1E-4</v>
      </c>
      <c r="N2759">
        <f t="shared" si="129"/>
        <v>8.3337153021778576E-6</v>
      </c>
      <c r="O2759">
        <f>VLOOKUP(K2759,RatingLookup!$A$2:$C$8,3,FALSE)</f>
        <v>0.2</v>
      </c>
      <c r="P2759">
        <f t="shared" si="130"/>
        <v>2.1453316628090419E-3</v>
      </c>
      <c r="Q2759" t="str">
        <f t="shared" ca="1" si="131"/>
        <v>No</v>
      </c>
    </row>
    <row r="2760" spans="1:17" x14ac:dyDescent="0.45">
      <c r="A2760" t="s">
        <v>126</v>
      </c>
      <c r="B2760" t="s">
        <v>127</v>
      </c>
      <c r="C2760" t="s">
        <v>35</v>
      </c>
      <c r="D2760" t="s">
        <v>20</v>
      </c>
      <c r="E2760" t="s">
        <v>21</v>
      </c>
      <c r="F2760" s="1">
        <v>45597</v>
      </c>
      <c r="G2760">
        <v>5.63</v>
      </c>
      <c r="H2760">
        <v>83.747</v>
      </c>
      <c r="I2760">
        <v>27.41</v>
      </c>
      <c r="J2760">
        <v>85.13</v>
      </c>
      <c r="K2760" t="s">
        <v>82</v>
      </c>
      <c r="L2760">
        <v>1287.1500000000001</v>
      </c>
      <c r="M2760">
        <f>VLOOKUP(K2760,RatingLookup!$A$2:$C$8,2,FALSE)</f>
        <v>1E-4</v>
      </c>
      <c r="N2760">
        <f t="shared" si="129"/>
        <v>8.3337153021778576E-6</v>
      </c>
      <c r="O2760">
        <f>VLOOKUP(K2760,RatingLookup!$A$2:$C$8,3,FALSE)</f>
        <v>0.2</v>
      </c>
      <c r="P2760">
        <f t="shared" si="130"/>
        <v>2.145348330239646E-3</v>
      </c>
      <c r="Q2760" t="str">
        <f t="shared" ca="1" si="131"/>
        <v>No</v>
      </c>
    </row>
    <row r="2761" spans="1:17" x14ac:dyDescent="0.45">
      <c r="A2761" t="s">
        <v>126</v>
      </c>
      <c r="B2761" t="s">
        <v>127</v>
      </c>
      <c r="C2761" t="s">
        <v>35</v>
      </c>
      <c r="D2761" t="s">
        <v>20</v>
      </c>
      <c r="E2761" t="s">
        <v>21</v>
      </c>
      <c r="F2761" s="1">
        <v>45627</v>
      </c>
      <c r="G2761">
        <v>4.97</v>
      </c>
      <c r="H2761">
        <v>81.084000000000003</v>
      </c>
      <c r="I2761">
        <v>26.03</v>
      </c>
      <c r="J2761">
        <v>86.61</v>
      </c>
      <c r="K2761" t="s">
        <v>82</v>
      </c>
      <c r="L2761">
        <v>1327.32</v>
      </c>
      <c r="M2761">
        <f>VLOOKUP(K2761,RatingLookup!$A$2:$C$8,2,FALSE)</f>
        <v>1E-4</v>
      </c>
      <c r="N2761">
        <f t="shared" si="129"/>
        <v>8.3337153021778576E-6</v>
      </c>
      <c r="O2761">
        <f>VLOOKUP(K2761,RatingLookup!$A$2:$C$8,3,FALSE)</f>
        <v>0.2</v>
      </c>
      <c r="P2761">
        <f t="shared" si="130"/>
        <v>2.2123013989773428E-3</v>
      </c>
      <c r="Q2761" t="str">
        <f t="shared" ca="1" si="131"/>
        <v>No</v>
      </c>
    </row>
    <row r="2762" spans="1:17" x14ac:dyDescent="0.45">
      <c r="A2762" t="s">
        <v>128</v>
      </c>
      <c r="B2762" t="s">
        <v>129</v>
      </c>
      <c r="C2762" t="s">
        <v>66</v>
      </c>
      <c r="D2762" t="s">
        <v>20</v>
      </c>
      <c r="E2762" t="s">
        <v>21</v>
      </c>
      <c r="F2762" s="1">
        <v>43831</v>
      </c>
      <c r="G2762">
        <v>5.41</v>
      </c>
      <c r="H2762">
        <v>81.933199999999999</v>
      </c>
      <c r="I2762">
        <v>15.5</v>
      </c>
      <c r="J2762">
        <v>88.34</v>
      </c>
      <c r="K2762" t="s">
        <v>22</v>
      </c>
      <c r="L2762">
        <v>1568.3</v>
      </c>
      <c r="M2762">
        <f>VLOOKUP(K2762,RatingLookup!$A$2:$C$8,2,FALSE)</f>
        <v>5.0000000000000001E-3</v>
      </c>
      <c r="N2762">
        <f t="shared" si="129"/>
        <v>4.1762458919303302E-4</v>
      </c>
      <c r="O2762">
        <f>VLOOKUP(K2762,RatingLookup!$A$2:$C$8,3,FALSE)</f>
        <v>0.45</v>
      </c>
      <c r="P2762">
        <f t="shared" si="130"/>
        <v>0.29473228945414515</v>
      </c>
      <c r="Q2762" t="str">
        <f t="shared" ca="1" si="131"/>
        <v>No</v>
      </c>
    </row>
    <row r="2763" spans="1:17" x14ac:dyDescent="0.45">
      <c r="A2763" t="s">
        <v>128</v>
      </c>
      <c r="B2763" t="s">
        <v>129</v>
      </c>
      <c r="C2763" t="s">
        <v>66</v>
      </c>
      <c r="D2763" t="s">
        <v>20</v>
      </c>
      <c r="E2763" t="s">
        <v>21</v>
      </c>
      <c r="F2763" s="1">
        <v>43862</v>
      </c>
      <c r="G2763">
        <v>5.68</v>
      </c>
      <c r="H2763">
        <v>82.589100000000002</v>
      </c>
      <c r="I2763">
        <v>20.79</v>
      </c>
      <c r="J2763">
        <v>77.180000000000007</v>
      </c>
      <c r="K2763" t="s">
        <v>22</v>
      </c>
      <c r="L2763">
        <v>1550.33</v>
      </c>
      <c r="M2763">
        <f>VLOOKUP(K2763,RatingLookup!$A$2:$C$8,2,FALSE)</f>
        <v>5.0000000000000001E-3</v>
      </c>
      <c r="N2763">
        <f t="shared" si="129"/>
        <v>4.1762458919303302E-4</v>
      </c>
      <c r="O2763">
        <f>VLOOKUP(K2763,RatingLookup!$A$2:$C$8,3,FALSE)</f>
        <v>0.45</v>
      </c>
      <c r="P2763">
        <f t="shared" si="130"/>
        <v>0.29135516821363566</v>
      </c>
      <c r="Q2763" t="str">
        <f t="shared" ca="1" si="131"/>
        <v>No</v>
      </c>
    </row>
    <row r="2764" spans="1:17" x14ac:dyDescent="0.45">
      <c r="A2764" t="s">
        <v>128</v>
      </c>
      <c r="B2764" t="s">
        <v>129</v>
      </c>
      <c r="C2764" t="s">
        <v>66</v>
      </c>
      <c r="D2764" t="s">
        <v>20</v>
      </c>
      <c r="E2764" t="s">
        <v>21</v>
      </c>
      <c r="F2764" s="1">
        <v>43891</v>
      </c>
      <c r="G2764">
        <v>5.83</v>
      </c>
      <c r="H2764">
        <v>81.792000000000002</v>
      </c>
      <c r="I2764">
        <v>13.47</v>
      </c>
      <c r="J2764">
        <v>61.09</v>
      </c>
      <c r="K2764" t="s">
        <v>22</v>
      </c>
      <c r="L2764">
        <v>1567.85</v>
      </c>
      <c r="M2764">
        <f>VLOOKUP(K2764,RatingLookup!$A$2:$C$8,2,FALSE)</f>
        <v>5.0000000000000001E-3</v>
      </c>
      <c r="N2764">
        <f t="shared" si="129"/>
        <v>4.1762458919303302E-4</v>
      </c>
      <c r="O2764">
        <f>VLOOKUP(K2764,RatingLookup!$A$2:$C$8,3,FALSE)</f>
        <v>0.45</v>
      </c>
      <c r="P2764">
        <f t="shared" si="130"/>
        <v>0.29464772047483356</v>
      </c>
      <c r="Q2764" t="str">
        <f t="shared" ca="1" si="131"/>
        <v>No</v>
      </c>
    </row>
    <row r="2765" spans="1:17" x14ac:dyDescent="0.45">
      <c r="A2765" t="s">
        <v>128</v>
      </c>
      <c r="B2765" t="s">
        <v>129</v>
      </c>
      <c r="C2765" t="s">
        <v>66</v>
      </c>
      <c r="D2765" t="s">
        <v>20</v>
      </c>
      <c r="E2765" t="s">
        <v>21</v>
      </c>
      <c r="F2765" s="1">
        <v>43922</v>
      </c>
      <c r="G2765">
        <v>5.96</v>
      </c>
      <c r="H2765">
        <v>79.568200000000004</v>
      </c>
      <c r="I2765">
        <v>20.56</v>
      </c>
      <c r="J2765">
        <v>86.07</v>
      </c>
      <c r="K2765" t="s">
        <v>22</v>
      </c>
      <c r="L2765">
        <v>1802.39</v>
      </c>
      <c r="M2765">
        <f>VLOOKUP(K2765,RatingLookup!$A$2:$C$8,2,FALSE)</f>
        <v>5.0000000000000001E-3</v>
      </c>
      <c r="N2765">
        <f t="shared" si="129"/>
        <v>4.1762458919303302E-4</v>
      </c>
      <c r="O2765">
        <f>VLOOKUP(K2765,RatingLookup!$A$2:$C$8,3,FALSE)</f>
        <v>0.45</v>
      </c>
      <c r="P2765">
        <f t="shared" si="130"/>
        <v>0.33872507249203387</v>
      </c>
      <c r="Q2765" t="str">
        <f t="shared" ca="1" si="131"/>
        <v>No</v>
      </c>
    </row>
    <row r="2766" spans="1:17" x14ac:dyDescent="0.45">
      <c r="A2766" t="s">
        <v>128</v>
      </c>
      <c r="B2766" t="s">
        <v>129</v>
      </c>
      <c r="C2766" t="s">
        <v>66</v>
      </c>
      <c r="D2766" t="s">
        <v>20</v>
      </c>
      <c r="E2766" t="s">
        <v>21</v>
      </c>
      <c r="F2766" s="1">
        <v>43952</v>
      </c>
      <c r="G2766">
        <v>5.85</v>
      </c>
      <c r="H2766">
        <v>80.273499999999999</v>
      </c>
      <c r="I2766">
        <v>22.86</v>
      </c>
      <c r="J2766">
        <v>84.74</v>
      </c>
      <c r="K2766" t="s">
        <v>22</v>
      </c>
      <c r="L2766">
        <v>1448.7</v>
      </c>
      <c r="M2766">
        <f>VLOOKUP(K2766,RatingLookup!$A$2:$C$8,2,FALSE)</f>
        <v>5.0000000000000001E-3</v>
      </c>
      <c r="N2766">
        <f t="shared" si="129"/>
        <v>4.1762458919303302E-4</v>
      </c>
      <c r="O2766">
        <f>VLOOKUP(K2766,RatingLookup!$A$2:$C$8,3,FALSE)</f>
        <v>0.45</v>
      </c>
      <c r="P2766">
        <f t="shared" si="130"/>
        <v>0.27225573406377612</v>
      </c>
      <c r="Q2766" t="str">
        <f t="shared" ca="1" si="131"/>
        <v>No</v>
      </c>
    </row>
    <row r="2767" spans="1:17" x14ac:dyDescent="0.45">
      <c r="A2767" t="s">
        <v>128</v>
      </c>
      <c r="B2767" t="s">
        <v>129</v>
      </c>
      <c r="C2767" t="s">
        <v>66</v>
      </c>
      <c r="D2767" t="s">
        <v>20</v>
      </c>
      <c r="E2767" t="s">
        <v>21</v>
      </c>
      <c r="F2767" s="1">
        <v>43983</v>
      </c>
      <c r="G2767">
        <v>5.59</v>
      </c>
      <c r="H2767">
        <v>76.786299999999997</v>
      </c>
      <c r="I2767">
        <v>17.93</v>
      </c>
      <c r="J2767">
        <v>86.26</v>
      </c>
      <c r="K2767" t="s">
        <v>22</v>
      </c>
      <c r="L2767">
        <v>1678.73</v>
      </c>
      <c r="M2767">
        <f>VLOOKUP(K2767,RatingLookup!$A$2:$C$8,2,FALSE)</f>
        <v>5.0000000000000001E-3</v>
      </c>
      <c r="N2767">
        <f t="shared" si="129"/>
        <v>4.1762458919303302E-4</v>
      </c>
      <c r="O2767">
        <f>VLOOKUP(K2767,RatingLookup!$A$2:$C$8,3,FALSE)</f>
        <v>0.45</v>
      </c>
      <c r="P2767">
        <f t="shared" si="130"/>
        <v>0.31548551697720917</v>
      </c>
      <c r="Q2767" t="str">
        <f t="shared" ca="1" si="131"/>
        <v>No</v>
      </c>
    </row>
    <row r="2768" spans="1:17" x14ac:dyDescent="0.45">
      <c r="A2768" t="s">
        <v>128</v>
      </c>
      <c r="B2768" t="s">
        <v>129</v>
      </c>
      <c r="C2768" t="s">
        <v>66</v>
      </c>
      <c r="D2768" t="s">
        <v>20</v>
      </c>
      <c r="E2768" t="s">
        <v>21</v>
      </c>
      <c r="F2768" s="1">
        <v>44013</v>
      </c>
      <c r="G2768">
        <v>7.21</v>
      </c>
      <c r="H2768">
        <v>83.505899999999997</v>
      </c>
      <c r="I2768">
        <v>11.21</v>
      </c>
      <c r="J2768">
        <v>74.680000000000007</v>
      </c>
      <c r="K2768" t="s">
        <v>30</v>
      </c>
      <c r="L2768">
        <v>1731.22</v>
      </c>
      <c r="M2768">
        <f>VLOOKUP(K2768,RatingLookup!$A$2:$C$8,2,FALSE)</f>
        <v>1.4999999999999999E-2</v>
      </c>
      <c r="N2768">
        <f t="shared" si="129"/>
        <v>1.2586770182638762E-3</v>
      </c>
      <c r="O2768">
        <f>VLOOKUP(K2768,RatingLookup!$A$2:$C$8,3,FALSE)</f>
        <v>0.5</v>
      </c>
      <c r="P2768">
        <f t="shared" si="130"/>
        <v>1.0895234137793939</v>
      </c>
      <c r="Q2768" t="str">
        <f t="shared" ca="1" si="131"/>
        <v>No</v>
      </c>
    </row>
    <row r="2769" spans="1:17" x14ac:dyDescent="0.45">
      <c r="A2769" t="s">
        <v>128</v>
      </c>
      <c r="B2769" t="s">
        <v>129</v>
      </c>
      <c r="C2769" t="s">
        <v>66</v>
      </c>
      <c r="D2769" t="s">
        <v>20</v>
      </c>
      <c r="E2769" t="s">
        <v>21</v>
      </c>
      <c r="F2769" s="1">
        <v>44044</v>
      </c>
      <c r="G2769">
        <v>6.25</v>
      </c>
      <c r="H2769">
        <v>81.828000000000003</v>
      </c>
      <c r="I2769">
        <v>17.739999999999998</v>
      </c>
      <c r="J2769">
        <v>82.95</v>
      </c>
      <c r="K2769" t="s">
        <v>30</v>
      </c>
      <c r="L2769">
        <v>1777.07</v>
      </c>
      <c r="M2769">
        <f>VLOOKUP(K2769,RatingLookup!$A$2:$C$8,2,FALSE)</f>
        <v>1.4999999999999999E-2</v>
      </c>
      <c r="N2769">
        <f t="shared" si="129"/>
        <v>1.2586770182638762E-3</v>
      </c>
      <c r="O2769">
        <f>VLOOKUP(K2769,RatingLookup!$A$2:$C$8,3,FALSE)</f>
        <v>0.5</v>
      </c>
      <c r="P2769">
        <f t="shared" si="130"/>
        <v>1.1183785844230931</v>
      </c>
      <c r="Q2769" t="str">
        <f t="shared" ca="1" si="131"/>
        <v>No</v>
      </c>
    </row>
    <row r="2770" spans="1:17" x14ac:dyDescent="0.45">
      <c r="A2770" t="s">
        <v>128</v>
      </c>
      <c r="B2770" t="s">
        <v>129</v>
      </c>
      <c r="C2770" t="s">
        <v>66</v>
      </c>
      <c r="D2770" t="s">
        <v>20</v>
      </c>
      <c r="E2770" t="s">
        <v>21</v>
      </c>
      <c r="F2770" s="1">
        <v>44075</v>
      </c>
      <c r="G2770">
        <v>4.82</v>
      </c>
      <c r="H2770">
        <v>81.578000000000003</v>
      </c>
      <c r="I2770">
        <v>14.55</v>
      </c>
      <c r="J2770">
        <v>65.72</v>
      </c>
      <c r="K2770" t="s">
        <v>30</v>
      </c>
      <c r="L2770">
        <v>1572.13</v>
      </c>
      <c r="M2770">
        <f>VLOOKUP(K2770,RatingLookup!$A$2:$C$8,2,FALSE)</f>
        <v>1.4999999999999999E-2</v>
      </c>
      <c r="N2770">
        <f t="shared" si="129"/>
        <v>1.2586770182638762E-3</v>
      </c>
      <c r="O2770">
        <f>VLOOKUP(K2770,RatingLookup!$A$2:$C$8,3,FALSE)</f>
        <v>0.5</v>
      </c>
      <c r="P2770">
        <f t="shared" si="130"/>
        <v>0.98940195036159395</v>
      </c>
      <c r="Q2770" t="str">
        <f t="shared" ca="1" si="131"/>
        <v>No</v>
      </c>
    </row>
    <row r="2771" spans="1:17" x14ac:dyDescent="0.45">
      <c r="A2771" t="s">
        <v>128</v>
      </c>
      <c r="B2771" t="s">
        <v>129</v>
      </c>
      <c r="C2771" t="s">
        <v>66</v>
      </c>
      <c r="D2771" t="s">
        <v>20</v>
      </c>
      <c r="E2771" t="s">
        <v>21</v>
      </c>
      <c r="F2771" s="1">
        <v>44105</v>
      </c>
      <c r="G2771">
        <v>5.51</v>
      </c>
      <c r="H2771">
        <v>81.7316</v>
      </c>
      <c r="I2771">
        <v>12.3</v>
      </c>
      <c r="J2771">
        <v>80.989999999999995</v>
      </c>
      <c r="K2771" t="s">
        <v>30</v>
      </c>
      <c r="L2771">
        <v>1622.35</v>
      </c>
      <c r="M2771">
        <f>VLOOKUP(K2771,RatingLookup!$A$2:$C$8,2,FALSE)</f>
        <v>1.4999999999999999E-2</v>
      </c>
      <c r="N2771">
        <f t="shared" si="129"/>
        <v>1.2586770182638762E-3</v>
      </c>
      <c r="O2771">
        <f>VLOOKUP(K2771,RatingLookup!$A$2:$C$8,3,FALSE)</f>
        <v>0.5</v>
      </c>
      <c r="P2771">
        <f t="shared" si="130"/>
        <v>1.0210073302901999</v>
      </c>
      <c r="Q2771" t="str">
        <f t="shared" ca="1" si="131"/>
        <v>No</v>
      </c>
    </row>
    <row r="2772" spans="1:17" x14ac:dyDescent="0.45">
      <c r="A2772" t="s">
        <v>128</v>
      </c>
      <c r="B2772" t="s">
        <v>129</v>
      </c>
      <c r="C2772" t="s">
        <v>66</v>
      </c>
      <c r="D2772" t="s">
        <v>20</v>
      </c>
      <c r="E2772" t="s">
        <v>21</v>
      </c>
      <c r="F2772" s="1">
        <v>44136</v>
      </c>
      <c r="G2772">
        <v>4.78</v>
      </c>
      <c r="H2772">
        <v>88.014300000000006</v>
      </c>
      <c r="I2772">
        <v>5.4</v>
      </c>
      <c r="J2772">
        <v>84.56</v>
      </c>
      <c r="K2772" t="s">
        <v>30</v>
      </c>
      <c r="L2772">
        <v>1694.82</v>
      </c>
      <c r="M2772">
        <f>VLOOKUP(K2772,RatingLookup!$A$2:$C$8,2,FALSE)</f>
        <v>1.4999999999999999E-2</v>
      </c>
      <c r="N2772">
        <f t="shared" si="129"/>
        <v>1.2586770182638762E-3</v>
      </c>
      <c r="O2772">
        <f>VLOOKUP(K2772,RatingLookup!$A$2:$C$8,3,FALSE)</f>
        <v>0.5</v>
      </c>
      <c r="P2772">
        <f t="shared" si="130"/>
        <v>1.0666154920469912</v>
      </c>
      <c r="Q2772" t="str">
        <f t="shared" ca="1" si="131"/>
        <v>No</v>
      </c>
    </row>
    <row r="2773" spans="1:17" x14ac:dyDescent="0.45">
      <c r="A2773" t="s">
        <v>128</v>
      </c>
      <c r="B2773" t="s">
        <v>129</v>
      </c>
      <c r="C2773" t="s">
        <v>66</v>
      </c>
      <c r="D2773" t="s">
        <v>20</v>
      </c>
      <c r="E2773" t="s">
        <v>21</v>
      </c>
      <c r="F2773" s="1">
        <v>44166</v>
      </c>
      <c r="G2773">
        <v>5.21</v>
      </c>
      <c r="H2773">
        <v>80.694699999999997</v>
      </c>
      <c r="I2773">
        <v>5</v>
      </c>
      <c r="J2773">
        <v>86.45</v>
      </c>
      <c r="K2773" t="s">
        <v>30</v>
      </c>
      <c r="L2773">
        <v>1712.31</v>
      </c>
      <c r="M2773">
        <f>VLOOKUP(K2773,RatingLookup!$A$2:$C$8,2,FALSE)</f>
        <v>1.4999999999999999E-2</v>
      </c>
      <c r="N2773">
        <f t="shared" si="129"/>
        <v>1.2586770182638762E-3</v>
      </c>
      <c r="O2773">
        <f>VLOOKUP(K2773,RatingLookup!$A$2:$C$8,3,FALSE)</f>
        <v>0.5</v>
      </c>
      <c r="P2773">
        <f t="shared" si="130"/>
        <v>1.0776226225717089</v>
      </c>
      <c r="Q2773" t="str">
        <f t="shared" ca="1" si="131"/>
        <v>No</v>
      </c>
    </row>
    <row r="2774" spans="1:17" x14ac:dyDescent="0.45">
      <c r="A2774" t="s">
        <v>128</v>
      </c>
      <c r="B2774" t="s">
        <v>129</v>
      </c>
      <c r="C2774" t="s">
        <v>66</v>
      </c>
      <c r="D2774" t="s">
        <v>20</v>
      </c>
      <c r="E2774" t="s">
        <v>21</v>
      </c>
      <c r="F2774" s="1">
        <v>44197</v>
      </c>
      <c r="G2774">
        <v>5.83</v>
      </c>
      <c r="H2774">
        <v>82.333299999999994</v>
      </c>
      <c r="I2774">
        <v>19.23</v>
      </c>
      <c r="J2774">
        <v>79.900000000000006</v>
      </c>
      <c r="K2774" t="s">
        <v>22</v>
      </c>
      <c r="L2774">
        <v>1585.2</v>
      </c>
      <c r="M2774">
        <f>VLOOKUP(K2774,RatingLookup!$A$2:$C$8,2,FALSE)</f>
        <v>5.0000000000000001E-3</v>
      </c>
      <c r="N2774">
        <f t="shared" si="129"/>
        <v>4.1762458919303302E-4</v>
      </c>
      <c r="O2774">
        <f>VLOOKUP(K2774,RatingLookup!$A$2:$C$8,3,FALSE)</f>
        <v>0.45</v>
      </c>
      <c r="P2774">
        <f t="shared" si="130"/>
        <v>0.29790832445495818</v>
      </c>
      <c r="Q2774" t="str">
        <f t="shared" ca="1" si="131"/>
        <v>No</v>
      </c>
    </row>
    <row r="2775" spans="1:17" x14ac:dyDescent="0.45">
      <c r="A2775" t="s">
        <v>128</v>
      </c>
      <c r="B2775" t="s">
        <v>129</v>
      </c>
      <c r="C2775" t="s">
        <v>66</v>
      </c>
      <c r="D2775" t="s">
        <v>20</v>
      </c>
      <c r="E2775" t="s">
        <v>21</v>
      </c>
      <c r="F2775" s="1">
        <v>44228</v>
      </c>
      <c r="G2775">
        <v>5.09</v>
      </c>
      <c r="H2775">
        <v>89.203400000000002</v>
      </c>
      <c r="I2775">
        <v>19.059999999999999</v>
      </c>
      <c r="J2775">
        <v>58.92</v>
      </c>
      <c r="K2775" t="s">
        <v>22</v>
      </c>
      <c r="L2775">
        <v>1457.71</v>
      </c>
      <c r="M2775">
        <f>VLOOKUP(K2775,RatingLookup!$A$2:$C$8,2,FALSE)</f>
        <v>5.0000000000000001E-3</v>
      </c>
      <c r="N2775">
        <f t="shared" si="129"/>
        <v>4.1762458919303302E-4</v>
      </c>
      <c r="O2775">
        <f>VLOOKUP(K2775,RatingLookup!$A$2:$C$8,3,FALSE)</f>
        <v>0.45</v>
      </c>
      <c r="P2775">
        <f t="shared" si="130"/>
        <v>0.27394899296065928</v>
      </c>
      <c r="Q2775" t="str">
        <f t="shared" ca="1" si="131"/>
        <v>No</v>
      </c>
    </row>
    <row r="2776" spans="1:17" x14ac:dyDescent="0.45">
      <c r="A2776" t="s">
        <v>128</v>
      </c>
      <c r="B2776" t="s">
        <v>129</v>
      </c>
      <c r="C2776" t="s">
        <v>66</v>
      </c>
      <c r="D2776" t="s">
        <v>20</v>
      </c>
      <c r="E2776" t="s">
        <v>21</v>
      </c>
      <c r="F2776" s="1">
        <v>44256</v>
      </c>
      <c r="G2776">
        <v>5.23</v>
      </c>
      <c r="H2776">
        <v>85.41</v>
      </c>
      <c r="I2776">
        <v>14.9</v>
      </c>
      <c r="J2776">
        <v>73.739999999999995</v>
      </c>
      <c r="K2776" t="s">
        <v>23</v>
      </c>
      <c r="L2776">
        <v>1621.45</v>
      </c>
      <c r="M2776">
        <f>VLOOKUP(K2776,RatingLookup!$A$2:$C$8,2,FALSE)</f>
        <v>1E-3</v>
      </c>
      <c r="N2776">
        <f t="shared" si="129"/>
        <v>8.3371552197619714E-5</v>
      </c>
      <c r="O2776">
        <f>VLOOKUP(K2776,RatingLookup!$A$2:$C$8,3,FALSE)</f>
        <v>0.3</v>
      </c>
      <c r="P2776">
        <f t="shared" si="130"/>
        <v>4.0554840993249144E-2</v>
      </c>
      <c r="Q2776" t="str">
        <f t="shared" ca="1" si="131"/>
        <v>No</v>
      </c>
    </row>
    <row r="2777" spans="1:17" x14ac:dyDescent="0.45">
      <c r="A2777" t="s">
        <v>128</v>
      </c>
      <c r="B2777" t="s">
        <v>129</v>
      </c>
      <c r="C2777" t="s">
        <v>66</v>
      </c>
      <c r="D2777" t="s">
        <v>20</v>
      </c>
      <c r="E2777" t="s">
        <v>21</v>
      </c>
      <c r="F2777" s="1">
        <v>44287</v>
      </c>
      <c r="G2777">
        <v>5.08</v>
      </c>
      <c r="H2777">
        <v>82.594899999999996</v>
      </c>
      <c r="I2777">
        <v>16.66</v>
      </c>
      <c r="J2777">
        <v>55.61</v>
      </c>
      <c r="K2777" t="s">
        <v>23</v>
      </c>
      <c r="L2777">
        <v>1812.03</v>
      </c>
      <c r="M2777">
        <f>VLOOKUP(K2777,RatingLookup!$A$2:$C$8,2,FALSE)</f>
        <v>1E-3</v>
      </c>
      <c r="N2777">
        <f t="shared" si="129"/>
        <v>8.3371552197619714E-5</v>
      </c>
      <c r="O2777">
        <f>VLOOKUP(K2777,RatingLookup!$A$2:$C$8,3,FALSE)</f>
        <v>0.3</v>
      </c>
      <c r="P2777">
        <f t="shared" si="130"/>
        <v>4.5321526118595849E-2</v>
      </c>
      <c r="Q2777" t="str">
        <f t="shared" ca="1" si="131"/>
        <v>No</v>
      </c>
    </row>
    <row r="2778" spans="1:17" x14ac:dyDescent="0.45">
      <c r="A2778" t="s">
        <v>128</v>
      </c>
      <c r="B2778" t="s">
        <v>129</v>
      </c>
      <c r="C2778" t="s">
        <v>66</v>
      </c>
      <c r="D2778" t="s">
        <v>20</v>
      </c>
      <c r="E2778" t="s">
        <v>21</v>
      </c>
      <c r="F2778" s="1">
        <v>44317</v>
      </c>
      <c r="G2778">
        <v>5.58</v>
      </c>
      <c r="H2778">
        <v>79.980400000000003</v>
      </c>
      <c r="I2778">
        <v>15.55</v>
      </c>
      <c r="J2778">
        <v>87.49</v>
      </c>
      <c r="K2778" t="s">
        <v>23</v>
      </c>
      <c r="L2778">
        <v>1741.42</v>
      </c>
      <c r="M2778">
        <f>VLOOKUP(K2778,RatingLookup!$A$2:$C$8,2,FALSE)</f>
        <v>1E-3</v>
      </c>
      <c r="N2778">
        <f t="shared" si="129"/>
        <v>8.3371552197619714E-5</v>
      </c>
      <c r="O2778">
        <f>VLOOKUP(K2778,RatingLookup!$A$2:$C$8,3,FALSE)</f>
        <v>0.3</v>
      </c>
      <c r="P2778">
        <f t="shared" si="130"/>
        <v>4.355546652839367E-2</v>
      </c>
      <c r="Q2778" t="str">
        <f t="shared" ca="1" si="131"/>
        <v>No</v>
      </c>
    </row>
    <row r="2779" spans="1:17" x14ac:dyDescent="0.45">
      <c r="A2779" t="s">
        <v>128</v>
      </c>
      <c r="B2779" t="s">
        <v>129</v>
      </c>
      <c r="C2779" t="s">
        <v>66</v>
      </c>
      <c r="D2779" t="s">
        <v>20</v>
      </c>
      <c r="E2779" t="s">
        <v>21</v>
      </c>
      <c r="F2779" s="1">
        <v>44348</v>
      </c>
      <c r="G2779">
        <v>5.77</v>
      </c>
      <c r="H2779">
        <v>84.621200000000002</v>
      </c>
      <c r="I2779">
        <v>22.48</v>
      </c>
      <c r="J2779">
        <v>73.22</v>
      </c>
      <c r="K2779" t="s">
        <v>23</v>
      </c>
      <c r="L2779">
        <v>1843.05</v>
      </c>
      <c r="M2779">
        <f>VLOOKUP(K2779,RatingLookup!$A$2:$C$8,2,FALSE)</f>
        <v>1E-3</v>
      </c>
      <c r="N2779">
        <f t="shared" si="129"/>
        <v>8.3371552197619714E-5</v>
      </c>
      <c r="O2779">
        <f>VLOOKUP(K2779,RatingLookup!$A$2:$C$8,3,FALSE)</f>
        <v>0.3</v>
      </c>
      <c r="P2779">
        <f t="shared" si="130"/>
        <v>4.6097381783346901E-2</v>
      </c>
      <c r="Q2779" t="str">
        <f t="shared" ca="1" si="131"/>
        <v>No</v>
      </c>
    </row>
    <row r="2780" spans="1:17" x14ac:dyDescent="0.45">
      <c r="A2780" t="s">
        <v>128</v>
      </c>
      <c r="B2780" t="s">
        <v>129</v>
      </c>
      <c r="C2780" t="s">
        <v>66</v>
      </c>
      <c r="D2780" t="s">
        <v>20</v>
      </c>
      <c r="E2780" t="s">
        <v>21</v>
      </c>
      <c r="F2780" s="1">
        <v>44378</v>
      </c>
      <c r="G2780">
        <v>5.16</v>
      </c>
      <c r="H2780">
        <v>79.381900000000002</v>
      </c>
      <c r="I2780">
        <v>21.86</v>
      </c>
      <c r="J2780">
        <v>76.66</v>
      </c>
      <c r="K2780" t="s">
        <v>23</v>
      </c>
      <c r="L2780">
        <v>1796.84</v>
      </c>
      <c r="M2780">
        <f>VLOOKUP(K2780,RatingLookup!$A$2:$C$8,2,FALSE)</f>
        <v>1E-3</v>
      </c>
      <c r="N2780">
        <f t="shared" si="129"/>
        <v>8.3371552197619714E-5</v>
      </c>
      <c r="O2780">
        <f>VLOOKUP(K2780,RatingLookup!$A$2:$C$8,3,FALSE)</f>
        <v>0.3</v>
      </c>
      <c r="P2780">
        <f t="shared" si="130"/>
        <v>4.4941601955231295E-2</v>
      </c>
      <c r="Q2780" t="str">
        <f t="shared" ca="1" si="131"/>
        <v>No</v>
      </c>
    </row>
    <row r="2781" spans="1:17" x14ac:dyDescent="0.45">
      <c r="A2781" t="s">
        <v>128</v>
      </c>
      <c r="B2781" t="s">
        <v>129</v>
      </c>
      <c r="C2781" t="s">
        <v>66</v>
      </c>
      <c r="D2781" t="s">
        <v>20</v>
      </c>
      <c r="E2781" t="s">
        <v>21</v>
      </c>
      <c r="F2781" s="1">
        <v>44409</v>
      </c>
      <c r="G2781">
        <v>4.03</v>
      </c>
      <c r="H2781">
        <v>81.516000000000005</v>
      </c>
      <c r="I2781">
        <v>12.14</v>
      </c>
      <c r="J2781">
        <v>77.34</v>
      </c>
      <c r="K2781" t="s">
        <v>23</v>
      </c>
      <c r="L2781">
        <v>1638.45</v>
      </c>
      <c r="M2781">
        <f>VLOOKUP(K2781,RatingLookup!$A$2:$C$8,2,FALSE)</f>
        <v>1E-3</v>
      </c>
      <c r="N2781">
        <f t="shared" si="129"/>
        <v>8.3371552197619714E-5</v>
      </c>
      <c r="O2781">
        <f>VLOOKUP(K2781,RatingLookup!$A$2:$C$8,3,FALSE)</f>
        <v>0.3</v>
      </c>
      <c r="P2781">
        <f t="shared" si="130"/>
        <v>4.0980035909457008E-2</v>
      </c>
      <c r="Q2781" t="str">
        <f t="shared" ca="1" si="131"/>
        <v>No</v>
      </c>
    </row>
    <row r="2782" spans="1:17" x14ac:dyDescent="0.45">
      <c r="A2782" t="s">
        <v>128</v>
      </c>
      <c r="B2782" t="s">
        <v>129</v>
      </c>
      <c r="C2782" t="s">
        <v>66</v>
      </c>
      <c r="D2782" t="s">
        <v>20</v>
      </c>
      <c r="E2782" t="s">
        <v>21</v>
      </c>
      <c r="F2782" s="1">
        <v>44440</v>
      </c>
      <c r="G2782">
        <v>6.09</v>
      </c>
      <c r="H2782">
        <v>78.049099999999996</v>
      </c>
      <c r="I2782">
        <v>23.71</v>
      </c>
      <c r="J2782">
        <v>84.91</v>
      </c>
      <c r="K2782" t="s">
        <v>23</v>
      </c>
      <c r="L2782">
        <v>1672.06</v>
      </c>
      <c r="M2782">
        <f>VLOOKUP(K2782,RatingLookup!$A$2:$C$8,2,FALSE)</f>
        <v>1E-3</v>
      </c>
      <c r="N2782">
        <f t="shared" si="129"/>
        <v>8.3371552197619714E-5</v>
      </c>
      <c r="O2782">
        <f>VLOOKUP(K2782,RatingLookup!$A$2:$C$8,3,FALSE)</f>
        <v>0.3</v>
      </c>
      <c r="P2782">
        <f t="shared" si="130"/>
        <v>4.1820671270265605E-2</v>
      </c>
      <c r="Q2782" t="str">
        <f t="shared" ca="1" si="131"/>
        <v>No</v>
      </c>
    </row>
    <row r="2783" spans="1:17" x14ac:dyDescent="0.45">
      <c r="A2783" t="s">
        <v>128</v>
      </c>
      <c r="B2783" t="s">
        <v>129</v>
      </c>
      <c r="C2783" t="s">
        <v>66</v>
      </c>
      <c r="D2783" t="s">
        <v>20</v>
      </c>
      <c r="E2783" t="s">
        <v>21</v>
      </c>
      <c r="F2783" s="1">
        <v>44470</v>
      </c>
      <c r="G2783">
        <v>5.39</v>
      </c>
      <c r="H2783">
        <v>79.963099999999997</v>
      </c>
      <c r="I2783">
        <v>16.57</v>
      </c>
      <c r="J2783">
        <v>82.75</v>
      </c>
      <c r="K2783" t="s">
        <v>23</v>
      </c>
      <c r="L2783">
        <v>1654.14</v>
      </c>
      <c r="M2783">
        <f>VLOOKUP(K2783,RatingLookup!$A$2:$C$8,2,FALSE)</f>
        <v>1E-3</v>
      </c>
      <c r="N2783">
        <f t="shared" si="129"/>
        <v>8.3371552197619714E-5</v>
      </c>
      <c r="O2783">
        <f>VLOOKUP(K2783,RatingLookup!$A$2:$C$8,3,FALSE)</f>
        <v>0.3</v>
      </c>
      <c r="P2783">
        <f t="shared" si="130"/>
        <v>4.1372465805651203E-2</v>
      </c>
      <c r="Q2783" t="str">
        <f t="shared" ca="1" si="131"/>
        <v>No</v>
      </c>
    </row>
    <row r="2784" spans="1:17" x14ac:dyDescent="0.45">
      <c r="A2784" t="s">
        <v>128</v>
      </c>
      <c r="B2784" t="s">
        <v>129</v>
      </c>
      <c r="C2784" t="s">
        <v>66</v>
      </c>
      <c r="D2784" t="s">
        <v>20</v>
      </c>
      <c r="E2784" t="s">
        <v>21</v>
      </c>
      <c r="F2784" s="1">
        <v>44501</v>
      </c>
      <c r="G2784">
        <v>4.91</v>
      </c>
      <c r="H2784">
        <v>83.270300000000006</v>
      </c>
      <c r="I2784">
        <v>12.24</v>
      </c>
      <c r="J2784">
        <v>62.35</v>
      </c>
      <c r="K2784" t="s">
        <v>23</v>
      </c>
      <c r="L2784">
        <v>1784.41</v>
      </c>
      <c r="M2784">
        <f>VLOOKUP(K2784,RatingLookup!$A$2:$C$8,2,FALSE)</f>
        <v>1E-3</v>
      </c>
      <c r="N2784">
        <f t="shared" si="129"/>
        <v>8.3371552197619714E-5</v>
      </c>
      <c r="O2784">
        <f>VLOOKUP(K2784,RatingLookup!$A$2:$C$8,3,FALSE)</f>
        <v>0.3</v>
      </c>
      <c r="P2784">
        <f t="shared" si="130"/>
        <v>4.4630709437086379E-2</v>
      </c>
      <c r="Q2784" t="str">
        <f t="shared" ca="1" si="131"/>
        <v>No</v>
      </c>
    </row>
    <row r="2785" spans="1:17" x14ac:dyDescent="0.45">
      <c r="A2785" t="s">
        <v>128</v>
      </c>
      <c r="B2785" t="s">
        <v>129</v>
      </c>
      <c r="C2785" t="s">
        <v>66</v>
      </c>
      <c r="D2785" t="s">
        <v>20</v>
      </c>
      <c r="E2785" t="s">
        <v>21</v>
      </c>
      <c r="F2785" s="1">
        <v>44531</v>
      </c>
      <c r="G2785">
        <v>5.26</v>
      </c>
      <c r="H2785">
        <v>80.495500000000007</v>
      </c>
      <c r="I2785">
        <v>13.2</v>
      </c>
      <c r="J2785">
        <v>84.51</v>
      </c>
      <c r="K2785" t="s">
        <v>23</v>
      </c>
      <c r="L2785">
        <v>1630.43</v>
      </c>
      <c r="M2785">
        <f>VLOOKUP(K2785,RatingLookup!$A$2:$C$8,2,FALSE)</f>
        <v>1E-3</v>
      </c>
      <c r="N2785">
        <f t="shared" si="129"/>
        <v>8.3371552197619714E-5</v>
      </c>
      <c r="O2785">
        <f>VLOOKUP(K2785,RatingLookup!$A$2:$C$8,3,FALSE)</f>
        <v>0.3</v>
      </c>
      <c r="P2785">
        <f t="shared" si="130"/>
        <v>4.0779443954869529E-2</v>
      </c>
      <c r="Q2785" t="str">
        <f t="shared" ca="1" si="131"/>
        <v>No</v>
      </c>
    </row>
    <row r="2786" spans="1:17" x14ac:dyDescent="0.45">
      <c r="A2786" t="s">
        <v>128</v>
      </c>
      <c r="B2786" t="s">
        <v>129</v>
      </c>
      <c r="C2786" t="s">
        <v>66</v>
      </c>
      <c r="D2786" t="s">
        <v>20</v>
      </c>
      <c r="E2786" t="s">
        <v>21</v>
      </c>
      <c r="F2786" s="1">
        <v>44562</v>
      </c>
      <c r="G2786">
        <v>5.87</v>
      </c>
      <c r="H2786">
        <v>80.4559</v>
      </c>
      <c r="I2786">
        <v>20.64</v>
      </c>
      <c r="J2786">
        <v>64.38</v>
      </c>
      <c r="K2786" t="s">
        <v>23</v>
      </c>
      <c r="L2786">
        <v>1587.14</v>
      </c>
      <c r="M2786">
        <f>VLOOKUP(K2786,RatingLookup!$A$2:$C$8,2,FALSE)</f>
        <v>1E-3</v>
      </c>
      <c r="N2786">
        <f t="shared" si="129"/>
        <v>8.3371552197619714E-5</v>
      </c>
      <c r="O2786">
        <f>VLOOKUP(K2786,RatingLookup!$A$2:$C$8,3,FALSE)</f>
        <v>0.3</v>
      </c>
      <c r="P2786">
        <f t="shared" si="130"/>
        <v>3.9696697606479044E-2</v>
      </c>
      <c r="Q2786" t="str">
        <f t="shared" ca="1" si="131"/>
        <v>No</v>
      </c>
    </row>
    <row r="2787" spans="1:17" x14ac:dyDescent="0.45">
      <c r="A2787" t="s">
        <v>128</v>
      </c>
      <c r="B2787" t="s">
        <v>129</v>
      </c>
      <c r="C2787" t="s">
        <v>66</v>
      </c>
      <c r="D2787" t="s">
        <v>20</v>
      </c>
      <c r="E2787" t="s">
        <v>21</v>
      </c>
      <c r="F2787" s="1">
        <v>44593</v>
      </c>
      <c r="G2787">
        <v>5.93</v>
      </c>
      <c r="H2787">
        <v>81.283900000000003</v>
      </c>
      <c r="I2787">
        <v>15.6</v>
      </c>
      <c r="J2787">
        <v>97.84</v>
      </c>
      <c r="K2787" t="s">
        <v>23</v>
      </c>
      <c r="L2787">
        <v>1749.76</v>
      </c>
      <c r="M2787">
        <f>VLOOKUP(K2787,RatingLookup!$A$2:$C$8,2,FALSE)</f>
        <v>1E-3</v>
      </c>
      <c r="N2787">
        <f t="shared" si="129"/>
        <v>8.3371552197619714E-5</v>
      </c>
      <c r="O2787">
        <f>VLOOKUP(K2787,RatingLookup!$A$2:$C$8,3,FALSE)</f>
        <v>0.3</v>
      </c>
      <c r="P2787">
        <f t="shared" si="130"/>
        <v>4.376406215199212E-2</v>
      </c>
      <c r="Q2787" t="str">
        <f t="shared" ca="1" si="131"/>
        <v>No</v>
      </c>
    </row>
    <row r="2788" spans="1:17" x14ac:dyDescent="0.45">
      <c r="A2788" t="s">
        <v>128</v>
      </c>
      <c r="B2788" t="s">
        <v>129</v>
      </c>
      <c r="C2788" t="s">
        <v>66</v>
      </c>
      <c r="D2788" t="s">
        <v>20</v>
      </c>
      <c r="E2788" t="s">
        <v>21</v>
      </c>
      <c r="F2788" s="1">
        <v>44621</v>
      </c>
      <c r="G2788">
        <v>5.97</v>
      </c>
      <c r="H2788">
        <v>79.639200000000002</v>
      </c>
      <c r="I2788">
        <v>21.63</v>
      </c>
      <c r="J2788">
        <v>82.84</v>
      </c>
      <c r="K2788" t="s">
        <v>23</v>
      </c>
      <c r="L2788">
        <v>1821.09</v>
      </c>
      <c r="M2788">
        <f>VLOOKUP(K2788,RatingLookup!$A$2:$C$8,2,FALSE)</f>
        <v>1E-3</v>
      </c>
      <c r="N2788">
        <f t="shared" si="129"/>
        <v>8.3371552197619714E-5</v>
      </c>
      <c r="O2788">
        <f>VLOOKUP(K2788,RatingLookup!$A$2:$C$8,3,FALSE)</f>
        <v>0.3</v>
      </c>
      <c r="P2788">
        <f t="shared" si="130"/>
        <v>4.5548129997468982E-2</v>
      </c>
      <c r="Q2788" t="str">
        <f t="shared" ca="1" si="131"/>
        <v>No</v>
      </c>
    </row>
    <row r="2789" spans="1:17" x14ac:dyDescent="0.45">
      <c r="A2789" t="s">
        <v>128</v>
      </c>
      <c r="B2789" t="s">
        <v>129</v>
      </c>
      <c r="C2789" t="s">
        <v>66</v>
      </c>
      <c r="D2789" t="s">
        <v>20</v>
      </c>
      <c r="E2789" t="s">
        <v>21</v>
      </c>
      <c r="F2789" s="1">
        <v>44652</v>
      </c>
      <c r="G2789">
        <v>4.32</v>
      </c>
      <c r="H2789">
        <v>85.358099999999993</v>
      </c>
      <c r="I2789">
        <v>20.66</v>
      </c>
      <c r="J2789">
        <v>70.16</v>
      </c>
      <c r="K2789" t="s">
        <v>23</v>
      </c>
      <c r="L2789">
        <v>1557.28</v>
      </c>
      <c r="M2789">
        <f>VLOOKUP(K2789,RatingLookup!$A$2:$C$8,2,FALSE)</f>
        <v>1E-3</v>
      </c>
      <c r="N2789">
        <f t="shared" si="129"/>
        <v>8.3371552197619714E-5</v>
      </c>
      <c r="O2789">
        <f>VLOOKUP(K2789,RatingLookup!$A$2:$C$8,3,FALSE)</f>
        <v>0.3</v>
      </c>
      <c r="P2789">
        <f t="shared" si="130"/>
        <v>3.8949855241892761E-2</v>
      </c>
      <c r="Q2789" t="str">
        <f t="shared" ca="1" si="131"/>
        <v>No</v>
      </c>
    </row>
    <row r="2790" spans="1:17" x14ac:dyDescent="0.45">
      <c r="A2790" t="s">
        <v>128</v>
      </c>
      <c r="B2790" t="s">
        <v>129</v>
      </c>
      <c r="C2790" t="s">
        <v>66</v>
      </c>
      <c r="D2790" t="s">
        <v>20</v>
      </c>
      <c r="E2790" t="s">
        <v>21</v>
      </c>
      <c r="F2790" s="1">
        <v>44682</v>
      </c>
      <c r="G2790">
        <v>4.59</v>
      </c>
      <c r="H2790">
        <v>80.432500000000005</v>
      </c>
      <c r="I2790">
        <v>10.98</v>
      </c>
      <c r="J2790">
        <v>73.45</v>
      </c>
      <c r="K2790" t="s">
        <v>23</v>
      </c>
      <c r="L2790">
        <v>1646.79</v>
      </c>
      <c r="M2790">
        <f>VLOOKUP(K2790,RatingLookup!$A$2:$C$8,2,FALSE)</f>
        <v>1E-3</v>
      </c>
      <c r="N2790">
        <f t="shared" si="129"/>
        <v>8.3371552197619714E-5</v>
      </c>
      <c r="O2790">
        <f>VLOOKUP(K2790,RatingLookup!$A$2:$C$8,3,FALSE)</f>
        <v>0.3</v>
      </c>
      <c r="P2790">
        <f t="shared" si="130"/>
        <v>4.1188631533055443E-2</v>
      </c>
      <c r="Q2790" t="str">
        <f t="shared" ca="1" si="131"/>
        <v>No</v>
      </c>
    </row>
    <row r="2791" spans="1:17" x14ac:dyDescent="0.45">
      <c r="A2791" t="s">
        <v>128</v>
      </c>
      <c r="B2791" t="s">
        <v>129</v>
      </c>
      <c r="C2791" t="s">
        <v>66</v>
      </c>
      <c r="D2791" t="s">
        <v>20</v>
      </c>
      <c r="E2791" t="s">
        <v>21</v>
      </c>
      <c r="F2791" s="1">
        <v>44713</v>
      </c>
      <c r="G2791">
        <v>6.8</v>
      </c>
      <c r="H2791">
        <v>84.739199999999997</v>
      </c>
      <c r="I2791">
        <v>11.95</v>
      </c>
      <c r="J2791">
        <v>68.3</v>
      </c>
      <c r="K2791" t="s">
        <v>23</v>
      </c>
      <c r="L2791">
        <v>1618.55</v>
      </c>
      <c r="M2791">
        <f>VLOOKUP(K2791,RatingLookup!$A$2:$C$8,2,FALSE)</f>
        <v>1E-3</v>
      </c>
      <c r="N2791">
        <f t="shared" si="129"/>
        <v>8.3371552197619714E-5</v>
      </c>
      <c r="O2791">
        <f>VLOOKUP(K2791,RatingLookup!$A$2:$C$8,3,FALSE)</f>
        <v>0.3</v>
      </c>
      <c r="P2791">
        <f t="shared" si="130"/>
        <v>4.0482307742837211E-2</v>
      </c>
      <c r="Q2791" t="str">
        <f t="shared" ca="1" si="131"/>
        <v>No</v>
      </c>
    </row>
    <row r="2792" spans="1:17" x14ac:dyDescent="0.45">
      <c r="A2792" t="s">
        <v>128</v>
      </c>
      <c r="B2792" t="s">
        <v>129</v>
      </c>
      <c r="C2792" t="s">
        <v>66</v>
      </c>
      <c r="D2792" t="s">
        <v>20</v>
      </c>
      <c r="E2792" t="s">
        <v>21</v>
      </c>
      <c r="F2792" s="1">
        <v>44743</v>
      </c>
      <c r="G2792">
        <v>6.22</v>
      </c>
      <c r="H2792">
        <v>83.095100000000002</v>
      </c>
      <c r="I2792">
        <v>16.829999999999998</v>
      </c>
      <c r="J2792">
        <v>83.51</v>
      </c>
      <c r="K2792" t="s">
        <v>23</v>
      </c>
      <c r="L2792">
        <v>1771.62</v>
      </c>
      <c r="M2792">
        <f>VLOOKUP(K2792,RatingLookup!$A$2:$C$8,2,FALSE)</f>
        <v>1E-3</v>
      </c>
      <c r="N2792">
        <f t="shared" si="129"/>
        <v>8.3371552197619714E-5</v>
      </c>
      <c r="O2792">
        <f>VLOOKUP(K2792,RatingLookup!$A$2:$C$8,3,FALSE)</f>
        <v>0.3</v>
      </c>
      <c r="P2792">
        <f t="shared" si="130"/>
        <v>4.4310812791304111E-2</v>
      </c>
      <c r="Q2792" t="str">
        <f t="shared" ca="1" si="131"/>
        <v>No</v>
      </c>
    </row>
    <row r="2793" spans="1:17" x14ac:dyDescent="0.45">
      <c r="A2793" t="s">
        <v>128</v>
      </c>
      <c r="B2793" t="s">
        <v>129</v>
      </c>
      <c r="C2793" t="s">
        <v>66</v>
      </c>
      <c r="D2793" t="s">
        <v>20</v>
      </c>
      <c r="E2793" t="s">
        <v>21</v>
      </c>
      <c r="F2793" s="1">
        <v>44774</v>
      </c>
      <c r="G2793">
        <v>5.76</v>
      </c>
      <c r="H2793">
        <v>79.0685</v>
      </c>
      <c r="I2793">
        <v>17.899999999999999</v>
      </c>
      <c r="J2793">
        <v>80.44</v>
      </c>
      <c r="K2793" t="s">
        <v>23</v>
      </c>
      <c r="L2793">
        <v>1713.39</v>
      </c>
      <c r="M2793">
        <f>VLOOKUP(K2793,RatingLookup!$A$2:$C$8,2,FALSE)</f>
        <v>1E-3</v>
      </c>
      <c r="N2793">
        <f t="shared" si="129"/>
        <v>8.3371552197619714E-5</v>
      </c>
      <c r="O2793">
        <f>VLOOKUP(K2793,RatingLookup!$A$2:$C$8,3,FALSE)</f>
        <v>0.3</v>
      </c>
      <c r="P2793">
        <f t="shared" si="130"/>
        <v>4.285439514596389E-2</v>
      </c>
      <c r="Q2793" t="str">
        <f t="shared" ca="1" si="131"/>
        <v>No</v>
      </c>
    </row>
    <row r="2794" spans="1:17" x14ac:dyDescent="0.45">
      <c r="A2794" t="s">
        <v>128</v>
      </c>
      <c r="B2794" t="s">
        <v>129</v>
      </c>
      <c r="C2794" t="s">
        <v>66</v>
      </c>
      <c r="D2794" t="s">
        <v>20</v>
      </c>
      <c r="E2794" t="s">
        <v>21</v>
      </c>
      <c r="F2794" s="1">
        <v>44805</v>
      </c>
      <c r="G2794">
        <v>4.75</v>
      </c>
      <c r="H2794">
        <v>82.653099999999995</v>
      </c>
      <c r="I2794">
        <v>43.53</v>
      </c>
      <c r="J2794">
        <v>69.97</v>
      </c>
      <c r="K2794" t="s">
        <v>23</v>
      </c>
      <c r="L2794">
        <v>1742.69</v>
      </c>
      <c r="M2794">
        <f>VLOOKUP(K2794,RatingLookup!$A$2:$C$8,2,FALSE)</f>
        <v>1E-3</v>
      </c>
      <c r="N2794">
        <f t="shared" si="129"/>
        <v>8.3371552197619714E-5</v>
      </c>
      <c r="O2794">
        <f>VLOOKUP(K2794,RatingLookup!$A$2:$C$8,3,FALSE)</f>
        <v>0.3</v>
      </c>
      <c r="P2794">
        <f t="shared" si="130"/>
        <v>4.3587231089780971E-2</v>
      </c>
      <c r="Q2794" t="str">
        <f t="shared" ca="1" si="131"/>
        <v>No</v>
      </c>
    </row>
    <row r="2795" spans="1:17" x14ac:dyDescent="0.45">
      <c r="A2795" t="s">
        <v>128</v>
      </c>
      <c r="B2795" t="s">
        <v>129</v>
      </c>
      <c r="C2795" t="s">
        <v>66</v>
      </c>
      <c r="D2795" t="s">
        <v>20</v>
      </c>
      <c r="E2795" t="s">
        <v>21</v>
      </c>
      <c r="F2795" s="1">
        <v>44835</v>
      </c>
      <c r="G2795">
        <v>6.26</v>
      </c>
      <c r="H2795">
        <v>85.0715</v>
      </c>
      <c r="I2795">
        <v>23.41</v>
      </c>
      <c r="J2795">
        <v>73.239999999999995</v>
      </c>
      <c r="K2795" t="s">
        <v>23</v>
      </c>
      <c r="L2795">
        <v>1815.03</v>
      </c>
      <c r="M2795">
        <f>VLOOKUP(K2795,RatingLookup!$A$2:$C$8,2,FALSE)</f>
        <v>1E-3</v>
      </c>
      <c r="N2795">
        <f t="shared" si="129"/>
        <v>8.3371552197619714E-5</v>
      </c>
      <c r="O2795">
        <f>VLOOKUP(K2795,RatingLookup!$A$2:$C$8,3,FALSE)</f>
        <v>0.3</v>
      </c>
      <c r="P2795">
        <f t="shared" si="130"/>
        <v>4.5396560515573704E-2</v>
      </c>
      <c r="Q2795" t="str">
        <f t="shared" ca="1" si="131"/>
        <v>No</v>
      </c>
    </row>
    <row r="2796" spans="1:17" x14ac:dyDescent="0.45">
      <c r="A2796" t="s">
        <v>128</v>
      </c>
      <c r="B2796" t="s">
        <v>129</v>
      </c>
      <c r="C2796" t="s">
        <v>66</v>
      </c>
      <c r="D2796" t="s">
        <v>20</v>
      </c>
      <c r="E2796" t="s">
        <v>21</v>
      </c>
      <c r="F2796" s="1">
        <v>44866</v>
      </c>
      <c r="G2796">
        <v>6.53</v>
      </c>
      <c r="H2796">
        <v>84.303299999999993</v>
      </c>
      <c r="I2796">
        <v>8.59</v>
      </c>
      <c r="J2796">
        <v>77.12</v>
      </c>
      <c r="K2796" t="s">
        <v>23</v>
      </c>
      <c r="L2796">
        <v>1718.05</v>
      </c>
      <c r="M2796">
        <f>VLOOKUP(K2796,RatingLookup!$A$2:$C$8,2,FALSE)</f>
        <v>1E-3</v>
      </c>
      <c r="N2796">
        <f t="shared" si="129"/>
        <v>8.3371552197619714E-5</v>
      </c>
      <c r="O2796">
        <f>VLOOKUP(K2796,RatingLookup!$A$2:$C$8,3,FALSE)</f>
        <v>0.3</v>
      </c>
      <c r="P2796">
        <f t="shared" si="130"/>
        <v>4.2970948575936162E-2</v>
      </c>
      <c r="Q2796" t="str">
        <f t="shared" ca="1" si="131"/>
        <v>No</v>
      </c>
    </row>
    <row r="2797" spans="1:17" x14ac:dyDescent="0.45">
      <c r="A2797" t="s">
        <v>128</v>
      </c>
      <c r="B2797" t="s">
        <v>129</v>
      </c>
      <c r="C2797" t="s">
        <v>66</v>
      </c>
      <c r="D2797" t="s">
        <v>20</v>
      </c>
      <c r="E2797" t="s">
        <v>21</v>
      </c>
      <c r="F2797" s="1">
        <v>44896</v>
      </c>
      <c r="G2797">
        <v>5.37</v>
      </c>
      <c r="H2797">
        <v>83.989900000000006</v>
      </c>
      <c r="I2797">
        <v>20.46</v>
      </c>
      <c r="J2797">
        <v>92.84</v>
      </c>
      <c r="K2797" t="s">
        <v>23</v>
      </c>
      <c r="L2797">
        <v>1878.65</v>
      </c>
      <c r="M2797">
        <f>VLOOKUP(K2797,RatingLookup!$A$2:$C$8,2,FALSE)</f>
        <v>1E-3</v>
      </c>
      <c r="N2797">
        <f t="shared" si="129"/>
        <v>8.3371552197619714E-5</v>
      </c>
      <c r="O2797">
        <f>VLOOKUP(K2797,RatingLookup!$A$2:$C$8,3,FALSE)</f>
        <v>0.3</v>
      </c>
      <c r="P2797">
        <f t="shared" si="130"/>
        <v>4.6987789960817483E-2</v>
      </c>
      <c r="Q2797" t="str">
        <f t="shared" ca="1" si="131"/>
        <v>No</v>
      </c>
    </row>
    <row r="2798" spans="1:17" x14ac:dyDescent="0.45">
      <c r="A2798" t="s">
        <v>128</v>
      </c>
      <c r="B2798" t="s">
        <v>129</v>
      </c>
      <c r="C2798" t="s">
        <v>66</v>
      </c>
      <c r="D2798" t="s">
        <v>20</v>
      </c>
      <c r="E2798" t="s">
        <v>21</v>
      </c>
      <c r="F2798" s="1">
        <v>44927</v>
      </c>
      <c r="G2798">
        <v>4.33</v>
      </c>
      <c r="H2798">
        <v>80.228300000000004</v>
      </c>
      <c r="I2798">
        <v>6.15</v>
      </c>
      <c r="J2798">
        <v>62.92</v>
      </c>
      <c r="K2798" t="s">
        <v>23</v>
      </c>
      <c r="L2798">
        <v>1899.83</v>
      </c>
      <c r="M2798">
        <f>VLOOKUP(K2798,RatingLookup!$A$2:$C$8,2,FALSE)</f>
        <v>1E-3</v>
      </c>
      <c r="N2798">
        <f t="shared" si="129"/>
        <v>8.3371552197619714E-5</v>
      </c>
      <c r="O2798">
        <f>VLOOKUP(K2798,RatingLookup!$A$2:$C$8,3,FALSE)</f>
        <v>0.3</v>
      </c>
      <c r="P2798">
        <f t="shared" si="130"/>
        <v>4.7517532803481158E-2</v>
      </c>
      <c r="Q2798" t="str">
        <f t="shared" ca="1" si="131"/>
        <v>No</v>
      </c>
    </row>
    <row r="2799" spans="1:17" x14ac:dyDescent="0.45">
      <c r="A2799" t="s">
        <v>128</v>
      </c>
      <c r="B2799" t="s">
        <v>129</v>
      </c>
      <c r="C2799" t="s">
        <v>66</v>
      </c>
      <c r="D2799" t="s">
        <v>20</v>
      </c>
      <c r="E2799" t="s">
        <v>21</v>
      </c>
      <c r="F2799" s="1">
        <v>44958</v>
      </c>
      <c r="G2799">
        <v>5.95</v>
      </c>
      <c r="H2799">
        <v>84.271799999999999</v>
      </c>
      <c r="I2799">
        <v>18.23</v>
      </c>
      <c r="J2799">
        <v>72.81</v>
      </c>
      <c r="K2799" t="s">
        <v>23</v>
      </c>
      <c r="L2799">
        <v>1932.54</v>
      </c>
      <c r="M2799">
        <f>VLOOKUP(K2799,RatingLookup!$A$2:$C$8,2,FALSE)</f>
        <v>1E-3</v>
      </c>
      <c r="N2799">
        <f t="shared" si="129"/>
        <v>8.3371552197619714E-5</v>
      </c>
      <c r="O2799">
        <f>VLOOKUP(K2799,RatingLookup!$A$2:$C$8,3,FALSE)</f>
        <v>0.3</v>
      </c>
      <c r="P2799">
        <f t="shared" si="130"/>
        <v>4.8335657845196396E-2</v>
      </c>
      <c r="Q2799" t="str">
        <f t="shared" ca="1" si="131"/>
        <v>No</v>
      </c>
    </row>
    <row r="2800" spans="1:17" x14ac:dyDescent="0.45">
      <c r="A2800" t="s">
        <v>128</v>
      </c>
      <c r="B2800" t="s">
        <v>129</v>
      </c>
      <c r="C2800" t="s">
        <v>66</v>
      </c>
      <c r="D2800" t="s">
        <v>20</v>
      </c>
      <c r="E2800" t="s">
        <v>21</v>
      </c>
      <c r="F2800" s="1">
        <v>44986</v>
      </c>
      <c r="G2800">
        <v>5.96</v>
      </c>
      <c r="H2800">
        <v>75.782700000000006</v>
      </c>
      <c r="I2800">
        <v>23.65</v>
      </c>
      <c r="J2800">
        <v>73.790000000000006</v>
      </c>
      <c r="K2800" t="s">
        <v>23</v>
      </c>
      <c r="L2800">
        <v>2037.98</v>
      </c>
      <c r="M2800">
        <f>VLOOKUP(K2800,RatingLookup!$A$2:$C$8,2,FALSE)</f>
        <v>1E-3</v>
      </c>
      <c r="N2800">
        <f t="shared" si="129"/>
        <v>8.3371552197619714E-5</v>
      </c>
      <c r="O2800">
        <f>VLOOKUP(K2800,RatingLookup!$A$2:$C$8,3,FALSE)</f>
        <v>0.3</v>
      </c>
      <c r="P2800">
        <f t="shared" si="130"/>
        <v>5.0972866784311503E-2</v>
      </c>
      <c r="Q2800" t="str">
        <f t="shared" ca="1" si="131"/>
        <v>No</v>
      </c>
    </row>
    <row r="2801" spans="1:17" x14ac:dyDescent="0.45">
      <c r="A2801" t="s">
        <v>128</v>
      </c>
      <c r="B2801" t="s">
        <v>129</v>
      </c>
      <c r="C2801" t="s">
        <v>66</v>
      </c>
      <c r="D2801" t="s">
        <v>20</v>
      </c>
      <c r="E2801" t="s">
        <v>21</v>
      </c>
      <c r="F2801" s="1">
        <v>45017</v>
      </c>
      <c r="G2801">
        <v>6.19</v>
      </c>
      <c r="H2801">
        <v>82.546099999999996</v>
      </c>
      <c r="I2801">
        <v>14.46</v>
      </c>
      <c r="J2801">
        <v>67.45</v>
      </c>
      <c r="K2801" t="s">
        <v>23</v>
      </c>
      <c r="L2801">
        <v>1728.57</v>
      </c>
      <c r="M2801">
        <f>VLOOKUP(K2801,RatingLookup!$A$2:$C$8,2,FALSE)</f>
        <v>1E-3</v>
      </c>
      <c r="N2801">
        <f t="shared" si="129"/>
        <v>8.3371552197619714E-5</v>
      </c>
      <c r="O2801">
        <f>VLOOKUP(K2801,RatingLookup!$A$2:$C$8,3,FALSE)</f>
        <v>0.3</v>
      </c>
      <c r="P2801">
        <f t="shared" si="130"/>
        <v>4.3234069194671855E-2</v>
      </c>
      <c r="Q2801" t="str">
        <f t="shared" ca="1" si="131"/>
        <v>No</v>
      </c>
    </row>
    <row r="2802" spans="1:17" x14ac:dyDescent="0.45">
      <c r="A2802" t="s">
        <v>128</v>
      </c>
      <c r="B2802" t="s">
        <v>129</v>
      </c>
      <c r="C2802" t="s">
        <v>66</v>
      </c>
      <c r="D2802" t="s">
        <v>20</v>
      </c>
      <c r="E2802" t="s">
        <v>21</v>
      </c>
      <c r="F2802" s="1">
        <v>45047</v>
      </c>
      <c r="G2802">
        <v>5.18</v>
      </c>
      <c r="H2802">
        <v>82.619200000000006</v>
      </c>
      <c r="I2802">
        <v>27.96</v>
      </c>
      <c r="J2802">
        <v>94.42</v>
      </c>
      <c r="K2802" t="s">
        <v>48</v>
      </c>
      <c r="L2802">
        <v>1877.2</v>
      </c>
      <c r="M2802">
        <f>VLOOKUP(K2802,RatingLookup!$A$2:$C$8,2,FALSE)</f>
        <v>5.0000000000000001E-4</v>
      </c>
      <c r="N2802">
        <f t="shared" si="129"/>
        <v>4.167621832917856E-5</v>
      </c>
      <c r="O2802">
        <f>VLOOKUP(K2802,RatingLookup!$A$2:$C$8,3,FALSE)</f>
        <v>0.25</v>
      </c>
      <c r="P2802">
        <f t="shared" si="130"/>
        <v>1.9558649261883498E-2</v>
      </c>
      <c r="Q2802" t="str">
        <f t="shared" ca="1" si="131"/>
        <v>No</v>
      </c>
    </row>
    <row r="2803" spans="1:17" x14ac:dyDescent="0.45">
      <c r="A2803" t="s">
        <v>128</v>
      </c>
      <c r="B2803" t="s">
        <v>129</v>
      </c>
      <c r="C2803" t="s">
        <v>66</v>
      </c>
      <c r="D2803" t="s">
        <v>20</v>
      </c>
      <c r="E2803" t="s">
        <v>21</v>
      </c>
      <c r="F2803" s="1">
        <v>45078</v>
      </c>
      <c r="G2803">
        <v>5.29</v>
      </c>
      <c r="H2803">
        <v>82.891099999999994</v>
      </c>
      <c r="I2803">
        <v>18.61</v>
      </c>
      <c r="J2803">
        <v>84.66</v>
      </c>
      <c r="K2803" t="s">
        <v>48</v>
      </c>
      <c r="L2803">
        <v>1824.3</v>
      </c>
      <c r="M2803">
        <f>VLOOKUP(K2803,RatingLookup!$A$2:$C$8,2,FALSE)</f>
        <v>5.0000000000000001E-4</v>
      </c>
      <c r="N2803">
        <f t="shared" si="129"/>
        <v>4.167621832917856E-5</v>
      </c>
      <c r="O2803">
        <f>VLOOKUP(K2803,RatingLookup!$A$2:$C$8,3,FALSE)</f>
        <v>0.25</v>
      </c>
      <c r="P2803">
        <f t="shared" si="130"/>
        <v>1.9007481274480112E-2</v>
      </c>
      <c r="Q2803" t="str">
        <f t="shared" ca="1" si="131"/>
        <v>No</v>
      </c>
    </row>
    <row r="2804" spans="1:17" x14ac:dyDescent="0.45">
      <c r="A2804" t="s">
        <v>128</v>
      </c>
      <c r="B2804" t="s">
        <v>129</v>
      </c>
      <c r="C2804" t="s">
        <v>66</v>
      </c>
      <c r="D2804" t="s">
        <v>20</v>
      </c>
      <c r="E2804" t="s">
        <v>21</v>
      </c>
      <c r="F2804" s="1">
        <v>45108</v>
      </c>
      <c r="G2804">
        <v>4.78</v>
      </c>
      <c r="H2804">
        <v>84.576599999999999</v>
      </c>
      <c r="I2804">
        <v>19.2</v>
      </c>
      <c r="J2804">
        <v>83.29</v>
      </c>
      <c r="K2804" t="s">
        <v>48</v>
      </c>
      <c r="L2804">
        <v>1835.4</v>
      </c>
      <c r="M2804">
        <f>VLOOKUP(K2804,RatingLookup!$A$2:$C$8,2,FALSE)</f>
        <v>5.0000000000000001E-4</v>
      </c>
      <c r="N2804">
        <f t="shared" si="129"/>
        <v>4.167621832917856E-5</v>
      </c>
      <c r="O2804">
        <f>VLOOKUP(K2804,RatingLookup!$A$2:$C$8,3,FALSE)</f>
        <v>0.25</v>
      </c>
      <c r="P2804">
        <f t="shared" si="130"/>
        <v>1.9123132780343582E-2</v>
      </c>
      <c r="Q2804" t="str">
        <f t="shared" ca="1" si="131"/>
        <v>No</v>
      </c>
    </row>
    <row r="2805" spans="1:17" x14ac:dyDescent="0.45">
      <c r="A2805" t="s">
        <v>128</v>
      </c>
      <c r="B2805" t="s">
        <v>129</v>
      </c>
      <c r="C2805" t="s">
        <v>66</v>
      </c>
      <c r="D2805" t="s">
        <v>20</v>
      </c>
      <c r="E2805" t="s">
        <v>21</v>
      </c>
      <c r="F2805" s="1">
        <v>45139</v>
      </c>
      <c r="G2805">
        <v>4.28</v>
      </c>
      <c r="H2805">
        <v>86.294899999999998</v>
      </c>
      <c r="I2805">
        <v>21.41</v>
      </c>
      <c r="J2805">
        <v>68.510000000000005</v>
      </c>
      <c r="K2805" t="s">
        <v>48</v>
      </c>
      <c r="L2805">
        <v>1737.25</v>
      </c>
      <c r="M2805">
        <f>VLOOKUP(K2805,RatingLookup!$A$2:$C$8,2,FALSE)</f>
        <v>5.0000000000000001E-4</v>
      </c>
      <c r="N2805">
        <f t="shared" si="129"/>
        <v>4.167621832917856E-5</v>
      </c>
      <c r="O2805">
        <f>VLOOKUP(K2805,RatingLookup!$A$2:$C$8,3,FALSE)</f>
        <v>0.25</v>
      </c>
      <c r="P2805">
        <f t="shared" si="130"/>
        <v>1.8100502573091364E-2</v>
      </c>
      <c r="Q2805" t="str">
        <f t="shared" ca="1" si="131"/>
        <v>No</v>
      </c>
    </row>
    <row r="2806" spans="1:17" x14ac:dyDescent="0.45">
      <c r="A2806" t="s">
        <v>128</v>
      </c>
      <c r="B2806" t="s">
        <v>129</v>
      </c>
      <c r="C2806" t="s">
        <v>66</v>
      </c>
      <c r="D2806" t="s">
        <v>20</v>
      </c>
      <c r="E2806" t="s">
        <v>21</v>
      </c>
      <c r="F2806" s="1">
        <v>45170</v>
      </c>
      <c r="G2806">
        <v>5.09</v>
      </c>
      <c r="H2806">
        <v>81.301000000000002</v>
      </c>
      <c r="I2806">
        <v>8.26</v>
      </c>
      <c r="J2806">
        <v>71.42</v>
      </c>
      <c r="K2806" t="s">
        <v>48</v>
      </c>
      <c r="L2806">
        <v>1893.28</v>
      </c>
      <c r="M2806">
        <f>VLOOKUP(K2806,RatingLookup!$A$2:$C$8,2,FALSE)</f>
        <v>5.0000000000000001E-4</v>
      </c>
      <c r="N2806">
        <f t="shared" si="129"/>
        <v>4.167621832917856E-5</v>
      </c>
      <c r="O2806">
        <f>VLOOKUP(K2806,RatingLookup!$A$2:$C$8,3,FALSE)</f>
        <v>0.25</v>
      </c>
      <c r="P2806">
        <f t="shared" si="130"/>
        <v>1.9726187659566796E-2</v>
      </c>
      <c r="Q2806" t="str">
        <f t="shared" ca="1" si="131"/>
        <v>No</v>
      </c>
    </row>
    <row r="2807" spans="1:17" x14ac:dyDescent="0.45">
      <c r="A2807" t="s">
        <v>128</v>
      </c>
      <c r="B2807" t="s">
        <v>129</v>
      </c>
      <c r="C2807" t="s">
        <v>66</v>
      </c>
      <c r="D2807" t="s">
        <v>20</v>
      </c>
      <c r="E2807" t="s">
        <v>21</v>
      </c>
      <c r="F2807" s="1">
        <v>45200</v>
      </c>
      <c r="G2807">
        <v>6.14</v>
      </c>
      <c r="H2807">
        <v>84.4773</v>
      </c>
      <c r="I2807">
        <v>12.43</v>
      </c>
      <c r="J2807">
        <v>69.489999999999995</v>
      </c>
      <c r="K2807" t="s">
        <v>48</v>
      </c>
      <c r="L2807">
        <v>1782.56</v>
      </c>
      <c r="M2807">
        <f>VLOOKUP(K2807,RatingLookup!$A$2:$C$8,2,FALSE)</f>
        <v>5.0000000000000001E-4</v>
      </c>
      <c r="N2807">
        <f t="shared" si="129"/>
        <v>4.167621832917856E-5</v>
      </c>
      <c r="O2807">
        <f>VLOOKUP(K2807,RatingLookup!$A$2:$C$8,3,FALSE)</f>
        <v>0.25</v>
      </c>
      <c r="P2807">
        <f t="shared" si="130"/>
        <v>1.8572589936215134E-2</v>
      </c>
      <c r="Q2807" t="str">
        <f t="shared" ca="1" si="131"/>
        <v>No</v>
      </c>
    </row>
    <row r="2808" spans="1:17" x14ac:dyDescent="0.45">
      <c r="A2808" t="s">
        <v>128</v>
      </c>
      <c r="B2808" t="s">
        <v>129</v>
      </c>
      <c r="C2808" t="s">
        <v>66</v>
      </c>
      <c r="D2808" t="s">
        <v>20</v>
      </c>
      <c r="E2808" t="s">
        <v>21</v>
      </c>
      <c r="F2808" s="1">
        <v>45231</v>
      </c>
      <c r="G2808">
        <v>5.08</v>
      </c>
      <c r="H2808">
        <v>81.665199999999999</v>
      </c>
      <c r="I2808">
        <v>14.64</v>
      </c>
      <c r="J2808">
        <v>73.09</v>
      </c>
      <c r="K2808" t="s">
        <v>48</v>
      </c>
      <c r="L2808">
        <v>1784.52</v>
      </c>
      <c r="M2808">
        <f>VLOOKUP(K2808,RatingLookup!$A$2:$C$8,2,FALSE)</f>
        <v>5.0000000000000001E-4</v>
      </c>
      <c r="N2808">
        <f t="shared" si="129"/>
        <v>4.167621832917856E-5</v>
      </c>
      <c r="O2808">
        <f>VLOOKUP(K2808,RatingLookup!$A$2:$C$8,3,FALSE)</f>
        <v>0.25</v>
      </c>
      <c r="P2808">
        <f t="shared" si="130"/>
        <v>1.8593011283196431E-2</v>
      </c>
      <c r="Q2808" t="str">
        <f t="shared" ca="1" si="131"/>
        <v>No</v>
      </c>
    </row>
    <row r="2809" spans="1:17" x14ac:dyDescent="0.45">
      <c r="A2809" t="s">
        <v>128</v>
      </c>
      <c r="B2809" t="s">
        <v>129</v>
      </c>
      <c r="C2809" t="s">
        <v>66</v>
      </c>
      <c r="D2809" t="s">
        <v>20</v>
      </c>
      <c r="E2809" t="s">
        <v>21</v>
      </c>
      <c r="F2809" s="1">
        <v>45261</v>
      </c>
      <c r="G2809">
        <v>5.71</v>
      </c>
      <c r="H2809">
        <v>83.562600000000003</v>
      </c>
      <c r="I2809">
        <v>15.69</v>
      </c>
      <c r="J2809">
        <v>76.53</v>
      </c>
      <c r="K2809" t="s">
        <v>48</v>
      </c>
      <c r="L2809">
        <v>1942.34</v>
      </c>
      <c r="M2809">
        <f>VLOOKUP(K2809,RatingLookup!$A$2:$C$8,2,FALSE)</f>
        <v>5.0000000000000001E-4</v>
      </c>
      <c r="N2809">
        <f t="shared" si="129"/>
        <v>4.167621832917856E-5</v>
      </c>
      <c r="O2809">
        <f>VLOOKUP(K2809,RatingLookup!$A$2:$C$8,3,FALSE)</f>
        <v>0.25</v>
      </c>
      <c r="P2809">
        <f t="shared" si="130"/>
        <v>2.0237346477374171E-2</v>
      </c>
      <c r="Q2809" t="str">
        <f t="shared" ca="1" si="131"/>
        <v>No</v>
      </c>
    </row>
    <row r="2810" spans="1:17" x14ac:dyDescent="0.45">
      <c r="A2810" t="s">
        <v>128</v>
      </c>
      <c r="B2810" t="s">
        <v>129</v>
      </c>
      <c r="C2810" t="s">
        <v>66</v>
      </c>
      <c r="D2810" t="s">
        <v>20</v>
      </c>
      <c r="E2810" t="s">
        <v>21</v>
      </c>
      <c r="F2810" s="1">
        <v>45292</v>
      </c>
      <c r="G2810">
        <v>4.4400000000000004</v>
      </c>
      <c r="H2810">
        <v>83.227599999999995</v>
      </c>
      <c r="I2810">
        <v>14.91</v>
      </c>
      <c r="J2810">
        <v>70.23</v>
      </c>
      <c r="K2810" t="s">
        <v>48</v>
      </c>
      <c r="L2810">
        <v>1787.69</v>
      </c>
      <c r="M2810">
        <f>VLOOKUP(K2810,RatingLookup!$A$2:$C$8,2,FALSE)</f>
        <v>5.0000000000000001E-4</v>
      </c>
      <c r="N2810">
        <f t="shared" si="129"/>
        <v>4.167621832917856E-5</v>
      </c>
      <c r="O2810">
        <f>VLOOKUP(K2810,RatingLookup!$A$2:$C$8,3,FALSE)</f>
        <v>0.25</v>
      </c>
      <c r="P2810">
        <f t="shared" si="130"/>
        <v>1.8626039686222305E-2</v>
      </c>
      <c r="Q2810" t="str">
        <f t="shared" ca="1" si="131"/>
        <v>No</v>
      </c>
    </row>
    <row r="2811" spans="1:17" x14ac:dyDescent="0.45">
      <c r="A2811" t="s">
        <v>128</v>
      </c>
      <c r="B2811" t="s">
        <v>129</v>
      </c>
      <c r="C2811" t="s">
        <v>66</v>
      </c>
      <c r="D2811" t="s">
        <v>20</v>
      </c>
      <c r="E2811" t="s">
        <v>21</v>
      </c>
      <c r="F2811" s="1">
        <v>45323</v>
      </c>
      <c r="G2811">
        <v>6.13</v>
      </c>
      <c r="H2811">
        <v>83.191599999999994</v>
      </c>
      <c r="I2811">
        <v>16.45</v>
      </c>
      <c r="J2811">
        <v>77.5</v>
      </c>
      <c r="K2811" t="s">
        <v>48</v>
      </c>
      <c r="L2811">
        <v>1917.49</v>
      </c>
      <c r="M2811">
        <f>VLOOKUP(K2811,RatingLookup!$A$2:$C$8,2,FALSE)</f>
        <v>5.0000000000000001E-4</v>
      </c>
      <c r="N2811">
        <f t="shared" si="129"/>
        <v>4.167621832917856E-5</v>
      </c>
      <c r="O2811">
        <f>VLOOKUP(K2811,RatingLookup!$A$2:$C$8,3,FALSE)</f>
        <v>0.25</v>
      </c>
      <c r="P2811">
        <f t="shared" si="130"/>
        <v>1.9978432971004149E-2</v>
      </c>
      <c r="Q2811" t="str">
        <f t="shared" ca="1" si="131"/>
        <v>No</v>
      </c>
    </row>
    <row r="2812" spans="1:17" x14ac:dyDescent="0.45">
      <c r="A2812" t="s">
        <v>128</v>
      </c>
      <c r="B2812" t="s">
        <v>129</v>
      </c>
      <c r="C2812" t="s">
        <v>66</v>
      </c>
      <c r="D2812" t="s">
        <v>20</v>
      </c>
      <c r="E2812" t="s">
        <v>21</v>
      </c>
      <c r="F2812" s="1">
        <v>45352</v>
      </c>
      <c r="G2812">
        <v>5.58</v>
      </c>
      <c r="H2812">
        <v>87.540899999999993</v>
      </c>
      <c r="I2812">
        <v>14.8</v>
      </c>
      <c r="J2812">
        <v>95.49</v>
      </c>
      <c r="K2812" t="s">
        <v>48</v>
      </c>
      <c r="L2812">
        <v>1885.58</v>
      </c>
      <c r="M2812">
        <f>VLOOKUP(K2812,RatingLookup!$A$2:$C$8,2,FALSE)</f>
        <v>5.0000000000000001E-4</v>
      </c>
      <c r="N2812">
        <f t="shared" si="129"/>
        <v>4.167621832917856E-5</v>
      </c>
      <c r="O2812">
        <f>VLOOKUP(K2812,RatingLookup!$A$2:$C$8,3,FALSE)</f>
        <v>0.25</v>
      </c>
      <c r="P2812">
        <f t="shared" si="130"/>
        <v>1.9645960939283127E-2</v>
      </c>
      <c r="Q2812" t="str">
        <f t="shared" ca="1" si="131"/>
        <v>No</v>
      </c>
    </row>
    <row r="2813" spans="1:17" x14ac:dyDescent="0.45">
      <c r="A2813" t="s">
        <v>128</v>
      </c>
      <c r="B2813" t="s">
        <v>129</v>
      </c>
      <c r="C2813" t="s">
        <v>66</v>
      </c>
      <c r="D2813" t="s">
        <v>20</v>
      </c>
      <c r="E2813" t="s">
        <v>21</v>
      </c>
      <c r="F2813" s="1">
        <v>45383</v>
      </c>
      <c r="G2813">
        <v>6.21</v>
      </c>
      <c r="H2813">
        <v>83.964299999999994</v>
      </c>
      <c r="I2813">
        <v>12.73</v>
      </c>
      <c r="J2813">
        <v>81.98</v>
      </c>
      <c r="K2813" t="s">
        <v>82</v>
      </c>
      <c r="L2813">
        <v>1781.39</v>
      </c>
      <c r="M2813">
        <f>VLOOKUP(K2813,RatingLookup!$A$2:$C$8,2,FALSE)</f>
        <v>1E-4</v>
      </c>
      <c r="N2813">
        <f t="shared" si="129"/>
        <v>8.3337153021778576E-6</v>
      </c>
      <c r="O2813">
        <f>VLOOKUP(K2813,RatingLookup!$A$2:$C$8,3,FALSE)</f>
        <v>0.2</v>
      </c>
      <c r="P2813">
        <f t="shared" si="130"/>
        <v>2.969119420429323E-3</v>
      </c>
      <c r="Q2813" t="str">
        <f t="shared" ca="1" si="131"/>
        <v>No</v>
      </c>
    </row>
    <row r="2814" spans="1:17" x14ac:dyDescent="0.45">
      <c r="A2814" t="s">
        <v>128</v>
      </c>
      <c r="B2814" t="s">
        <v>129</v>
      </c>
      <c r="C2814" t="s">
        <v>66</v>
      </c>
      <c r="D2814" t="s">
        <v>20</v>
      </c>
      <c r="E2814" t="s">
        <v>21</v>
      </c>
      <c r="F2814" s="1">
        <v>45413</v>
      </c>
      <c r="G2814">
        <v>6.04</v>
      </c>
      <c r="H2814">
        <v>83.558099999999996</v>
      </c>
      <c r="I2814">
        <v>18.329999999999998</v>
      </c>
      <c r="J2814">
        <v>70.12</v>
      </c>
      <c r="K2814" t="s">
        <v>82</v>
      </c>
      <c r="L2814">
        <v>1673.22</v>
      </c>
      <c r="M2814">
        <f>VLOOKUP(K2814,RatingLookup!$A$2:$C$8,2,FALSE)</f>
        <v>1E-4</v>
      </c>
      <c r="N2814">
        <f t="shared" si="129"/>
        <v>8.3337153021778576E-6</v>
      </c>
      <c r="O2814">
        <f>VLOOKUP(K2814,RatingLookup!$A$2:$C$8,3,FALSE)</f>
        <v>0.2</v>
      </c>
      <c r="P2814">
        <f t="shared" si="130"/>
        <v>2.7888278235820071E-3</v>
      </c>
      <c r="Q2814" t="str">
        <f t="shared" ca="1" si="131"/>
        <v>No</v>
      </c>
    </row>
    <row r="2815" spans="1:17" x14ac:dyDescent="0.45">
      <c r="A2815" t="s">
        <v>128</v>
      </c>
      <c r="B2815" t="s">
        <v>129</v>
      </c>
      <c r="C2815" t="s">
        <v>66</v>
      </c>
      <c r="D2815" t="s">
        <v>20</v>
      </c>
      <c r="E2815" t="s">
        <v>21</v>
      </c>
      <c r="F2815" s="1">
        <v>45444</v>
      </c>
      <c r="G2815">
        <v>5.01</v>
      </c>
      <c r="H2815">
        <v>84.687600000000003</v>
      </c>
      <c r="I2815">
        <v>26.16</v>
      </c>
      <c r="J2815">
        <v>77.2</v>
      </c>
      <c r="K2815" t="s">
        <v>82</v>
      </c>
      <c r="L2815">
        <v>1755.54</v>
      </c>
      <c r="M2815">
        <f>VLOOKUP(K2815,RatingLookup!$A$2:$C$8,2,FALSE)</f>
        <v>1E-4</v>
      </c>
      <c r="N2815">
        <f t="shared" si="129"/>
        <v>8.3337153021778576E-6</v>
      </c>
      <c r="O2815">
        <f>VLOOKUP(K2815,RatingLookup!$A$2:$C$8,3,FALSE)</f>
        <v>0.2</v>
      </c>
      <c r="P2815">
        <f t="shared" si="130"/>
        <v>2.9260341123170633E-3</v>
      </c>
      <c r="Q2815" t="str">
        <f t="shared" ca="1" si="131"/>
        <v>No</v>
      </c>
    </row>
    <row r="2816" spans="1:17" x14ac:dyDescent="0.45">
      <c r="A2816" t="s">
        <v>128</v>
      </c>
      <c r="B2816" t="s">
        <v>129</v>
      </c>
      <c r="C2816" t="s">
        <v>66</v>
      </c>
      <c r="D2816" t="s">
        <v>20</v>
      </c>
      <c r="E2816" t="s">
        <v>21</v>
      </c>
      <c r="F2816" s="1">
        <v>45474</v>
      </c>
      <c r="G2816">
        <v>5.97</v>
      </c>
      <c r="H2816">
        <v>83.566400000000002</v>
      </c>
      <c r="I2816">
        <v>31.5</v>
      </c>
      <c r="J2816">
        <v>93.09</v>
      </c>
      <c r="K2816" t="s">
        <v>82</v>
      </c>
      <c r="L2816">
        <v>1735.12</v>
      </c>
      <c r="M2816">
        <f>VLOOKUP(K2816,RatingLookup!$A$2:$C$8,2,FALSE)</f>
        <v>1E-4</v>
      </c>
      <c r="N2816">
        <f t="shared" si="129"/>
        <v>8.3337153021778576E-6</v>
      </c>
      <c r="O2816">
        <f>VLOOKUP(K2816,RatingLookup!$A$2:$C$8,3,FALSE)</f>
        <v>0.2</v>
      </c>
      <c r="P2816">
        <f t="shared" si="130"/>
        <v>2.8919992190229692E-3</v>
      </c>
      <c r="Q2816" t="str">
        <f t="shared" ca="1" si="131"/>
        <v>No</v>
      </c>
    </row>
    <row r="2817" spans="1:17" x14ac:dyDescent="0.45">
      <c r="A2817" t="s">
        <v>128</v>
      </c>
      <c r="B2817" t="s">
        <v>129</v>
      </c>
      <c r="C2817" t="s">
        <v>66</v>
      </c>
      <c r="D2817" t="s">
        <v>20</v>
      </c>
      <c r="E2817" t="s">
        <v>21</v>
      </c>
      <c r="F2817" s="1">
        <v>45505</v>
      </c>
      <c r="G2817">
        <v>4.62</v>
      </c>
      <c r="H2817">
        <v>78.826899999999995</v>
      </c>
      <c r="I2817">
        <v>21.85</v>
      </c>
      <c r="J2817">
        <v>78.8</v>
      </c>
      <c r="K2817" t="s">
        <v>82</v>
      </c>
      <c r="L2817">
        <v>1737.03</v>
      </c>
      <c r="M2817">
        <f>VLOOKUP(K2817,RatingLookup!$A$2:$C$8,2,FALSE)</f>
        <v>1E-4</v>
      </c>
      <c r="N2817">
        <f t="shared" si="129"/>
        <v>8.3337153021778576E-6</v>
      </c>
      <c r="O2817">
        <f>VLOOKUP(K2817,RatingLookup!$A$2:$C$8,3,FALSE)</f>
        <v>0.2</v>
      </c>
      <c r="P2817">
        <f t="shared" si="130"/>
        <v>2.8951826982684011E-3</v>
      </c>
      <c r="Q2817" t="str">
        <f t="shared" ca="1" si="131"/>
        <v>No</v>
      </c>
    </row>
    <row r="2818" spans="1:17" x14ac:dyDescent="0.45">
      <c r="A2818" t="s">
        <v>128</v>
      </c>
      <c r="B2818" t="s">
        <v>129</v>
      </c>
      <c r="C2818" t="s">
        <v>66</v>
      </c>
      <c r="D2818" t="s">
        <v>20</v>
      </c>
      <c r="E2818" t="s">
        <v>21</v>
      </c>
      <c r="F2818" s="1">
        <v>45536</v>
      </c>
      <c r="G2818">
        <v>5.98</v>
      </c>
      <c r="H2818">
        <v>79.052499999999995</v>
      </c>
      <c r="I2818">
        <v>13.76</v>
      </c>
      <c r="J2818">
        <v>71.86</v>
      </c>
      <c r="K2818" t="s">
        <v>82</v>
      </c>
      <c r="L2818">
        <v>1914.95</v>
      </c>
      <c r="M2818">
        <f>VLOOKUP(K2818,RatingLookup!$A$2:$C$8,2,FALSE)</f>
        <v>1E-4</v>
      </c>
      <c r="N2818">
        <f t="shared" ref="N2818:N2881" si="132">1-(1-M2818)^(1/12)</f>
        <v>8.3337153021778576E-6</v>
      </c>
      <c r="O2818">
        <f>VLOOKUP(K2818,RatingLookup!$A$2:$C$8,3,FALSE)</f>
        <v>0.2</v>
      </c>
      <c r="P2818">
        <f t="shared" ref="P2818:P2881" si="133">L2818*N2818*O2818</f>
        <v>3.1917296235810981E-3</v>
      </c>
      <c r="Q2818" t="str">
        <f t="shared" ref="Q2818:Q2881" ca="1" si="134">IF(RAND()&lt;N2818,"Yes","No")</f>
        <v>No</v>
      </c>
    </row>
    <row r="2819" spans="1:17" x14ac:dyDescent="0.45">
      <c r="A2819" t="s">
        <v>128</v>
      </c>
      <c r="B2819" t="s">
        <v>129</v>
      </c>
      <c r="C2819" t="s">
        <v>66</v>
      </c>
      <c r="D2819" t="s">
        <v>20</v>
      </c>
      <c r="E2819" t="s">
        <v>21</v>
      </c>
      <c r="F2819" s="1">
        <v>45566</v>
      </c>
      <c r="G2819">
        <v>5.36</v>
      </c>
      <c r="H2819">
        <v>83.691599999999994</v>
      </c>
      <c r="I2819">
        <v>28.05</v>
      </c>
      <c r="J2819">
        <v>62.97</v>
      </c>
      <c r="K2819" t="s">
        <v>82</v>
      </c>
      <c r="L2819">
        <v>1859.39</v>
      </c>
      <c r="M2819">
        <f>VLOOKUP(K2819,RatingLookup!$A$2:$C$8,2,FALSE)</f>
        <v>1E-4</v>
      </c>
      <c r="N2819">
        <f t="shared" si="132"/>
        <v>8.3337153021778576E-6</v>
      </c>
      <c r="O2819">
        <f>VLOOKUP(K2819,RatingLookup!$A$2:$C$8,3,FALSE)</f>
        <v>0.2</v>
      </c>
      <c r="P2819">
        <f t="shared" si="133"/>
        <v>3.0991253791432978E-3</v>
      </c>
      <c r="Q2819" t="str">
        <f t="shared" ca="1" si="134"/>
        <v>No</v>
      </c>
    </row>
    <row r="2820" spans="1:17" x14ac:dyDescent="0.45">
      <c r="A2820" t="s">
        <v>128</v>
      </c>
      <c r="B2820" t="s">
        <v>129</v>
      </c>
      <c r="C2820" t="s">
        <v>66</v>
      </c>
      <c r="D2820" t="s">
        <v>20</v>
      </c>
      <c r="E2820" t="s">
        <v>21</v>
      </c>
      <c r="F2820" s="1">
        <v>45597</v>
      </c>
      <c r="G2820">
        <v>5.4</v>
      </c>
      <c r="H2820">
        <v>83.940399999999997</v>
      </c>
      <c r="I2820">
        <v>14.68</v>
      </c>
      <c r="J2820">
        <v>81.349999999999994</v>
      </c>
      <c r="K2820" t="s">
        <v>82</v>
      </c>
      <c r="L2820">
        <v>1768.27</v>
      </c>
      <c r="M2820">
        <f>VLOOKUP(K2820,RatingLookup!$A$2:$C$8,2,FALSE)</f>
        <v>1E-4</v>
      </c>
      <c r="N2820">
        <f t="shared" si="132"/>
        <v>8.3337153021778576E-6</v>
      </c>
      <c r="O2820">
        <f>VLOOKUP(K2820,RatingLookup!$A$2:$C$8,3,FALSE)</f>
        <v>0.2</v>
      </c>
      <c r="P2820">
        <f t="shared" si="133"/>
        <v>2.9472517514764081E-3</v>
      </c>
      <c r="Q2820" t="str">
        <f t="shared" ca="1" si="134"/>
        <v>No</v>
      </c>
    </row>
    <row r="2821" spans="1:17" x14ac:dyDescent="0.45">
      <c r="A2821" t="s">
        <v>128</v>
      </c>
      <c r="B2821" t="s">
        <v>129</v>
      </c>
      <c r="C2821" t="s">
        <v>66</v>
      </c>
      <c r="D2821" t="s">
        <v>20</v>
      </c>
      <c r="E2821" t="s">
        <v>21</v>
      </c>
      <c r="F2821" s="1">
        <v>45627</v>
      </c>
      <c r="G2821">
        <v>5.38</v>
      </c>
      <c r="H2821">
        <v>81.981200000000001</v>
      </c>
      <c r="I2821">
        <v>20.72</v>
      </c>
      <c r="J2821">
        <v>80.349999999999994</v>
      </c>
      <c r="K2821" t="s">
        <v>82</v>
      </c>
      <c r="L2821">
        <v>1938.23</v>
      </c>
      <c r="M2821">
        <f>VLOOKUP(K2821,RatingLookup!$A$2:$C$8,2,FALSE)</f>
        <v>1E-4</v>
      </c>
      <c r="N2821">
        <f t="shared" si="132"/>
        <v>8.3337153021778576E-6</v>
      </c>
      <c r="O2821">
        <f>VLOOKUP(K2821,RatingLookup!$A$2:$C$8,3,FALSE)</f>
        <v>0.2</v>
      </c>
      <c r="P2821">
        <f t="shared" si="133"/>
        <v>3.2305314020280376E-3</v>
      </c>
      <c r="Q2821" t="str">
        <f t="shared" ca="1" si="134"/>
        <v>No</v>
      </c>
    </row>
    <row r="2822" spans="1:17" x14ac:dyDescent="0.45">
      <c r="A2822" t="s">
        <v>130</v>
      </c>
      <c r="B2822" t="s">
        <v>131</v>
      </c>
      <c r="C2822" t="s">
        <v>26</v>
      </c>
      <c r="D2822" t="s">
        <v>20</v>
      </c>
      <c r="E2822" t="s">
        <v>21</v>
      </c>
      <c r="F2822" s="1">
        <v>43831</v>
      </c>
      <c r="G2822">
        <v>6.07</v>
      </c>
      <c r="H2822">
        <v>81.557000000000002</v>
      </c>
      <c r="I2822">
        <v>19.8</v>
      </c>
      <c r="J2822">
        <v>54.66</v>
      </c>
      <c r="K2822" t="s">
        <v>23</v>
      </c>
      <c r="L2822">
        <v>768.44</v>
      </c>
      <c r="M2822">
        <f>VLOOKUP(K2822,RatingLookup!$A$2:$C$8,2,FALSE)</f>
        <v>1E-3</v>
      </c>
      <c r="N2822">
        <f t="shared" si="132"/>
        <v>8.3371552197619714E-5</v>
      </c>
      <c r="O2822">
        <f>VLOOKUP(K2822,RatingLookup!$A$2:$C$8,3,FALSE)</f>
        <v>0.3</v>
      </c>
      <c r="P2822">
        <f t="shared" si="133"/>
        <v>1.9219810671221669E-2</v>
      </c>
      <c r="Q2822" t="str">
        <f t="shared" ca="1" si="134"/>
        <v>No</v>
      </c>
    </row>
    <row r="2823" spans="1:17" x14ac:dyDescent="0.45">
      <c r="A2823" t="s">
        <v>130</v>
      </c>
      <c r="B2823" t="s">
        <v>131</v>
      </c>
      <c r="C2823" t="s">
        <v>26</v>
      </c>
      <c r="D2823" t="s">
        <v>20</v>
      </c>
      <c r="E2823" t="s">
        <v>21</v>
      </c>
      <c r="F2823" s="1">
        <v>43862</v>
      </c>
      <c r="G2823">
        <v>6.13</v>
      </c>
      <c r="H2823">
        <v>80.890100000000004</v>
      </c>
      <c r="I2823">
        <v>14.56</v>
      </c>
      <c r="J2823">
        <v>89.34</v>
      </c>
      <c r="K2823" t="s">
        <v>23</v>
      </c>
      <c r="L2823">
        <v>757.09</v>
      </c>
      <c r="M2823">
        <f>VLOOKUP(K2823,RatingLookup!$A$2:$C$8,2,FALSE)</f>
        <v>1E-3</v>
      </c>
      <c r="N2823">
        <f t="shared" si="132"/>
        <v>8.3371552197619714E-5</v>
      </c>
      <c r="O2823">
        <f>VLOOKUP(K2823,RatingLookup!$A$2:$C$8,3,FALSE)</f>
        <v>0.3</v>
      </c>
      <c r="P2823">
        <f t="shared" si="133"/>
        <v>1.8935930535988771E-2</v>
      </c>
      <c r="Q2823" t="str">
        <f t="shared" ca="1" si="134"/>
        <v>No</v>
      </c>
    </row>
    <row r="2824" spans="1:17" x14ac:dyDescent="0.45">
      <c r="A2824" t="s">
        <v>130</v>
      </c>
      <c r="B2824" t="s">
        <v>131</v>
      </c>
      <c r="C2824" t="s">
        <v>26</v>
      </c>
      <c r="D2824" t="s">
        <v>20</v>
      </c>
      <c r="E2824" t="s">
        <v>21</v>
      </c>
      <c r="F2824" s="1">
        <v>43891</v>
      </c>
      <c r="G2824">
        <v>5.13</v>
      </c>
      <c r="H2824">
        <v>83.819000000000003</v>
      </c>
      <c r="I2824">
        <v>18.79</v>
      </c>
      <c r="J2824">
        <v>73.36</v>
      </c>
      <c r="K2824" t="s">
        <v>23</v>
      </c>
      <c r="L2824">
        <v>783.54</v>
      </c>
      <c r="M2824">
        <f>VLOOKUP(K2824,RatingLookup!$A$2:$C$8,2,FALSE)</f>
        <v>1E-3</v>
      </c>
      <c r="N2824">
        <f t="shared" si="132"/>
        <v>8.3371552197619714E-5</v>
      </c>
      <c r="O2824">
        <f>VLOOKUP(K2824,RatingLookup!$A$2:$C$8,3,FALSE)</f>
        <v>0.3</v>
      </c>
      <c r="P2824">
        <f t="shared" si="133"/>
        <v>1.9597483802676886E-2</v>
      </c>
      <c r="Q2824" t="str">
        <f t="shared" ca="1" si="134"/>
        <v>No</v>
      </c>
    </row>
    <row r="2825" spans="1:17" x14ac:dyDescent="0.45">
      <c r="A2825" t="s">
        <v>130</v>
      </c>
      <c r="B2825" t="s">
        <v>131</v>
      </c>
      <c r="C2825" t="s">
        <v>26</v>
      </c>
      <c r="D2825" t="s">
        <v>20</v>
      </c>
      <c r="E2825" t="s">
        <v>21</v>
      </c>
      <c r="F2825" s="1">
        <v>43922</v>
      </c>
      <c r="G2825">
        <v>5</v>
      </c>
      <c r="H2825">
        <v>80.020700000000005</v>
      </c>
      <c r="I2825">
        <v>13.56</v>
      </c>
      <c r="J2825">
        <v>74.48</v>
      </c>
      <c r="K2825" t="s">
        <v>23</v>
      </c>
      <c r="L2825">
        <v>746.04</v>
      </c>
      <c r="M2825">
        <f>VLOOKUP(K2825,RatingLookup!$A$2:$C$8,2,FALSE)</f>
        <v>1E-3</v>
      </c>
      <c r="N2825">
        <f t="shared" si="132"/>
        <v>8.3371552197619714E-5</v>
      </c>
      <c r="O2825">
        <f>VLOOKUP(K2825,RatingLookup!$A$2:$C$8,3,FALSE)</f>
        <v>0.3</v>
      </c>
      <c r="P2825">
        <f t="shared" si="133"/>
        <v>1.865955384045366E-2</v>
      </c>
      <c r="Q2825" t="str">
        <f t="shared" ca="1" si="134"/>
        <v>No</v>
      </c>
    </row>
    <row r="2826" spans="1:17" x14ac:dyDescent="0.45">
      <c r="A2826" t="s">
        <v>130</v>
      </c>
      <c r="B2826" t="s">
        <v>131</v>
      </c>
      <c r="C2826" t="s">
        <v>26</v>
      </c>
      <c r="D2826" t="s">
        <v>20</v>
      </c>
      <c r="E2826" t="s">
        <v>21</v>
      </c>
      <c r="F2826" s="1">
        <v>43952</v>
      </c>
      <c r="G2826">
        <v>5.77</v>
      </c>
      <c r="H2826">
        <v>80.837699999999998</v>
      </c>
      <c r="I2826">
        <v>23.98</v>
      </c>
      <c r="J2826">
        <v>66.27</v>
      </c>
      <c r="K2826" t="s">
        <v>23</v>
      </c>
      <c r="L2826">
        <v>743.99</v>
      </c>
      <c r="M2826">
        <f>VLOOKUP(K2826,RatingLookup!$A$2:$C$8,2,FALSE)</f>
        <v>1E-3</v>
      </c>
      <c r="N2826">
        <f t="shared" si="132"/>
        <v>8.3371552197619714E-5</v>
      </c>
      <c r="O2826">
        <f>VLOOKUP(K2826,RatingLookup!$A$2:$C$8,3,FALSE)</f>
        <v>0.3</v>
      </c>
      <c r="P2826">
        <f t="shared" si="133"/>
        <v>1.8608280335852129E-2</v>
      </c>
      <c r="Q2826" t="str">
        <f t="shared" ca="1" si="134"/>
        <v>No</v>
      </c>
    </row>
    <row r="2827" spans="1:17" x14ac:dyDescent="0.45">
      <c r="A2827" t="s">
        <v>130</v>
      </c>
      <c r="B2827" t="s">
        <v>131</v>
      </c>
      <c r="C2827" t="s">
        <v>26</v>
      </c>
      <c r="D2827" t="s">
        <v>20</v>
      </c>
      <c r="E2827" t="s">
        <v>21</v>
      </c>
      <c r="F2827" s="1">
        <v>43983</v>
      </c>
      <c r="G2827">
        <v>6.17</v>
      </c>
      <c r="H2827">
        <v>82.185000000000002</v>
      </c>
      <c r="I2827">
        <v>29.52</v>
      </c>
      <c r="J2827">
        <v>76.94</v>
      </c>
      <c r="K2827" t="s">
        <v>23</v>
      </c>
      <c r="L2827">
        <v>760.26</v>
      </c>
      <c r="M2827">
        <f>VLOOKUP(K2827,RatingLookup!$A$2:$C$8,2,FALSE)</f>
        <v>1E-3</v>
      </c>
      <c r="N2827">
        <f t="shared" si="132"/>
        <v>8.3371552197619714E-5</v>
      </c>
      <c r="O2827">
        <f>VLOOKUP(K2827,RatingLookup!$A$2:$C$8,3,FALSE)</f>
        <v>0.3</v>
      </c>
      <c r="P2827">
        <f t="shared" si="133"/>
        <v>1.9015216882128708E-2</v>
      </c>
      <c r="Q2827" t="str">
        <f t="shared" ca="1" si="134"/>
        <v>No</v>
      </c>
    </row>
    <row r="2828" spans="1:17" x14ac:dyDescent="0.45">
      <c r="A2828" t="s">
        <v>130</v>
      </c>
      <c r="B2828" t="s">
        <v>131</v>
      </c>
      <c r="C2828" t="s">
        <v>26</v>
      </c>
      <c r="D2828" t="s">
        <v>20</v>
      </c>
      <c r="E2828" t="s">
        <v>21</v>
      </c>
      <c r="F2828" s="1">
        <v>44013</v>
      </c>
      <c r="G2828">
        <v>6.37</v>
      </c>
      <c r="H2828">
        <v>84.0077</v>
      </c>
      <c r="I2828">
        <v>23.56</v>
      </c>
      <c r="J2828">
        <v>90.52</v>
      </c>
      <c r="K2828" t="s">
        <v>23</v>
      </c>
      <c r="L2828">
        <v>756.4</v>
      </c>
      <c r="M2828">
        <f>VLOOKUP(K2828,RatingLookup!$A$2:$C$8,2,FALSE)</f>
        <v>1E-3</v>
      </c>
      <c r="N2828">
        <f t="shared" si="132"/>
        <v>8.3371552197619714E-5</v>
      </c>
      <c r="O2828">
        <f>VLOOKUP(K2828,RatingLookup!$A$2:$C$8,3,FALSE)</f>
        <v>0.3</v>
      </c>
      <c r="P2828">
        <f t="shared" si="133"/>
        <v>1.8918672624683865E-2</v>
      </c>
      <c r="Q2828" t="str">
        <f t="shared" ca="1" si="134"/>
        <v>No</v>
      </c>
    </row>
    <row r="2829" spans="1:17" x14ac:dyDescent="0.45">
      <c r="A2829" t="s">
        <v>130</v>
      </c>
      <c r="B2829" t="s">
        <v>131</v>
      </c>
      <c r="C2829" t="s">
        <v>26</v>
      </c>
      <c r="D2829" t="s">
        <v>20</v>
      </c>
      <c r="E2829" t="s">
        <v>21</v>
      </c>
      <c r="F2829" s="1">
        <v>44044</v>
      </c>
      <c r="G2829">
        <v>5.14</v>
      </c>
      <c r="H2829">
        <v>83.013300000000001</v>
      </c>
      <c r="I2829">
        <v>10.46</v>
      </c>
      <c r="J2829">
        <v>81.2</v>
      </c>
      <c r="K2829" t="s">
        <v>48</v>
      </c>
      <c r="L2829">
        <v>748.86</v>
      </c>
      <c r="M2829">
        <f>VLOOKUP(K2829,RatingLookup!$A$2:$C$8,2,FALSE)</f>
        <v>5.0000000000000001E-4</v>
      </c>
      <c r="N2829">
        <f t="shared" si="132"/>
        <v>4.167621832917856E-5</v>
      </c>
      <c r="O2829">
        <f>VLOOKUP(K2829,RatingLookup!$A$2:$C$8,3,FALSE)</f>
        <v>0.25</v>
      </c>
      <c r="P2829">
        <f t="shared" si="133"/>
        <v>7.8024132144971642E-3</v>
      </c>
      <c r="Q2829" t="str">
        <f t="shared" ca="1" si="134"/>
        <v>No</v>
      </c>
    </row>
    <row r="2830" spans="1:17" x14ac:dyDescent="0.45">
      <c r="A2830" t="s">
        <v>130</v>
      </c>
      <c r="B2830" t="s">
        <v>131</v>
      </c>
      <c r="C2830" t="s">
        <v>26</v>
      </c>
      <c r="D2830" t="s">
        <v>20</v>
      </c>
      <c r="E2830" t="s">
        <v>21</v>
      </c>
      <c r="F2830" s="1">
        <v>44075</v>
      </c>
      <c r="G2830">
        <v>5.6</v>
      </c>
      <c r="H2830">
        <v>84.812299999999993</v>
      </c>
      <c r="I2830">
        <v>16.899999999999999</v>
      </c>
      <c r="J2830">
        <v>85.17</v>
      </c>
      <c r="K2830" t="s">
        <v>48</v>
      </c>
      <c r="L2830">
        <v>774.89</v>
      </c>
      <c r="M2830">
        <f>VLOOKUP(K2830,RatingLookup!$A$2:$C$8,2,FALSE)</f>
        <v>5.0000000000000001E-4</v>
      </c>
      <c r="N2830">
        <f t="shared" si="132"/>
        <v>4.167621832917856E-5</v>
      </c>
      <c r="O2830">
        <f>VLOOKUP(K2830,RatingLookup!$A$2:$C$8,3,FALSE)</f>
        <v>0.25</v>
      </c>
      <c r="P2830">
        <f t="shared" si="133"/>
        <v>8.0736212052742937E-3</v>
      </c>
      <c r="Q2830" t="str">
        <f t="shared" ca="1" si="134"/>
        <v>No</v>
      </c>
    </row>
    <row r="2831" spans="1:17" x14ac:dyDescent="0.45">
      <c r="A2831" t="s">
        <v>130</v>
      </c>
      <c r="B2831" t="s">
        <v>131</v>
      </c>
      <c r="C2831" t="s">
        <v>26</v>
      </c>
      <c r="D2831" t="s">
        <v>20</v>
      </c>
      <c r="E2831" t="s">
        <v>21</v>
      </c>
      <c r="F2831" s="1">
        <v>44105</v>
      </c>
      <c r="G2831">
        <v>4.21</v>
      </c>
      <c r="H2831">
        <v>83.710400000000007</v>
      </c>
      <c r="I2831">
        <v>14.93</v>
      </c>
      <c r="J2831">
        <v>67.790000000000006</v>
      </c>
      <c r="K2831" t="s">
        <v>48</v>
      </c>
      <c r="L2831">
        <v>797.74</v>
      </c>
      <c r="M2831">
        <f>VLOOKUP(K2831,RatingLookup!$A$2:$C$8,2,FALSE)</f>
        <v>5.0000000000000001E-4</v>
      </c>
      <c r="N2831">
        <f t="shared" si="132"/>
        <v>4.167621832917856E-5</v>
      </c>
      <c r="O2831">
        <f>VLOOKUP(K2831,RatingLookup!$A$2:$C$8,3,FALSE)</f>
        <v>0.25</v>
      </c>
      <c r="P2831">
        <f t="shared" si="133"/>
        <v>8.3116966024797262E-3</v>
      </c>
      <c r="Q2831" t="str">
        <f t="shared" ca="1" si="134"/>
        <v>No</v>
      </c>
    </row>
    <row r="2832" spans="1:17" x14ac:dyDescent="0.45">
      <c r="A2832" t="s">
        <v>130</v>
      </c>
      <c r="B2832" t="s">
        <v>131</v>
      </c>
      <c r="C2832" t="s">
        <v>26</v>
      </c>
      <c r="D2832" t="s">
        <v>20</v>
      </c>
      <c r="E2832" t="s">
        <v>21</v>
      </c>
      <c r="F2832" s="1">
        <v>44136</v>
      </c>
      <c r="G2832">
        <v>6.26</v>
      </c>
      <c r="H2832">
        <v>89.015199999999993</v>
      </c>
      <c r="I2832">
        <v>12.55</v>
      </c>
      <c r="J2832">
        <v>84.91</v>
      </c>
      <c r="K2832" t="s">
        <v>23</v>
      </c>
      <c r="L2832">
        <v>769.99</v>
      </c>
      <c r="M2832">
        <f>VLOOKUP(K2832,RatingLookup!$A$2:$C$8,2,FALSE)</f>
        <v>1E-3</v>
      </c>
      <c r="N2832">
        <f t="shared" si="132"/>
        <v>8.3371552197619714E-5</v>
      </c>
      <c r="O2832">
        <f>VLOOKUP(K2832,RatingLookup!$A$2:$C$8,3,FALSE)</f>
        <v>0.3</v>
      </c>
      <c r="P2832">
        <f t="shared" si="133"/>
        <v>1.925857844299356E-2</v>
      </c>
      <c r="Q2832" t="str">
        <f t="shared" ca="1" si="134"/>
        <v>No</v>
      </c>
    </row>
    <row r="2833" spans="1:17" x14ac:dyDescent="0.45">
      <c r="A2833" t="s">
        <v>130</v>
      </c>
      <c r="B2833" t="s">
        <v>131</v>
      </c>
      <c r="C2833" t="s">
        <v>26</v>
      </c>
      <c r="D2833" t="s">
        <v>20</v>
      </c>
      <c r="E2833" t="s">
        <v>21</v>
      </c>
      <c r="F2833" s="1">
        <v>44166</v>
      </c>
      <c r="G2833">
        <v>5.91</v>
      </c>
      <c r="H2833">
        <v>79.4131</v>
      </c>
      <c r="I2833">
        <v>14.84</v>
      </c>
      <c r="J2833">
        <v>73.75</v>
      </c>
      <c r="K2833" t="s">
        <v>23</v>
      </c>
      <c r="L2833">
        <v>814.86</v>
      </c>
      <c r="M2833">
        <f>VLOOKUP(K2833,RatingLookup!$A$2:$C$8,2,FALSE)</f>
        <v>1E-3</v>
      </c>
      <c r="N2833">
        <f t="shared" si="132"/>
        <v>8.3371552197619714E-5</v>
      </c>
      <c r="O2833">
        <f>VLOOKUP(K2833,RatingLookup!$A$2:$C$8,3,FALSE)</f>
        <v>0.3</v>
      </c>
      <c r="P2833">
        <f t="shared" si="133"/>
        <v>2.0380842907125721E-2</v>
      </c>
      <c r="Q2833" t="str">
        <f t="shared" ca="1" si="134"/>
        <v>No</v>
      </c>
    </row>
    <row r="2834" spans="1:17" x14ac:dyDescent="0.45">
      <c r="A2834" t="s">
        <v>130</v>
      </c>
      <c r="B2834" t="s">
        <v>131</v>
      </c>
      <c r="C2834" t="s">
        <v>26</v>
      </c>
      <c r="D2834" t="s">
        <v>20</v>
      </c>
      <c r="E2834" t="s">
        <v>21</v>
      </c>
      <c r="F2834" s="1">
        <v>44197</v>
      </c>
      <c r="G2834">
        <v>6.75</v>
      </c>
      <c r="H2834">
        <v>82.373400000000004</v>
      </c>
      <c r="I2834">
        <v>19.95</v>
      </c>
      <c r="J2834">
        <v>83.65</v>
      </c>
      <c r="K2834" t="s">
        <v>23</v>
      </c>
      <c r="L2834">
        <v>759</v>
      </c>
      <c r="M2834">
        <f>VLOOKUP(K2834,RatingLookup!$A$2:$C$8,2,FALSE)</f>
        <v>1E-3</v>
      </c>
      <c r="N2834">
        <f t="shared" si="132"/>
        <v>8.3371552197619714E-5</v>
      </c>
      <c r="O2834">
        <f>VLOOKUP(K2834,RatingLookup!$A$2:$C$8,3,FALSE)</f>
        <v>0.3</v>
      </c>
      <c r="P2834">
        <f t="shared" si="133"/>
        <v>1.8983702435398007E-2</v>
      </c>
      <c r="Q2834" t="str">
        <f t="shared" ca="1" si="134"/>
        <v>No</v>
      </c>
    </row>
    <row r="2835" spans="1:17" x14ac:dyDescent="0.45">
      <c r="A2835" t="s">
        <v>130</v>
      </c>
      <c r="B2835" t="s">
        <v>131</v>
      </c>
      <c r="C2835" t="s">
        <v>26</v>
      </c>
      <c r="D2835" t="s">
        <v>20</v>
      </c>
      <c r="E2835" t="s">
        <v>21</v>
      </c>
      <c r="F2835" s="1">
        <v>44228</v>
      </c>
      <c r="G2835">
        <v>5.49</v>
      </c>
      <c r="H2835">
        <v>82.783699999999996</v>
      </c>
      <c r="I2835">
        <v>26.89</v>
      </c>
      <c r="J2835">
        <v>87.15</v>
      </c>
      <c r="K2835" t="s">
        <v>48</v>
      </c>
      <c r="L2835">
        <v>769.41</v>
      </c>
      <c r="M2835">
        <f>VLOOKUP(K2835,RatingLookup!$A$2:$C$8,2,FALSE)</f>
        <v>5.0000000000000001E-4</v>
      </c>
      <c r="N2835">
        <f t="shared" si="132"/>
        <v>4.167621832917856E-5</v>
      </c>
      <c r="O2835">
        <f>VLOOKUP(K2835,RatingLookup!$A$2:$C$8,3,FALSE)</f>
        <v>0.25</v>
      </c>
      <c r="P2835">
        <f t="shared" si="133"/>
        <v>8.016524786163319E-3</v>
      </c>
      <c r="Q2835" t="str">
        <f t="shared" ca="1" si="134"/>
        <v>No</v>
      </c>
    </row>
    <row r="2836" spans="1:17" x14ac:dyDescent="0.45">
      <c r="A2836" t="s">
        <v>130</v>
      </c>
      <c r="B2836" t="s">
        <v>131</v>
      </c>
      <c r="C2836" t="s">
        <v>26</v>
      </c>
      <c r="D2836" t="s">
        <v>20</v>
      </c>
      <c r="E2836" t="s">
        <v>21</v>
      </c>
      <c r="F2836" s="1">
        <v>44256</v>
      </c>
      <c r="G2836">
        <v>5.57</v>
      </c>
      <c r="H2836">
        <v>83.916600000000003</v>
      </c>
      <c r="I2836">
        <v>17.91</v>
      </c>
      <c r="J2836">
        <v>90.41</v>
      </c>
      <c r="K2836" t="s">
        <v>48</v>
      </c>
      <c r="L2836">
        <v>788.63</v>
      </c>
      <c r="M2836">
        <f>VLOOKUP(K2836,RatingLookup!$A$2:$C$8,2,FALSE)</f>
        <v>5.0000000000000001E-4</v>
      </c>
      <c r="N2836">
        <f t="shared" si="132"/>
        <v>4.167621832917856E-5</v>
      </c>
      <c r="O2836">
        <f>VLOOKUP(K2836,RatingLookup!$A$2:$C$8,3,FALSE)</f>
        <v>0.25</v>
      </c>
      <c r="P2836">
        <f t="shared" si="133"/>
        <v>8.216779015235022E-3</v>
      </c>
      <c r="Q2836" t="str">
        <f t="shared" ca="1" si="134"/>
        <v>No</v>
      </c>
    </row>
    <row r="2837" spans="1:17" x14ac:dyDescent="0.45">
      <c r="A2837" t="s">
        <v>130</v>
      </c>
      <c r="B2837" t="s">
        <v>131</v>
      </c>
      <c r="C2837" t="s">
        <v>26</v>
      </c>
      <c r="D2837" t="s">
        <v>20</v>
      </c>
      <c r="E2837" t="s">
        <v>21</v>
      </c>
      <c r="F2837" s="1">
        <v>44287</v>
      </c>
      <c r="G2837">
        <v>6.25</v>
      </c>
      <c r="H2837">
        <v>79.126300000000001</v>
      </c>
      <c r="I2837">
        <v>5</v>
      </c>
      <c r="J2837">
        <v>68.69</v>
      </c>
      <c r="K2837" t="s">
        <v>82</v>
      </c>
      <c r="L2837">
        <v>826.18</v>
      </c>
      <c r="M2837">
        <f>VLOOKUP(K2837,RatingLookup!$A$2:$C$8,2,FALSE)</f>
        <v>1E-4</v>
      </c>
      <c r="N2837">
        <f t="shared" si="132"/>
        <v>8.3337153021778576E-6</v>
      </c>
      <c r="O2837">
        <f>VLOOKUP(K2837,RatingLookup!$A$2:$C$8,3,FALSE)</f>
        <v>0.2</v>
      </c>
      <c r="P2837">
        <f t="shared" si="133"/>
        <v>1.3770297816706606E-3</v>
      </c>
      <c r="Q2837" t="str">
        <f t="shared" ca="1" si="134"/>
        <v>No</v>
      </c>
    </row>
    <row r="2838" spans="1:17" x14ac:dyDescent="0.45">
      <c r="A2838" t="s">
        <v>130</v>
      </c>
      <c r="B2838" t="s">
        <v>131</v>
      </c>
      <c r="C2838" t="s">
        <v>26</v>
      </c>
      <c r="D2838" t="s">
        <v>20</v>
      </c>
      <c r="E2838" t="s">
        <v>21</v>
      </c>
      <c r="F2838" s="1">
        <v>44317</v>
      </c>
      <c r="G2838">
        <v>6.27</v>
      </c>
      <c r="H2838">
        <v>80.839200000000005</v>
      </c>
      <c r="I2838">
        <v>9.76</v>
      </c>
      <c r="J2838">
        <v>87.19</v>
      </c>
      <c r="K2838" t="s">
        <v>82</v>
      </c>
      <c r="L2838">
        <v>767.08</v>
      </c>
      <c r="M2838">
        <f>VLOOKUP(K2838,RatingLookup!$A$2:$C$8,2,FALSE)</f>
        <v>1E-4</v>
      </c>
      <c r="N2838">
        <f t="shared" si="132"/>
        <v>8.3337153021778576E-6</v>
      </c>
      <c r="O2838">
        <f>VLOOKUP(K2838,RatingLookup!$A$2:$C$8,3,FALSE)</f>
        <v>0.2</v>
      </c>
      <c r="P2838">
        <f t="shared" si="133"/>
        <v>1.2785252667989184E-3</v>
      </c>
      <c r="Q2838" t="str">
        <f t="shared" ca="1" si="134"/>
        <v>No</v>
      </c>
    </row>
    <row r="2839" spans="1:17" x14ac:dyDescent="0.45">
      <c r="A2839" t="s">
        <v>130</v>
      </c>
      <c r="B2839" t="s">
        <v>131</v>
      </c>
      <c r="C2839" t="s">
        <v>26</v>
      </c>
      <c r="D2839" t="s">
        <v>20</v>
      </c>
      <c r="E2839" t="s">
        <v>21</v>
      </c>
      <c r="F2839" s="1">
        <v>44348</v>
      </c>
      <c r="G2839">
        <v>7.07</v>
      </c>
      <c r="H2839">
        <v>79.898799999999994</v>
      </c>
      <c r="I2839">
        <v>19.239999999999998</v>
      </c>
      <c r="J2839">
        <v>84.67</v>
      </c>
      <c r="K2839" t="s">
        <v>82</v>
      </c>
      <c r="L2839">
        <v>723.24</v>
      </c>
      <c r="M2839">
        <f>VLOOKUP(K2839,RatingLookup!$A$2:$C$8,2,FALSE)</f>
        <v>1E-4</v>
      </c>
      <c r="N2839">
        <f t="shared" si="132"/>
        <v>8.3337153021778576E-6</v>
      </c>
      <c r="O2839">
        <f>VLOOKUP(K2839,RatingLookup!$A$2:$C$8,3,FALSE)</f>
        <v>0.2</v>
      </c>
      <c r="P2839">
        <f t="shared" si="133"/>
        <v>1.205455251029423E-3</v>
      </c>
      <c r="Q2839" t="str">
        <f t="shared" ca="1" si="134"/>
        <v>No</v>
      </c>
    </row>
    <row r="2840" spans="1:17" x14ac:dyDescent="0.45">
      <c r="A2840" t="s">
        <v>130</v>
      </c>
      <c r="B2840" t="s">
        <v>131</v>
      </c>
      <c r="C2840" t="s">
        <v>26</v>
      </c>
      <c r="D2840" t="s">
        <v>20</v>
      </c>
      <c r="E2840" t="s">
        <v>21</v>
      </c>
      <c r="F2840" s="1">
        <v>44378</v>
      </c>
      <c r="G2840">
        <v>4.9800000000000004</v>
      </c>
      <c r="H2840">
        <v>78.856899999999996</v>
      </c>
      <c r="I2840">
        <v>24.23</v>
      </c>
      <c r="J2840">
        <v>79.67</v>
      </c>
      <c r="K2840" t="s">
        <v>82</v>
      </c>
      <c r="L2840">
        <v>767.82</v>
      </c>
      <c r="M2840">
        <f>VLOOKUP(K2840,RatingLookup!$A$2:$C$8,2,FALSE)</f>
        <v>1E-4</v>
      </c>
      <c r="N2840">
        <f t="shared" si="132"/>
        <v>8.3337153021778576E-6</v>
      </c>
      <c r="O2840">
        <f>VLOOKUP(K2840,RatingLookup!$A$2:$C$8,3,FALSE)</f>
        <v>0.2</v>
      </c>
      <c r="P2840">
        <f t="shared" si="133"/>
        <v>1.2797586566636408E-3</v>
      </c>
      <c r="Q2840" t="str">
        <f t="shared" ca="1" si="134"/>
        <v>No</v>
      </c>
    </row>
    <row r="2841" spans="1:17" x14ac:dyDescent="0.45">
      <c r="A2841" t="s">
        <v>130</v>
      </c>
      <c r="B2841" t="s">
        <v>131</v>
      </c>
      <c r="C2841" t="s">
        <v>26</v>
      </c>
      <c r="D2841" t="s">
        <v>20</v>
      </c>
      <c r="E2841" t="s">
        <v>21</v>
      </c>
      <c r="F2841" s="1">
        <v>44409</v>
      </c>
      <c r="G2841">
        <v>5.97</v>
      </c>
      <c r="H2841">
        <v>86.481499999999997</v>
      </c>
      <c r="I2841">
        <v>19.690000000000001</v>
      </c>
      <c r="J2841">
        <v>96.22</v>
      </c>
      <c r="K2841" t="s">
        <v>82</v>
      </c>
      <c r="L2841">
        <v>851.01</v>
      </c>
      <c r="M2841">
        <f>VLOOKUP(K2841,RatingLookup!$A$2:$C$8,2,FALSE)</f>
        <v>1E-4</v>
      </c>
      <c r="N2841">
        <f t="shared" si="132"/>
        <v>8.3337153021778576E-6</v>
      </c>
      <c r="O2841">
        <f>VLOOKUP(K2841,RatingLookup!$A$2:$C$8,3,FALSE)</f>
        <v>0.2</v>
      </c>
      <c r="P2841">
        <f t="shared" si="133"/>
        <v>1.4184150118612758E-3</v>
      </c>
      <c r="Q2841" t="str">
        <f t="shared" ca="1" si="134"/>
        <v>No</v>
      </c>
    </row>
    <row r="2842" spans="1:17" x14ac:dyDescent="0.45">
      <c r="A2842" t="s">
        <v>130</v>
      </c>
      <c r="B2842" t="s">
        <v>131</v>
      </c>
      <c r="C2842" t="s">
        <v>26</v>
      </c>
      <c r="D2842" t="s">
        <v>20</v>
      </c>
      <c r="E2842" t="s">
        <v>21</v>
      </c>
      <c r="F2842" s="1">
        <v>44440</v>
      </c>
      <c r="G2842">
        <v>5.97</v>
      </c>
      <c r="H2842">
        <v>78.171899999999994</v>
      </c>
      <c r="I2842">
        <v>19.059999999999999</v>
      </c>
      <c r="J2842">
        <v>79.459999999999994</v>
      </c>
      <c r="K2842" t="s">
        <v>82</v>
      </c>
      <c r="L2842">
        <v>802.88</v>
      </c>
      <c r="M2842">
        <f>VLOOKUP(K2842,RatingLookup!$A$2:$C$8,2,FALSE)</f>
        <v>1E-4</v>
      </c>
      <c r="N2842">
        <f t="shared" si="132"/>
        <v>8.3337153021778576E-6</v>
      </c>
      <c r="O2842">
        <f>VLOOKUP(K2842,RatingLookup!$A$2:$C$8,3,FALSE)</f>
        <v>0.2</v>
      </c>
      <c r="P2842">
        <f t="shared" si="133"/>
        <v>1.3381946683625118E-3</v>
      </c>
      <c r="Q2842" t="str">
        <f t="shared" ca="1" si="134"/>
        <v>No</v>
      </c>
    </row>
    <row r="2843" spans="1:17" x14ac:dyDescent="0.45">
      <c r="A2843" t="s">
        <v>130</v>
      </c>
      <c r="B2843" t="s">
        <v>131</v>
      </c>
      <c r="C2843" t="s">
        <v>26</v>
      </c>
      <c r="D2843" t="s">
        <v>20</v>
      </c>
      <c r="E2843" t="s">
        <v>21</v>
      </c>
      <c r="F2843" s="1">
        <v>44470</v>
      </c>
      <c r="G2843">
        <v>5.43</v>
      </c>
      <c r="H2843">
        <v>83.895600000000002</v>
      </c>
      <c r="I2843">
        <v>27.27</v>
      </c>
      <c r="J2843">
        <v>84.37</v>
      </c>
      <c r="K2843" t="s">
        <v>48</v>
      </c>
      <c r="L2843">
        <v>787.71</v>
      </c>
      <c r="M2843">
        <f>VLOOKUP(K2843,RatingLookup!$A$2:$C$8,2,FALSE)</f>
        <v>5.0000000000000001E-4</v>
      </c>
      <c r="N2843">
        <f t="shared" si="132"/>
        <v>4.167621832917856E-5</v>
      </c>
      <c r="O2843">
        <f>VLOOKUP(K2843,RatingLookup!$A$2:$C$8,3,FALSE)</f>
        <v>0.25</v>
      </c>
      <c r="P2843">
        <f t="shared" si="133"/>
        <v>8.207193485019311E-3</v>
      </c>
      <c r="Q2843" t="str">
        <f t="shared" ca="1" si="134"/>
        <v>No</v>
      </c>
    </row>
    <row r="2844" spans="1:17" x14ac:dyDescent="0.45">
      <c r="A2844" t="s">
        <v>130</v>
      </c>
      <c r="B2844" t="s">
        <v>131</v>
      </c>
      <c r="C2844" t="s">
        <v>26</v>
      </c>
      <c r="D2844" t="s">
        <v>20</v>
      </c>
      <c r="E2844" t="s">
        <v>21</v>
      </c>
      <c r="F2844" s="1">
        <v>44501</v>
      </c>
      <c r="G2844">
        <v>5.04</v>
      </c>
      <c r="H2844">
        <v>80.177800000000005</v>
      </c>
      <c r="I2844">
        <v>19.760000000000002</v>
      </c>
      <c r="J2844">
        <v>62.26</v>
      </c>
      <c r="K2844" t="s">
        <v>48</v>
      </c>
      <c r="L2844">
        <v>812.09</v>
      </c>
      <c r="M2844">
        <f>VLOOKUP(K2844,RatingLookup!$A$2:$C$8,2,FALSE)</f>
        <v>5.0000000000000001E-4</v>
      </c>
      <c r="N2844">
        <f t="shared" si="132"/>
        <v>4.167621832917856E-5</v>
      </c>
      <c r="O2844">
        <f>VLOOKUP(K2844,RatingLookup!$A$2:$C$8,3,FALSE)</f>
        <v>0.25</v>
      </c>
      <c r="P2844">
        <f t="shared" si="133"/>
        <v>8.4612100357356543E-3</v>
      </c>
      <c r="Q2844" t="str">
        <f t="shared" ca="1" si="134"/>
        <v>No</v>
      </c>
    </row>
    <row r="2845" spans="1:17" x14ac:dyDescent="0.45">
      <c r="A2845" t="s">
        <v>130</v>
      </c>
      <c r="B2845" t="s">
        <v>131</v>
      </c>
      <c r="C2845" t="s">
        <v>26</v>
      </c>
      <c r="D2845" t="s">
        <v>20</v>
      </c>
      <c r="E2845" t="s">
        <v>21</v>
      </c>
      <c r="F2845" s="1">
        <v>44531</v>
      </c>
      <c r="G2845">
        <v>5.78</v>
      </c>
      <c r="H2845">
        <v>85.279899999999998</v>
      </c>
      <c r="I2845">
        <v>13.79</v>
      </c>
      <c r="J2845">
        <v>83.86</v>
      </c>
      <c r="K2845" t="s">
        <v>48</v>
      </c>
      <c r="L2845">
        <v>840.31</v>
      </c>
      <c r="M2845">
        <f>VLOOKUP(K2845,RatingLookup!$A$2:$C$8,2,FALSE)</f>
        <v>5.0000000000000001E-4</v>
      </c>
      <c r="N2845">
        <f t="shared" si="132"/>
        <v>4.167621832917856E-5</v>
      </c>
      <c r="O2845">
        <f>VLOOKUP(K2845,RatingLookup!$A$2:$C$8,3,FALSE)</f>
        <v>0.25</v>
      </c>
      <c r="P2845">
        <f t="shared" si="133"/>
        <v>8.755235756048009E-3</v>
      </c>
      <c r="Q2845" t="str">
        <f t="shared" ca="1" si="134"/>
        <v>No</v>
      </c>
    </row>
    <row r="2846" spans="1:17" x14ac:dyDescent="0.45">
      <c r="A2846" t="s">
        <v>130</v>
      </c>
      <c r="B2846" t="s">
        <v>131</v>
      </c>
      <c r="C2846" t="s">
        <v>26</v>
      </c>
      <c r="D2846" t="s">
        <v>20</v>
      </c>
      <c r="E2846" t="s">
        <v>21</v>
      </c>
      <c r="F2846" s="1">
        <v>44562</v>
      </c>
      <c r="G2846">
        <v>4.83</v>
      </c>
      <c r="H2846">
        <v>81.084400000000002</v>
      </c>
      <c r="I2846">
        <v>11.96</v>
      </c>
      <c r="J2846">
        <v>86.52</v>
      </c>
      <c r="K2846" t="s">
        <v>48</v>
      </c>
      <c r="L2846">
        <v>791.67</v>
      </c>
      <c r="M2846">
        <f>VLOOKUP(K2846,RatingLookup!$A$2:$C$8,2,FALSE)</f>
        <v>5.0000000000000001E-4</v>
      </c>
      <c r="N2846">
        <f t="shared" si="132"/>
        <v>4.167621832917856E-5</v>
      </c>
      <c r="O2846">
        <f>VLOOKUP(K2846,RatingLookup!$A$2:$C$8,3,FALSE)</f>
        <v>0.25</v>
      </c>
      <c r="P2846">
        <f t="shared" si="133"/>
        <v>8.2484529411651977E-3</v>
      </c>
      <c r="Q2846" t="str">
        <f t="shared" ca="1" si="134"/>
        <v>No</v>
      </c>
    </row>
    <row r="2847" spans="1:17" x14ac:dyDescent="0.45">
      <c r="A2847" t="s">
        <v>130</v>
      </c>
      <c r="B2847" t="s">
        <v>131</v>
      </c>
      <c r="C2847" t="s">
        <v>26</v>
      </c>
      <c r="D2847" t="s">
        <v>20</v>
      </c>
      <c r="E2847" t="s">
        <v>21</v>
      </c>
      <c r="F2847" s="1">
        <v>44593</v>
      </c>
      <c r="G2847">
        <v>5.81</v>
      </c>
      <c r="H2847">
        <v>85.442700000000002</v>
      </c>
      <c r="I2847">
        <v>16.399999999999999</v>
      </c>
      <c r="J2847">
        <v>81.36</v>
      </c>
      <c r="K2847" t="s">
        <v>48</v>
      </c>
      <c r="L2847">
        <v>812.03</v>
      </c>
      <c r="M2847">
        <f>VLOOKUP(K2847,RatingLookup!$A$2:$C$8,2,FALSE)</f>
        <v>5.0000000000000001E-4</v>
      </c>
      <c r="N2847">
        <f t="shared" si="132"/>
        <v>4.167621832917856E-5</v>
      </c>
      <c r="O2847">
        <f>VLOOKUP(K2847,RatingLookup!$A$2:$C$8,3,FALSE)</f>
        <v>0.25</v>
      </c>
      <c r="P2847">
        <f t="shared" si="133"/>
        <v>8.4605848924607166E-3</v>
      </c>
      <c r="Q2847" t="str">
        <f t="shared" ca="1" si="134"/>
        <v>No</v>
      </c>
    </row>
    <row r="2848" spans="1:17" x14ac:dyDescent="0.45">
      <c r="A2848" t="s">
        <v>130</v>
      </c>
      <c r="B2848" t="s">
        <v>131</v>
      </c>
      <c r="C2848" t="s">
        <v>26</v>
      </c>
      <c r="D2848" t="s">
        <v>20</v>
      </c>
      <c r="E2848" t="s">
        <v>21</v>
      </c>
      <c r="F2848" s="1">
        <v>44621</v>
      </c>
      <c r="G2848">
        <v>6.35</v>
      </c>
      <c r="H2848">
        <v>81.657799999999995</v>
      </c>
      <c r="I2848">
        <v>8.5399999999999991</v>
      </c>
      <c r="J2848">
        <v>74.14</v>
      </c>
      <c r="K2848" t="s">
        <v>48</v>
      </c>
      <c r="L2848">
        <v>775.85</v>
      </c>
      <c r="M2848">
        <f>VLOOKUP(K2848,RatingLookup!$A$2:$C$8,2,FALSE)</f>
        <v>5.0000000000000001E-4</v>
      </c>
      <c r="N2848">
        <f t="shared" si="132"/>
        <v>4.167621832917856E-5</v>
      </c>
      <c r="O2848">
        <f>VLOOKUP(K2848,RatingLookup!$A$2:$C$8,3,FALSE)</f>
        <v>0.25</v>
      </c>
      <c r="P2848">
        <f t="shared" si="133"/>
        <v>8.0836234976732965E-3</v>
      </c>
      <c r="Q2848" t="str">
        <f t="shared" ca="1" si="134"/>
        <v>No</v>
      </c>
    </row>
    <row r="2849" spans="1:17" x14ac:dyDescent="0.45">
      <c r="A2849" t="s">
        <v>130</v>
      </c>
      <c r="B2849" t="s">
        <v>131</v>
      </c>
      <c r="C2849" t="s">
        <v>26</v>
      </c>
      <c r="D2849" t="s">
        <v>20</v>
      </c>
      <c r="E2849" t="s">
        <v>21</v>
      </c>
      <c r="F2849" s="1">
        <v>44652</v>
      </c>
      <c r="G2849">
        <v>5.77</v>
      </c>
      <c r="H2849">
        <v>84.076999999999998</v>
      </c>
      <c r="I2849">
        <v>20.69</v>
      </c>
      <c r="J2849">
        <v>73.61</v>
      </c>
      <c r="K2849" t="s">
        <v>48</v>
      </c>
      <c r="L2849">
        <v>809.9</v>
      </c>
      <c r="M2849">
        <f>VLOOKUP(K2849,RatingLookup!$A$2:$C$8,2,FALSE)</f>
        <v>5.0000000000000001E-4</v>
      </c>
      <c r="N2849">
        <f t="shared" si="132"/>
        <v>4.167621832917856E-5</v>
      </c>
      <c r="O2849">
        <f>VLOOKUP(K2849,RatingLookup!$A$2:$C$8,3,FALSE)</f>
        <v>0.25</v>
      </c>
      <c r="P2849">
        <f t="shared" si="133"/>
        <v>8.438392306200429E-3</v>
      </c>
      <c r="Q2849" t="str">
        <f t="shared" ca="1" si="134"/>
        <v>No</v>
      </c>
    </row>
    <row r="2850" spans="1:17" x14ac:dyDescent="0.45">
      <c r="A2850" t="s">
        <v>130</v>
      </c>
      <c r="B2850" t="s">
        <v>131</v>
      </c>
      <c r="C2850" t="s">
        <v>26</v>
      </c>
      <c r="D2850" t="s">
        <v>20</v>
      </c>
      <c r="E2850" t="s">
        <v>21</v>
      </c>
      <c r="F2850" s="1">
        <v>44682</v>
      </c>
      <c r="G2850">
        <v>5.43</v>
      </c>
      <c r="H2850">
        <v>89.151700000000005</v>
      </c>
      <c r="I2850">
        <v>12.38</v>
      </c>
      <c r="J2850">
        <v>59.25</v>
      </c>
      <c r="K2850" t="s">
        <v>48</v>
      </c>
      <c r="L2850">
        <v>869.13</v>
      </c>
      <c r="M2850">
        <f>VLOOKUP(K2850,RatingLookup!$A$2:$C$8,2,FALSE)</f>
        <v>5.0000000000000001E-4</v>
      </c>
      <c r="N2850">
        <f t="shared" si="132"/>
        <v>4.167621832917856E-5</v>
      </c>
      <c r="O2850">
        <f>VLOOKUP(K2850,RatingLookup!$A$2:$C$8,3,FALSE)</f>
        <v>0.25</v>
      </c>
      <c r="P2850">
        <f t="shared" si="133"/>
        <v>9.0555129091097405E-3</v>
      </c>
      <c r="Q2850" t="str">
        <f t="shared" ca="1" si="134"/>
        <v>No</v>
      </c>
    </row>
    <row r="2851" spans="1:17" x14ac:dyDescent="0.45">
      <c r="A2851" t="s">
        <v>130</v>
      </c>
      <c r="B2851" t="s">
        <v>131</v>
      </c>
      <c r="C2851" t="s">
        <v>26</v>
      </c>
      <c r="D2851" t="s">
        <v>20</v>
      </c>
      <c r="E2851" t="s">
        <v>21</v>
      </c>
      <c r="F2851" s="1">
        <v>44713</v>
      </c>
      <c r="G2851">
        <v>5.77</v>
      </c>
      <c r="H2851">
        <v>83.145600000000002</v>
      </c>
      <c r="I2851">
        <v>18.89</v>
      </c>
      <c r="J2851">
        <v>91.01</v>
      </c>
      <c r="K2851" t="s">
        <v>48</v>
      </c>
      <c r="L2851">
        <v>849.35</v>
      </c>
      <c r="M2851">
        <f>VLOOKUP(K2851,RatingLookup!$A$2:$C$8,2,FALSE)</f>
        <v>5.0000000000000001E-4</v>
      </c>
      <c r="N2851">
        <f t="shared" si="132"/>
        <v>4.167621832917856E-5</v>
      </c>
      <c r="O2851">
        <f>VLOOKUP(K2851,RatingLookup!$A$2:$C$8,3,FALSE)</f>
        <v>0.25</v>
      </c>
      <c r="P2851">
        <f t="shared" si="133"/>
        <v>8.8494240094719526E-3</v>
      </c>
      <c r="Q2851" t="str">
        <f t="shared" ca="1" si="134"/>
        <v>No</v>
      </c>
    </row>
    <row r="2852" spans="1:17" x14ac:dyDescent="0.45">
      <c r="A2852" t="s">
        <v>130</v>
      </c>
      <c r="B2852" t="s">
        <v>131</v>
      </c>
      <c r="C2852" t="s">
        <v>26</v>
      </c>
      <c r="D2852" t="s">
        <v>20</v>
      </c>
      <c r="E2852" t="s">
        <v>21</v>
      </c>
      <c r="F2852" s="1">
        <v>44743</v>
      </c>
      <c r="G2852">
        <v>5.64</v>
      </c>
      <c r="H2852">
        <v>81.061499999999995</v>
      </c>
      <c r="I2852">
        <v>25.97</v>
      </c>
      <c r="J2852">
        <v>70.849999999999994</v>
      </c>
      <c r="K2852" t="s">
        <v>48</v>
      </c>
      <c r="L2852">
        <v>807.73</v>
      </c>
      <c r="M2852">
        <f>VLOOKUP(K2852,RatingLookup!$A$2:$C$8,2,FALSE)</f>
        <v>5.0000000000000001E-4</v>
      </c>
      <c r="N2852">
        <f t="shared" si="132"/>
        <v>4.167621832917856E-5</v>
      </c>
      <c r="O2852">
        <f>VLOOKUP(K2852,RatingLookup!$A$2:$C$8,3,FALSE)</f>
        <v>0.25</v>
      </c>
      <c r="P2852">
        <f t="shared" si="133"/>
        <v>8.4157829577568496E-3</v>
      </c>
      <c r="Q2852" t="str">
        <f t="shared" ca="1" si="134"/>
        <v>No</v>
      </c>
    </row>
    <row r="2853" spans="1:17" x14ac:dyDescent="0.45">
      <c r="A2853" t="s">
        <v>130</v>
      </c>
      <c r="B2853" t="s">
        <v>131</v>
      </c>
      <c r="C2853" t="s">
        <v>26</v>
      </c>
      <c r="D2853" t="s">
        <v>20</v>
      </c>
      <c r="E2853" t="s">
        <v>21</v>
      </c>
      <c r="F2853" s="1">
        <v>44774</v>
      </c>
      <c r="G2853">
        <v>4.8499999999999996</v>
      </c>
      <c r="H2853">
        <v>82.238200000000006</v>
      </c>
      <c r="I2853">
        <v>13.22</v>
      </c>
      <c r="J2853">
        <v>90.26</v>
      </c>
      <c r="K2853" t="s">
        <v>48</v>
      </c>
      <c r="L2853">
        <v>807.49</v>
      </c>
      <c r="M2853">
        <f>VLOOKUP(K2853,RatingLookup!$A$2:$C$8,2,FALSE)</f>
        <v>5.0000000000000001E-4</v>
      </c>
      <c r="N2853">
        <f t="shared" si="132"/>
        <v>4.167621832917856E-5</v>
      </c>
      <c r="O2853">
        <f>VLOOKUP(K2853,RatingLookup!$A$2:$C$8,3,FALSE)</f>
        <v>0.25</v>
      </c>
      <c r="P2853">
        <f t="shared" si="133"/>
        <v>8.4132823846570989E-3</v>
      </c>
      <c r="Q2853" t="str">
        <f t="shared" ca="1" si="134"/>
        <v>No</v>
      </c>
    </row>
    <row r="2854" spans="1:17" x14ac:dyDescent="0.45">
      <c r="A2854" t="s">
        <v>130</v>
      </c>
      <c r="B2854" t="s">
        <v>131</v>
      </c>
      <c r="C2854" t="s">
        <v>26</v>
      </c>
      <c r="D2854" t="s">
        <v>20</v>
      </c>
      <c r="E2854" t="s">
        <v>21</v>
      </c>
      <c r="F2854" s="1">
        <v>44805</v>
      </c>
      <c r="G2854">
        <v>5.18</v>
      </c>
      <c r="H2854">
        <v>84.5642</v>
      </c>
      <c r="I2854">
        <v>31.61</v>
      </c>
      <c r="J2854">
        <v>74.16</v>
      </c>
      <c r="K2854" t="s">
        <v>48</v>
      </c>
      <c r="L2854">
        <v>807.01</v>
      </c>
      <c r="M2854">
        <f>VLOOKUP(K2854,RatingLookup!$A$2:$C$8,2,FALSE)</f>
        <v>5.0000000000000001E-4</v>
      </c>
      <c r="N2854">
        <f t="shared" si="132"/>
        <v>4.167621832917856E-5</v>
      </c>
      <c r="O2854">
        <f>VLOOKUP(K2854,RatingLookup!$A$2:$C$8,3,FALSE)</f>
        <v>0.25</v>
      </c>
      <c r="P2854">
        <f t="shared" si="133"/>
        <v>8.4082812384575975E-3</v>
      </c>
      <c r="Q2854" t="str">
        <f t="shared" ca="1" si="134"/>
        <v>No</v>
      </c>
    </row>
    <row r="2855" spans="1:17" x14ac:dyDescent="0.45">
      <c r="A2855" t="s">
        <v>130</v>
      </c>
      <c r="B2855" t="s">
        <v>131</v>
      </c>
      <c r="C2855" t="s">
        <v>26</v>
      </c>
      <c r="D2855" t="s">
        <v>20</v>
      </c>
      <c r="E2855" t="s">
        <v>21</v>
      </c>
      <c r="F2855" s="1">
        <v>44835</v>
      </c>
      <c r="G2855">
        <v>5.0599999999999996</v>
      </c>
      <c r="H2855">
        <v>82.5441</v>
      </c>
      <c r="I2855">
        <v>16.03</v>
      </c>
      <c r="J2855">
        <v>83.64</v>
      </c>
      <c r="K2855" t="s">
        <v>48</v>
      </c>
      <c r="L2855">
        <v>849.71</v>
      </c>
      <c r="M2855">
        <f>VLOOKUP(K2855,RatingLookup!$A$2:$C$8,2,FALSE)</f>
        <v>5.0000000000000001E-4</v>
      </c>
      <c r="N2855">
        <f t="shared" si="132"/>
        <v>4.167621832917856E-5</v>
      </c>
      <c r="O2855">
        <f>VLOOKUP(K2855,RatingLookup!$A$2:$C$8,3,FALSE)</f>
        <v>0.25</v>
      </c>
      <c r="P2855">
        <f t="shared" si="133"/>
        <v>8.8531748691215786E-3</v>
      </c>
      <c r="Q2855" t="str">
        <f t="shared" ca="1" si="134"/>
        <v>No</v>
      </c>
    </row>
    <row r="2856" spans="1:17" x14ac:dyDescent="0.45">
      <c r="A2856" t="s">
        <v>130</v>
      </c>
      <c r="B2856" t="s">
        <v>131</v>
      </c>
      <c r="C2856" t="s">
        <v>26</v>
      </c>
      <c r="D2856" t="s">
        <v>20</v>
      </c>
      <c r="E2856" t="s">
        <v>21</v>
      </c>
      <c r="F2856" s="1">
        <v>44866</v>
      </c>
      <c r="G2856">
        <v>6.01</v>
      </c>
      <c r="H2856">
        <v>82.944500000000005</v>
      </c>
      <c r="I2856">
        <v>8.27</v>
      </c>
      <c r="J2856">
        <v>93.62</v>
      </c>
      <c r="K2856" t="s">
        <v>48</v>
      </c>
      <c r="L2856">
        <v>833.05</v>
      </c>
      <c r="M2856">
        <f>VLOOKUP(K2856,RatingLookup!$A$2:$C$8,2,FALSE)</f>
        <v>5.0000000000000001E-4</v>
      </c>
      <c r="N2856">
        <f t="shared" si="132"/>
        <v>4.167621832917856E-5</v>
      </c>
      <c r="O2856">
        <f>VLOOKUP(K2856,RatingLookup!$A$2:$C$8,3,FALSE)</f>
        <v>0.25</v>
      </c>
      <c r="P2856">
        <f t="shared" si="133"/>
        <v>8.6795934197805499E-3</v>
      </c>
      <c r="Q2856" t="str">
        <f t="shared" ca="1" si="134"/>
        <v>No</v>
      </c>
    </row>
    <row r="2857" spans="1:17" x14ac:dyDescent="0.45">
      <c r="A2857" t="s">
        <v>130</v>
      </c>
      <c r="B2857" t="s">
        <v>131</v>
      </c>
      <c r="C2857" t="s">
        <v>26</v>
      </c>
      <c r="D2857" t="s">
        <v>20</v>
      </c>
      <c r="E2857" t="s">
        <v>21</v>
      </c>
      <c r="F2857" s="1">
        <v>44896</v>
      </c>
      <c r="G2857">
        <v>5.86</v>
      </c>
      <c r="H2857">
        <v>85.065799999999996</v>
      </c>
      <c r="I2857">
        <v>22.28</v>
      </c>
      <c r="J2857">
        <v>68.83</v>
      </c>
      <c r="K2857" t="s">
        <v>48</v>
      </c>
      <c r="L2857">
        <v>850.86</v>
      </c>
      <c r="M2857">
        <f>VLOOKUP(K2857,RatingLookup!$A$2:$C$8,2,FALSE)</f>
        <v>5.0000000000000001E-4</v>
      </c>
      <c r="N2857">
        <f t="shared" si="132"/>
        <v>4.167621832917856E-5</v>
      </c>
      <c r="O2857">
        <f>VLOOKUP(K2857,RatingLookup!$A$2:$C$8,3,FALSE)</f>
        <v>0.25</v>
      </c>
      <c r="P2857">
        <f t="shared" si="133"/>
        <v>8.8651567818912175E-3</v>
      </c>
      <c r="Q2857" t="str">
        <f t="shared" ca="1" si="134"/>
        <v>No</v>
      </c>
    </row>
    <row r="2858" spans="1:17" x14ac:dyDescent="0.45">
      <c r="A2858" t="s">
        <v>130</v>
      </c>
      <c r="B2858" t="s">
        <v>131</v>
      </c>
      <c r="C2858" t="s">
        <v>26</v>
      </c>
      <c r="D2858" t="s">
        <v>20</v>
      </c>
      <c r="E2858" t="s">
        <v>21</v>
      </c>
      <c r="F2858" s="1">
        <v>44927</v>
      </c>
      <c r="G2858">
        <v>6.5</v>
      </c>
      <c r="H2858">
        <v>81.776700000000005</v>
      </c>
      <c r="I2858">
        <v>24.69</v>
      </c>
      <c r="J2858">
        <v>75.239999999999995</v>
      </c>
      <c r="K2858" t="s">
        <v>48</v>
      </c>
      <c r="L2858">
        <v>802.84</v>
      </c>
      <c r="M2858">
        <f>VLOOKUP(K2858,RatingLookup!$A$2:$C$8,2,FALSE)</f>
        <v>5.0000000000000001E-4</v>
      </c>
      <c r="N2858">
        <f t="shared" si="132"/>
        <v>4.167621832917856E-5</v>
      </c>
      <c r="O2858">
        <f>VLOOKUP(K2858,RatingLookup!$A$2:$C$8,3,FALSE)</f>
        <v>0.25</v>
      </c>
      <c r="P2858">
        <f t="shared" si="133"/>
        <v>8.3648337808494289E-3</v>
      </c>
      <c r="Q2858" t="str">
        <f t="shared" ca="1" si="134"/>
        <v>No</v>
      </c>
    </row>
    <row r="2859" spans="1:17" x14ac:dyDescent="0.45">
      <c r="A2859" t="s">
        <v>130</v>
      </c>
      <c r="B2859" t="s">
        <v>131</v>
      </c>
      <c r="C2859" t="s">
        <v>26</v>
      </c>
      <c r="D2859" t="s">
        <v>20</v>
      </c>
      <c r="E2859" t="s">
        <v>21</v>
      </c>
      <c r="F2859" s="1">
        <v>44958</v>
      </c>
      <c r="G2859">
        <v>5.45</v>
      </c>
      <c r="H2859">
        <v>88.044300000000007</v>
      </c>
      <c r="I2859">
        <v>30.82</v>
      </c>
      <c r="J2859">
        <v>73.349999999999994</v>
      </c>
      <c r="K2859" t="s">
        <v>48</v>
      </c>
      <c r="L2859">
        <v>879.6</v>
      </c>
      <c r="M2859">
        <f>VLOOKUP(K2859,RatingLookup!$A$2:$C$8,2,FALSE)</f>
        <v>5.0000000000000001E-4</v>
      </c>
      <c r="N2859">
        <f t="shared" si="132"/>
        <v>4.167621832917856E-5</v>
      </c>
      <c r="O2859">
        <f>VLOOKUP(K2859,RatingLookup!$A$2:$C$8,3,FALSE)</f>
        <v>0.25</v>
      </c>
      <c r="P2859">
        <f t="shared" si="133"/>
        <v>9.1646004105863654E-3</v>
      </c>
      <c r="Q2859" t="str">
        <f t="shared" ca="1" si="134"/>
        <v>No</v>
      </c>
    </row>
    <row r="2860" spans="1:17" x14ac:dyDescent="0.45">
      <c r="A2860" t="s">
        <v>130</v>
      </c>
      <c r="B2860" t="s">
        <v>131</v>
      </c>
      <c r="C2860" t="s">
        <v>26</v>
      </c>
      <c r="D2860" t="s">
        <v>20</v>
      </c>
      <c r="E2860" t="s">
        <v>21</v>
      </c>
      <c r="F2860" s="1">
        <v>44986</v>
      </c>
      <c r="G2860">
        <v>5.69</v>
      </c>
      <c r="H2860">
        <v>84.457800000000006</v>
      </c>
      <c r="I2860">
        <v>34.85</v>
      </c>
      <c r="J2860">
        <v>79.48</v>
      </c>
      <c r="K2860" t="s">
        <v>23</v>
      </c>
      <c r="L2860">
        <v>776.47</v>
      </c>
      <c r="M2860">
        <f>VLOOKUP(K2860,RatingLookup!$A$2:$C$8,2,FALSE)</f>
        <v>1E-3</v>
      </c>
      <c r="N2860">
        <f t="shared" si="132"/>
        <v>8.3371552197619714E-5</v>
      </c>
      <c r="O2860">
        <f>VLOOKUP(K2860,RatingLookup!$A$2:$C$8,3,FALSE)</f>
        <v>0.3</v>
      </c>
      <c r="P2860">
        <f t="shared" si="133"/>
        <v>1.9420652740465734E-2</v>
      </c>
      <c r="Q2860" t="str">
        <f t="shared" ca="1" si="134"/>
        <v>No</v>
      </c>
    </row>
    <row r="2861" spans="1:17" x14ac:dyDescent="0.45">
      <c r="A2861" t="s">
        <v>130</v>
      </c>
      <c r="B2861" t="s">
        <v>131</v>
      </c>
      <c r="C2861" t="s">
        <v>26</v>
      </c>
      <c r="D2861" t="s">
        <v>20</v>
      </c>
      <c r="E2861" t="s">
        <v>21</v>
      </c>
      <c r="F2861" s="1">
        <v>45017</v>
      </c>
      <c r="G2861">
        <v>5.65</v>
      </c>
      <c r="H2861">
        <v>85.657899999999998</v>
      </c>
      <c r="I2861">
        <v>21.8</v>
      </c>
      <c r="J2861">
        <v>72.97</v>
      </c>
      <c r="K2861" t="s">
        <v>23</v>
      </c>
      <c r="L2861">
        <v>821.82</v>
      </c>
      <c r="M2861">
        <f>VLOOKUP(K2861,RatingLookup!$A$2:$C$8,2,FALSE)</f>
        <v>1E-3</v>
      </c>
      <c r="N2861">
        <f t="shared" si="132"/>
        <v>8.3371552197619714E-5</v>
      </c>
      <c r="O2861">
        <f>VLOOKUP(K2861,RatingLookup!$A$2:$C$8,3,FALSE)</f>
        <v>0.3</v>
      </c>
      <c r="P2861">
        <f t="shared" si="133"/>
        <v>2.0554922708114352E-2</v>
      </c>
      <c r="Q2861" t="str">
        <f t="shared" ca="1" si="134"/>
        <v>No</v>
      </c>
    </row>
    <row r="2862" spans="1:17" x14ac:dyDescent="0.45">
      <c r="A2862" t="s">
        <v>130</v>
      </c>
      <c r="B2862" t="s">
        <v>131</v>
      </c>
      <c r="C2862" t="s">
        <v>26</v>
      </c>
      <c r="D2862" t="s">
        <v>20</v>
      </c>
      <c r="E2862" t="s">
        <v>21</v>
      </c>
      <c r="F2862" s="1">
        <v>45047</v>
      </c>
      <c r="G2862">
        <v>5.99</v>
      </c>
      <c r="H2862">
        <v>80.079099999999997</v>
      </c>
      <c r="I2862">
        <v>33.93</v>
      </c>
      <c r="J2862">
        <v>76.83</v>
      </c>
      <c r="K2862" t="s">
        <v>23</v>
      </c>
      <c r="L2862">
        <v>844.48</v>
      </c>
      <c r="M2862">
        <f>VLOOKUP(K2862,RatingLookup!$A$2:$C$8,2,FALSE)</f>
        <v>1E-3</v>
      </c>
      <c r="N2862">
        <f t="shared" si="132"/>
        <v>8.3371552197619714E-5</v>
      </c>
      <c r="O2862">
        <f>VLOOKUP(K2862,RatingLookup!$A$2:$C$8,3,FALSE)</f>
        <v>0.3</v>
      </c>
      <c r="P2862">
        <f t="shared" si="133"/>
        <v>2.112168251995377E-2</v>
      </c>
      <c r="Q2862" t="str">
        <f t="shared" ca="1" si="134"/>
        <v>No</v>
      </c>
    </row>
    <row r="2863" spans="1:17" x14ac:dyDescent="0.45">
      <c r="A2863" t="s">
        <v>130</v>
      </c>
      <c r="B2863" t="s">
        <v>131</v>
      </c>
      <c r="C2863" t="s">
        <v>26</v>
      </c>
      <c r="D2863" t="s">
        <v>20</v>
      </c>
      <c r="E2863" t="s">
        <v>21</v>
      </c>
      <c r="F2863" s="1">
        <v>45078</v>
      </c>
      <c r="G2863">
        <v>5.3</v>
      </c>
      <c r="H2863">
        <v>83.132199999999997</v>
      </c>
      <c r="I2863">
        <v>21.27</v>
      </c>
      <c r="J2863">
        <v>90.92</v>
      </c>
      <c r="K2863" t="s">
        <v>23</v>
      </c>
      <c r="L2863">
        <v>802.2</v>
      </c>
      <c r="M2863">
        <f>VLOOKUP(K2863,RatingLookup!$A$2:$C$8,2,FALSE)</f>
        <v>1E-3</v>
      </c>
      <c r="N2863">
        <f t="shared" si="132"/>
        <v>8.3371552197619714E-5</v>
      </c>
      <c r="O2863">
        <f>VLOOKUP(K2863,RatingLookup!$A$2:$C$8,3,FALSE)</f>
        <v>0.3</v>
      </c>
      <c r="P2863">
        <f t="shared" si="133"/>
        <v>2.0064197751879162E-2</v>
      </c>
      <c r="Q2863" t="str">
        <f t="shared" ca="1" si="134"/>
        <v>No</v>
      </c>
    </row>
    <row r="2864" spans="1:17" x14ac:dyDescent="0.45">
      <c r="A2864" t="s">
        <v>130</v>
      </c>
      <c r="B2864" t="s">
        <v>131</v>
      </c>
      <c r="C2864" t="s">
        <v>26</v>
      </c>
      <c r="D2864" t="s">
        <v>20</v>
      </c>
      <c r="E2864" t="s">
        <v>21</v>
      </c>
      <c r="F2864" s="1">
        <v>45108</v>
      </c>
      <c r="G2864">
        <v>5.54</v>
      </c>
      <c r="H2864">
        <v>82.246600000000001</v>
      </c>
      <c r="I2864">
        <v>14.51</v>
      </c>
      <c r="J2864">
        <v>88.92</v>
      </c>
      <c r="K2864" t="s">
        <v>23</v>
      </c>
      <c r="L2864">
        <v>879.99</v>
      </c>
      <c r="M2864">
        <f>VLOOKUP(K2864,RatingLookup!$A$2:$C$8,2,FALSE)</f>
        <v>1E-3</v>
      </c>
      <c r="N2864">
        <f t="shared" si="132"/>
        <v>8.3371552197619714E-5</v>
      </c>
      <c r="O2864">
        <f>VLOOKUP(K2864,RatingLookup!$A$2:$C$8,3,FALSE)</f>
        <v>0.3</v>
      </c>
      <c r="P2864">
        <f t="shared" si="133"/>
        <v>2.2009839665515011E-2</v>
      </c>
      <c r="Q2864" t="str">
        <f t="shared" ca="1" si="134"/>
        <v>No</v>
      </c>
    </row>
    <row r="2865" spans="1:17" x14ac:dyDescent="0.45">
      <c r="A2865" t="s">
        <v>130</v>
      </c>
      <c r="B2865" t="s">
        <v>131</v>
      </c>
      <c r="C2865" t="s">
        <v>26</v>
      </c>
      <c r="D2865" t="s">
        <v>20</v>
      </c>
      <c r="E2865" t="s">
        <v>21</v>
      </c>
      <c r="F2865" s="1">
        <v>45139</v>
      </c>
      <c r="G2865">
        <v>6.14</v>
      </c>
      <c r="H2865">
        <v>82.037599999999998</v>
      </c>
      <c r="I2865">
        <v>24.9</v>
      </c>
      <c r="J2865">
        <v>89.23</v>
      </c>
      <c r="K2865" t="s">
        <v>23</v>
      </c>
      <c r="L2865">
        <v>889.43</v>
      </c>
      <c r="M2865">
        <f>VLOOKUP(K2865,RatingLookup!$A$2:$C$8,2,FALSE)</f>
        <v>1E-3</v>
      </c>
      <c r="N2865">
        <f t="shared" si="132"/>
        <v>8.3371552197619714E-5</v>
      </c>
      <c r="O2865">
        <f>VLOOKUP(K2865,RatingLookup!$A$2:$C$8,3,FALSE)</f>
        <v>0.3</v>
      </c>
      <c r="P2865">
        <f t="shared" si="133"/>
        <v>2.2245947901338669E-2</v>
      </c>
      <c r="Q2865" t="str">
        <f t="shared" ca="1" si="134"/>
        <v>No</v>
      </c>
    </row>
    <row r="2866" spans="1:17" x14ac:dyDescent="0.45">
      <c r="A2866" t="s">
        <v>130</v>
      </c>
      <c r="B2866" t="s">
        <v>131</v>
      </c>
      <c r="C2866" t="s">
        <v>26</v>
      </c>
      <c r="D2866" t="s">
        <v>20</v>
      </c>
      <c r="E2866" t="s">
        <v>21</v>
      </c>
      <c r="F2866" s="1">
        <v>45170</v>
      </c>
      <c r="G2866">
        <v>4.88</v>
      </c>
      <c r="H2866">
        <v>81.771900000000002</v>
      </c>
      <c r="I2866">
        <v>29.34</v>
      </c>
      <c r="J2866">
        <v>77.39</v>
      </c>
      <c r="K2866" t="s">
        <v>23</v>
      </c>
      <c r="L2866">
        <v>901.74</v>
      </c>
      <c r="M2866">
        <f>VLOOKUP(K2866,RatingLookup!$A$2:$C$8,2,FALSE)</f>
        <v>1E-3</v>
      </c>
      <c r="N2866">
        <f t="shared" si="132"/>
        <v>8.3371552197619714E-5</v>
      </c>
      <c r="O2866">
        <f>VLOOKUP(K2866,RatingLookup!$A$2:$C$8,3,FALSE)</f>
        <v>0.3</v>
      </c>
      <c r="P2866">
        <f t="shared" si="133"/>
        <v>2.2553839043604477E-2</v>
      </c>
      <c r="Q2866" t="str">
        <f t="shared" ca="1" si="134"/>
        <v>No</v>
      </c>
    </row>
    <row r="2867" spans="1:17" x14ac:dyDescent="0.45">
      <c r="A2867" t="s">
        <v>130</v>
      </c>
      <c r="B2867" t="s">
        <v>131</v>
      </c>
      <c r="C2867" t="s">
        <v>26</v>
      </c>
      <c r="D2867" t="s">
        <v>20</v>
      </c>
      <c r="E2867" t="s">
        <v>21</v>
      </c>
      <c r="F2867" s="1">
        <v>45200</v>
      </c>
      <c r="G2867">
        <v>5.97</v>
      </c>
      <c r="H2867">
        <v>83.715900000000005</v>
      </c>
      <c r="I2867">
        <v>18.98</v>
      </c>
      <c r="J2867">
        <v>78.7</v>
      </c>
      <c r="K2867" t="s">
        <v>23</v>
      </c>
      <c r="L2867">
        <v>860.22</v>
      </c>
      <c r="M2867">
        <f>VLOOKUP(K2867,RatingLookup!$A$2:$C$8,2,FALSE)</f>
        <v>1E-3</v>
      </c>
      <c r="N2867">
        <f t="shared" si="132"/>
        <v>8.3371552197619714E-5</v>
      </c>
      <c r="O2867">
        <f>VLOOKUP(K2867,RatingLookup!$A$2:$C$8,3,FALSE)</f>
        <v>0.3</v>
      </c>
      <c r="P2867">
        <f t="shared" si="133"/>
        <v>2.1515362989430929E-2</v>
      </c>
      <c r="Q2867" t="str">
        <f t="shared" ca="1" si="134"/>
        <v>No</v>
      </c>
    </row>
    <row r="2868" spans="1:17" x14ac:dyDescent="0.45">
      <c r="A2868" t="s">
        <v>130</v>
      </c>
      <c r="B2868" t="s">
        <v>131</v>
      </c>
      <c r="C2868" t="s">
        <v>26</v>
      </c>
      <c r="D2868" t="s">
        <v>20</v>
      </c>
      <c r="E2868" t="s">
        <v>21</v>
      </c>
      <c r="F2868" s="1">
        <v>45231</v>
      </c>
      <c r="G2868">
        <v>5.76</v>
      </c>
      <c r="H2868">
        <v>81.492099999999994</v>
      </c>
      <c r="I2868">
        <v>11.31</v>
      </c>
      <c r="J2868">
        <v>77.09</v>
      </c>
      <c r="K2868" t="s">
        <v>23</v>
      </c>
      <c r="L2868">
        <v>854.06</v>
      </c>
      <c r="M2868">
        <f>VLOOKUP(K2868,RatingLookup!$A$2:$C$8,2,FALSE)</f>
        <v>1E-3</v>
      </c>
      <c r="N2868">
        <f t="shared" si="132"/>
        <v>8.3371552197619714E-5</v>
      </c>
      <c r="O2868">
        <f>VLOOKUP(K2868,RatingLookup!$A$2:$C$8,3,FALSE)</f>
        <v>0.3</v>
      </c>
      <c r="P2868">
        <f t="shared" si="133"/>
        <v>2.1361292360969727E-2</v>
      </c>
      <c r="Q2868" t="str">
        <f t="shared" ca="1" si="134"/>
        <v>No</v>
      </c>
    </row>
    <row r="2869" spans="1:17" x14ac:dyDescent="0.45">
      <c r="A2869" t="s">
        <v>130</v>
      </c>
      <c r="B2869" t="s">
        <v>131</v>
      </c>
      <c r="C2869" t="s">
        <v>26</v>
      </c>
      <c r="D2869" t="s">
        <v>20</v>
      </c>
      <c r="E2869" t="s">
        <v>21</v>
      </c>
      <c r="F2869" s="1">
        <v>45261</v>
      </c>
      <c r="G2869">
        <v>5.59</v>
      </c>
      <c r="H2869">
        <v>80.063299999999998</v>
      </c>
      <c r="I2869">
        <v>18.55</v>
      </c>
      <c r="J2869">
        <v>82.68</v>
      </c>
      <c r="K2869" t="s">
        <v>23</v>
      </c>
      <c r="L2869">
        <v>865.03</v>
      </c>
      <c r="M2869">
        <f>VLOOKUP(K2869,RatingLookup!$A$2:$C$8,2,FALSE)</f>
        <v>1E-3</v>
      </c>
      <c r="N2869">
        <f t="shared" si="132"/>
        <v>8.3371552197619714E-5</v>
      </c>
      <c r="O2869">
        <f>VLOOKUP(K2869,RatingLookup!$A$2:$C$8,3,FALSE)</f>
        <v>0.3</v>
      </c>
      <c r="P2869">
        <f t="shared" si="133"/>
        <v>2.1635668139252093E-2</v>
      </c>
      <c r="Q2869" t="str">
        <f t="shared" ca="1" si="134"/>
        <v>No</v>
      </c>
    </row>
    <row r="2870" spans="1:17" x14ac:dyDescent="0.45">
      <c r="A2870" t="s">
        <v>130</v>
      </c>
      <c r="B2870" t="s">
        <v>131</v>
      </c>
      <c r="C2870" t="s">
        <v>26</v>
      </c>
      <c r="D2870" t="s">
        <v>20</v>
      </c>
      <c r="E2870" t="s">
        <v>21</v>
      </c>
      <c r="F2870" s="1">
        <v>45292</v>
      </c>
      <c r="G2870">
        <v>6.04</v>
      </c>
      <c r="H2870">
        <v>82.451300000000003</v>
      </c>
      <c r="I2870">
        <v>19.28</v>
      </c>
      <c r="J2870">
        <v>72.38</v>
      </c>
      <c r="K2870" t="s">
        <v>23</v>
      </c>
      <c r="L2870">
        <v>863.83</v>
      </c>
      <c r="M2870">
        <f>VLOOKUP(K2870,RatingLookup!$A$2:$C$8,2,FALSE)</f>
        <v>1E-3</v>
      </c>
      <c r="N2870">
        <f t="shared" si="132"/>
        <v>8.3371552197619714E-5</v>
      </c>
      <c r="O2870">
        <f>VLOOKUP(K2870,RatingLookup!$A$2:$C$8,3,FALSE)</f>
        <v>0.3</v>
      </c>
      <c r="P2870">
        <f t="shared" si="133"/>
        <v>2.1605654380460953E-2</v>
      </c>
      <c r="Q2870" t="str">
        <f t="shared" ca="1" si="134"/>
        <v>No</v>
      </c>
    </row>
    <row r="2871" spans="1:17" x14ac:dyDescent="0.45">
      <c r="A2871" t="s">
        <v>130</v>
      </c>
      <c r="B2871" t="s">
        <v>131</v>
      </c>
      <c r="C2871" t="s">
        <v>26</v>
      </c>
      <c r="D2871" t="s">
        <v>20</v>
      </c>
      <c r="E2871" t="s">
        <v>21</v>
      </c>
      <c r="F2871" s="1">
        <v>45323</v>
      </c>
      <c r="G2871">
        <v>4.9800000000000004</v>
      </c>
      <c r="H2871">
        <v>84.150700000000001</v>
      </c>
      <c r="I2871">
        <v>26.68</v>
      </c>
      <c r="J2871">
        <v>75.37</v>
      </c>
      <c r="K2871" t="s">
        <v>23</v>
      </c>
      <c r="L2871">
        <v>799.72</v>
      </c>
      <c r="M2871">
        <f>VLOOKUP(K2871,RatingLookup!$A$2:$C$8,2,FALSE)</f>
        <v>1E-3</v>
      </c>
      <c r="N2871">
        <f t="shared" si="132"/>
        <v>8.3371552197619714E-5</v>
      </c>
      <c r="O2871">
        <f>VLOOKUP(K2871,RatingLookup!$A$2:$C$8,3,FALSE)</f>
        <v>0.3</v>
      </c>
      <c r="P2871">
        <f t="shared" si="133"/>
        <v>2.0002169317044131E-2</v>
      </c>
      <c r="Q2871" t="str">
        <f t="shared" ca="1" si="134"/>
        <v>No</v>
      </c>
    </row>
    <row r="2872" spans="1:17" x14ac:dyDescent="0.45">
      <c r="A2872" t="s">
        <v>130</v>
      </c>
      <c r="B2872" t="s">
        <v>131</v>
      </c>
      <c r="C2872" t="s">
        <v>26</v>
      </c>
      <c r="D2872" t="s">
        <v>20</v>
      </c>
      <c r="E2872" t="s">
        <v>21</v>
      </c>
      <c r="F2872" s="1">
        <v>45352</v>
      </c>
      <c r="G2872">
        <v>5.4</v>
      </c>
      <c r="H2872">
        <v>81.4649</v>
      </c>
      <c r="I2872">
        <v>16.04</v>
      </c>
      <c r="J2872">
        <v>57.78</v>
      </c>
      <c r="K2872" t="s">
        <v>23</v>
      </c>
      <c r="L2872">
        <v>858.51</v>
      </c>
      <c r="M2872">
        <f>VLOOKUP(K2872,RatingLookup!$A$2:$C$8,2,FALSE)</f>
        <v>1E-3</v>
      </c>
      <c r="N2872">
        <f t="shared" si="132"/>
        <v>8.3371552197619714E-5</v>
      </c>
      <c r="O2872">
        <f>VLOOKUP(K2872,RatingLookup!$A$2:$C$8,3,FALSE)</f>
        <v>0.3</v>
      </c>
      <c r="P2872">
        <f t="shared" si="133"/>
        <v>2.1472593383153552E-2</v>
      </c>
      <c r="Q2872" t="str">
        <f t="shared" ca="1" si="134"/>
        <v>No</v>
      </c>
    </row>
    <row r="2873" spans="1:17" x14ac:dyDescent="0.45">
      <c r="A2873" t="s">
        <v>130</v>
      </c>
      <c r="B2873" t="s">
        <v>131</v>
      </c>
      <c r="C2873" t="s">
        <v>26</v>
      </c>
      <c r="D2873" t="s">
        <v>20</v>
      </c>
      <c r="E2873" t="s">
        <v>21</v>
      </c>
      <c r="F2873" s="1">
        <v>45383</v>
      </c>
      <c r="G2873">
        <v>5.51</v>
      </c>
      <c r="H2873">
        <v>85.127700000000004</v>
      </c>
      <c r="I2873">
        <v>22.34</v>
      </c>
      <c r="J2873">
        <v>78.349999999999994</v>
      </c>
      <c r="K2873" t="s">
        <v>23</v>
      </c>
      <c r="L2873">
        <v>892.73</v>
      </c>
      <c r="M2873">
        <f>VLOOKUP(K2873,RatingLookup!$A$2:$C$8,2,FALSE)</f>
        <v>1E-3</v>
      </c>
      <c r="N2873">
        <f t="shared" si="132"/>
        <v>8.3371552197619714E-5</v>
      </c>
      <c r="O2873">
        <f>VLOOKUP(K2873,RatingLookup!$A$2:$C$8,3,FALSE)</f>
        <v>0.3</v>
      </c>
      <c r="P2873">
        <f t="shared" si="133"/>
        <v>2.2328485738014315E-2</v>
      </c>
      <c r="Q2873" t="str">
        <f t="shared" ca="1" si="134"/>
        <v>No</v>
      </c>
    </row>
    <row r="2874" spans="1:17" x14ac:dyDescent="0.45">
      <c r="A2874" t="s">
        <v>130</v>
      </c>
      <c r="B2874" t="s">
        <v>131</v>
      </c>
      <c r="C2874" t="s">
        <v>26</v>
      </c>
      <c r="D2874" t="s">
        <v>20</v>
      </c>
      <c r="E2874" t="s">
        <v>21</v>
      </c>
      <c r="F2874" s="1">
        <v>45413</v>
      </c>
      <c r="G2874">
        <v>5.62</v>
      </c>
      <c r="H2874">
        <v>86.816199999999995</v>
      </c>
      <c r="I2874">
        <v>21</v>
      </c>
      <c r="J2874">
        <v>71.98</v>
      </c>
      <c r="K2874" t="s">
        <v>23</v>
      </c>
      <c r="L2874">
        <v>808.14</v>
      </c>
      <c r="M2874">
        <f>VLOOKUP(K2874,RatingLookup!$A$2:$C$8,2,FALSE)</f>
        <v>1E-3</v>
      </c>
      <c r="N2874">
        <f t="shared" si="132"/>
        <v>8.3371552197619714E-5</v>
      </c>
      <c r="O2874">
        <f>VLOOKUP(K2874,RatingLookup!$A$2:$C$8,3,FALSE)</f>
        <v>0.3</v>
      </c>
      <c r="P2874">
        <f t="shared" si="133"/>
        <v>2.0212765857895314E-2</v>
      </c>
      <c r="Q2874" t="str">
        <f t="shared" ca="1" si="134"/>
        <v>No</v>
      </c>
    </row>
    <row r="2875" spans="1:17" x14ac:dyDescent="0.45">
      <c r="A2875" t="s">
        <v>130</v>
      </c>
      <c r="B2875" t="s">
        <v>131</v>
      </c>
      <c r="C2875" t="s">
        <v>26</v>
      </c>
      <c r="D2875" t="s">
        <v>20</v>
      </c>
      <c r="E2875" t="s">
        <v>21</v>
      </c>
      <c r="F2875" s="1">
        <v>45444</v>
      </c>
      <c r="G2875">
        <v>4.62</v>
      </c>
      <c r="H2875">
        <v>82.623599999999996</v>
      </c>
      <c r="I2875">
        <v>13.2</v>
      </c>
      <c r="J2875">
        <v>73.459999999999994</v>
      </c>
      <c r="K2875" t="s">
        <v>23</v>
      </c>
      <c r="L2875">
        <v>816.77</v>
      </c>
      <c r="M2875">
        <f>VLOOKUP(K2875,RatingLookup!$A$2:$C$8,2,FALSE)</f>
        <v>1E-3</v>
      </c>
      <c r="N2875">
        <f t="shared" si="132"/>
        <v>8.3371552197619714E-5</v>
      </c>
      <c r="O2875">
        <f>VLOOKUP(K2875,RatingLookup!$A$2:$C$8,3,FALSE)</f>
        <v>0.3</v>
      </c>
      <c r="P2875">
        <f t="shared" si="133"/>
        <v>2.0428614806534955E-2</v>
      </c>
      <c r="Q2875" t="str">
        <f t="shared" ca="1" si="134"/>
        <v>No</v>
      </c>
    </row>
    <row r="2876" spans="1:17" x14ac:dyDescent="0.45">
      <c r="A2876" t="s">
        <v>130</v>
      </c>
      <c r="B2876" t="s">
        <v>131</v>
      </c>
      <c r="C2876" t="s">
        <v>26</v>
      </c>
      <c r="D2876" t="s">
        <v>20</v>
      </c>
      <c r="E2876" t="s">
        <v>21</v>
      </c>
      <c r="F2876" s="1">
        <v>45474</v>
      </c>
      <c r="G2876">
        <v>5.9</v>
      </c>
      <c r="H2876">
        <v>81.805099999999996</v>
      </c>
      <c r="I2876">
        <v>25.9</v>
      </c>
      <c r="J2876">
        <v>81.93</v>
      </c>
      <c r="K2876" t="s">
        <v>23</v>
      </c>
      <c r="L2876">
        <v>897.78</v>
      </c>
      <c r="M2876">
        <f>VLOOKUP(K2876,RatingLookup!$A$2:$C$8,2,FALSE)</f>
        <v>1E-3</v>
      </c>
      <c r="N2876">
        <f t="shared" si="132"/>
        <v>8.3371552197619714E-5</v>
      </c>
      <c r="O2876">
        <f>VLOOKUP(K2876,RatingLookup!$A$2:$C$8,3,FALSE)</f>
        <v>0.3</v>
      </c>
      <c r="P2876">
        <f t="shared" si="133"/>
        <v>2.2454793639593709E-2</v>
      </c>
      <c r="Q2876" t="str">
        <f t="shared" ca="1" si="134"/>
        <v>No</v>
      </c>
    </row>
    <row r="2877" spans="1:17" x14ac:dyDescent="0.45">
      <c r="A2877" t="s">
        <v>130</v>
      </c>
      <c r="B2877" t="s">
        <v>131</v>
      </c>
      <c r="C2877" t="s">
        <v>26</v>
      </c>
      <c r="D2877" t="s">
        <v>20</v>
      </c>
      <c r="E2877" t="s">
        <v>21</v>
      </c>
      <c r="F2877" s="1">
        <v>45505</v>
      </c>
      <c r="G2877">
        <v>5.52</v>
      </c>
      <c r="H2877">
        <v>85.206199999999995</v>
      </c>
      <c r="I2877">
        <v>19.14</v>
      </c>
      <c r="J2877">
        <v>91.48</v>
      </c>
      <c r="K2877" t="s">
        <v>23</v>
      </c>
      <c r="L2877">
        <v>849.68</v>
      </c>
      <c r="M2877">
        <f>VLOOKUP(K2877,RatingLookup!$A$2:$C$8,2,FALSE)</f>
        <v>1E-3</v>
      </c>
      <c r="N2877">
        <f t="shared" si="132"/>
        <v>8.3371552197619714E-5</v>
      </c>
      <c r="O2877">
        <f>VLOOKUP(K2877,RatingLookup!$A$2:$C$8,3,FALSE)</f>
        <v>0.3</v>
      </c>
      <c r="P2877">
        <f t="shared" si="133"/>
        <v>2.1251742141382052E-2</v>
      </c>
      <c r="Q2877" t="str">
        <f t="shared" ca="1" si="134"/>
        <v>No</v>
      </c>
    </row>
    <row r="2878" spans="1:17" x14ac:dyDescent="0.45">
      <c r="A2878" t="s">
        <v>130</v>
      </c>
      <c r="B2878" t="s">
        <v>131</v>
      </c>
      <c r="C2878" t="s">
        <v>26</v>
      </c>
      <c r="D2878" t="s">
        <v>20</v>
      </c>
      <c r="E2878" t="s">
        <v>21</v>
      </c>
      <c r="F2878" s="1">
        <v>45536</v>
      </c>
      <c r="G2878">
        <v>4.96</v>
      </c>
      <c r="H2878">
        <v>85.940299999999993</v>
      </c>
      <c r="I2878">
        <v>12.77</v>
      </c>
      <c r="J2878">
        <v>69.459999999999994</v>
      </c>
      <c r="K2878" t="s">
        <v>23</v>
      </c>
      <c r="L2878">
        <v>919.75</v>
      </c>
      <c r="M2878">
        <f>VLOOKUP(K2878,RatingLookup!$A$2:$C$8,2,FALSE)</f>
        <v>1E-3</v>
      </c>
      <c r="N2878">
        <f t="shared" si="132"/>
        <v>8.3371552197619714E-5</v>
      </c>
      <c r="O2878">
        <f>VLOOKUP(K2878,RatingLookup!$A$2:$C$8,3,FALSE)</f>
        <v>0.3</v>
      </c>
      <c r="P2878">
        <f t="shared" si="133"/>
        <v>2.3004295540128217E-2</v>
      </c>
      <c r="Q2878" t="str">
        <f t="shared" ca="1" si="134"/>
        <v>No</v>
      </c>
    </row>
    <row r="2879" spans="1:17" x14ac:dyDescent="0.45">
      <c r="A2879" t="s">
        <v>130</v>
      </c>
      <c r="B2879" t="s">
        <v>131</v>
      </c>
      <c r="C2879" t="s">
        <v>26</v>
      </c>
      <c r="D2879" t="s">
        <v>20</v>
      </c>
      <c r="E2879" t="s">
        <v>21</v>
      </c>
      <c r="F2879" s="1">
        <v>45566</v>
      </c>
      <c r="G2879">
        <v>5.7</v>
      </c>
      <c r="H2879">
        <v>85.219200000000001</v>
      </c>
      <c r="I2879">
        <v>17.510000000000002</v>
      </c>
      <c r="J2879">
        <v>82.72</v>
      </c>
      <c r="K2879" t="s">
        <v>23</v>
      </c>
      <c r="L2879">
        <v>816.88</v>
      </c>
      <c r="M2879">
        <f>VLOOKUP(K2879,RatingLookup!$A$2:$C$8,2,FALSE)</f>
        <v>1E-3</v>
      </c>
      <c r="N2879">
        <f t="shared" si="132"/>
        <v>8.3371552197619714E-5</v>
      </c>
      <c r="O2879">
        <f>VLOOKUP(K2879,RatingLookup!$A$2:$C$8,3,FALSE)</f>
        <v>0.3</v>
      </c>
      <c r="P2879">
        <f t="shared" si="133"/>
        <v>2.0431366067757476E-2</v>
      </c>
      <c r="Q2879" t="str">
        <f t="shared" ca="1" si="134"/>
        <v>No</v>
      </c>
    </row>
    <row r="2880" spans="1:17" x14ac:dyDescent="0.45">
      <c r="A2880" t="s">
        <v>130</v>
      </c>
      <c r="B2880" t="s">
        <v>131</v>
      </c>
      <c r="C2880" t="s">
        <v>26</v>
      </c>
      <c r="D2880" t="s">
        <v>20</v>
      </c>
      <c r="E2880" t="s">
        <v>21</v>
      </c>
      <c r="F2880" s="1">
        <v>45597</v>
      </c>
      <c r="G2880">
        <v>5.82</v>
      </c>
      <c r="H2880">
        <v>84.004499999999993</v>
      </c>
      <c r="I2880">
        <v>17.16</v>
      </c>
      <c r="J2880">
        <v>83.65</v>
      </c>
      <c r="K2880" t="s">
        <v>23</v>
      </c>
      <c r="L2880">
        <v>909.67</v>
      </c>
      <c r="M2880">
        <f>VLOOKUP(K2880,RatingLookup!$A$2:$C$8,2,FALSE)</f>
        <v>1E-3</v>
      </c>
      <c r="N2880">
        <f t="shared" si="132"/>
        <v>8.3371552197619714E-5</v>
      </c>
      <c r="O2880">
        <f>VLOOKUP(K2880,RatingLookup!$A$2:$C$8,3,FALSE)</f>
        <v>0.3</v>
      </c>
      <c r="P2880">
        <f t="shared" si="133"/>
        <v>2.2752179966282614E-2</v>
      </c>
      <c r="Q2880" t="str">
        <f t="shared" ca="1" si="134"/>
        <v>No</v>
      </c>
    </row>
    <row r="2881" spans="1:17" x14ac:dyDescent="0.45">
      <c r="A2881" t="s">
        <v>130</v>
      </c>
      <c r="B2881" t="s">
        <v>131</v>
      </c>
      <c r="C2881" t="s">
        <v>26</v>
      </c>
      <c r="D2881" t="s">
        <v>20</v>
      </c>
      <c r="E2881" t="s">
        <v>21</v>
      </c>
      <c r="F2881" s="1">
        <v>45627</v>
      </c>
      <c r="G2881">
        <v>4.6100000000000003</v>
      </c>
      <c r="H2881">
        <v>80.874300000000005</v>
      </c>
      <c r="I2881">
        <v>24.76</v>
      </c>
      <c r="J2881">
        <v>86.9</v>
      </c>
      <c r="K2881" t="s">
        <v>23</v>
      </c>
      <c r="L2881">
        <v>912.45</v>
      </c>
      <c r="M2881">
        <f>VLOOKUP(K2881,RatingLookup!$A$2:$C$8,2,FALSE)</f>
        <v>1E-3</v>
      </c>
      <c r="N2881">
        <f t="shared" si="132"/>
        <v>8.3371552197619714E-5</v>
      </c>
      <c r="O2881">
        <f>VLOOKUP(K2881,RatingLookup!$A$2:$C$8,3,FALSE)</f>
        <v>0.3</v>
      </c>
      <c r="P2881">
        <f t="shared" si="133"/>
        <v>2.2821711840815433E-2</v>
      </c>
      <c r="Q2881" t="str">
        <f t="shared" ca="1" si="134"/>
        <v>No</v>
      </c>
    </row>
    <row r="2882" spans="1:17" x14ac:dyDescent="0.45">
      <c r="A2882" t="s">
        <v>132</v>
      </c>
      <c r="B2882" t="s">
        <v>133</v>
      </c>
      <c r="C2882" t="s">
        <v>19</v>
      </c>
      <c r="D2882" t="s">
        <v>20</v>
      </c>
      <c r="E2882" t="s">
        <v>21</v>
      </c>
      <c r="F2882" s="1">
        <v>43831</v>
      </c>
      <c r="G2882">
        <v>5.33</v>
      </c>
      <c r="H2882">
        <v>84.346400000000003</v>
      </c>
      <c r="I2882">
        <v>14.47</v>
      </c>
      <c r="J2882">
        <v>79.64</v>
      </c>
      <c r="K2882" t="s">
        <v>30</v>
      </c>
      <c r="L2882">
        <v>1710.43</v>
      </c>
      <c r="M2882">
        <f>VLOOKUP(K2882,RatingLookup!$A$2:$C$8,2,FALSE)</f>
        <v>1.4999999999999999E-2</v>
      </c>
      <c r="N2882">
        <f t="shared" ref="N2882:N2945" si="135">1-(1-M2882)^(1/12)</f>
        <v>1.2586770182638762E-3</v>
      </c>
      <c r="O2882">
        <f>VLOOKUP(K2882,RatingLookup!$A$2:$C$8,3,FALSE)</f>
        <v>0.5</v>
      </c>
      <c r="P2882">
        <f t="shared" ref="P2882:P2945" si="136">L2882*N2882*O2882</f>
        <v>1.0764394661745409</v>
      </c>
      <c r="Q2882" t="str">
        <f t="shared" ref="Q2882:Q2945" ca="1" si="137">IF(RAND()&lt;N2882,"Yes","No")</f>
        <v>No</v>
      </c>
    </row>
    <row r="2883" spans="1:17" x14ac:dyDescent="0.45">
      <c r="A2883" t="s">
        <v>132</v>
      </c>
      <c r="B2883" t="s">
        <v>133</v>
      </c>
      <c r="C2883" t="s">
        <v>19</v>
      </c>
      <c r="D2883" t="s">
        <v>20</v>
      </c>
      <c r="E2883" t="s">
        <v>21</v>
      </c>
      <c r="F2883" s="1">
        <v>43862</v>
      </c>
      <c r="G2883">
        <v>6</v>
      </c>
      <c r="H2883">
        <v>83.792599999999993</v>
      </c>
      <c r="I2883">
        <v>18.579999999999998</v>
      </c>
      <c r="J2883">
        <v>77.63</v>
      </c>
      <c r="K2883" t="s">
        <v>30</v>
      </c>
      <c r="L2883">
        <v>1647.19</v>
      </c>
      <c r="M2883">
        <f>VLOOKUP(K2883,RatingLookup!$A$2:$C$8,2,FALSE)</f>
        <v>1.4999999999999999E-2</v>
      </c>
      <c r="N2883">
        <f t="shared" si="135"/>
        <v>1.2586770182638762E-3</v>
      </c>
      <c r="O2883">
        <f>VLOOKUP(K2883,RatingLookup!$A$2:$C$8,3,FALSE)</f>
        <v>0.5</v>
      </c>
      <c r="P2883">
        <f t="shared" si="136"/>
        <v>1.0366400988570372</v>
      </c>
      <c r="Q2883" t="str">
        <f t="shared" ca="1" si="137"/>
        <v>No</v>
      </c>
    </row>
    <row r="2884" spans="1:17" x14ac:dyDescent="0.45">
      <c r="A2884" t="s">
        <v>132</v>
      </c>
      <c r="B2884" t="s">
        <v>133</v>
      </c>
      <c r="C2884" t="s">
        <v>19</v>
      </c>
      <c r="D2884" t="s">
        <v>20</v>
      </c>
      <c r="E2884" t="s">
        <v>21</v>
      </c>
      <c r="F2884" s="1">
        <v>43891</v>
      </c>
      <c r="G2884">
        <v>5.51</v>
      </c>
      <c r="H2884">
        <v>82.941400000000002</v>
      </c>
      <c r="I2884">
        <v>16.489999999999998</v>
      </c>
      <c r="J2884">
        <v>61.31</v>
      </c>
      <c r="K2884" t="s">
        <v>30</v>
      </c>
      <c r="L2884">
        <v>1625.99</v>
      </c>
      <c r="M2884">
        <f>VLOOKUP(K2884,RatingLookup!$A$2:$C$8,2,FALSE)</f>
        <v>1.4999999999999999E-2</v>
      </c>
      <c r="N2884">
        <f t="shared" si="135"/>
        <v>1.2586770182638762E-3</v>
      </c>
      <c r="O2884">
        <f>VLOOKUP(K2884,RatingLookup!$A$2:$C$8,3,FALSE)</f>
        <v>0.5</v>
      </c>
      <c r="P2884">
        <f t="shared" si="136"/>
        <v>1.0232981224634401</v>
      </c>
      <c r="Q2884" t="str">
        <f t="shared" ca="1" si="137"/>
        <v>No</v>
      </c>
    </row>
    <row r="2885" spans="1:17" x14ac:dyDescent="0.45">
      <c r="A2885" t="s">
        <v>132</v>
      </c>
      <c r="B2885" t="s">
        <v>133</v>
      </c>
      <c r="C2885" t="s">
        <v>19</v>
      </c>
      <c r="D2885" t="s">
        <v>20</v>
      </c>
      <c r="E2885" t="s">
        <v>21</v>
      </c>
      <c r="F2885" s="1">
        <v>43922</v>
      </c>
      <c r="G2885">
        <v>5.58</v>
      </c>
      <c r="H2885">
        <v>86.147199999999998</v>
      </c>
      <c r="I2885">
        <v>5</v>
      </c>
      <c r="J2885">
        <v>91.47</v>
      </c>
      <c r="K2885" t="s">
        <v>30</v>
      </c>
      <c r="L2885">
        <v>1719.11</v>
      </c>
      <c r="M2885">
        <f>VLOOKUP(K2885,RatingLookup!$A$2:$C$8,2,FALSE)</f>
        <v>1.4999999999999999E-2</v>
      </c>
      <c r="N2885">
        <f t="shared" si="135"/>
        <v>1.2586770182638762E-3</v>
      </c>
      <c r="O2885">
        <f>VLOOKUP(K2885,RatingLookup!$A$2:$C$8,3,FALSE)</f>
        <v>0.5</v>
      </c>
      <c r="P2885">
        <f t="shared" si="136"/>
        <v>1.0819021244338061</v>
      </c>
      <c r="Q2885" t="str">
        <f t="shared" ca="1" si="137"/>
        <v>No</v>
      </c>
    </row>
    <row r="2886" spans="1:17" x14ac:dyDescent="0.45">
      <c r="A2886" t="s">
        <v>132</v>
      </c>
      <c r="B2886" t="s">
        <v>133</v>
      </c>
      <c r="C2886" t="s">
        <v>19</v>
      </c>
      <c r="D2886" t="s">
        <v>20</v>
      </c>
      <c r="E2886" t="s">
        <v>21</v>
      </c>
      <c r="F2886" s="1">
        <v>43952</v>
      </c>
      <c r="G2886">
        <v>5.61</v>
      </c>
      <c r="H2886">
        <v>83.617599999999996</v>
      </c>
      <c r="I2886">
        <v>28.81</v>
      </c>
      <c r="J2886">
        <v>56.97</v>
      </c>
      <c r="K2886" t="s">
        <v>30</v>
      </c>
      <c r="L2886">
        <v>1592.93</v>
      </c>
      <c r="M2886">
        <f>VLOOKUP(K2886,RatingLookup!$A$2:$C$8,2,FALSE)</f>
        <v>1.4999999999999999E-2</v>
      </c>
      <c r="N2886">
        <f t="shared" si="135"/>
        <v>1.2586770182638762E-3</v>
      </c>
      <c r="O2886">
        <f>VLOOKUP(K2886,RatingLookup!$A$2:$C$8,3,FALSE)</f>
        <v>0.5</v>
      </c>
      <c r="P2886">
        <f t="shared" si="136"/>
        <v>1.0024921913515383</v>
      </c>
      <c r="Q2886" t="str">
        <f t="shared" ca="1" si="137"/>
        <v>No</v>
      </c>
    </row>
    <row r="2887" spans="1:17" x14ac:dyDescent="0.45">
      <c r="A2887" t="s">
        <v>132</v>
      </c>
      <c r="B2887" t="s">
        <v>133</v>
      </c>
      <c r="C2887" t="s">
        <v>19</v>
      </c>
      <c r="D2887" t="s">
        <v>20</v>
      </c>
      <c r="E2887" t="s">
        <v>21</v>
      </c>
      <c r="F2887" s="1">
        <v>43983</v>
      </c>
      <c r="G2887">
        <v>6.08</v>
      </c>
      <c r="H2887">
        <v>81.625500000000002</v>
      </c>
      <c r="I2887">
        <v>27.46</v>
      </c>
      <c r="J2887">
        <v>87.11</v>
      </c>
      <c r="K2887" t="s">
        <v>30</v>
      </c>
      <c r="L2887">
        <v>1660.82</v>
      </c>
      <c r="M2887">
        <f>VLOOKUP(K2887,RatingLookup!$A$2:$C$8,2,FALSE)</f>
        <v>1.4999999999999999E-2</v>
      </c>
      <c r="N2887">
        <f t="shared" si="135"/>
        <v>1.2586770182638762E-3</v>
      </c>
      <c r="O2887">
        <f>VLOOKUP(K2887,RatingLookup!$A$2:$C$8,3,FALSE)</f>
        <v>0.5</v>
      </c>
      <c r="P2887">
        <f t="shared" si="136"/>
        <v>1.0452179827365053</v>
      </c>
      <c r="Q2887" t="str">
        <f t="shared" ca="1" si="137"/>
        <v>No</v>
      </c>
    </row>
    <row r="2888" spans="1:17" x14ac:dyDescent="0.45">
      <c r="A2888" t="s">
        <v>132</v>
      </c>
      <c r="B2888" t="s">
        <v>133</v>
      </c>
      <c r="C2888" t="s">
        <v>19</v>
      </c>
      <c r="D2888" t="s">
        <v>20</v>
      </c>
      <c r="E2888" t="s">
        <v>21</v>
      </c>
      <c r="F2888" s="1">
        <v>44013</v>
      </c>
      <c r="G2888">
        <v>5.54</v>
      </c>
      <c r="H2888">
        <v>85.795400000000001</v>
      </c>
      <c r="I2888">
        <v>9.7200000000000006</v>
      </c>
      <c r="J2888">
        <v>77.28</v>
      </c>
      <c r="K2888" t="s">
        <v>30</v>
      </c>
      <c r="L2888">
        <v>1667.83</v>
      </c>
      <c r="M2888">
        <f>VLOOKUP(K2888,RatingLookup!$A$2:$C$8,2,FALSE)</f>
        <v>1.4999999999999999E-2</v>
      </c>
      <c r="N2888">
        <f t="shared" si="135"/>
        <v>1.2586770182638762E-3</v>
      </c>
      <c r="O2888">
        <f>VLOOKUP(K2888,RatingLookup!$A$2:$C$8,3,FALSE)</f>
        <v>0.5</v>
      </c>
      <c r="P2888">
        <f t="shared" si="136"/>
        <v>1.0496296456855203</v>
      </c>
      <c r="Q2888" t="str">
        <f t="shared" ca="1" si="137"/>
        <v>No</v>
      </c>
    </row>
    <row r="2889" spans="1:17" x14ac:dyDescent="0.45">
      <c r="A2889" t="s">
        <v>132</v>
      </c>
      <c r="B2889" t="s">
        <v>133</v>
      </c>
      <c r="C2889" t="s">
        <v>19</v>
      </c>
      <c r="D2889" t="s">
        <v>20</v>
      </c>
      <c r="E2889" t="s">
        <v>21</v>
      </c>
      <c r="F2889" s="1">
        <v>44044</v>
      </c>
      <c r="G2889">
        <v>5.37</v>
      </c>
      <c r="H2889">
        <v>80.276200000000003</v>
      </c>
      <c r="I2889">
        <v>17.71</v>
      </c>
      <c r="J2889">
        <v>60.6</v>
      </c>
      <c r="K2889" t="s">
        <v>30</v>
      </c>
      <c r="L2889">
        <v>1773.62</v>
      </c>
      <c r="M2889">
        <f>VLOOKUP(K2889,RatingLookup!$A$2:$C$8,2,FALSE)</f>
        <v>1.4999999999999999E-2</v>
      </c>
      <c r="N2889">
        <f t="shared" si="135"/>
        <v>1.2586770182638762E-3</v>
      </c>
      <c r="O2889">
        <f>VLOOKUP(K2889,RatingLookup!$A$2:$C$8,3,FALSE)</f>
        <v>0.5</v>
      </c>
      <c r="P2889">
        <f t="shared" si="136"/>
        <v>1.1162073665665879</v>
      </c>
      <c r="Q2889" t="str">
        <f t="shared" ca="1" si="137"/>
        <v>No</v>
      </c>
    </row>
    <row r="2890" spans="1:17" x14ac:dyDescent="0.45">
      <c r="A2890" t="s">
        <v>132</v>
      </c>
      <c r="B2890" t="s">
        <v>133</v>
      </c>
      <c r="C2890" t="s">
        <v>19</v>
      </c>
      <c r="D2890" t="s">
        <v>20</v>
      </c>
      <c r="E2890" t="s">
        <v>21</v>
      </c>
      <c r="F2890" s="1">
        <v>44075</v>
      </c>
      <c r="G2890">
        <v>5.31</v>
      </c>
      <c r="H2890">
        <v>78.467399999999998</v>
      </c>
      <c r="I2890">
        <v>14.24</v>
      </c>
      <c r="J2890">
        <v>90.63</v>
      </c>
      <c r="K2890" t="s">
        <v>30</v>
      </c>
      <c r="L2890">
        <v>1644.18</v>
      </c>
      <c r="M2890">
        <f>VLOOKUP(K2890,RatingLookup!$A$2:$C$8,2,FALSE)</f>
        <v>1.4999999999999999E-2</v>
      </c>
      <c r="N2890">
        <f t="shared" si="135"/>
        <v>1.2586770182638762E-3</v>
      </c>
      <c r="O2890">
        <f>VLOOKUP(K2890,RatingLookup!$A$2:$C$8,3,FALSE)</f>
        <v>0.5</v>
      </c>
      <c r="P2890">
        <f t="shared" si="136"/>
        <v>1.03474578994455</v>
      </c>
      <c r="Q2890" t="str">
        <f t="shared" ca="1" si="137"/>
        <v>No</v>
      </c>
    </row>
    <row r="2891" spans="1:17" x14ac:dyDescent="0.45">
      <c r="A2891" t="s">
        <v>132</v>
      </c>
      <c r="B2891" t="s">
        <v>133</v>
      </c>
      <c r="C2891" t="s">
        <v>19</v>
      </c>
      <c r="D2891" t="s">
        <v>20</v>
      </c>
      <c r="E2891" t="s">
        <v>21</v>
      </c>
      <c r="F2891" s="1">
        <v>44105</v>
      </c>
      <c r="G2891">
        <v>5.19</v>
      </c>
      <c r="H2891">
        <v>76.575699999999998</v>
      </c>
      <c r="I2891">
        <v>28.91</v>
      </c>
      <c r="J2891">
        <v>82.82</v>
      </c>
      <c r="K2891" t="s">
        <v>31</v>
      </c>
      <c r="L2891">
        <v>1515.5</v>
      </c>
      <c r="M2891">
        <f>VLOOKUP(K2891,RatingLookup!$A$2:$C$8,2,FALSE)</f>
        <v>0.04</v>
      </c>
      <c r="N2891">
        <f t="shared" si="135"/>
        <v>3.3960531989175591E-3</v>
      </c>
      <c r="O2891">
        <f>VLOOKUP(K2891,RatingLookup!$A$2:$C$8,3,FALSE)</f>
        <v>0.6</v>
      </c>
      <c r="P2891">
        <f t="shared" si="136"/>
        <v>3.0880311737757364</v>
      </c>
      <c r="Q2891" t="str">
        <f t="shared" ca="1" si="137"/>
        <v>No</v>
      </c>
    </row>
    <row r="2892" spans="1:17" x14ac:dyDescent="0.45">
      <c r="A2892" t="s">
        <v>132</v>
      </c>
      <c r="B2892" t="s">
        <v>133</v>
      </c>
      <c r="C2892" t="s">
        <v>19</v>
      </c>
      <c r="D2892" t="s">
        <v>20</v>
      </c>
      <c r="E2892" t="s">
        <v>21</v>
      </c>
      <c r="F2892" s="1">
        <v>44136</v>
      </c>
      <c r="G2892">
        <v>5.37</v>
      </c>
      <c r="H2892">
        <v>85.9178</v>
      </c>
      <c r="I2892">
        <v>7</v>
      </c>
      <c r="J2892">
        <v>72.569999999999993</v>
      </c>
      <c r="K2892" t="s">
        <v>31</v>
      </c>
      <c r="L2892">
        <v>1624.91</v>
      </c>
      <c r="M2892">
        <f>VLOOKUP(K2892,RatingLookup!$A$2:$C$8,2,FALSE)</f>
        <v>0.04</v>
      </c>
      <c r="N2892">
        <f t="shared" si="135"/>
        <v>3.3960531989175591E-3</v>
      </c>
      <c r="O2892">
        <f>VLOOKUP(K2892,RatingLookup!$A$2:$C$8,3,FALSE)</f>
        <v>0.6</v>
      </c>
      <c r="P2892">
        <f t="shared" si="136"/>
        <v>3.3109684820718788</v>
      </c>
      <c r="Q2892" t="str">
        <f t="shared" ca="1" si="137"/>
        <v>No</v>
      </c>
    </row>
    <row r="2893" spans="1:17" x14ac:dyDescent="0.45">
      <c r="A2893" t="s">
        <v>132</v>
      </c>
      <c r="B2893" t="s">
        <v>133</v>
      </c>
      <c r="C2893" t="s">
        <v>19</v>
      </c>
      <c r="D2893" t="s">
        <v>20</v>
      </c>
      <c r="E2893" t="s">
        <v>21</v>
      </c>
      <c r="F2893" s="1">
        <v>44166</v>
      </c>
      <c r="G2893">
        <v>5.46</v>
      </c>
      <c r="H2893">
        <v>81.822999999999993</v>
      </c>
      <c r="I2893">
        <v>16.5</v>
      </c>
      <c r="J2893">
        <v>79.56</v>
      </c>
      <c r="K2893" t="s">
        <v>31</v>
      </c>
      <c r="L2893">
        <v>1592.61</v>
      </c>
      <c r="M2893">
        <f>VLOOKUP(K2893,RatingLookup!$A$2:$C$8,2,FALSE)</f>
        <v>0.04</v>
      </c>
      <c r="N2893">
        <f t="shared" si="135"/>
        <v>3.3960531989175591E-3</v>
      </c>
      <c r="O2893">
        <f>VLOOKUP(K2893,RatingLookup!$A$2:$C$8,3,FALSE)</f>
        <v>0.6</v>
      </c>
      <c r="P2893">
        <f t="shared" si="136"/>
        <v>3.2451529710768559</v>
      </c>
      <c r="Q2893" t="str">
        <f t="shared" ca="1" si="137"/>
        <v>No</v>
      </c>
    </row>
    <row r="2894" spans="1:17" x14ac:dyDescent="0.45">
      <c r="A2894" t="s">
        <v>132</v>
      </c>
      <c r="B2894" t="s">
        <v>133</v>
      </c>
      <c r="C2894" t="s">
        <v>19</v>
      </c>
      <c r="D2894" t="s">
        <v>20</v>
      </c>
      <c r="E2894" t="s">
        <v>21</v>
      </c>
      <c r="F2894" s="1">
        <v>44197</v>
      </c>
      <c r="G2894">
        <v>6.81</v>
      </c>
      <c r="H2894">
        <v>84.223100000000002</v>
      </c>
      <c r="I2894">
        <v>15.95</v>
      </c>
      <c r="J2894">
        <v>88.91</v>
      </c>
      <c r="K2894" t="s">
        <v>31</v>
      </c>
      <c r="L2894">
        <v>1657.09</v>
      </c>
      <c r="M2894">
        <f>VLOOKUP(K2894,RatingLookup!$A$2:$C$8,2,FALSE)</f>
        <v>0.04</v>
      </c>
      <c r="N2894">
        <f t="shared" si="135"/>
        <v>3.3960531989175591E-3</v>
      </c>
      <c r="O2894">
        <f>VLOOKUP(K2894,RatingLookup!$A$2:$C$8,3,FALSE)</f>
        <v>0.6</v>
      </c>
      <c r="P2894">
        <f t="shared" si="136"/>
        <v>3.3765394772365784</v>
      </c>
      <c r="Q2894" t="str">
        <f t="shared" ca="1" si="137"/>
        <v>No</v>
      </c>
    </row>
    <row r="2895" spans="1:17" x14ac:dyDescent="0.45">
      <c r="A2895" t="s">
        <v>132</v>
      </c>
      <c r="B2895" t="s">
        <v>133</v>
      </c>
      <c r="C2895" t="s">
        <v>19</v>
      </c>
      <c r="D2895" t="s">
        <v>20</v>
      </c>
      <c r="E2895" t="s">
        <v>21</v>
      </c>
      <c r="F2895" s="1">
        <v>44228</v>
      </c>
      <c r="G2895">
        <v>5.52</v>
      </c>
      <c r="H2895">
        <v>84.681200000000004</v>
      </c>
      <c r="I2895">
        <v>22.77</v>
      </c>
      <c r="J2895">
        <v>62.57</v>
      </c>
      <c r="K2895" t="s">
        <v>31</v>
      </c>
      <c r="L2895">
        <v>1580.91</v>
      </c>
      <c r="M2895">
        <f>VLOOKUP(K2895,RatingLookup!$A$2:$C$8,2,FALSE)</f>
        <v>0.04</v>
      </c>
      <c r="N2895">
        <f t="shared" si="135"/>
        <v>3.3960531989175591E-3</v>
      </c>
      <c r="O2895">
        <f>VLOOKUP(K2895,RatingLookup!$A$2:$C$8,3,FALSE)</f>
        <v>0.6</v>
      </c>
      <c r="P2895">
        <f t="shared" si="136"/>
        <v>3.221312677620455</v>
      </c>
      <c r="Q2895" t="str">
        <f t="shared" ca="1" si="137"/>
        <v>No</v>
      </c>
    </row>
    <row r="2896" spans="1:17" x14ac:dyDescent="0.45">
      <c r="A2896" t="s">
        <v>132</v>
      </c>
      <c r="B2896" t="s">
        <v>133</v>
      </c>
      <c r="C2896" t="s">
        <v>19</v>
      </c>
      <c r="D2896" t="s">
        <v>20</v>
      </c>
      <c r="E2896" t="s">
        <v>21</v>
      </c>
      <c r="F2896" s="1">
        <v>44256</v>
      </c>
      <c r="G2896">
        <v>5.81</v>
      </c>
      <c r="H2896">
        <v>81.139200000000002</v>
      </c>
      <c r="I2896">
        <v>19.7</v>
      </c>
      <c r="J2896">
        <v>74.290000000000006</v>
      </c>
      <c r="K2896" t="s">
        <v>31</v>
      </c>
      <c r="L2896">
        <v>1643.75</v>
      </c>
      <c r="M2896">
        <f>VLOOKUP(K2896,RatingLookup!$A$2:$C$8,2,FALSE)</f>
        <v>0.04</v>
      </c>
      <c r="N2896">
        <f t="shared" si="135"/>
        <v>3.3960531989175591E-3</v>
      </c>
      <c r="O2896">
        <f>VLOOKUP(K2896,RatingLookup!$A$2:$C$8,3,FALSE)</f>
        <v>0.6</v>
      </c>
      <c r="P2896">
        <f t="shared" si="136"/>
        <v>3.3493574674324424</v>
      </c>
      <c r="Q2896" t="str">
        <f t="shared" ca="1" si="137"/>
        <v>No</v>
      </c>
    </row>
    <row r="2897" spans="1:17" x14ac:dyDescent="0.45">
      <c r="A2897" t="s">
        <v>132</v>
      </c>
      <c r="B2897" t="s">
        <v>133</v>
      </c>
      <c r="C2897" t="s">
        <v>19</v>
      </c>
      <c r="D2897" t="s">
        <v>20</v>
      </c>
      <c r="E2897" t="s">
        <v>21</v>
      </c>
      <c r="F2897" s="1">
        <v>44287</v>
      </c>
      <c r="G2897">
        <v>6.39</v>
      </c>
      <c r="H2897">
        <v>82.058199999999999</v>
      </c>
      <c r="I2897">
        <v>16.72</v>
      </c>
      <c r="J2897">
        <v>75.099999999999994</v>
      </c>
      <c r="K2897" t="s">
        <v>31</v>
      </c>
      <c r="L2897">
        <v>1721.26</v>
      </c>
      <c r="M2897">
        <f>VLOOKUP(K2897,RatingLookup!$A$2:$C$8,2,FALSE)</f>
        <v>0.04</v>
      </c>
      <c r="N2897">
        <f t="shared" si="135"/>
        <v>3.3960531989175591E-3</v>
      </c>
      <c r="O2897">
        <f>VLOOKUP(K2897,RatingLookup!$A$2:$C$8,3,FALSE)</f>
        <v>0.6</v>
      </c>
      <c r="P2897">
        <f t="shared" si="136"/>
        <v>3.5072943175013025</v>
      </c>
      <c r="Q2897" t="str">
        <f t="shared" ca="1" si="137"/>
        <v>No</v>
      </c>
    </row>
    <row r="2898" spans="1:17" x14ac:dyDescent="0.45">
      <c r="A2898" t="s">
        <v>132</v>
      </c>
      <c r="B2898" t="s">
        <v>133</v>
      </c>
      <c r="C2898" t="s">
        <v>19</v>
      </c>
      <c r="D2898" t="s">
        <v>20</v>
      </c>
      <c r="E2898" t="s">
        <v>21</v>
      </c>
      <c r="F2898" s="1">
        <v>44317</v>
      </c>
      <c r="G2898">
        <v>5.89</v>
      </c>
      <c r="H2898">
        <v>80.923000000000002</v>
      </c>
      <c r="I2898">
        <v>7.58</v>
      </c>
      <c r="J2898">
        <v>53.55</v>
      </c>
      <c r="K2898" t="s">
        <v>31</v>
      </c>
      <c r="L2898">
        <v>1651.88</v>
      </c>
      <c r="M2898">
        <f>VLOOKUP(K2898,RatingLookup!$A$2:$C$8,2,FALSE)</f>
        <v>0.04</v>
      </c>
      <c r="N2898">
        <f t="shared" si="135"/>
        <v>3.3960531989175591E-3</v>
      </c>
      <c r="O2898">
        <f>VLOOKUP(K2898,RatingLookup!$A$2:$C$8,3,FALSE)</f>
        <v>0.6</v>
      </c>
      <c r="P2898">
        <f t="shared" si="136"/>
        <v>3.3659234149367627</v>
      </c>
      <c r="Q2898" t="str">
        <f t="shared" ca="1" si="137"/>
        <v>No</v>
      </c>
    </row>
    <row r="2899" spans="1:17" x14ac:dyDescent="0.45">
      <c r="A2899" t="s">
        <v>132</v>
      </c>
      <c r="B2899" t="s">
        <v>133</v>
      </c>
      <c r="C2899" t="s">
        <v>19</v>
      </c>
      <c r="D2899" t="s">
        <v>20</v>
      </c>
      <c r="E2899" t="s">
        <v>21</v>
      </c>
      <c r="F2899" s="1">
        <v>44348</v>
      </c>
      <c r="G2899">
        <v>5.33</v>
      </c>
      <c r="H2899">
        <v>84.833600000000004</v>
      </c>
      <c r="I2899">
        <v>20.66</v>
      </c>
      <c r="J2899">
        <v>79.31</v>
      </c>
      <c r="K2899" t="s">
        <v>31</v>
      </c>
      <c r="L2899">
        <v>1574.32</v>
      </c>
      <c r="M2899">
        <f>VLOOKUP(K2899,RatingLookup!$A$2:$C$8,2,FALSE)</f>
        <v>0.04</v>
      </c>
      <c r="N2899">
        <f t="shared" si="135"/>
        <v>3.3960531989175591E-3</v>
      </c>
      <c r="O2899">
        <f>VLOOKUP(K2899,RatingLookup!$A$2:$C$8,3,FALSE)</f>
        <v>0.6</v>
      </c>
      <c r="P2899">
        <f t="shared" si="136"/>
        <v>3.2078846832719345</v>
      </c>
      <c r="Q2899" t="str">
        <f t="shared" ca="1" si="137"/>
        <v>No</v>
      </c>
    </row>
    <row r="2900" spans="1:17" x14ac:dyDescent="0.45">
      <c r="A2900" t="s">
        <v>132</v>
      </c>
      <c r="B2900" t="s">
        <v>133</v>
      </c>
      <c r="C2900" t="s">
        <v>19</v>
      </c>
      <c r="D2900" t="s">
        <v>20</v>
      </c>
      <c r="E2900" t="s">
        <v>21</v>
      </c>
      <c r="F2900" s="1">
        <v>44378</v>
      </c>
      <c r="G2900">
        <v>4.29</v>
      </c>
      <c r="H2900">
        <v>81.985500000000002</v>
      </c>
      <c r="I2900">
        <v>26.43</v>
      </c>
      <c r="J2900">
        <v>65.349999999999994</v>
      </c>
      <c r="K2900" t="s">
        <v>31</v>
      </c>
      <c r="L2900">
        <v>1620.18</v>
      </c>
      <c r="M2900">
        <f>VLOOKUP(K2900,RatingLookup!$A$2:$C$8,2,FALSE)</f>
        <v>0.04</v>
      </c>
      <c r="N2900">
        <f t="shared" si="135"/>
        <v>3.3960531989175591E-3</v>
      </c>
      <c r="O2900">
        <f>VLOOKUP(K2900,RatingLookup!$A$2:$C$8,3,FALSE)</f>
        <v>0.6</v>
      </c>
      <c r="P2900">
        <f t="shared" si="136"/>
        <v>3.3013304830933508</v>
      </c>
      <c r="Q2900" t="str">
        <f t="shared" ca="1" si="137"/>
        <v>No</v>
      </c>
    </row>
    <row r="2901" spans="1:17" x14ac:dyDescent="0.45">
      <c r="A2901" t="s">
        <v>132</v>
      </c>
      <c r="B2901" t="s">
        <v>133</v>
      </c>
      <c r="C2901" t="s">
        <v>19</v>
      </c>
      <c r="D2901" t="s">
        <v>20</v>
      </c>
      <c r="E2901" t="s">
        <v>21</v>
      </c>
      <c r="F2901" s="1">
        <v>44409</v>
      </c>
      <c r="G2901">
        <v>5.09</v>
      </c>
      <c r="H2901">
        <v>84.841800000000006</v>
      </c>
      <c r="I2901">
        <v>19.28</v>
      </c>
      <c r="J2901">
        <v>62.46</v>
      </c>
      <c r="K2901" t="s">
        <v>31</v>
      </c>
      <c r="L2901">
        <v>1642.62</v>
      </c>
      <c r="M2901">
        <f>VLOOKUP(K2901,RatingLookup!$A$2:$C$8,2,FALSE)</f>
        <v>0.04</v>
      </c>
      <c r="N2901">
        <f t="shared" si="135"/>
        <v>3.3960531989175591E-3</v>
      </c>
      <c r="O2901">
        <f>VLOOKUP(K2901,RatingLookup!$A$2:$C$8,3,FALSE)</f>
        <v>0.6</v>
      </c>
      <c r="P2901">
        <f t="shared" si="136"/>
        <v>3.3470549433635766</v>
      </c>
      <c r="Q2901" t="str">
        <f t="shared" ca="1" si="137"/>
        <v>No</v>
      </c>
    </row>
    <row r="2902" spans="1:17" x14ac:dyDescent="0.45">
      <c r="A2902" t="s">
        <v>132</v>
      </c>
      <c r="B2902" t="s">
        <v>133</v>
      </c>
      <c r="C2902" t="s">
        <v>19</v>
      </c>
      <c r="D2902" t="s">
        <v>20</v>
      </c>
      <c r="E2902" t="s">
        <v>21</v>
      </c>
      <c r="F2902" s="1">
        <v>44440</v>
      </c>
      <c r="G2902">
        <v>6.68</v>
      </c>
      <c r="H2902">
        <v>83.690200000000004</v>
      </c>
      <c r="I2902">
        <v>26.14</v>
      </c>
      <c r="J2902">
        <v>75.39</v>
      </c>
      <c r="K2902" t="s">
        <v>31</v>
      </c>
      <c r="L2902">
        <v>1482.31</v>
      </c>
      <c r="M2902">
        <f>VLOOKUP(K2902,RatingLookup!$A$2:$C$8,2,FALSE)</f>
        <v>0.04</v>
      </c>
      <c r="N2902">
        <f t="shared" si="135"/>
        <v>3.3960531989175591E-3</v>
      </c>
      <c r="O2902">
        <f>VLOOKUP(K2902,RatingLookup!$A$2:$C$8,3,FALSE)</f>
        <v>0.6</v>
      </c>
      <c r="P2902">
        <f t="shared" si="136"/>
        <v>3.0204021703724924</v>
      </c>
      <c r="Q2902" t="str">
        <f t="shared" ca="1" si="137"/>
        <v>No</v>
      </c>
    </row>
    <row r="2903" spans="1:17" x14ac:dyDescent="0.45">
      <c r="A2903" t="s">
        <v>132</v>
      </c>
      <c r="B2903" t="s">
        <v>133</v>
      </c>
      <c r="C2903" t="s">
        <v>19</v>
      </c>
      <c r="D2903" t="s">
        <v>20</v>
      </c>
      <c r="E2903" t="s">
        <v>21</v>
      </c>
      <c r="F2903" s="1">
        <v>44470</v>
      </c>
      <c r="G2903">
        <v>4.1100000000000003</v>
      </c>
      <c r="H2903">
        <v>81.145399999999995</v>
      </c>
      <c r="I2903">
        <v>24.67</v>
      </c>
      <c r="J2903">
        <v>65.44</v>
      </c>
      <c r="K2903" t="s">
        <v>31</v>
      </c>
      <c r="L2903">
        <v>1554.6</v>
      </c>
      <c r="M2903">
        <f>VLOOKUP(K2903,RatingLookup!$A$2:$C$8,2,FALSE)</f>
        <v>0.04</v>
      </c>
      <c r="N2903">
        <f t="shared" si="135"/>
        <v>3.3960531989175591E-3</v>
      </c>
      <c r="O2903">
        <f>VLOOKUP(K2903,RatingLookup!$A$2:$C$8,3,FALSE)</f>
        <v>0.6</v>
      </c>
      <c r="P2903">
        <f t="shared" si="136"/>
        <v>3.1677025818223421</v>
      </c>
      <c r="Q2903" t="str">
        <f t="shared" ca="1" si="137"/>
        <v>No</v>
      </c>
    </row>
    <row r="2904" spans="1:17" x14ac:dyDescent="0.45">
      <c r="A2904" t="s">
        <v>132</v>
      </c>
      <c r="B2904" t="s">
        <v>133</v>
      </c>
      <c r="C2904" t="s">
        <v>19</v>
      </c>
      <c r="D2904" t="s">
        <v>20</v>
      </c>
      <c r="E2904" t="s">
        <v>21</v>
      </c>
      <c r="F2904" s="1">
        <v>44501</v>
      </c>
      <c r="G2904">
        <v>4.6900000000000004</v>
      </c>
      <c r="H2904">
        <v>80.454099999999997</v>
      </c>
      <c r="I2904">
        <v>17.04</v>
      </c>
      <c r="J2904">
        <v>63.77</v>
      </c>
      <c r="K2904" t="s">
        <v>31</v>
      </c>
      <c r="L2904">
        <v>1470.88</v>
      </c>
      <c r="M2904">
        <f>VLOOKUP(K2904,RatingLookup!$A$2:$C$8,2,FALSE)</f>
        <v>0.04</v>
      </c>
      <c r="N2904">
        <f t="shared" si="135"/>
        <v>3.3960531989175591E-3</v>
      </c>
      <c r="O2904">
        <f>VLOOKUP(K2904,RatingLookup!$A$2:$C$8,3,FALSE)</f>
        <v>0.6</v>
      </c>
      <c r="P2904">
        <f t="shared" si="136"/>
        <v>2.9971120375343157</v>
      </c>
      <c r="Q2904" t="str">
        <f t="shared" ca="1" si="137"/>
        <v>No</v>
      </c>
    </row>
    <row r="2905" spans="1:17" x14ac:dyDescent="0.45">
      <c r="A2905" t="s">
        <v>132</v>
      </c>
      <c r="B2905" t="s">
        <v>133</v>
      </c>
      <c r="C2905" t="s">
        <v>19</v>
      </c>
      <c r="D2905" t="s">
        <v>20</v>
      </c>
      <c r="E2905" t="s">
        <v>21</v>
      </c>
      <c r="F2905" s="1">
        <v>44531</v>
      </c>
      <c r="G2905">
        <v>5.52</v>
      </c>
      <c r="H2905">
        <v>85.565299999999993</v>
      </c>
      <c r="I2905">
        <v>14.96</v>
      </c>
      <c r="J2905">
        <v>83.32</v>
      </c>
      <c r="K2905" t="s">
        <v>31</v>
      </c>
      <c r="L2905">
        <v>1610.89</v>
      </c>
      <c r="M2905">
        <f>VLOOKUP(K2905,RatingLookup!$A$2:$C$8,2,FALSE)</f>
        <v>0.04</v>
      </c>
      <c r="N2905">
        <f t="shared" si="135"/>
        <v>3.3960531989175591E-3</v>
      </c>
      <c r="O2905">
        <f>VLOOKUP(K2905,RatingLookup!$A$2:$C$8,3,FALSE)</f>
        <v>0.6</v>
      </c>
      <c r="P2905">
        <f t="shared" si="136"/>
        <v>3.2824008825625843</v>
      </c>
      <c r="Q2905" t="str">
        <f t="shared" ca="1" si="137"/>
        <v>No</v>
      </c>
    </row>
    <row r="2906" spans="1:17" x14ac:dyDescent="0.45">
      <c r="A2906" t="s">
        <v>132</v>
      </c>
      <c r="B2906" t="s">
        <v>133</v>
      </c>
      <c r="C2906" t="s">
        <v>19</v>
      </c>
      <c r="D2906" t="s">
        <v>20</v>
      </c>
      <c r="E2906" t="s">
        <v>21</v>
      </c>
      <c r="F2906" s="1">
        <v>44562</v>
      </c>
      <c r="G2906">
        <v>5.81</v>
      </c>
      <c r="H2906">
        <v>83.259500000000003</v>
      </c>
      <c r="I2906">
        <v>20.04</v>
      </c>
      <c r="J2906">
        <v>71.239999999999995</v>
      </c>
      <c r="K2906" t="s">
        <v>31</v>
      </c>
      <c r="L2906">
        <v>1702.53</v>
      </c>
      <c r="M2906">
        <f>VLOOKUP(K2906,RatingLookup!$A$2:$C$8,2,FALSE)</f>
        <v>0.04</v>
      </c>
      <c r="N2906">
        <f t="shared" si="135"/>
        <v>3.3960531989175591E-3</v>
      </c>
      <c r="O2906">
        <f>VLOOKUP(K2906,RatingLookup!$A$2:$C$8,3,FALSE)</f>
        <v>0.6</v>
      </c>
      <c r="P2906">
        <f t="shared" si="136"/>
        <v>3.469129471651867</v>
      </c>
      <c r="Q2906" t="str">
        <f t="shared" ca="1" si="137"/>
        <v>No</v>
      </c>
    </row>
    <row r="2907" spans="1:17" x14ac:dyDescent="0.45">
      <c r="A2907" t="s">
        <v>132</v>
      </c>
      <c r="B2907" t="s">
        <v>133</v>
      </c>
      <c r="C2907" t="s">
        <v>19</v>
      </c>
      <c r="D2907" t="s">
        <v>20</v>
      </c>
      <c r="E2907" t="s">
        <v>21</v>
      </c>
      <c r="F2907" s="1">
        <v>44593</v>
      </c>
      <c r="G2907">
        <v>5.26</v>
      </c>
      <c r="H2907">
        <v>81.464699999999993</v>
      </c>
      <c r="I2907">
        <v>14.18</v>
      </c>
      <c r="J2907">
        <v>70.900000000000006</v>
      </c>
      <c r="K2907" t="s">
        <v>31</v>
      </c>
      <c r="L2907">
        <v>1584.61</v>
      </c>
      <c r="M2907">
        <f>VLOOKUP(K2907,RatingLookup!$A$2:$C$8,2,FALSE)</f>
        <v>0.04</v>
      </c>
      <c r="N2907">
        <f t="shared" si="135"/>
        <v>3.3960531989175591E-3</v>
      </c>
      <c r="O2907">
        <f>VLOOKUP(K2907,RatingLookup!$A$2:$C$8,3,FALSE)</f>
        <v>0.6</v>
      </c>
      <c r="P2907">
        <f t="shared" si="136"/>
        <v>3.2288519157220517</v>
      </c>
      <c r="Q2907" t="str">
        <f t="shared" ca="1" si="137"/>
        <v>No</v>
      </c>
    </row>
    <row r="2908" spans="1:17" x14ac:dyDescent="0.45">
      <c r="A2908" t="s">
        <v>132</v>
      </c>
      <c r="B2908" t="s">
        <v>133</v>
      </c>
      <c r="C2908" t="s">
        <v>19</v>
      </c>
      <c r="D2908" t="s">
        <v>20</v>
      </c>
      <c r="E2908" t="s">
        <v>21</v>
      </c>
      <c r="F2908" s="1">
        <v>44621</v>
      </c>
      <c r="G2908">
        <v>5.58</v>
      </c>
      <c r="H2908">
        <v>86.060699999999997</v>
      </c>
      <c r="I2908">
        <v>19.23</v>
      </c>
      <c r="J2908">
        <v>59.64</v>
      </c>
      <c r="K2908" t="s">
        <v>31</v>
      </c>
      <c r="L2908">
        <v>1513</v>
      </c>
      <c r="M2908">
        <f>VLOOKUP(K2908,RatingLookup!$A$2:$C$8,2,FALSE)</f>
        <v>0.04</v>
      </c>
      <c r="N2908">
        <f t="shared" si="135"/>
        <v>3.3960531989175591E-3</v>
      </c>
      <c r="O2908">
        <f>VLOOKUP(K2908,RatingLookup!$A$2:$C$8,3,FALSE)</f>
        <v>0.6</v>
      </c>
      <c r="P2908">
        <f t="shared" si="136"/>
        <v>3.0829370939773599</v>
      </c>
      <c r="Q2908" t="str">
        <f t="shared" ca="1" si="137"/>
        <v>No</v>
      </c>
    </row>
    <row r="2909" spans="1:17" x14ac:dyDescent="0.45">
      <c r="A2909" t="s">
        <v>132</v>
      </c>
      <c r="B2909" t="s">
        <v>133</v>
      </c>
      <c r="C2909" t="s">
        <v>19</v>
      </c>
      <c r="D2909" t="s">
        <v>20</v>
      </c>
      <c r="E2909" t="s">
        <v>21</v>
      </c>
      <c r="F2909" s="1">
        <v>44652</v>
      </c>
      <c r="G2909">
        <v>5.92</v>
      </c>
      <c r="H2909">
        <v>80.128799999999998</v>
      </c>
      <c r="I2909">
        <v>16.14</v>
      </c>
      <c r="J2909">
        <v>73.849999999999994</v>
      </c>
      <c r="K2909" t="s">
        <v>31</v>
      </c>
      <c r="L2909">
        <v>1641.88</v>
      </c>
      <c r="M2909">
        <f>VLOOKUP(K2909,RatingLookup!$A$2:$C$8,2,FALSE)</f>
        <v>0.04</v>
      </c>
      <c r="N2909">
        <f t="shared" si="135"/>
        <v>3.3960531989175591E-3</v>
      </c>
      <c r="O2909">
        <f>VLOOKUP(K2909,RatingLookup!$A$2:$C$8,3,FALSE)</f>
        <v>0.6</v>
      </c>
      <c r="P2909">
        <f t="shared" si="136"/>
        <v>3.3455470957432571</v>
      </c>
      <c r="Q2909" t="str">
        <f t="shared" ca="1" si="137"/>
        <v>No</v>
      </c>
    </row>
    <row r="2910" spans="1:17" x14ac:dyDescent="0.45">
      <c r="A2910" t="s">
        <v>132</v>
      </c>
      <c r="B2910" t="s">
        <v>133</v>
      </c>
      <c r="C2910" t="s">
        <v>19</v>
      </c>
      <c r="D2910" t="s">
        <v>20</v>
      </c>
      <c r="E2910" t="s">
        <v>21</v>
      </c>
      <c r="F2910" s="1">
        <v>44682</v>
      </c>
      <c r="G2910">
        <v>5.1100000000000003</v>
      </c>
      <c r="H2910">
        <v>83.071100000000001</v>
      </c>
      <c r="I2910">
        <v>8.6300000000000008</v>
      </c>
      <c r="J2910">
        <v>84.39</v>
      </c>
      <c r="K2910" t="s">
        <v>31</v>
      </c>
      <c r="L2910">
        <v>1491.48</v>
      </c>
      <c r="M2910">
        <f>VLOOKUP(K2910,RatingLookup!$A$2:$C$8,2,FALSE)</f>
        <v>0.04</v>
      </c>
      <c r="N2910">
        <f t="shared" si="135"/>
        <v>3.3960531989175591E-3</v>
      </c>
      <c r="O2910">
        <f>VLOOKUP(K2910,RatingLookup!$A$2:$C$8,3,FALSE)</f>
        <v>0.6</v>
      </c>
      <c r="P2910">
        <f t="shared" si="136"/>
        <v>3.0390872550729369</v>
      </c>
      <c r="Q2910" t="str">
        <f t="shared" ca="1" si="137"/>
        <v>No</v>
      </c>
    </row>
    <row r="2911" spans="1:17" x14ac:dyDescent="0.45">
      <c r="A2911" t="s">
        <v>132</v>
      </c>
      <c r="B2911" t="s">
        <v>133</v>
      </c>
      <c r="C2911" t="s">
        <v>19</v>
      </c>
      <c r="D2911" t="s">
        <v>20</v>
      </c>
      <c r="E2911" t="s">
        <v>21</v>
      </c>
      <c r="F2911" s="1">
        <v>44713</v>
      </c>
      <c r="G2911">
        <v>5.84</v>
      </c>
      <c r="H2911">
        <v>84.674700000000001</v>
      </c>
      <c r="I2911">
        <v>27.97</v>
      </c>
      <c r="J2911">
        <v>50.74</v>
      </c>
      <c r="K2911" t="s">
        <v>31</v>
      </c>
      <c r="L2911">
        <v>1515.59</v>
      </c>
      <c r="M2911">
        <f>VLOOKUP(K2911,RatingLookup!$A$2:$C$8,2,FALSE)</f>
        <v>0.04</v>
      </c>
      <c r="N2911">
        <f t="shared" si="135"/>
        <v>3.3960531989175591E-3</v>
      </c>
      <c r="O2911">
        <f>VLOOKUP(K2911,RatingLookup!$A$2:$C$8,3,FALSE)</f>
        <v>0.6</v>
      </c>
      <c r="P2911">
        <f t="shared" si="136"/>
        <v>3.0882145606484781</v>
      </c>
      <c r="Q2911" t="str">
        <f t="shared" ca="1" si="137"/>
        <v>No</v>
      </c>
    </row>
    <row r="2912" spans="1:17" x14ac:dyDescent="0.45">
      <c r="A2912" t="s">
        <v>132</v>
      </c>
      <c r="B2912" t="s">
        <v>133</v>
      </c>
      <c r="C2912" t="s">
        <v>19</v>
      </c>
      <c r="D2912" t="s">
        <v>20</v>
      </c>
      <c r="E2912" t="s">
        <v>21</v>
      </c>
      <c r="F2912" s="1">
        <v>44743</v>
      </c>
      <c r="G2912">
        <v>4.88</v>
      </c>
      <c r="H2912">
        <v>86.292599999999993</v>
      </c>
      <c r="I2912">
        <v>22.11</v>
      </c>
      <c r="J2912">
        <v>79.099999999999994</v>
      </c>
      <c r="K2912" t="s">
        <v>31</v>
      </c>
      <c r="L2912">
        <v>1453.44</v>
      </c>
      <c r="M2912">
        <f>VLOOKUP(K2912,RatingLookup!$A$2:$C$8,2,FALSE)</f>
        <v>0.04</v>
      </c>
      <c r="N2912">
        <f t="shared" si="135"/>
        <v>3.3960531989175591E-3</v>
      </c>
      <c r="O2912">
        <f>VLOOKUP(K2912,RatingLookup!$A$2:$C$8,3,FALSE)</f>
        <v>0.6</v>
      </c>
      <c r="P2912">
        <f t="shared" si="136"/>
        <v>2.9615757368608424</v>
      </c>
      <c r="Q2912" t="str">
        <f t="shared" ca="1" si="137"/>
        <v>No</v>
      </c>
    </row>
    <row r="2913" spans="1:17" x14ac:dyDescent="0.45">
      <c r="A2913" t="s">
        <v>132</v>
      </c>
      <c r="B2913" t="s">
        <v>133</v>
      </c>
      <c r="C2913" t="s">
        <v>19</v>
      </c>
      <c r="D2913" t="s">
        <v>20</v>
      </c>
      <c r="E2913" t="s">
        <v>21</v>
      </c>
      <c r="F2913" s="1">
        <v>44774</v>
      </c>
      <c r="G2913">
        <v>6.76</v>
      </c>
      <c r="H2913">
        <v>86.2744</v>
      </c>
      <c r="I2913">
        <v>13.12</v>
      </c>
      <c r="J2913">
        <v>67.16</v>
      </c>
      <c r="K2913" t="s">
        <v>31</v>
      </c>
      <c r="L2913">
        <v>1522.91</v>
      </c>
      <c r="M2913">
        <f>VLOOKUP(K2913,RatingLookup!$A$2:$C$8,2,FALSE)</f>
        <v>0.04</v>
      </c>
      <c r="N2913">
        <f t="shared" si="135"/>
        <v>3.3960531989175591E-3</v>
      </c>
      <c r="O2913">
        <f>VLOOKUP(K2913,RatingLookup!$A$2:$C$8,3,FALSE)</f>
        <v>0.6</v>
      </c>
      <c r="P2913">
        <f t="shared" si="136"/>
        <v>3.1031300262981238</v>
      </c>
      <c r="Q2913" t="str">
        <f t="shared" ca="1" si="137"/>
        <v>No</v>
      </c>
    </row>
    <row r="2914" spans="1:17" x14ac:dyDescent="0.45">
      <c r="A2914" t="s">
        <v>132</v>
      </c>
      <c r="B2914" t="s">
        <v>133</v>
      </c>
      <c r="C2914" t="s">
        <v>19</v>
      </c>
      <c r="D2914" t="s">
        <v>20</v>
      </c>
      <c r="E2914" t="s">
        <v>21</v>
      </c>
      <c r="F2914" s="1">
        <v>44805</v>
      </c>
      <c r="G2914">
        <v>5.27</v>
      </c>
      <c r="H2914">
        <v>82.706900000000005</v>
      </c>
      <c r="I2914">
        <v>22.48</v>
      </c>
      <c r="J2914">
        <v>65.69</v>
      </c>
      <c r="K2914" t="s">
        <v>31</v>
      </c>
      <c r="L2914">
        <v>1622.45</v>
      </c>
      <c r="M2914">
        <f>VLOOKUP(K2914,RatingLookup!$A$2:$C$8,2,FALSE)</f>
        <v>0.04</v>
      </c>
      <c r="N2914">
        <f t="shared" si="135"/>
        <v>3.3960531989175591E-3</v>
      </c>
      <c r="O2914">
        <f>VLOOKUP(K2914,RatingLookup!$A$2:$C$8,3,FALSE)</f>
        <v>0.6</v>
      </c>
      <c r="P2914">
        <f t="shared" si="136"/>
        <v>3.3059559075502762</v>
      </c>
      <c r="Q2914" t="str">
        <f t="shared" ca="1" si="137"/>
        <v>No</v>
      </c>
    </row>
    <row r="2915" spans="1:17" x14ac:dyDescent="0.45">
      <c r="A2915" t="s">
        <v>132</v>
      </c>
      <c r="B2915" t="s">
        <v>133</v>
      </c>
      <c r="C2915" t="s">
        <v>19</v>
      </c>
      <c r="D2915" t="s">
        <v>20</v>
      </c>
      <c r="E2915" t="s">
        <v>21</v>
      </c>
      <c r="F2915" s="1">
        <v>44835</v>
      </c>
      <c r="G2915">
        <v>5.14</v>
      </c>
      <c r="H2915">
        <v>82.389899999999997</v>
      </c>
      <c r="I2915">
        <v>25.91</v>
      </c>
      <c r="J2915">
        <v>83.23</v>
      </c>
      <c r="K2915" t="s">
        <v>31</v>
      </c>
      <c r="L2915">
        <v>1643.9</v>
      </c>
      <c r="M2915">
        <f>VLOOKUP(K2915,RatingLookup!$A$2:$C$8,2,FALSE)</f>
        <v>0.04</v>
      </c>
      <c r="N2915">
        <f t="shared" si="135"/>
        <v>3.3960531989175591E-3</v>
      </c>
      <c r="O2915">
        <f>VLOOKUP(K2915,RatingLookup!$A$2:$C$8,3,FALSE)</f>
        <v>0.6</v>
      </c>
      <c r="P2915">
        <f t="shared" si="136"/>
        <v>3.3496631122203451</v>
      </c>
      <c r="Q2915" t="str">
        <f t="shared" ca="1" si="137"/>
        <v>No</v>
      </c>
    </row>
    <row r="2916" spans="1:17" x14ac:dyDescent="0.45">
      <c r="A2916" t="s">
        <v>132</v>
      </c>
      <c r="B2916" t="s">
        <v>133</v>
      </c>
      <c r="C2916" t="s">
        <v>19</v>
      </c>
      <c r="D2916" t="s">
        <v>20</v>
      </c>
      <c r="E2916" t="s">
        <v>21</v>
      </c>
      <c r="F2916" s="1">
        <v>44866</v>
      </c>
      <c r="G2916">
        <v>5.9</v>
      </c>
      <c r="H2916">
        <v>81.617999999999995</v>
      </c>
      <c r="I2916">
        <v>25.53</v>
      </c>
      <c r="J2916">
        <v>84.09</v>
      </c>
      <c r="K2916" t="s">
        <v>31</v>
      </c>
      <c r="L2916">
        <v>1498.71</v>
      </c>
      <c r="M2916">
        <f>VLOOKUP(K2916,RatingLookup!$A$2:$C$8,2,FALSE)</f>
        <v>0.04</v>
      </c>
      <c r="N2916">
        <f t="shared" si="135"/>
        <v>3.3960531989175591E-3</v>
      </c>
      <c r="O2916">
        <f>VLOOKUP(K2916,RatingLookup!$A$2:$C$8,3,FALSE)</f>
        <v>0.6</v>
      </c>
      <c r="P2916">
        <f t="shared" si="136"/>
        <v>3.0538193338498414</v>
      </c>
      <c r="Q2916" t="str">
        <f t="shared" ca="1" si="137"/>
        <v>No</v>
      </c>
    </row>
    <row r="2917" spans="1:17" x14ac:dyDescent="0.45">
      <c r="A2917" t="s">
        <v>132</v>
      </c>
      <c r="B2917" t="s">
        <v>133</v>
      </c>
      <c r="C2917" t="s">
        <v>19</v>
      </c>
      <c r="D2917" t="s">
        <v>20</v>
      </c>
      <c r="E2917" t="s">
        <v>21</v>
      </c>
      <c r="F2917" s="1">
        <v>44896</v>
      </c>
      <c r="G2917">
        <v>5.62</v>
      </c>
      <c r="H2917">
        <v>80.279600000000002</v>
      </c>
      <c r="I2917">
        <v>6.46</v>
      </c>
      <c r="J2917">
        <v>74.17</v>
      </c>
      <c r="K2917" t="s">
        <v>31</v>
      </c>
      <c r="L2917">
        <v>1688.69</v>
      </c>
      <c r="M2917">
        <f>VLOOKUP(K2917,RatingLookup!$A$2:$C$8,2,FALSE)</f>
        <v>0.04</v>
      </c>
      <c r="N2917">
        <f t="shared" si="135"/>
        <v>3.3960531989175591E-3</v>
      </c>
      <c r="O2917">
        <f>VLOOKUP(K2917,RatingLookup!$A$2:$C$8,3,FALSE)</f>
        <v>0.6</v>
      </c>
      <c r="P2917">
        <f t="shared" si="136"/>
        <v>3.4409286458880559</v>
      </c>
      <c r="Q2917" t="str">
        <f t="shared" ca="1" si="137"/>
        <v>No</v>
      </c>
    </row>
    <row r="2918" spans="1:17" x14ac:dyDescent="0.45">
      <c r="A2918" t="s">
        <v>132</v>
      </c>
      <c r="B2918" t="s">
        <v>133</v>
      </c>
      <c r="C2918" t="s">
        <v>19</v>
      </c>
      <c r="D2918" t="s">
        <v>20</v>
      </c>
      <c r="E2918" t="s">
        <v>21</v>
      </c>
      <c r="F2918" s="1">
        <v>44927</v>
      </c>
      <c r="G2918">
        <v>6.38</v>
      </c>
      <c r="H2918">
        <v>81.443200000000004</v>
      </c>
      <c r="I2918">
        <v>17.010000000000002</v>
      </c>
      <c r="J2918">
        <v>92.56</v>
      </c>
      <c r="K2918" t="s">
        <v>31</v>
      </c>
      <c r="L2918">
        <v>1649.17</v>
      </c>
      <c r="M2918">
        <f>VLOOKUP(K2918,RatingLookup!$A$2:$C$8,2,FALSE)</f>
        <v>0.04</v>
      </c>
      <c r="N2918">
        <f t="shared" si="135"/>
        <v>3.3960531989175591E-3</v>
      </c>
      <c r="O2918">
        <f>VLOOKUP(K2918,RatingLookup!$A$2:$C$8,3,FALSE)</f>
        <v>0.6</v>
      </c>
      <c r="P2918">
        <f t="shared" si="136"/>
        <v>3.3604014324353226</v>
      </c>
      <c r="Q2918" t="str">
        <f t="shared" ca="1" si="137"/>
        <v>No</v>
      </c>
    </row>
    <row r="2919" spans="1:17" x14ac:dyDescent="0.45">
      <c r="A2919" t="s">
        <v>132</v>
      </c>
      <c r="B2919" t="s">
        <v>133</v>
      </c>
      <c r="C2919" t="s">
        <v>19</v>
      </c>
      <c r="D2919" t="s">
        <v>20</v>
      </c>
      <c r="E2919" t="s">
        <v>21</v>
      </c>
      <c r="F2919" s="1">
        <v>44958</v>
      </c>
      <c r="G2919">
        <v>5.79</v>
      </c>
      <c r="H2919">
        <v>82.665400000000005</v>
      </c>
      <c r="I2919">
        <v>27.92</v>
      </c>
      <c r="J2919">
        <v>77.5</v>
      </c>
      <c r="K2919" t="s">
        <v>31</v>
      </c>
      <c r="L2919">
        <v>1583.22</v>
      </c>
      <c r="M2919">
        <f>VLOOKUP(K2919,RatingLookup!$A$2:$C$8,2,FALSE)</f>
        <v>0.04</v>
      </c>
      <c r="N2919">
        <f t="shared" si="135"/>
        <v>3.3960531989175591E-3</v>
      </c>
      <c r="O2919">
        <f>VLOOKUP(K2919,RatingLookup!$A$2:$C$8,3,FALSE)</f>
        <v>0.6</v>
      </c>
      <c r="P2919">
        <f t="shared" si="136"/>
        <v>3.2260196073541549</v>
      </c>
      <c r="Q2919" t="str">
        <f t="shared" ca="1" si="137"/>
        <v>No</v>
      </c>
    </row>
    <row r="2920" spans="1:17" x14ac:dyDescent="0.45">
      <c r="A2920" t="s">
        <v>132</v>
      </c>
      <c r="B2920" t="s">
        <v>133</v>
      </c>
      <c r="C2920" t="s">
        <v>19</v>
      </c>
      <c r="D2920" t="s">
        <v>20</v>
      </c>
      <c r="E2920" t="s">
        <v>21</v>
      </c>
      <c r="F2920" s="1">
        <v>44986</v>
      </c>
      <c r="G2920">
        <v>4.2699999999999996</v>
      </c>
      <c r="H2920">
        <v>85.405199999999994</v>
      </c>
      <c r="I2920">
        <v>12.98</v>
      </c>
      <c r="J2920">
        <v>55.1</v>
      </c>
      <c r="K2920" t="s">
        <v>31</v>
      </c>
      <c r="L2920">
        <v>1578.98</v>
      </c>
      <c r="M2920">
        <f>VLOOKUP(K2920,RatingLookup!$A$2:$C$8,2,FALSE)</f>
        <v>0.04</v>
      </c>
      <c r="N2920">
        <f t="shared" si="135"/>
        <v>3.3960531989175591E-3</v>
      </c>
      <c r="O2920">
        <f>VLOOKUP(K2920,RatingLookup!$A$2:$C$8,3,FALSE)</f>
        <v>0.6</v>
      </c>
      <c r="P2920">
        <f t="shared" si="136"/>
        <v>3.2173800480161083</v>
      </c>
      <c r="Q2920" t="str">
        <f t="shared" ca="1" si="137"/>
        <v>No</v>
      </c>
    </row>
    <row r="2921" spans="1:17" x14ac:dyDescent="0.45">
      <c r="A2921" t="s">
        <v>132</v>
      </c>
      <c r="B2921" t="s">
        <v>133</v>
      </c>
      <c r="C2921" t="s">
        <v>19</v>
      </c>
      <c r="D2921" t="s">
        <v>20</v>
      </c>
      <c r="E2921" t="s">
        <v>21</v>
      </c>
      <c r="F2921" s="1">
        <v>45017</v>
      </c>
      <c r="G2921">
        <v>5.3</v>
      </c>
      <c r="H2921">
        <v>80.710599999999999</v>
      </c>
      <c r="I2921">
        <v>35.1</v>
      </c>
      <c r="J2921">
        <v>76.89</v>
      </c>
      <c r="K2921" t="s">
        <v>31</v>
      </c>
      <c r="L2921">
        <v>1463.46</v>
      </c>
      <c r="M2921">
        <f>VLOOKUP(K2921,RatingLookup!$A$2:$C$8,2,FALSE)</f>
        <v>0.04</v>
      </c>
      <c r="N2921">
        <f t="shared" si="135"/>
        <v>3.3960531989175591E-3</v>
      </c>
      <c r="O2921">
        <f>VLOOKUP(K2921,RatingLookup!$A$2:$C$8,3,FALSE)</f>
        <v>0.6</v>
      </c>
      <c r="P2921">
        <f t="shared" si="136"/>
        <v>2.9819928086927345</v>
      </c>
      <c r="Q2921" t="str">
        <f t="shared" ca="1" si="137"/>
        <v>No</v>
      </c>
    </row>
    <row r="2922" spans="1:17" x14ac:dyDescent="0.45">
      <c r="A2922" t="s">
        <v>132</v>
      </c>
      <c r="B2922" t="s">
        <v>133</v>
      </c>
      <c r="C2922" t="s">
        <v>19</v>
      </c>
      <c r="D2922" t="s">
        <v>20</v>
      </c>
      <c r="E2922" t="s">
        <v>21</v>
      </c>
      <c r="F2922" s="1">
        <v>45047</v>
      </c>
      <c r="G2922">
        <v>5.75</v>
      </c>
      <c r="H2922">
        <v>81.711699999999993</v>
      </c>
      <c r="I2922">
        <v>19.07</v>
      </c>
      <c r="J2922">
        <v>57.31</v>
      </c>
      <c r="K2922" t="s">
        <v>31</v>
      </c>
      <c r="L2922">
        <v>1570.12</v>
      </c>
      <c r="M2922">
        <f>VLOOKUP(K2922,RatingLookup!$A$2:$C$8,2,FALSE)</f>
        <v>0.04</v>
      </c>
      <c r="N2922">
        <f t="shared" si="135"/>
        <v>3.3960531989175591E-3</v>
      </c>
      <c r="O2922">
        <f>VLOOKUP(K2922,RatingLookup!$A$2:$C$8,3,FALSE)</f>
        <v>0.6</v>
      </c>
      <c r="P2922">
        <f t="shared" si="136"/>
        <v>3.1993266292106628</v>
      </c>
      <c r="Q2922" t="str">
        <f t="shared" ca="1" si="137"/>
        <v>No</v>
      </c>
    </row>
    <row r="2923" spans="1:17" x14ac:dyDescent="0.45">
      <c r="A2923" t="s">
        <v>132</v>
      </c>
      <c r="B2923" t="s">
        <v>133</v>
      </c>
      <c r="C2923" t="s">
        <v>19</v>
      </c>
      <c r="D2923" t="s">
        <v>20</v>
      </c>
      <c r="E2923" t="s">
        <v>21</v>
      </c>
      <c r="F2923" s="1">
        <v>45078</v>
      </c>
      <c r="G2923">
        <v>6.97</v>
      </c>
      <c r="H2923">
        <v>78.607799999999997</v>
      </c>
      <c r="I2923">
        <v>15.7</v>
      </c>
      <c r="J2923">
        <v>66.45</v>
      </c>
      <c r="K2923" t="s">
        <v>31</v>
      </c>
      <c r="L2923">
        <v>1625.08</v>
      </c>
      <c r="M2923">
        <f>VLOOKUP(K2923,RatingLookup!$A$2:$C$8,2,FALSE)</f>
        <v>0.04</v>
      </c>
      <c r="N2923">
        <f t="shared" si="135"/>
        <v>3.3960531989175591E-3</v>
      </c>
      <c r="O2923">
        <f>VLOOKUP(K2923,RatingLookup!$A$2:$C$8,3,FALSE)</f>
        <v>0.6</v>
      </c>
      <c r="P2923">
        <f t="shared" si="136"/>
        <v>3.3113148794981679</v>
      </c>
      <c r="Q2923" t="str">
        <f t="shared" ca="1" si="137"/>
        <v>No</v>
      </c>
    </row>
    <row r="2924" spans="1:17" x14ac:dyDescent="0.45">
      <c r="A2924" t="s">
        <v>132</v>
      </c>
      <c r="B2924" t="s">
        <v>133</v>
      </c>
      <c r="C2924" t="s">
        <v>19</v>
      </c>
      <c r="D2924" t="s">
        <v>20</v>
      </c>
      <c r="E2924" t="s">
        <v>21</v>
      </c>
      <c r="F2924" s="1">
        <v>45108</v>
      </c>
      <c r="G2924">
        <v>5.55</v>
      </c>
      <c r="H2924">
        <v>83.1494</v>
      </c>
      <c r="I2924">
        <v>19.89</v>
      </c>
      <c r="J2924">
        <v>87.74</v>
      </c>
      <c r="K2924" t="s">
        <v>31</v>
      </c>
      <c r="L2924">
        <v>1719.33</v>
      </c>
      <c r="M2924">
        <f>VLOOKUP(K2924,RatingLookup!$A$2:$C$8,2,FALSE)</f>
        <v>0.04</v>
      </c>
      <c r="N2924">
        <f t="shared" si="135"/>
        <v>3.3960531989175591E-3</v>
      </c>
      <c r="O2924">
        <f>VLOOKUP(K2924,RatingLookup!$A$2:$C$8,3,FALSE)</f>
        <v>0.6</v>
      </c>
      <c r="P2924">
        <f t="shared" si="136"/>
        <v>3.5033616878969558</v>
      </c>
      <c r="Q2924" t="str">
        <f t="shared" ca="1" si="137"/>
        <v>No</v>
      </c>
    </row>
    <row r="2925" spans="1:17" x14ac:dyDescent="0.45">
      <c r="A2925" t="s">
        <v>132</v>
      </c>
      <c r="B2925" t="s">
        <v>133</v>
      </c>
      <c r="C2925" t="s">
        <v>19</v>
      </c>
      <c r="D2925" t="s">
        <v>20</v>
      </c>
      <c r="E2925" t="s">
        <v>21</v>
      </c>
      <c r="F2925" s="1">
        <v>45139</v>
      </c>
      <c r="G2925">
        <v>5.13</v>
      </c>
      <c r="H2925">
        <v>79.604699999999994</v>
      </c>
      <c r="I2925">
        <v>12.81</v>
      </c>
      <c r="J2925">
        <v>84.93</v>
      </c>
      <c r="K2925" t="s">
        <v>31</v>
      </c>
      <c r="L2925">
        <v>1749.65</v>
      </c>
      <c r="M2925">
        <f>VLOOKUP(K2925,RatingLookup!$A$2:$C$8,2,FALSE)</f>
        <v>0.04</v>
      </c>
      <c r="N2925">
        <f t="shared" si="135"/>
        <v>3.3960531989175591E-3</v>
      </c>
      <c r="O2925">
        <f>VLOOKUP(K2925,RatingLookup!$A$2:$C$8,3,FALSE)</f>
        <v>0.6</v>
      </c>
      <c r="P2925">
        <f t="shared" si="136"/>
        <v>3.5651426876916648</v>
      </c>
      <c r="Q2925" t="str">
        <f t="shared" ca="1" si="137"/>
        <v>No</v>
      </c>
    </row>
    <row r="2926" spans="1:17" x14ac:dyDescent="0.45">
      <c r="A2926" t="s">
        <v>132</v>
      </c>
      <c r="B2926" t="s">
        <v>133</v>
      </c>
      <c r="C2926" t="s">
        <v>19</v>
      </c>
      <c r="D2926" t="s">
        <v>20</v>
      </c>
      <c r="E2926" t="s">
        <v>21</v>
      </c>
      <c r="F2926" s="1">
        <v>45170</v>
      </c>
      <c r="G2926">
        <v>5.93</v>
      </c>
      <c r="H2926">
        <v>82.706599999999995</v>
      </c>
      <c r="I2926">
        <v>19.510000000000002</v>
      </c>
      <c r="J2926">
        <v>77.95</v>
      </c>
      <c r="K2926" t="s">
        <v>31</v>
      </c>
      <c r="L2926">
        <v>1704.98</v>
      </c>
      <c r="M2926">
        <f>VLOOKUP(K2926,RatingLookup!$A$2:$C$8,2,FALSE)</f>
        <v>0.04</v>
      </c>
      <c r="N2926">
        <f t="shared" si="135"/>
        <v>3.3960531989175591E-3</v>
      </c>
      <c r="O2926">
        <f>VLOOKUP(K2926,RatingLookup!$A$2:$C$8,3,FALSE)</f>
        <v>0.6</v>
      </c>
      <c r="P2926">
        <f t="shared" si="136"/>
        <v>3.4741216698542758</v>
      </c>
      <c r="Q2926" t="str">
        <f t="shared" ca="1" si="137"/>
        <v>No</v>
      </c>
    </row>
    <row r="2927" spans="1:17" x14ac:dyDescent="0.45">
      <c r="A2927" t="s">
        <v>132</v>
      </c>
      <c r="B2927" t="s">
        <v>133</v>
      </c>
      <c r="C2927" t="s">
        <v>19</v>
      </c>
      <c r="D2927" t="s">
        <v>20</v>
      </c>
      <c r="E2927" t="s">
        <v>21</v>
      </c>
      <c r="F2927" s="1">
        <v>45200</v>
      </c>
      <c r="G2927">
        <v>4.91</v>
      </c>
      <c r="H2927">
        <v>85.674899999999994</v>
      </c>
      <c r="I2927">
        <v>14.89</v>
      </c>
      <c r="J2927">
        <v>69.790000000000006</v>
      </c>
      <c r="K2927" t="s">
        <v>31</v>
      </c>
      <c r="L2927">
        <v>1491.94</v>
      </c>
      <c r="M2927">
        <f>VLOOKUP(K2927,RatingLookup!$A$2:$C$8,2,FALSE)</f>
        <v>0.04</v>
      </c>
      <c r="N2927">
        <f t="shared" si="135"/>
        <v>3.3960531989175591E-3</v>
      </c>
      <c r="O2927">
        <f>VLOOKUP(K2927,RatingLookup!$A$2:$C$8,3,FALSE)</f>
        <v>0.6</v>
      </c>
      <c r="P2927">
        <f t="shared" si="136"/>
        <v>3.040024565755838</v>
      </c>
      <c r="Q2927" t="str">
        <f t="shared" ca="1" si="137"/>
        <v>No</v>
      </c>
    </row>
    <row r="2928" spans="1:17" x14ac:dyDescent="0.45">
      <c r="A2928" t="s">
        <v>132</v>
      </c>
      <c r="B2928" t="s">
        <v>133</v>
      </c>
      <c r="C2928" t="s">
        <v>19</v>
      </c>
      <c r="D2928" t="s">
        <v>20</v>
      </c>
      <c r="E2928" t="s">
        <v>21</v>
      </c>
      <c r="F2928" s="1">
        <v>45231</v>
      </c>
      <c r="G2928">
        <v>5.22</v>
      </c>
      <c r="H2928">
        <v>84.668000000000006</v>
      </c>
      <c r="I2928">
        <v>18.53</v>
      </c>
      <c r="J2928">
        <v>85.7</v>
      </c>
      <c r="K2928" t="s">
        <v>31</v>
      </c>
      <c r="L2928">
        <v>1598.39</v>
      </c>
      <c r="M2928">
        <f>VLOOKUP(K2928,RatingLookup!$A$2:$C$8,2,FALSE)</f>
        <v>0.04</v>
      </c>
      <c r="N2928">
        <f t="shared" si="135"/>
        <v>3.3960531989175591E-3</v>
      </c>
      <c r="O2928">
        <f>VLOOKUP(K2928,RatingLookup!$A$2:$C$8,3,FALSE)</f>
        <v>0.6</v>
      </c>
      <c r="P2928">
        <f t="shared" si="136"/>
        <v>3.2569304835707023</v>
      </c>
      <c r="Q2928" t="str">
        <f t="shared" ca="1" si="137"/>
        <v>No</v>
      </c>
    </row>
    <row r="2929" spans="1:17" x14ac:dyDescent="0.45">
      <c r="A2929" t="s">
        <v>132</v>
      </c>
      <c r="B2929" t="s">
        <v>133</v>
      </c>
      <c r="C2929" t="s">
        <v>19</v>
      </c>
      <c r="D2929" t="s">
        <v>20</v>
      </c>
      <c r="E2929" t="s">
        <v>21</v>
      </c>
      <c r="F2929" s="1">
        <v>45261</v>
      </c>
      <c r="G2929">
        <v>4.49</v>
      </c>
      <c r="H2929">
        <v>80.5976</v>
      </c>
      <c r="I2929">
        <v>24.05</v>
      </c>
      <c r="J2929">
        <v>80.959999999999994</v>
      </c>
      <c r="K2929" t="s">
        <v>31</v>
      </c>
      <c r="L2929">
        <v>1509.68</v>
      </c>
      <c r="M2929">
        <f>VLOOKUP(K2929,RatingLookup!$A$2:$C$8,2,FALSE)</f>
        <v>0.04</v>
      </c>
      <c r="N2929">
        <f t="shared" si="135"/>
        <v>3.3960531989175591E-3</v>
      </c>
      <c r="O2929">
        <f>VLOOKUP(K2929,RatingLookup!$A$2:$C$8,3,FALSE)</f>
        <v>0.6</v>
      </c>
      <c r="P2929">
        <f t="shared" si="136"/>
        <v>3.0761721560051161</v>
      </c>
      <c r="Q2929" t="str">
        <f t="shared" ca="1" si="137"/>
        <v>No</v>
      </c>
    </row>
    <row r="2930" spans="1:17" x14ac:dyDescent="0.45">
      <c r="A2930" t="s">
        <v>132</v>
      </c>
      <c r="B2930" t="s">
        <v>133</v>
      </c>
      <c r="C2930" t="s">
        <v>19</v>
      </c>
      <c r="D2930" t="s">
        <v>20</v>
      </c>
      <c r="E2930" t="s">
        <v>21</v>
      </c>
      <c r="F2930" s="1">
        <v>45292</v>
      </c>
      <c r="G2930">
        <v>5.01</v>
      </c>
      <c r="H2930">
        <v>85.332400000000007</v>
      </c>
      <c r="I2930">
        <v>19.5</v>
      </c>
      <c r="J2930">
        <v>94.61</v>
      </c>
      <c r="K2930" t="s">
        <v>32</v>
      </c>
      <c r="L2930">
        <v>1457.53</v>
      </c>
      <c r="M2930">
        <f>VLOOKUP(K2930,RatingLookup!$A$2:$C$8,2,FALSE)</f>
        <v>0.12</v>
      </c>
      <c r="N2930">
        <f t="shared" si="135"/>
        <v>1.0596241035318976E-2</v>
      </c>
      <c r="O2930">
        <f>VLOOKUP(K2930,RatingLookup!$A$2:$C$8,3,FALSE)</f>
        <v>0.7</v>
      </c>
      <c r="P2930">
        <f t="shared" si="136"/>
        <v>10.811037437345927</v>
      </c>
      <c r="Q2930" t="str">
        <f t="shared" ca="1" si="137"/>
        <v>No</v>
      </c>
    </row>
    <row r="2931" spans="1:17" x14ac:dyDescent="0.45">
      <c r="A2931" t="s">
        <v>132</v>
      </c>
      <c r="B2931" t="s">
        <v>133</v>
      </c>
      <c r="C2931" t="s">
        <v>19</v>
      </c>
      <c r="D2931" t="s">
        <v>20</v>
      </c>
      <c r="E2931" t="s">
        <v>21</v>
      </c>
      <c r="F2931" s="1">
        <v>45323</v>
      </c>
      <c r="G2931">
        <v>5.18</v>
      </c>
      <c r="H2931">
        <v>81.924899999999994</v>
      </c>
      <c r="I2931">
        <v>29.31</v>
      </c>
      <c r="J2931">
        <v>78.06</v>
      </c>
      <c r="K2931" t="s">
        <v>32</v>
      </c>
      <c r="L2931">
        <v>1514.11</v>
      </c>
      <c r="M2931">
        <f>VLOOKUP(K2931,RatingLookup!$A$2:$C$8,2,FALSE)</f>
        <v>0.12</v>
      </c>
      <c r="N2931">
        <f t="shared" si="135"/>
        <v>1.0596241035318976E-2</v>
      </c>
      <c r="O2931">
        <f>VLOOKUP(K2931,RatingLookup!$A$2:$C$8,3,FALSE)</f>
        <v>0.7</v>
      </c>
      <c r="P2931">
        <f t="shared" si="136"/>
        <v>11.23071215979077</v>
      </c>
      <c r="Q2931" t="str">
        <f t="shared" ca="1" si="137"/>
        <v>No</v>
      </c>
    </row>
    <row r="2932" spans="1:17" x14ac:dyDescent="0.45">
      <c r="A2932" t="s">
        <v>132</v>
      </c>
      <c r="B2932" t="s">
        <v>133</v>
      </c>
      <c r="C2932" t="s">
        <v>19</v>
      </c>
      <c r="D2932" t="s">
        <v>20</v>
      </c>
      <c r="E2932" t="s">
        <v>21</v>
      </c>
      <c r="F2932" s="1">
        <v>45352</v>
      </c>
      <c r="G2932">
        <v>6.06</v>
      </c>
      <c r="H2932">
        <v>81.970500000000001</v>
      </c>
      <c r="I2932">
        <v>9.8800000000000008</v>
      </c>
      <c r="J2932">
        <v>81.78</v>
      </c>
      <c r="K2932" t="s">
        <v>32</v>
      </c>
      <c r="L2932">
        <v>1532.72</v>
      </c>
      <c r="M2932">
        <f>VLOOKUP(K2932,RatingLookup!$A$2:$C$8,2,FALSE)</f>
        <v>0.12</v>
      </c>
      <c r="N2932">
        <f t="shared" si="135"/>
        <v>1.0596241035318976E-2</v>
      </c>
      <c r="O2932">
        <f>VLOOKUP(K2932,RatingLookup!$A$2:$C$8,3,FALSE)</f>
        <v>0.7</v>
      </c>
      <c r="P2932">
        <f t="shared" si="136"/>
        <v>11.36874939175787</v>
      </c>
      <c r="Q2932" t="str">
        <f t="shared" ca="1" si="137"/>
        <v>No</v>
      </c>
    </row>
    <row r="2933" spans="1:17" x14ac:dyDescent="0.45">
      <c r="A2933" t="s">
        <v>132</v>
      </c>
      <c r="B2933" t="s">
        <v>133</v>
      </c>
      <c r="C2933" t="s">
        <v>19</v>
      </c>
      <c r="D2933" t="s">
        <v>20</v>
      </c>
      <c r="E2933" t="s">
        <v>21</v>
      </c>
      <c r="F2933" s="1">
        <v>45383</v>
      </c>
      <c r="G2933">
        <v>4.8099999999999996</v>
      </c>
      <c r="H2933">
        <v>85.5732</v>
      </c>
      <c r="I2933">
        <v>20.41</v>
      </c>
      <c r="J2933">
        <v>83.7</v>
      </c>
      <c r="K2933" t="s">
        <v>31</v>
      </c>
      <c r="L2933">
        <v>1486.3</v>
      </c>
      <c r="M2933">
        <f>VLOOKUP(K2933,RatingLookup!$A$2:$C$8,2,FALSE)</f>
        <v>0.04</v>
      </c>
      <c r="N2933">
        <f t="shared" si="135"/>
        <v>3.3960531989175591E-3</v>
      </c>
      <c r="O2933">
        <f>VLOOKUP(K2933,RatingLookup!$A$2:$C$8,3,FALSE)</f>
        <v>0.6</v>
      </c>
      <c r="P2933">
        <f t="shared" si="136"/>
        <v>3.0285323217307005</v>
      </c>
      <c r="Q2933" t="str">
        <f t="shared" ca="1" si="137"/>
        <v>No</v>
      </c>
    </row>
    <row r="2934" spans="1:17" x14ac:dyDescent="0.45">
      <c r="A2934" t="s">
        <v>132</v>
      </c>
      <c r="B2934" t="s">
        <v>133</v>
      </c>
      <c r="C2934" t="s">
        <v>19</v>
      </c>
      <c r="D2934" t="s">
        <v>20</v>
      </c>
      <c r="E2934" t="s">
        <v>21</v>
      </c>
      <c r="F2934" s="1">
        <v>45413</v>
      </c>
      <c r="G2934">
        <v>5.61</v>
      </c>
      <c r="H2934">
        <v>83.8827</v>
      </c>
      <c r="I2934">
        <v>28.56</v>
      </c>
      <c r="J2934">
        <v>80.010000000000005</v>
      </c>
      <c r="K2934" t="s">
        <v>31</v>
      </c>
      <c r="L2934">
        <v>1550.96</v>
      </c>
      <c r="M2934">
        <f>VLOOKUP(K2934,RatingLookup!$A$2:$C$8,2,FALSE)</f>
        <v>0.04</v>
      </c>
      <c r="N2934">
        <f t="shared" si="135"/>
        <v>3.3960531989175591E-3</v>
      </c>
      <c r="O2934">
        <f>VLOOKUP(K2934,RatingLookup!$A$2:$C$8,3,FALSE)</f>
        <v>0.6</v>
      </c>
      <c r="P2934">
        <f t="shared" si="136"/>
        <v>3.1602856016359069</v>
      </c>
      <c r="Q2934" t="str">
        <f t="shared" ca="1" si="137"/>
        <v>No</v>
      </c>
    </row>
    <row r="2935" spans="1:17" x14ac:dyDescent="0.45">
      <c r="A2935" t="s">
        <v>132</v>
      </c>
      <c r="B2935" t="s">
        <v>133</v>
      </c>
      <c r="C2935" t="s">
        <v>19</v>
      </c>
      <c r="D2935" t="s">
        <v>20</v>
      </c>
      <c r="E2935" t="s">
        <v>21</v>
      </c>
      <c r="F2935" s="1">
        <v>45444</v>
      </c>
      <c r="G2935">
        <v>5.04</v>
      </c>
      <c r="H2935">
        <v>85.866100000000003</v>
      </c>
      <c r="I2935">
        <v>24.47</v>
      </c>
      <c r="J2935">
        <v>70.349999999999994</v>
      </c>
      <c r="K2935" t="s">
        <v>31</v>
      </c>
      <c r="L2935">
        <v>1579.23</v>
      </c>
      <c r="M2935">
        <f>VLOOKUP(K2935,RatingLookup!$A$2:$C$8,2,FALSE)</f>
        <v>0.04</v>
      </c>
      <c r="N2935">
        <f t="shared" si="135"/>
        <v>3.3960531989175591E-3</v>
      </c>
      <c r="O2935">
        <f>VLOOKUP(K2935,RatingLookup!$A$2:$C$8,3,FALSE)</f>
        <v>0.6</v>
      </c>
      <c r="P2935">
        <f t="shared" si="136"/>
        <v>3.2178894559959459</v>
      </c>
      <c r="Q2935" t="str">
        <f t="shared" ca="1" si="137"/>
        <v>No</v>
      </c>
    </row>
    <row r="2936" spans="1:17" x14ac:dyDescent="0.45">
      <c r="A2936" t="s">
        <v>132</v>
      </c>
      <c r="B2936" t="s">
        <v>133</v>
      </c>
      <c r="C2936" t="s">
        <v>19</v>
      </c>
      <c r="D2936" t="s">
        <v>20</v>
      </c>
      <c r="E2936" t="s">
        <v>21</v>
      </c>
      <c r="F2936" s="1">
        <v>45474</v>
      </c>
      <c r="G2936">
        <v>5.39</v>
      </c>
      <c r="H2936">
        <v>84.961200000000005</v>
      </c>
      <c r="I2936">
        <v>17.649999999999999</v>
      </c>
      <c r="J2936">
        <v>77.180000000000007</v>
      </c>
      <c r="K2936" t="s">
        <v>31</v>
      </c>
      <c r="L2936">
        <v>1543.5</v>
      </c>
      <c r="M2936">
        <f>VLOOKUP(K2936,RatingLookup!$A$2:$C$8,2,FALSE)</f>
        <v>0.04</v>
      </c>
      <c r="N2936">
        <f t="shared" si="135"/>
        <v>3.3960531989175591E-3</v>
      </c>
      <c r="O2936">
        <f>VLOOKUP(K2936,RatingLookup!$A$2:$C$8,3,FALSE)</f>
        <v>0.6</v>
      </c>
      <c r="P2936">
        <f t="shared" si="136"/>
        <v>3.1450848675175513</v>
      </c>
      <c r="Q2936" t="str">
        <f t="shared" ca="1" si="137"/>
        <v>No</v>
      </c>
    </row>
    <row r="2937" spans="1:17" x14ac:dyDescent="0.45">
      <c r="A2937" t="s">
        <v>132</v>
      </c>
      <c r="B2937" t="s">
        <v>133</v>
      </c>
      <c r="C2937" t="s">
        <v>19</v>
      </c>
      <c r="D2937" t="s">
        <v>20</v>
      </c>
      <c r="E2937" t="s">
        <v>21</v>
      </c>
      <c r="F2937" s="1">
        <v>45505</v>
      </c>
      <c r="G2937">
        <v>4.8600000000000003</v>
      </c>
      <c r="H2937">
        <v>79.920400000000001</v>
      </c>
      <c r="I2937">
        <v>20.7</v>
      </c>
      <c r="J2937">
        <v>91.29</v>
      </c>
      <c r="K2937" t="s">
        <v>31</v>
      </c>
      <c r="L2937">
        <v>1577.73</v>
      </c>
      <c r="M2937">
        <f>VLOOKUP(K2937,RatingLookup!$A$2:$C$8,2,FALSE)</f>
        <v>0.04</v>
      </c>
      <c r="N2937">
        <f t="shared" si="135"/>
        <v>3.3960531989175591E-3</v>
      </c>
      <c r="O2937">
        <f>VLOOKUP(K2937,RatingLookup!$A$2:$C$8,3,FALSE)</f>
        <v>0.6</v>
      </c>
      <c r="P2937">
        <f t="shared" si="136"/>
        <v>3.2148330081169201</v>
      </c>
      <c r="Q2937" t="str">
        <f t="shared" ca="1" si="137"/>
        <v>No</v>
      </c>
    </row>
    <row r="2938" spans="1:17" x14ac:dyDescent="0.45">
      <c r="A2938" t="s">
        <v>132</v>
      </c>
      <c r="B2938" t="s">
        <v>133</v>
      </c>
      <c r="C2938" t="s">
        <v>19</v>
      </c>
      <c r="D2938" t="s">
        <v>20</v>
      </c>
      <c r="E2938" t="s">
        <v>21</v>
      </c>
      <c r="F2938" s="1">
        <v>45536</v>
      </c>
      <c r="G2938">
        <v>5.25</v>
      </c>
      <c r="H2938">
        <v>84.805800000000005</v>
      </c>
      <c r="I2938">
        <v>13.72</v>
      </c>
      <c r="J2938">
        <v>84.82</v>
      </c>
      <c r="K2938" t="s">
        <v>31</v>
      </c>
      <c r="L2938">
        <v>1565.46</v>
      </c>
      <c r="M2938">
        <f>VLOOKUP(K2938,RatingLookup!$A$2:$C$8,2,FALSE)</f>
        <v>0.04</v>
      </c>
      <c r="N2938">
        <f t="shared" si="135"/>
        <v>3.3960531989175591E-3</v>
      </c>
      <c r="O2938">
        <f>VLOOKUP(K2938,RatingLookup!$A$2:$C$8,3,FALSE)</f>
        <v>0.6</v>
      </c>
      <c r="P2938">
        <f t="shared" si="136"/>
        <v>3.1898312644664895</v>
      </c>
      <c r="Q2938" t="str">
        <f t="shared" ca="1" si="137"/>
        <v>No</v>
      </c>
    </row>
    <row r="2939" spans="1:17" x14ac:dyDescent="0.45">
      <c r="A2939" t="s">
        <v>132</v>
      </c>
      <c r="B2939" t="s">
        <v>133</v>
      </c>
      <c r="C2939" t="s">
        <v>19</v>
      </c>
      <c r="D2939" t="s">
        <v>20</v>
      </c>
      <c r="E2939" t="s">
        <v>21</v>
      </c>
      <c r="F2939" s="1">
        <v>45566</v>
      </c>
      <c r="G2939">
        <v>5.54</v>
      </c>
      <c r="H2939">
        <v>86.843800000000002</v>
      </c>
      <c r="I2939">
        <v>14.23</v>
      </c>
      <c r="J2939">
        <v>70.48</v>
      </c>
      <c r="K2939" t="s">
        <v>31</v>
      </c>
      <c r="L2939">
        <v>1614.99</v>
      </c>
      <c r="M2939">
        <f>VLOOKUP(K2939,RatingLookup!$A$2:$C$8,2,FALSE)</f>
        <v>0.04</v>
      </c>
      <c r="N2939">
        <f t="shared" si="135"/>
        <v>3.3960531989175591E-3</v>
      </c>
      <c r="O2939">
        <f>VLOOKUP(K2939,RatingLookup!$A$2:$C$8,3,FALSE)</f>
        <v>0.6</v>
      </c>
      <c r="P2939">
        <f t="shared" si="136"/>
        <v>3.2907551734319211</v>
      </c>
      <c r="Q2939" t="str">
        <f t="shared" ca="1" si="137"/>
        <v>No</v>
      </c>
    </row>
    <row r="2940" spans="1:17" x14ac:dyDescent="0.45">
      <c r="A2940" t="s">
        <v>132</v>
      </c>
      <c r="B2940" t="s">
        <v>133</v>
      </c>
      <c r="C2940" t="s">
        <v>19</v>
      </c>
      <c r="D2940" t="s">
        <v>20</v>
      </c>
      <c r="E2940" t="s">
        <v>21</v>
      </c>
      <c r="F2940" s="1">
        <v>45597</v>
      </c>
      <c r="G2940">
        <v>5.7</v>
      </c>
      <c r="H2940">
        <v>88.278300000000002</v>
      </c>
      <c r="I2940">
        <v>30.54</v>
      </c>
      <c r="J2940">
        <v>73.8</v>
      </c>
      <c r="K2940" t="s">
        <v>31</v>
      </c>
      <c r="L2940">
        <v>1633.99</v>
      </c>
      <c r="M2940">
        <f>VLOOKUP(K2940,RatingLookup!$A$2:$C$8,2,FALSE)</f>
        <v>0.04</v>
      </c>
      <c r="N2940">
        <f t="shared" si="135"/>
        <v>3.3960531989175591E-3</v>
      </c>
      <c r="O2940">
        <f>VLOOKUP(K2940,RatingLookup!$A$2:$C$8,3,FALSE)</f>
        <v>0.6</v>
      </c>
      <c r="P2940">
        <f t="shared" si="136"/>
        <v>3.3294701798995816</v>
      </c>
      <c r="Q2940" t="str">
        <f t="shared" ca="1" si="137"/>
        <v>No</v>
      </c>
    </row>
    <row r="2941" spans="1:17" x14ac:dyDescent="0.45">
      <c r="A2941" t="s">
        <v>132</v>
      </c>
      <c r="B2941" t="s">
        <v>133</v>
      </c>
      <c r="C2941" t="s">
        <v>19</v>
      </c>
      <c r="D2941" t="s">
        <v>20</v>
      </c>
      <c r="E2941" t="s">
        <v>21</v>
      </c>
      <c r="F2941" s="1">
        <v>45627</v>
      </c>
      <c r="G2941">
        <v>4.97</v>
      </c>
      <c r="H2941">
        <v>80.257499999999993</v>
      </c>
      <c r="I2941">
        <v>24.48</v>
      </c>
      <c r="J2941">
        <v>83.76</v>
      </c>
      <c r="K2941" t="s">
        <v>31</v>
      </c>
      <c r="L2941">
        <v>1611.5</v>
      </c>
      <c r="M2941">
        <f>VLOOKUP(K2941,RatingLookup!$A$2:$C$8,2,FALSE)</f>
        <v>0.04</v>
      </c>
      <c r="N2941">
        <f t="shared" si="135"/>
        <v>3.3960531989175591E-3</v>
      </c>
      <c r="O2941">
        <f>VLOOKUP(K2941,RatingLookup!$A$2:$C$8,3,FALSE)</f>
        <v>0.6</v>
      </c>
      <c r="P2941">
        <f t="shared" si="136"/>
        <v>3.2836438380333881</v>
      </c>
      <c r="Q2941" t="str">
        <f t="shared" ca="1" si="137"/>
        <v>No</v>
      </c>
    </row>
    <row r="2942" spans="1:17" x14ac:dyDescent="0.45">
      <c r="A2942" t="s">
        <v>134</v>
      </c>
      <c r="B2942" t="s">
        <v>135</v>
      </c>
      <c r="C2942" t="s">
        <v>29</v>
      </c>
      <c r="D2942" t="s">
        <v>20</v>
      </c>
      <c r="E2942" t="s">
        <v>21</v>
      </c>
      <c r="F2942" s="1">
        <v>43831</v>
      </c>
      <c r="G2942">
        <v>5.4</v>
      </c>
      <c r="H2942">
        <v>81.504999999999995</v>
      </c>
      <c r="I2942">
        <v>15.6</v>
      </c>
      <c r="J2942">
        <v>67.349999999999994</v>
      </c>
      <c r="K2942" t="s">
        <v>30</v>
      </c>
      <c r="L2942">
        <v>224.57</v>
      </c>
      <c r="M2942">
        <f>VLOOKUP(K2942,RatingLookup!$A$2:$C$8,2,FALSE)</f>
        <v>1.4999999999999999E-2</v>
      </c>
      <c r="N2942">
        <f t="shared" si="135"/>
        <v>1.2586770182638762E-3</v>
      </c>
      <c r="O2942">
        <f>VLOOKUP(K2942,RatingLookup!$A$2:$C$8,3,FALSE)</f>
        <v>0.5</v>
      </c>
      <c r="P2942">
        <f t="shared" si="136"/>
        <v>0.14133054899575934</v>
      </c>
      <c r="Q2942" t="str">
        <f t="shared" ca="1" si="137"/>
        <v>No</v>
      </c>
    </row>
    <row r="2943" spans="1:17" x14ac:dyDescent="0.45">
      <c r="A2943" t="s">
        <v>134</v>
      </c>
      <c r="B2943" t="s">
        <v>135</v>
      </c>
      <c r="C2943" t="s">
        <v>29</v>
      </c>
      <c r="D2943" t="s">
        <v>20</v>
      </c>
      <c r="E2943" t="s">
        <v>21</v>
      </c>
      <c r="F2943" s="1">
        <v>43862</v>
      </c>
      <c r="G2943">
        <v>5.2</v>
      </c>
      <c r="H2943">
        <v>82.134699999999995</v>
      </c>
      <c r="I2943">
        <v>18.02</v>
      </c>
      <c r="J2943">
        <v>66.81</v>
      </c>
      <c r="K2943" t="s">
        <v>30</v>
      </c>
      <c r="L2943">
        <v>207.79</v>
      </c>
      <c r="M2943">
        <f>VLOOKUP(K2943,RatingLookup!$A$2:$C$8,2,FALSE)</f>
        <v>1.4999999999999999E-2</v>
      </c>
      <c r="N2943">
        <f t="shared" si="135"/>
        <v>1.2586770182638762E-3</v>
      </c>
      <c r="O2943">
        <f>VLOOKUP(K2943,RatingLookup!$A$2:$C$8,3,FALSE)</f>
        <v>0.5</v>
      </c>
      <c r="P2943">
        <f t="shared" si="136"/>
        <v>0.13077024881252541</v>
      </c>
      <c r="Q2943" t="str">
        <f t="shared" ca="1" si="137"/>
        <v>No</v>
      </c>
    </row>
    <row r="2944" spans="1:17" x14ac:dyDescent="0.45">
      <c r="A2944" t="s">
        <v>134</v>
      </c>
      <c r="B2944" t="s">
        <v>135</v>
      </c>
      <c r="C2944" t="s">
        <v>29</v>
      </c>
      <c r="D2944" t="s">
        <v>20</v>
      </c>
      <c r="E2944" t="s">
        <v>21</v>
      </c>
      <c r="F2944" s="1">
        <v>43891</v>
      </c>
      <c r="G2944">
        <v>4.4400000000000004</v>
      </c>
      <c r="H2944">
        <v>81.895600000000002</v>
      </c>
      <c r="I2944">
        <v>21.95</v>
      </c>
      <c r="J2944">
        <v>75.069999999999993</v>
      </c>
      <c r="K2944" t="s">
        <v>30</v>
      </c>
      <c r="L2944">
        <v>204.46</v>
      </c>
      <c r="M2944">
        <f>VLOOKUP(K2944,RatingLookup!$A$2:$C$8,2,FALSE)</f>
        <v>1.4999999999999999E-2</v>
      </c>
      <c r="N2944">
        <f t="shared" si="135"/>
        <v>1.2586770182638762E-3</v>
      </c>
      <c r="O2944">
        <f>VLOOKUP(K2944,RatingLookup!$A$2:$C$8,3,FALSE)</f>
        <v>0.5</v>
      </c>
      <c r="P2944">
        <f t="shared" si="136"/>
        <v>0.12867455157711608</v>
      </c>
      <c r="Q2944" t="str">
        <f t="shared" ca="1" si="137"/>
        <v>No</v>
      </c>
    </row>
    <row r="2945" spans="1:17" x14ac:dyDescent="0.45">
      <c r="A2945" t="s">
        <v>134</v>
      </c>
      <c r="B2945" t="s">
        <v>135</v>
      </c>
      <c r="C2945" t="s">
        <v>29</v>
      </c>
      <c r="D2945" t="s">
        <v>20</v>
      </c>
      <c r="E2945" t="s">
        <v>21</v>
      </c>
      <c r="F2945" s="1">
        <v>43922</v>
      </c>
      <c r="G2945">
        <v>5.1100000000000003</v>
      </c>
      <c r="H2945">
        <v>84.171499999999995</v>
      </c>
      <c r="I2945">
        <v>23.72</v>
      </c>
      <c r="J2945">
        <v>70.84</v>
      </c>
      <c r="K2945" t="s">
        <v>30</v>
      </c>
      <c r="L2945">
        <v>201.7</v>
      </c>
      <c r="M2945">
        <f>VLOOKUP(K2945,RatingLookup!$A$2:$C$8,2,FALSE)</f>
        <v>1.4999999999999999E-2</v>
      </c>
      <c r="N2945">
        <f t="shared" si="135"/>
        <v>1.2586770182638762E-3</v>
      </c>
      <c r="O2945">
        <f>VLOOKUP(K2945,RatingLookup!$A$2:$C$8,3,FALSE)</f>
        <v>0.5</v>
      </c>
      <c r="P2945">
        <f t="shared" si="136"/>
        <v>0.12693757729191191</v>
      </c>
      <c r="Q2945" t="str">
        <f t="shared" ca="1" si="137"/>
        <v>No</v>
      </c>
    </row>
    <row r="2946" spans="1:17" x14ac:dyDescent="0.45">
      <c r="A2946" t="s">
        <v>134</v>
      </c>
      <c r="B2946" t="s">
        <v>135</v>
      </c>
      <c r="C2946" t="s">
        <v>29</v>
      </c>
      <c r="D2946" t="s">
        <v>20</v>
      </c>
      <c r="E2946" t="s">
        <v>21</v>
      </c>
      <c r="F2946" s="1">
        <v>43952</v>
      </c>
      <c r="G2946">
        <v>5.84</v>
      </c>
      <c r="H2946">
        <v>86.133600000000001</v>
      </c>
      <c r="I2946">
        <v>17.239999999999998</v>
      </c>
      <c r="J2946">
        <v>70.459999999999994</v>
      </c>
      <c r="K2946" t="s">
        <v>22</v>
      </c>
      <c r="L2946">
        <v>235.66</v>
      </c>
      <c r="M2946">
        <f>VLOOKUP(K2946,RatingLookup!$A$2:$C$8,2,FALSE)</f>
        <v>5.0000000000000001E-3</v>
      </c>
      <c r="N2946">
        <f t="shared" ref="N2946:N3009" si="138">1-(1-M2946)^(1/12)</f>
        <v>4.1762458919303302E-4</v>
      </c>
      <c r="O2946">
        <f>VLOOKUP(K2946,RatingLookup!$A$2:$C$8,3,FALSE)</f>
        <v>0.45</v>
      </c>
      <c r="P2946">
        <f t="shared" ref="P2946:P3009" si="139">L2946*N2946*O2946</f>
        <v>4.4287834810153574E-2</v>
      </c>
      <c r="Q2946" t="str">
        <f t="shared" ref="Q2946:Q3009" ca="1" si="140">IF(RAND()&lt;N2946,"Yes","No")</f>
        <v>No</v>
      </c>
    </row>
    <row r="2947" spans="1:17" x14ac:dyDescent="0.45">
      <c r="A2947" t="s">
        <v>134</v>
      </c>
      <c r="B2947" t="s">
        <v>135</v>
      </c>
      <c r="C2947" t="s">
        <v>29</v>
      </c>
      <c r="D2947" t="s">
        <v>20</v>
      </c>
      <c r="E2947" t="s">
        <v>21</v>
      </c>
      <c r="F2947" s="1">
        <v>43983</v>
      </c>
      <c r="G2947">
        <v>5.4</v>
      </c>
      <c r="H2947">
        <v>80.070999999999998</v>
      </c>
      <c r="I2947">
        <v>11.43</v>
      </c>
      <c r="J2947">
        <v>82.72</v>
      </c>
      <c r="K2947" t="s">
        <v>23</v>
      </c>
      <c r="L2947">
        <v>226.94</v>
      </c>
      <c r="M2947">
        <f>VLOOKUP(K2947,RatingLookup!$A$2:$C$8,2,FALSE)</f>
        <v>1E-3</v>
      </c>
      <c r="N2947">
        <f t="shared" si="138"/>
        <v>8.3371552197619714E-5</v>
      </c>
      <c r="O2947">
        <f>VLOOKUP(K2947,RatingLookup!$A$2:$C$8,3,FALSE)</f>
        <v>0.3</v>
      </c>
      <c r="P2947">
        <f t="shared" si="139"/>
        <v>5.6761020167183452E-3</v>
      </c>
      <c r="Q2947" t="str">
        <f t="shared" ca="1" si="140"/>
        <v>No</v>
      </c>
    </row>
    <row r="2948" spans="1:17" x14ac:dyDescent="0.45">
      <c r="A2948" t="s">
        <v>134</v>
      </c>
      <c r="B2948" t="s">
        <v>135</v>
      </c>
      <c r="C2948" t="s">
        <v>29</v>
      </c>
      <c r="D2948" t="s">
        <v>20</v>
      </c>
      <c r="E2948" t="s">
        <v>21</v>
      </c>
      <c r="F2948" s="1">
        <v>44013</v>
      </c>
      <c r="G2948">
        <v>4.91</v>
      </c>
      <c r="H2948">
        <v>78.027600000000007</v>
      </c>
      <c r="I2948">
        <v>21.64</v>
      </c>
      <c r="J2948">
        <v>66.05</v>
      </c>
      <c r="K2948" t="s">
        <v>23</v>
      </c>
      <c r="L2948">
        <v>200.5</v>
      </c>
      <c r="M2948">
        <f>VLOOKUP(K2948,RatingLookup!$A$2:$C$8,2,FALSE)</f>
        <v>1E-3</v>
      </c>
      <c r="N2948">
        <f t="shared" si="138"/>
        <v>8.3371552197619714E-5</v>
      </c>
      <c r="O2948">
        <f>VLOOKUP(K2948,RatingLookup!$A$2:$C$8,3,FALSE)</f>
        <v>0.3</v>
      </c>
      <c r="P2948">
        <f t="shared" si="139"/>
        <v>5.0147988646868256E-3</v>
      </c>
      <c r="Q2948" t="str">
        <f t="shared" ca="1" si="140"/>
        <v>No</v>
      </c>
    </row>
    <row r="2949" spans="1:17" x14ac:dyDescent="0.45">
      <c r="A2949" t="s">
        <v>134</v>
      </c>
      <c r="B2949" t="s">
        <v>135</v>
      </c>
      <c r="C2949" t="s">
        <v>29</v>
      </c>
      <c r="D2949" t="s">
        <v>20</v>
      </c>
      <c r="E2949" t="s">
        <v>21</v>
      </c>
      <c r="F2949" s="1">
        <v>44044</v>
      </c>
      <c r="G2949">
        <v>4.79</v>
      </c>
      <c r="H2949">
        <v>83.625500000000002</v>
      </c>
      <c r="I2949">
        <v>21.03</v>
      </c>
      <c r="J2949">
        <v>80.510000000000005</v>
      </c>
      <c r="K2949" t="s">
        <v>23</v>
      </c>
      <c r="L2949">
        <v>226.61</v>
      </c>
      <c r="M2949">
        <f>VLOOKUP(K2949,RatingLookup!$A$2:$C$8,2,FALSE)</f>
        <v>1E-3</v>
      </c>
      <c r="N2949">
        <f t="shared" si="138"/>
        <v>8.3371552197619714E-5</v>
      </c>
      <c r="O2949">
        <f>VLOOKUP(K2949,RatingLookup!$A$2:$C$8,3,FALSE)</f>
        <v>0.3</v>
      </c>
      <c r="P2949">
        <f t="shared" si="139"/>
        <v>5.6678482330507806E-3</v>
      </c>
      <c r="Q2949" t="str">
        <f t="shared" ca="1" si="140"/>
        <v>No</v>
      </c>
    </row>
    <row r="2950" spans="1:17" x14ac:dyDescent="0.45">
      <c r="A2950" t="s">
        <v>134</v>
      </c>
      <c r="B2950" t="s">
        <v>135</v>
      </c>
      <c r="C2950" t="s">
        <v>29</v>
      </c>
      <c r="D2950" t="s">
        <v>20</v>
      </c>
      <c r="E2950" t="s">
        <v>21</v>
      </c>
      <c r="F2950" s="1">
        <v>44075</v>
      </c>
      <c r="G2950">
        <v>5.9</v>
      </c>
      <c r="H2950">
        <v>84.938100000000006</v>
      </c>
      <c r="I2950">
        <v>23.05</v>
      </c>
      <c r="J2950">
        <v>84.69</v>
      </c>
      <c r="K2950" t="s">
        <v>23</v>
      </c>
      <c r="L2950">
        <v>212.04</v>
      </c>
      <c r="M2950">
        <f>VLOOKUP(K2950,RatingLookup!$A$2:$C$8,2,FALSE)</f>
        <v>1E-3</v>
      </c>
      <c r="N2950">
        <f t="shared" si="138"/>
        <v>8.3371552197619714E-5</v>
      </c>
      <c r="O2950">
        <f>VLOOKUP(K2950,RatingLookup!$A$2:$C$8,3,FALSE)</f>
        <v>0.3</v>
      </c>
      <c r="P2950">
        <f t="shared" si="139"/>
        <v>5.3034311783949854E-3</v>
      </c>
      <c r="Q2950" t="str">
        <f t="shared" ca="1" si="140"/>
        <v>No</v>
      </c>
    </row>
    <row r="2951" spans="1:17" x14ac:dyDescent="0.45">
      <c r="A2951" t="s">
        <v>134</v>
      </c>
      <c r="B2951" t="s">
        <v>135</v>
      </c>
      <c r="C2951" t="s">
        <v>29</v>
      </c>
      <c r="D2951" t="s">
        <v>20</v>
      </c>
      <c r="E2951" t="s">
        <v>21</v>
      </c>
      <c r="F2951" s="1">
        <v>44105</v>
      </c>
      <c r="G2951">
        <v>5.1100000000000003</v>
      </c>
      <c r="H2951">
        <v>84.688400000000001</v>
      </c>
      <c r="I2951">
        <v>19.3</v>
      </c>
      <c r="J2951">
        <v>84.14</v>
      </c>
      <c r="K2951" t="s">
        <v>23</v>
      </c>
      <c r="L2951">
        <v>199.01</v>
      </c>
      <c r="M2951">
        <f>VLOOKUP(K2951,RatingLookup!$A$2:$C$8,2,FALSE)</f>
        <v>1E-3</v>
      </c>
      <c r="N2951">
        <f t="shared" si="138"/>
        <v>8.3371552197619714E-5</v>
      </c>
      <c r="O2951">
        <f>VLOOKUP(K2951,RatingLookup!$A$2:$C$8,3,FALSE)</f>
        <v>0.3</v>
      </c>
      <c r="P2951">
        <f t="shared" si="139"/>
        <v>4.9775317808544899E-3</v>
      </c>
      <c r="Q2951" t="str">
        <f t="shared" ca="1" si="140"/>
        <v>No</v>
      </c>
    </row>
    <row r="2952" spans="1:17" x14ac:dyDescent="0.45">
      <c r="A2952" t="s">
        <v>134</v>
      </c>
      <c r="B2952" t="s">
        <v>135</v>
      </c>
      <c r="C2952" t="s">
        <v>29</v>
      </c>
      <c r="D2952" t="s">
        <v>20</v>
      </c>
      <c r="E2952" t="s">
        <v>21</v>
      </c>
      <c r="F2952" s="1">
        <v>44136</v>
      </c>
      <c r="G2952">
        <v>4.5199999999999996</v>
      </c>
      <c r="H2952">
        <v>82.949799999999996</v>
      </c>
      <c r="I2952">
        <v>11.81</v>
      </c>
      <c r="J2952">
        <v>72.27</v>
      </c>
      <c r="K2952" t="s">
        <v>23</v>
      </c>
      <c r="L2952">
        <v>204.12</v>
      </c>
      <c r="M2952">
        <f>VLOOKUP(K2952,RatingLookup!$A$2:$C$8,2,FALSE)</f>
        <v>1E-3</v>
      </c>
      <c r="N2952">
        <f t="shared" si="138"/>
        <v>8.3371552197619714E-5</v>
      </c>
      <c r="O2952">
        <f>VLOOKUP(K2952,RatingLookup!$A$2:$C$8,3,FALSE)</f>
        <v>0.3</v>
      </c>
      <c r="P2952">
        <f t="shared" si="139"/>
        <v>5.105340370373441E-3</v>
      </c>
      <c r="Q2952" t="str">
        <f t="shared" ca="1" si="140"/>
        <v>No</v>
      </c>
    </row>
    <row r="2953" spans="1:17" x14ac:dyDescent="0.45">
      <c r="A2953" t="s">
        <v>134</v>
      </c>
      <c r="B2953" t="s">
        <v>135</v>
      </c>
      <c r="C2953" t="s">
        <v>29</v>
      </c>
      <c r="D2953" t="s">
        <v>20</v>
      </c>
      <c r="E2953" t="s">
        <v>21</v>
      </c>
      <c r="F2953" s="1">
        <v>44166</v>
      </c>
      <c r="G2953">
        <v>5.26</v>
      </c>
      <c r="H2953">
        <v>83.692099999999996</v>
      </c>
      <c r="I2953">
        <v>12.48</v>
      </c>
      <c r="J2953">
        <v>71.56</v>
      </c>
      <c r="K2953" t="s">
        <v>23</v>
      </c>
      <c r="L2953">
        <v>220.34</v>
      </c>
      <c r="M2953">
        <f>VLOOKUP(K2953,RatingLookup!$A$2:$C$8,2,FALSE)</f>
        <v>1E-3</v>
      </c>
      <c r="N2953">
        <f t="shared" si="138"/>
        <v>8.3371552197619714E-5</v>
      </c>
      <c r="O2953">
        <f>VLOOKUP(K2953,RatingLookup!$A$2:$C$8,3,FALSE)</f>
        <v>0.3</v>
      </c>
      <c r="P2953">
        <f t="shared" si="139"/>
        <v>5.5110263433670583E-3</v>
      </c>
      <c r="Q2953" t="str">
        <f t="shared" ca="1" si="140"/>
        <v>No</v>
      </c>
    </row>
    <row r="2954" spans="1:17" x14ac:dyDescent="0.45">
      <c r="A2954" t="s">
        <v>134</v>
      </c>
      <c r="B2954" t="s">
        <v>135</v>
      </c>
      <c r="C2954" t="s">
        <v>29</v>
      </c>
      <c r="D2954" t="s">
        <v>20</v>
      </c>
      <c r="E2954" t="s">
        <v>21</v>
      </c>
      <c r="F2954" s="1">
        <v>44197</v>
      </c>
      <c r="G2954">
        <v>5.68</v>
      </c>
      <c r="H2954">
        <v>84.283500000000004</v>
      </c>
      <c r="I2954">
        <v>11.9</v>
      </c>
      <c r="J2954">
        <v>69.06</v>
      </c>
      <c r="K2954" t="s">
        <v>23</v>
      </c>
      <c r="L2954">
        <v>210.93</v>
      </c>
      <c r="M2954">
        <f>VLOOKUP(K2954,RatingLookup!$A$2:$C$8,2,FALSE)</f>
        <v>1E-3</v>
      </c>
      <c r="N2954">
        <f t="shared" si="138"/>
        <v>8.3371552197619714E-5</v>
      </c>
      <c r="O2954">
        <f>VLOOKUP(K2954,RatingLookup!$A$2:$C$8,3,FALSE)</f>
        <v>0.3</v>
      </c>
      <c r="P2954">
        <f t="shared" si="139"/>
        <v>5.2756684515131774E-3</v>
      </c>
      <c r="Q2954" t="str">
        <f t="shared" ca="1" si="140"/>
        <v>No</v>
      </c>
    </row>
    <row r="2955" spans="1:17" x14ac:dyDescent="0.45">
      <c r="A2955" t="s">
        <v>134</v>
      </c>
      <c r="B2955" t="s">
        <v>135</v>
      </c>
      <c r="C2955" t="s">
        <v>29</v>
      </c>
      <c r="D2955" t="s">
        <v>20</v>
      </c>
      <c r="E2955" t="s">
        <v>21</v>
      </c>
      <c r="F2955" s="1">
        <v>44228</v>
      </c>
      <c r="G2955">
        <v>5.77</v>
      </c>
      <c r="H2955">
        <v>80.072900000000004</v>
      </c>
      <c r="I2955">
        <v>12.41</v>
      </c>
      <c r="J2955">
        <v>79.069999999999993</v>
      </c>
      <c r="K2955" t="s">
        <v>23</v>
      </c>
      <c r="L2955">
        <v>208.82</v>
      </c>
      <c r="M2955">
        <f>VLOOKUP(K2955,RatingLookup!$A$2:$C$8,2,FALSE)</f>
        <v>1E-3</v>
      </c>
      <c r="N2955">
        <f t="shared" si="138"/>
        <v>8.3371552197619714E-5</v>
      </c>
      <c r="O2955">
        <f>VLOOKUP(K2955,RatingLookup!$A$2:$C$8,3,FALSE)</f>
        <v>0.3</v>
      </c>
      <c r="P2955">
        <f t="shared" si="139"/>
        <v>5.2228942589720847E-3</v>
      </c>
      <c r="Q2955" t="str">
        <f t="shared" ca="1" si="140"/>
        <v>No</v>
      </c>
    </row>
    <row r="2956" spans="1:17" x14ac:dyDescent="0.45">
      <c r="A2956" t="s">
        <v>134</v>
      </c>
      <c r="B2956" t="s">
        <v>135</v>
      </c>
      <c r="C2956" t="s">
        <v>29</v>
      </c>
      <c r="D2956" t="s">
        <v>20</v>
      </c>
      <c r="E2956" t="s">
        <v>21</v>
      </c>
      <c r="F2956" s="1">
        <v>44256</v>
      </c>
      <c r="G2956">
        <v>5.84</v>
      </c>
      <c r="H2956">
        <v>81.940100000000001</v>
      </c>
      <c r="I2956">
        <v>25.12</v>
      </c>
      <c r="J2956">
        <v>84.43</v>
      </c>
      <c r="K2956" t="s">
        <v>23</v>
      </c>
      <c r="L2956">
        <v>227.94</v>
      </c>
      <c r="M2956">
        <f>VLOOKUP(K2956,RatingLookup!$A$2:$C$8,2,FALSE)</f>
        <v>1E-3</v>
      </c>
      <c r="N2956">
        <f t="shared" si="138"/>
        <v>8.3371552197619714E-5</v>
      </c>
      <c r="O2956">
        <f>VLOOKUP(K2956,RatingLookup!$A$2:$C$8,3,FALSE)</f>
        <v>0.3</v>
      </c>
      <c r="P2956">
        <f t="shared" si="139"/>
        <v>5.7011134823776316E-3</v>
      </c>
      <c r="Q2956" t="str">
        <f t="shared" ca="1" si="140"/>
        <v>No</v>
      </c>
    </row>
    <row r="2957" spans="1:17" x14ac:dyDescent="0.45">
      <c r="A2957" t="s">
        <v>134</v>
      </c>
      <c r="B2957" t="s">
        <v>135</v>
      </c>
      <c r="C2957" t="s">
        <v>29</v>
      </c>
      <c r="D2957" t="s">
        <v>20</v>
      </c>
      <c r="E2957" t="s">
        <v>21</v>
      </c>
      <c r="F2957" s="1">
        <v>44287</v>
      </c>
      <c r="G2957">
        <v>5.97</v>
      </c>
      <c r="H2957">
        <v>81.434700000000007</v>
      </c>
      <c r="I2957">
        <v>15.23</v>
      </c>
      <c r="J2957">
        <v>67.62</v>
      </c>
      <c r="K2957" t="s">
        <v>23</v>
      </c>
      <c r="L2957">
        <v>209.74</v>
      </c>
      <c r="M2957">
        <f>VLOOKUP(K2957,RatingLookup!$A$2:$C$8,2,FALSE)</f>
        <v>1E-3</v>
      </c>
      <c r="N2957">
        <f t="shared" si="138"/>
        <v>8.3371552197619714E-5</v>
      </c>
      <c r="O2957">
        <f>VLOOKUP(K2957,RatingLookup!$A$2:$C$8,3,FALSE)</f>
        <v>0.3</v>
      </c>
      <c r="P2957">
        <f t="shared" si="139"/>
        <v>5.2459048073786275E-3</v>
      </c>
      <c r="Q2957" t="str">
        <f t="shared" ca="1" si="140"/>
        <v>No</v>
      </c>
    </row>
    <row r="2958" spans="1:17" x14ac:dyDescent="0.45">
      <c r="A2958" t="s">
        <v>134</v>
      </c>
      <c r="B2958" t="s">
        <v>135</v>
      </c>
      <c r="C2958" t="s">
        <v>29</v>
      </c>
      <c r="D2958" t="s">
        <v>20</v>
      </c>
      <c r="E2958" t="s">
        <v>21</v>
      </c>
      <c r="F2958" s="1">
        <v>44317</v>
      </c>
      <c r="G2958">
        <v>4.8600000000000003</v>
      </c>
      <c r="H2958">
        <v>84.353200000000001</v>
      </c>
      <c r="I2958">
        <v>26.28</v>
      </c>
      <c r="J2958">
        <v>68.94</v>
      </c>
      <c r="K2958" t="s">
        <v>23</v>
      </c>
      <c r="L2958">
        <v>210.27</v>
      </c>
      <c r="M2958">
        <f>VLOOKUP(K2958,RatingLookup!$A$2:$C$8,2,FALSE)</f>
        <v>1E-3</v>
      </c>
      <c r="N2958">
        <f t="shared" si="138"/>
        <v>8.3371552197619714E-5</v>
      </c>
      <c r="O2958">
        <f>VLOOKUP(K2958,RatingLookup!$A$2:$C$8,3,FALSE)</f>
        <v>0.3</v>
      </c>
      <c r="P2958">
        <f t="shared" si="139"/>
        <v>5.2591608841780499E-3</v>
      </c>
      <c r="Q2958" t="str">
        <f t="shared" ca="1" si="140"/>
        <v>No</v>
      </c>
    </row>
    <row r="2959" spans="1:17" x14ac:dyDescent="0.45">
      <c r="A2959" t="s">
        <v>134</v>
      </c>
      <c r="B2959" t="s">
        <v>135</v>
      </c>
      <c r="C2959" t="s">
        <v>29</v>
      </c>
      <c r="D2959" t="s">
        <v>20</v>
      </c>
      <c r="E2959" t="s">
        <v>21</v>
      </c>
      <c r="F2959" s="1">
        <v>44348</v>
      </c>
      <c r="G2959">
        <v>5.8</v>
      </c>
      <c r="H2959">
        <v>81.248800000000003</v>
      </c>
      <c r="I2959">
        <v>13.54</v>
      </c>
      <c r="J2959">
        <v>81.11</v>
      </c>
      <c r="K2959" t="s">
        <v>23</v>
      </c>
      <c r="L2959">
        <v>208.62</v>
      </c>
      <c r="M2959">
        <f>VLOOKUP(K2959,RatingLookup!$A$2:$C$8,2,FALSE)</f>
        <v>1E-3</v>
      </c>
      <c r="N2959">
        <f t="shared" si="138"/>
        <v>8.3371552197619714E-5</v>
      </c>
      <c r="O2959">
        <f>VLOOKUP(K2959,RatingLookup!$A$2:$C$8,3,FALSE)</f>
        <v>0.3</v>
      </c>
      <c r="P2959">
        <f t="shared" si="139"/>
        <v>5.2178919658402278E-3</v>
      </c>
      <c r="Q2959" t="str">
        <f t="shared" ca="1" si="140"/>
        <v>No</v>
      </c>
    </row>
    <row r="2960" spans="1:17" x14ac:dyDescent="0.45">
      <c r="A2960" t="s">
        <v>134</v>
      </c>
      <c r="B2960" t="s">
        <v>135</v>
      </c>
      <c r="C2960" t="s">
        <v>29</v>
      </c>
      <c r="D2960" t="s">
        <v>20</v>
      </c>
      <c r="E2960" t="s">
        <v>21</v>
      </c>
      <c r="F2960" s="1">
        <v>44378</v>
      </c>
      <c r="G2960">
        <v>6.78</v>
      </c>
      <c r="H2960">
        <v>83.764300000000006</v>
      </c>
      <c r="I2960">
        <v>22.38</v>
      </c>
      <c r="J2960">
        <v>75.900000000000006</v>
      </c>
      <c r="K2960" t="s">
        <v>23</v>
      </c>
      <c r="L2960">
        <v>237.98</v>
      </c>
      <c r="M2960">
        <f>VLOOKUP(K2960,RatingLookup!$A$2:$C$8,2,FALSE)</f>
        <v>1E-3</v>
      </c>
      <c r="N2960">
        <f t="shared" si="138"/>
        <v>8.3371552197619714E-5</v>
      </c>
      <c r="O2960">
        <f>VLOOKUP(K2960,RatingLookup!$A$2:$C$8,3,FALSE)</f>
        <v>0.3</v>
      </c>
      <c r="P2960">
        <f t="shared" si="139"/>
        <v>5.9522285975968613E-3</v>
      </c>
      <c r="Q2960" t="str">
        <f t="shared" ca="1" si="140"/>
        <v>No</v>
      </c>
    </row>
    <row r="2961" spans="1:17" x14ac:dyDescent="0.45">
      <c r="A2961" t="s">
        <v>134</v>
      </c>
      <c r="B2961" t="s">
        <v>135</v>
      </c>
      <c r="C2961" t="s">
        <v>29</v>
      </c>
      <c r="D2961" t="s">
        <v>20</v>
      </c>
      <c r="E2961" t="s">
        <v>21</v>
      </c>
      <c r="F2961" s="1">
        <v>44409</v>
      </c>
      <c r="G2961">
        <v>5.05</v>
      </c>
      <c r="H2961">
        <v>88.114000000000004</v>
      </c>
      <c r="I2961">
        <v>23.3</v>
      </c>
      <c r="J2961">
        <v>67.5</v>
      </c>
      <c r="K2961" t="s">
        <v>23</v>
      </c>
      <c r="L2961">
        <v>222.91</v>
      </c>
      <c r="M2961">
        <f>VLOOKUP(K2961,RatingLookup!$A$2:$C$8,2,FALSE)</f>
        <v>1E-3</v>
      </c>
      <c r="N2961">
        <f t="shared" si="138"/>
        <v>8.3371552197619714E-5</v>
      </c>
      <c r="O2961">
        <f>VLOOKUP(K2961,RatingLookup!$A$2:$C$8,3,FALSE)</f>
        <v>0.3</v>
      </c>
      <c r="P2961">
        <f t="shared" si="139"/>
        <v>5.5753058101114224E-3</v>
      </c>
      <c r="Q2961" t="str">
        <f t="shared" ca="1" si="140"/>
        <v>No</v>
      </c>
    </row>
    <row r="2962" spans="1:17" x14ac:dyDescent="0.45">
      <c r="A2962" t="s">
        <v>134</v>
      </c>
      <c r="B2962" t="s">
        <v>135</v>
      </c>
      <c r="C2962" t="s">
        <v>29</v>
      </c>
      <c r="D2962" t="s">
        <v>20</v>
      </c>
      <c r="E2962" t="s">
        <v>21</v>
      </c>
      <c r="F2962" s="1">
        <v>44440</v>
      </c>
      <c r="G2962">
        <v>5.22</v>
      </c>
      <c r="H2962">
        <v>79.916200000000003</v>
      </c>
      <c r="I2962">
        <v>21.27</v>
      </c>
      <c r="J2962">
        <v>78.819999999999993</v>
      </c>
      <c r="K2962" t="s">
        <v>23</v>
      </c>
      <c r="L2962">
        <v>217.79</v>
      </c>
      <c r="M2962">
        <f>VLOOKUP(K2962,RatingLookup!$A$2:$C$8,2,FALSE)</f>
        <v>1E-3</v>
      </c>
      <c r="N2962">
        <f t="shared" si="138"/>
        <v>8.3371552197619714E-5</v>
      </c>
      <c r="O2962">
        <f>VLOOKUP(K2962,RatingLookup!$A$2:$C$8,3,FALSE)</f>
        <v>0.3</v>
      </c>
      <c r="P2962">
        <f t="shared" si="139"/>
        <v>5.4472471059358795E-3</v>
      </c>
      <c r="Q2962" t="str">
        <f t="shared" ca="1" si="140"/>
        <v>No</v>
      </c>
    </row>
    <row r="2963" spans="1:17" x14ac:dyDescent="0.45">
      <c r="A2963" t="s">
        <v>134</v>
      </c>
      <c r="B2963" t="s">
        <v>135</v>
      </c>
      <c r="C2963" t="s">
        <v>29</v>
      </c>
      <c r="D2963" t="s">
        <v>20</v>
      </c>
      <c r="E2963" t="s">
        <v>21</v>
      </c>
      <c r="F2963" s="1">
        <v>44470</v>
      </c>
      <c r="G2963">
        <v>5.0199999999999996</v>
      </c>
      <c r="H2963">
        <v>83.631699999999995</v>
      </c>
      <c r="I2963">
        <v>12.1</v>
      </c>
      <c r="J2963">
        <v>69.11</v>
      </c>
      <c r="K2963" t="s">
        <v>23</v>
      </c>
      <c r="L2963">
        <v>226.82</v>
      </c>
      <c r="M2963">
        <f>VLOOKUP(K2963,RatingLookup!$A$2:$C$8,2,FALSE)</f>
        <v>1E-3</v>
      </c>
      <c r="N2963">
        <f t="shared" si="138"/>
        <v>8.3371552197619714E-5</v>
      </c>
      <c r="O2963">
        <f>VLOOKUP(K2963,RatingLookup!$A$2:$C$8,3,FALSE)</f>
        <v>0.3</v>
      </c>
      <c r="P2963">
        <f t="shared" si="139"/>
        <v>5.673100640839231E-3</v>
      </c>
      <c r="Q2963" t="str">
        <f t="shared" ca="1" si="140"/>
        <v>No</v>
      </c>
    </row>
    <row r="2964" spans="1:17" x14ac:dyDescent="0.45">
      <c r="A2964" t="s">
        <v>134</v>
      </c>
      <c r="B2964" t="s">
        <v>135</v>
      </c>
      <c r="C2964" t="s">
        <v>29</v>
      </c>
      <c r="D2964" t="s">
        <v>20</v>
      </c>
      <c r="E2964" t="s">
        <v>21</v>
      </c>
      <c r="F2964" s="1">
        <v>44501</v>
      </c>
      <c r="G2964">
        <v>5.62</v>
      </c>
      <c r="H2964">
        <v>77.906899999999993</v>
      </c>
      <c r="I2964">
        <v>10.49</v>
      </c>
      <c r="J2964">
        <v>71.3</v>
      </c>
      <c r="K2964" t="s">
        <v>23</v>
      </c>
      <c r="L2964">
        <v>226.33</v>
      </c>
      <c r="M2964">
        <f>VLOOKUP(K2964,RatingLookup!$A$2:$C$8,2,FALSE)</f>
        <v>1E-3</v>
      </c>
      <c r="N2964">
        <f t="shared" si="138"/>
        <v>8.3371552197619714E-5</v>
      </c>
      <c r="O2964">
        <f>VLOOKUP(K2964,RatingLookup!$A$2:$C$8,3,FALSE)</f>
        <v>0.3</v>
      </c>
      <c r="P2964">
        <f t="shared" si="139"/>
        <v>5.6608450226661809E-3</v>
      </c>
      <c r="Q2964" t="str">
        <f t="shared" ca="1" si="140"/>
        <v>No</v>
      </c>
    </row>
    <row r="2965" spans="1:17" x14ac:dyDescent="0.45">
      <c r="A2965" t="s">
        <v>134</v>
      </c>
      <c r="B2965" t="s">
        <v>135</v>
      </c>
      <c r="C2965" t="s">
        <v>29</v>
      </c>
      <c r="D2965" t="s">
        <v>20</v>
      </c>
      <c r="E2965" t="s">
        <v>21</v>
      </c>
      <c r="F2965" s="1">
        <v>44531</v>
      </c>
      <c r="G2965">
        <v>5.88</v>
      </c>
      <c r="H2965">
        <v>83.281800000000004</v>
      </c>
      <c r="I2965">
        <v>16.55</v>
      </c>
      <c r="J2965">
        <v>89.03</v>
      </c>
      <c r="K2965" t="s">
        <v>23</v>
      </c>
      <c r="L2965">
        <v>209.75</v>
      </c>
      <c r="M2965">
        <f>VLOOKUP(K2965,RatingLookup!$A$2:$C$8,2,FALSE)</f>
        <v>1E-3</v>
      </c>
      <c r="N2965">
        <f t="shared" si="138"/>
        <v>8.3371552197619714E-5</v>
      </c>
      <c r="O2965">
        <f>VLOOKUP(K2965,RatingLookup!$A$2:$C$8,3,FALSE)</f>
        <v>0.3</v>
      </c>
      <c r="P2965">
        <f t="shared" si="139"/>
        <v>5.2461549220352201E-3</v>
      </c>
      <c r="Q2965" t="str">
        <f t="shared" ca="1" si="140"/>
        <v>No</v>
      </c>
    </row>
    <row r="2966" spans="1:17" x14ac:dyDescent="0.45">
      <c r="A2966" t="s">
        <v>134</v>
      </c>
      <c r="B2966" t="s">
        <v>135</v>
      </c>
      <c r="C2966" t="s">
        <v>29</v>
      </c>
      <c r="D2966" t="s">
        <v>20</v>
      </c>
      <c r="E2966" t="s">
        <v>21</v>
      </c>
      <c r="F2966" s="1">
        <v>44562</v>
      </c>
      <c r="G2966">
        <v>5.87</v>
      </c>
      <c r="H2966">
        <v>82.090999999999994</v>
      </c>
      <c r="I2966">
        <v>23.71</v>
      </c>
      <c r="J2966">
        <v>95.82</v>
      </c>
      <c r="K2966" t="s">
        <v>23</v>
      </c>
      <c r="L2966">
        <v>217.02</v>
      </c>
      <c r="M2966">
        <f>VLOOKUP(K2966,RatingLookup!$A$2:$C$8,2,FALSE)</f>
        <v>1E-3</v>
      </c>
      <c r="N2966">
        <f t="shared" si="138"/>
        <v>8.3371552197619714E-5</v>
      </c>
      <c r="O2966">
        <f>VLOOKUP(K2966,RatingLookup!$A$2:$C$8,3,FALSE)</f>
        <v>0.3</v>
      </c>
      <c r="P2966">
        <f t="shared" si="139"/>
        <v>5.4279882773782297E-3</v>
      </c>
      <c r="Q2966" t="str">
        <f t="shared" ca="1" si="140"/>
        <v>No</v>
      </c>
    </row>
    <row r="2967" spans="1:17" x14ac:dyDescent="0.45">
      <c r="A2967" t="s">
        <v>134</v>
      </c>
      <c r="B2967" t="s">
        <v>135</v>
      </c>
      <c r="C2967" t="s">
        <v>29</v>
      </c>
      <c r="D2967" t="s">
        <v>20</v>
      </c>
      <c r="E2967" t="s">
        <v>21</v>
      </c>
      <c r="F2967" s="1">
        <v>44593</v>
      </c>
      <c r="G2967">
        <v>5.54</v>
      </c>
      <c r="H2967">
        <v>78.165300000000002</v>
      </c>
      <c r="I2967">
        <v>9.1</v>
      </c>
      <c r="J2967">
        <v>86.06</v>
      </c>
      <c r="K2967" t="s">
        <v>48</v>
      </c>
      <c r="L2967">
        <v>198.42</v>
      </c>
      <c r="M2967">
        <f>VLOOKUP(K2967,RatingLookup!$A$2:$C$8,2,FALSE)</f>
        <v>5.0000000000000001E-4</v>
      </c>
      <c r="N2967">
        <f t="shared" si="138"/>
        <v>4.167621832917856E-5</v>
      </c>
      <c r="O2967">
        <f>VLOOKUP(K2967,RatingLookup!$A$2:$C$8,3,FALSE)</f>
        <v>0.25</v>
      </c>
      <c r="P2967">
        <f t="shared" si="139"/>
        <v>2.0673488102189025E-3</v>
      </c>
      <c r="Q2967" t="str">
        <f t="shared" ca="1" si="140"/>
        <v>No</v>
      </c>
    </row>
    <row r="2968" spans="1:17" x14ac:dyDescent="0.45">
      <c r="A2968" t="s">
        <v>134</v>
      </c>
      <c r="B2968" t="s">
        <v>135</v>
      </c>
      <c r="C2968" t="s">
        <v>29</v>
      </c>
      <c r="D2968" t="s">
        <v>20</v>
      </c>
      <c r="E2968" t="s">
        <v>21</v>
      </c>
      <c r="F2968" s="1">
        <v>44621</v>
      </c>
      <c r="G2968">
        <v>6.11</v>
      </c>
      <c r="H2968">
        <v>84.528499999999994</v>
      </c>
      <c r="I2968">
        <v>13.33</v>
      </c>
      <c r="J2968">
        <v>79.42</v>
      </c>
      <c r="K2968" t="s">
        <v>48</v>
      </c>
      <c r="L2968">
        <v>225.75</v>
      </c>
      <c r="M2968">
        <f>VLOOKUP(K2968,RatingLookup!$A$2:$C$8,2,FALSE)</f>
        <v>5.0000000000000001E-4</v>
      </c>
      <c r="N2968">
        <f t="shared" si="138"/>
        <v>4.167621832917856E-5</v>
      </c>
      <c r="O2968">
        <f>VLOOKUP(K2968,RatingLookup!$A$2:$C$8,3,FALSE)</f>
        <v>0.25</v>
      </c>
      <c r="P2968">
        <f t="shared" si="139"/>
        <v>2.352101571953015E-3</v>
      </c>
      <c r="Q2968" t="str">
        <f t="shared" ca="1" si="140"/>
        <v>No</v>
      </c>
    </row>
    <row r="2969" spans="1:17" x14ac:dyDescent="0.45">
      <c r="A2969" t="s">
        <v>134</v>
      </c>
      <c r="B2969" t="s">
        <v>135</v>
      </c>
      <c r="C2969" t="s">
        <v>29</v>
      </c>
      <c r="D2969" t="s">
        <v>20</v>
      </c>
      <c r="E2969" t="s">
        <v>21</v>
      </c>
      <c r="F2969" s="1">
        <v>44652</v>
      </c>
      <c r="G2969">
        <v>5.56</v>
      </c>
      <c r="H2969">
        <v>83.800399999999996</v>
      </c>
      <c r="I2969">
        <v>14.89</v>
      </c>
      <c r="J2969">
        <v>60.32</v>
      </c>
      <c r="K2969" t="s">
        <v>48</v>
      </c>
      <c r="L2969">
        <v>207.28</v>
      </c>
      <c r="M2969">
        <f>VLOOKUP(K2969,RatingLookup!$A$2:$C$8,2,FALSE)</f>
        <v>5.0000000000000001E-4</v>
      </c>
      <c r="N2969">
        <f t="shared" si="138"/>
        <v>4.167621832917856E-5</v>
      </c>
      <c r="O2969">
        <f>VLOOKUP(K2969,RatingLookup!$A$2:$C$8,3,FALSE)</f>
        <v>0.25</v>
      </c>
      <c r="P2969">
        <f t="shared" si="139"/>
        <v>2.159661633818033E-3</v>
      </c>
      <c r="Q2969" t="str">
        <f t="shared" ca="1" si="140"/>
        <v>No</v>
      </c>
    </row>
    <row r="2970" spans="1:17" x14ac:dyDescent="0.45">
      <c r="A2970" t="s">
        <v>134</v>
      </c>
      <c r="B2970" t="s">
        <v>135</v>
      </c>
      <c r="C2970" t="s">
        <v>29</v>
      </c>
      <c r="D2970" t="s">
        <v>20</v>
      </c>
      <c r="E2970" t="s">
        <v>21</v>
      </c>
      <c r="F2970" s="1">
        <v>44682</v>
      </c>
      <c r="G2970">
        <v>4.96</v>
      </c>
      <c r="H2970">
        <v>81.294799999999995</v>
      </c>
      <c r="I2970">
        <v>16.18</v>
      </c>
      <c r="J2970">
        <v>69</v>
      </c>
      <c r="K2970" t="s">
        <v>48</v>
      </c>
      <c r="L2970">
        <v>213.83</v>
      </c>
      <c r="M2970">
        <f>VLOOKUP(K2970,RatingLookup!$A$2:$C$8,2,FALSE)</f>
        <v>5.0000000000000001E-4</v>
      </c>
      <c r="N2970">
        <f t="shared" si="138"/>
        <v>4.167621832917856E-5</v>
      </c>
      <c r="O2970">
        <f>VLOOKUP(K2970,RatingLookup!$A$2:$C$8,3,FALSE)</f>
        <v>0.25</v>
      </c>
      <c r="P2970">
        <f t="shared" si="139"/>
        <v>2.2279064413320629E-3</v>
      </c>
      <c r="Q2970" t="str">
        <f t="shared" ca="1" si="140"/>
        <v>No</v>
      </c>
    </row>
    <row r="2971" spans="1:17" x14ac:dyDescent="0.45">
      <c r="A2971" t="s">
        <v>134</v>
      </c>
      <c r="B2971" t="s">
        <v>135</v>
      </c>
      <c r="C2971" t="s">
        <v>29</v>
      </c>
      <c r="D2971" t="s">
        <v>20</v>
      </c>
      <c r="E2971" t="s">
        <v>21</v>
      </c>
      <c r="F2971" s="1">
        <v>44713</v>
      </c>
      <c r="G2971">
        <v>5.84</v>
      </c>
      <c r="H2971">
        <v>82.909099999999995</v>
      </c>
      <c r="I2971">
        <v>18.100000000000001</v>
      </c>
      <c r="J2971">
        <v>73.989999999999995</v>
      </c>
      <c r="K2971" t="s">
        <v>48</v>
      </c>
      <c r="L2971">
        <v>226.73</v>
      </c>
      <c r="M2971">
        <f>VLOOKUP(K2971,RatingLookup!$A$2:$C$8,2,FALSE)</f>
        <v>5.0000000000000001E-4</v>
      </c>
      <c r="N2971">
        <f t="shared" si="138"/>
        <v>4.167621832917856E-5</v>
      </c>
      <c r="O2971">
        <f>VLOOKUP(K2971,RatingLookup!$A$2:$C$8,3,FALSE)</f>
        <v>0.25</v>
      </c>
      <c r="P2971">
        <f t="shared" si="139"/>
        <v>2.3623122454436637E-3</v>
      </c>
      <c r="Q2971" t="str">
        <f t="shared" ca="1" si="140"/>
        <v>No</v>
      </c>
    </row>
    <row r="2972" spans="1:17" x14ac:dyDescent="0.45">
      <c r="A2972" t="s">
        <v>134</v>
      </c>
      <c r="B2972" t="s">
        <v>135</v>
      </c>
      <c r="C2972" t="s">
        <v>29</v>
      </c>
      <c r="D2972" t="s">
        <v>20</v>
      </c>
      <c r="E2972" t="s">
        <v>21</v>
      </c>
      <c r="F2972" s="1">
        <v>44743</v>
      </c>
      <c r="G2972">
        <v>6.09</v>
      </c>
      <c r="H2972">
        <v>79.695899999999995</v>
      </c>
      <c r="I2972">
        <v>24.83</v>
      </c>
      <c r="J2972">
        <v>94.25</v>
      </c>
      <c r="K2972" t="s">
        <v>48</v>
      </c>
      <c r="L2972">
        <v>209.77</v>
      </c>
      <c r="M2972">
        <f>VLOOKUP(K2972,RatingLookup!$A$2:$C$8,2,FALSE)</f>
        <v>5.0000000000000001E-4</v>
      </c>
      <c r="N2972">
        <f t="shared" si="138"/>
        <v>4.167621832917856E-5</v>
      </c>
      <c r="O2972">
        <f>VLOOKUP(K2972,RatingLookup!$A$2:$C$8,3,FALSE)</f>
        <v>0.25</v>
      </c>
      <c r="P2972">
        <f t="shared" si="139"/>
        <v>2.1856050797279467E-3</v>
      </c>
      <c r="Q2972" t="str">
        <f t="shared" ca="1" si="140"/>
        <v>No</v>
      </c>
    </row>
    <row r="2973" spans="1:17" x14ac:dyDescent="0.45">
      <c r="A2973" t="s">
        <v>134</v>
      </c>
      <c r="B2973" t="s">
        <v>135</v>
      </c>
      <c r="C2973" t="s">
        <v>29</v>
      </c>
      <c r="D2973" t="s">
        <v>20</v>
      </c>
      <c r="E2973" t="s">
        <v>21</v>
      </c>
      <c r="F2973" s="1">
        <v>44774</v>
      </c>
      <c r="G2973">
        <v>6.05</v>
      </c>
      <c r="H2973">
        <v>86.708399999999997</v>
      </c>
      <c r="I2973">
        <v>22.92</v>
      </c>
      <c r="J2973">
        <v>76.34</v>
      </c>
      <c r="K2973" t="s">
        <v>48</v>
      </c>
      <c r="L2973">
        <v>229.7</v>
      </c>
      <c r="M2973">
        <f>VLOOKUP(K2973,RatingLookup!$A$2:$C$8,2,FALSE)</f>
        <v>5.0000000000000001E-4</v>
      </c>
      <c r="N2973">
        <f t="shared" si="138"/>
        <v>4.167621832917856E-5</v>
      </c>
      <c r="O2973">
        <f>VLOOKUP(K2973,RatingLookup!$A$2:$C$8,3,FALSE)</f>
        <v>0.25</v>
      </c>
      <c r="P2973">
        <f t="shared" si="139"/>
        <v>2.3932568375530788E-3</v>
      </c>
      <c r="Q2973" t="str">
        <f t="shared" ca="1" si="140"/>
        <v>No</v>
      </c>
    </row>
    <row r="2974" spans="1:17" x14ac:dyDescent="0.45">
      <c r="A2974" t="s">
        <v>134</v>
      </c>
      <c r="B2974" t="s">
        <v>135</v>
      </c>
      <c r="C2974" t="s">
        <v>29</v>
      </c>
      <c r="D2974" t="s">
        <v>20</v>
      </c>
      <c r="E2974" t="s">
        <v>21</v>
      </c>
      <c r="F2974" s="1">
        <v>44805</v>
      </c>
      <c r="G2974">
        <v>5.01</v>
      </c>
      <c r="H2974">
        <v>81.858599999999996</v>
      </c>
      <c r="I2974">
        <v>14.24</v>
      </c>
      <c r="J2974">
        <v>64.73</v>
      </c>
      <c r="K2974" t="s">
        <v>48</v>
      </c>
      <c r="L2974">
        <v>221.7</v>
      </c>
      <c r="M2974">
        <f>VLOOKUP(K2974,RatingLookup!$A$2:$C$8,2,FALSE)</f>
        <v>5.0000000000000001E-4</v>
      </c>
      <c r="N2974">
        <f t="shared" si="138"/>
        <v>4.167621832917856E-5</v>
      </c>
      <c r="O2974">
        <f>VLOOKUP(K2974,RatingLookup!$A$2:$C$8,3,FALSE)</f>
        <v>0.25</v>
      </c>
      <c r="P2974">
        <f t="shared" si="139"/>
        <v>2.3099044008947217E-3</v>
      </c>
      <c r="Q2974" t="str">
        <f t="shared" ca="1" si="140"/>
        <v>No</v>
      </c>
    </row>
    <row r="2975" spans="1:17" x14ac:dyDescent="0.45">
      <c r="A2975" t="s">
        <v>134</v>
      </c>
      <c r="B2975" t="s">
        <v>135</v>
      </c>
      <c r="C2975" t="s">
        <v>29</v>
      </c>
      <c r="D2975" t="s">
        <v>20</v>
      </c>
      <c r="E2975" t="s">
        <v>21</v>
      </c>
      <c r="F2975" s="1">
        <v>44835</v>
      </c>
      <c r="G2975">
        <v>5.68</v>
      </c>
      <c r="H2975">
        <v>83.116699999999994</v>
      </c>
      <c r="I2975">
        <v>19.13</v>
      </c>
      <c r="J2975">
        <v>67.39</v>
      </c>
      <c r="K2975" t="s">
        <v>48</v>
      </c>
      <c r="L2975">
        <v>216.69</v>
      </c>
      <c r="M2975">
        <f>VLOOKUP(K2975,RatingLookup!$A$2:$C$8,2,FALSE)</f>
        <v>5.0000000000000001E-4</v>
      </c>
      <c r="N2975">
        <f t="shared" si="138"/>
        <v>4.167621832917856E-5</v>
      </c>
      <c r="O2975">
        <f>VLOOKUP(K2975,RatingLookup!$A$2:$C$8,3,FALSE)</f>
        <v>0.25</v>
      </c>
      <c r="P2975">
        <f t="shared" si="139"/>
        <v>2.2577049374374256E-3</v>
      </c>
      <c r="Q2975" t="str">
        <f t="shared" ca="1" si="140"/>
        <v>No</v>
      </c>
    </row>
    <row r="2976" spans="1:17" x14ac:dyDescent="0.45">
      <c r="A2976" t="s">
        <v>134</v>
      </c>
      <c r="B2976" t="s">
        <v>135</v>
      </c>
      <c r="C2976" t="s">
        <v>29</v>
      </c>
      <c r="D2976" t="s">
        <v>20</v>
      </c>
      <c r="E2976" t="s">
        <v>21</v>
      </c>
      <c r="F2976" s="1">
        <v>44866</v>
      </c>
      <c r="G2976">
        <v>5.95</v>
      </c>
      <c r="H2976">
        <v>82.923500000000004</v>
      </c>
      <c r="I2976">
        <v>18.57</v>
      </c>
      <c r="J2976">
        <v>87.33</v>
      </c>
      <c r="K2976" t="s">
        <v>48</v>
      </c>
      <c r="L2976">
        <v>249.1</v>
      </c>
      <c r="M2976">
        <f>VLOOKUP(K2976,RatingLookup!$A$2:$C$8,2,FALSE)</f>
        <v>5.0000000000000001E-4</v>
      </c>
      <c r="N2976">
        <f t="shared" si="138"/>
        <v>4.167621832917856E-5</v>
      </c>
      <c r="O2976">
        <f>VLOOKUP(K2976,RatingLookup!$A$2:$C$8,3,FALSE)</f>
        <v>0.25</v>
      </c>
      <c r="P2976">
        <f t="shared" si="139"/>
        <v>2.5953864964495948E-3</v>
      </c>
      <c r="Q2976" t="str">
        <f t="shared" ca="1" si="140"/>
        <v>No</v>
      </c>
    </row>
    <row r="2977" spans="1:17" x14ac:dyDescent="0.45">
      <c r="A2977" t="s">
        <v>134</v>
      </c>
      <c r="B2977" t="s">
        <v>135</v>
      </c>
      <c r="C2977" t="s">
        <v>29</v>
      </c>
      <c r="D2977" t="s">
        <v>20</v>
      </c>
      <c r="E2977" t="s">
        <v>21</v>
      </c>
      <c r="F2977" s="1">
        <v>44896</v>
      </c>
      <c r="G2977">
        <v>5.35</v>
      </c>
      <c r="H2977">
        <v>88.061899999999994</v>
      </c>
      <c r="I2977">
        <v>15.46</v>
      </c>
      <c r="J2977">
        <v>60.42</v>
      </c>
      <c r="K2977" t="s">
        <v>48</v>
      </c>
      <c r="L2977">
        <v>229.21</v>
      </c>
      <c r="M2977">
        <f>VLOOKUP(K2977,RatingLookup!$A$2:$C$8,2,FALSE)</f>
        <v>5.0000000000000001E-4</v>
      </c>
      <c r="N2977">
        <f t="shared" si="138"/>
        <v>4.167621832917856E-5</v>
      </c>
      <c r="O2977">
        <f>VLOOKUP(K2977,RatingLookup!$A$2:$C$8,3,FALSE)</f>
        <v>0.25</v>
      </c>
      <c r="P2977">
        <f t="shared" si="139"/>
        <v>2.3881515008077545E-3</v>
      </c>
      <c r="Q2977" t="str">
        <f t="shared" ca="1" si="140"/>
        <v>No</v>
      </c>
    </row>
    <row r="2978" spans="1:17" x14ac:dyDescent="0.45">
      <c r="A2978" t="s">
        <v>134</v>
      </c>
      <c r="B2978" t="s">
        <v>135</v>
      </c>
      <c r="C2978" t="s">
        <v>29</v>
      </c>
      <c r="D2978" t="s">
        <v>20</v>
      </c>
      <c r="E2978" t="s">
        <v>21</v>
      </c>
      <c r="F2978" s="1">
        <v>44927</v>
      </c>
      <c r="G2978">
        <v>5.85</v>
      </c>
      <c r="H2978">
        <v>80.150199999999998</v>
      </c>
      <c r="I2978">
        <v>22.74</v>
      </c>
      <c r="J2978">
        <v>75.260000000000005</v>
      </c>
      <c r="K2978" t="s">
        <v>48</v>
      </c>
      <c r="L2978">
        <v>227.31</v>
      </c>
      <c r="M2978">
        <f>VLOOKUP(K2978,RatingLookup!$A$2:$C$8,2,FALSE)</f>
        <v>5.0000000000000001E-4</v>
      </c>
      <c r="N2978">
        <f t="shared" si="138"/>
        <v>4.167621832917856E-5</v>
      </c>
      <c r="O2978">
        <f>VLOOKUP(K2978,RatingLookup!$A$2:$C$8,3,FALSE)</f>
        <v>0.25</v>
      </c>
      <c r="P2978">
        <f t="shared" si="139"/>
        <v>2.3683552971013946E-3</v>
      </c>
      <c r="Q2978" t="str">
        <f t="shared" ca="1" si="140"/>
        <v>No</v>
      </c>
    </row>
    <row r="2979" spans="1:17" x14ac:dyDescent="0.45">
      <c r="A2979" t="s">
        <v>134</v>
      </c>
      <c r="B2979" t="s">
        <v>135</v>
      </c>
      <c r="C2979" t="s">
        <v>29</v>
      </c>
      <c r="D2979" t="s">
        <v>20</v>
      </c>
      <c r="E2979" t="s">
        <v>21</v>
      </c>
      <c r="F2979" s="1">
        <v>44958</v>
      </c>
      <c r="G2979">
        <v>4.7300000000000004</v>
      </c>
      <c r="H2979">
        <v>87.449700000000007</v>
      </c>
      <c r="I2979">
        <v>14.87</v>
      </c>
      <c r="J2979">
        <v>71.489999999999995</v>
      </c>
      <c r="K2979" t="s">
        <v>48</v>
      </c>
      <c r="L2979">
        <v>219.08</v>
      </c>
      <c r="M2979">
        <f>VLOOKUP(K2979,RatingLookup!$A$2:$C$8,2,FALSE)</f>
        <v>5.0000000000000001E-4</v>
      </c>
      <c r="N2979">
        <f t="shared" si="138"/>
        <v>4.167621832917856E-5</v>
      </c>
      <c r="O2979">
        <f>VLOOKUP(K2979,RatingLookup!$A$2:$C$8,3,FALSE)</f>
        <v>0.25</v>
      </c>
      <c r="P2979">
        <f t="shared" si="139"/>
        <v>2.2826064778891098E-3</v>
      </c>
      <c r="Q2979" t="str">
        <f t="shared" ca="1" si="140"/>
        <v>No</v>
      </c>
    </row>
    <row r="2980" spans="1:17" x14ac:dyDescent="0.45">
      <c r="A2980" t="s">
        <v>134</v>
      </c>
      <c r="B2980" t="s">
        <v>135</v>
      </c>
      <c r="C2980" t="s">
        <v>29</v>
      </c>
      <c r="D2980" t="s">
        <v>20</v>
      </c>
      <c r="E2980" t="s">
        <v>21</v>
      </c>
      <c r="F2980" s="1">
        <v>44986</v>
      </c>
      <c r="G2980">
        <v>6.04</v>
      </c>
      <c r="H2980">
        <v>83.965500000000006</v>
      </c>
      <c r="I2980">
        <v>17.739999999999998</v>
      </c>
      <c r="J2980">
        <v>68.55</v>
      </c>
      <c r="K2980" t="s">
        <v>48</v>
      </c>
      <c r="L2980">
        <v>247.39</v>
      </c>
      <c r="M2980">
        <f>VLOOKUP(K2980,RatingLookup!$A$2:$C$8,2,FALSE)</f>
        <v>5.0000000000000001E-4</v>
      </c>
      <c r="N2980">
        <f t="shared" si="138"/>
        <v>4.167621832917856E-5</v>
      </c>
      <c r="O2980">
        <f>VLOOKUP(K2980,RatingLookup!$A$2:$C$8,3,FALSE)</f>
        <v>0.25</v>
      </c>
      <c r="P2980">
        <f t="shared" si="139"/>
        <v>2.577569913113871E-3</v>
      </c>
      <c r="Q2980" t="str">
        <f t="shared" ca="1" si="140"/>
        <v>No</v>
      </c>
    </row>
    <row r="2981" spans="1:17" x14ac:dyDescent="0.45">
      <c r="A2981" t="s">
        <v>134</v>
      </c>
      <c r="B2981" t="s">
        <v>135</v>
      </c>
      <c r="C2981" t="s">
        <v>29</v>
      </c>
      <c r="D2981" t="s">
        <v>20</v>
      </c>
      <c r="E2981" t="s">
        <v>21</v>
      </c>
      <c r="F2981" s="1">
        <v>45017</v>
      </c>
      <c r="G2981">
        <v>4.99</v>
      </c>
      <c r="H2981">
        <v>79.2256</v>
      </c>
      <c r="I2981">
        <v>20.88</v>
      </c>
      <c r="J2981">
        <v>74.63</v>
      </c>
      <c r="K2981" t="s">
        <v>48</v>
      </c>
      <c r="L2981">
        <v>214.01</v>
      </c>
      <c r="M2981">
        <f>VLOOKUP(K2981,RatingLookup!$A$2:$C$8,2,FALSE)</f>
        <v>5.0000000000000001E-4</v>
      </c>
      <c r="N2981">
        <f t="shared" si="138"/>
        <v>4.167621832917856E-5</v>
      </c>
      <c r="O2981">
        <f>VLOOKUP(K2981,RatingLookup!$A$2:$C$8,3,FALSE)</f>
        <v>0.25</v>
      </c>
      <c r="P2981">
        <f t="shared" si="139"/>
        <v>2.2297818711568759E-3</v>
      </c>
      <c r="Q2981" t="str">
        <f t="shared" ca="1" si="140"/>
        <v>No</v>
      </c>
    </row>
    <row r="2982" spans="1:17" x14ac:dyDescent="0.45">
      <c r="A2982" t="s">
        <v>134</v>
      </c>
      <c r="B2982" t="s">
        <v>135</v>
      </c>
      <c r="C2982" t="s">
        <v>29</v>
      </c>
      <c r="D2982" t="s">
        <v>20</v>
      </c>
      <c r="E2982" t="s">
        <v>21</v>
      </c>
      <c r="F2982" s="1">
        <v>45047</v>
      </c>
      <c r="G2982">
        <v>5.0199999999999996</v>
      </c>
      <c r="H2982">
        <v>81.515600000000006</v>
      </c>
      <c r="I2982">
        <v>14.81</v>
      </c>
      <c r="J2982">
        <v>93.03</v>
      </c>
      <c r="K2982" t="s">
        <v>48</v>
      </c>
      <c r="L2982">
        <v>219.65</v>
      </c>
      <c r="M2982">
        <f>VLOOKUP(K2982,RatingLookup!$A$2:$C$8,2,FALSE)</f>
        <v>5.0000000000000001E-4</v>
      </c>
      <c r="N2982">
        <f t="shared" si="138"/>
        <v>4.167621832917856E-5</v>
      </c>
      <c r="O2982">
        <f>VLOOKUP(K2982,RatingLookup!$A$2:$C$8,3,FALSE)</f>
        <v>0.25</v>
      </c>
      <c r="P2982">
        <f t="shared" si="139"/>
        <v>2.2885453390010177E-3</v>
      </c>
      <c r="Q2982" t="str">
        <f t="shared" ca="1" si="140"/>
        <v>No</v>
      </c>
    </row>
    <row r="2983" spans="1:17" x14ac:dyDescent="0.45">
      <c r="A2983" t="s">
        <v>134</v>
      </c>
      <c r="B2983" t="s">
        <v>135</v>
      </c>
      <c r="C2983" t="s">
        <v>29</v>
      </c>
      <c r="D2983" t="s">
        <v>20</v>
      </c>
      <c r="E2983" t="s">
        <v>21</v>
      </c>
      <c r="F2983" s="1">
        <v>45078</v>
      </c>
      <c r="G2983">
        <v>5.59</v>
      </c>
      <c r="H2983">
        <v>81.893500000000003</v>
      </c>
      <c r="I2983">
        <v>15.97</v>
      </c>
      <c r="J2983">
        <v>85.53</v>
      </c>
      <c r="K2983" t="s">
        <v>48</v>
      </c>
      <c r="L2983">
        <v>226.57</v>
      </c>
      <c r="M2983">
        <f>VLOOKUP(K2983,RatingLookup!$A$2:$C$8,2,FALSE)</f>
        <v>5.0000000000000001E-4</v>
      </c>
      <c r="N2983">
        <f t="shared" si="138"/>
        <v>4.167621832917856E-5</v>
      </c>
      <c r="O2983">
        <f>VLOOKUP(K2983,RatingLookup!$A$2:$C$8,3,FALSE)</f>
        <v>0.25</v>
      </c>
      <c r="P2983">
        <f t="shared" si="139"/>
        <v>2.3606451967104966E-3</v>
      </c>
      <c r="Q2983" t="str">
        <f t="shared" ca="1" si="140"/>
        <v>No</v>
      </c>
    </row>
    <row r="2984" spans="1:17" x14ac:dyDescent="0.45">
      <c r="A2984" t="s">
        <v>134</v>
      </c>
      <c r="B2984" t="s">
        <v>135</v>
      </c>
      <c r="C2984" t="s">
        <v>29</v>
      </c>
      <c r="D2984" t="s">
        <v>20</v>
      </c>
      <c r="E2984" t="s">
        <v>21</v>
      </c>
      <c r="F2984" s="1">
        <v>45108</v>
      </c>
      <c r="G2984">
        <v>5.14</v>
      </c>
      <c r="H2984">
        <v>79.4392</v>
      </c>
      <c r="I2984">
        <v>13.3</v>
      </c>
      <c r="J2984">
        <v>65.98</v>
      </c>
      <c r="K2984" t="s">
        <v>48</v>
      </c>
      <c r="L2984">
        <v>237.81</v>
      </c>
      <c r="M2984">
        <f>VLOOKUP(K2984,RatingLookup!$A$2:$C$8,2,FALSE)</f>
        <v>5.0000000000000001E-4</v>
      </c>
      <c r="N2984">
        <f t="shared" si="138"/>
        <v>4.167621832917856E-5</v>
      </c>
      <c r="O2984">
        <f>VLOOKUP(K2984,RatingLookup!$A$2:$C$8,3,FALSE)</f>
        <v>0.25</v>
      </c>
      <c r="P2984">
        <f t="shared" si="139"/>
        <v>2.4777553702154884E-3</v>
      </c>
      <c r="Q2984" t="str">
        <f t="shared" ca="1" si="140"/>
        <v>No</v>
      </c>
    </row>
    <row r="2985" spans="1:17" x14ac:dyDescent="0.45">
      <c r="A2985" t="s">
        <v>134</v>
      </c>
      <c r="B2985" t="s">
        <v>135</v>
      </c>
      <c r="C2985" t="s">
        <v>29</v>
      </c>
      <c r="D2985" t="s">
        <v>20</v>
      </c>
      <c r="E2985" t="s">
        <v>21</v>
      </c>
      <c r="F2985" s="1">
        <v>45139</v>
      </c>
      <c r="G2985">
        <v>6.19</v>
      </c>
      <c r="H2985">
        <v>86.614400000000003</v>
      </c>
      <c r="I2985">
        <v>14.8</v>
      </c>
      <c r="J2985">
        <v>85.46</v>
      </c>
      <c r="K2985" t="s">
        <v>82</v>
      </c>
      <c r="L2985">
        <v>229.44</v>
      </c>
      <c r="M2985">
        <f>VLOOKUP(K2985,RatingLookup!$A$2:$C$8,2,FALSE)</f>
        <v>1E-4</v>
      </c>
      <c r="N2985">
        <f t="shared" si="138"/>
        <v>8.3337153021778576E-6</v>
      </c>
      <c r="O2985">
        <f>VLOOKUP(K2985,RatingLookup!$A$2:$C$8,3,FALSE)</f>
        <v>0.2</v>
      </c>
      <c r="P2985">
        <f t="shared" si="139"/>
        <v>3.8241752778633755E-4</v>
      </c>
      <c r="Q2985" t="str">
        <f t="shared" ca="1" si="140"/>
        <v>No</v>
      </c>
    </row>
    <row r="2986" spans="1:17" x14ac:dyDescent="0.45">
      <c r="A2986" t="s">
        <v>134</v>
      </c>
      <c r="B2986" t="s">
        <v>135</v>
      </c>
      <c r="C2986" t="s">
        <v>29</v>
      </c>
      <c r="D2986" t="s">
        <v>20</v>
      </c>
      <c r="E2986" t="s">
        <v>21</v>
      </c>
      <c r="F2986" s="1">
        <v>45170</v>
      </c>
      <c r="G2986">
        <v>4.67</v>
      </c>
      <c r="H2986">
        <v>85.898099999999999</v>
      </c>
      <c r="I2986">
        <v>19.489999999999998</v>
      </c>
      <c r="J2986">
        <v>74.069999999999993</v>
      </c>
      <c r="K2986" t="s">
        <v>82</v>
      </c>
      <c r="L2986">
        <v>207.54</v>
      </c>
      <c r="M2986">
        <f>VLOOKUP(K2986,RatingLookup!$A$2:$C$8,2,FALSE)</f>
        <v>1E-4</v>
      </c>
      <c r="N2986">
        <f t="shared" si="138"/>
        <v>8.3337153021778576E-6</v>
      </c>
      <c r="O2986">
        <f>VLOOKUP(K2986,RatingLookup!$A$2:$C$8,3,FALSE)</f>
        <v>0.2</v>
      </c>
      <c r="P2986">
        <f t="shared" si="139"/>
        <v>3.4591585476279854E-4</v>
      </c>
      <c r="Q2986" t="str">
        <f t="shared" ca="1" si="140"/>
        <v>No</v>
      </c>
    </row>
    <row r="2987" spans="1:17" x14ac:dyDescent="0.45">
      <c r="A2987" t="s">
        <v>134</v>
      </c>
      <c r="B2987" t="s">
        <v>135</v>
      </c>
      <c r="C2987" t="s">
        <v>29</v>
      </c>
      <c r="D2987" t="s">
        <v>20</v>
      </c>
      <c r="E2987" t="s">
        <v>21</v>
      </c>
      <c r="F2987" s="1">
        <v>45200</v>
      </c>
      <c r="G2987">
        <v>4.74</v>
      </c>
      <c r="H2987">
        <v>82.628699999999995</v>
      </c>
      <c r="I2987">
        <v>10.87</v>
      </c>
      <c r="J2987">
        <v>85.83</v>
      </c>
      <c r="K2987" t="s">
        <v>82</v>
      </c>
      <c r="L2987">
        <v>221.13</v>
      </c>
      <c r="M2987">
        <f>VLOOKUP(K2987,RatingLookup!$A$2:$C$8,2,FALSE)</f>
        <v>1E-4</v>
      </c>
      <c r="N2987">
        <f t="shared" si="138"/>
        <v>8.3337153021778576E-6</v>
      </c>
      <c r="O2987">
        <f>VLOOKUP(K2987,RatingLookup!$A$2:$C$8,3,FALSE)</f>
        <v>0.2</v>
      </c>
      <c r="P2987">
        <f t="shared" si="139"/>
        <v>3.6856689295411795E-4</v>
      </c>
      <c r="Q2987" t="str">
        <f t="shared" ca="1" si="140"/>
        <v>No</v>
      </c>
    </row>
    <row r="2988" spans="1:17" x14ac:dyDescent="0.45">
      <c r="A2988" t="s">
        <v>134</v>
      </c>
      <c r="B2988" t="s">
        <v>135</v>
      </c>
      <c r="C2988" t="s">
        <v>29</v>
      </c>
      <c r="D2988" t="s">
        <v>20</v>
      </c>
      <c r="E2988" t="s">
        <v>21</v>
      </c>
      <c r="F2988" s="1">
        <v>45231</v>
      </c>
      <c r="G2988">
        <v>4.5599999999999996</v>
      </c>
      <c r="H2988">
        <v>81.262600000000006</v>
      </c>
      <c r="I2988">
        <v>12.54</v>
      </c>
      <c r="J2988">
        <v>67.36</v>
      </c>
      <c r="K2988" t="s">
        <v>82</v>
      </c>
      <c r="L2988">
        <v>202.02</v>
      </c>
      <c r="M2988">
        <f>VLOOKUP(K2988,RatingLookup!$A$2:$C$8,2,FALSE)</f>
        <v>1E-4</v>
      </c>
      <c r="N2988">
        <f t="shared" si="138"/>
        <v>8.3337153021778576E-6</v>
      </c>
      <c r="O2988">
        <f>VLOOKUP(K2988,RatingLookup!$A$2:$C$8,3,FALSE)</f>
        <v>0.2</v>
      </c>
      <c r="P2988">
        <f t="shared" si="139"/>
        <v>3.3671543306919424E-4</v>
      </c>
      <c r="Q2988" t="str">
        <f t="shared" ca="1" si="140"/>
        <v>No</v>
      </c>
    </row>
    <row r="2989" spans="1:17" x14ac:dyDescent="0.45">
      <c r="A2989" t="s">
        <v>134</v>
      </c>
      <c r="B2989" t="s">
        <v>135</v>
      </c>
      <c r="C2989" t="s">
        <v>29</v>
      </c>
      <c r="D2989" t="s">
        <v>20</v>
      </c>
      <c r="E2989" t="s">
        <v>21</v>
      </c>
      <c r="F2989" s="1">
        <v>45261</v>
      </c>
      <c r="G2989">
        <v>5.56</v>
      </c>
      <c r="H2989">
        <v>85.421400000000006</v>
      </c>
      <c r="I2989">
        <v>28.73</v>
      </c>
      <c r="J2989">
        <v>86.86</v>
      </c>
      <c r="K2989" t="s">
        <v>82</v>
      </c>
      <c r="L2989">
        <v>219.48</v>
      </c>
      <c r="M2989">
        <f>VLOOKUP(K2989,RatingLookup!$A$2:$C$8,2,FALSE)</f>
        <v>1E-4</v>
      </c>
      <c r="N2989">
        <f t="shared" si="138"/>
        <v>8.3337153021778576E-6</v>
      </c>
      <c r="O2989">
        <f>VLOOKUP(K2989,RatingLookup!$A$2:$C$8,3,FALSE)</f>
        <v>0.2</v>
      </c>
      <c r="P2989">
        <f t="shared" si="139"/>
        <v>3.6581676690439923E-4</v>
      </c>
      <c r="Q2989" t="str">
        <f t="shared" ca="1" si="140"/>
        <v>No</v>
      </c>
    </row>
    <row r="2990" spans="1:17" x14ac:dyDescent="0.45">
      <c r="A2990" t="s">
        <v>134</v>
      </c>
      <c r="B2990" t="s">
        <v>135</v>
      </c>
      <c r="C2990" t="s">
        <v>29</v>
      </c>
      <c r="D2990" t="s">
        <v>20</v>
      </c>
      <c r="E2990" t="s">
        <v>21</v>
      </c>
      <c r="F2990" s="1">
        <v>45292</v>
      </c>
      <c r="G2990">
        <v>5.56</v>
      </c>
      <c r="H2990">
        <v>88.559299999999993</v>
      </c>
      <c r="I2990">
        <v>10.86</v>
      </c>
      <c r="J2990">
        <v>93.42</v>
      </c>
      <c r="K2990" t="s">
        <v>48</v>
      </c>
      <c r="L2990">
        <v>208.82</v>
      </c>
      <c r="M2990">
        <f>VLOOKUP(K2990,RatingLookup!$A$2:$C$8,2,FALSE)</f>
        <v>5.0000000000000001E-4</v>
      </c>
      <c r="N2990">
        <f t="shared" si="138"/>
        <v>4.167621832917856E-5</v>
      </c>
      <c r="O2990">
        <f>VLOOKUP(K2990,RatingLookup!$A$2:$C$8,3,FALSE)</f>
        <v>0.25</v>
      </c>
      <c r="P2990">
        <f t="shared" si="139"/>
        <v>2.1757069778747667E-3</v>
      </c>
      <c r="Q2990" t="str">
        <f t="shared" ca="1" si="140"/>
        <v>No</v>
      </c>
    </row>
    <row r="2991" spans="1:17" x14ac:dyDescent="0.45">
      <c r="A2991" t="s">
        <v>134</v>
      </c>
      <c r="B2991" t="s">
        <v>135</v>
      </c>
      <c r="C2991" t="s">
        <v>29</v>
      </c>
      <c r="D2991" t="s">
        <v>20</v>
      </c>
      <c r="E2991" t="s">
        <v>21</v>
      </c>
      <c r="F2991" s="1">
        <v>45323</v>
      </c>
      <c r="G2991">
        <v>6.49</v>
      </c>
      <c r="H2991">
        <v>83.861500000000007</v>
      </c>
      <c r="I2991">
        <v>28.34</v>
      </c>
      <c r="J2991">
        <v>88.82</v>
      </c>
      <c r="K2991" t="s">
        <v>48</v>
      </c>
      <c r="L2991">
        <v>203.28</v>
      </c>
      <c r="M2991">
        <f>VLOOKUP(K2991,RatingLookup!$A$2:$C$8,2,FALSE)</f>
        <v>5.0000000000000001E-4</v>
      </c>
      <c r="N2991">
        <f t="shared" si="138"/>
        <v>4.167621832917856E-5</v>
      </c>
      <c r="O2991">
        <f>VLOOKUP(K2991,RatingLookup!$A$2:$C$8,3,FALSE)</f>
        <v>0.25</v>
      </c>
      <c r="P2991">
        <f t="shared" si="139"/>
        <v>2.1179854154888544E-3</v>
      </c>
      <c r="Q2991" t="str">
        <f t="shared" ca="1" si="140"/>
        <v>No</v>
      </c>
    </row>
    <row r="2992" spans="1:17" x14ac:dyDescent="0.45">
      <c r="A2992" t="s">
        <v>134</v>
      </c>
      <c r="B2992" t="s">
        <v>135</v>
      </c>
      <c r="C2992" t="s">
        <v>29</v>
      </c>
      <c r="D2992" t="s">
        <v>20</v>
      </c>
      <c r="E2992" t="s">
        <v>21</v>
      </c>
      <c r="F2992" s="1">
        <v>45352</v>
      </c>
      <c r="G2992">
        <v>6.4</v>
      </c>
      <c r="H2992">
        <v>85.001499999999993</v>
      </c>
      <c r="I2992">
        <v>19.91</v>
      </c>
      <c r="J2992">
        <v>75.88</v>
      </c>
      <c r="K2992" t="s">
        <v>48</v>
      </c>
      <c r="L2992">
        <v>231.8</v>
      </c>
      <c r="M2992">
        <f>VLOOKUP(K2992,RatingLookup!$A$2:$C$8,2,FALSE)</f>
        <v>5.0000000000000001E-4</v>
      </c>
      <c r="N2992">
        <f t="shared" si="138"/>
        <v>4.167621832917856E-5</v>
      </c>
      <c r="O2992">
        <f>VLOOKUP(K2992,RatingLookup!$A$2:$C$8,3,FALSE)</f>
        <v>0.25</v>
      </c>
      <c r="P2992">
        <f t="shared" si="139"/>
        <v>2.4151368521758976E-3</v>
      </c>
      <c r="Q2992" t="str">
        <f t="shared" ca="1" si="140"/>
        <v>No</v>
      </c>
    </row>
    <row r="2993" spans="1:17" x14ac:dyDescent="0.45">
      <c r="A2993" t="s">
        <v>134</v>
      </c>
      <c r="B2993" t="s">
        <v>135</v>
      </c>
      <c r="C2993" t="s">
        <v>29</v>
      </c>
      <c r="D2993" t="s">
        <v>20</v>
      </c>
      <c r="E2993" t="s">
        <v>21</v>
      </c>
      <c r="F2993" s="1">
        <v>45383</v>
      </c>
      <c r="G2993">
        <v>4.93</v>
      </c>
      <c r="H2993">
        <v>83.723299999999995</v>
      </c>
      <c r="I2993">
        <v>18.28</v>
      </c>
      <c r="J2993">
        <v>71.930000000000007</v>
      </c>
      <c r="K2993" t="s">
        <v>48</v>
      </c>
      <c r="L2993">
        <v>235.3</v>
      </c>
      <c r="M2993">
        <f>VLOOKUP(K2993,RatingLookup!$A$2:$C$8,2,FALSE)</f>
        <v>5.0000000000000001E-4</v>
      </c>
      <c r="N2993">
        <f t="shared" si="138"/>
        <v>4.167621832917856E-5</v>
      </c>
      <c r="O2993">
        <f>VLOOKUP(K2993,RatingLookup!$A$2:$C$8,3,FALSE)</f>
        <v>0.25</v>
      </c>
      <c r="P2993">
        <f t="shared" si="139"/>
        <v>2.4516035432139288E-3</v>
      </c>
      <c r="Q2993" t="str">
        <f t="shared" ca="1" si="140"/>
        <v>No</v>
      </c>
    </row>
    <row r="2994" spans="1:17" x14ac:dyDescent="0.45">
      <c r="A2994" t="s">
        <v>134</v>
      </c>
      <c r="B2994" t="s">
        <v>135</v>
      </c>
      <c r="C2994" t="s">
        <v>29</v>
      </c>
      <c r="D2994" t="s">
        <v>20</v>
      </c>
      <c r="E2994" t="s">
        <v>21</v>
      </c>
      <c r="F2994" s="1">
        <v>45413</v>
      </c>
      <c r="G2994">
        <v>4.57</v>
      </c>
      <c r="H2994">
        <v>84.774799999999999</v>
      </c>
      <c r="I2994">
        <v>14.69</v>
      </c>
      <c r="J2994">
        <v>86.38</v>
      </c>
      <c r="K2994" t="s">
        <v>23</v>
      </c>
      <c r="L2994">
        <v>220.08</v>
      </c>
      <c r="M2994">
        <f>VLOOKUP(K2994,RatingLookup!$A$2:$C$8,2,FALSE)</f>
        <v>1E-3</v>
      </c>
      <c r="N2994">
        <f t="shared" si="138"/>
        <v>8.3371552197619714E-5</v>
      </c>
      <c r="O2994">
        <f>VLOOKUP(K2994,RatingLookup!$A$2:$C$8,3,FALSE)</f>
        <v>0.3</v>
      </c>
      <c r="P2994">
        <f t="shared" si="139"/>
        <v>5.5045233622956439E-3</v>
      </c>
      <c r="Q2994" t="str">
        <f t="shared" ca="1" si="140"/>
        <v>No</v>
      </c>
    </row>
    <row r="2995" spans="1:17" x14ac:dyDescent="0.45">
      <c r="A2995" t="s">
        <v>134</v>
      </c>
      <c r="B2995" t="s">
        <v>135</v>
      </c>
      <c r="C2995" t="s">
        <v>29</v>
      </c>
      <c r="D2995" t="s">
        <v>20</v>
      </c>
      <c r="E2995" t="s">
        <v>21</v>
      </c>
      <c r="F2995" s="1">
        <v>45444</v>
      </c>
      <c r="G2995">
        <v>5.93</v>
      </c>
      <c r="H2995">
        <v>81.963099999999997</v>
      </c>
      <c r="I2995">
        <v>26.22</v>
      </c>
      <c r="J2995">
        <v>80.819999999999993</v>
      </c>
      <c r="K2995" t="s">
        <v>23</v>
      </c>
      <c r="L2995">
        <v>222.73</v>
      </c>
      <c r="M2995">
        <f>VLOOKUP(K2995,RatingLookup!$A$2:$C$8,2,FALSE)</f>
        <v>1E-3</v>
      </c>
      <c r="N2995">
        <f t="shared" si="138"/>
        <v>8.3371552197619714E-5</v>
      </c>
      <c r="O2995">
        <f>VLOOKUP(K2995,RatingLookup!$A$2:$C$8,3,FALSE)</f>
        <v>0.3</v>
      </c>
      <c r="P2995">
        <f t="shared" si="139"/>
        <v>5.5708037462927507E-3</v>
      </c>
      <c r="Q2995" t="str">
        <f t="shared" ca="1" si="140"/>
        <v>No</v>
      </c>
    </row>
    <row r="2996" spans="1:17" x14ac:dyDescent="0.45">
      <c r="A2996" t="s">
        <v>134</v>
      </c>
      <c r="B2996" t="s">
        <v>135</v>
      </c>
      <c r="C2996" t="s">
        <v>29</v>
      </c>
      <c r="D2996" t="s">
        <v>20</v>
      </c>
      <c r="E2996" t="s">
        <v>21</v>
      </c>
      <c r="F2996" s="1">
        <v>45474</v>
      </c>
      <c r="G2996">
        <v>5</v>
      </c>
      <c r="H2996">
        <v>82.568799999999996</v>
      </c>
      <c r="I2996">
        <v>8.5</v>
      </c>
      <c r="J2996">
        <v>89.12</v>
      </c>
      <c r="K2996" t="s">
        <v>23</v>
      </c>
      <c r="L2996">
        <v>228.26</v>
      </c>
      <c r="M2996">
        <f>VLOOKUP(K2996,RatingLookup!$A$2:$C$8,2,FALSE)</f>
        <v>1E-3</v>
      </c>
      <c r="N2996">
        <f t="shared" si="138"/>
        <v>8.3371552197619714E-5</v>
      </c>
      <c r="O2996">
        <f>VLOOKUP(K2996,RatingLookup!$A$2:$C$8,3,FALSE)</f>
        <v>0.3</v>
      </c>
      <c r="P2996">
        <f t="shared" si="139"/>
        <v>5.7091171513886027E-3</v>
      </c>
      <c r="Q2996" t="str">
        <f t="shared" ca="1" si="140"/>
        <v>No</v>
      </c>
    </row>
    <row r="2997" spans="1:17" x14ac:dyDescent="0.45">
      <c r="A2997" t="s">
        <v>134</v>
      </c>
      <c r="B2997" t="s">
        <v>135</v>
      </c>
      <c r="C2997" t="s">
        <v>29</v>
      </c>
      <c r="D2997" t="s">
        <v>20</v>
      </c>
      <c r="E2997" t="s">
        <v>21</v>
      </c>
      <c r="F2997" s="1">
        <v>45505</v>
      </c>
      <c r="G2997">
        <v>5.9</v>
      </c>
      <c r="H2997">
        <v>83.519000000000005</v>
      </c>
      <c r="I2997">
        <v>6.39</v>
      </c>
      <c r="J2997">
        <v>87.06</v>
      </c>
      <c r="K2997" t="s">
        <v>23</v>
      </c>
      <c r="L2997">
        <v>224.86</v>
      </c>
      <c r="M2997">
        <f>VLOOKUP(K2997,RatingLookup!$A$2:$C$8,2,FALSE)</f>
        <v>1E-3</v>
      </c>
      <c r="N2997">
        <f t="shared" si="138"/>
        <v>8.3371552197619714E-5</v>
      </c>
      <c r="O2997">
        <f>VLOOKUP(K2997,RatingLookup!$A$2:$C$8,3,FALSE)</f>
        <v>0.3</v>
      </c>
      <c r="P2997">
        <f t="shared" si="139"/>
        <v>5.6240781681470304E-3</v>
      </c>
      <c r="Q2997" t="str">
        <f t="shared" ca="1" si="140"/>
        <v>No</v>
      </c>
    </row>
    <row r="2998" spans="1:17" x14ac:dyDescent="0.45">
      <c r="A2998" t="s">
        <v>134</v>
      </c>
      <c r="B2998" t="s">
        <v>135</v>
      </c>
      <c r="C2998" t="s">
        <v>29</v>
      </c>
      <c r="D2998" t="s">
        <v>20</v>
      </c>
      <c r="E2998" t="s">
        <v>21</v>
      </c>
      <c r="F2998" s="1">
        <v>45536</v>
      </c>
      <c r="G2998">
        <v>5.77</v>
      </c>
      <c r="H2998">
        <v>80.837199999999996</v>
      </c>
      <c r="I2998">
        <v>18.850000000000001</v>
      </c>
      <c r="J2998">
        <v>76.27</v>
      </c>
      <c r="K2998" t="s">
        <v>23</v>
      </c>
      <c r="L2998">
        <v>207.13</v>
      </c>
      <c r="M2998">
        <f>VLOOKUP(K2998,RatingLookup!$A$2:$C$8,2,FALSE)</f>
        <v>1E-3</v>
      </c>
      <c r="N2998">
        <f t="shared" si="138"/>
        <v>8.3371552197619714E-5</v>
      </c>
      <c r="O2998">
        <f>VLOOKUP(K2998,RatingLookup!$A$2:$C$8,3,FALSE)</f>
        <v>0.3</v>
      </c>
      <c r="P2998">
        <f t="shared" si="139"/>
        <v>5.1806248820078912E-3</v>
      </c>
      <c r="Q2998" t="str">
        <f t="shared" ca="1" si="140"/>
        <v>No</v>
      </c>
    </row>
    <row r="2999" spans="1:17" x14ac:dyDescent="0.45">
      <c r="A2999" t="s">
        <v>134</v>
      </c>
      <c r="B2999" t="s">
        <v>135</v>
      </c>
      <c r="C2999" t="s">
        <v>29</v>
      </c>
      <c r="D2999" t="s">
        <v>20</v>
      </c>
      <c r="E2999" t="s">
        <v>21</v>
      </c>
      <c r="F2999" s="1">
        <v>45566</v>
      </c>
      <c r="G2999">
        <v>5.87</v>
      </c>
      <c r="H2999">
        <v>83.162499999999994</v>
      </c>
      <c r="I2999">
        <v>22.05</v>
      </c>
      <c r="J2999">
        <v>64.56</v>
      </c>
      <c r="K2999" t="s">
        <v>23</v>
      </c>
      <c r="L2999">
        <v>231.93</v>
      </c>
      <c r="M2999">
        <f>VLOOKUP(K2999,RatingLookup!$A$2:$C$8,2,FALSE)</f>
        <v>1E-3</v>
      </c>
      <c r="N2999">
        <f t="shared" si="138"/>
        <v>8.3371552197619714E-5</v>
      </c>
      <c r="O2999">
        <f>VLOOKUP(K2999,RatingLookup!$A$2:$C$8,3,FALSE)</f>
        <v>0.3</v>
      </c>
      <c r="P2999">
        <f t="shared" si="139"/>
        <v>5.8009092303581821E-3</v>
      </c>
      <c r="Q2999" t="str">
        <f t="shared" ca="1" si="140"/>
        <v>No</v>
      </c>
    </row>
    <row r="3000" spans="1:17" x14ac:dyDescent="0.45">
      <c r="A3000" t="s">
        <v>134</v>
      </c>
      <c r="B3000" t="s">
        <v>135</v>
      </c>
      <c r="C3000" t="s">
        <v>29</v>
      </c>
      <c r="D3000" t="s">
        <v>20</v>
      </c>
      <c r="E3000" t="s">
        <v>21</v>
      </c>
      <c r="F3000" s="1">
        <v>45597</v>
      </c>
      <c r="G3000">
        <v>4.83</v>
      </c>
      <c r="H3000">
        <v>85.966700000000003</v>
      </c>
      <c r="I3000">
        <v>9.25</v>
      </c>
      <c r="J3000">
        <v>83.52</v>
      </c>
      <c r="K3000" t="s">
        <v>23</v>
      </c>
      <c r="L3000">
        <v>219.19</v>
      </c>
      <c r="M3000">
        <f>VLOOKUP(K3000,RatingLookup!$A$2:$C$8,2,FALSE)</f>
        <v>1E-3</v>
      </c>
      <c r="N3000">
        <f t="shared" si="138"/>
        <v>8.3371552197619714E-5</v>
      </c>
      <c r="O3000">
        <f>VLOOKUP(K3000,RatingLookup!$A$2:$C$8,3,FALSE)</f>
        <v>0.3</v>
      </c>
      <c r="P3000">
        <f t="shared" si="139"/>
        <v>5.4822631578588799E-3</v>
      </c>
      <c r="Q3000" t="str">
        <f t="shared" ca="1" si="140"/>
        <v>No</v>
      </c>
    </row>
    <row r="3001" spans="1:17" x14ac:dyDescent="0.45">
      <c r="A3001" t="s">
        <v>134</v>
      </c>
      <c r="B3001" t="s">
        <v>135</v>
      </c>
      <c r="C3001" t="s">
        <v>29</v>
      </c>
      <c r="D3001" t="s">
        <v>20</v>
      </c>
      <c r="E3001" t="s">
        <v>21</v>
      </c>
      <c r="F3001" s="1">
        <v>45627</v>
      </c>
      <c r="G3001">
        <v>6.77</v>
      </c>
      <c r="H3001">
        <v>83.250900000000001</v>
      </c>
      <c r="I3001">
        <v>8.85</v>
      </c>
      <c r="J3001">
        <v>95.25</v>
      </c>
      <c r="K3001" t="s">
        <v>23</v>
      </c>
      <c r="L3001">
        <v>227.94</v>
      </c>
      <c r="M3001">
        <f>VLOOKUP(K3001,RatingLookup!$A$2:$C$8,2,FALSE)</f>
        <v>1E-3</v>
      </c>
      <c r="N3001">
        <f t="shared" si="138"/>
        <v>8.3371552197619714E-5</v>
      </c>
      <c r="O3001">
        <f>VLOOKUP(K3001,RatingLookup!$A$2:$C$8,3,FALSE)</f>
        <v>0.3</v>
      </c>
      <c r="P3001">
        <f t="shared" si="139"/>
        <v>5.7011134823776316E-3</v>
      </c>
      <c r="Q3001" t="str">
        <f t="shared" ca="1" si="140"/>
        <v>No</v>
      </c>
    </row>
    <row r="3002" spans="1:17" x14ac:dyDescent="0.45">
      <c r="A3002" t="s">
        <v>136</v>
      </c>
      <c r="B3002" t="s">
        <v>137</v>
      </c>
      <c r="C3002" t="s">
        <v>43</v>
      </c>
      <c r="D3002" t="s">
        <v>20</v>
      </c>
      <c r="E3002" t="s">
        <v>21</v>
      </c>
      <c r="F3002" s="1">
        <v>43831</v>
      </c>
      <c r="G3002">
        <v>5.24</v>
      </c>
      <c r="H3002">
        <v>83.102999999999994</v>
      </c>
      <c r="I3002">
        <v>13.32</v>
      </c>
      <c r="J3002">
        <v>83.16</v>
      </c>
      <c r="K3002" t="s">
        <v>30</v>
      </c>
      <c r="L3002">
        <v>1361.58</v>
      </c>
      <c r="M3002">
        <f>VLOOKUP(K3002,RatingLookup!$A$2:$C$8,2,FALSE)</f>
        <v>1.4999999999999999E-2</v>
      </c>
      <c r="N3002">
        <f t="shared" si="138"/>
        <v>1.2586770182638762E-3</v>
      </c>
      <c r="O3002">
        <f>VLOOKUP(K3002,RatingLookup!$A$2:$C$8,3,FALSE)</f>
        <v>0.5</v>
      </c>
      <c r="P3002">
        <f t="shared" si="139"/>
        <v>0.85689472726386429</v>
      </c>
      <c r="Q3002" t="str">
        <f t="shared" ca="1" si="140"/>
        <v>No</v>
      </c>
    </row>
    <row r="3003" spans="1:17" x14ac:dyDescent="0.45">
      <c r="A3003" t="s">
        <v>136</v>
      </c>
      <c r="B3003" t="s">
        <v>137</v>
      </c>
      <c r="C3003" t="s">
        <v>43</v>
      </c>
      <c r="D3003" t="s">
        <v>20</v>
      </c>
      <c r="E3003" t="s">
        <v>21</v>
      </c>
      <c r="F3003" s="1">
        <v>43862</v>
      </c>
      <c r="G3003">
        <v>5.23</v>
      </c>
      <c r="H3003">
        <v>86.307699999999997</v>
      </c>
      <c r="I3003">
        <v>16.399999999999999</v>
      </c>
      <c r="J3003">
        <v>68.650000000000006</v>
      </c>
      <c r="K3003" t="s">
        <v>31</v>
      </c>
      <c r="L3003">
        <v>1398.07</v>
      </c>
      <c r="M3003">
        <f>VLOOKUP(K3003,RatingLookup!$A$2:$C$8,2,FALSE)</f>
        <v>0.04</v>
      </c>
      <c r="N3003">
        <f t="shared" si="138"/>
        <v>3.3960531989175591E-3</v>
      </c>
      <c r="O3003">
        <f>VLOOKUP(K3003,RatingLookup!$A$2:$C$8,3,FALSE)</f>
        <v>0.6</v>
      </c>
      <c r="P3003">
        <f t="shared" si="139"/>
        <v>2.8487520574864029</v>
      </c>
      <c r="Q3003" t="str">
        <f t="shared" ca="1" si="140"/>
        <v>No</v>
      </c>
    </row>
    <row r="3004" spans="1:17" x14ac:dyDescent="0.45">
      <c r="A3004" t="s">
        <v>136</v>
      </c>
      <c r="B3004" t="s">
        <v>137</v>
      </c>
      <c r="C3004" t="s">
        <v>43</v>
      </c>
      <c r="D3004" t="s">
        <v>20</v>
      </c>
      <c r="E3004" t="s">
        <v>21</v>
      </c>
      <c r="F3004" s="1">
        <v>43891</v>
      </c>
      <c r="G3004">
        <v>5.76</v>
      </c>
      <c r="H3004">
        <v>82.112700000000004</v>
      </c>
      <c r="I3004">
        <v>11.41</v>
      </c>
      <c r="J3004">
        <v>89.52</v>
      </c>
      <c r="K3004" t="s">
        <v>31</v>
      </c>
      <c r="L3004">
        <v>1313.64</v>
      </c>
      <c r="M3004">
        <f>VLOOKUP(K3004,RatingLookup!$A$2:$C$8,2,FALSE)</f>
        <v>0.04</v>
      </c>
      <c r="N3004">
        <f t="shared" si="138"/>
        <v>3.3960531989175591E-3</v>
      </c>
      <c r="O3004">
        <f>VLOOKUP(K3004,RatingLookup!$A$2:$C$8,3,FALSE)</f>
        <v>0.6</v>
      </c>
      <c r="P3004">
        <f t="shared" si="139"/>
        <v>2.6767147945356373</v>
      </c>
      <c r="Q3004" t="str">
        <f t="shared" ca="1" si="140"/>
        <v>No</v>
      </c>
    </row>
    <row r="3005" spans="1:17" x14ac:dyDescent="0.45">
      <c r="A3005" t="s">
        <v>136</v>
      </c>
      <c r="B3005" t="s">
        <v>137</v>
      </c>
      <c r="C3005" t="s">
        <v>43</v>
      </c>
      <c r="D3005" t="s">
        <v>20</v>
      </c>
      <c r="E3005" t="s">
        <v>21</v>
      </c>
      <c r="F3005" s="1">
        <v>43922</v>
      </c>
      <c r="G3005">
        <v>5.5</v>
      </c>
      <c r="H3005">
        <v>84.106800000000007</v>
      </c>
      <c r="I3005">
        <v>26.6</v>
      </c>
      <c r="J3005">
        <v>82.14</v>
      </c>
      <c r="K3005" t="s">
        <v>30</v>
      </c>
      <c r="L3005">
        <v>1429.73</v>
      </c>
      <c r="M3005">
        <f>VLOOKUP(K3005,RatingLookup!$A$2:$C$8,2,FALSE)</f>
        <v>1.4999999999999999E-2</v>
      </c>
      <c r="N3005">
        <f t="shared" si="138"/>
        <v>1.2586770182638762E-3</v>
      </c>
      <c r="O3005">
        <f>VLOOKUP(K3005,RatingLookup!$A$2:$C$8,3,FALSE)</f>
        <v>0.5</v>
      </c>
      <c r="P3005">
        <f t="shared" si="139"/>
        <v>0.89978414666120587</v>
      </c>
      <c r="Q3005" t="str">
        <f t="shared" ca="1" si="140"/>
        <v>No</v>
      </c>
    </row>
    <row r="3006" spans="1:17" x14ac:dyDescent="0.45">
      <c r="A3006" t="s">
        <v>136</v>
      </c>
      <c r="B3006" t="s">
        <v>137</v>
      </c>
      <c r="C3006" t="s">
        <v>43</v>
      </c>
      <c r="D3006" t="s">
        <v>20</v>
      </c>
      <c r="E3006" t="s">
        <v>21</v>
      </c>
      <c r="F3006" s="1">
        <v>43952</v>
      </c>
      <c r="G3006">
        <v>5.48</v>
      </c>
      <c r="H3006">
        <v>82.195700000000002</v>
      </c>
      <c r="I3006">
        <v>22.92</v>
      </c>
      <c r="J3006">
        <v>74.33</v>
      </c>
      <c r="K3006" t="s">
        <v>32</v>
      </c>
      <c r="L3006">
        <v>1284.76</v>
      </c>
      <c r="M3006">
        <f>VLOOKUP(K3006,RatingLookup!$A$2:$C$8,2,FALSE)</f>
        <v>0.12</v>
      </c>
      <c r="N3006">
        <f t="shared" si="138"/>
        <v>1.0596241035318976E-2</v>
      </c>
      <c r="O3006">
        <f>VLOOKUP(K3006,RatingLookup!$A$2:$C$8,3,FALSE)</f>
        <v>0.7</v>
      </c>
      <c r="P3006">
        <f t="shared" si="139"/>
        <v>9.5295386427754849</v>
      </c>
      <c r="Q3006" t="str">
        <f t="shared" ca="1" si="140"/>
        <v>No</v>
      </c>
    </row>
    <row r="3007" spans="1:17" x14ac:dyDescent="0.45">
      <c r="A3007" t="s">
        <v>136</v>
      </c>
      <c r="B3007" t="s">
        <v>137</v>
      </c>
      <c r="C3007" t="s">
        <v>43</v>
      </c>
      <c r="D3007" t="s">
        <v>20</v>
      </c>
      <c r="E3007" t="s">
        <v>21</v>
      </c>
      <c r="F3007" s="1">
        <v>43983</v>
      </c>
      <c r="G3007">
        <v>6.32</v>
      </c>
      <c r="H3007">
        <v>83.909300000000002</v>
      </c>
      <c r="I3007">
        <v>22.06</v>
      </c>
      <c r="J3007">
        <v>66.86</v>
      </c>
      <c r="K3007" t="s">
        <v>32</v>
      </c>
      <c r="L3007">
        <v>1368.62</v>
      </c>
      <c r="M3007">
        <f>VLOOKUP(K3007,RatingLookup!$A$2:$C$8,2,FALSE)</f>
        <v>0.12</v>
      </c>
      <c r="N3007">
        <f t="shared" si="138"/>
        <v>1.0596241035318976E-2</v>
      </c>
      <c r="O3007">
        <f>VLOOKUP(K3007,RatingLookup!$A$2:$C$8,3,FALSE)</f>
        <v>0.7</v>
      </c>
      <c r="P3007">
        <f t="shared" si="139"/>
        <v>10.151559184030779</v>
      </c>
      <c r="Q3007" t="str">
        <f t="shared" ca="1" si="140"/>
        <v>No</v>
      </c>
    </row>
    <row r="3008" spans="1:17" x14ac:dyDescent="0.45">
      <c r="A3008" t="s">
        <v>136</v>
      </c>
      <c r="B3008" t="s">
        <v>137</v>
      </c>
      <c r="C3008" t="s">
        <v>43</v>
      </c>
      <c r="D3008" t="s">
        <v>20</v>
      </c>
      <c r="E3008" t="s">
        <v>21</v>
      </c>
      <c r="F3008" s="1">
        <v>44013</v>
      </c>
      <c r="G3008">
        <v>5.55</v>
      </c>
      <c r="H3008">
        <v>79.645899999999997</v>
      </c>
      <c r="I3008">
        <v>22.3</v>
      </c>
      <c r="J3008">
        <v>63.61</v>
      </c>
      <c r="K3008" t="s">
        <v>32</v>
      </c>
      <c r="L3008">
        <v>1156.8900000000001</v>
      </c>
      <c r="M3008">
        <f>VLOOKUP(K3008,RatingLookup!$A$2:$C$8,2,FALSE)</f>
        <v>0.12</v>
      </c>
      <c r="N3008">
        <f t="shared" si="138"/>
        <v>1.0596241035318976E-2</v>
      </c>
      <c r="O3008">
        <f>VLOOKUP(K3008,RatingLookup!$A$2:$C$8,3,FALSE)</f>
        <v>0.7</v>
      </c>
      <c r="P3008">
        <f t="shared" si="139"/>
        <v>8.5810797039451199</v>
      </c>
      <c r="Q3008" t="str">
        <f t="shared" ca="1" si="140"/>
        <v>No</v>
      </c>
    </row>
    <row r="3009" spans="1:17" x14ac:dyDescent="0.45">
      <c r="A3009" t="s">
        <v>136</v>
      </c>
      <c r="B3009" t="s">
        <v>137</v>
      </c>
      <c r="C3009" t="s">
        <v>43</v>
      </c>
      <c r="D3009" t="s">
        <v>20</v>
      </c>
      <c r="E3009" t="s">
        <v>21</v>
      </c>
      <c r="F3009" s="1">
        <v>44044</v>
      </c>
      <c r="G3009">
        <v>4.42</v>
      </c>
      <c r="H3009">
        <v>82.921999999999997</v>
      </c>
      <c r="I3009">
        <v>17.53</v>
      </c>
      <c r="J3009">
        <v>88.89</v>
      </c>
      <c r="K3009" t="s">
        <v>32</v>
      </c>
      <c r="L3009">
        <v>1337.93</v>
      </c>
      <c r="M3009">
        <f>VLOOKUP(K3009,RatingLookup!$A$2:$C$8,2,FALSE)</f>
        <v>0.12</v>
      </c>
      <c r="N3009">
        <f t="shared" si="138"/>
        <v>1.0596241035318976E-2</v>
      </c>
      <c r="O3009">
        <f>VLOOKUP(K3009,RatingLookup!$A$2:$C$8,3,FALSE)</f>
        <v>0.7</v>
      </c>
      <c r="P3009">
        <f t="shared" si="139"/>
        <v>9.9239201378690218</v>
      </c>
      <c r="Q3009" t="str">
        <f t="shared" ca="1" si="140"/>
        <v>No</v>
      </c>
    </row>
    <row r="3010" spans="1:17" x14ac:dyDescent="0.45">
      <c r="A3010" t="s">
        <v>136</v>
      </c>
      <c r="B3010" t="s">
        <v>137</v>
      </c>
      <c r="C3010" t="s">
        <v>43</v>
      </c>
      <c r="D3010" t="s">
        <v>20</v>
      </c>
      <c r="E3010" t="s">
        <v>21</v>
      </c>
      <c r="F3010" s="1">
        <v>44075</v>
      </c>
      <c r="G3010">
        <v>6.11</v>
      </c>
      <c r="H3010">
        <v>84.590800000000002</v>
      </c>
      <c r="I3010">
        <v>16.28</v>
      </c>
      <c r="J3010">
        <v>73.48</v>
      </c>
      <c r="K3010" t="s">
        <v>32</v>
      </c>
      <c r="L3010">
        <v>1250.3699999999999</v>
      </c>
      <c r="M3010">
        <f>VLOOKUP(K3010,RatingLookup!$A$2:$C$8,2,FALSE)</f>
        <v>0.12</v>
      </c>
      <c r="N3010">
        <f t="shared" ref="N3010:N3073" si="141">1-(1-M3010)^(1/12)</f>
        <v>1.0596241035318976E-2</v>
      </c>
      <c r="O3010">
        <f>VLOOKUP(K3010,RatingLookup!$A$2:$C$8,3,FALSE)</f>
        <v>0.7</v>
      </c>
      <c r="P3010">
        <f t="shared" ref="P3010:P3073" si="142">L3010*N3010*O3010</f>
        <v>9.2744553323322503</v>
      </c>
      <c r="Q3010" t="str">
        <f t="shared" ref="Q3010:Q3073" ca="1" si="143">IF(RAND()&lt;N3010,"Yes","No")</f>
        <v>No</v>
      </c>
    </row>
    <row r="3011" spans="1:17" x14ac:dyDescent="0.45">
      <c r="A3011" t="s">
        <v>136</v>
      </c>
      <c r="B3011" t="s">
        <v>137</v>
      </c>
      <c r="C3011" t="s">
        <v>43</v>
      </c>
      <c r="D3011" t="s">
        <v>20</v>
      </c>
      <c r="E3011" t="s">
        <v>21</v>
      </c>
      <c r="F3011" s="1">
        <v>44105</v>
      </c>
      <c r="G3011">
        <v>6</v>
      </c>
      <c r="H3011">
        <v>79.110900000000001</v>
      </c>
      <c r="I3011">
        <v>12.86</v>
      </c>
      <c r="J3011">
        <v>75.2</v>
      </c>
      <c r="K3011" t="s">
        <v>32</v>
      </c>
      <c r="L3011">
        <v>1310.0999999999999</v>
      </c>
      <c r="M3011">
        <f>VLOOKUP(K3011,RatingLookup!$A$2:$C$8,2,FALSE)</f>
        <v>0.12</v>
      </c>
      <c r="N3011">
        <f t="shared" si="141"/>
        <v>1.0596241035318976E-2</v>
      </c>
      <c r="O3011">
        <f>VLOOKUP(K3011,RatingLookup!$A$2:$C$8,3,FALSE)</f>
        <v>0.7</v>
      </c>
      <c r="P3011">
        <f t="shared" si="142"/>
        <v>9.7174947662599713</v>
      </c>
      <c r="Q3011" t="str">
        <f t="shared" ca="1" si="143"/>
        <v>No</v>
      </c>
    </row>
    <row r="3012" spans="1:17" x14ac:dyDescent="0.45">
      <c r="A3012" t="s">
        <v>136</v>
      </c>
      <c r="B3012" t="s">
        <v>137</v>
      </c>
      <c r="C3012" t="s">
        <v>43</v>
      </c>
      <c r="D3012" t="s">
        <v>20</v>
      </c>
      <c r="E3012" t="s">
        <v>21</v>
      </c>
      <c r="F3012" s="1">
        <v>44136</v>
      </c>
      <c r="G3012">
        <v>5.28</v>
      </c>
      <c r="H3012">
        <v>84.007599999999996</v>
      </c>
      <c r="I3012">
        <v>23.69</v>
      </c>
      <c r="J3012">
        <v>59</v>
      </c>
      <c r="K3012" t="s">
        <v>32</v>
      </c>
      <c r="L3012">
        <v>1373.8</v>
      </c>
      <c r="M3012">
        <f>VLOOKUP(K3012,RatingLookup!$A$2:$C$8,2,FALSE)</f>
        <v>0.12</v>
      </c>
      <c r="N3012">
        <f t="shared" si="141"/>
        <v>1.0596241035318976E-2</v>
      </c>
      <c r="O3012">
        <f>VLOOKUP(K3012,RatingLookup!$A$2:$C$8,3,FALSE)</f>
        <v>0.7</v>
      </c>
      <c r="P3012">
        <f t="shared" si="142"/>
        <v>10.189981154024846</v>
      </c>
      <c r="Q3012" t="str">
        <f t="shared" ca="1" si="143"/>
        <v>No</v>
      </c>
    </row>
    <row r="3013" spans="1:17" x14ac:dyDescent="0.45">
      <c r="A3013" t="s">
        <v>136</v>
      </c>
      <c r="B3013" t="s">
        <v>137</v>
      </c>
      <c r="C3013" t="s">
        <v>43</v>
      </c>
      <c r="D3013" t="s">
        <v>20</v>
      </c>
      <c r="E3013" t="s">
        <v>21</v>
      </c>
      <c r="F3013" s="1">
        <v>44166</v>
      </c>
      <c r="G3013">
        <v>5.3</v>
      </c>
      <c r="H3013">
        <v>79.733699999999999</v>
      </c>
      <c r="I3013">
        <v>22.11</v>
      </c>
      <c r="J3013">
        <v>97.41</v>
      </c>
      <c r="K3013" t="s">
        <v>32</v>
      </c>
      <c r="L3013">
        <v>1200.17</v>
      </c>
      <c r="M3013">
        <f>VLOOKUP(K3013,RatingLookup!$A$2:$C$8,2,FALSE)</f>
        <v>0.12</v>
      </c>
      <c r="N3013">
        <f t="shared" si="141"/>
        <v>1.0596241035318976E-2</v>
      </c>
      <c r="O3013">
        <f>VLOOKUP(K3013,RatingLookup!$A$2:$C$8,3,FALSE)</f>
        <v>0.7</v>
      </c>
      <c r="P3013">
        <f t="shared" si="142"/>
        <v>8.9021034223511428</v>
      </c>
      <c r="Q3013" t="str">
        <f t="shared" ca="1" si="143"/>
        <v>No</v>
      </c>
    </row>
    <row r="3014" spans="1:17" x14ac:dyDescent="0.45">
      <c r="A3014" t="s">
        <v>136</v>
      </c>
      <c r="B3014" t="s">
        <v>137</v>
      </c>
      <c r="C3014" t="s">
        <v>43</v>
      </c>
      <c r="D3014" t="s">
        <v>20</v>
      </c>
      <c r="E3014" t="s">
        <v>21</v>
      </c>
      <c r="F3014" s="1">
        <v>44197</v>
      </c>
      <c r="G3014">
        <v>5.48</v>
      </c>
      <c r="H3014">
        <v>87.423299999999998</v>
      </c>
      <c r="I3014">
        <v>6.76</v>
      </c>
      <c r="J3014">
        <v>87.32</v>
      </c>
      <c r="K3014" t="s">
        <v>32</v>
      </c>
      <c r="L3014">
        <v>1365.8</v>
      </c>
      <c r="M3014">
        <f>VLOOKUP(K3014,RatingLookup!$A$2:$C$8,2,FALSE)</f>
        <v>0.12</v>
      </c>
      <c r="N3014">
        <f t="shared" si="141"/>
        <v>1.0596241035318976E-2</v>
      </c>
      <c r="O3014">
        <f>VLOOKUP(K3014,RatingLookup!$A$2:$C$8,3,FALSE)</f>
        <v>0.7</v>
      </c>
      <c r="P3014">
        <f t="shared" si="142"/>
        <v>10.13064220422706</v>
      </c>
      <c r="Q3014" t="str">
        <f t="shared" ca="1" si="143"/>
        <v>No</v>
      </c>
    </row>
    <row r="3015" spans="1:17" x14ac:dyDescent="0.45">
      <c r="A3015" t="s">
        <v>136</v>
      </c>
      <c r="B3015" t="s">
        <v>137</v>
      </c>
      <c r="C3015" t="s">
        <v>43</v>
      </c>
      <c r="D3015" t="s">
        <v>20</v>
      </c>
      <c r="E3015" t="s">
        <v>21</v>
      </c>
      <c r="F3015" s="1">
        <v>44228</v>
      </c>
      <c r="G3015">
        <v>6.22</v>
      </c>
      <c r="H3015">
        <v>81.497299999999996</v>
      </c>
      <c r="I3015">
        <v>14.6</v>
      </c>
      <c r="J3015">
        <v>82.18</v>
      </c>
      <c r="K3015" t="s">
        <v>32</v>
      </c>
      <c r="L3015">
        <v>1299.9000000000001</v>
      </c>
      <c r="M3015">
        <f>VLOOKUP(K3015,RatingLookup!$A$2:$C$8,2,FALSE)</f>
        <v>0.12</v>
      </c>
      <c r="N3015">
        <f t="shared" si="141"/>
        <v>1.0596241035318976E-2</v>
      </c>
      <c r="O3015">
        <f>VLOOKUP(K3015,RatingLookup!$A$2:$C$8,3,FALSE)</f>
        <v>0.7</v>
      </c>
      <c r="P3015">
        <f t="shared" si="142"/>
        <v>9.6418376052677957</v>
      </c>
      <c r="Q3015" t="str">
        <f t="shared" ca="1" si="143"/>
        <v>No</v>
      </c>
    </row>
    <row r="3016" spans="1:17" x14ac:dyDescent="0.45">
      <c r="A3016" t="s">
        <v>136</v>
      </c>
      <c r="B3016" t="s">
        <v>137</v>
      </c>
      <c r="C3016" t="s">
        <v>43</v>
      </c>
      <c r="D3016" t="s">
        <v>20</v>
      </c>
      <c r="E3016" t="s">
        <v>21</v>
      </c>
      <c r="F3016" s="1">
        <v>44256</v>
      </c>
      <c r="G3016">
        <v>5.26</v>
      </c>
      <c r="H3016">
        <v>84.2226</v>
      </c>
      <c r="I3016">
        <v>18.39</v>
      </c>
      <c r="J3016">
        <v>88.49</v>
      </c>
      <c r="K3016" t="s">
        <v>32</v>
      </c>
      <c r="L3016">
        <v>1214.6300000000001</v>
      </c>
      <c r="M3016">
        <f>VLOOKUP(K3016,RatingLookup!$A$2:$C$8,2,FALSE)</f>
        <v>0.12</v>
      </c>
      <c r="N3016">
        <f t="shared" si="141"/>
        <v>1.0596241035318976E-2</v>
      </c>
      <c r="O3016">
        <f>VLOOKUP(K3016,RatingLookup!$A$2:$C$8,3,FALSE)</f>
        <v>0.7</v>
      </c>
      <c r="P3016">
        <f t="shared" si="142"/>
        <v>9.0093585741106423</v>
      </c>
      <c r="Q3016" t="str">
        <f t="shared" ca="1" si="143"/>
        <v>No</v>
      </c>
    </row>
    <row r="3017" spans="1:17" x14ac:dyDescent="0.45">
      <c r="A3017" t="s">
        <v>136</v>
      </c>
      <c r="B3017" t="s">
        <v>137</v>
      </c>
      <c r="C3017" t="s">
        <v>43</v>
      </c>
      <c r="D3017" t="s">
        <v>20</v>
      </c>
      <c r="E3017" t="s">
        <v>21</v>
      </c>
      <c r="F3017" s="1">
        <v>44287</v>
      </c>
      <c r="G3017">
        <v>5.87</v>
      </c>
      <c r="H3017">
        <v>85.389700000000005</v>
      </c>
      <c r="I3017">
        <v>9.84</v>
      </c>
      <c r="J3017">
        <v>68.84</v>
      </c>
      <c r="K3017" t="s">
        <v>32</v>
      </c>
      <c r="L3017">
        <v>1252.8900000000001</v>
      </c>
      <c r="M3017">
        <f>VLOOKUP(K3017,RatingLookup!$A$2:$C$8,2,FALSE)</f>
        <v>0.12</v>
      </c>
      <c r="N3017">
        <f t="shared" si="141"/>
        <v>1.0596241035318976E-2</v>
      </c>
      <c r="O3017">
        <f>VLOOKUP(K3017,RatingLookup!$A$2:$C$8,3,FALSE)</f>
        <v>0.7</v>
      </c>
      <c r="P3017">
        <f t="shared" si="142"/>
        <v>9.2931471015185547</v>
      </c>
      <c r="Q3017" t="str">
        <f t="shared" ca="1" si="143"/>
        <v>No</v>
      </c>
    </row>
    <row r="3018" spans="1:17" x14ac:dyDescent="0.45">
      <c r="A3018" t="s">
        <v>136</v>
      </c>
      <c r="B3018" t="s">
        <v>137</v>
      </c>
      <c r="C3018" t="s">
        <v>43</v>
      </c>
      <c r="D3018" t="s">
        <v>20</v>
      </c>
      <c r="E3018" t="s">
        <v>21</v>
      </c>
      <c r="F3018" s="1">
        <v>44317</v>
      </c>
      <c r="G3018">
        <v>5.91</v>
      </c>
      <c r="H3018">
        <v>80.667000000000002</v>
      </c>
      <c r="I3018">
        <v>24.77</v>
      </c>
      <c r="J3018">
        <v>88.35</v>
      </c>
      <c r="K3018" t="s">
        <v>32</v>
      </c>
      <c r="L3018">
        <v>1411.4</v>
      </c>
      <c r="M3018">
        <f>VLOOKUP(K3018,RatingLookup!$A$2:$C$8,2,FALSE)</f>
        <v>0.12</v>
      </c>
      <c r="N3018">
        <f t="shared" si="141"/>
        <v>1.0596241035318976E-2</v>
      </c>
      <c r="O3018">
        <f>VLOOKUP(K3018,RatingLookup!$A$2:$C$8,3,FALSE)</f>
        <v>0.7</v>
      </c>
      <c r="P3018">
        <f t="shared" si="142"/>
        <v>10.468874218074443</v>
      </c>
      <c r="Q3018" t="str">
        <f t="shared" ca="1" si="143"/>
        <v>No</v>
      </c>
    </row>
    <row r="3019" spans="1:17" x14ac:dyDescent="0.45">
      <c r="A3019" t="s">
        <v>136</v>
      </c>
      <c r="B3019" t="s">
        <v>137</v>
      </c>
      <c r="C3019" t="s">
        <v>43</v>
      </c>
      <c r="D3019" t="s">
        <v>20</v>
      </c>
      <c r="E3019" t="s">
        <v>21</v>
      </c>
      <c r="F3019" s="1">
        <v>44348</v>
      </c>
      <c r="G3019">
        <v>5.4</v>
      </c>
      <c r="H3019">
        <v>82.346999999999994</v>
      </c>
      <c r="I3019">
        <v>17.510000000000002</v>
      </c>
      <c r="J3019">
        <v>76.959999999999994</v>
      </c>
      <c r="K3019" t="s">
        <v>32</v>
      </c>
      <c r="L3019">
        <v>1270.3599999999999</v>
      </c>
      <c r="M3019">
        <f>VLOOKUP(K3019,RatingLookup!$A$2:$C$8,2,FALSE)</f>
        <v>0.12</v>
      </c>
      <c r="N3019">
        <f t="shared" si="141"/>
        <v>1.0596241035318976E-2</v>
      </c>
      <c r="O3019">
        <f>VLOOKUP(K3019,RatingLookup!$A$2:$C$8,3,FALSE)</f>
        <v>0.7</v>
      </c>
      <c r="P3019">
        <f t="shared" si="142"/>
        <v>9.4227285331394697</v>
      </c>
      <c r="Q3019" t="str">
        <f t="shared" ca="1" si="143"/>
        <v>No</v>
      </c>
    </row>
    <row r="3020" spans="1:17" x14ac:dyDescent="0.45">
      <c r="A3020" t="s">
        <v>136</v>
      </c>
      <c r="B3020" t="s">
        <v>137</v>
      </c>
      <c r="C3020" t="s">
        <v>43</v>
      </c>
      <c r="D3020" t="s">
        <v>20</v>
      </c>
      <c r="E3020" t="s">
        <v>21</v>
      </c>
      <c r="F3020" s="1">
        <v>44378</v>
      </c>
      <c r="G3020">
        <v>6.13</v>
      </c>
      <c r="H3020">
        <v>80.458299999999994</v>
      </c>
      <c r="I3020">
        <v>17.489999999999998</v>
      </c>
      <c r="J3020">
        <v>78.73</v>
      </c>
      <c r="K3020" t="s">
        <v>32</v>
      </c>
      <c r="L3020">
        <v>1329.23</v>
      </c>
      <c r="M3020">
        <f>VLOOKUP(K3020,RatingLookup!$A$2:$C$8,2,FALSE)</f>
        <v>0.12</v>
      </c>
      <c r="N3020">
        <f t="shared" si="141"/>
        <v>1.0596241035318976E-2</v>
      </c>
      <c r="O3020">
        <f>VLOOKUP(K3020,RatingLookup!$A$2:$C$8,3,FALSE)</f>
        <v>0.7</v>
      </c>
      <c r="P3020">
        <f t="shared" si="142"/>
        <v>9.8593890299639302</v>
      </c>
      <c r="Q3020" t="str">
        <f t="shared" ca="1" si="143"/>
        <v>No</v>
      </c>
    </row>
    <row r="3021" spans="1:17" x14ac:dyDescent="0.45">
      <c r="A3021" t="s">
        <v>136</v>
      </c>
      <c r="B3021" t="s">
        <v>137</v>
      </c>
      <c r="C3021" t="s">
        <v>43</v>
      </c>
      <c r="D3021" t="s">
        <v>20</v>
      </c>
      <c r="E3021" t="s">
        <v>21</v>
      </c>
      <c r="F3021" s="1">
        <v>44409</v>
      </c>
      <c r="G3021">
        <v>4.79</v>
      </c>
      <c r="H3021">
        <v>84.3857</v>
      </c>
      <c r="I3021">
        <v>17.100000000000001</v>
      </c>
      <c r="J3021">
        <v>75.88</v>
      </c>
      <c r="K3021" t="s">
        <v>32</v>
      </c>
      <c r="L3021">
        <v>1305.32</v>
      </c>
      <c r="M3021">
        <f>VLOOKUP(K3021,RatingLookup!$A$2:$C$8,2,FALSE)</f>
        <v>0.12</v>
      </c>
      <c r="N3021">
        <f t="shared" si="141"/>
        <v>1.0596241035318976E-2</v>
      </c>
      <c r="O3021">
        <f>VLOOKUP(K3021,RatingLookup!$A$2:$C$8,3,FALSE)</f>
        <v>0.7</v>
      </c>
      <c r="P3021">
        <f t="shared" si="142"/>
        <v>9.6820397437557961</v>
      </c>
      <c r="Q3021" t="str">
        <f t="shared" ca="1" si="143"/>
        <v>No</v>
      </c>
    </row>
    <row r="3022" spans="1:17" x14ac:dyDescent="0.45">
      <c r="A3022" t="s">
        <v>136</v>
      </c>
      <c r="B3022" t="s">
        <v>137</v>
      </c>
      <c r="C3022" t="s">
        <v>43</v>
      </c>
      <c r="D3022" t="s">
        <v>20</v>
      </c>
      <c r="E3022" t="s">
        <v>21</v>
      </c>
      <c r="F3022" s="1">
        <v>44440</v>
      </c>
      <c r="G3022">
        <v>5.56</v>
      </c>
      <c r="H3022">
        <v>85.323400000000007</v>
      </c>
      <c r="I3022">
        <v>13.44</v>
      </c>
      <c r="J3022">
        <v>69.47</v>
      </c>
      <c r="K3022" t="s">
        <v>32</v>
      </c>
      <c r="L3022">
        <v>1377.51</v>
      </c>
      <c r="M3022">
        <f>VLOOKUP(K3022,RatingLookup!$A$2:$C$8,2,FALSE)</f>
        <v>0.12</v>
      </c>
      <c r="N3022">
        <f t="shared" si="141"/>
        <v>1.0596241035318976E-2</v>
      </c>
      <c r="O3022">
        <f>VLOOKUP(K3022,RatingLookup!$A$2:$C$8,3,FALSE)</f>
        <v>0.7</v>
      </c>
      <c r="P3022">
        <f t="shared" si="142"/>
        <v>10.217499591993569</v>
      </c>
      <c r="Q3022" t="str">
        <f t="shared" ca="1" si="143"/>
        <v>No</v>
      </c>
    </row>
    <row r="3023" spans="1:17" x14ac:dyDescent="0.45">
      <c r="A3023" t="s">
        <v>136</v>
      </c>
      <c r="B3023" t="s">
        <v>137</v>
      </c>
      <c r="C3023" t="s">
        <v>43</v>
      </c>
      <c r="D3023" t="s">
        <v>20</v>
      </c>
      <c r="E3023" t="s">
        <v>21</v>
      </c>
      <c r="F3023" s="1">
        <v>44470</v>
      </c>
      <c r="G3023">
        <v>5.29</v>
      </c>
      <c r="H3023">
        <v>74.9602</v>
      </c>
      <c r="I3023">
        <v>7.51</v>
      </c>
      <c r="J3023">
        <v>82.9</v>
      </c>
      <c r="K3023" t="s">
        <v>32</v>
      </c>
      <c r="L3023">
        <v>1279.31</v>
      </c>
      <c r="M3023">
        <f>VLOOKUP(K3023,RatingLookup!$A$2:$C$8,2,FALSE)</f>
        <v>0.12</v>
      </c>
      <c r="N3023">
        <f t="shared" si="141"/>
        <v>1.0596241035318976E-2</v>
      </c>
      <c r="O3023">
        <f>VLOOKUP(K3023,RatingLookup!$A$2:$C$8,3,FALSE)</f>
        <v>0.7</v>
      </c>
      <c r="P3023">
        <f t="shared" si="142"/>
        <v>9.4891139832257423</v>
      </c>
      <c r="Q3023" t="str">
        <f t="shared" ca="1" si="143"/>
        <v>No</v>
      </c>
    </row>
    <row r="3024" spans="1:17" x14ac:dyDescent="0.45">
      <c r="A3024" t="s">
        <v>136</v>
      </c>
      <c r="B3024" t="s">
        <v>137</v>
      </c>
      <c r="C3024" t="s">
        <v>43</v>
      </c>
      <c r="D3024" t="s">
        <v>20</v>
      </c>
      <c r="E3024" t="s">
        <v>21</v>
      </c>
      <c r="F3024" s="1">
        <v>44501</v>
      </c>
      <c r="G3024">
        <v>5.4</v>
      </c>
      <c r="H3024">
        <v>80.796700000000001</v>
      </c>
      <c r="I3024">
        <v>16.79</v>
      </c>
      <c r="J3024">
        <v>89.12</v>
      </c>
      <c r="K3024" t="s">
        <v>32</v>
      </c>
      <c r="L3024">
        <v>1302.98</v>
      </c>
      <c r="M3024">
        <f>VLOOKUP(K3024,RatingLookup!$A$2:$C$8,2,FALSE)</f>
        <v>0.12</v>
      </c>
      <c r="N3024">
        <f t="shared" si="141"/>
        <v>1.0596241035318976E-2</v>
      </c>
      <c r="O3024">
        <f>VLOOKUP(K3024,RatingLookup!$A$2:$C$8,3,FALSE)</f>
        <v>0.7</v>
      </c>
      <c r="P3024">
        <f t="shared" si="142"/>
        <v>9.6646831009399428</v>
      </c>
      <c r="Q3024" t="str">
        <f t="shared" ca="1" si="143"/>
        <v>No</v>
      </c>
    </row>
    <row r="3025" spans="1:17" x14ac:dyDescent="0.45">
      <c r="A3025" t="s">
        <v>136</v>
      </c>
      <c r="B3025" t="s">
        <v>137</v>
      </c>
      <c r="C3025" t="s">
        <v>43</v>
      </c>
      <c r="D3025" t="s">
        <v>20</v>
      </c>
      <c r="E3025" t="s">
        <v>21</v>
      </c>
      <c r="F3025" s="1">
        <v>44531</v>
      </c>
      <c r="G3025">
        <v>6.14</v>
      </c>
      <c r="H3025">
        <v>83.273799999999994</v>
      </c>
      <c r="I3025">
        <v>21.62</v>
      </c>
      <c r="J3025">
        <v>68.83</v>
      </c>
      <c r="K3025" t="s">
        <v>32</v>
      </c>
      <c r="L3025">
        <v>1292.0899999999999</v>
      </c>
      <c r="M3025">
        <f>VLOOKUP(K3025,RatingLookup!$A$2:$C$8,2,FALSE)</f>
        <v>0.12</v>
      </c>
      <c r="N3025">
        <f t="shared" si="141"/>
        <v>1.0596241035318976E-2</v>
      </c>
      <c r="O3025">
        <f>VLOOKUP(K3025,RatingLookup!$A$2:$C$8,3,FALSE)</f>
        <v>0.7</v>
      </c>
      <c r="P3025">
        <f t="shared" si="142"/>
        <v>9.5839079555277067</v>
      </c>
      <c r="Q3025" t="str">
        <f t="shared" ca="1" si="143"/>
        <v>No</v>
      </c>
    </row>
    <row r="3026" spans="1:17" x14ac:dyDescent="0.45">
      <c r="A3026" t="s">
        <v>136</v>
      </c>
      <c r="B3026" t="s">
        <v>137</v>
      </c>
      <c r="C3026" t="s">
        <v>43</v>
      </c>
      <c r="D3026" t="s">
        <v>20</v>
      </c>
      <c r="E3026" t="s">
        <v>21</v>
      </c>
      <c r="F3026" s="1">
        <v>44562</v>
      </c>
      <c r="G3026">
        <v>4.47</v>
      </c>
      <c r="H3026">
        <v>83.9452</v>
      </c>
      <c r="I3026">
        <v>13.84</v>
      </c>
      <c r="J3026">
        <v>66.05</v>
      </c>
      <c r="K3026" t="s">
        <v>32</v>
      </c>
      <c r="L3026">
        <v>1273.71</v>
      </c>
      <c r="M3026">
        <f>VLOOKUP(K3026,RatingLookup!$A$2:$C$8,2,FALSE)</f>
        <v>0.12</v>
      </c>
      <c r="N3026">
        <f t="shared" si="141"/>
        <v>1.0596241035318976E-2</v>
      </c>
      <c r="O3026">
        <f>VLOOKUP(K3026,RatingLookup!$A$2:$C$8,3,FALSE)</f>
        <v>0.7</v>
      </c>
      <c r="P3026">
        <f t="shared" si="142"/>
        <v>9.4475767183672925</v>
      </c>
      <c r="Q3026" t="str">
        <f t="shared" ca="1" si="143"/>
        <v>No</v>
      </c>
    </row>
    <row r="3027" spans="1:17" x14ac:dyDescent="0.45">
      <c r="A3027" t="s">
        <v>136</v>
      </c>
      <c r="B3027" t="s">
        <v>137</v>
      </c>
      <c r="C3027" t="s">
        <v>43</v>
      </c>
      <c r="D3027" t="s">
        <v>20</v>
      </c>
      <c r="E3027" t="s">
        <v>21</v>
      </c>
      <c r="F3027" s="1">
        <v>44593</v>
      </c>
      <c r="G3027">
        <v>6.27</v>
      </c>
      <c r="H3027">
        <v>80.139099999999999</v>
      </c>
      <c r="I3027">
        <v>19.239999999999998</v>
      </c>
      <c r="J3027">
        <v>61.33</v>
      </c>
      <c r="K3027" t="s">
        <v>32</v>
      </c>
      <c r="L3027">
        <v>1339.91</v>
      </c>
      <c r="M3027">
        <f>VLOOKUP(K3027,RatingLookup!$A$2:$C$8,2,FALSE)</f>
        <v>0.12</v>
      </c>
      <c r="N3027">
        <f t="shared" si="141"/>
        <v>1.0596241035318976E-2</v>
      </c>
      <c r="O3027">
        <f>VLOOKUP(K3027,RatingLookup!$A$2:$C$8,3,FALSE)</f>
        <v>0.7</v>
      </c>
      <c r="P3027">
        <f t="shared" si="142"/>
        <v>9.9386065279439748</v>
      </c>
      <c r="Q3027" t="str">
        <f t="shared" ca="1" si="143"/>
        <v>No</v>
      </c>
    </row>
    <row r="3028" spans="1:17" x14ac:dyDescent="0.45">
      <c r="A3028" t="s">
        <v>136</v>
      </c>
      <c r="B3028" t="s">
        <v>137</v>
      </c>
      <c r="C3028" t="s">
        <v>43</v>
      </c>
      <c r="D3028" t="s">
        <v>20</v>
      </c>
      <c r="E3028" t="s">
        <v>21</v>
      </c>
      <c r="F3028" s="1">
        <v>44621</v>
      </c>
      <c r="G3028">
        <v>5.99</v>
      </c>
      <c r="H3028">
        <v>81.264399999999995</v>
      </c>
      <c r="I3028">
        <v>10.46</v>
      </c>
      <c r="J3028">
        <v>76.69</v>
      </c>
      <c r="K3028" t="s">
        <v>32</v>
      </c>
      <c r="L3028">
        <v>1260.32</v>
      </c>
      <c r="M3028">
        <f>VLOOKUP(K3028,RatingLookup!$A$2:$C$8,2,FALSE)</f>
        <v>0.12</v>
      </c>
      <c r="N3028">
        <f t="shared" si="141"/>
        <v>1.0596241035318976E-2</v>
      </c>
      <c r="O3028">
        <f>VLOOKUP(K3028,RatingLookup!$A$2:$C$8,3,FALSE)</f>
        <v>0.7</v>
      </c>
      <c r="P3028">
        <f t="shared" si="142"/>
        <v>9.3482581511432468</v>
      </c>
      <c r="Q3028" t="str">
        <f t="shared" ca="1" si="143"/>
        <v>No</v>
      </c>
    </row>
    <row r="3029" spans="1:17" x14ac:dyDescent="0.45">
      <c r="A3029" t="s">
        <v>136</v>
      </c>
      <c r="B3029" t="s">
        <v>137</v>
      </c>
      <c r="C3029" t="s">
        <v>43</v>
      </c>
      <c r="D3029" t="s">
        <v>20</v>
      </c>
      <c r="E3029" t="s">
        <v>21</v>
      </c>
      <c r="F3029" s="1">
        <v>44652</v>
      </c>
      <c r="G3029">
        <v>6.23</v>
      </c>
      <c r="H3029">
        <v>82.593900000000005</v>
      </c>
      <c r="I3029">
        <v>17.23</v>
      </c>
      <c r="J3029">
        <v>75.459999999999994</v>
      </c>
      <c r="K3029" t="s">
        <v>32</v>
      </c>
      <c r="L3029">
        <v>1185.3599999999999</v>
      </c>
      <c r="M3029">
        <f>VLOOKUP(K3029,RatingLookup!$A$2:$C$8,2,FALSE)</f>
        <v>0.12</v>
      </c>
      <c r="N3029">
        <f t="shared" si="141"/>
        <v>1.0596241035318976E-2</v>
      </c>
      <c r="O3029">
        <f>VLOOKUP(K3029,RatingLookup!$A$2:$C$8,3,FALSE)</f>
        <v>0.7</v>
      </c>
      <c r="P3029">
        <f t="shared" si="142"/>
        <v>8.7922521915379903</v>
      </c>
      <c r="Q3029" t="str">
        <f t="shared" ca="1" si="143"/>
        <v>No</v>
      </c>
    </row>
    <row r="3030" spans="1:17" x14ac:dyDescent="0.45">
      <c r="A3030" t="s">
        <v>136</v>
      </c>
      <c r="B3030" t="s">
        <v>137</v>
      </c>
      <c r="C3030" t="s">
        <v>43</v>
      </c>
      <c r="D3030" t="s">
        <v>20</v>
      </c>
      <c r="E3030" t="s">
        <v>21</v>
      </c>
      <c r="F3030" s="1">
        <v>44682</v>
      </c>
      <c r="G3030">
        <v>5.45</v>
      </c>
      <c r="H3030">
        <v>82.690399999999997</v>
      </c>
      <c r="I3030">
        <v>15.65</v>
      </c>
      <c r="J3030">
        <v>87.13</v>
      </c>
      <c r="K3030" t="s">
        <v>32</v>
      </c>
      <c r="L3030">
        <v>1222.96</v>
      </c>
      <c r="M3030">
        <f>VLOOKUP(K3030,RatingLookup!$A$2:$C$8,2,FALSE)</f>
        <v>0.12</v>
      </c>
      <c r="N3030">
        <f t="shared" si="141"/>
        <v>1.0596241035318976E-2</v>
      </c>
      <c r="O3030">
        <f>VLOOKUP(K3030,RatingLookup!$A$2:$C$8,3,FALSE)</f>
        <v>0.7</v>
      </c>
      <c r="P3030">
        <f t="shared" si="142"/>
        <v>9.0711452555875862</v>
      </c>
      <c r="Q3030" t="str">
        <f t="shared" ca="1" si="143"/>
        <v>No</v>
      </c>
    </row>
    <row r="3031" spans="1:17" x14ac:dyDescent="0.45">
      <c r="A3031" t="s">
        <v>136</v>
      </c>
      <c r="B3031" t="s">
        <v>137</v>
      </c>
      <c r="C3031" t="s">
        <v>43</v>
      </c>
      <c r="D3031" t="s">
        <v>20</v>
      </c>
      <c r="E3031" t="s">
        <v>21</v>
      </c>
      <c r="F3031" s="1">
        <v>44713</v>
      </c>
      <c r="G3031">
        <v>5.2</v>
      </c>
      <c r="H3031">
        <v>82.657700000000006</v>
      </c>
      <c r="I3031">
        <v>18.48</v>
      </c>
      <c r="J3031">
        <v>86.61</v>
      </c>
      <c r="K3031" t="s">
        <v>32</v>
      </c>
      <c r="L3031">
        <v>1256.5999999999999</v>
      </c>
      <c r="M3031">
        <f>VLOOKUP(K3031,RatingLookup!$A$2:$C$8,2,FALSE)</f>
        <v>0.12</v>
      </c>
      <c r="N3031">
        <f t="shared" si="141"/>
        <v>1.0596241035318976E-2</v>
      </c>
      <c r="O3031">
        <f>VLOOKUP(K3031,RatingLookup!$A$2:$C$8,3,FALSE)</f>
        <v>0.7</v>
      </c>
      <c r="P3031">
        <f t="shared" si="142"/>
        <v>9.3206655394872762</v>
      </c>
      <c r="Q3031" t="str">
        <f t="shared" ca="1" si="143"/>
        <v>No</v>
      </c>
    </row>
    <row r="3032" spans="1:17" x14ac:dyDescent="0.45">
      <c r="A3032" t="s">
        <v>136</v>
      </c>
      <c r="B3032" t="s">
        <v>137</v>
      </c>
      <c r="C3032" t="s">
        <v>43</v>
      </c>
      <c r="D3032" t="s">
        <v>20</v>
      </c>
      <c r="E3032" t="s">
        <v>21</v>
      </c>
      <c r="F3032" s="1">
        <v>44743</v>
      </c>
      <c r="G3032">
        <v>6.24</v>
      </c>
      <c r="H3032">
        <v>81.6524</v>
      </c>
      <c r="I3032">
        <v>16.829999999999998</v>
      </c>
      <c r="J3032">
        <v>79.42</v>
      </c>
      <c r="K3032" t="s">
        <v>32</v>
      </c>
      <c r="L3032">
        <v>1285.26</v>
      </c>
      <c r="M3032">
        <f>VLOOKUP(K3032,RatingLookup!$A$2:$C$8,2,FALSE)</f>
        <v>0.12</v>
      </c>
      <c r="N3032">
        <f t="shared" si="141"/>
        <v>1.0596241035318976E-2</v>
      </c>
      <c r="O3032">
        <f>VLOOKUP(K3032,RatingLookup!$A$2:$C$8,3,FALSE)</f>
        <v>0.7</v>
      </c>
      <c r="P3032">
        <f t="shared" si="142"/>
        <v>9.5332473271378468</v>
      </c>
      <c r="Q3032" t="str">
        <f t="shared" ca="1" si="143"/>
        <v>No</v>
      </c>
    </row>
    <row r="3033" spans="1:17" x14ac:dyDescent="0.45">
      <c r="A3033" t="s">
        <v>136</v>
      </c>
      <c r="B3033" t="s">
        <v>137</v>
      </c>
      <c r="C3033" t="s">
        <v>43</v>
      </c>
      <c r="D3033" t="s">
        <v>20</v>
      </c>
      <c r="E3033" t="s">
        <v>21</v>
      </c>
      <c r="F3033" s="1">
        <v>44774</v>
      </c>
      <c r="G3033">
        <v>5.96</v>
      </c>
      <c r="H3033">
        <v>86.006299999999996</v>
      </c>
      <c r="I3033">
        <v>30.11</v>
      </c>
      <c r="J3033">
        <v>62.42</v>
      </c>
      <c r="K3033" t="s">
        <v>32</v>
      </c>
      <c r="L3033">
        <v>1319.83</v>
      </c>
      <c r="M3033">
        <f>VLOOKUP(K3033,RatingLookup!$A$2:$C$8,2,FALSE)</f>
        <v>0.12</v>
      </c>
      <c r="N3033">
        <f t="shared" si="141"/>
        <v>1.0596241035318976E-2</v>
      </c>
      <c r="O3033">
        <f>VLOOKUP(K3033,RatingLookup!$A$2:$C$8,3,FALSE)</f>
        <v>0.7</v>
      </c>
      <c r="P3033">
        <f t="shared" si="142"/>
        <v>9.7896657639515308</v>
      </c>
      <c r="Q3033" t="str">
        <f t="shared" ca="1" si="143"/>
        <v>No</v>
      </c>
    </row>
    <row r="3034" spans="1:17" x14ac:dyDescent="0.45">
      <c r="A3034" t="s">
        <v>136</v>
      </c>
      <c r="B3034" t="s">
        <v>137</v>
      </c>
      <c r="C3034" t="s">
        <v>43</v>
      </c>
      <c r="D3034" t="s">
        <v>20</v>
      </c>
      <c r="E3034" t="s">
        <v>21</v>
      </c>
      <c r="F3034" s="1">
        <v>44805</v>
      </c>
      <c r="G3034">
        <v>4.7</v>
      </c>
      <c r="H3034">
        <v>84.330600000000004</v>
      </c>
      <c r="I3034">
        <v>19.29</v>
      </c>
      <c r="J3034">
        <v>72.510000000000005</v>
      </c>
      <c r="K3034" t="s">
        <v>31</v>
      </c>
      <c r="L3034">
        <v>1217.78</v>
      </c>
      <c r="M3034">
        <f>VLOOKUP(K3034,RatingLookup!$A$2:$C$8,2,FALSE)</f>
        <v>0.04</v>
      </c>
      <c r="N3034">
        <f t="shared" si="141"/>
        <v>3.3960531989175591E-3</v>
      </c>
      <c r="O3034">
        <f>VLOOKUP(K3034,RatingLookup!$A$2:$C$8,3,FALSE)</f>
        <v>0.6</v>
      </c>
      <c r="P3034">
        <f t="shared" si="142"/>
        <v>2.481387398746695</v>
      </c>
      <c r="Q3034" t="str">
        <f t="shared" ca="1" si="143"/>
        <v>No</v>
      </c>
    </row>
    <row r="3035" spans="1:17" x14ac:dyDescent="0.45">
      <c r="A3035" t="s">
        <v>136</v>
      </c>
      <c r="B3035" t="s">
        <v>137</v>
      </c>
      <c r="C3035" t="s">
        <v>43</v>
      </c>
      <c r="D3035" t="s">
        <v>20</v>
      </c>
      <c r="E3035" t="s">
        <v>21</v>
      </c>
      <c r="F3035" s="1">
        <v>44835</v>
      </c>
      <c r="G3035">
        <v>6.38</v>
      </c>
      <c r="H3035">
        <v>84.608900000000006</v>
      </c>
      <c r="I3035">
        <v>19.36</v>
      </c>
      <c r="J3035">
        <v>79.94</v>
      </c>
      <c r="K3035" t="s">
        <v>30</v>
      </c>
      <c r="L3035">
        <v>1429.93</v>
      </c>
      <c r="M3035">
        <f>VLOOKUP(K3035,RatingLookup!$A$2:$C$8,2,FALSE)</f>
        <v>1.4999999999999999E-2</v>
      </c>
      <c r="N3035">
        <f t="shared" si="141"/>
        <v>1.2586770182638762E-3</v>
      </c>
      <c r="O3035">
        <f>VLOOKUP(K3035,RatingLookup!$A$2:$C$8,3,FALSE)</f>
        <v>0.5</v>
      </c>
      <c r="P3035">
        <f t="shared" si="142"/>
        <v>0.89991001436303231</v>
      </c>
      <c r="Q3035" t="str">
        <f t="shared" ca="1" si="143"/>
        <v>No</v>
      </c>
    </row>
    <row r="3036" spans="1:17" x14ac:dyDescent="0.45">
      <c r="A3036" t="s">
        <v>136</v>
      </c>
      <c r="B3036" t="s">
        <v>137</v>
      </c>
      <c r="C3036" t="s">
        <v>43</v>
      </c>
      <c r="D3036" t="s">
        <v>20</v>
      </c>
      <c r="E3036" t="s">
        <v>21</v>
      </c>
      <c r="F3036" s="1">
        <v>44866</v>
      </c>
      <c r="G3036">
        <v>5.81</v>
      </c>
      <c r="H3036">
        <v>80.302999999999997</v>
      </c>
      <c r="I3036">
        <v>15.43</v>
      </c>
      <c r="J3036">
        <v>79.45</v>
      </c>
      <c r="K3036" t="s">
        <v>30</v>
      </c>
      <c r="L3036">
        <v>1412.04</v>
      </c>
      <c r="M3036">
        <f>VLOOKUP(K3036,RatingLookup!$A$2:$C$8,2,FALSE)</f>
        <v>1.4999999999999999E-2</v>
      </c>
      <c r="N3036">
        <f t="shared" si="141"/>
        <v>1.2586770182638762E-3</v>
      </c>
      <c r="O3036">
        <f>VLOOKUP(K3036,RatingLookup!$A$2:$C$8,3,FALSE)</f>
        <v>0.5</v>
      </c>
      <c r="P3036">
        <f t="shared" si="142"/>
        <v>0.88865114843466186</v>
      </c>
      <c r="Q3036" t="str">
        <f t="shared" ca="1" si="143"/>
        <v>No</v>
      </c>
    </row>
    <row r="3037" spans="1:17" x14ac:dyDescent="0.45">
      <c r="A3037" t="s">
        <v>136</v>
      </c>
      <c r="B3037" t="s">
        <v>137</v>
      </c>
      <c r="C3037" t="s">
        <v>43</v>
      </c>
      <c r="D3037" t="s">
        <v>20</v>
      </c>
      <c r="E3037" t="s">
        <v>21</v>
      </c>
      <c r="F3037" s="1">
        <v>44896</v>
      </c>
      <c r="G3037">
        <v>4.63</v>
      </c>
      <c r="H3037">
        <v>84.367699999999999</v>
      </c>
      <c r="I3037">
        <v>21.32</v>
      </c>
      <c r="J3037">
        <v>70.08</v>
      </c>
      <c r="K3037" t="s">
        <v>30</v>
      </c>
      <c r="L3037">
        <v>1541.49</v>
      </c>
      <c r="M3037">
        <f>VLOOKUP(K3037,RatingLookup!$A$2:$C$8,2,FALSE)</f>
        <v>1.4999999999999999E-2</v>
      </c>
      <c r="N3037">
        <f t="shared" si="141"/>
        <v>1.2586770182638762E-3</v>
      </c>
      <c r="O3037">
        <f>VLOOKUP(K3037,RatingLookup!$A$2:$C$8,3,FALSE)</f>
        <v>0.5</v>
      </c>
      <c r="P3037">
        <f t="shared" si="142"/>
        <v>0.97011901844179127</v>
      </c>
      <c r="Q3037" t="str">
        <f t="shared" ca="1" si="143"/>
        <v>No</v>
      </c>
    </row>
    <row r="3038" spans="1:17" x14ac:dyDescent="0.45">
      <c r="A3038" t="s">
        <v>136</v>
      </c>
      <c r="B3038" t="s">
        <v>137</v>
      </c>
      <c r="C3038" t="s">
        <v>43</v>
      </c>
      <c r="D3038" t="s">
        <v>20</v>
      </c>
      <c r="E3038" t="s">
        <v>21</v>
      </c>
      <c r="F3038" s="1">
        <v>44927</v>
      </c>
      <c r="G3038">
        <v>5.67</v>
      </c>
      <c r="H3038">
        <v>81.686000000000007</v>
      </c>
      <c r="I3038">
        <v>19.260000000000002</v>
      </c>
      <c r="J3038">
        <v>83.94</v>
      </c>
      <c r="K3038" t="s">
        <v>30</v>
      </c>
      <c r="L3038">
        <v>1591.13</v>
      </c>
      <c r="M3038">
        <f>VLOOKUP(K3038,RatingLookup!$A$2:$C$8,2,FALSE)</f>
        <v>1.4999999999999999E-2</v>
      </c>
      <c r="N3038">
        <f t="shared" si="141"/>
        <v>1.2586770182638762E-3</v>
      </c>
      <c r="O3038">
        <f>VLOOKUP(K3038,RatingLookup!$A$2:$C$8,3,FALSE)</f>
        <v>0.5</v>
      </c>
      <c r="P3038">
        <f t="shared" si="142"/>
        <v>1.0013593820351008</v>
      </c>
      <c r="Q3038" t="str">
        <f t="shared" ca="1" si="143"/>
        <v>No</v>
      </c>
    </row>
    <row r="3039" spans="1:17" x14ac:dyDescent="0.45">
      <c r="A3039" t="s">
        <v>136</v>
      </c>
      <c r="B3039" t="s">
        <v>137</v>
      </c>
      <c r="C3039" t="s">
        <v>43</v>
      </c>
      <c r="D3039" t="s">
        <v>20</v>
      </c>
      <c r="E3039" t="s">
        <v>21</v>
      </c>
      <c r="F3039" s="1">
        <v>44958</v>
      </c>
      <c r="G3039">
        <v>4.63</v>
      </c>
      <c r="H3039">
        <v>82.664699999999996</v>
      </c>
      <c r="I3039">
        <v>22.73</v>
      </c>
      <c r="J3039">
        <v>79.66</v>
      </c>
      <c r="K3039" t="s">
        <v>30</v>
      </c>
      <c r="L3039">
        <v>1370.98</v>
      </c>
      <c r="M3039">
        <f>VLOOKUP(K3039,RatingLookup!$A$2:$C$8,2,FALSE)</f>
        <v>1.4999999999999999E-2</v>
      </c>
      <c r="N3039">
        <f t="shared" si="141"/>
        <v>1.2586770182638762E-3</v>
      </c>
      <c r="O3039">
        <f>VLOOKUP(K3039,RatingLookup!$A$2:$C$8,3,FALSE)</f>
        <v>0.5</v>
      </c>
      <c r="P3039">
        <f t="shared" si="142"/>
        <v>0.86281050924970448</v>
      </c>
      <c r="Q3039" t="str">
        <f t="shared" ca="1" si="143"/>
        <v>No</v>
      </c>
    </row>
    <row r="3040" spans="1:17" x14ac:dyDescent="0.45">
      <c r="A3040" t="s">
        <v>136</v>
      </c>
      <c r="B3040" t="s">
        <v>137</v>
      </c>
      <c r="C3040" t="s">
        <v>43</v>
      </c>
      <c r="D3040" t="s">
        <v>20</v>
      </c>
      <c r="E3040" t="s">
        <v>21</v>
      </c>
      <c r="F3040" s="1">
        <v>44986</v>
      </c>
      <c r="G3040">
        <v>6.5</v>
      </c>
      <c r="H3040">
        <v>84.311300000000003</v>
      </c>
      <c r="I3040">
        <v>27.76</v>
      </c>
      <c r="J3040">
        <v>69.37</v>
      </c>
      <c r="K3040" t="s">
        <v>30</v>
      </c>
      <c r="L3040">
        <v>1359.26</v>
      </c>
      <c r="M3040">
        <f>VLOOKUP(K3040,RatingLookup!$A$2:$C$8,2,FALSE)</f>
        <v>1.4999999999999999E-2</v>
      </c>
      <c r="N3040">
        <f t="shared" si="141"/>
        <v>1.2586770182638762E-3</v>
      </c>
      <c r="O3040">
        <f>VLOOKUP(K3040,RatingLookup!$A$2:$C$8,3,FALSE)</f>
        <v>0.5</v>
      </c>
      <c r="P3040">
        <f t="shared" si="142"/>
        <v>0.85543466192267825</v>
      </c>
      <c r="Q3040" t="str">
        <f t="shared" ca="1" si="143"/>
        <v>No</v>
      </c>
    </row>
    <row r="3041" spans="1:17" x14ac:dyDescent="0.45">
      <c r="A3041" t="s">
        <v>136</v>
      </c>
      <c r="B3041" t="s">
        <v>137</v>
      </c>
      <c r="C3041" t="s">
        <v>43</v>
      </c>
      <c r="D3041" t="s">
        <v>20</v>
      </c>
      <c r="E3041" t="s">
        <v>21</v>
      </c>
      <c r="F3041" s="1">
        <v>45017</v>
      </c>
      <c r="G3041">
        <v>4.62</v>
      </c>
      <c r="H3041">
        <v>83.530500000000004</v>
      </c>
      <c r="I3041">
        <v>20.71</v>
      </c>
      <c r="J3041">
        <v>98.99</v>
      </c>
      <c r="K3041" t="s">
        <v>30</v>
      </c>
      <c r="L3041">
        <v>1390.98</v>
      </c>
      <c r="M3041">
        <f>VLOOKUP(K3041,RatingLookup!$A$2:$C$8,2,FALSE)</f>
        <v>1.4999999999999999E-2</v>
      </c>
      <c r="N3041">
        <f t="shared" si="141"/>
        <v>1.2586770182638762E-3</v>
      </c>
      <c r="O3041">
        <f>VLOOKUP(K3041,RatingLookup!$A$2:$C$8,3,FALSE)</f>
        <v>0.5</v>
      </c>
      <c r="P3041">
        <f t="shared" si="142"/>
        <v>0.87539727943234324</v>
      </c>
      <c r="Q3041" t="str">
        <f t="shared" ca="1" si="143"/>
        <v>No</v>
      </c>
    </row>
    <row r="3042" spans="1:17" x14ac:dyDescent="0.45">
      <c r="A3042" t="s">
        <v>136</v>
      </c>
      <c r="B3042" t="s">
        <v>137</v>
      </c>
      <c r="C3042" t="s">
        <v>43</v>
      </c>
      <c r="D3042" t="s">
        <v>20</v>
      </c>
      <c r="E3042" t="s">
        <v>21</v>
      </c>
      <c r="F3042" s="1">
        <v>45047</v>
      </c>
      <c r="G3042">
        <v>4.95</v>
      </c>
      <c r="H3042">
        <v>79.626199999999997</v>
      </c>
      <c r="I3042">
        <v>23.01</v>
      </c>
      <c r="J3042">
        <v>71.319999999999993</v>
      </c>
      <c r="K3042" t="s">
        <v>30</v>
      </c>
      <c r="L3042">
        <v>1346.41</v>
      </c>
      <c r="M3042">
        <f>VLOOKUP(K3042,RatingLookup!$A$2:$C$8,2,FALSE)</f>
        <v>1.4999999999999999E-2</v>
      </c>
      <c r="N3042">
        <f t="shared" si="141"/>
        <v>1.2586770182638762E-3</v>
      </c>
      <c r="O3042">
        <f>VLOOKUP(K3042,RatingLookup!$A$2:$C$8,3,FALSE)</f>
        <v>0.5</v>
      </c>
      <c r="P3042">
        <f t="shared" si="142"/>
        <v>0.84734766208033285</v>
      </c>
      <c r="Q3042" t="str">
        <f t="shared" ca="1" si="143"/>
        <v>No</v>
      </c>
    </row>
    <row r="3043" spans="1:17" x14ac:dyDescent="0.45">
      <c r="A3043" t="s">
        <v>136</v>
      </c>
      <c r="B3043" t="s">
        <v>137</v>
      </c>
      <c r="C3043" t="s">
        <v>43</v>
      </c>
      <c r="D3043" t="s">
        <v>20</v>
      </c>
      <c r="E3043" t="s">
        <v>21</v>
      </c>
      <c r="F3043" s="1">
        <v>45078</v>
      </c>
      <c r="G3043">
        <v>6.34</v>
      </c>
      <c r="H3043">
        <v>79.378900000000002</v>
      </c>
      <c r="I3043">
        <v>23.05</v>
      </c>
      <c r="J3043">
        <v>76.33</v>
      </c>
      <c r="K3043" t="s">
        <v>30</v>
      </c>
      <c r="L3043">
        <v>1358.79</v>
      </c>
      <c r="M3043">
        <f>VLOOKUP(K3043,RatingLookup!$A$2:$C$8,2,FALSE)</f>
        <v>1.4999999999999999E-2</v>
      </c>
      <c r="N3043">
        <f t="shared" si="141"/>
        <v>1.2586770182638762E-3</v>
      </c>
      <c r="O3043">
        <f>VLOOKUP(K3043,RatingLookup!$A$2:$C$8,3,FALSE)</f>
        <v>0.5</v>
      </c>
      <c r="P3043">
        <f t="shared" si="142"/>
        <v>0.85513887282338619</v>
      </c>
      <c r="Q3043" t="str">
        <f t="shared" ca="1" si="143"/>
        <v>No</v>
      </c>
    </row>
    <row r="3044" spans="1:17" x14ac:dyDescent="0.45">
      <c r="A3044" t="s">
        <v>136</v>
      </c>
      <c r="B3044" t="s">
        <v>137</v>
      </c>
      <c r="C3044" t="s">
        <v>43</v>
      </c>
      <c r="D3044" t="s">
        <v>20</v>
      </c>
      <c r="E3044" t="s">
        <v>21</v>
      </c>
      <c r="F3044" s="1">
        <v>45108</v>
      </c>
      <c r="G3044">
        <v>5.81</v>
      </c>
      <c r="H3044">
        <v>79.8279</v>
      </c>
      <c r="I3044">
        <v>23.58</v>
      </c>
      <c r="J3044">
        <v>74.89</v>
      </c>
      <c r="K3044" t="s">
        <v>31</v>
      </c>
      <c r="L3044">
        <v>1249.04</v>
      </c>
      <c r="M3044">
        <f>VLOOKUP(K3044,RatingLookup!$A$2:$C$8,2,FALSE)</f>
        <v>0.04</v>
      </c>
      <c r="N3044">
        <f t="shared" si="141"/>
        <v>3.3960531989175591E-3</v>
      </c>
      <c r="O3044">
        <f>VLOOKUP(K3044,RatingLookup!$A$2:$C$8,3,FALSE)</f>
        <v>0.6</v>
      </c>
      <c r="P3044">
        <f t="shared" si="142"/>
        <v>2.5450837725455924</v>
      </c>
      <c r="Q3044" t="str">
        <f t="shared" ca="1" si="143"/>
        <v>No</v>
      </c>
    </row>
    <row r="3045" spans="1:17" x14ac:dyDescent="0.45">
      <c r="A3045" t="s">
        <v>136</v>
      </c>
      <c r="B3045" t="s">
        <v>137</v>
      </c>
      <c r="C3045" t="s">
        <v>43</v>
      </c>
      <c r="D3045" t="s">
        <v>20</v>
      </c>
      <c r="E3045" t="s">
        <v>21</v>
      </c>
      <c r="F3045" s="1">
        <v>45139</v>
      </c>
      <c r="G3045">
        <v>4.91</v>
      </c>
      <c r="H3045">
        <v>81.722099999999998</v>
      </c>
      <c r="I3045">
        <v>29.65</v>
      </c>
      <c r="J3045">
        <v>79.64</v>
      </c>
      <c r="K3045" t="s">
        <v>31</v>
      </c>
      <c r="L3045">
        <v>1279.78</v>
      </c>
      <c r="M3045">
        <f>VLOOKUP(K3045,RatingLookup!$A$2:$C$8,2,FALSE)</f>
        <v>0.04</v>
      </c>
      <c r="N3045">
        <f t="shared" si="141"/>
        <v>3.3960531989175591E-3</v>
      </c>
      <c r="O3045">
        <f>VLOOKUP(K3045,RatingLookup!$A$2:$C$8,3,FALSE)</f>
        <v>0.6</v>
      </c>
      <c r="P3045">
        <f t="shared" si="142"/>
        <v>2.6077205777464281</v>
      </c>
      <c r="Q3045" t="str">
        <f t="shared" ca="1" si="143"/>
        <v>No</v>
      </c>
    </row>
    <row r="3046" spans="1:17" x14ac:dyDescent="0.45">
      <c r="A3046" t="s">
        <v>136</v>
      </c>
      <c r="B3046" t="s">
        <v>137</v>
      </c>
      <c r="C3046" t="s">
        <v>43</v>
      </c>
      <c r="D3046" t="s">
        <v>20</v>
      </c>
      <c r="E3046" t="s">
        <v>21</v>
      </c>
      <c r="F3046" s="1">
        <v>45170</v>
      </c>
      <c r="G3046">
        <v>5.54</v>
      </c>
      <c r="H3046">
        <v>81.179199999999994</v>
      </c>
      <c r="I3046">
        <v>12.92</v>
      </c>
      <c r="J3046">
        <v>75.66</v>
      </c>
      <c r="K3046" t="s">
        <v>31</v>
      </c>
      <c r="L3046">
        <v>1321.24</v>
      </c>
      <c r="M3046">
        <f>VLOOKUP(K3046,RatingLookup!$A$2:$C$8,2,FALSE)</f>
        <v>0.04</v>
      </c>
      <c r="N3046">
        <f t="shared" si="141"/>
        <v>3.3960531989175591E-3</v>
      </c>
      <c r="O3046">
        <f>VLOOKUP(K3046,RatingLookup!$A$2:$C$8,3,FALSE)</f>
        <v>0.6</v>
      </c>
      <c r="P3046">
        <f t="shared" si="142"/>
        <v>2.6922007971227013</v>
      </c>
      <c r="Q3046" t="str">
        <f t="shared" ca="1" si="143"/>
        <v>No</v>
      </c>
    </row>
    <row r="3047" spans="1:17" x14ac:dyDescent="0.45">
      <c r="A3047" t="s">
        <v>136</v>
      </c>
      <c r="B3047" t="s">
        <v>137</v>
      </c>
      <c r="C3047" t="s">
        <v>43</v>
      </c>
      <c r="D3047" t="s">
        <v>20</v>
      </c>
      <c r="E3047" t="s">
        <v>21</v>
      </c>
      <c r="F3047" s="1">
        <v>45200</v>
      </c>
      <c r="G3047">
        <v>4.3899999999999997</v>
      </c>
      <c r="H3047">
        <v>78.4148</v>
      </c>
      <c r="I3047">
        <v>10.4</v>
      </c>
      <c r="J3047">
        <v>87.59</v>
      </c>
      <c r="K3047" t="s">
        <v>31</v>
      </c>
      <c r="L3047">
        <v>1251.6300000000001</v>
      </c>
      <c r="M3047">
        <f>VLOOKUP(K3047,RatingLookup!$A$2:$C$8,2,FALSE)</f>
        <v>0.04</v>
      </c>
      <c r="N3047">
        <f t="shared" si="141"/>
        <v>3.3960531989175591E-3</v>
      </c>
      <c r="O3047">
        <f>VLOOKUP(K3047,RatingLookup!$A$2:$C$8,3,FALSE)</f>
        <v>0.6</v>
      </c>
      <c r="P3047">
        <f t="shared" si="142"/>
        <v>2.5503612392167105</v>
      </c>
      <c r="Q3047" t="str">
        <f t="shared" ca="1" si="143"/>
        <v>No</v>
      </c>
    </row>
    <row r="3048" spans="1:17" x14ac:dyDescent="0.45">
      <c r="A3048" t="s">
        <v>136</v>
      </c>
      <c r="B3048" t="s">
        <v>137</v>
      </c>
      <c r="C3048" t="s">
        <v>43</v>
      </c>
      <c r="D3048" t="s">
        <v>20</v>
      </c>
      <c r="E3048" t="s">
        <v>21</v>
      </c>
      <c r="F3048" s="1">
        <v>45231</v>
      </c>
      <c r="G3048">
        <v>5.57</v>
      </c>
      <c r="H3048">
        <v>85.831500000000005</v>
      </c>
      <c r="I3048">
        <v>8.24</v>
      </c>
      <c r="J3048">
        <v>70.34</v>
      </c>
      <c r="K3048" t="s">
        <v>31</v>
      </c>
      <c r="L3048">
        <v>1241.0999999999999</v>
      </c>
      <c r="M3048">
        <f>VLOOKUP(K3048,RatingLookup!$A$2:$C$8,2,FALSE)</f>
        <v>0.04</v>
      </c>
      <c r="N3048">
        <f t="shared" si="141"/>
        <v>3.3960531989175591E-3</v>
      </c>
      <c r="O3048">
        <f>VLOOKUP(K3048,RatingLookup!$A$2:$C$8,3,FALSE)</f>
        <v>0.6</v>
      </c>
      <c r="P3048">
        <f t="shared" si="142"/>
        <v>2.5289049751059491</v>
      </c>
      <c r="Q3048" t="str">
        <f t="shared" ca="1" si="143"/>
        <v>No</v>
      </c>
    </row>
    <row r="3049" spans="1:17" x14ac:dyDescent="0.45">
      <c r="A3049" t="s">
        <v>136</v>
      </c>
      <c r="B3049" t="s">
        <v>137</v>
      </c>
      <c r="C3049" t="s">
        <v>43</v>
      </c>
      <c r="D3049" t="s">
        <v>20</v>
      </c>
      <c r="E3049" t="s">
        <v>21</v>
      </c>
      <c r="F3049" s="1">
        <v>45261</v>
      </c>
      <c r="G3049">
        <v>5.73</v>
      </c>
      <c r="H3049">
        <v>82.275300000000001</v>
      </c>
      <c r="I3049">
        <v>11.66</v>
      </c>
      <c r="J3049">
        <v>66.319999999999993</v>
      </c>
      <c r="K3049" t="s">
        <v>31</v>
      </c>
      <c r="L3049">
        <v>1337.09</v>
      </c>
      <c r="M3049">
        <f>VLOOKUP(K3049,RatingLookup!$A$2:$C$8,2,FALSE)</f>
        <v>0.04</v>
      </c>
      <c r="N3049">
        <f t="shared" si="141"/>
        <v>3.3960531989175591E-3</v>
      </c>
      <c r="O3049">
        <f>VLOOKUP(K3049,RatingLookup!$A$2:$C$8,3,FALSE)</f>
        <v>0.6</v>
      </c>
      <c r="P3049">
        <f t="shared" si="142"/>
        <v>2.7244972630444071</v>
      </c>
      <c r="Q3049" t="str">
        <f t="shared" ca="1" si="143"/>
        <v>No</v>
      </c>
    </row>
    <row r="3050" spans="1:17" x14ac:dyDescent="0.45">
      <c r="A3050" t="s">
        <v>136</v>
      </c>
      <c r="B3050" t="s">
        <v>137</v>
      </c>
      <c r="C3050" t="s">
        <v>43</v>
      </c>
      <c r="D3050" t="s">
        <v>20</v>
      </c>
      <c r="E3050" t="s">
        <v>21</v>
      </c>
      <c r="F3050" s="1">
        <v>45292</v>
      </c>
      <c r="G3050">
        <v>6.49</v>
      </c>
      <c r="H3050">
        <v>78.673400000000001</v>
      </c>
      <c r="I3050">
        <v>20.58</v>
      </c>
      <c r="J3050">
        <v>70.760000000000005</v>
      </c>
      <c r="K3050" t="s">
        <v>31</v>
      </c>
      <c r="L3050">
        <v>1386.3</v>
      </c>
      <c r="M3050">
        <f>VLOOKUP(K3050,RatingLookup!$A$2:$C$8,2,FALSE)</f>
        <v>0.04</v>
      </c>
      <c r="N3050">
        <f t="shared" si="141"/>
        <v>3.3960531989175591E-3</v>
      </c>
      <c r="O3050">
        <f>VLOOKUP(K3050,RatingLookup!$A$2:$C$8,3,FALSE)</f>
        <v>0.6</v>
      </c>
      <c r="P3050">
        <f t="shared" si="142"/>
        <v>2.8247691297956474</v>
      </c>
      <c r="Q3050" t="str">
        <f t="shared" ca="1" si="143"/>
        <v>No</v>
      </c>
    </row>
    <row r="3051" spans="1:17" x14ac:dyDescent="0.45">
      <c r="A3051" t="s">
        <v>136</v>
      </c>
      <c r="B3051" t="s">
        <v>137</v>
      </c>
      <c r="C3051" t="s">
        <v>43</v>
      </c>
      <c r="D3051" t="s">
        <v>20</v>
      </c>
      <c r="E3051" t="s">
        <v>21</v>
      </c>
      <c r="F3051" s="1">
        <v>45323</v>
      </c>
      <c r="G3051">
        <v>4.9400000000000004</v>
      </c>
      <c r="H3051">
        <v>86.863200000000006</v>
      </c>
      <c r="I3051">
        <v>24.5</v>
      </c>
      <c r="J3051">
        <v>74.34</v>
      </c>
      <c r="K3051" t="s">
        <v>31</v>
      </c>
      <c r="L3051">
        <v>1302.08</v>
      </c>
      <c r="M3051">
        <f>VLOOKUP(K3051,RatingLookup!$A$2:$C$8,2,FALSE)</f>
        <v>0.04</v>
      </c>
      <c r="N3051">
        <f t="shared" si="141"/>
        <v>3.3960531989175591E-3</v>
      </c>
      <c r="O3051">
        <f>VLOOKUP(K3051,RatingLookup!$A$2:$C$8,3,FALSE)</f>
        <v>0.6</v>
      </c>
      <c r="P3051">
        <f t="shared" si="142"/>
        <v>2.6531597695479445</v>
      </c>
      <c r="Q3051" t="str">
        <f t="shared" ca="1" si="143"/>
        <v>No</v>
      </c>
    </row>
    <row r="3052" spans="1:17" x14ac:dyDescent="0.45">
      <c r="A3052" t="s">
        <v>136</v>
      </c>
      <c r="B3052" t="s">
        <v>137</v>
      </c>
      <c r="C3052" t="s">
        <v>43</v>
      </c>
      <c r="D3052" t="s">
        <v>20</v>
      </c>
      <c r="E3052" t="s">
        <v>21</v>
      </c>
      <c r="F3052" s="1">
        <v>45352</v>
      </c>
      <c r="G3052">
        <v>6.07</v>
      </c>
      <c r="H3052">
        <v>83.382099999999994</v>
      </c>
      <c r="I3052">
        <v>16.670000000000002</v>
      </c>
      <c r="J3052">
        <v>79.02</v>
      </c>
      <c r="K3052" t="s">
        <v>31</v>
      </c>
      <c r="L3052">
        <v>1283.1300000000001</v>
      </c>
      <c r="M3052">
        <f>VLOOKUP(K3052,RatingLookup!$A$2:$C$8,2,FALSE)</f>
        <v>0.04</v>
      </c>
      <c r="N3052">
        <f t="shared" si="141"/>
        <v>3.3960531989175591E-3</v>
      </c>
      <c r="O3052">
        <f>VLOOKUP(K3052,RatingLookup!$A$2:$C$8,3,FALSE)</f>
        <v>0.6</v>
      </c>
      <c r="P3052">
        <f t="shared" si="142"/>
        <v>2.6145466446762526</v>
      </c>
      <c r="Q3052" t="str">
        <f t="shared" ca="1" si="143"/>
        <v>No</v>
      </c>
    </row>
    <row r="3053" spans="1:17" x14ac:dyDescent="0.45">
      <c r="A3053" t="s">
        <v>136</v>
      </c>
      <c r="B3053" t="s">
        <v>137</v>
      </c>
      <c r="C3053" t="s">
        <v>43</v>
      </c>
      <c r="D3053" t="s">
        <v>20</v>
      </c>
      <c r="E3053" t="s">
        <v>21</v>
      </c>
      <c r="F3053" s="1">
        <v>45383</v>
      </c>
      <c r="G3053">
        <v>5.53</v>
      </c>
      <c r="H3053">
        <v>81.399500000000003</v>
      </c>
      <c r="I3053">
        <v>16.68</v>
      </c>
      <c r="J3053">
        <v>84.81</v>
      </c>
      <c r="K3053" t="s">
        <v>31</v>
      </c>
      <c r="L3053">
        <v>1181.6199999999999</v>
      </c>
      <c r="M3053">
        <f>VLOOKUP(K3053,RatingLookup!$A$2:$C$8,2,FALSE)</f>
        <v>0.04</v>
      </c>
      <c r="N3053">
        <f t="shared" si="141"/>
        <v>3.3960531989175591E-3</v>
      </c>
      <c r="O3053">
        <f>VLOOKUP(K3053,RatingLookup!$A$2:$C$8,3,FALSE)</f>
        <v>0.6</v>
      </c>
      <c r="P3053">
        <f t="shared" si="142"/>
        <v>2.4077066285429791</v>
      </c>
      <c r="Q3053" t="str">
        <f t="shared" ca="1" si="143"/>
        <v>No</v>
      </c>
    </row>
    <row r="3054" spans="1:17" x14ac:dyDescent="0.45">
      <c r="A3054" t="s">
        <v>136</v>
      </c>
      <c r="B3054" t="s">
        <v>137</v>
      </c>
      <c r="C3054" t="s">
        <v>43</v>
      </c>
      <c r="D3054" t="s">
        <v>20</v>
      </c>
      <c r="E3054" t="s">
        <v>21</v>
      </c>
      <c r="F3054" s="1">
        <v>45413</v>
      </c>
      <c r="G3054">
        <v>5.53</v>
      </c>
      <c r="H3054">
        <v>83.227999999999994</v>
      </c>
      <c r="I3054">
        <v>17.22</v>
      </c>
      <c r="J3054">
        <v>80.819999999999993</v>
      </c>
      <c r="K3054" t="s">
        <v>31</v>
      </c>
      <c r="L3054">
        <v>1246.97</v>
      </c>
      <c r="M3054">
        <f>VLOOKUP(K3054,RatingLookup!$A$2:$C$8,2,FALSE)</f>
        <v>0.04</v>
      </c>
      <c r="N3054">
        <f t="shared" si="141"/>
        <v>3.3960531989175591E-3</v>
      </c>
      <c r="O3054">
        <f>VLOOKUP(K3054,RatingLookup!$A$2:$C$8,3,FALSE)</f>
        <v>0.6</v>
      </c>
      <c r="P3054">
        <f t="shared" si="142"/>
        <v>2.5408658744725368</v>
      </c>
      <c r="Q3054" t="str">
        <f t="shared" ca="1" si="143"/>
        <v>No</v>
      </c>
    </row>
    <row r="3055" spans="1:17" x14ac:dyDescent="0.45">
      <c r="A3055" t="s">
        <v>136</v>
      </c>
      <c r="B3055" t="s">
        <v>137</v>
      </c>
      <c r="C3055" t="s">
        <v>43</v>
      </c>
      <c r="D3055" t="s">
        <v>20</v>
      </c>
      <c r="E3055" t="s">
        <v>21</v>
      </c>
      <c r="F3055" s="1">
        <v>45444</v>
      </c>
      <c r="G3055">
        <v>5.4</v>
      </c>
      <c r="H3055">
        <v>82.266000000000005</v>
      </c>
      <c r="I3055">
        <v>11.97</v>
      </c>
      <c r="J3055">
        <v>65.239999999999995</v>
      </c>
      <c r="K3055" t="s">
        <v>31</v>
      </c>
      <c r="L3055">
        <v>1279.18</v>
      </c>
      <c r="M3055">
        <f>VLOOKUP(K3055,RatingLookup!$A$2:$C$8,2,FALSE)</f>
        <v>0.04</v>
      </c>
      <c r="N3055">
        <f t="shared" si="141"/>
        <v>3.3960531989175591E-3</v>
      </c>
      <c r="O3055">
        <f>VLOOKUP(K3055,RatingLookup!$A$2:$C$8,3,FALSE)</f>
        <v>0.6</v>
      </c>
      <c r="P3055">
        <f t="shared" si="142"/>
        <v>2.606497998594818</v>
      </c>
      <c r="Q3055" t="str">
        <f t="shared" ca="1" si="143"/>
        <v>No</v>
      </c>
    </row>
    <row r="3056" spans="1:17" x14ac:dyDescent="0.45">
      <c r="A3056" t="s">
        <v>136</v>
      </c>
      <c r="B3056" t="s">
        <v>137</v>
      </c>
      <c r="C3056" t="s">
        <v>43</v>
      </c>
      <c r="D3056" t="s">
        <v>20</v>
      </c>
      <c r="E3056" t="s">
        <v>21</v>
      </c>
      <c r="F3056" s="1">
        <v>45474</v>
      </c>
      <c r="G3056">
        <v>6.16</v>
      </c>
      <c r="H3056">
        <v>85.340500000000006</v>
      </c>
      <c r="I3056">
        <v>20.46</v>
      </c>
      <c r="J3056">
        <v>81.59</v>
      </c>
      <c r="K3056" t="s">
        <v>31</v>
      </c>
      <c r="L3056">
        <v>1224.2</v>
      </c>
      <c r="M3056">
        <f>VLOOKUP(K3056,RatingLookup!$A$2:$C$8,2,FALSE)</f>
        <v>0.04</v>
      </c>
      <c r="N3056">
        <f t="shared" si="141"/>
        <v>3.3960531989175591E-3</v>
      </c>
      <c r="O3056">
        <f>VLOOKUP(K3056,RatingLookup!$A$2:$C$8,3,FALSE)</f>
        <v>0.6</v>
      </c>
      <c r="P3056">
        <f t="shared" si="142"/>
        <v>2.4944689956689254</v>
      </c>
      <c r="Q3056" t="str">
        <f t="shared" ca="1" si="143"/>
        <v>No</v>
      </c>
    </row>
    <row r="3057" spans="1:17" x14ac:dyDescent="0.45">
      <c r="A3057" t="s">
        <v>136</v>
      </c>
      <c r="B3057" t="s">
        <v>137</v>
      </c>
      <c r="C3057" t="s">
        <v>43</v>
      </c>
      <c r="D3057" t="s">
        <v>20</v>
      </c>
      <c r="E3057" t="s">
        <v>21</v>
      </c>
      <c r="F3057" s="1">
        <v>45505</v>
      </c>
      <c r="G3057">
        <v>4.96</v>
      </c>
      <c r="H3057">
        <v>82.873500000000007</v>
      </c>
      <c r="I3057">
        <v>5</v>
      </c>
      <c r="J3057">
        <v>85.17</v>
      </c>
      <c r="K3057" t="s">
        <v>31</v>
      </c>
      <c r="L3057">
        <v>1208.6400000000001</v>
      </c>
      <c r="M3057">
        <f>VLOOKUP(K3057,RatingLookup!$A$2:$C$8,2,FALSE)</f>
        <v>0.04</v>
      </c>
      <c r="N3057">
        <f t="shared" si="141"/>
        <v>3.3960531989175591E-3</v>
      </c>
      <c r="O3057">
        <f>VLOOKUP(K3057,RatingLookup!$A$2:$C$8,3,FALSE)</f>
        <v>0.6</v>
      </c>
      <c r="P3057">
        <f t="shared" si="142"/>
        <v>2.4627634430038312</v>
      </c>
      <c r="Q3057" t="str">
        <f t="shared" ca="1" si="143"/>
        <v>No</v>
      </c>
    </row>
    <row r="3058" spans="1:17" x14ac:dyDescent="0.45">
      <c r="A3058" t="s">
        <v>136</v>
      </c>
      <c r="B3058" t="s">
        <v>137</v>
      </c>
      <c r="C3058" t="s">
        <v>43</v>
      </c>
      <c r="D3058" t="s">
        <v>20</v>
      </c>
      <c r="E3058" t="s">
        <v>21</v>
      </c>
      <c r="F3058" s="1">
        <v>45536</v>
      </c>
      <c r="G3058">
        <v>6.08</v>
      </c>
      <c r="H3058">
        <v>82.908799999999999</v>
      </c>
      <c r="I3058">
        <v>14.82</v>
      </c>
      <c r="J3058">
        <v>87.78</v>
      </c>
      <c r="K3058" t="s">
        <v>31</v>
      </c>
      <c r="L3058">
        <v>1224.18</v>
      </c>
      <c r="M3058">
        <f>VLOOKUP(K3058,RatingLookup!$A$2:$C$8,2,FALSE)</f>
        <v>0.04</v>
      </c>
      <c r="N3058">
        <f t="shared" si="141"/>
        <v>3.3960531989175591E-3</v>
      </c>
      <c r="O3058">
        <f>VLOOKUP(K3058,RatingLookup!$A$2:$C$8,3,FALSE)</f>
        <v>0.6</v>
      </c>
      <c r="P3058">
        <f t="shared" si="142"/>
        <v>2.4944282430305385</v>
      </c>
      <c r="Q3058" t="str">
        <f t="shared" ca="1" si="143"/>
        <v>No</v>
      </c>
    </row>
    <row r="3059" spans="1:17" x14ac:dyDescent="0.45">
      <c r="A3059" t="s">
        <v>136</v>
      </c>
      <c r="B3059" t="s">
        <v>137</v>
      </c>
      <c r="C3059" t="s">
        <v>43</v>
      </c>
      <c r="D3059" t="s">
        <v>20</v>
      </c>
      <c r="E3059" t="s">
        <v>21</v>
      </c>
      <c r="F3059" s="1">
        <v>45566</v>
      </c>
      <c r="G3059">
        <v>5.41</v>
      </c>
      <c r="H3059">
        <v>86.510800000000003</v>
      </c>
      <c r="I3059">
        <v>21.39</v>
      </c>
      <c r="J3059">
        <v>80.239999999999995</v>
      </c>
      <c r="K3059" t="s">
        <v>31</v>
      </c>
      <c r="L3059">
        <v>1254.0899999999999</v>
      </c>
      <c r="M3059">
        <f>VLOOKUP(K3059,RatingLookup!$A$2:$C$8,2,FALSE)</f>
        <v>0.04</v>
      </c>
      <c r="N3059">
        <f t="shared" si="141"/>
        <v>3.3960531989175591E-3</v>
      </c>
      <c r="O3059">
        <f>VLOOKUP(K3059,RatingLookup!$A$2:$C$8,3,FALSE)</f>
        <v>0.6</v>
      </c>
      <c r="P3059">
        <f t="shared" si="142"/>
        <v>2.5553738137383126</v>
      </c>
      <c r="Q3059" t="str">
        <f t="shared" ca="1" si="143"/>
        <v>No</v>
      </c>
    </row>
    <row r="3060" spans="1:17" x14ac:dyDescent="0.45">
      <c r="A3060" t="s">
        <v>136</v>
      </c>
      <c r="B3060" t="s">
        <v>137</v>
      </c>
      <c r="C3060" t="s">
        <v>43</v>
      </c>
      <c r="D3060" t="s">
        <v>20</v>
      </c>
      <c r="E3060" t="s">
        <v>21</v>
      </c>
      <c r="F3060" s="1">
        <v>45597</v>
      </c>
      <c r="G3060">
        <v>4.82</v>
      </c>
      <c r="H3060">
        <v>86.180599999999998</v>
      </c>
      <c r="I3060">
        <v>16.41</v>
      </c>
      <c r="J3060">
        <v>78.75</v>
      </c>
      <c r="K3060" t="s">
        <v>31</v>
      </c>
      <c r="L3060">
        <v>1323.62</v>
      </c>
      <c r="M3060">
        <f>VLOOKUP(K3060,RatingLookup!$A$2:$C$8,2,FALSE)</f>
        <v>0.04</v>
      </c>
      <c r="N3060">
        <f t="shared" si="141"/>
        <v>3.3960531989175591E-3</v>
      </c>
      <c r="O3060">
        <f>VLOOKUP(K3060,RatingLookup!$A$2:$C$8,3,FALSE)</f>
        <v>0.6</v>
      </c>
      <c r="P3060">
        <f t="shared" si="142"/>
        <v>2.697050361090755</v>
      </c>
      <c r="Q3060" t="str">
        <f t="shared" ca="1" si="143"/>
        <v>No</v>
      </c>
    </row>
    <row r="3061" spans="1:17" x14ac:dyDescent="0.45">
      <c r="A3061" t="s">
        <v>136</v>
      </c>
      <c r="B3061" t="s">
        <v>137</v>
      </c>
      <c r="C3061" t="s">
        <v>43</v>
      </c>
      <c r="D3061" t="s">
        <v>20</v>
      </c>
      <c r="E3061" t="s">
        <v>21</v>
      </c>
      <c r="F3061" s="1">
        <v>45627</v>
      </c>
      <c r="G3061">
        <v>5.42</v>
      </c>
      <c r="H3061">
        <v>84.944299999999998</v>
      </c>
      <c r="I3061">
        <v>21.54</v>
      </c>
      <c r="J3061">
        <v>89.35</v>
      </c>
      <c r="K3061" t="s">
        <v>31</v>
      </c>
      <c r="L3061">
        <v>1337.35</v>
      </c>
      <c r="M3061">
        <f>VLOOKUP(K3061,RatingLookup!$A$2:$C$8,2,FALSE)</f>
        <v>0.04</v>
      </c>
      <c r="N3061">
        <f t="shared" si="141"/>
        <v>3.3960531989175591E-3</v>
      </c>
      <c r="O3061">
        <f>VLOOKUP(K3061,RatingLookup!$A$2:$C$8,3,FALSE)</f>
        <v>0.6</v>
      </c>
      <c r="P3061">
        <f t="shared" si="142"/>
        <v>2.7250270473434379</v>
      </c>
      <c r="Q3061" t="str">
        <f t="shared" ca="1" si="143"/>
        <v>No</v>
      </c>
    </row>
    <row r="3062" spans="1:17" x14ac:dyDescent="0.45">
      <c r="A3062" t="s">
        <v>138</v>
      </c>
      <c r="B3062" t="s">
        <v>139</v>
      </c>
      <c r="C3062" t="s">
        <v>77</v>
      </c>
      <c r="D3062" t="s">
        <v>20</v>
      </c>
      <c r="E3062" t="s">
        <v>21</v>
      </c>
      <c r="F3062" s="1">
        <v>43831</v>
      </c>
      <c r="G3062">
        <v>4.78</v>
      </c>
      <c r="H3062">
        <v>77.272099999999995</v>
      </c>
      <c r="I3062">
        <v>13.32</v>
      </c>
      <c r="J3062">
        <v>70.430000000000007</v>
      </c>
      <c r="K3062" t="s">
        <v>22</v>
      </c>
      <c r="L3062">
        <v>1090.83</v>
      </c>
      <c r="M3062">
        <f>VLOOKUP(K3062,RatingLookup!$A$2:$C$8,2,FALSE)</f>
        <v>5.0000000000000001E-3</v>
      </c>
      <c r="N3062">
        <f t="shared" si="141"/>
        <v>4.1762458919303302E-4</v>
      </c>
      <c r="O3062">
        <f>VLOOKUP(K3062,RatingLookup!$A$2:$C$8,3,FALSE)</f>
        <v>0.45</v>
      </c>
      <c r="P3062">
        <f t="shared" si="142"/>
        <v>0.20500084378324629</v>
      </c>
      <c r="Q3062" t="str">
        <f t="shared" ca="1" si="143"/>
        <v>No</v>
      </c>
    </row>
    <row r="3063" spans="1:17" x14ac:dyDescent="0.45">
      <c r="A3063" t="s">
        <v>138</v>
      </c>
      <c r="B3063" t="s">
        <v>139</v>
      </c>
      <c r="C3063" t="s">
        <v>77</v>
      </c>
      <c r="D3063" t="s">
        <v>20</v>
      </c>
      <c r="E3063" t="s">
        <v>21</v>
      </c>
      <c r="F3063" s="1">
        <v>43862</v>
      </c>
      <c r="G3063">
        <v>5.44</v>
      </c>
      <c r="H3063">
        <v>83.3596</v>
      </c>
      <c r="I3063">
        <v>22.67</v>
      </c>
      <c r="J3063">
        <v>70.97</v>
      </c>
      <c r="K3063" t="s">
        <v>22</v>
      </c>
      <c r="L3063">
        <v>994.17</v>
      </c>
      <c r="M3063">
        <f>VLOOKUP(K3063,RatingLookup!$A$2:$C$8,2,FALSE)</f>
        <v>5.0000000000000001E-3</v>
      </c>
      <c r="N3063">
        <f t="shared" si="141"/>
        <v>4.1762458919303302E-4</v>
      </c>
      <c r="O3063">
        <f>VLOOKUP(K3063,RatingLookup!$A$2:$C$8,3,FALSE)</f>
        <v>0.45</v>
      </c>
      <c r="P3063">
        <f t="shared" si="142"/>
        <v>0.18683542702711695</v>
      </c>
      <c r="Q3063" t="str">
        <f t="shared" ca="1" si="143"/>
        <v>No</v>
      </c>
    </row>
    <row r="3064" spans="1:17" x14ac:dyDescent="0.45">
      <c r="A3064" t="s">
        <v>138</v>
      </c>
      <c r="B3064" t="s">
        <v>139</v>
      </c>
      <c r="C3064" t="s">
        <v>77</v>
      </c>
      <c r="D3064" t="s">
        <v>20</v>
      </c>
      <c r="E3064" t="s">
        <v>21</v>
      </c>
      <c r="F3064" s="1">
        <v>43891</v>
      </c>
      <c r="G3064">
        <v>4.87</v>
      </c>
      <c r="H3064">
        <v>84.410799999999995</v>
      </c>
      <c r="I3064">
        <v>11.78</v>
      </c>
      <c r="J3064">
        <v>59.62</v>
      </c>
      <c r="K3064" t="s">
        <v>22</v>
      </c>
      <c r="L3064">
        <v>1052.6099999999999</v>
      </c>
      <c r="M3064">
        <f>VLOOKUP(K3064,RatingLookup!$A$2:$C$8,2,FALSE)</f>
        <v>5.0000000000000001E-3</v>
      </c>
      <c r="N3064">
        <f t="shared" si="141"/>
        <v>4.1762458919303302E-4</v>
      </c>
      <c r="O3064">
        <f>VLOOKUP(K3064,RatingLookup!$A$2:$C$8,3,FALSE)</f>
        <v>0.45</v>
      </c>
      <c r="P3064">
        <f t="shared" si="142"/>
        <v>0.1978181184737153</v>
      </c>
      <c r="Q3064" t="str">
        <f t="shared" ca="1" si="143"/>
        <v>No</v>
      </c>
    </row>
    <row r="3065" spans="1:17" x14ac:dyDescent="0.45">
      <c r="A3065" t="s">
        <v>138</v>
      </c>
      <c r="B3065" t="s">
        <v>139</v>
      </c>
      <c r="C3065" t="s">
        <v>77</v>
      </c>
      <c r="D3065" t="s">
        <v>20</v>
      </c>
      <c r="E3065" t="s">
        <v>21</v>
      </c>
      <c r="F3065" s="1">
        <v>43922</v>
      </c>
      <c r="G3065">
        <v>5.33</v>
      </c>
      <c r="H3065">
        <v>83.067800000000005</v>
      </c>
      <c r="I3065">
        <v>24.1</v>
      </c>
      <c r="J3065">
        <v>69.069999999999993</v>
      </c>
      <c r="K3065" t="s">
        <v>22</v>
      </c>
      <c r="L3065">
        <v>1073.18</v>
      </c>
      <c r="M3065">
        <f>VLOOKUP(K3065,RatingLookup!$A$2:$C$8,2,FALSE)</f>
        <v>5.0000000000000001E-3</v>
      </c>
      <c r="N3065">
        <f t="shared" si="141"/>
        <v>4.1762458919303302E-4</v>
      </c>
      <c r="O3065">
        <f>VLOOKUP(K3065,RatingLookup!$A$2:$C$8,3,FALSE)</f>
        <v>0.45</v>
      </c>
      <c r="P3065">
        <f t="shared" si="142"/>
        <v>0.20168386048358064</v>
      </c>
      <c r="Q3065" t="str">
        <f t="shared" ca="1" si="143"/>
        <v>No</v>
      </c>
    </row>
    <row r="3066" spans="1:17" x14ac:dyDescent="0.45">
      <c r="A3066" t="s">
        <v>138</v>
      </c>
      <c r="B3066" t="s">
        <v>139</v>
      </c>
      <c r="C3066" t="s">
        <v>77</v>
      </c>
      <c r="D3066" t="s">
        <v>20</v>
      </c>
      <c r="E3066" t="s">
        <v>21</v>
      </c>
      <c r="F3066" s="1">
        <v>43952</v>
      </c>
      <c r="G3066">
        <v>5.0199999999999996</v>
      </c>
      <c r="H3066">
        <v>82.917100000000005</v>
      </c>
      <c r="I3066">
        <v>10.27</v>
      </c>
      <c r="J3066">
        <v>63.82</v>
      </c>
      <c r="K3066" t="s">
        <v>22</v>
      </c>
      <c r="L3066">
        <v>1128.71</v>
      </c>
      <c r="M3066">
        <f>VLOOKUP(K3066,RatingLookup!$A$2:$C$8,2,FALSE)</f>
        <v>5.0000000000000001E-3</v>
      </c>
      <c r="N3066">
        <f t="shared" si="141"/>
        <v>4.1762458919303302E-4</v>
      </c>
      <c r="O3066">
        <f>VLOOKUP(K3066,RatingLookup!$A$2:$C$8,3,FALSE)</f>
        <v>0.45</v>
      </c>
      <c r="P3066">
        <f t="shared" si="142"/>
        <v>0.21211967253063074</v>
      </c>
      <c r="Q3066" t="str">
        <f t="shared" ca="1" si="143"/>
        <v>No</v>
      </c>
    </row>
    <row r="3067" spans="1:17" x14ac:dyDescent="0.45">
      <c r="A3067" t="s">
        <v>138</v>
      </c>
      <c r="B3067" t="s">
        <v>139</v>
      </c>
      <c r="C3067" t="s">
        <v>77</v>
      </c>
      <c r="D3067" t="s">
        <v>20</v>
      </c>
      <c r="E3067" t="s">
        <v>21</v>
      </c>
      <c r="F3067" s="1">
        <v>43983</v>
      </c>
      <c r="G3067">
        <v>5.74</v>
      </c>
      <c r="H3067">
        <v>80.736500000000007</v>
      </c>
      <c r="I3067">
        <v>18.36</v>
      </c>
      <c r="J3067">
        <v>78.180000000000007</v>
      </c>
      <c r="K3067" t="s">
        <v>22</v>
      </c>
      <c r="L3067">
        <v>1171.94</v>
      </c>
      <c r="M3067">
        <f>VLOOKUP(K3067,RatingLookup!$A$2:$C$8,2,FALSE)</f>
        <v>5.0000000000000001E-3</v>
      </c>
      <c r="N3067">
        <f t="shared" si="141"/>
        <v>4.1762458919303302E-4</v>
      </c>
      <c r="O3067">
        <f>VLOOKUP(K3067,RatingLookup!$A$2:$C$8,3,FALSE)</f>
        <v>0.45</v>
      </c>
      <c r="P3067">
        <f t="shared" si="142"/>
        <v>0.2202439324764974</v>
      </c>
      <c r="Q3067" t="str">
        <f t="shared" ca="1" si="143"/>
        <v>No</v>
      </c>
    </row>
    <row r="3068" spans="1:17" x14ac:dyDescent="0.45">
      <c r="A3068" t="s">
        <v>138</v>
      </c>
      <c r="B3068" t="s">
        <v>139</v>
      </c>
      <c r="C3068" t="s">
        <v>77</v>
      </c>
      <c r="D3068" t="s">
        <v>20</v>
      </c>
      <c r="E3068" t="s">
        <v>21</v>
      </c>
      <c r="F3068" s="1">
        <v>44013</v>
      </c>
      <c r="G3068">
        <v>5.38</v>
      </c>
      <c r="H3068">
        <v>83.302000000000007</v>
      </c>
      <c r="I3068">
        <v>11.59</v>
      </c>
      <c r="J3068">
        <v>75.42</v>
      </c>
      <c r="K3068" t="s">
        <v>22</v>
      </c>
      <c r="L3068">
        <v>1040.01</v>
      </c>
      <c r="M3068">
        <f>VLOOKUP(K3068,RatingLookup!$A$2:$C$8,2,FALSE)</f>
        <v>5.0000000000000001E-3</v>
      </c>
      <c r="N3068">
        <f t="shared" si="141"/>
        <v>4.1762458919303302E-4</v>
      </c>
      <c r="O3068">
        <f>VLOOKUP(K3068,RatingLookup!$A$2:$C$8,3,FALSE)</f>
        <v>0.45</v>
      </c>
      <c r="P3068">
        <f t="shared" si="142"/>
        <v>0.19545018705299083</v>
      </c>
      <c r="Q3068" t="str">
        <f t="shared" ca="1" si="143"/>
        <v>No</v>
      </c>
    </row>
    <row r="3069" spans="1:17" x14ac:dyDescent="0.45">
      <c r="A3069" t="s">
        <v>138</v>
      </c>
      <c r="B3069" t="s">
        <v>139</v>
      </c>
      <c r="C3069" t="s">
        <v>77</v>
      </c>
      <c r="D3069" t="s">
        <v>20</v>
      </c>
      <c r="E3069" t="s">
        <v>21</v>
      </c>
      <c r="F3069" s="1">
        <v>44044</v>
      </c>
      <c r="G3069">
        <v>5.79</v>
      </c>
      <c r="H3069">
        <v>82.026300000000006</v>
      </c>
      <c r="I3069">
        <v>22.75</v>
      </c>
      <c r="J3069">
        <v>90.15</v>
      </c>
      <c r="K3069" t="s">
        <v>22</v>
      </c>
      <c r="L3069">
        <v>1104.1300000000001</v>
      </c>
      <c r="M3069">
        <f>VLOOKUP(K3069,RatingLookup!$A$2:$C$8,2,FALSE)</f>
        <v>5.0000000000000001E-3</v>
      </c>
      <c r="N3069">
        <f t="shared" si="141"/>
        <v>4.1762458919303302E-4</v>
      </c>
      <c r="O3069">
        <f>VLOOKUP(K3069,RatingLookup!$A$2:$C$8,3,FALSE)</f>
        <v>0.45</v>
      </c>
      <c r="P3069">
        <f t="shared" si="142"/>
        <v>0.2075003269495666</v>
      </c>
      <c r="Q3069" t="str">
        <f t="shared" ca="1" si="143"/>
        <v>No</v>
      </c>
    </row>
    <row r="3070" spans="1:17" x14ac:dyDescent="0.45">
      <c r="A3070" t="s">
        <v>138</v>
      </c>
      <c r="B3070" t="s">
        <v>139</v>
      </c>
      <c r="C3070" t="s">
        <v>77</v>
      </c>
      <c r="D3070" t="s">
        <v>20</v>
      </c>
      <c r="E3070" t="s">
        <v>21</v>
      </c>
      <c r="F3070" s="1">
        <v>44075</v>
      </c>
      <c r="G3070">
        <v>4.87</v>
      </c>
      <c r="H3070">
        <v>85.924000000000007</v>
      </c>
      <c r="I3070">
        <v>21.13</v>
      </c>
      <c r="J3070">
        <v>102.19</v>
      </c>
      <c r="K3070" t="s">
        <v>22</v>
      </c>
      <c r="L3070">
        <v>1123.74</v>
      </c>
      <c r="M3070">
        <f>VLOOKUP(K3070,RatingLookup!$A$2:$C$8,2,FALSE)</f>
        <v>5.0000000000000001E-3</v>
      </c>
      <c r="N3070">
        <f t="shared" si="141"/>
        <v>4.1762458919303302E-4</v>
      </c>
      <c r="O3070">
        <f>VLOOKUP(K3070,RatingLookup!$A$2:$C$8,3,FALSE)</f>
        <v>0.45</v>
      </c>
      <c r="P3070">
        <f t="shared" si="142"/>
        <v>0.21118565513690052</v>
      </c>
      <c r="Q3070" t="str">
        <f t="shared" ca="1" si="143"/>
        <v>No</v>
      </c>
    </row>
    <row r="3071" spans="1:17" x14ac:dyDescent="0.45">
      <c r="A3071" t="s">
        <v>138</v>
      </c>
      <c r="B3071" t="s">
        <v>139</v>
      </c>
      <c r="C3071" t="s">
        <v>77</v>
      </c>
      <c r="D3071" t="s">
        <v>20</v>
      </c>
      <c r="E3071" t="s">
        <v>21</v>
      </c>
      <c r="F3071" s="1">
        <v>44105</v>
      </c>
      <c r="G3071">
        <v>5.56</v>
      </c>
      <c r="H3071">
        <v>83.289299999999997</v>
      </c>
      <c r="I3071">
        <v>14.23</v>
      </c>
      <c r="J3071">
        <v>87.86</v>
      </c>
      <c r="K3071" t="s">
        <v>22</v>
      </c>
      <c r="L3071">
        <v>1129.44</v>
      </c>
      <c r="M3071">
        <f>VLOOKUP(K3071,RatingLookup!$A$2:$C$8,2,FALSE)</f>
        <v>5.0000000000000001E-3</v>
      </c>
      <c r="N3071">
        <f t="shared" si="141"/>
        <v>4.1762458919303302E-4</v>
      </c>
      <c r="O3071">
        <f>VLOOKUP(K3071,RatingLookup!$A$2:$C$8,3,FALSE)</f>
        <v>0.45</v>
      </c>
      <c r="P3071">
        <f t="shared" si="142"/>
        <v>0.21225686220818066</v>
      </c>
      <c r="Q3071" t="str">
        <f t="shared" ca="1" si="143"/>
        <v>No</v>
      </c>
    </row>
    <row r="3072" spans="1:17" x14ac:dyDescent="0.45">
      <c r="A3072" t="s">
        <v>138</v>
      </c>
      <c r="B3072" t="s">
        <v>139</v>
      </c>
      <c r="C3072" t="s">
        <v>77</v>
      </c>
      <c r="D3072" t="s">
        <v>20</v>
      </c>
      <c r="E3072" t="s">
        <v>21</v>
      </c>
      <c r="F3072" s="1">
        <v>44136</v>
      </c>
      <c r="G3072">
        <v>4.76</v>
      </c>
      <c r="H3072">
        <v>82.0809</v>
      </c>
      <c r="I3072">
        <v>16.59</v>
      </c>
      <c r="J3072">
        <v>88.52</v>
      </c>
      <c r="K3072" t="s">
        <v>22</v>
      </c>
      <c r="L3072">
        <v>1145.04</v>
      </c>
      <c r="M3072">
        <f>VLOOKUP(K3072,RatingLookup!$A$2:$C$8,2,FALSE)</f>
        <v>5.0000000000000001E-3</v>
      </c>
      <c r="N3072">
        <f t="shared" si="141"/>
        <v>4.1762458919303302E-4</v>
      </c>
      <c r="O3072">
        <f>VLOOKUP(K3072,RatingLookup!$A$2:$C$8,3,FALSE)</f>
        <v>0.45</v>
      </c>
      <c r="P3072">
        <f t="shared" si="142"/>
        <v>0.21518858682431574</v>
      </c>
      <c r="Q3072" t="str">
        <f t="shared" ca="1" si="143"/>
        <v>No</v>
      </c>
    </row>
    <row r="3073" spans="1:17" x14ac:dyDescent="0.45">
      <c r="A3073" t="s">
        <v>138</v>
      </c>
      <c r="B3073" t="s">
        <v>139</v>
      </c>
      <c r="C3073" t="s">
        <v>77</v>
      </c>
      <c r="D3073" t="s">
        <v>20</v>
      </c>
      <c r="E3073" t="s">
        <v>21</v>
      </c>
      <c r="F3073" s="1">
        <v>44166</v>
      </c>
      <c r="G3073">
        <v>4.8600000000000003</v>
      </c>
      <c r="H3073">
        <v>84.142799999999994</v>
      </c>
      <c r="I3073">
        <v>23.5</v>
      </c>
      <c r="J3073">
        <v>58.62</v>
      </c>
      <c r="K3073" t="s">
        <v>22</v>
      </c>
      <c r="L3073">
        <v>1110.8499999999999</v>
      </c>
      <c r="M3073">
        <f>VLOOKUP(K3073,RatingLookup!$A$2:$C$8,2,FALSE)</f>
        <v>5.0000000000000001E-3</v>
      </c>
      <c r="N3073">
        <f t="shared" si="141"/>
        <v>4.1762458919303302E-4</v>
      </c>
      <c r="O3073">
        <f>VLOOKUP(K3073,RatingLookup!$A$2:$C$8,3,FALSE)</f>
        <v>0.45</v>
      </c>
      <c r="P3073">
        <f t="shared" si="142"/>
        <v>0.20876322370728631</v>
      </c>
      <c r="Q3073" t="str">
        <f t="shared" ca="1" si="143"/>
        <v>No</v>
      </c>
    </row>
    <row r="3074" spans="1:17" x14ac:dyDescent="0.45">
      <c r="A3074" t="s">
        <v>138</v>
      </c>
      <c r="B3074" t="s">
        <v>139</v>
      </c>
      <c r="C3074" t="s">
        <v>77</v>
      </c>
      <c r="D3074" t="s">
        <v>20</v>
      </c>
      <c r="E3074" t="s">
        <v>21</v>
      </c>
      <c r="F3074" s="1">
        <v>44197</v>
      </c>
      <c r="G3074">
        <v>4.6100000000000003</v>
      </c>
      <c r="H3074">
        <v>80.9619</v>
      </c>
      <c r="I3074">
        <v>12.83</v>
      </c>
      <c r="J3074">
        <v>60.49</v>
      </c>
      <c r="K3074" t="s">
        <v>22</v>
      </c>
      <c r="L3074">
        <v>1120.23</v>
      </c>
      <c r="M3074">
        <f>VLOOKUP(K3074,RatingLookup!$A$2:$C$8,2,FALSE)</f>
        <v>5.0000000000000001E-3</v>
      </c>
      <c r="N3074">
        <f t="shared" ref="N3074:N3137" si="144">1-(1-M3074)^(1/12)</f>
        <v>4.1762458919303302E-4</v>
      </c>
      <c r="O3074">
        <f>VLOOKUP(K3074,RatingLookup!$A$2:$C$8,3,FALSE)</f>
        <v>0.45</v>
      </c>
      <c r="P3074">
        <f t="shared" ref="P3074:P3137" si="145">L3074*N3074*O3074</f>
        <v>0.21052601709827012</v>
      </c>
      <c r="Q3074" t="str">
        <f t="shared" ref="Q3074:Q3137" ca="1" si="146">IF(RAND()&lt;N3074,"Yes","No")</f>
        <v>No</v>
      </c>
    </row>
    <row r="3075" spans="1:17" x14ac:dyDescent="0.45">
      <c r="A3075" t="s">
        <v>138</v>
      </c>
      <c r="B3075" t="s">
        <v>139</v>
      </c>
      <c r="C3075" t="s">
        <v>77</v>
      </c>
      <c r="D3075" t="s">
        <v>20</v>
      </c>
      <c r="E3075" t="s">
        <v>21</v>
      </c>
      <c r="F3075" s="1">
        <v>44228</v>
      </c>
      <c r="G3075">
        <v>4.93</v>
      </c>
      <c r="H3075">
        <v>84.117500000000007</v>
      </c>
      <c r="I3075">
        <v>12.45</v>
      </c>
      <c r="J3075">
        <v>81.17</v>
      </c>
      <c r="K3075" t="s">
        <v>22</v>
      </c>
      <c r="L3075">
        <v>1049.46</v>
      </c>
      <c r="M3075">
        <f>VLOOKUP(K3075,RatingLookup!$A$2:$C$8,2,FALSE)</f>
        <v>5.0000000000000001E-3</v>
      </c>
      <c r="N3075">
        <f t="shared" si="144"/>
        <v>4.1762458919303302E-4</v>
      </c>
      <c r="O3075">
        <f>VLOOKUP(K3075,RatingLookup!$A$2:$C$8,3,FALSE)</f>
        <v>0.45</v>
      </c>
      <c r="P3075">
        <f t="shared" si="145"/>
        <v>0.19722613561853422</v>
      </c>
      <c r="Q3075" t="str">
        <f t="shared" ca="1" si="146"/>
        <v>No</v>
      </c>
    </row>
    <row r="3076" spans="1:17" x14ac:dyDescent="0.45">
      <c r="A3076" t="s">
        <v>138</v>
      </c>
      <c r="B3076" t="s">
        <v>139</v>
      </c>
      <c r="C3076" t="s">
        <v>77</v>
      </c>
      <c r="D3076" t="s">
        <v>20</v>
      </c>
      <c r="E3076" t="s">
        <v>21</v>
      </c>
      <c r="F3076" s="1">
        <v>44256</v>
      </c>
      <c r="G3076">
        <v>6.75</v>
      </c>
      <c r="H3076">
        <v>82.789900000000003</v>
      </c>
      <c r="I3076">
        <v>14.63</v>
      </c>
      <c r="J3076">
        <v>69.040000000000006</v>
      </c>
      <c r="K3076" t="s">
        <v>22</v>
      </c>
      <c r="L3076">
        <v>1106.95</v>
      </c>
      <c r="M3076">
        <f>VLOOKUP(K3076,RatingLookup!$A$2:$C$8,2,FALSE)</f>
        <v>5.0000000000000001E-3</v>
      </c>
      <c r="N3076">
        <f t="shared" si="144"/>
        <v>4.1762458919303302E-4</v>
      </c>
      <c r="O3076">
        <f>VLOOKUP(K3076,RatingLookup!$A$2:$C$8,3,FALSE)</f>
        <v>0.45</v>
      </c>
      <c r="P3076">
        <f t="shared" si="145"/>
        <v>0.20803029255325256</v>
      </c>
      <c r="Q3076" t="str">
        <f t="shared" ca="1" si="146"/>
        <v>No</v>
      </c>
    </row>
    <row r="3077" spans="1:17" x14ac:dyDescent="0.45">
      <c r="A3077" t="s">
        <v>138</v>
      </c>
      <c r="B3077" t="s">
        <v>139</v>
      </c>
      <c r="C3077" t="s">
        <v>77</v>
      </c>
      <c r="D3077" t="s">
        <v>20</v>
      </c>
      <c r="E3077" t="s">
        <v>21</v>
      </c>
      <c r="F3077" s="1">
        <v>44287</v>
      </c>
      <c r="G3077">
        <v>5.51</v>
      </c>
      <c r="H3077">
        <v>83.253</v>
      </c>
      <c r="I3077">
        <v>10.71</v>
      </c>
      <c r="J3077">
        <v>72.47</v>
      </c>
      <c r="K3077" t="s">
        <v>22</v>
      </c>
      <c r="L3077">
        <v>1155.1099999999999</v>
      </c>
      <c r="M3077">
        <f>VLOOKUP(K3077,RatingLookup!$A$2:$C$8,2,FALSE)</f>
        <v>5.0000000000000001E-3</v>
      </c>
      <c r="N3077">
        <f t="shared" si="144"/>
        <v>4.1762458919303302E-4</v>
      </c>
      <c r="O3077">
        <f>VLOOKUP(K3077,RatingLookup!$A$2:$C$8,3,FALSE)</f>
        <v>0.45</v>
      </c>
      <c r="P3077">
        <f t="shared" si="145"/>
        <v>0.21708105265024394</v>
      </c>
      <c r="Q3077" t="str">
        <f t="shared" ca="1" si="146"/>
        <v>No</v>
      </c>
    </row>
    <row r="3078" spans="1:17" x14ac:dyDescent="0.45">
      <c r="A3078" t="s">
        <v>138</v>
      </c>
      <c r="B3078" t="s">
        <v>139</v>
      </c>
      <c r="C3078" t="s">
        <v>77</v>
      </c>
      <c r="D3078" t="s">
        <v>20</v>
      </c>
      <c r="E3078" t="s">
        <v>21</v>
      </c>
      <c r="F3078" s="1">
        <v>44317</v>
      </c>
      <c r="G3078">
        <v>4.8899999999999997</v>
      </c>
      <c r="H3078">
        <v>84.506699999999995</v>
      </c>
      <c r="I3078">
        <v>21.77</v>
      </c>
      <c r="J3078">
        <v>81.48</v>
      </c>
      <c r="K3078" t="s">
        <v>22</v>
      </c>
      <c r="L3078">
        <v>1034.3699999999999</v>
      </c>
      <c r="M3078">
        <f>VLOOKUP(K3078,RatingLookup!$A$2:$C$8,2,FALSE)</f>
        <v>5.0000000000000001E-3</v>
      </c>
      <c r="N3078">
        <f t="shared" si="144"/>
        <v>4.1762458919303302E-4</v>
      </c>
      <c r="O3078">
        <f>VLOOKUP(K3078,RatingLookup!$A$2:$C$8,3,FALSE)</f>
        <v>0.45</v>
      </c>
      <c r="P3078">
        <f t="shared" si="145"/>
        <v>0.19439025584561889</v>
      </c>
      <c r="Q3078" t="str">
        <f t="shared" ca="1" si="146"/>
        <v>No</v>
      </c>
    </row>
    <row r="3079" spans="1:17" x14ac:dyDescent="0.45">
      <c r="A3079" t="s">
        <v>138</v>
      </c>
      <c r="B3079" t="s">
        <v>139</v>
      </c>
      <c r="C3079" t="s">
        <v>77</v>
      </c>
      <c r="D3079" t="s">
        <v>20</v>
      </c>
      <c r="E3079" t="s">
        <v>21</v>
      </c>
      <c r="F3079" s="1">
        <v>44348</v>
      </c>
      <c r="G3079">
        <v>5.88</v>
      </c>
      <c r="H3079">
        <v>80.8001</v>
      </c>
      <c r="I3079">
        <v>26.06</v>
      </c>
      <c r="J3079">
        <v>67.69</v>
      </c>
      <c r="K3079" t="s">
        <v>22</v>
      </c>
      <c r="L3079">
        <v>1055.22</v>
      </c>
      <c r="M3079">
        <f>VLOOKUP(K3079,RatingLookup!$A$2:$C$8,2,FALSE)</f>
        <v>5.0000000000000001E-3</v>
      </c>
      <c r="N3079">
        <f t="shared" si="144"/>
        <v>4.1762458919303302E-4</v>
      </c>
      <c r="O3079">
        <f>VLOOKUP(K3079,RatingLookup!$A$2:$C$8,3,FALSE)</f>
        <v>0.45</v>
      </c>
      <c r="P3079">
        <f t="shared" si="145"/>
        <v>0.19830861855372253</v>
      </c>
      <c r="Q3079" t="str">
        <f t="shared" ca="1" si="146"/>
        <v>No</v>
      </c>
    </row>
    <row r="3080" spans="1:17" x14ac:dyDescent="0.45">
      <c r="A3080" t="s">
        <v>138</v>
      </c>
      <c r="B3080" t="s">
        <v>139</v>
      </c>
      <c r="C3080" t="s">
        <v>77</v>
      </c>
      <c r="D3080" t="s">
        <v>20</v>
      </c>
      <c r="E3080" t="s">
        <v>21</v>
      </c>
      <c r="F3080" s="1">
        <v>44378</v>
      </c>
      <c r="G3080">
        <v>5.41</v>
      </c>
      <c r="H3080">
        <v>85.964399999999998</v>
      </c>
      <c r="I3080">
        <v>21.1</v>
      </c>
      <c r="J3080">
        <v>89.14</v>
      </c>
      <c r="K3080" t="s">
        <v>22</v>
      </c>
      <c r="L3080">
        <v>1070.24</v>
      </c>
      <c r="M3080">
        <f>VLOOKUP(K3080,RatingLookup!$A$2:$C$8,2,FALSE)</f>
        <v>5.0000000000000001E-3</v>
      </c>
      <c r="N3080">
        <f t="shared" si="144"/>
        <v>4.1762458919303302E-4</v>
      </c>
      <c r="O3080">
        <f>VLOOKUP(K3080,RatingLookup!$A$2:$C$8,3,FALSE)</f>
        <v>0.45</v>
      </c>
      <c r="P3080">
        <f t="shared" si="145"/>
        <v>0.20113134315207826</v>
      </c>
      <c r="Q3080" t="str">
        <f t="shared" ca="1" si="146"/>
        <v>No</v>
      </c>
    </row>
    <row r="3081" spans="1:17" x14ac:dyDescent="0.45">
      <c r="A3081" t="s">
        <v>138</v>
      </c>
      <c r="B3081" t="s">
        <v>139</v>
      </c>
      <c r="C3081" t="s">
        <v>77</v>
      </c>
      <c r="D3081" t="s">
        <v>20</v>
      </c>
      <c r="E3081" t="s">
        <v>21</v>
      </c>
      <c r="F3081" s="1">
        <v>44409</v>
      </c>
      <c r="G3081">
        <v>6.27</v>
      </c>
      <c r="H3081">
        <v>85.02</v>
      </c>
      <c r="I3081">
        <v>27.28</v>
      </c>
      <c r="J3081">
        <v>83.28</v>
      </c>
      <c r="K3081" t="s">
        <v>22</v>
      </c>
      <c r="L3081">
        <v>1116.45</v>
      </c>
      <c r="M3081">
        <f>VLOOKUP(K3081,RatingLookup!$A$2:$C$8,2,FALSE)</f>
        <v>5.0000000000000001E-3</v>
      </c>
      <c r="N3081">
        <f t="shared" si="144"/>
        <v>4.1762458919303302E-4</v>
      </c>
      <c r="O3081">
        <f>VLOOKUP(K3081,RatingLookup!$A$2:$C$8,3,FALSE)</f>
        <v>0.45</v>
      </c>
      <c r="P3081">
        <f t="shared" si="145"/>
        <v>0.20981563767205277</v>
      </c>
      <c r="Q3081" t="str">
        <f t="shared" ca="1" si="146"/>
        <v>No</v>
      </c>
    </row>
    <row r="3082" spans="1:17" x14ac:dyDescent="0.45">
      <c r="A3082" t="s">
        <v>138</v>
      </c>
      <c r="B3082" t="s">
        <v>139</v>
      </c>
      <c r="C3082" t="s">
        <v>77</v>
      </c>
      <c r="D3082" t="s">
        <v>20</v>
      </c>
      <c r="E3082" t="s">
        <v>21</v>
      </c>
      <c r="F3082" s="1">
        <v>44440</v>
      </c>
      <c r="G3082">
        <v>5.07</v>
      </c>
      <c r="H3082">
        <v>83.306700000000006</v>
      </c>
      <c r="I3082">
        <v>28.76</v>
      </c>
      <c r="J3082">
        <v>80.010000000000005</v>
      </c>
      <c r="K3082" t="s">
        <v>22</v>
      </c>
      <c r="L3082">
        <v>1106.8900000000001</v>
      </c>
      <c r="M3082">
        <f>VLOOKUP(K3082,RatingLookup!$A$2:$C$8,2,FALSE)</f>
        <v>5.0000000000000001E-3</v>
      </c>
      <c r="N3082">
        <f t="shared" si="144"/>
        <v>4.1762458919303302E-4</v>
      </c>
      <c r="O3082">
        <f>VLOOKUP(K3082,RatingLookup!$A$2:$C$8,3,FALSE)</f>
        <v>0.45</v>
      </c>
      <c r="P3082">
        <f t="shared" si="145"/>
        <v>0.20801901668934439</v>
      </c>
      <c r="Q3082" t="str">
        <f t="shared" ca="1" si="146"/>
        <v>No</v>
      </c>
    </row>
    <row r="3083" spans="1:17" x14ac:dyDescent="0.45">
      <c r="A3083" t="s">
        <v>138</v>
      </c>
      <c r="B3083" t="s">
        <v>139</v>
      </c>
      <c r="C3083" t="s">
        <v>77</v>
      </c>
      <c r="D3083" t="s">
        <v>20</v>
      </c>
      <c r="E3083" t="s">
        <v>21</v>
      </c>
      <c r="F3083" s="1">
        <v>44470</v>
      </c>
      <c r="G3083">
        <v>5.54</v>
      </c>
      <c r="H3083">
        <v>83.790700000000001</v>
      </c>
      <c r="I3083">
        <v>23.69</v>
      </c>
      <c r="J3083">
        <v>62.07</v>
      </c>
      <c r="K3083" t="s">
        <v>22</v>
      </c>
      <c r="L3083">
        <v>996.47</v>
      </c>
      <c r="M3083">
        <f>VLOOKUP(K3083,RatingLookup!$A$2:$C$8,2,FALSE)</f>
        <v>5.0000000000000001E-3</v>
      </c>
      <c r="N3083">
        <f t="shared" si="144"/>
        <v>4.1762458919303302E-4</v>
      </c>
      <c r="O3083">
        <f>VLOOKUP(K3083,RatingLookup!$A$2:$C$8,3,FALSE)</f>
        <v>0.45</v>
      </c>
      <c r="P3083">
        <f t="shared" si="145"/>
        <v>0.18726766847693174</v>
      </c>
      <c r="Q3083" t="str">
        <f t="shared" ca="1" si="146"/>
        <v>No</v>
      </c>
    </row>
    <row r="3084" spans="1:17" x14ac:dyDescent="0.45">
      <c r="A3084" t="s">
        <v>138</v>
      </c>
      <c r="B3084" t="s">
        <v>139</v>
      </c>
      <c r="C3084" t="s">
        <v>77</v>
      </c>
      <c r="D3084" t="s">
        <v>20</v>
      </c>
      <c r="E3084" t="s">
        <v>21</v>
      </c>
      <c r="F3084" s="1">
        <v>44501</v>
      </c>
      <c r="G3084">
        <v>4.95</v>
      </c>
      <c r="H3084">
        <v>83.319299999999998</v>
      </c>
      <c r="I3084">
        <v>29.15</v>
      </c>
      <c r="J3084">
        <v>80.53</v>
      </c>
      <c r="K3084" t="s">
        <v>22</v>
      </c>
      <c r="L3084">
        <v>1103.72</v>
      </c>
      <c r="M3084">
        <f>VLOOKUP(K3084,RatingLookup!$A$2:$C$8,2,FALSE)</f>
        <v>5.0000000000000001E-3</v>
      </c>
      <c r="N3084">
        <f t="shared" si="144"/>
        <v>4.1762458919303302E-4</v>
      </c>
      <c r="O3084">
        <f>VLOOKUP(K3084,RatingLookup!$A$2:$C$8,3,FALSE)</f>
        <v>0.45</v>
      </c>
      <c r="P3084">
        <f t="shared" si="145"/>
        <v>0.2074232752128605</v>
      </c>
      <c r="Q3084" t="str">
        <f t="shared" ca="1" si="146"/>
        <v>No</v>
      </c>
    </row>
    <row r="3085" spans="1:17" x14ac:dyDescent="0.45">
      <c r="A3085" t="s">
        <v>138</v>
      </c>
      <c r="B3085" t="s">
        <v>139</v>
      </c>
      <c r="C3085" t="s">
        <v>77</v>
      </c>
      <c r="D3085" t="s">
        <v>20</v>
      </c>
      <c r="E3085" t="s">
        <v>21</v>
      </c>
      <c r="F3085" s="1">
        <v>44531</v>
      </c>
      <c r="G3085">
        <v>4.99</v>
      </c>
      <c r="H3085">
        <v>77.701700000000002</v>
      </c>
      <c r="I3085">
        <v>18.77</v>
      </c>
      <c r="J3085">
        <v>80.510000000000005</v>
      </c>
      <c r="K3085" t="s">
        <v>22</v>
      </c>
      <c r="L3085">
        <v>1049.18</v>
      </c>
      <c r="M3085">
        <f>VLOOKUP(K3085,RatingLookup!$A$2:$C$8,2,FALSE)</f>
        <v>5.0000000000000001E-3</v>
      </c>
      <c r="N3085">
        <f t="shared" si="144"/>
        <v>4.1762458919303302E-4</v>
      </c>
      <c r="O3085">
        <f>VLOOKUP(K3085,RatingLookup!$A$2:$C$8,3,FALSE)</f>
        <v>0.45</v>
      </c>
      <c r="P3085">
        <f t="shared" si="145"/>
        <v>0.19717351492029589</v>
      </c>
      <c r="Q3085" t="str">
        <f t="shared" ca="1" si="146"/>
        <v>No</v>
      </c>
    </row>
    <row r="3086" spans="1:17" x14ac:dyDescent="0.45">
      <c r="A3086" t="s">
        <v>138</v>
      </c>
      <c r="B3086" t="s">
        <v>139</v>
      </c>
      <c r="C3086" t="s">
        <v>77</v>
      </c>
      <c r="D3086" t="s">
        <v>20</v>
      </c>
      <c r="E3086" t="s">
        <v>21</v>
      </c>
      <c r="F3086" s="1">
        <v>44562</v>
      </c>
      <c r="G3086">
        <v>5.0599999999999996</v>
      </c>
      <c r="H3086">
        <v>84.335499999999996</v>
      </c>
      <c r="I3086">
        <v>21.16</v>
      </c>
      <c r="J3086">
        <v>93.68</v>
      </c>
      <c r="K3086" t="s">
        <v>22</v>
      </c>
      <c r="L3086">
        <v>1059.82</v>
      </c>
      <c r="M3086">
        <f>VLOOKUP(K3086,RatingLookup!$A$2:$C$8,2,FALSE)</f>
        <v>5.0000000000000001E-3</v>
      </c>
      <c r="N3086">
        <f t="shared" si="144"/>
        <v>4.1762458919303302E-4</v>
      </c>
      <c r="O3086">
        <f>VLOOKUP(K3086,RatingLookup!$A$2:$C$8,3,FALSE)</f>
        <v>0.45</v>
      </c>
      <c r="P3086">
        <f t="shared" si="145"/>
        <v>0.19917310145335212</v>
      </c>
      <c r="Q3086" t="str">
        <f t="shared" ca="1" si="146"/>
        <v>No</v>
      </c>
    </row>
    <row r="3087" spans="1:17" x14ac:dyDescent="0.45">
      <c r="A3087" t="s">
        <v>138</v>
      </c>
      <c r="B3087" t="s">
        <v>139</v>
      </c>
      <c r="C3087" t="s">
        <v>77</v>
      </c>
      <c r="D3087" t="s">
        <v>20</v>
      </c>
      <c r="E3087" t="s">
        <v>21</v>
      </c>
      <c r="F3087" s="1">
        <v>44593</v>
      </c>
      <c r="G3087">
        <v>5.54</v>
      </c>
      <c r="H3087">
        <v>77.541300000000007</v>
      </c>
      <c r="I3087">
        <v>21.16</v>
      </c>
      <c r="J3087">
        <v>100.85</v>
      </c>
      <c r="K3087" t="s">
        <v>22</v>
      </c>
      <c r="L3087">
        <v>1135.75</v>
      </c>
      <c r="M3087">
        <f>VLOOKUP(K3087,RatingLookup!$A$2:$C$8,2,FALSE)</f>
        <v>5.0000000000000001E-3</v>
      </c>
      <c r="N3087">
        <f t="shared" si="144"/>
        <v>4.1762458919303302E-4</v>
      </c>
      <c r="O3087">
        <f>VLOOKUP(K3087,RatingLookup!$A$2:$C$8,3,FALSE)</f>
        <v>0.45</v>
      </c>
      <c r="P3087">
        <f t="shared" si="145"/>
        <v>0.21344270722919428</v>
      </c>
      <c r="Q3087" t="str">
        <f t="shared" ca="1" si="146"/>
        <v>No</v>
      </c>
    </row>
    <row r="3088" spans="1:17" x14ac:dyDescent="0.45">
      <c r="A3088" t="s">
        <v>138</v>
      </c>
      <c r="B3088" t="s">
        <v>139</v>
      </c>
      <c r="C3088" t="s">
        <v>77</v>
      </c>
      <c r="D3088" t="s">
        <v>20</v>
      </c>
      <c r="E3088" t="s">
        <v>21</v>
      </c>
      <c r="F3088" s="1">
        <v>44621</v>
      </c>
      <c r="G3088">
        <v>5.41</v>
      </c>
      <c r="H3088">
        <v>84.024000000000001</v>
      </c>
      <c r="I3088">
        <v>24.94</v>
      </c>
      <c r="J3088">
        <v>61.59</v>
      </c>
      <c r="K3088" t="s">
        <v>22</v>
      </c>
      <c r="L3088">
        <v>1106.29</v>
      </c>
      <c r="M3088">
        <f>VLOOKUP(K3088,RatingLookup!$A$2:$C$8,2,FALSE)</f>
        <v>5.0000000000000001E-3</v>
      </c>
      <c r="N3088">
        <f t="shared" si="144"/>
        <v>4.1762458919303302E-4</v>
      </c>
      <c r="O3088">
        <f>VLOOKUP(K3088,RatingLookup!$A$2:$C$8,3,FALSE)</f>
        <v>0.45</v>
      </c>
      <c r="P3088">
        <f t="shared" si="145"/>
        <v>0.20790625805026225</v>
      </c>
      <c r="Q3088" t="str">
        <f t="shared" ca="1" si="146"/>
        <v>No</v>
      </c>
    </row>
    <row r="3089" spans="1:17" x14ac:dyDescent="0.45">
      <c r="A3089" t="s">
        <v>138</v>
      </c>
      <c r="B3089" t="s">
        <v>139</v>
      </c>
      <c r="C3089" t="s">
        <v>77</v>
      </c>
      <c r="D3089" t="s">
        <v>20</v>
      </c>
      <c r="E3089" t="s">
        <v>21</v>
      </c>
      <c r="F3089" s="1">
        <v>44652</v>
      </c>
      <c r="G3089">
        <v>5.44</v>
      </c>
      <c r="H3089">
        <v>76.389200000000002</v>
      </c>
      <c r="I3089">
        <v>21.18</v>
      </c>
      <c r="J3089">
        <v>57.08</v>
      </c>
      <c r="K3089" t="s">
        <v>22</v>
      </c>
      <c r="L3089">
        <v>1154.79</v>
      </c>
      <c r="M3089">
        <f>VLOOKUP(K3089,RatingLookup!$A$2:$C$8,2,FALSE)</f>
        <v>5.0000000000000001E-3</v>
      </c>
      <c r="N3089">
        <f t="shared" si="144"/>
        <v>4.1762458919303302E-4</v>
      </c>
      <c r="O3089">
        <f>VLOOKUP(K3089,RatingLookup!$A$2:$C$8,3,FALSE)</f>
        <v>0.45</v>
      </c>
      <c r="P3089">
        <f t="shared" si="145"/>
        <v>0.21702091470940019</v>
      </c>
      <c r="Q3089" t="str">
        <f t="shared" ca="1" si="146"/>
        <v>No</v>
      </c>
    </row>
    <row r="3090" spans="1:17" x14ac:dyDescent="0.45">
      <c r="A3090" t="s">
        <v>138</v>
      </c>
      <c r="B3090" t="s">
        <v>139</v>
      </c>
      <c r="C3090" t="s">
        <v>77</v>
      </c>
      <c r="D3090" t="s">
        <v>20</v>
      </c>
      <c r="E3090" t="s">
        <v>21</v>
      </c>
      <c r="F3090" s="1">
        <v>44682</v>
      </c>
      <c r="G3090">
        <v>5.04</v>
      </c>
      <c r="H3090">
        <v>80.325800000000001</v>
      </c>
      <c r="I3090">
        <v>17.63</v>
      </c>
      <c r="J3090">
        <v>69.19</v>
      </c>
      <c r="K3090" t="s">
        <v>22</v>
      </c>
      <c r="L3090">
        <v>1068.8800000000001</v>
      </c>
      <c r="M3090">
        <f>VLOOKUP(K3090,RatingLookup!$A$2:$C$8,2,FALSE)</f>
        <v>5.0000000000000001E-3</v>
      </c>
      <c r="N3090">
        <f t="shared" si="144"/>
        <v>4.1762458919303302E-4</v>
      </c>
      <c r="O3090">
        <f>VLOOKUP(K3090,RatingLookup!$A$2:$C$8,3,FALSE)</f>
        <v>0.45</v>
      </c>
      <c r="P3090">
        <f t="shared" si="145"/>
        <v>0.20087575690349213</v>
      </c>
      <c r="Q3090" t="str">
        <f t="shared" ca="1" si="146"/>
        <v>No</v>
      </c>
    </row>
    <row r="3091" spans="1:17" x14ac:dyDescent="0.45">
      <c r="A3091" t="s">
        <v>138</v>
      </c>
      <c r="B3091" t="s">
        <v>139</v>
      </c>
      <c r="C3091" t="s">
        <v>77</v>
      </c>
      <c r="D3091" t="s">
        <v>20</v>
      </c>
      <c r="E3091" t="s">
        <v>21</v>
      </c>
      <c r="F3091" s="1">
        <v>44713</v>
      </c>
      <c r="G3091">
        <v>4.57</v>
      </c>
      <c r="H3091">
        <v>81.458500000000001</v>
      </c>
      <c r="I3091">
        <v>22.32</v>
      </c>
      <c r="J3091">
        <v>65.34</v>
      </c>
      <c r="K3091" t="s">
        <v>22</v>
      </c>
      <c r="L3091">
        <v>1118.5999999999999</v>
      </c>
      <c r="M3091">
        <f>VLOOKUP(K3091,RatingLookup!$A$2:$C$8,2,FALSE)</f>
        <v>5.0000000000000001E-3</v>
      </c>
      <c r="N3091">
        <f t="shared" si="144"/>
        <v>4.1762458919303302E-4</v>
      </c>
      <c r="O3091">
        <f>VLOOKUP(K3091,RatingLookup!$A$2:$C$8,3,FALSE)</f>
        <v>0.45</v>
      </c>
      <c r="P3091">
        <f t="shared" si="145"/>
        <v>0.21021968946209704</v>
      </c>
      <c r="Q3091" t="str">
        <f t="shared" ca="1" si="146"/>
        <v>No</v>
      </c>
    </row>
    <row r="3092" spans="1:17" x14ac:dyDescent="0.45">
      <c r="A3092" t="s">
        <v>138</v>
      </c>
      <c r="B3092" t="s">
        <v>139</v>
      </c>
      <c r="C3092" t="s">
        <v>77</v>
      </c>
      <c r="D3092" t="s">
        <v>20</v>
      </c>
      <c r="E3092" t="s">
        <v>21</v>
      </c>
      <c r="F3092" s="1">
        <v>44743</v>
      </c>
      <c r="G3092">
        <v>5.62</v>
      </c>
      <c r="H3092">
        <v>84.278599999999997</v>
      </c>
      <c r="I3092">
        <v>10.92</v>
      </c>
      <c r="J3092">
        <v>74.17</v>
      </c>
      <c r="K3092" t="s">
        <v>22</v>
      </c>
      <c r="L3092">
        <v>1045.52</v>
      </c>
      <c r="M3092">
        <f>VLOOKUP(K3092,RatingLookup!$A$2:$C$8,2,FALSE)</f>
        <v>5.0000000000000001E-3</v>
      </c>
      <c r="N3092">
        <f t="shared" si="144"/>
        <v>4.1762458919303302E-4</v>
      </c>
      <c r="O3092">
        <f>VLOOKUP(K3092,RatingLookup!$A$2:$C$8,3,FALSE)</f>
        <v>0.45</v>
      </c>
      <c r="P3092">
        <f t="shared" si="145"/>
        <v>0.19648568722189497</v>
      </c>
      <c r="Q3092" t="str">
        <f t="shared" ca="1" si="146"/>
        <v>No</v>
      </c>
    </row>
    <row r="3093" spans="1:17" x14ac:dyDescent="0.45">
      <c r="A3093" t="s">
        <v>138</v>
      </c>
      <c r="B3093" t="s">
        <v>139</v>
      </c>
      <c r="C3093" t="s">
        <v>77</v>
      </c>
      <c r="D3093" t="s">
        <v>20</v>
      </c>
      <c r="E3093" t="s">
        <v>21</v>
      </c>
      <c r="F3093" s="1">
        <v>44774</v>
      </c>
      <c r="G3093">
        <v>5.7</v>
      </c>
      <c r="H3093">
        <v>88.791499999999999</v>
      </c>
      <c r="I3093">
        <v>22.35</v>
      </c>
      <c r="J3093">
        <v>92.22</v>
      </c>
      <c r="K3093" t="s">
        <v>22</v>
      </c>
      <c r="L3093">
        <v>1027.0899999999999</v>
      </c>
      <c r="M3093">
        <f>VLOOKUP(K3093,RatingLookup!$A$2:$C$8,2,FALSE)</f>
        <v>5.0000000000000001E-3</v>
      </c>
      <c r="N3093">
        <f t="shared" si="144"/>
        <v>4.1762458919303302E-4</v>
      </c>
      <c r="O3093">
        <f>VLOOKUP(K3093,RatingLookup!$A$2:$C$8,3,FALSE)</f>
        <v>0.45</v>
      </c>
      <c r="P3093">
        <f t="shared" si="145"/>
        <v>0.19302211769142252</v>
      </c>
      <c r="Q3093" t="str">
        <f t="shared" ca="1" si="146"/>
        <v>No</v>
      </c>
    </row>
    <row r="3094" spans="1:17" x14ac:dyDescent="0.45">
      <c r="A3094" t="s">
        <v>138</v>
      </c>
      <c r="B3094" t="s">
        <v>139</v>
      </c>
      <c r="C3094" t="s">
        <v>77</v>
      </c>
      <c r="D3094" t="s">
        <v>20</v>
      </c>
      <c r="E3094" t="s">
        <v>21</v>
      </c>
      <c r="F3094" s="1">
        <v>44805</v>
      </c>
      <c r="G3094">
        <v>5.45</v>
      </c>
      <c r="H3094">
        <v>83.182100000000005</v>
      </c>
      <c r="I3094">
        <v>19.03</v>
      </c>
      <c r="J3094">
        <v>96.63</v>
      </c>
      <c r="K3094" t="s">
        <v>22</v>
      </c>
      <c r="L3094">
        <v>1051.48</v>
      </c>
      <c r="M3094">
        <f>VLOOKUP(K3094,RatingLookup!$A$2:$C$8,2,FALSE)</f>
        <v>5.0000000000000001E-3</v>
      </c>
      <c r="N3094">
        <f t="shared" si="144"/>
        <v>4.1762458919303302E-4</v>
      </c>
      <c r="O3094">
        <f>VLOOKUP(K3094,RatingLookup!$A$2:$C$8,3,FALSE)</f>
        <v>0.45</v>
      </c>
      <c r="P3094">
        <f t="shared" si="145"/>
        <v>0.19760575637011066</v>
      </c>
      <c r="Q3094" t="str">
        <f t="shared" ca="1" si="146"/>
        <v>No</v>
      </c>
    </row>
    <row r="3095" spans="1:17" x14ac:dyDescent="0.45">
      <c r="A3095" t="s">
        <v>138</v>
      </c>
      <c r="B3095" t="s">
        <v>139</v>
      </c>
      <c r="C3095" t="s">
        <v>77</v>
      </c>
      <c r="D3095" t="s">
        <v>20</v>
      </c>
      <c r="E3095" t="s">
        <v>21</v>
      </c>
      <c r="F3095" s="1">
        <v>44835</v>
      </c>
      <c r="G3095">
        <v>5.69</v>
      </c>
      <c r="H3095">
        <v>83.924800000000005</v>
      </c>
      <c r="I3095">
        <v>18.350000000000001</v>
      </c>
      <c r="J3095">
        <v>82.25</v>
      </c>
      <c r="K3095" t="s">
        <v>22</v>
      </c>
      <c r="L3095">
        <v>1062.47</v>
      </c>
      <c r="M3095">
        <f>VLOOKUP(K3095,RatingLookup!$A$2:$C$8,2,FALSE)</f>
        <v>5.0000000000000001E-3</v>
      </c>
      <c r="N3095">
        <f t="shared" si="144"/>
        <v>4.1762458919303302E-4</v>
      </c>
      <c r="O3095">
        <f>VLOOKUP(K3095,RatingLookup!$A$2:$C$8,3,FALSE)</f>
        <v>0.45</v>
      </c>
      <c r="P3095">
        <f t="shared" si="145"/>
        <v>0.19967111877596483</v>
      </c>
      <c r="Q3095" t="str">
        <f t="shared" ca="1" si="146"/>
        <v>No</v>
      </c>
    </row>
    <row r="3096" spans="1:17" x14ac:dyDescent="0.45">
      <c r="A3096" t="s">
        <v>138</v>
      </c>
      <c r="B3096" t="s">
        <v>139</v>
      </c>
      <c r="C3096" t="s">
        <v>77</v>
      </c>
      <c r="D3096" t="s">
        <v>20</v>
      </c>
      <c r="E3096" t="s">
        <v>21</v>
      </c>
      <c r="F3096" s="1">
        <v>44866</v>
      </c>
      <c r="G3096">
        <v>4.99</v>
      </c>
      <c r="H3096">
        <v>79.449100000000001</v>
      </c>
      <c r="I3096">
        <v>10.69</v>
      </c>
      <c r="J3096">
        <v>70.099999999999994</v>
      </c>
      <c r="K3096" t="s">
        <v>22</v>
      </c>
      <c r="L3096">
        <v>1075.1300000000001</v>
      </c>
      <c r="M3096">
        <f>VLOOKUP(K3096,RatingLookup!$A$2:$C$8,2,FALSE)</f>
        <v>5.0000000000000001E-3</v>
      </c>
      <c r="N3096">
        <f t="shared" si="144"/>
        <v>4.1762458919303302E-4</v>
      </c>
      <c r="O3096">
        <f>VLOOKUP(K3096,RatingLookup!$A$2:$C$8,3,FALSE)</f>
        <v>0.45</v>
      </c>
      <c r="P3096">
        <f t="shared" si="145"/>
        <v>0.20205032606059753</v>
      </c>
      <c r="Q3096" t="str">
        <f t="shared" ca="1" si="146"/>
        <v>No</v>
      </c>
    </row>
    <row r="3097" spans="1:17" x14ac:dyDescent="0.45">
      <c r="A3097" t="s">
        <v>138</v>
      </c>
      <c r="B3097" t="s">
        <v>139</v>
      </c>
      <c r="C3097" t="s">
        <v>77</v>
      </c>
      <c r="D3097" t="s">
        <v>20</v>
      </c>
      <c r="E3097" t="s">
        <v>21</v>
      </c>
      <c r="F3097" s="1">
        <v>44896</v>
      </c>
      <c r="G3097">
        <v>5.58</v>
      </c>
      <c r="H3097">
        <v>81.164299999999997</v>
      </c>
      <c r="I3097">
        <v>21.32</v>
      </c>
      <c r="J3097">
        <v>66.55</v>
      </c>
      <c r="K3097" t="s">
        <v>22</v>
      </c>
      <c r="L3097">
        <v>1068.03</v>
      </c>
      <c r="M3097">
        <f>VLOOKUP(K3097,RatingLookup!$A$2:$C$8,2,FALSE)</f>
        <v>5.0000000000000001E-3</v>
      </c>
      <c r="N3097">
        <f t="shared" si="144"/>
        <v>4.1762458919303302E-4</v>
      </c>
      <c r="O3097">
        <f>VLOOKUP(K3097,RatingLookup!$A$2:$C$8,3,FALSE)</f>
        <v>0.45</v>
      </c>
      <c r="P3097">
        <f t="shared" si="145"/>
        <v>0.20071601549812576</v>
      </c>
      <c r="Q3097" t="str">
        <f t="shared" ca="1" si="146"/>
        <v>No</v>
      </c>
    </row>
    <row r="3098" spans="1:17" x14ac:dyDescent="0.45">
      <c r="A3098" t="s">
        <v>138</v>
      </c>
      <c r="B3098" t="s">
        <v>139</v>
      </c>
      <c r="C3098" t="s">
        <v>77</v>
      </c>
      <c r="D3098" t="s">
        <v>20</v>
      </c>
      <c r="E3098" t="s">
        <v>21</v>
      </c>
      <c r="F3098" s="1">
        <v>44927</v>
      </c>
      <c r="G3098">
        <v>4.75</v>
      </c>
      <c r="H3098">
        <v>82.501999999999995</v>
      </c>
      <c r="I3098">
        <v>13.73</v>
      </c>
      <c r="J3098">
        <v>50.98</v>
      </c>
      <c r="K3098" t="s">
        <v>22</v>
      </c>
      <c r="L3098">
        <v>1108.55</v>
      </c>
      <c r="M3098">
        <f>VLOOKUP(K3098,RatingLookup!$A$2:$C$8,2,FALSE)</f>
        <v>5.0000000000000001E-3</v>
      </c>
      <c r="N3098">
        <f t="shared" si="144"/>
        <v>4.1762458919303302E-4</v>
      </c>
      <c r="O3098">
        <f>VLOOKUP(K3098,RatingLookup!$A$2:$C$8,3,FALSE)</f>
        <v>0.45</v>
      </c>
      <c r="P3098">
        <f t="shared" si="145"/>
        <v>0.20833098225747154</v>
      </c>
      <c r="Q3098" t="str">
        <f t="shared" ca="1" si="146"/>
        <v>No</v>
      </c>
    </row>
    <row r="3099" spans="1:17" x14ac:dyDescent="0.45">
      <c r="A3099" t="s">
        <v>138</v>
      </c>
      <c r="B3099" t="s">
        <v>139</v>
      </c>
      <c r="C3099" t="s">
        <v>77</v>
      </c>
      <c r="D3099" t="s">
        <v>20</v>
      </c>
      <c r="E3099" t="s">
        <v>21</v>
      </c>
      <c r="F3099" s="1">
        <v>44958</v>
      </c>
      <c r="G3099">
        <v>6.02</v>
      </c>
      <c r="H3099">
        <v>84.350099999999998</v>
      </c>
      <c r="I3099">
        <v>13.61</v>
      </c>
      <c r="J3099">
        <v>99.2</v>
      </c>
      <c r="K3099" t="s">
        <v>22</v>
      </c>
      <c r="L3099">
        <v>1116.93</v>
      </c>
      <c r="M3099">
        <f>VLOOKUP(K3099,RatingLookup!$A$2:$C$8,2,FALSE)</f>
        <v>5.0000000000000001E-3</v>
      </c>
      <c r="N3099">
        <f t="shared" si="144"/>
        <v>4.1762458919303302E-4</v>
      </c>
      <c r="O3099">
        <f>VLOOKUP(K3099,RatingLookup!$A$2:$C$8,3,FALSE)</f>
        <v>0.45</v>
      </c>
      <c r="P3099">
        <f t="shared" si="145"/>
        <v>0.20990584458331848</v>
      </c>
      <c r="Q3099" t="str">
        <f t="shared" ca="1" si="146"/>
        <v>No</v>
      </c>
    </row>
    <row r="3100" spans="1:17" x14ac:dyDescent="0.45">
      <c r="A3100" t="s">
        <v>138</v>
      </c>
      <c r="B3100" t="s">
        <v>139</v>
      </c>
      <c r="C3100" t="s">
        <v>77</v>
      </c>
      <c r="D3100" t="s">
        <v>20</v>
      </c>
      <c r="E3100" t="s">
        <v>21</v>
      </c>
      <c r="F3100" s="1">
        <v>44986</v>
      </c>
      <c r="G3100">
        <v>4.57</v>
      </c>
      <c r="H3100">
        <v>80.051500000000004</v>
      </c>
      <c r="I3100">
        <v>24.28</v>
      </c>
      <c r="J3100">
        <v>95.9</v>
      </c>
      <c r="K3100" t="s">
        <v>22</v>
      </c>
      <c r="L3100">
        <v>1116.7</v>
      </c>
      <c r="M3100">
        <f>VLOOKUP(K3100,RatingLookup!$A$2:$C$8,2,FALSE)</f>
        <v>5.0000000000000001E-3</v>
      </c>
      <c r="N3100">
        <f t="shared" si="144"/>
        <v>4.1762458919303302E-4</v>
      </c>
      <c r="O3100">
        <f>VLOOKUP(K3100,RatingLookup!$A$2:$C$8,3,FALSE)</f>
        <v>0.45</v>
      </c>
      <c r="P3100">
        <f t="shared" si="145"/>
        <v>0.20986262043833701</v>
      </c>
      <c r="Q3100" t="str">
        <f t="shared" ca="1" si="146"/>
        <v>No</v>
      </c>
    </row>
    <row r="3101" spans="1:17" x14ac:dyDescent="0.45">
      <c r="A3101" t="s">
        <v>138</v>
      </c>
      <c r="B3101" t="s">
        <v>139</v>
      </c>
      <c r="C3101" t="s">
        <v>77</v>
      </c>
      <c r="D3101" t="s">
        <v>20</v>
      </c>
      <c r="E3101" t="s">
        <v>21</v>
      </c>
      <c r="F3101" s="1">
        <v>45017</v>
      </c>
      <c r="G3101">
        <v>5.56</v>
      </c>
      <c r="H3101">
        <v>79.149799999999999</v>
      </c>
      <c r="I3101">
        <v>28.55</v>
      </c>
      <c r="J3101">
        <v>75.099999999999994</v>
      </c>
      <c r="K3101" t="s">
        <v>22</v>
      </c>
      <c r="L3101">
        <v>1163.6500000000001</v>
      </c>
      <c r="M3101">
        <f>VLOOKUP(K3101,RatingLookup!$A$2:$C$8,2,FALSE)</f>
        <v>5.0000000000000001E-3</v>
      </c>
      <c r="N3101">
        <f t="shared" si="144"/>
        <v>4.1762458919303302E-4</v>
      </c>
      <c r="O3101">
        <f>VLOOKUP(K3101,RatingLookup!$A$2:$C$8,3,FALSE)</f>
        <v>0.45</v>
      </c>
      <c r="P3101">
        <f t="shared" si="145"/>
        <v>0.21868598394651281</v>
      </c>
      <c r="Q3101" t="str">
        <f t="shared" ca="1" si="146"/>
        <v>No</v>
      </c>
    </row>
    <row r="3102" spans="1:17" x14ac:dyDescent="0.45">
      <c r="A3102" t="s">
        <v>138</v>
      </c>
      <c r="B3102" t="s">
        <v>139</v>
      </c>
      <c r="C3102" t="s">
        <v>77</v>
      </c>
      <c r="D3102" t="s">
        <v>20</v>
      </c>
      <c r="E3102" t="s">
        <v>21</v>
      </c>
      <c r="F3102" s="1">
        <v>45047</v>
      </c>
      <c r="G3102">
        <v>4.6399999999999997</v>
      </c>
      <c r="H3102">
        <v>85.603300000000004</v>
      </c>
      <c r="I3102">
        <v>22.66</v>
      </c>
      <c r="J3102">
        <v>63.28</v>
      </c>
      <c r="K3102" t="s">
        <v>22</v>
      </c>
      <c r="L3102">
        <v>1176.5</v>
      </c>
      <c r="M3102">
        <f>VLOOKUP(K3102,RatingLookup!$A$2:$C$8,2,FALSE)</f>
        <v>5.0000000000000001E-3</v>
      </c>
      <c r="N3102">
        <f t="shared" si="144"/>
        <v>4.1762458919303302E-4</v>
      </c>
      <c r="O3102">
        <f>VLOOKUP(K3102,RatingLookup!$A$2:$C$8,3,FALSE)</f>
        <v>0.45</v>
      </c>
      <c r="P3102">
        <f t="shared" si="145"/>
        <v>0.22110089813352152</v>
      </c>
      <c r="Q3102" t="str">
        <f t="shared" ca="1" si="146"/>
        <v>No</v>
      </c>
    </row>
    <row r="3103" spans="1:17" x14ac:dyDescent="0.45">
      <c r="A3103" t="s">
        <v>138</v>
      </c>
      <c r="B3103" t="s">
        <v>139</v>
      </c>
      <c r="C3103" t="s">
        <v>77</v>
      </c>
      <c r="D3103" t="s">
        <v>20</v>
      </c>
      <c r="E3103" t="s">
        <v>21</v>
      </c>
      <c r="F3103" s="1">
        <v>45078</v>
      </c>
      <c r="G3103">
        <v>4.91</v>
      </c>
      <c r="H3103">
        <v>79.704300000000003</v>
      </c>
      <c r="I3103">
        <v>12.74</v>
      </c>
      <c r="J3103">
        <v>118.13</v>
      </c>
      <c r="K3103" t="s">
        <v>22</v>
      </c>
      <c r="L3103">
        <v>1240.55</v>
      </c>
      <c r="M3103">
        <f>VLOOKUP(K3103,RatingLookup!$A$2:$C$8,2,FALSE)</f>
        <v>5.0000000000000001E-3</v>
      </c>
      <c r="N3103">
        <f t="shared" si="144"/>
        <v>4.1762458919303302E-4</v>
      </c>
      <c r="O3103">
        <f>VLOOKUP(K3103,RatingLookup!$A$2:$C$8,3,FALSE)</f>
        <v>0.45</v>
      </c>
      <c r="P3103">
        <f t="shared" si="145"/>
        <v>0.23313788285553769</v>
      </c>
      <c r="Q3103" t="str">
        <f t="shared" ca="1" si="146"/>
        <v>No</v>
      </c>
    </row>
    <row r="3104" spans="1:17" x14ac:dyDescent="0.45">
      <c r="A3104" t="s">
        <v>138</v>
      </c>
      <c r="B3104" t="s">
        <v>139</v>
      </c>
      <c r="C3104" t="s">
        <v>77</v>
      </c>
      <c r="D3104" t="s">
        <v>20</v>
      </c>
      <c r="E3104" t="s">
        <v>21</v>
      </c>
      <c r="F3104" s="1">
        <v>45108</v>
      </c>
      <c r="G3104">
        <v>6.22</v>
      </c>
      <c r="H3104">
        <v>79.610299999999995</v>
      </c>
      <c r="I3104">
        <v>22.98</v>
      </c>
      <c r="J3104">
        <v>89.07</v>
      </c>
      <c r="K3104" t="s">
        <v>22</v>
      </c>
      <c r="L3104">
        <v>1127.1500000000001</v>
      </c>
      <c r="M3104">
        <f>VLOOKUP(K3104,RatingLookup!$A$2:$C$8,2,FALSE)</f>
        <v>5.0000000000000001E-3</v>
      </c>
      <c r="N3104">
        <f t="shared" si="144"/>
        <v>4.1762458919303302E-4</v>
      </c>
      <c r="O3104">
        <f>VLOOKUP(K3104,RatingLookup!$A$2:$C$8,3,FALSE)</f>
        <v>0.45</v>
      </c>
      <c r="P3104">
        <f t="shared" si="145"/>
        <v>0.21182650006901724</v>
      </c>
      <c r="Q3104" t="str">
        <f t="shared" ca="1" si="146"/>
        <v>No</v>
      </c>
    </row>
    <row r="3105" spans="1:17" x14ac:dyDescent="0.45">
      <c r="A3105" t="s">
        <v>138</v>
      </c>
      <c r="B3105" t="s">
        <v>139</v>
      </c>
      <c r="C3105" t="s">
        <v>77</v>
      </c>
      <c r="D3105" t="s">
        <v>20</v>
      </c>
      <c r="E3105" t="s">
        <v>21</v>
      </c>
      <c r="F3105" s="1">
        <v>45139</v>
      </c>
      <c r="G3105">
        <v>6.33</v>
      </c>
      <c r="H3105">
        <v>83.450800000000001</v>
      </c>
      <c r="I3105">
        <v>9.66</v>
      </c>
      <c r="J3105">
        <v>88.69</v>
      </c>
      <c r="K3105" t="s">
        <v>22</v>
      </c>
      <c r="L3105">
        <v>1183.07</v>
      </c>
      <c r="M3105">
        <f>VLOOKUP(K3105,RatingLookup!$A$2:$C$8,2,FALSE)</f>
        <v>5.0000000000000001E-3</v>
      </c>
      <c r="N3105">
        <f t="shared" si="144"/>
        <v>4.1762458919303302E-4</v>
      </c>
      <c r="O3105">
        <f>VLOOKUP(K3105,RatingLookup!$A$2:$C$8,3,FALSE)</f>
        <v>0.45</v>
      </c>
      <c r="P3105">
        <f t="shared" si="145"/>
        <v>0.2223356052314707</v>
      </c>
      <c r="Q3105" t="str">
        <f t="shared" ca="1" si="146"/>
        <v>No</v>
      </c>
    </row>
    <row r="3106" spans="1:17" x14ac:dyDescent="0.45">
      <c r="A3106" t="s">
        <v>138</v>
      </c>
      <c r="B3106" t="s">
        <v>139</v>
      </c>
      <c r="C3106" t="s">
        <v>77</v>
      </c>
      <c r="D3106" t="s">
        <v>20</v>
      </c>
      <c r="E3106" t="s">
        <v>21</v>
      </c>
      <c r="F3106" s="1">
        <v>45170</v>
      </c>
      <c r="G3106">
        <v>5.41</v>
      </c>
      <c r="H3106">
        <v>79.532300000000006</v>
      </c>
      <c r="I3106">
        <v>24.09</v>
      </c>
      <c r="J3106">
        <v>82.56</v>
      </c>
      <c r="K3106" t="s">
        <v>22</v>
      </c>
      <c r="L3106">
        <v>1126.68</v>
      </c>
      <c r="M3106">
        <f>VLOOKUP(K3106,RatingLookup!$A$2:$C$8,2,FALSE)</f>
        <v>5.0000000000000001E-3</v>
      </c>
      <c r="N3106">
        <f t="shared" si="144"/>
        <v>4.1762458919303302E-4</v>
      </c>
      <c r="O3106">
        <f>VLOOKUP(K3106,RatingLookup!$A$2:$C$8,3,FALSE)</f>
        <v>0.45</v>
      </c>
      <c r="P3106">
        <f t="shared" si="145"/>
        <v>0.2117381724684029</v>
      </c>
      <c r="Q3106" t="str">
        <f t="shared" ca="1" si="146"/>
        <v>No</v>
      </c>
    </row>
    <row r="3107" spans="1:17" x14ac:dyDescent="0.45">
      <c r="A3107" t="s">
        <v>138</v>
      </c>
      <c r="B3107" t="s">
        <v>139</v>
      </c>
      <c r="C3107" t="s">
        <v>77</v>
      </c>
      <c r="D3107" t="s">
        <v>20</v>
      </c>
      <c r="E3107" t="s">
        <v>21</v>
      </c>
      <c r="F3107" s="1">
        <v>45200</v>
      </c>
      <c r="G3107">
        <v>5.61</v>
      </c>
      <c r="H3107">
        <v>81.712699999999998</v>
      </c>
      <c r="I3107">
        <v>9.2100000000000009</v>
      </c>
      <c r="J3107">
        <v>74.88</v>
      </c>
      <c r="K3107" t="s">
        <v>22</v>
      </c>
      <c r="L3107">
        <v>1163.3499999999999</v>
      </c>
      <c r="M3107">
        <f>VLOOKUP(K3107,RatingLookup!$A$2:$C$8,2,FALSE)</f>
        <v>5.0000000000000001E-3</v>
      </c>
      <c r="N3107">
        <f t="shared" si="144"/>
        <v>4.1762458919303302E-4</v>
      </c>
      <c r="O3107">
        <f>VLOOKUP(K3107,RatingLookup!$A$2:$C$8,3,FALSE)</f>
        <v>0.45</v>
      </c>
      <c r="P3107">
        <f t="shared" si="145"/>
        <v>0.21862960462697173</v>
      </c>
      <c r="Q3107" t="str">
        <f t="shared" ca="1" si="146"/>
        <v>No</v>
      </c>
    </row>
    <row r="3108" spans="1:17" x14ac:dyDescent="0.45">
      <c r="A3108" t="s">
        <v>138</v>
      </c>
      <c r="B3108" t="s">
        <v>139</v>
      </c>
      <c r="C3108" t="s">
        <v>77</v>
      </c>
      <c r="D3108" t="s">
        <v>20</v>
      </c>
      <c r="E3108" t="s">
        <v>21</v>
      </c>
      <c r="F3108" s="1">
        <v>45231</v>
      </c>
      <c r="G3108">
        <v>4.6500000000000004</v>
      </c>
      <c r="H3108">
        <v>80.390799999999999</v>
      </c>
      <c r="I3108">
        <v>12.5</v>
      </c>
      <c r="J3108">
        <v>80.95</v>
      </c>
      <c r="K3108" t="s">
        <v>22</v>
      </c>
      <c r="L3108">
        <v>1217.54</v>
      </c>
      <c r="M3108">
        <f>VLOOKUP(K3108,RatingLookup!$A$2:$C$8,2,FALSE)</f>
        <v>5.0000000000000001E-3</v>
      </c>
      <c r="N3108">
        <f t="shared" si="144"/>
        <v>4.1762458919303302E-4</v>
      </c>
      <c r="O3108">
        <f>VLOOKUP(K3108,RatingLookup!$A$2:$C$8,3,FALSE)</f>
        <v>0.45</v>
      </c>
      <c r="P3108">
        <f t="shared" si="145"/>
        <v>0.22881358904673843</v>
      </c>
      <c r="Q3108" t="str">
        <f t="shared" ca="1" si="146"/>
        <v>No</v>
      </c>
    </row>
    <row r="3109" spans="1:17" x14ac:dyDescent="0.45">
      <c r="A3109" t="s">
        <v>138</v>
      </c>
      <c r="B3109" t="s">
        <v>139</v>
      </c>
      <c r="C3109" t="s">
        <v>77</v>
      </c>
      <c r="D3109" t="s">
        <v>20</v>
      </c>
      <c r="E3109" t="s">
        <v>21</v>
      </c>
      <c r="F3109" s="1">
        <v>45261</v>
      </c>
      <c r="G3109">
        <v>6.85</v>
      </c>
      <c r="H3109">
        <v>81.059799999999996</v>
      </c>
      <c r="I3109">
        <v>5</v>
      </c>
      <c r="J3109">
        <v>81.349999999999994</v>
      </c>
      <c r="K3109" t="s">
        <v>22</v>
      </c>
      <c r="L3109">
        <v>1209.0999999999999</v>
      </c>
      <c r="M3109">
        <f>VLOOKUP(K3109,RatingLookup!$A$2:$C$8,2,FALSE)</f>
        <v>5.0000000000000001E-3</v>
      </c>
      <c r="N3109">
        <f t="shared" si="144"/>
        <v>4.1762458919303302E-4</v>
      </c>
      <c r="O3109">
        <f>VLOOKUP(K3109,RatingLookup!$A$2:$C$8,3,FALSE)</f>
        <v>0.45</v>
      </c>
      <c r="P3109">
        <f t="shared" si="145"/>
        <v>0.22722745085698332</v>
      </c>
      <c r="Q3109" t="str">
        <f t="shared" ca="1" si="146"/>
        <v>No</v>
      </c>
    </row>
    <row r="3110" spans="1:17" x14ac:dyDescent="0.45">
      <c r="A3110" t="s">
        <v>138</v>
      </c>
      <c r="B3110" t="s">
        <v>139</v>
      </c>
      <c r="C3110" t="s">
        <v>77</v>
      </c>
      <c r="D3110" t="s">
        <v>20</v>
      </c>
      <c r="E3110" t="s">
        <v>21</v>
      </c>
      <c r="F3110" s="1">
        <v>45292</v>
      </c>
      <c r="G3110">
        <v>6.33</v>
      </c>
      <c r="H3110">
        <v>85.970699999999994</v>
      </c>
      <c r="I3110">
        <v>28.22</v>
      </c>
      <c r="J3110">
        <v>90.89</v>
      </c>
      <c r="K3110" t="s">
        <v>22</v>
      </c>
      <c r="L3110">
        <v>1087.33</v>
      </c>
      <c r="M3110">
        <f>VLOOKUP(K3110,RatingLookup!$A$2:$C$8,2,FALSE)</f>
        <v>5.0000000000000001E-3</v>
      </c>
      <c r="N3110">
        <f t="shared" si="144"/>
        <v>4.1762458919303302E-4</v>
      </c>
      <c r="O3110">
        <f>VLOOKUP(K3110,RatingLookup!$A$2:$C$8,3,FALSE)</f>
        <v>0.45</v>
      </c>
      <c r="P3110">
        <f t="shared" si="145"/>
        <v>0.20434308505526727</v>
      </c>
      <c r="Q3110" t="str">
        <f t="shared" ca="1" si="146"/>
        <v>No</v>
      </c>
    </row>
    <row r="3111" spans="1:17" x14ac:dyDescent="0.45">
      <c r="A3111" t="s">
        <v>138</v>
      </c>
      <c r="B3111" t="s">
        <v>139</v>
      </c>
      <c r="C3111" t="s">
        <v>77</v>
      </c>
      <c r="D3111" t="s">
        <v>20</v>
      </c>
      <c r="E3111" t="s">
        <v>21</v>
      </c>
      <c r="F3111" s="1">
        <v>45323</v>
      </c>
      <c r="G3111">
        <v>4.3899999999999997</v>
      </c>
      <c r="H3111">
        <v>78.050200000000004</v>
      </c>
      <c r="I3111">
        <v>13.19</v>
      </c>
      <c r="J3111">
        <v>70.540000000000006</v>
      </c>
      <c r="K3111" t="s">
        <v>22</v>
      </c>
      <c r="L3111">
        <v>1159.29</v>
      </c>
      <c r="M3111">
        <f>VLOOKUP(K3111,RatingLookup!$A$2:$C$8,2,FALSE)</f>
        <v>5.0000000000000001E-3</v>
      </c>
      <c r="N3111">
        <f t="shared" si="144"/>
        <v>4.1762458919303302E-4</v>
      </c>
      <c r="O3111">
        <f>VLOOKUP(K3111,RatingLookup!$A$2:$C$8,3,FALSE)</f>
        <v>0.45</v>
      </c>
      <c r="P3111">
        <f t="shared" si="145"/>
        <v>0.21786660450251608</v>
      </c>
      <c r="Q3111" t="str">
        <f t="shared" ca="1" si="146"/>
        <v>No</v>
      </c>
    </row>
    <row r="3112" spans="1:17" x14ac:dyDescent="0.45">
      <c r="A3112" t="s">
        <v>138</v>
      </c>
      <c r="B3112" t="s">
        <v>139</v>
      </c>
      <c r="C3112" t="s">
        <v>77</v>
      </c>
      <c r="D3112" t="s">
        <v>20</v>
      </c>
      <c r="E3112" t="s">
        <v>21</v>
      </c>
      <c r="F3112" s="1">
        <v>45352</v>
      </c>
      <c r="G3112">
        <v>5.25</v>
      </c>
      <c r="H3112">
        <v>80.1858</v>
      </c>
      <c r="I3112">
        <v>24.79</v>
      </c>
      <c r="J3112">
        <v>72.73</v>
      </c>
      <c r="K3112" t="s">
        <v>22</v>
      </c>
      <c r="L3112">
        <v>1186.43</v>
      </c>
      <c r="M3112">
        <f>VLOOKUP(K3112,RatingLookup!$A$2:$C$8,2,FALSE)</f>
        <v>5.0000000000000001E-3</v>
      </c>
      <c r="N3112">
        <f t="shared" si="144"/>
        <v>4.1762458919303302E-4</v>
      </c>
      <c r="O3112">
        <f>VLOOKUP(K3112,RatingLookup!$A$2:$C$8,3,FALSE)</f>
        <v>0.45</v>
      </c>
      <c r="P3112">
        <f t="shared" si="145"/>
        <v>0.22296705361033059</v>
      </c>
      <c r="Q3112" t="str">
        <f t="shared" ca="1" si="146"/>
        <v>No</v>
      </c>
    </row>
    <row r="3113" spans="1:17" x14ac:dyDescent="0.45">
      <c r="A3113" t="s">
        <v>138</v>
      </c>
      <c r="B3113" t="s">
        <v>139</v>
      </c>
      <c r="C3113" t="s">
        <v>77</v>
      </c>
      <c r="D3113" t="s">
        <v>20</v>
      </c>
      <c r="E3113" t="s">
        <v>21</v>
      </c>
      <c r="F3113" s="1">
        <v>45383</v>
      </c>
      <c r="G3113">
        <v>4.66</v>
      </c>
      <c r="H3113">
        <v>83.6066</v>
      </c>
      <c r="I3113">
        <v>16.079999999999998</v>
      </c>
      <c r="J3113">
        <v>73.819999999999993</v>
      </c>
      <c r="K3113" t="s">
        <v>22</v>
      </c>
      <c r="L3113">
        <v>1073.32</v>
      </c>
      <c r="M3113">
        <f>VLOOKUP(K3113,RatingLookup!$A$2:$C$8,2,FALSE)</f>
        <v>5.0000000000000001E-3</v>
      </c>
      <c r="N3113">
        <f t="shared" si="144"/>
        <v>4.1762458919303302E-4</v>
      </c>
      <c r="O3113">
        <f>VLOOKUP(K3113,RatingLookup!$A$2:$C$8,3,FALSE)</f>
        <v>0.45</v>
      </c>
      <c r="P3113">
        <f t="shared" si="145"/>
        <v>0.20171017083269979</v>
      </c>
      <c r="Q3113" t="str">
        <f t="shared" ca="1" si="146"/>
        <v>No</v>
      </c>
    </row>
    <row r="3114" spans="1:17" x14ac:dyDescent="0.45">
      <c r="A3114" t="s">
        <v>138</v>
      </c>
      <c r="B3114" t="s">
        <v>139</v>
      </c>
      <c r="C3114" t="s">
        <v>77</v>
      </c>
      <c r="D3114" t="s">
        <v>20</v>
      </c>
      <c r="E3114" t="s">
        <v>21</v>
      </c>
      <c r="F3114" s="1">
        <v>45413</v>
      </c>
      <c r="G3114">
        <v>5.65</v>
      </c>
      <c r="H3114">
        <v>82.891999999999996</v>
      </c>
      <c r="I3114">
        <v>22.65</v>
      </c>
      <c r="J3114">
        <v>66.150000000000006</v>
      </c>
      <c r="K3114" t="s">
        <v>22</v>
      </c>
      <c r="L3114">
        <v>1143.99</v>
      </c>
      <c r="M3114">
        <f>VLOOKUP(K3114,RatingLookup!$A$2:$C$8,2,FALSE)</f>
        <v>5.0000000000000001E-3</v>
      </c>
      <c r="N3114">
        <f t="shared" si="144"/>
        <v>4.1762458919303302E-4</v>
      </c>
      <c r="O3114">
        <f>VLOOKUP(K3114,RatingLookup!$A$2:$C$8,3,FALSE)</f>
        <v>0.45</v>
      </c>
      <c r="P3114">
        <f t="shared" si="145"/>
        <v>0.21499125920592202</v>
      </c>
      <c r="Q3114" t="str">
        <f t="shared" ca="1" si="146"/>
        <v>No</v>
      </c>
    </row>
    <row r="3115" spans="1:17" x14ac:dyDescent="0.45">
      <c r="A3115" t="s">
        <v>138</v>
      </c>
      <c r="B3115" t="s">
        <v>139</v>
      </c>
      <c r="C3115" t="s">
        <v>77</v>
      </c>
      <c r="D3115" t="s">
        <v>20</v>
      </c>
      <c r="E3115" t="s">
        <v>21</v>
      </c>
      <c r="F3115" s="1">
        <v>45444</v>
      </c>
      <c r="G3115">
        <v>5.76</v>
      </c>
      <c r="H3115">
        <v>81.122399999999999</v>
      </c>
      <c r="I3115">
        <v>11.26</v>
      </c>
      <c r="J3115">
        <v>95.01</v>
      </c>
      <c r="K3115" t="s">
        <v>22</v>
      </c>
      <c r="L3115">
        <v>1121</v>
      </c>
      <c r="M3115">
        <f>VLOOKUP(K3115,RatingLookup!$A$2:$C$8,2,FALSE)</f>
        <v>5.0000000000000001E-3</v>
      </c>
      <c r="N3115">
        <f t="shared" si="144"/>
        <v>4.1762458919303302E-4</v>
      </c>
      <c r="O3115">
        <f>VLOOKUP(K3115,RatingLookup!$A$2:$C$8,3,FALSE)</f>
        <v>0.45</v>
      </c>
      <c r="P3115">
        <f t="shared" si="145"/>
        <v>0.21067072401842551</v>
      </c>
      <c r="Q3115" t="str">
        <f t="shared" ca="1" si="146"/>
        <v>No</v>
      </c>
    </row>
    <row r="3116" spans="1:17" x14ac:dyDescent="0.45">
      <c r="A3116" t="s">
        <v>138</v>
      </c>
      <c r="B3116" t="s">
        <v>139</v>
      </c>
      <c r="C3116" t="s">
        <v>77</v>
      </c>
      <c r="D3116" t="s">
        <v>20</v>
      </c>
      <c r="E3116" t="s">
        <v>21</v>
      </c>
      <c r="F3116" s="1">
        <v>45474</v>
      </c>
      <c r="G3116">
        <v>5.25</v>
      </c>
      <c r="H3116">
        <v>81.776899999999998</v>
      </c>
      <c r="I3116">
        <v>13.34</v>
      </c>
      <c r="J3116">
        <v>75.040000000000006</v>
      </c>
      <c r="K3116" t="s">
        <v>22</v>
      </c>
      <c r="L3116">
        <v>1195.97</v>
      </c>
      <c r="M3116">
        <f>VLOOKUP(K3116,RatingLookup!$A$2:$C$8,2,FALSE)</f>
        <v>5.0000000000000001E-3</v>
      </c>
      <c r="N3116">
        <f t="shared" si="144"/>
        <v>4.1762458919303302E-4</v>
      </c>
      <c r="O3116">
        <f>VLOOKUP(K3116,RatingLookup!$A$2:$C$8,3,FALSE)</f>
        <v>0.45</v>
      </c>
      <c r="P3116">
        <f t="shared" si="145"/>
        <v>0.22475991597173628</v>
      </c>
      <c r="Q3116" t="str">
        <f t="shared" ca="1" si="146"/>
        <v>No</v>
      </c>
    </row>
    <row r="3117" spans="1:17" x14ac:dyDescent="0.45">
      <c r="A3117" t="s">
        <v>138</v>
      </c>
      <c r="B3117" t="s">
        <v>139</v>
      </c>
      <c r="C3117" t="s">
        <v>77</v>
      </c>
      <c r="D3117" t="s">
        <v>20</v>
      </c>
      <c r="E3117" t="s">
        <v>21</v>
      </c>
      <c r="F3117" s="1">
        <v>45505</v>
      </c>
      <c r="G3117">
        <v>5.85</v>
      </c>
      <c r="H3117">
        <v>88.599599999999995</v>
      </c>
      <c r="I3117">
        <v>19.27</v>
      </c>
      <c r="J3117">
        <v>76.22</v>
      </c>
      <c r="K3117" t="s">
        <v>22</v>
      </c>
      <c r="L3117">
        <v>1152.1600000000001</v>
      </c>
      <c r="M3117">
        <f>VLOOKUP(K3117,RatingLookup!$A$2:$C$8,2,FALSE)</f>
        <v>5.0000000000000001E-3</v>
      </c>
      <c r="N3117">
        <f t="shared" si="144"/>
        <v>4.1762458919303302E-4</v>
      </c>
      <c r="O3117">
        <f>VLOOKUP(K3117,RatingLookup!$A$2:$C$8,3,FALSE)</f>
        <v>0.45</v>
      </c>
      <c r="P3117">
        <f t="shared" si="145"/>
        <v>0.21652665600809023</v>
      </c>
      <c r="Q3117" t="str">
        <f t="shared" ca="1" si="146"/>
        <v>No</v>
      </c>
    </row>
    <row r="3118" spans="1:17" x14ac:dyDescent="0.45">
      <c r="A3118" t="s">
        <v>138</v>
      </c>
      <c r="B3118" t="s">
        <v>139</v>
      </c>
      <c r="C3118" t="s">
        <v>77</v>
      </c>
      <c r="D3118" t="s">
        <v>20</v>
      </c>
      <c r="E3118" t="s">
        <v>21</v>
      </c>
      <c r="F3118" s="1">
        <v>45536</v>
      </c>
      <c r="G3118">
        <v>5.67</v>
      </c>
      <c r="H3118">
        <v>81.874300000000005</v>
      </c>
      <c r="I3118">
        <v>17.95</v>
      </c>
      <c r="J3118">
        <v>90.53</v>
      </c>
      <c r="K3118" t="s">
        <v>30</v>
      </c>
      <c r="L3118">
        <v>1037.57</v>
      </c>
      <c r="M3118">
        <f>VLOOKUP(K3118,RatingLookup!$A$2:$C$8,2,FALSE)</f>
        <v>1.4999999999999999E-2</v>
      </c>
      <c r="N3118">
        <f t="shared" si="144"/>
        <v>1.2586770182638762E-3</v>
      </c>
      <c r="O3118">
        <f>VLOOKUP(K3118,RatingLookup!$A$2:$C$8,3,FALSE)</f>
        <v>0.5</v>
      </c>
      <c r="P3118">
        <f t="shared" si="145"/>
        <v>0.65298275692002494</v>
      </c>
      <c r="Q3118" t="str">
        <f t="shared" ca="1" si="146"/>
        <v>No</v>
      </c>
    </row>
    <row r="3119" spans="1:17" x14ac:dyDescent="0.45">
      <c r="A3119" t="s">
        <v>138</v>
      </c>
      <c r="B3119" t="s">
        <v>139</v>
      </c>
      <c r="C3119" t="s">
        <v>77</v>
      </c>
      <c r="D3119" t="s">
        <v>20</v>
      </c>
      <c r="E3119" t="s">
        <v>21</v>
      </c>
      <c r="F3119" s="1">
        <v>45566</v>
      </c>
      <c r="G3119">
        <v>5.05</v>
      </c>
      <c r="H3119">
        <v>87.677000000000007</v>
      </c>
      <c r="I3119">
        <v>24.48</v>
      </c>
      <c r="J3119">
        <v>74.77</v>
      </c>
      <c r="K3119" t="s">
        <v>30</v>
      </c>
      <c r="L3119">
        <v>1035.06</v>
      </c>
      <c r="M3119">
        <f>VLOOKUP(K3119,RatingLookup!$A$2:$C$8,2,FALSE)</f>
        <v>1.4999999999999999E-2</v>
      </c>
      <c r="N3119">
        <f t="shared" si="144"/>
        <v>1.2586770182638762E-3</v>
      </c>
      <c r="O3119">
        <f>VLOOKUP(K3119,RatingLookup!$A$2:$C$8,3,FALSE)</f>
        <v>0.5</v>
      </c>
      <c r="P3119">
        <f t="shared" si="145"/>
        <v>0.65140311726210387</v>
      </c>
      <c r="Q3119" t="str">
        <f t="shared" ca="1" si="146"/>
        <v>No</v>
      </c>
    </row>
    <row r="3120" spans="1:17" x14ac:dyDescent="0.45">
      <c r="A3120" t="s">
        <v>138</v>
      </c>
      <c r="B3120" t="s">
        <v>139</v>
      </c>
      <c r="C3120" t="s">
        <v>77</v>
      </c>
      <c r="D3120" t="s">
        <v>20</v>
      </c>
      <c r="E3120" t="s">
        <v>21</v>
      </c>
      <c r="F3120" s="1">
        <v>45597</v>
      </c>
      <c r="G3120">
        <v>5.45</v>
      </c>
      <c r="H3120">
        <v>81.789900000000003</v>
      </c>
      <c r="I3120">
        <v>12.42</v>
      </c>
      <c r="J3120">
        <v>96.57</v>
      </c>
      <c r="K3120" t="s">
        <v>31</v>
      </c>
      <c r="L3120">
        <v>888.32</v>
      </c>
      <c r="M3120">
        <f>VLOOKUP(K3120,RatingLookup!$A$2:$C$8,2,FALSE)</f>
        <v>0.04</v>
      </c>
      <c r="N3120">
        <f t="shared" si="144"/>
        <v>3.3960531989175591E-3</v>
      </c>
      <c r="O3120">
        <f>VLOOKUP(K3120,RatingLookup!$A$2:$C$8,3,FALSE)</f>
        <v>0.6</v>
      </c>
      <c r="P3120">
        <f t="shared" si="145"/>
        <v>1.8100691865974676</v>
      </c>
      <c r="Q3120" t="str">
        <f t="shared" ca="1" si="146"/>
        <v>No</v>
      </c>
    </row>
    <row r="3121" spans="1:17" x14ac:dyDescent="0.45">
      <c r="A3121" t="s">
        <v>138</v>
      </c>
      <c r="B3121" t="s">
        <v>139</v>
      </c>
      <c r="C3121" t="s">
        <v>77</v>
      </c>
      <c r="D3121" t="s">
        <v>20</v>
      </c>
      <c r="E3121" t="s">
        <v>21</v>
      </c>
      <c r="F3121" s="1">
        <v>45627</v>
      </c>
      <c r="G3121">
        <v>5.0999999999999996</v>
      </c>
      <c r="H3121">
        <v>80.080799999999996</v>
      </c>
      <c r="I3121">
        <v>27.31</v>
      </c>
      <c r="J3121">
        <v>62.54</v>
      </c>
      <c r="K3121" t="s">
        <v>31</v>
      </c>
      <c r="L3121">
        <v>922.66</v>
      </c>
      <c r="M3121">
        <f>VLOOKUP(K3121,RatingLookup!$A$2:$C$8,2,FALSE)</f>
        <v>0.04</v>
      </c>
      <c r="N3121">
        <f t="shared" si="144"/>
        <v>3.3960531989175591E-3</v>
      </c>
      <c r="O3121">
        <f>VLOOKUP(K3121,RatingLookup!$A$2:$C$8,3,FALSE)</f>
        <v>0.6</v>
      </c>
      <c r="P3121">
        <f t="shared" si="145"/>
        <v>1.8800414667079648</v>
      </c>
      <c r="Q3121" t="str">
        <f t="shared" ca="1" si="146"/>
        <v>No</v>
      </c>
    </row>
    <row r="3122" spans="1:17" x14ac:dyDescent="0.45">
      <c r="A3122" t="s">
        <v>140</v>
      </c>
      <c r="B3122" t="s">
        <v>141</v>
      </c>
      <c r="C3122" t="s">
        <v>26</v>
      </c>
      <c r="D3122" t="s">
        <v>20</v>
      </c>
      <c r="E3122" t="s">
        <v>21</v>
      </c>
      <c r="F3122" s="1">
        <v>43831</v>
      </c>
      <c r="G3122">
        <v>5.62</v>
      </c>
      <c r="H3122">
        <v>80.149799999999999</v>
      </c>
      <c r="I3122">
        <v>22.84</v>
      </c>
      <c r="J3122">
        <v>65.72</v>
      </c>
      <c r="K3122" t="s">
        <v>22</v>
      </c>
      <c r="L3122">
        <v>903.27</v>
      </c>
      <c r="M3122">
        <f>VLOOKUP(K3122,RatingLookup!$A$2:$C$8,2,FALSE)</f>
        <v>5.0000000000000001E-3</v>
      </c>
      <c r="N3122">
        <f t="shared" si="144"/>
        <v>4.1762458919303302E-4</v>
      </c>
      <c r="O3122">
        <f>VLOOKUP(K3122,RatingLookup!$A$2:$C$8,3,FALSE)</f>
        <v>0.45</v>
      </c>
      <c r="P3122">
        <f t="shared" si="145"/>
        <v>0.16975249320617591</v>
      </c>
      <c r="Q3122" t="str">
        <f t="shared" ca="1" si="146"/>
        <v>No</v>
      </c>
    </row>
    <row r="3123" spans="1:17" x14ac:dyDescent="0.45">
      <c r="A3123" t="s">
        <v>140</v>
      </c>
      <c r="B3123" t="s">
        <v>141</v>
      </c>
      <c r="C3123" t="s">
        <v>26</v>
      </c>
      <c r="D3123" t="s">
        <v>20</v>
      </c>
      <c r="E3123" t="s">
        <v>21</v>
      </c>
      <c r="F3123" s="1">
        <v>43862</v>
      </c>
      <c r="G3123">
        <v>5.88</v>
      </c>
      <c r="H3123">
        <v>82.385000000000005</v>
      </c>
      <c r="I3123">
        <v>22.73</v>
      </c>
      <c r="J3123">
        <v>81.09</v>
      </c>
      <c r="K3123" t="s">
        <v>22</v>
      </c>
      <c r="L3123">
        <v>857.7</v>
      </c>
      <c r="M3123">
        <f>VLOOKUP(K3123,RatingLookup!$A$2:$C$8,2,FALSE)</f>
        <v>5.0000000000000001E-3</v>
      </c>
      <c r="N3123">
        <f t="shared" si="144"/>
        <v>4.1762458919303302E-4</v>
      </c>
      <c r="O3123">
        <f>VLOOKUP(K3123,RatingLookup!$A$2:$C$8,3,FALSE)</f>
        <v>0.45</v>
      </c>
      <c r="P3123">
        <f t="shared" si="145"/>
        <v>0.16118847456788901</v>
      </c>
      <c r="Q3123" t="str">
        <f t="shared" ca="1" si="146"/>
        <v>No</v>
      </c>
    </row>
    <row r="3124" spans="1:17" x14ac:dyDescent="0.45">
      <c r="A3124" t="s">
        <v>140</v>
      </c>
      <c r="B3124" t="s">
        <v>141</v>
      </c>
      <c r="C3124" t="s">
        <v>26</v>
      </c>
      <c r="D3124" t="s">
        <v>20</v>
      </c>
      <c r="E3124" t="s">
        <v>21</v>
      </c>
      <c r="F3124" s="1">
        <v>43891</v>
      </c>
      <c r="G3124">
        <v>6.2</v>
      </c>
      <c r="H3124">
        <v>82.381399999999999</v>
      </c>
      <c r="I3124">
        <v>21.68</v>
      </c>
      <c r="J3124">
        <v>84.57</v>
      </c>
      <c r="K3124" t="s">
        <v>22</v>
      </c>
      <c r="L3124">
        <v>915.19</v>
      </c>
      <c r="M3124">
        <f>VLOOKUP(K3124,RatingLookup!$A$2:$C$8,2,FALSE)</f>
        <v>5.0000000000000001E-3</v>
      </c>
      <c r="N3124">
        <f t="shared" si="144"/>
        <v>4.1762458919303302E-4</v>
      </c>
      <c r="O3124">
        <f>VLOOKUP(K3124,RatingLookup!$A$2:$C$8,3,FALSE)</f>
        <v>0.45</v>
      </c>
      <c r="P3124">
        <f t="shared" si="145"/>
        <v>0.17199263150260738</v>
      </c>
      <c r="Q3124" t="str">
        <f t="shared" ca="1" si="146"/>
        <v>No</v>
      </c>
    </row>
    <row r="3125" spans="1:17" x14ac:dyDescent="0.45">
      <c r="A3125" t="s">
        <v>140</v>
      </c>
      <c r="B3125" t="s">
        <v>141</v>
      </c>
      <c r="C3125" t="s">
        <v>26</v>
      </c>
      <c r="D3125" t="s">
        <v>20</v>
      </c>
      <c r="E3125" t="s">
        <v>21</v>
      </c>
      <c r="F3125" s="1">
        <v>43922</v>
      </c>
      <c r="G3125">
        <v>6.36</v>
      </c>
      <c r="H3125">
        <v>78.777799999999999</v>
      </c>
      <c r="I3125">
        <v>21.42</v>
      </c>
      <c r="J3125">
        <v>80.819999999999993</v>
      </c>
      <c r="K3125" t="s">
        <v>22</v>
      </c>
      <c r="L3125">
        <v>829.99</v>
      </c>
      <c r="M3125">
        <f>VLOOKUP(K3125,RatingLookup!$A$2:$C$8,2,FALSE)</f>
        <v>5.0000000000000001E-3</v>
      </c>
      <c r="N3125">
        <f t="shared" si="144"/>
        <v>4.1762458919303302E-4</v>
      </c>
      <c r="O3125">
        <f>VLOOKUP(K3125,RatingLookup!$A$2:$C$8,3,FALSE)</f>
        <v>0.45</v>
      </c>
      <c r="P3125">
        <f t="shared" si="145"/>
        <v>0.15598090475294646</v>
      </c>
      <c r="Q3125" t="str">
        <f t="shared" ca="1" si="146"/>
        <v>No</v>
      </c>
    </row>
    <row r="3126" spans="1:17" x14ac:dyDescent="0.45">
      <c r="A3126" t="s">
        <v>140</v>
      </c>
      <c r="B3126" t="s">
        <v>141</v>
      </c>
      <c r="C3126" t="s">
        <v>26</v>
      </c>
      <c r="D3126" t="s">
        <v>20</v>
      </c>
      <c r="E3126" t="s">
        <v>21</v>
      </c>
      <c r="F3126" s="1">
        <v>43952</v>
      </c>
      <c r="G3126">
        <v>5.76</v>
      </c>
      <c r="H3126">
        <v>79.059399999999997</v>
      </c>
      <c r="I3126">
        <v>17.32</v>
      </c>
      <c r="J3126">
        <v>61.96</v>
      </c>
      <c r="K3126" t="s">
        <v>22</v>
      </c>
      <c r="L3126">
        <v>878.16</v>
      </c>
      <c r="M3126">
        <f>VLOOKUP(K3126,RatingLookup!$A$2:$C$8,2,FALSE)</f>
        <v>5.0000000000000001E-3</v>
      </c>
      <c r="N3126">
        <f t="shared" si="144"/>
        <v>4.1762458919303302E-4</v>
      </c>
      <c r="O3126">
        <f>VLOOKUP(K3126,RatingLookup!$A$2:$C$8,3,FALSE)</f>
        <v>0.45</v>
      </c>
      <c r="P3126">
        <f t="shared" si="145"/>
        <v>0.16503354416058924</v>
      </c>
      <c r="Q3126" t="str">
        <f t="shared" ca="1" si="146"/>
        <v>No</v>
      </c>
    </row>
    <row r="3127" spans="1:17" x14ac:dyDescent="0.45">
      <c r="A3127" t="s">
        <v>140</v>
      </c>
      <c r="B3127" t="s">
        <v>141</v>
      </c>
      <c r="C3127" t="s">
        <v>26</v>
      </c>
      <c r="D3127" t="s">
        <v>20</v>
      </c>
      <c r="E3127" t="s">
        <v>21</v>
      </c>
      <c r="F3127" s="1">
        <v>43983</v>
      </c>
      <c r="G3127">
        <v>6.61</v>
      </c>
      <c r="H3127">
        <v>81.634900000000002</v>
      </c>
      <c r="I3127">
        <v>17.55</v>
      </c>
      <c r="J3127">
        <v>72.739999999999995</v>
      </c>
      <c r="K3127" t="s">
        <v>22</v>
      </c>
      <c r="L3127">
        <v>841.34</v>
      </c>
      <c r="M3127">
        <f>VLOOKUP(K3127,RatingLookup!$A$2:$C$8,2,FALSE)</f>
        <v>5.0000000000000001E-3</v>
      </c>
      <c r="N3127">
        <f t="shared" si="144"/>
        <v>4.1762458919303302E-4</v>
      </c>
      <c r="O3127">
        <f>VLOOKUP(K3127,RatingLookup!$A$2:$C$8,3,FALSE)</f>
        <v>0.45</v>
      </c>
      <c r="P3127">
        <f t="shared" si="145"/>
        <v>0.15811392234224989</v>
      </c>
      <c r="Q3127" t="str">
        <f t="shared" ca="1" si="146"/>
        <v>No</v>
      </c>
    </row>
    <row r="3128" spans="1:17" x14ac:dyDescent="0.45">
      <c r="A3128" t="s">
        <v>140</v>
      </c>
      <c r="B3128" t="s">
        <v>141</v>
      </c>
      <c r="C3128" t="s">
        <v>26</v>
      </c>
      <c r="D3128" t="s">
        <v>20</v>
      </c>
      <c r="E3128" t="s">
        <v>21</v>
      </c>
      <c r="F3128" s="1">
        <v>44013</v>
      </c>
      <c r="G3128">
        <v>5.62</v>
      </c>
      <c r="H3128">
        <v>82.278499999999994</v>
      </c>
      <c r="I3128">
        <v>16.760000000000002</v>
      </c>
      <c r="J3128">
        <v>62.87</v>
      </c>
      <c r="K3128" t="s">
        <v>22</v>
      </c>
      <c r="L3128">
        <v>893.91</v>
      </c>
      <c r="M3128">
        <f>VLOOKUP(K3128,RatingLookup!$A$2:$C$8,2,FALSE)</f>
        <v>5.0000000000000001E-3</v>
      </c>
      <c r="N3128">
        <f t="shared" si="144"/>
        <v>4.1762458919303302E-4</v>
      </c>
      <c r="O3128">
        <f>VLOOKUP(K3128,RatingLookup!$A$2:$C$8,3,FALSE)</f>
        <v>0.45</v>
      </c>
      <c r="P3128">
        <f t="shared" si="145"/>
        <v>0.16799345843649485</v>
      </c>
      <c r="Q3128" t="str">
        <f t="shared" ca="1" si="146"/>
        <v>No</v>
      </c>
    </row>
    <row r="3129" spans="1:17" x14ac:dyDescent="0.45">
      <c r="A3129" t="s">
        <v>140</v>
      </c>
      <c r="B3129" t="s">
        <v>141</v>
      </c>
      <c r="C3129" t="s">
        <v>26</v>
      </c>
      <c r="D3129" t="s">
        <v>20</v>
      </c>
      <c r="E3129" t="s">
        <v>21</v>
      </c>
      <c r="F3129" s="1">
        <v>44044</v>
      </c>
      <c r="G3129">
        <v>6.35</v>
      </c>
      <c r="H3129">
        <v>84.296099999999996</v>
      </c>
      <c r="I3129">
        <v>25.85</v>
      </c>
      <c r="J3129">
        <v>87.75</v>
      </c>
      <c r="K3129" t="s">
        <v>22</v>
      </c>
      <c r="L3129">
        <v>975.48</v>
      </c>
      <c r="M3129">
        <f>VLOOKUP(K3129,RatingLookup!$A$2:$C$8,2,FALSE)</f>
        <v>5.0000000000000001E-3</v>
      </c>
      <c r="N3129">
        <f t="shared" si="144"/>
        <v>4.1762458919303302E-4</v>
      </c>
      <c r="O3129">
        <f>VLOOKUP(K3129,RatingLookup!$A$2:$C$8,3,FALSE)</f>
        <v>0.45</v>
      </c>
      <c r="P3129">
        <f t="shared" si="145"/>
        <v>0.18332299541970892</v>
      </c>
      <c r="Q3129" t="str">
        <f t="shared" ca="1" si="146"/>
        <v>No</v>
      </c>
    </row>
    <row r="3130" spans="1:17" x14ac:dyDescent="0.45">
      <c r="A3130" t="s">
        <v>140</v>
      </c>
      <c r="B3130" t="s">
        <v>141</v>
      </c>
      <c r="C3130" t="s">
        <v>26</v>
      </c>
      <c r="D3130" t="s">
        <v>20</v>
      </c>
      <c r="E3130" t="s">
        <v>21</v>
      </c>
      <c r="F3130" s="1">
        <v>44075</v>
      </c>
      <c r="G3130">
        <v>5.51</v>
      </c>
      <c r="H3130">
        <v>80.152900000000002</v>
      </c>
      <c r="I3130">
        <v>22.41</v>
      </c>
      <c r="J3130">
        <v>85.74</v>
      </c>
      <c r="K3130" t="s">
        <v>22</v>
      </c>
      <c r="L3130">
        <v>871.91</v>
      </c>
      <c r="M3130">
        <f>VLOOKUP(K3130,RatingLookup!$A$2:$C$8,2,FALSE)</f>
        <v>5.0000000000000001E-3</v>
      </c>
      <c r="N3130">
        <f t="shared" si="144"/>
        <v>4.1762458919303302E-4</v>
      </c>
      <c r="O3130">
        <f>VLOOKUP(K3130,RatingLookup!$A$2:$C$8,3,FALSE)</f>
        <v>0.45</v>
      </c>
      <c r="P3130">
        <f t="shared" si="145"/>
        <v>0.16385897500348384</v>
      </c>
      <c r="Q3130" t="str">
        <f t="shared" ca="1" si="146"/>
        <v>No</v>
      </c>
    </row>
    <row r="3131" spans="1:17" x14ac:dyDescent="0.45">
      <c r="A3131" t="s">
        <v>140</v>
      </c>
      <c r="B3131" t="s">
        <v>141</v>
      </c>
      <c r="C3131" t="s">
        <v>26</v>
      </c>
      <c r="D3131" t="s">
        <v>20</v>
      </c>
      <c r="E3131" t="s">
        <v>21</v>
      </c>
      <c r="F3131" s="1">
        <v>44105</v>
      </c>
      <c r="G3131">
        <v>4.5</v>
      </c>
      <c r="H3131">
        <v>81.265699999999995</v>
      </c>
      <c r="I3131">
        <v>20.32</v>
      </c>
      <c r="J3131">
        <v>80.73</v>
      </c>
      <c r="K3131" t="s">
        <v>22</v>
      </c>
      <c r="L3131">
        <v>854.34</v>
      </c>
      <c r="M3131">
        <f>VLOOKUP(K3131,RatingLookup!$A$2:$C$8,2,FALSE)</f>
        <v>5.0000000000000001E-3</v>
      </c>
      <c r="N3131">
        <f t="shared" si="144"/>
        <v>4.1762458919303302E-4</v>
      </c>
      <c r="O3131">
        <f>VLOOKUP(K3131,RatingLookup!$A$2:$C$8,3,FALSE)</f>
        <v>0.45</v>
      </c>
      <c r="P3131">
        <f t="shared" si="145"/>
        <v>0.16055702618902915</v>
      </c>
      <c r="Q3131" t="str">
        <f t="shared" ca="1" si="146"/>
        <v>No</v>
      </c>
    </row>
    <row r="3132" spans="1:17" x14ac:dyDescent="0.45">
      <c r="A3132" t="s">
        <v>140</v>
      </c>
      <c r="B3132" t="s">
        <v>141</v>
      </c>
      <c r="C3132" t="s">
        <v>26</v>
      </c>
      <c r="D3132" t="s">
        <v>20</v>
      </c>
      <c r="E3132" t="s">
        <v>21</v>
      </c>
      <c r="F3132" s="1">
        <v>44136</v>
      </c>
      <c r="G3132">
        <v>5.85</v>
      </c>
      <c r="H3132">
        <v>83.4</v>
      </c>
      <c r="I3132">
        <v>13.41</v>
      </c>
      <c r="J3132">
        <v>75.849999999999994</v>
      </c>
      <c r="K3132" t="s">
        <v>22</v>
      </c>
      <c r="L3132">
        <v>816.85</v>
      </c>
      <c r="M3132">
        <f>VLOOKUP(K3132,RatingLookup!$A$2:$C$8,2,FALSE)</f>
        <v>5.0000000000000001E-3</v>
      </c>
      <c r="N3132">
        <f t="shared" si="144"/>
        <v>4.1762458919303302E-4</v>
      </c>
      <c r="O3132">
        <f>VLOOKUP(K3132,RatingLookup!$A$2:$C$8,3,FALSE)</f>
        <v>0.45</v>
      </c>
      <c r="P3132">
        <f t="shared" si="145"/>
        <v>0.15351149055704807</v>
      </c>
      <c r="Q3132" t="str">
        <f t="shared" ca="1" si="146"/>
        <v>No</v>
      </c>
    </row>
    <row r="3133" spans="1:17" x14ac:dyDescent="0.45">
      <c r="A3133" t="s">
        <v>140</v>
      </c>
      <c r="B3133" t="s">
        <v>141</v>
      </c>
      <c r="C3133" t="s">
        <v>26</v>
      </c>
      <c r="D3133" t="s">
        <v>20</v>
      </c>
      <c r="E3133" t="s">
        <v>21</v>
      </c>
      <c r="F3133" s="1">
        <v>44166</v>
      </c>
      <c r="G3133">
        <v>5.81</v>
      </c>
      <c r="H3133">
        <v>81.618899999999996</v>
      </c>
      <c r="I3133">
        <v>25.08</v>
      </c>
      <c r="J3133">
        <v>89.43</v>
      </c>
      <c r="K3133" t="s">
        <v>22</v>
      </c>
      <c r="L3133">
        <v>882.83</v>
      </c>
      <c r="M3133">
        <f>VLOOKUP(K3133,RatingLookup!$A$2:$C$8,2,FALSE)</f>
        <v>5.0000000000000001E-3</v>
      </c>
      <c r="N3133">
        <f t="shared" si="144"/>
        <v>4.1762458919303302E-4</v>
      </c>
      <c r="O3133">
        <f>VLOOKUP(K3133,RatingLookup!$A$2:$C$8,3,FALSE)</f>
        <v>0.45</v>
      </c>
      <c r="P3133">
        <f t="shared" si="145"/>
        <v>0.16591118223477841</v>
      </c>
      <c r="Q3133" t="str">
        <f t="shared" ca="1" si="146"/>
        <v>No</v>
      </c>
    </row>
    <row r="3134" spans="1:17" x14ac:dyDescent="0.45">
      <c r="A3134" t="s">
        <v>140</v>
      </c>
      <c r="B3134" t="s">
        <v>141</v>
      </c>
      <c r="C3134" t="s">
        <v>26</v>
      </c>
      <c r="D3134" t="s">
        <v>20</v>
      </c>
      <c r="E3134" t="s">
        <v>21</v>
      </c>
      <c r="F3134" s="1">
        <v>44197</v>
      </c>
      <c r="G3134">
        <v>5.28</v>
      </c>
      <c r="H3134">
        <v>79.896799999999999</v>
      </c>
      <c r="I3134">
        <v>24.01</v>
      </c>
      <c r="J3134">
        <v>75.540000000000006</v>
      </c>
      <c r="K3134" t="s">
        <v>22</v>
      </c>
      <c r="L3134">
        <v>867.63</v>
      </c>
      <c r="M3134">
        <f>VLOOKUP(K3134,RatingLookup!$A$2:$C$8,2,FALSE)</f>
        <v>5.0000000000000001E-3</v>
      </c>
      <c r="N3134">
        <f t="shared" si="144"/>
        <v>4.1762458919303302E-4</v>
      </c>
      <c r="O3134">
        <f>VLOOKUP(K3134,RatingLookup!$A$2:$C$8,3,FALSE)</f>
        <v>0.45</v>
      </c>
      <c r="P3134">
        <f t="shared" si="145"/>
        <v>0.16305463004469808</v>
      </c>
      <c r="Q3134" t="str">
        <f t="shared" ca="1" si="146"/>
        <v>No</v>
      </c>
    </row>
    <row r="3135" spans="1:17" x14ac:dyDescent="0.45">
      <c r="A3135" t="s">
        <v>140</v>
      </c>
      <c r="B3135" t="s">
        <v>141</v>
      </c>
      <c r="C3135" t="s">
        <v>26</v>
      </c>
      <c r="D3135" t="s">
        <v>20</v>
      </c>
      <c r="E3135" t="s">
        <v>21</v>
      </c>
      <c r="F3135" s="1">
        <v>44228</v>
      </c>
      <c r="G3135">
        <v>5.27</v>
      </c>
      <c r="H3135">
        <v>82.048199999999994</v>
      </c>
      <c r="I3135">
        <v>7.09</v>
      </c>
      <c r="J3135">
        <v>74.92</v>
      </c>
      <c r="K3135" t="s">
        <v>22</v>
      </c>
      <c r="L3135">
        <v>810.82</v>
      </c>
      <c r="M3135">
        <f>VLOOKUP(K3135,RatingLookup!$A$2:$C$8,2,FALSE)</f>
        <v>5.0000000000000001E-3</v>
      </c>
      <c r="N3135">
        <f t="shared" si="144"/>
        <v>4.1762458919303302E-4</v>
      </c>
      <c r="O3135">
        <f>VLOOKUP(K3135,RatingLookup!$A$2:$C$8,3,FALSE)</f>
        <v>0.45</v>
      </c>
      <c r="P3135">
        <f t="shared" si="145"/>
        <v>0.15237826623427278</v>
      </c>
      <c r="Q3135" t="str">
        <f t="shared" ca="1" si="146"/>
        <v>No</v>
      </c>
    </row>
    <row r="3136" spans="1:17" x14ac:dyDescent="0.45">
      <c r="A3136" t="s">
        <v>140</v>
      </c>
      <c r="B3136" t="s">
        <v>141</v>
      </c>
      <c r="C3136" t="s">
        <v>26</v>
      </c>
      <c r="D3136" t="s">
        <v>20</v>
      </c>
      <c r="E3136" t="s">
        <v>21</v>
      </c>
      <c r="F3136" s="1">
        <v>44256</v>
      </c>
      <c r="G3136">
        <v>6.4</v>
      </c>
      <c r="H3136">
        <v>78.588499999999996</v>
      </c>
      <c r="I3136">
        <v>26.9</v>
      </c>
      <c r="J3136">
        <v>81.59</v>
      </c>
      <c r="K3136" t="s">
        <v>22</v>
      </c>
      <c r="L3136">
        <v>812.28</v>
      </c>
      <c r="M3136">
        <f>VLOOKUP(K3136,RatingLookup!$A$2:$C$8,2,FALSE)</f>
        <v>5.0000000000000001E-3</v>
      </c>
      <c r="N3136">
        <f t="shared" si="144"/>
        <v>4.1762458919303302E-4</v>
      </c>
      <c r="O3136">
        <f>VLOOKUP(K3136,RatingLookup!$A$2:$C$8,3,FALSE)</f>
        <v>0.45</v>
      </c>
      <c r="P3136">
        <f t="shared" si="145"/>
        <v>0.15265264558937258</v>
      </c>
      <c r="Q3136" t="str">
        <f t="shared" ca="1" si="146"/>
        <v>No</v>
      </c>
    </row>
    <row r="3137" spans="1:17" x14ac:dyDescent="0.45">
      <c r="A3137" t="s">
        <v>140</v>
      </c>
      <c r="B3137" t="s">
        <v>141</v>
      </c>
      <c r="C3137" t="s">
        <v>26</v>
      </c>
      <c r="D3137" t="s">
        <v>20</v>
      </c>
      <c r="E3137" t="s">
        <v>21</v>
      </c>
      <c r="F3137" s="1">
        <v>44287</v>
      </c>
      <c r="G3137">
        <v>6.6</v>
      </c>
      <c r="H3137">
        <v>84.899000000000001</v>
      </c>
      <c r="I3137">
        <v>11.77</v>
      </c>
      <c r="J3137">
        <v>88.06</v>
      </c>
      <c r="K3137" t="s">
        <v>22</v>
      </c>
      <c r="L3137">
        <v>863.51</v>
      </c>
      <c r="M3137">
        <f>VLOOKUP(K3137,RatingLookup!$A$2:$C$8,2,FALSE)</f>
        <v>5.0000000000000001E-3</v>
      </c>
      <c r="N3137">
        <f t="shared" si="144"/>
        <v>4.1762458919303302E-4</v>
      </c>
      <c r="O3137">
        <f>VLOOKUP(K3137,RatingLookup!$A$2:$C$8,3,FALSE)</f>
        <v>0.45</v>
      </c>
      <c r="P3137">
        <f t="shared" si="145"/>
        <v>0.16228035405633418</v>
      </c>
      <c r="Q3137" t="str">
        <f t="shared" ca="1" si="146"/>
        <v>No</v>
      </c>
    </row>
    <row r="3138" spans="1:17" x14ac:dyDescent="0.45">
      <c r="A3138" t="s">
        <v>140</v>
      </c>
      <c r="B3138" t="s">
        <v>141</v>
      </c>
      <c r="C3138" t="s">
        <v>26</v>
      </c>
      <c r="D3138" t="s">
        <v>20</v>
      </c>
      <c r="E3138" t="s">
        <v>21</v>
      </c>
      <c r="F3138" s="1">
        <v>44317</v>
      </c>
      <c r="G3138">
        <v>4.87</v>
      </c>
      <c r="H3138">
        <v>82.721199999999996</v>
      </c>
      <c r="I3138">
        <v>8.48</v>
      </c>
      <c r="J3138">
        <v>83.49</v>
      </c>
      <c r="K3138" t="s">
        <v>22</v>
      </c>
      <c r="L3138">
        <v>851.31</v>
      </c>
      <c r="M3138">
        <f>VLOOKUP(K3138,RatingLookup!$A$2:$C$8,2,FALSE)</f>
        <v>5.0000000000000001E-3</v>
      </c>
      <c r="N3138">
        <f t="shared" ref="N3138:N3201" si="147">1-(1-M3138)^(1/12)</f>
        <v>4.1762458919303302E-4</v>
      </c>
      <c r="O3138">
        <f>VLOOKUP(K3138,RatingLookup!$A$2:$C$8,3,FALSE)</f>
        <v>0.45</v>
      </c>
      <c r="P3138">
        <f t="shared" ref="P3138:P3201" si="148">L3138*N3138*O3138</f>
        <v>0.15998759506166441</v>
      </c>
      <c r="Q3138" t="str">
        <f t="shared" ref="Q3138:Q3201" ca="1" si="149">IF(RAND()&lt;N3138,"Yes","No")</f>
        <v>No</v>
      </c>
    </row>
    <row r="3139" spans="1:17" x14ac:dyDescent="0.45">
      <c r="A3139" t="s">
        <v>140</v>
      </c>
      <c r="B3139" t="s">
        <v>141</v>
      </c>
      <c r="C3139" t="s">
        <v>26</v>
      </c>
      <c r="D3139" t="s">
        <v>20</v>
      </c>
      <c r="E3139" t="s">
        <v>21</v>
      </c>
      <c r="F3139" s="1">
        <v>44348</v>
      </c>
      <c r="G3139">
        <v>5.26</v>
      </c>
      <c r="H3139">
        <v>81.561300000000003</v>
      </c>
      <c r="I3139">
        <v>24.75</v>
      </c>
      <c r="J3139">
        <v>82.56</v>
      </c>
      <c r="K3139" t="s">
        <v>23</v>
      </c>
      <c r="L3139">
        <v>1008.65</v>
      </c>
      <c r="M3139">
        <f>VLOOKUP(K3139,RatingLookup!$A$2:$C$8,2,FALSE)</f>
        <v>1E-3</v>
      </c>
      <c r="N3139">
        <f t="shared" si="147"/>
        <v>8.3371552197619714E-5</v>
      </c>
      <c r="O3139">
        <f>VLOOKUP(K3139,RatingLookup!$A$2:$C$8,3,FALSE)</f>
        <v>0.3</v>
      </c>
      <c r="P3139">
        <f t="shared" si="148"/>
        <v>2.5227814837238734E-2</v>
      </c>
      <c r="Q3139" t="str">
        <f t="shared" ca="1" si="149"/>
        <v>No</v>
      </c>
    </row>
    <row r="3140" spans="1:17" x14ac:dyDescent="0.45">
      <c r="A3140" t="s">
        <v>140</v>
      </c>
      <c r="B3140" t="s">
        <v>141</v>
      </c>
      <c r="C3140" t="s">
        <v>26</v>
      </c>
      <c r="D3140" t="s">
        <v>20</v>
      </c>
      <c r="E3140" t="s">
        <v>21</v>
      </c>
      <c r="F3140" s="1">
        <v>44378</v>
      </c>
      <c r="G3140">
        <v>5.67</v>
      </c>
      <c r="H3140">
        <v>84.110100000000003</v>
      </c>
      <c r="I3140">
        <v>26.51</v>
      </c>
      <c r="J3140">
        <v>65.97</v>
      </c>
      <c r="K3140" t="s">
        <v>23</v>
      </c>
      <c r="L3140">
        <v>938.74</v>
      </c>
      <c r="M3140">
        <f>VLOOKUP(K3140,RatingLookup!$A$2:$C$8,2,FALSE)</f>
        <v>1E-3</v>
      </c>
      <c r="N3140">
        <f t="shared" si="147"/>
        <v>8.3371552197619714E-5</v>
      </c>
      <c r="O3140">
        <f>VLOOKUP(K3140,RatingLookup!$A$2:$C$8,3,FALSE)</f>
        <v>0.3</v>
      </c>
      <c r="P3140">
        <f t="shared" si="148"/>
        <v>2.3479263272998058E-2</v>
      </c>
      <c r="Q3140" t="str">
        <f t="shared" ca="1" si="149"/>
        <v>No</v>
      </c>
    </row>
    <row r="3141" spans="1:17" x14ac:dyDescent="0.45">
      <c r="A3141" t="s">
        <v>140</v>
      </c>
      <c r="B3141" t="s">
        <v>141</v>
      </c>
      <c r="C3141" t="s">
        <v>26</v>
      </c>
      <c r="D3141" t="s">
        <v>20</v>
      </c>
      <c r="E3141" t="s">
        <v>21</v>
      </c>
      <c r="F3141" s="1">
        <v>44409</v>
      </c>
      <c r="G3141">
        <v>4.97</v>
      </c>
      <c r="H3141">
        <v>77.757000000000005</v>
      </c>
      <c r="I3141">
        <v>16.489999999999998</v>
      </c>
      <c r="J3141">
        <v>76.72</v>
      </c>
      <c r="K3141" t="s">
        <v>23</v>
      </c>
      <c r="L3141">
        <v>834.42</v>
      </c>
      <c r="M3141">
        <f>VLOOKUP(K3141,RatingLookup!$A$2:$C$8,2,FALSE)</f>
        <v>1E-3</v>
      </c>
      <c r="N3141">
        <f t="shared" si="147"/>
        <v>8.3371552197619714E-5</v>
      </c>
      <c r="O3141">
        <f>VLOOKUP(K3141,RatingLookup!$A$2:$C$8,3,FALSE)</f>
        <v>0.3</v>
      </c>
      <c r="P3141">
        <f t="shared" si="148"/>
        <v>2.087006717542135E-2</v>
      </c>
      <c r="Q3141" t="str">
        <f t="shared" ca="1" si="149"/>
        <v>No</v>
      </c>
    </row>
    <row r="3142" spans="1:17" x14ac:dyDescent="0.45">
      <c r="A3142" t="s">
        <v>140</v>
      </c>
      <c r="B3142" t="s">
        <v>141</v>
      </c>
      <c r="C3142" t="s">
        <v>26</v>
      </c>
      <c r="D3142" t="s">
        <v>20</v>
      </c>
      <c r="E3142" t="s">
        <v>21</v>
      </c>
      <c r="F3142" s="1">
        <v>44440</v>
      </c>
      <c r="G3142">
        <v>4.95</v>
      </c>
      <c r="H3142">
        <v>85.491799999999998</v>
      </c>
      <c r="I3142">
        <v>21.65</v>
      </c>
      <c r="J3142">
        <v>63.95</v>
      </c>
      <c r="K3142" t="s">
        <v>23</v>
      </c>
      <c r="L3142">
        <v>866.32</v>
      </c>
      <c r="M3142">
        <f>VLOOKUP(K3142,RatingLookup!$A$2:$C$8,2,FALSE)</f>
        <v>1E-3</v>
      </c>
      <c r="N3142">
        <f t="shared" si="147"/>
        <v>8.3371552197619714E-5</v>
      </c>
      <c r="O3142">
        <f>VLOOKUP(K3142,RatingLookup!$A$2:$C$8,3,FALSE)</f>
        <v>0.3</v>
      </c>
      <c r="P3142">
        <f t="shared" si="148"/>
        <v>2.1667932929952574E-2</v>
      </c>
      <c r="Q3142" t="str">
        <f t="shared" ca="1" si="149"/>
        <v>No</v>
      </c>
    </row>
    <row r="3143" spans="1:17" x14ac:dyDescent="0.45">
      <c r="A3143" t="s">
        <v>140</v>
      </c>
      <c r="B3143" t="s">
        <v>141</v>
      </c>
      <c r="C3143" t="s">
        <v>26</v>
      </c>
      <c r="D3143" t="s">
        <v>20</v>
      </c>
      <c r="E3143" t="s">
        <v>21</v>
      </c>
      <c r="F3143" s="1">
        <v>44470</v>
      </c>
      <c r="G3143">
        <v>5.69</v>
      </c>
      <c r="H3143">
        <v>80.8292</v>
      </c>
      <c r="I3143">
        <v>21.09</v>
      </c>
      <c r="J3143">
        <v>49.57</v>
      </c>
      <c r="K3143" t="s">
        <v>23</v>
      </c>
      <c r="L3143">
        <v>927.61</v>
      </c>
      <c r="M3143">
        <f>VLOOKUP(K3143,RatingLookup!$A$2:$C$8,2,FALSE)</f>
        <v>1E-3</v>
      </c>
      <c r="N3143">
        <f t="shared" si="147"/>
        <v>8.3371552197619714E-5</v>
      </c>
      <c r="O3143">
        <f>VLOOKUP(K3143,RatingLookup!$A$2:$C$8,3,FALSE)</f>
        <v>0.3</v>
      </c>
      <c r="P3143">
        <f t="shared" si="148"/>
        <v>2.3200885660210207E-2</v>
      </c>
      <c r="Q3143" t="str">
        <f t="shared" ca="1" si="149"/>
        <v>No</v>
      </c>
    </row>
    <row r="3144" spans="1:17" x14ac:dyDescent="0.45">
      <c r="A3144" t="s">
        <v>140</v>
      </c>
      <c r="B3144" t="s">
        <v>141</v>
      </c>
      <c r="C3144" t="s">
        <v>26</v>
      </c>
      <c r="D3144" t="s">
        <v>20</v>
      </c>
      <c r="E3144" t="s">
        <v>21</v>
      </c>
      <c r="F3144" s="1">
        <v>44501</v>
      </c>
      <c r="G3144">
        <v>5.34</v>
      </c>
      <c r="H3144">
        <v>79.450999999999993</v>
      </c>
      <c r="I3144">
        <v>17.559999999999999</v>
      </c>
      <c r="J3144">
        <v>88.24</v>
      </c>
      <c r="K3144" t="s">
        <v>23</v>
      </c>
      <c r="L3144">
        <v>805.22</v>
      </c>
      <c r="M3144">
        <f>VLOOKUP(K3144,RatingLookup!$A$2:$C$8,2,FALSE)</f>
        <v>1E-3</v>
      </c>
      <c r="N3144">
        <f t="shared" si="147"/>
        <v>8.3371552197619714E-5</v>
      </c>
      <c r="O3144">
        <f>VLOOKUP(K3144,RatingLookup!$A$2:$C$8,3,FALSE)</f>
        <v>0.3</v>
      </c>
      <c r="P3144">
        <f t="shared" si="148"/>
        <v>2.0139732378170204E-2</v>
      </c>
      <c r="Q3144" t="str">
        <f t="shared" ca="1" si="149"/>
        <v>No</v>
      </c>
    </row>
    <row r="3145" spans="1:17" x14ac:dyDescent="0.45">
      <c r="A3145" t="s">
        <v>140</v>
      </c>
      <c r="B3145" t="s">
        <v>141</v>
      </c>
      <c r="C3145" t="s">
        <v>26</v>
      </c>
      <c r="D3145" t="s">
        <v>20</v>
      </c>
      <c r="E3145" t="s">
        <v>21</v>
      </c>
      <c r="F3145" s="1">
        <v>44531</v>
      </c>
      <c r="G3145">
        <v>5.49</v>
      </c>
      <c r="H3145">
        <v>82.191599999999994</v>
      </c>
      <c r="I3145">
        <v>21.88</v>
      </c>
      <c r="J3145">
        <v>75.94</v>
      </c>
      <c r="K3145" t="s">
        <v>23</v>
      </c>
      <c r="L3145">
        <v>934.48</v>
      </c>
      <c r="M3145">
        <f>VLOOKUP(K3145,RatingLookup!$A$2:$C$8,2,FALSE)</f>
        <v>1E-3</v>
      </c>
      <c r="N3145">
        <f t="shared" si="147"/>
        <v>8.3371552197619714E-5</v>
      </c>
      <c r="O3145">
        <f>VLOOKUP(K3145,RatingLookup!$A$2:$C$8,3,FALSE)</f>
        <v>0.3</v>
      </c>
      <c r="P3145">
        <f t="shared" si="148"/>
        <v>2.3372714429289503E-2</v>
      </c>
      <c r="Q3145" t="str">
        <f t="shared" ca="1" si="149"/>
        <v>No</v>
      </c>
    </row>
    <row r="3146" spans="1:17" x14ac:dyDescent="0.45">
      <c r="A3146" t="s">
        <v>140</v>
      </c>
      <c r="B3146" t="s">
        <v>141</v>
      </c>
      <c r="C3146" t="s">
        <v>26</v>
      </c>
      <c r="D3146" t="s">
        <v>20</v>
      </c>
      <c r="E3146" t="s">
        <v>21</v>
      </c>
      <c r="F3146" s="1">
        <v>44562</v>
      </c>
      <c r="G3146">
        <v>6.35</v>
      </c>
      <c r="H3146">
        <v>85.195899999999995</v>
      </c>
      <c r="I3146">
        <v>14.42</v>
      </c>
      <c r="J3146">
        <v>97.35</v>
      </c>
      <c r="K3146" t="s">
        <v>23</v>
      </c>
      <c r="L3146">
        <v>843.26</v>
      </c>
      <c r="M3146">
        <f>VLOOKUP(K3146,RatingLookup!$A$2:$C$8,2,FALSE)</f>
        <v>1E-3</v>
      </c>
      <c r="N3146">
        <f t="shared" si="147"/>
        <v>8.3371552197619714E-5</v>
      </c>
      <c r="O3146">
        <f>VLOOKUP(K3146,RatingLookup!$A$2:$C$8,3,FALSE)</f>
        <v>0.3</v>
      </c>
      <c r="P3146">
        <f t="shared" si="148"/>
        <v>2.109116853184944E-2</v>
      </c>
      <c r="Q3146" t="str">
        <f t="shared" ca="1" si="149"/>
        <v>No</v>
      </c>
    </row>
    <row r="3147" spans="1:17" x14ac:dyDescent="0.45">
      <c r="A3147" t="s">
        <v>140</v>
      </c>
      <c r="B3147" t="s">
        <v>141</v>
      </c>
      <c r="C3147" t="s">
        <v>26</v>
      </c>
      <c r="D3147" t="s">
        <v>20</v>
      </c>
      <c r="E3147" t="s">
        <v>21</v>
      </c>
      <c r="F3147" s="1">
        <v>44593</v>
      </c>
      <c r="G3147">
        <v>5.96</v>
      </c>
      <c r="H3147">
        <v>85.172799999999995</v>
      </c>
      <c r="I3147">
        <v>14.32</v>
      </c>
      <c r="J3147">
        <v>87.3</v>
      </c>
      <c r="K3147" t="s">
        <v>23</v>
      </c>
      <c r="L3147">
        <v>889.64</v>
      </c>
      <c r="M3147">
        <f>VLOOKUP(K3147,RatingLookup!$A$2:$C$8,2,FALSE)</f>
        <v>1E-3</v>
      </c>
      <c r="N3147">
        <f t="shared" si="147"/>
        <v>8.3371552197619714E-5</v>
      </c>
      <c r="O3147">
        <f>VLOOKUP(K3147,RatingLookup!$A$2:$C$8,3,FALSE)</f>
        <v>0.3</v>
      </c>
      <c r="P3147">
        <f t="shared" si="148"/>
        <v>2.2251200309127118E-2</v>
      </c>
      <c r="Q3147" t="str">
        <f t="shared" ca="1" si="149"/>
        <v>No</v>
      </c>
    </row>
    <row r="3148" spans="1:17" x14ac:dyDescent="0.45">
      <c r="A3148" t="s">
        <v>140</v>
      </c>
      <c r="B3148" t="s">
        <v>141</v>
      </c>
      <c r="C3148" t="s">
        <v>26</v>
      </c>
      <c r="D3148" t="s">
        <v>20</v>
      </c>
      <c r="E3148" t="s">
        <v>21</v>
      </c>
      <c r="F3148" s="1">
        <v>44621</v>
      </c>
      <c r="G3148">
        <v>6.4</v>
      </c>
      <c r="H3148">
        <v>82.749600000000001</v>
      </c>
      <c r="I3148">
        <v>24.54</v>
      </c>
      <c r="J3148">
        <v>72.06</v>
      </c>
      <c r="K3148" t="s">
        <v>23</v>
      </c>
      <c r="L3148">
        <v>952.51</v>
      </c>
      <c r="M3148">
        <f>VLOOKUP(K3148,RatingLookup!$A$2:$C$8,2,FALSE)</f>
        <v>1E-3</v>
      </c>
      <c r="N3148">
        <f t="shared" si="147"/>
        <v>8.3371552197619714E-5</v>
      </c>
      <c r="O3148">
        <f>VLOOKUP(K3148,RatingLookup!$A$2:$C$8,3,FALSE)</f>
        <v>0.3</v>
      </c>
      <c r="P3148">
        <f t="shared" si="148"/>
        <v>2.3823671155126427E-2</v>
      </c>
      <c r="Q3148" t="str">
        <f t="shared" ca="1" si="149"/>
        <v>No</v>
      </c>
    </row>
    <row r="3149" spans="1:17" x14ac:dyDescent="0.45">
      <c r="A3149" t="s">
        <v>140</v>
      </c>
      <c r="B3149" t="s">
        <v>141</v>
      </c>
      <c r="C3149" t="s">
        <v>26</v>
      </c>
      <c r="D3149" t="s">
        <v>20</v>
      </c>
      <c r="E3149" t="s">
        <v>21</v>
      </c>
      <c r="F3149" s="1">
        <v>44652</v>
      </c>
      <c r="G3149">
        <v>4.25</v>
      </c>
      <c r="H3149">
        <v>81.661500000000004</v>
      </c>
      <c r="I3149">
        <v>21.13</v>
      </c>
      <c r="J3149">
        <v>75.72</v>
      </c>
      <c r="K3149" t="s">
        <v>23</v>
      </c>
      <c r="L3149">
        <v>873.74</v>
      </c>
      <c r="M3149">
        <f>VLOOKUP(K3149,RatingLookup!$A$2:$C$8,2,FALSE)</f>
        <v>1E-3</v>
      </c>
      <c r="N3149">
        <f t="shared" si="147"/>
        <v>8.3371552197619714E-5</v>
      </c>
      <c r="O3149">
        <f>VLOOKUP(K3149,RatingLookup!$A$2:$C$8,3,FALSE)</f>
        <v>0.3</v>
      </c>
      <c r="P3149">
        <f t="shared" si="148"/>
        <v>2.1853518005144474E-2</v>
      </c>
      <c r="Q3149" t="str">
        <f t="shared" ca="1" si="149"/>
        <v>No</v>
      </c>
    </row>
    <row r="3150" spans="1:17" x14ac:dyDescent="0.45">
      <c r="A3150" t="s">
        <v>140</v>
      </c>
      <c r="B3150" t="s">
        <v>141</v>
      </c>
      <c r="C3150" t="s">
        <v>26</v>
      </c>
      <c r="D3150" t="s">
        <v>20</v>
      </c>
      <c r="E3150" t="s">
        <v>21</v>
      </c>
      <c r="F3150" s="1">
        <v>44682</v>
      </c>
      <c r="G3150">
        <v>4.59</v>
      </c>
      <c r="H3150">
        <v>80.877399999999994</v>
      </c>
      <c r="I3150">
        <v>27.27</v>
      </c>
      <c r="J3150">
        <v>68.709999999999994</v>
      </c>
      <c r="K3150" t="s">
        <v>23</v>
      </c>
      <c r="L3150">
        <v>923.8</v>
      </c>
      <c r="M3150">
        <f>VLOOKUP(K3150,RatingLookup!$A$2:$C$8,2,FALSE)</f>
        <v>1E-3</v>
      </c>
      <c r="N3150">
        <f t="shared" si="147"/>
        <v>8.3371552197619714E-5</v>
      </c>
      <c r="O3150">
        <f>VLOOKUP(K3150,RatingLookup!$A$2:$C$8,3,FALSE)</f>
        <v>0.3</v>
      </c>
      <c r="P3150">
        <f t="shared" si="148"/>
        <v>2.3105591976048324E-2</v>
      </c>
      <c r="Q3150" t="str">
        <f t="shared" ca="1" si="149"/>
        <v>No</v>
      </c>
    </row>
    <row r="3151" spans="1:17" x14ac:dyDescent="0.45">
      <c r="A3151" t="s">
        <v>140</v>
      </c>
      <c r="B3151" t="s">
        <v>141</v>
      </c>
      <c r="C3151" t="s">
        <v>26</v>
      </c>
      <c r="D3151" t="s">
        <v>20</v>
      </c>
      <c r="E3151" t="s">
        <v>21</v>
      </c>
      <c r="F3151" s="1">
        <v>44713</v>
      </c>
      <c r="G3151">
        <v>5.08</v>
      </c>
      <c r="H3151">
        <v>81.758499999999998</v>
      </c>
      <c r="I3151">
        <v>28.11</v>
      </c>
      <c r="J3151">
        <v>89.16</v>
      </c>
      <c r="K3151" t="s">
        <v>23</v>
      </c>
      <c r="L3151">
        <v>960.11</v>
      </c>
      <c r="M3151">
        <f>VLOOKUP(K3151,RatingLookup!$A$2:$C$8,2,FALSE)</f>
        <v>1E-3</v>
      </c>
      <c r="N3151">
        <f t="shared" si="147"/>
        <v>8.3371552197619714E-5</v>
      </c>
      <c r="O3151">
        <f>VLOOKUP(K3151,RatingLookup!$A$2:$C$8,3,FALSE)</f>
        <v>0.3</v>
      </c>
      <c r="P3151">
        <f t="shared" si="148"/>
        <v>2.4013758294136999E-2</v>
      </c>
      <c r="Q3151" t="str">
        <f t="shared" ca="1" si="149"/>
        <v>No</v>
      </c>
    </row>
    <row r="3152" spans="1:17" x14ac:dyDescent="0.45">
      <c r="A3152" t="s">
        <v>140</v>
      </c>
      <c r="B3152" t="s">
        <v>141</v>
      </c>
      <c r="C3152" t="s">
        <v>26</v>
      </c>
      <c r="D3152" t="s">
        <v>20</v>
      </c>
      <c r="E3152" t="s">
        <v>21</v>
      </c>
      <c r="F3152" s="1">
        <v>44743</v>
      </c>
      <c r="G3152">
        <v>6.14</v>
      </c>
      <c r="H3152">
        <v>84.323800000000006</v>
      </c>
      <c r="I3152">
        <v>10.41</v>
      </c>
      <c r="J3152">
        <v>75.66</v>
      </c>
      <c r="K3152" t="s">
        <v>23</v>
      </c>
      <c r="L3152">
        <v>934.17</v>
      </c>
      <c r="M3152">
        <f>VLOOKUP(K3152,RatingLookup!$A$2:$C$8,2,FALSE)</f>
        <v>1E-3</v>
      </c>
      <c r="N3152">
        <f t="shared" si="147"/>
        <v>8.3371552197619714E-5</v>
      </c>
      <c r="O3152">
        <f>VLOOKUP(K3152,RatingLookup!$A$2:$C$8,3,FALSE)</f>
        <v>0.3</v>
      </c>
      <c r="P3152">
        <f t="shared" si="148"/>
        <v>2.3364960874935118E-2</v>
      </c>
      <c r="Q3152" t="str">
        <f t="shared" ca="1" si="149"/>
        <v>No</v>
      </c>
    </row>
    <row r="3153" spans="1:17" x14ac:dyDescent="0.45">
      <c r="A3153" t="s">
        <v>140</v>
      </c>
      <c r="B3153" t="s">
        <v>141</v>
      </c>
      <c r="C3153" t="s">
        <v>26</v>
      </c>
      <c r="D3153" t="s">
        <v>20</v>
      </c>
      <c r="E3153" t="s">
        <v>21</v>
      </c>
      <c r="F3153" s="1">
        <v>44774</v>
      </c>
      <c r="G3153">
        <v>5.33</v>
      </c>
      <c r="H3153">
        <v>85.260099999999994</v>
      </c>
      <c r="I3153">
        <v>13.08</v>
      </c>
      <c r="J3153">
        <v>84.8</v>
      </c>
      <c r="K3153" t="s">
        <v>23</v>
      </c>
      <c r="L3153">
        <v>931.4</v>
      </c>
      <c r="M3153">
        <f>VLOOKUP(K3153,RatingLookup!$A$2:$C$8,2,FALSE)</f>
        <v>1E-3</v>
      </c>
      <c r="N3153">
        <f t="shared" si="147"/>
        <v>8.3371552197619714E-5</v>
      </c>
      <c r="O3153">
        <f>VLOOKUP(K3153,RatingLookup!$A$2:$C$8,3,FALSE)</f>
        <v>0.3</v>
      </c>
      <c r="P3153">
        <f t="shared" si="148"/>
        <v>2.32956791150589E-2</v>
      </c>
      <c r="Q3153" t="str">
        <f t="shared" ca="1" si="149"/>
        <v>No</v>
      </c>
    </row>
    <row r="3154" spans="1:17" x14ac:dyDescent="0.45">
      <c r="A3154" t="s">
        <v>140</v>
      </c>
      <c r="B3154" t="s">
        <v>141</v>
      </c>
      <c r="C3154" t="s">
        <v>26</v>
      </c>
      <c r="D3154" t="s">
        <v>20</v>
      </c>
      <c r="E3154" t="s">
        <v>21</v>
      </c>
      <c r="F3154" s="1">
        <v>44805</v>
      </c>
      <c r="G3154">
        <v>4.91</v>
      </c>
      <c r="H3154">
        <v>81.623800000000003</v>
      </c>
      <c r="I3154">
        <v>19.54</v>
      </c>
      <c r="J3154">
        <v>92.1</v>
      </c>
      <c r="K3154" t="s">
        <v>23</v>
      </c>
      <c r="L3154">
        <v>888.93</v>
      </c>
      <c r="M3154">
        <f>VLOOKUP(K3154,RatingLookup!$A$2:$C$8,2,FALSE)</f>
        <v>1E-3</v>
      </c>
      <c r="N3154">
        <f t="shared" si="147"/>
        <v>8.3371552197619714E-5</v>
      </c>
      <c r="O3154">
        <f>VLOOKUP(K3154,RatingLookup!$A$2:$C$8,3,FALSE)</f>
        <v>0.3</v>
      </c>
      <c r="P3154">
        <f t="shared" si="148"/>
        <v>2.2233442168509025E-2</v>
      </c>
      <c r="Q3154" t="str">
        <f t="shared" ca="1" si="149"/>
        <v>No</v>
      </c>
    </row>
    <row r="3155" spans="1:17" x14ac:dyDescent="0.45">
      <c r="A3155" t="s">
        <v>140</v>
      </c>
      <c r="B3155" t="s">
        <v>141</v>
      </c>
      <c r="C3155" t="s">
        <v>26</v>
      </c>
      <c r="D3155" t="s">
        <v>20</v>
      </c>
      <c r="E3155" t="s">
        <v>21</v>
      </c>
      <c r="F3155" s="1">
        <v>44835</v>
      </c>
      <c r="G3155">
        <v>5.75</v>
      </c>
      <c r="H3155">
        <v>83.227099999999993</v>
      </c>
      <c r="I3155">
        <v>5.94</v>
      </c>
      <c r="J3155">
        <v>87.53</v>
      </c>
      <c r="K3155" t="s">
        <v>23</v>
      </c>
      <c r="L3155">
        <v>919.31</v>
      </c>
      <c r="M3155">
        <f>VLOOKUP(K3155,RatingLookup!$A$2:$C$8,2,FALSE)</f>
        <v>1E-3</v>
      </c>
      <c r="N3155">
        <f t="shared" si="147"/>
        <v>8.3371552197619714E-5</v>
      </c>
      <c r="O3155">
        <f>VLOOKUP(K3155,RatingLookup!$A$2:$C$8,3,FALSE)</f>
        <v>0.3</v>
      </c>
      <c r="P3155">
        <f t="shared" si="148"/>
        <v>2.2993290495238131E-2</v>
      </c>
      <c r="Q3155" t="str">
        <f t="shared" ca="1" si="149"/>
        <v>No</v>
      </c>
    </row>
    <row r="3156" spans="1:17" x14ac:dyDescent="0.45">
      <c r="A3156" t="s">
        <v>140</v>
      </c>
      <c r="B3156" t="s">
        <v>141</v>
      </c>
      <c r="C3156" t="s">
        <v>26</v>
      </c>
      <c r="D3156" t="s">
        <v>20</v>
      </c>
      <c r="E3156" t="s">
        <v>21</v>
      </c>
      <c r="F3156" s="1">
        <v>44866</v>
      </c>
      <c r="G3156">
        <v>4.99</v>
      </c>
      <c r="H3156">
        <v>84.457700000000003</v>
      </c>
      <c r="I3156">
        <v>29.87</v>
      </c>
      <c r="J3156">
        <v>80.489999999999995</v>
      </c>
      <c r="K3156" t="s">
        <v>23</v>
      </c>
      <c r="L3156">
        <v>840.74</v>
      </c>
      <c r="M3156">
        <f>VLOOKUP(K3156,RatingLookup!$A$2:$C$8,2,FALSE)</f>
        <v>1E-3</v>
      </c>
      <c r="N3156">
        <f t="shared" si="147"/>
        <v>8.3371552197619714E-5</v>
      </c>
      <c r="O3156">
        <f>VLOOKUP(K3156,RatingLookup!$A$2:$C$8,3,FALSE)</f>
        <v>0.3</v>
      </c>
      <c r="P3156">
        <f t="shared" si="148"/>
        <v>2.1028139638388038E-2</v>
      </c>
      <c r="Q3156" t="str">
        <f t="shared" ca="1" si="149"/>
        <v>No</v>
      </c>
    </row>
    <row r="3157" spans="1:17" x14ac:dyDescent="0.45">
      <c r="A3157" t="s">
        <v>140</v>
      </c>
      <c r="B3157" t="s">
        <v>141</v>
      </c>
      <c r="C3157" t="s">
        <v>26</v>
      </c>
      <c r="D3157" t="s">
        <v>20</v>
      </c>
      <c r="E3157" t="s">
        <v>21</v>
      </c>
      <c r="F3157" s="1">
        <v>44896</v>
      </c>
      <c r="G3157">
        <v>6.37</v>
      </c>
      <c r="H3157">
        <v>82.855000000000004</v>
      </c>
      <c r="I3157">
        <v>21.44</v>
      </c>
      <c r="J3157">
        <v>85.16</v>
      </c>
      <c r="K3157" t="s">
        <v>23</v>
      </c>
      <c r="L3157">
        <v>951.48</v>
      </c>
      <c r="M3157">
        <f>VLOOKUP(K3157,RatingLookup!$A$2:$C$8,2,FALSE)</f>
        <v>1E-3</v>
      </c>
      <c r="N3157">
        <f t="shared" si="147"/>
        <v>8.3371552197619714E-5</v>
      </c>
      <c r="O3157">
        <f>VLOOKUP(K3157,RatingLookup!$A$2:$C$8,3,FALSE)</f>
        <v>0.3</v>
      </c>
      <c r="P3157">
        <f t="shared" si="148"/>
        <v>2.3797909345497362E-2</v>
      </c>
      <c r="Q3157" t="str">
        <f t="shared" ca="1" si="149"/>
        <v>No</v>
      </c>
    </row>
    <row r="3158" spans="1:17" x14ac:dyDescent="0.45">
      <c r="A3158" t="s">
        <v>140</v>
      </c>
      <c r="B3158" t="s">
        <v>141</v>
      </c>
      <c r="C3158" t="s">
        <v>26</v>
      </c>
      <c r="D3158" t="s">
        <v>20</v>
      </c>
      <c r="E3158" t="s">
        <v>21</v>
      </c>
      <c r="F3158" s="1">
        <v>44927</v>
      </c>
      <c r="G3158">
        <v>5.59</v>
      </c>
      <c r="H3158">
        <v>80.818600000000004</v>
      </c>
      <c r="I3158">
        <v>19.88</v>
      </c>
      <c r="J3158">
        <v>86.49</v>
      </c>
      <c r="K3158" t="s">
        <v>23</v>
      </c>
      <c r="L3158">
        <v>882.09</v>
      </c>
      <c r="M3158">
        <f>VLOOKUP(K3158,RatingLookup!$A$2:$C$8,2,FALSE)</f>
        <v>1E-3</v>
      </c>
      <c r="N3158">
        <f t="shared" si="147"/>
        <v>8.3371552197619714E-5</v>
      </c>
      <c r="O3158">
        <f>VLOOKUP(K3158,RatingLookup!$A$2:$C$8,3,FALSE)</f>
        <v>0.3</v>
      </c>
      <c r="P3158">
        <f t="shared" si="148"/>
        <v>2.206236374339951E-2</v>
      </c>
      <c r="Q3158" t="str">
        <f t="shared" ca="1" si="149"/>
        <v>No</v>
      </c>
    </row>
    <row r="3159" spans="1:17" x14ac:dyDescent="0.45">
      <c r="A3159" t="s">
        <v>140</v>
      </c>
      <c r="B3159" t="s">
        <v>141</v>
      </c>
      <c r="C3159" t="s">
        <v>26</v>
      </c>
      <c r="D3159" t="s">
        <v>20</v>
      </c>
      <c r="E3159" t="s">
        <v>21</v>
      </c>
      <c r="F3159" s="1">
        <v>44958</v>
      </c>
      <c r="G3159">
        <v>4.84</v>
      </c>
      <c r="H3159">
        <v>82.835899999999995</v>
      </c>
      <c r="I3159">
        <v>22.35</v>
      </c>
      <c r="J3159">
        <v>82.46</v>
      </c>
      <c r="K3159" t="s">
        <v>23</v>
      </c>
      <c r="L3159">
        <v>823.26</v>
      </c>
      <c r="M3159">
        <f>VLOOKUP(K3159,RatingLookup!$A$2:$C$8,2,FALSE)</f>
        <v>1E-3</v>
      </c>
      <c r="N3159">
        <f t="shared" si="147"/>
        <v>8.3371552197619714E-5</v>
      </c>
      <c r="O3159">
        <f>VLOOKUP(K3159,RatingLookup!$A$2:$C$8,3,FALSE)</f>
        <v>0.3</v>
      </c>
      <c r="P3159">
        <f t="shared" si="148"/>
        <v>2.0590939218663722E-2</v>
      </c>
      <c r="Q3159" t="str">
        <f t="shared" ca="1" si="149"/>
        <v>No</v>
      </c>
    </row>
    <row r="3160" spans="1:17" x14ac:dyDescent="0.45">
      <c r="A3160" t="s">
        <v>140</v>
      </c>
      <c r="B3160" t="s">
        <v>141</v>
      </c>
      <c r="C3160" t="s">
        <v>26</v>
      </c>
      <c r="D3160" t="s">
        <v>20</v>
      </c>
      <c r="E3160" t="s">
        <v>21</v>
      </c>
      <c r="F3160" s="1">
        <v>44986</v>
      </c>
      <c r="G3160">
        <v>4.8</v>
      </c>
      <c r="H3160">
        <v>79.595399999999998</v>
      </c>
      <c r="I3160">
        <v>14.38</v>
      </c>
      <c r="J3160">
        <v>74.06</v>
      </c>
      <c r="K3160" t="s">
        <v>23</v>
      </c>
      <c r="L3160">
        <v>951.37</v>
      </c>
      <c r="M3160">
        <f>VLOOKUP(K3160,RatingLookup!$A$2:$C$8,2,FALSE)</f>
        <v>1E-3</v>
      </c>
      <c r="N3160">
        <f t="shared" si="147"/>
        <v>8.3371552197619714E-5</v>
      </c>
      <c r="O3160">
        <f>VLOOKUP(K3160,RatingLookup!$A$2:$C$8,3,FALSE)</f>
        <v>0.3</v>
      </c>
      <c r="P3160">
        <f t="shared" si="148"/>
        <v>2.3795158084274837E-2</v>
      </c>
      <c r="Q3160" t="str">
        <f t="shared" ca="1" si="149"/>
        <v>No</v>
      </c>
    </row>
    <row r="3161" spans="1:17" x14ac:dyDescent="0.45">
      <c r="A3161" t="s">
        <v>140</v>
      </c>
      <c r="B3161" t="s">
        <v>141</v>
      </c>
      <c r="C3161" t="s">
        <v>26</v>
      </c>
      <c r="D3161" t="s">
        <v>20</v>
      </c>
      <c r="E3161" t="s">
        <v>21</v>
      </c>
      <c r="F3161" s="1">
        <v>45017</v>
      </c>
      <c r="G3161">
        <v>6.29</v>
      </c>
      <c r="H3161">
        <v>78.802300000000002</v>
      </c>
      <c r="I3161">
        <v>9.2100000000000009</v>
      </c>
      <c r="J3161">
        <v>86.24</v>
      </c>
      <c r="K3161" t="s">
        <v>23</v>
      </c>
      <c r="L3161">
        <v>851.91</v>
      </c>
      <c r="M3161">
        <f>VLOOKUP(K3161,RatingLookup!$A$2:$C$8,2,FALSE)</f>
        <v>1E-3</v>
      </c>
      <c r="N3161">
        <f t="shared" si="147"/>
        <v>8.3371552197619714E-5</v>
      </c>
      <c r="O3161">
        <f>VLOOKUP(K3161,RatingLookup!$A$2:$C$8,3,FALSE)</f>
        <v>0.3</v>
      </c>
      <c r="P3161">
        <f t="shared" si="148"/>
        <v>2.1307517709802264E-2</v>
      </c>
      <c r="Q3161" t="str">
        <f t="shared" ca="1" si="149"/>
        <v>No</v>
      </c>
    </row>
    <row r="3162" spans="1:17" x14ac:dyDescent="0.45">
      <c r="A3162" t="s">
        <v>140</v>
      </c>
      <c r="B3162" t="s">
        <v>141</v>
      </c>
      <c r="C3162" t="s">
        <v>26</v>
      </c>
      <c r="D3162" t="s">
        <v>20</v>
      </c>
      <c r="E3162" t="s">
        <v>21</v>
      </c>
      <c r="F3162" s="1">
        <v>45047</v>
      </c>
      <c r="G3162">
        <v>5.25</v>
      </c>
      <c r="H3162">
        <v>86.109099999999998</v>
      </c>
      <c r="I3162">
        <v>23.4</v>
      </c>
      <c r="J3162">
        <v>78.7</v>
      </c>
      <c r="K3162" t="s">
        <v>23</v>
      </c>
      <c r="L3162">
        <v>971.76</v>
      </c>
      <c r="M3162">
        <f>VLOOKUP(K3162,RatingLookup!$A$2:$C$8,2,FALSE)</f>
        <v>1E-3</v>
      </c>
      <c r="N3162">
        <f t="shared" si="147"/>
        <v>8.3371552197619714E-5</v>
      </c>
      <c r="O3162">
        <f>VLOOKUP(K3162,RatingLookup!$A$2:$C$8,3,FALSE)</f>
        <v>0.3</v>
      </c>
      <c r="P3162">
        <f t="shared" si="148"/>
        <v>2.4305141869067681E-2</v>
      </c>
      <c r="Q3162" t="str">
        <f t="shared" ca="1" si="149"/>
        <v>No</v>
      </c>
    </row>
    <row r="3163" spans="1:17" x14ac:dyDescent="0.45">
      <c r="A3163" t="s">
        <v>140</v>
      </c>
      <c r="B3163" t="s">
        <v>141</v>
      </c>
      <c r="C3163" t="s">
        <v>26</v>
      </c>
      <c r="D3163" t="s">
        <v>20</v>
      </c>
      <c r="E3163" t="s">
        <v>21</v>
      </c>
      <c r="F3163" s="1">
        <v>45078</v>
      </c>
      <c r="G3163">
        <v>5.82</v>
      </c>
      <c r="H3163">
        <v>80.133799999999994</v>
      </c>
      <c r="I3163">
        <v>15.6</v>
      </c>
      <c r="J3163">
        <v>77.989999999999995</v>
      </c>
      <c r="K3163" t="s">
        <v>23</v>
      </c>
      <c r="L3163">
        <v>933.85</v>
      </c>
      <c r="M3163">
        <f>VLOOKUP(K3163,RatingLookup!$A$2:$C$8,2,FALSE)</f>
        <v>1E-3</v>
      </c>
      <c r="N3163">
        <f t="shared" si="147"/>
        <v>8.3371552197619714E-5</v>
      </c>
      <c r="O3163">
        <f>VLOOKUP(K3163,RatingLookup!$A$2:$C$8,3,FALSE)</f>
        <v>0.3</v>
      </c>
      <c r="P3163">
        <f t="shared" si="148"/>
        <v>2.335695720592415E-2</v>
      </c>
      <c r="Q3163" t="str">
        <f t="shared" ca="1" si="149"/>
        <v>No</v>
      </c>
    </row>
    <row r="3164" spans="1:17" x14ac:dyDescent="0.45">
      <c r="A3164" t="s">
        <v>140</v>
      </c>
      <c r="B3164" t="s">
        <v>141</v>
      </c>
      <c r="C3164" t="s">
        <v>26</v>
      </c>
      <c r="D3164" t="s">
        <v>20</v>
      </c>
      <c r="E3164" t="s">
        <v>21</v>
      </c>
      <c r="F3164" s="1">
        <v>45108</v>
      </c>
      <c r="G3164">
        <v>5.22</v>
      </c>
      <c r="H3164">
        <v>81.244500000000002</v>
      </c>
      <c r="I3164">
        <v>22.4</v>
      </c>
      <c r="J3164">
        <v>81.67</v>
      </c>
      <c r="K3164" t="s">
        <v>23</v>
      </c>
      <c r="L3164">
        <v>925.8</v>
      </c>
      <c r="M3164">
        <f>VLOOKUP(K3164,RatingLookup!$A$2:$C$8,2,FALSE)</f>
        <v>1E-3</v>
      </c>
      <c r="N3164">
        <f t="shared" si="147"/>
        <v>8.3371552197619714E-5</v>
      </c>
      <c r="O3164">
        <f>VLOOKUP(K3164,RatingLookup!$A$2:$C$8,3,FALSE)</f>
        <v>0.3</v>
      </c>
      <c r="P3164">
        <f t="shared" si="148"/>
        <v>2.3155614907366898E-2</v>
      </c>
      <c r="Q3164" t="str">
        <f t="shared" ca="1" si="149"/>
        <v>No</v>
      </c>
    </row>
    <row r="3165" spans="1:17" x14ac:dyDescent="0.45">
      <c r="A3165" t="s">
        <v>140</v>
      </c>
      <c r="B3165" t="s">
        <v>141</v>
      </c>
      <c r="C3165" t="s">
        <v>26</v>
      </c>
      <c r="D3165" t="s">
        <v>20</v>
      </c>
      <c r="E3165" t="s">
        <v>21</v>
      </c>
      <c r="F3165" s="1">
        <v>45139</v>
      </c>
      <c r="G3165">
        <v>5.85</v>
      </c>
      <c r="H3165">
        <v>82.034499999999994</v>
      </c>
      <c r="I3165">
        <v>18.239999999999998</v>
      </c>
      <c r="J3165">
        <v>86.94</v>
      </c>
      <c r="K3165" t="s">
        <v>23</v>
      </c>
      <c r="L3165">
        <v>901.91</v>
      </c>
      <c r="M3165">
        <f>VLOOKUP(K3165,RatingLookup!$A$2:$C$8,2,FALSE)</f>
        <v>1E-3</v>
      </c>
      <c r="N3165">
        <f t="shared" si="147"/>
        <v>8.3371552197619714E-5</v>
      </c>
      <c r="O3165">
        <f>VLOOKUP(K3165,RatingLookup!$A$2:$C$8,3,FALSE)</f>
        <v>0.3</v>
      </c>
      <c r="P3165">
        <f t="shared" si="148"/>
        <v>2.2558090992766559E-2</v>
      </c>
      <c r="Q3165" t="str">
        <f t="shared" ca="1" si="149"/>
        <v>No</v>
      </c>
    </row>
    <row r="3166" spans="1:17" x14ac:dyDescent="0.45">
      <c r="A3166" t="s">
        <v>140</v>
      </c>
      <c r="B3166" t="s">
        <v>141</v>
      </c>
      <c r="C3166" t="s">
        <v>26</v>
      </c>
      <c r="D3166" t="s">
        <v>20</v>
      </c>
      <c r="E3166" t="s">
        <v>21</v>
      </c>
      <c r="F3166" s="1">
        <v>45170</v>
      </c>
      <c r="G3166">
        <v>4.8499999999999996</v>
      </c>
      <c r="H3166">
        <v>85.419600000000003</v>
      </c>
      <c r="I3166">
        <v>18.93</v>
      </c>
      <c r="J3166">
        <v>71.62</v>
      </c>
      <c r="K3166" t="s">
        <v>23</v>
      </c>
      <c r="L3166">
        <v>883.02</v>
      </c>
      <c r="M3166">
        <f>VLOOKUP(K3166,RatingLookup!$A$2:$C$8,2,FALSE)</f>
        <v>1E-3</v>
      </c>
      <c r="N3166">
        <f t="shared" si="147"/>
        <v>8.3371552197619714E-5</v>
      </c>
      <c r="O3166">
        <f>VLOOKUP(K3166,RatingLookup!$A$2:$C$8,3,FALSE)</f>
        <v>0.3</v>
      </c>
      <c r="P3166">
        <f t="shared" si="148"/>
        <v>2.2085624406462646E-2</v>
      </c>
      <c r="Q3166" t="str">
        <f t="shared" ca="1" si="149"/>
        <v>No</v>
      </c>
    </row>
    <row r="3167" spans="1:17" x14ac:dyDescent="0.45">
      <c r="A3167" t="s">
        <v>140</v>
      </c>
      <c r="B3167" t="s">
        <v>141</v>
      </c>
      <c r="C3167" t="s">
        <v>26</v>
      </c>
      <c r="D3167" t="s">
        <v>20</v>
      </c>
      <c r="E3167" t="s">
        <v>21</v>
      </c>
      <c r="F3167" s="1">
        <v>45200</v>
      </c>
      <c r="G3167">
        <v>5.39</v>
      </c>
      <c r="H3167">
        <v>85.078199999999995</v>
      </c>
      <c r="I3167">
        <v>23.75</v>
      </c>
      <c r="J3167">
        <v>83.5</v>
      </c>
      <c r="K3167" t="s">
        <v>23</v>
      </c>
      <c r="L3167">
        <v>858.31</v>
      </c>
      <c r="M3167">
        <f>VLOOKUP(K3167,RatingLookup!$A$2:$C$8,2,FALSE)</f>
        <v>1E-3</v>
      </c>
      <c r="N3167">
        <f t="shared" si="147"/>
        <v>8.3371552197619714E-5</v>
      </c>
      <c r="O3167">
        <f>VLOOKUP(K3167,RatingLookup!$A$2:$C$8,3,FALSE)</f>
        <v>0.3</v>
      </c>
      <c r="P3167">
        <f t="shared" si="148"/>
        <v>2.1467591090021693E-2</v>
      </c>
      <c r="Q3167" t="str">
        <f t="shared" ca="1" si="149"/>
        <v>No</v>
      </c>
    </row>
    <row r="3168" spans="1:17" x14ac:dyDescent="0.45">
      <c r="A3168" t="s">
        <v>140</v>
      </c>
      <c r="B3168" t="s">
        <v>141</v>
      </c>
      <c r="C3168" t="s">
        <v>26</v>
      </c>
      <c r="D3168" t="s">
        <v>20</v>
      </c>
      <c r="E3168" t="s">
        <v>21</v>
      </c>
      <c r="F3168" s="1">
        <v>45231</v>
      </c>
      <c r="G3168">
        <v>5.18</v>
      </c>
      <c r="H3168">
        <v>82.3429</v>
      </c>
      <c r="I3168">
        <v>12.31</v>
      </c>
      <c r="J3168">
        <v>81.52</v>
      </c>
      <c r="K3168" t="s">
        <v>23</v>
      </c>
      <c r="L3168">
        <v>1010.18</v>
      </c>
      <c r="M3168">
        <f>VLOOKUP(K3168,RatingLookup!$A$2:$C$8,2,FALSE)</f>
        <v>1E-3</v>
      </c>
      <c r="N3168">
        <f t="shared" si="147"/>
        <v>8.3371552197619714E-5</v>
      </c>
      <c r="O3168">
        <f>VLOOKUP(K3168,RatingLookup!$A$2:$C$8,3,FALSE)</f>
        <v>0.3</v>
      </c>
      <c r="P3168">
        <f t="shared" si="148"/>
        <v>2.5266082379697442E-2</v>
      </c>
      <c r="Q3168" t="str">
        <f t="shared" ca="1" si="149"/>
        <v>No</v>
      </c>
    </row>
    <row r="3169" spans="1:17" x14ac:dyDescent="0.45">
      <c r="A3169" t="s">
        <v>140</v>
      </c>
      <c r="B3169" t="s">
        <v>141</v>
      </c>
      <c r="C3169" t="s">
        <v>26</v>
      </c>
      <c r="D3169" t="s">
        <v>20</v>
      </c>
      <c r="E3169" t="s">
        <v>21</v>
      </c>
      <c r="F3169" s="1">
        <v>45261</v>
      </c>
      <c r="G3169">
        <v>5.69</v>
      </c>
      <c r="H3169">
        <v>82.044499999999999</v>
      </c>
      <c r="I3169">
        <v>17.829999999999998</v>
      </c>
      <c r="J3169">
        <v>94.41</v>
      </c>
      <c r="K3169" t="s">
        <v>23</v>
      </c>
      <c r="L3169">
        <v>974.1</v>
      </c>
      <c r="M3169">
        <f>VLOOKUP(K3169,RatingLookup!$A$2:$C$8,2,FALSE)</f>
        <v>1E-3</v>
      </c>
      <c r="N3169">
        <f t="shared" si="147"/>
        <v>8.3371552197619714E-5</v>
      </c>
      <c r="O3169">
        <f>VLOOKUP(K3169,RatingLookup!$A$2:$C$8,3,FALSE)</f>
        <v>0.3</v>
      </c>
      <c r="P3169">
        <f t="shared" si="148"/>
        <v>2.436366869871041E-2</v>
      </c>
      <c r="Q3169" t="str">
        <f t="shared" ca="1" si="149"/>
        <v>No</v>
      </c>
    </row>
    <row r="3170" spans="1:17" x14ac:dyDescent="0.45">
      <c r="A3170" t="s">
        <v>140</v>
      </c>
      <c r="B3170" t="s">
        <v>141</v>
      </c>
      <c r="C3170" t="s">
        <v>26</v>
      </c>
      <c r="D3170" t="s">
        <v>20</v>
      </c>
      <c r="E3170" t="s">
        <v>21</v>
      </c>
      <c r="F3170" s="1">
        <v>45292</v>
      </c>
      <c r="G3170">
        <v>6.08</v>
      </c>
      <c r="H3170">
        <v>83.376499999999993</v>
      </c>
      <c r="I3170">
        <v>16.61</v>
      </c>
      <c r="J3170">
        <v>77.099999999999994</v>
      </c>
      <c r="K3170" t="s">
        <v>23</v>
      </c>
      <c r="L3170">
        <v>1008.27</v>
      </c>
      <c r="M3170">
        <f>VLOOKUP(K3170,RatingLookup!$A$2:$C$8,2,FALSE)</f>
        <v>1E-3</v>
      </c>
      <c r="N3170">
        <f t="shared" si="147"/>
        <v>8.3371552197619714E-5</v>
      </c>
      <c r="O3170">
        <f>VLOOKUP(K3170,RatingLookup!$A$2:$C$8,3,FALSE)</f>
        <v>0.3</v>
      </c>
      <c r="P3170">
        <f t="shared" si="148"/>
        <v>2.5218310480288206E-2</v>
      </c>
      <c r="Q3170" t="str">
        <f t="shared" ca="1" si="149"/>
        <v>No</v>
      </c>
    </row>
    <row r="3171" spans="1:17" x14ac:dyDescent="0.45">
      <c r="A3171" t="s">
        <v>140</v>
      </c>
      <c r="B3171" t="s">
        <v>141</v>
      </c>
      <c r="C3171" t="s">
        <v>26</v>
      </c>
      <c r="D3171" t="s">
        <v>20</v>
      </c>
      <c r="E3171" t="s">
        <v>21</v>
      </c>
      <c r="F3171" s="1">
        <v>45323</v>
      </c>
      <c r="G3171">
        <v>5.5</v>
      </c>
      <c r="H3171">
        <v>85.281499999999994</v>
      </c>
      <c r="I3171">
        <v>23.8</v>
      </c>
      <c r="J3171">
        <v>96.87</v>
      </c>
      <c r="K3171" t="s">
        <v>23</v>
      </c>
      <c r="L3171">
        <v>904.22</v>
      </c>
      <c r="M3171">
        <f>VLOOKUP(K3171,RatingLookup!$A$2:$C$8,2,FALSE)</f>
        <v>1E-3</v>
      </c>
      <c r="N3171">
        <f t="shared" si="147"/>
        <v>8.3371552197619714E-5</v>
      </c>
      <c r="O3171">
        <f>VLOOKUP(K3171,RatingLookup!$A$2:$C$8,3,FALSE)</f>
        <v>0.3</v>
      </c>
      <c r="P3171">
        <f t="shared" si="148"/>
        <v>2.2615867478439508E-2</v>
      </c>
      <c r="Q3171" t="str">
        <f t="shared" ca="1" si="149"/>
        <v>No</v>
      </c>
    </row>
    <row r="3172" spans="1:17" x14ac:dyDescent="0.45">
      <c r="A3172" t="s">
        <v>140</v>
      </c>
      <c r="B3172" t="s">
        <v>141</v>
      </c>
      <c r="C3172" t="s">
        <v>26</v>
      </c>
      <c r="D3172" t="s">
        <v>20</v>
      </c>
      <c r="E3172" t="s">
        <v>21</v>
      </c>
      <c r="F3172" s="1">
        <v>45352</v>
      </c>
      <c r="G3172">
        <v>4.5999999999999996</v>
      </c>
      <c r="H3172">
        <v>82.889200000000002</v>
      </c>
      <c r="I3172">
        <v>20.61</v>
      </c>
      <c r="J3172">
        <v>85.05</v>
      </c>
      <c r="K3172" t="s">
        <v>23</v>
      </c>
      <c r="L3172">
        <v>912.98</v>
      </c>
      <c r="M3172">
        <f>VLOOKUP(K3172,RatingLookup!$A$2:$C$8,2,FALSE)</f>
        <v>1E-3</v>
      </c>
      <c r="N3172">
        <f t="shared" si="147"/>
        <v>8.3371552197619714E-5</v>
      </c>
      <c r="O3172">
        <f>VLOOKUP(K3172,RatingLookup!$A$2:$C$8,3,FALSE)</f>
        <v>0.3</v>
      </c>
      <c r="P3172">
        <f t="shared" si="148"/>
        <v>2.2834967917614853E-2</v>
      </c>
      <c r="Q3172" t="str">
        <f t="shared" ca="1" si="149"/>
        <v>No</v>
      </c>
    </row>
    <row r="3173" spans="1:17" x14ac:dyDescent="0.45">
      <c r="A3173" t="s">
        <v>140</v>
      </c>
      <c r="B3173" t="s">
        <v>141</v>
      </c>
      <c r="C3173" t="s">
        <v>26</v>
      </c>
      <c r="D3173" t="s">
        <v>20</v>
      </c>
      <c r="E3173" t="s">
        <v>21</v>
      </c>
      <c r="F3173" s="1">
        <v>45383</v>
      </c>
      <c r="G3173">
        <v>5.25</v>
      </c>
      <c r="H3173">
        <v>83.051699999999997</v>
      </c>
      <c r="I3173">
        <v>26.86</v>
      </c>
      <c r="J3173">
        <v>77.44</v>
      </c>
      <c r="K3173" t="s">
        <v>23</v>
      </c>
      <c r="L3173">
        <v>927.73</v>
      </c>
      <c r="M3173">
        <f>VLOOKUP(K3173,RatingLookup!$A$2:$C$8,2,FALSE)</f>
        <v>1E-3</v>
      </c>
      <c r="N3173">
        <f t="shared" si="147"/>
        <v>8.3371552197619714E-5</v>
      </c>
      <c r="O3173">
        <f>VLOOKUP(K3173,RatingLookup!$A$2:$C$8,3,FALSE)</f>
        <v>0.3</v>
      </c>
      <c r="P3173">
        <f t="shared" si="148"/>
        <v>2.3203887036089322E-2</v>
      </c>
      <c r="Q3173" t="str">
        <f t="shared" ca="1" si="149"/>
        <v>No</v>
      </c>
    </row>
    <row r="3174" spans="1:17" x14ac:dyDescent="0.45">
      <c r="A3174" t="s">
        <v>140</v>
      </c>
      <c r="B3174" t="s">
        <v>141</v>
      </c>
      <c r="C3174" t="s">
        <v>26</v>
      </c>
      <c r="D3174" t="s">
        <v>20</v>
      </c>
      <c r="E3174" t="s">
        <v>21</v>
      </c>
      <c r="F3174" s="1">
        <v>45413</v>
      </c>
      <c r="G3174">
        <v>5.0199999999999996</v>
      </c>
      <c r="H3174">
        <v>81.126000000000005</v>
      </c>
      <c r="I3174">
        <v>23.21</v>
      </c>
      <c r="J3174">
        <v>64.16</v>
      </c>
      <c r="K3174" t="s">
        <v>23</v>
      </c>
      <c r="L3174">
        <v>1009.99</v>
      </c>
      <c r="M3174">
        <f>VLOOKUP(K3174,RatingLookup!$A$2:$C$8,2,FALSE)</f>
        <v>1E-3</v>
      </c>
      <c r="N3174">
        <f t="shared" si="147"/>
        <v>8.3371552197619714E-5</v>
      </c>
      <c r="O3174">
        <f>VLOOKUP(K3174,RatingLookup!$A$2:$C$8,3,FALSE)</f>
        <v>0.3</v>
      </c>
      <c r="P3174">
        <f t="shared" si="148"/>
        <v>2.526133020122218E-2</v>
      </c>
      <c r="Q3174" t="str">
        <f t="shared" ca="1" si="149"/>
        <v>No</v>
      </c>
    </row>
    <row r="3175" spans="1:17" x14ac:dyDescent="0.45">
      <c r="A3175" t="s">
        <v>140</v>
      </c>
      <c r="B3175" t="s">
        <v>141</v>
      </c>
      <c r="C3175" t="s">
        <v>26</v>
      </c>
      <c r="D3175" t="s">
        <v>20</v>
      </c>
      <c r="E3175" t="s">
        <v>21</v>
      </c>
      <c r="F3175" s="1">
        <v>45444</v>
      </c>
      <c r="G3175">
        <v>5.48</v>
      </c>
      <c r="H3175">
        <v>81.096000000000004</v>
      </c>
      <c r="I3175">
        <v>19.170000000000002</v>
      </c>
      <c r="J3175">
        <v>78.02</v>
      </c>
      <c r="K3175" t="s">
        <v>23</v>
      </c>
      <c r="L3175">
        <v>948.56</v>
      </c>
      <c r="M3175">
        <f>VLOOKUP(K3175,RatingLookup!$A$2:$C$8,2,FALSE)</f>
        <v>1E-3</v>
      </c>
      <c r="N3175">
        <f t="shared" si="147"/>
        <v>8.3371552197619714E-5</v>
      </c>
      <c r="O3175">
        <f>VLOOKUP(K3175,RatingLookup!$A$2:$C$8,3,FALSE)</f>
        <v>0.3</v>
      </c>
      <c r="P3175">
        <f t="shared" si="148"/>
        <v>2.3724875865772245E-2</v>
      </c>
      <c r="Q3175" t="str">
        <f t="shared" ca="1" si="149"/>
        <v>No</v>
      </c>
    </row>
    <row r="3176" spans="1:17" x14ac:dyDescent="0.45">
      <c r="A3176" t="s">
        <v>140</v>
      </c>
      <c r="B3176" t="s">
        <v>141</v>
      </c>
      <c r="C3176" t="s">
        <v>26</v>
      </c>
      <c r="D3176" t="s">
        <v>20</v>
      </c>
      <c r="E3176" t="s">
        <v>21</v>
      </c>
      <c r="F3176" s="1">
        <v>45474</v>
      </c>
      <c r="G3176">
        <v>5.16</v>
      </c>
      <c r="H3176">
        <v>85.865399999999994</v>
      </c>
      <c r="I3176">
        <v>17.96</v>
      </c>
      <c r="J3176">
        <v>77.06</v>
      </c>
      <c r="K3176" t="s">
        <v>23</v>
      </c>
      <c r="L3176">
        <v>1008.89</v>
      </c>
      <c r="M3176">
        <f>VLOOKUP(K3176,RatingLookup!$A$2:$C$8,2,FALSE)</f>
        <v>1E-3</v>
      </c>
      <c r="N3176">
        <f t="shared" si="147"/>
        <v>8.3371552197619714E-5</v>
      </c>
      <c r="O3176">
        <f>VLOOKUP(K3176,RatingLookup!$A$2:$C$8,3,FALSE)</f>
        <v>0.3</v>
      </c>
      <c r="P3176">
        <f t="shared" si="148"/>
        <v>2.5233817588996964E-2</v>
      </c>
      <c r="Q3176" t="str">
        <f t="shared" ca="1" si="149"/>
        <v>No</v>
      </c>
    </row>
    <row r="3177" spans="1:17" x14ac:dyDescent="0.45">
      <c r="A3177" t="s">
        <v>140</v>
      </c>
      <c r="B3177" t="s">
        <v>141</v>
      </c>
      <c r="C3177" t="s">
        <v>26</v>
      </c>
      <c r="D3177" t="s">
        <v>20</v>
      </c>
      <c r="E3177" t="s">
        <v>21</v>
      </c>
      <c r="F3177" s="1">
        <v>45505</v>
      </c>
      <c r="G3177">
        <v>6</v>
      </c>
      <c r="H3177">
        <v>86.761499999999998</v>
      </c>
      <c r="I3177">
        <v>12.76</v>
      </c>
      <c r="J3177">
        <v>91.22</v>
      </c>
      <c r="K3177" t="s">
        <v>23</v>
      </c>
      <c r="L3177">
        <v>986.29</v>
      </c>
      <c r="M3177">
        <f>VLOOKUP(K3177,RatingLookup!$A$2:$C$8,2,FALSE)</f>
        <v>1E-3</v>
      </c>
      <c r="N3177">
        <f t="shared" si="147"/>
        <v>8.3371552197619714E-5</v>
      </c>
      <c r="O3177">
        <f>VLOOKUP(K3177,RatingLookup!$A$2:$C$8,3,FALSE)</f>
        <v>0.3</v>
      </c>
      <c r="P3177">
        <f t="shared" si="148"/>
        <v>2.4668558465097103E-2</v>
      </c>
      <c r="Q3177" t="str">
        <f t="shared" ca="1" si="149"/>
        <v>No</v>
      </c>
    </row>
    <row r="3178" spans="1:17" x14ac:dyDescent="0.45">
      <c r="A3178" t="s">
        <v>140</v>
      </c>
      <c r="B3178" t="s">
        <v>141</v>
      </c>
      <c r="C3178" t="s">
        <v>26</v>
      </c>
      <c r="D3178" t="s">
        <v>20</v>
      </c>
      <c r="E3178" t="s">
        <v>21</v>
      </c>
      <c r="F3178" s="1">
        <v>45536</v>
      </c>
      <c r="G3178">
        <v>4.74</v>
      </c>
      <c r="H3178">
        <v>83.3048</v>
      </c>
      <c r="I3178">
        <v>11.2</v>
      </c>
      <c r="J3178">
        <v>77.12</v>
      </c>
      <c r="K3178" t="s">
        <v>23</v>
      </c>
      <c r="L3178">
        <v>971.49</v>
      </c>
      <c r="M3178">
        <f>VLOOKUP(K3178,RatingLookup!$A$2:$C$8,2,FALSE)</f>
        <v>1E-3</v>
      </c>
      <c r="N3178">
        <f t="shared" si="147"/>
        <v>8.3371552197619714E-5</v>
      </c>
      <c r="O3178">
        <f>VLOOKUP(K3178,RatingLookup!$A$2:$C$8,3,FALSE)</f>
        <v>0.3</v>
      </c>
      <c r="P3178">
        <f t="shared" si="148"/>
        <v>2.4298388773339671E-2</v>
      </c>
      <c r="Q3178" t="str">
        <f t="shared" ca="1" si="149"/>
        <v>No</v>
      </c>
    </row>
    <row r="3179" spans="1:17" x14ac:dyDescent="0.45">
      <c r="A3179" t="s">
        <v>140</v>
      </c>
      <c r="B3179" t="s">
        <v>141</v>
      </c>
      <c r="C3179" t="s">
        <v>26</v>
      </c>
      <c r="D3179" t="s">
        <v>20</v>
      </c>
      <c r="E3179" t="s">
        <v>21</v>
      </c>
      <c r="F3179" s="1">
        <v>45566</v>
      </c>
      <c r="G3179">
        <v>4.8899999999999997</v>
      </c>
      <c r="H3179">
        <v>83.676400000000001</v>
      </c>
      <c r="I3179">
        <v>16.88</v>
      </c>
      <c r="J3179">
        <v>80.55</v>
      </c>
      <c r="K3179" t="s">
        <v>23</v>
      </c>
      <c r="L3179">
        <v>951.49</v>
      </c>
      <c r="M3179">
        <f>VLOOKUP(K3179,RatingLookup!$A$2:$C$8,2,FALSE)</f>
        <v>1E-3</v>
      </c>
      <c r="N3179">
        <f t="shared" si="147"/>
        <v>8.3371552197619714E-5</v>
      </c>
      <c r="O3179">
        <f>VLOOKUP(K3179,RatingLookup!$A$2:$C$8,3,FALSE)</f>
        <v>0.3</v>
      </c>
      <c r="P3179">
        <f t="shared" si="148"/>
        <v>2.3798159460153952E-2</v>
      </c>
      <c r="Q3179" t="str">
        <f t="shared" ca="1" si="149"/>
        <v>No</v>
      </c>
    </row>
    <row r="3180" spans="1:17" x14ac:dyDescent="0.45">
      <c r="A3180" t="s">
        <v>140</v>
      </c>
      <c r="B3180" t="s">
        <v>141</v>
      </c>
      <c r="C3180" t="s">
        <v>26</v>
      </c>
      <c r="D3180" t="s">
        <v>20</v>
      </c>
      <c r="E3180" t="s">
        <v>21</v>
      </c>
      <c r="F3180" s="1">
        <v>45597</v>
      </c>
      <c r="G3180">
        <v>5.69</v>
      </c>
      <c r="H3180">
        <v>82.095399999999998</v>
      </c>
      <c r="I3180">
        <v>14.21</v>
      </c>
      <c r="J3180">
        <v>76.819999999999993</v>
      </c>
      <c r="K3180" t="s">
        <v>23</v>
      </c>
      <c r="L3180">
        <v>944.78</v>
      </c>
      <c r="M3180">
        <f>VLOOKUP(K3180,RatingLookup!$A$2:$C$8,2,FALSE)</f>
        <v>1E-3</v>
      </c>
      <c r="N3180">
        <f t="shared" si="147"/>
        <v>8.3371552197619714E-5</v>
      </c>
      <c r="O3180">
        <f>VLOOKUP(K3180,RatingLookup!$A$2:$C$8,3,FALSE)</f>
        <v>0.3</v>
      </c>
      <c r="P3180">
        <f t="shared" si="148"/>
        <v>2.3630332525580146E-2</v>
      </c>
      <c r="Q3180" t="str">
        <f t="shared" ca="1" si="149"/>
        <v>No</v>
      </c>
    </row>
    <row r="3181" spans="1:17" x14ac:dyDescent="0.45">
      <c r="A3181" t="s">
        <v>140</v>
      </c>
      <c r="B3181" t="s">
        <v>141</v>
      </c>
      <c r="C3181" t="s">
        <v>26</v>
      </c>
      <c r="D3181" t="s">
        <v>20</v>
      </c>
      <c r="E3181" t="s">
        <v>21</v>
      </c>
      <c r="F3181" s="1">
        <v>45627</v>
      </c>
      <c r="G3181">
        <v>5.52</v>
      </c>
      <c r="H3181">
        <v>83.624300000000005</v>
      </c>
      <c r="I3181">
        <v>23.98</v>
      </c>
      <c r="J3181">
        <v>74.16</v>
      </c>
      <c r="K3181" t="s">
        <v>23</v>
      </c>
      <c r="L3181">
        <v>932.06</v>
      </c>
      <c r="M3181">
        <f>VLOOKUP(K3181,RatingLookup!$A$2:$C$8,2,FALSE)</f>
        <v>1E-3</v>
      </c>
      <c r="N3181">
        <f t="shared" si="147"/>
        <v>8.3371552197619714E-5</v>
      </c>
      <c r="O3181">
        <f>VLOOKUP(K3181,RatingLookup!$A$2:$C$8,3,FALSE)</f>
        <v>0.3</v>
      </c>
      <c r="P3181">
        <f t="shared" si="148"/>
        <v>2.3312186682394029E-2</v>
      </c>
      <c r="Q3181" t="str">
        <f t="shared" ca="1" si="149"/>
        <v>No</v>
      </c>
    </row>
    <row r="3182" spans="1:17" x14ac:dyDescent="0.45">
      <c r="A3182" t="s">
        <v>142</v>
      </c>
      <c r="B3182" t="s">
        <v>143</v>
      </c>
      <c r="C3182" t="s">
        <v>66</v>
      </c>
      <c r="D3182" t="s">
        <v>20</v>
      </c>
      <c r="E3182" t="s">
        <v>21</v>
      </c>
      <c r="F3182" s="1">
        <v>43831</v>
      </c>
      <c r="G3182">
        <v>5.8</v>
      </c>
      <c r="H3182">
        <v>80.573999999999998</v>
      </c>
      <c r="I3182">
        <v>14.32</v>
      </c>
      <c r="J3182">
        <v>64.69</v>
      </c>
      <c r="K3182" t="s">
        <v>23</v>
      </c>
      <c r="L3182">
        <v>689.11</v>
      </c>
      <c r="M3182">
        <f>VLOOKUP(K3182,RatingLookup!$A$2:$C$8,2,FALSE)</f>
        <v>1E-3</v>
      </c>
      <c r="N3182">
        <f t="shared" si="147"/>
        <v>8.3371552197619714E-5</v>
      </c>
      <c r="O3182">
        <f>VLOOKUP(K3182,RatingLookup!$A$2:$C$8,3,FALSE)</f>
        <v>0.3</v>
      </c>
      <c r="P3182">
        <f t="shared" si="148"/>
        <v>1.7235651100470515E-2</v>
      </c>
      <c r="Q3182" t="str">
        <f t="shared" ca="1" si="149"/>
        <v>No</v>
      </c>
    </row>
    <row r="3183" spans="1:17" x14ac:dyDescent="0.45">
      <c r="A3183" t="s">
        <v>142</v>
      </c>
      <c r="B3183" t="s">
        <v>143</v>
      </c>
      <c r="C3183" t="s">
        <v>66</v>
      </c>
      <c r="D3183" t="s">
        <v>20</v>
      </c>
      <c r="E3183" t="s">
        <v>21</v>
      </c>
      <c r="F3183" s="1">
        <v>43862</v>
      </c>
      <c r="G3183">
        <v>5.29</v>
      </c>
      <c r="H3183">
        <v>83.834299999999999</v>
      </c>
      <c r="I3183">
        <v>15.73</v>
      </c>
      <c r="J3183">
        <v>62.82</v>
      </c>
      <c r="K3183" t="s">
        <v>23</v>
      </c>
      <c r="L3183">
        <v>687.65</v>
      </c>
      <c r="M3183">
        <f>VLOOKUP(K3183,RatingLookup!$A$2:$C$8,2,FALSE)</f>
        <v>1E-3</v>
      </c>
      <c r="N3183">
        <f t="shared" si="147"/>
        <v>8.3371552197619714E-5</v>
      </c>
      <c r="O3183">
        <f>VLOOKUP(K3183,RatingLookup!$A$2:$C$8,3,FALSE)</f>
        <v>0.3</v>
      </c>
      <c r="P3183">
        <f t="shared" si="148"/>
        <v>1.7199134360607958E-2</v>
      </c>
      <c r="Q3183" t="str">
        <f t="shared" ca="1" si="149"/>
        <v>No</v>
      </c>
    </row>
    <row r="3184" spans="1:17" x14ac:dyDescent="0.45">
      <c r="A3184" t="s">
        <v>142</v>
      </c>
      <c r="B3184" t="s">
        <v>143</v>
      </c>
      <c r="C3184" t="s">
        <v>66</v>
      </c>
      <c r="D3184" t="s">
        <v>20</v>
      </c>
      <c r="E3184" t="s">
        <v>21</v>
      </c>
      <c r="F3184" s="1">
        <v>43891</v>
      </c>
      <c r="G3184">
        <v>6.4</v>
      </c>
      <c r="H3184">
        <v>77.196399999999997</v>
      </c>
      <c r="I3184">
        <v>13.8</v>
      </c>
      <c r="J3184">
        <v>76.59</v>
      </c>
      <c r="K3184" t="s">
        <v>23</v>
      </c>
      <c r="L3184">
        <v>684.52</v>
      </c>
      <c r="M3184">
        <f>VLOOKUP(K3184,RatingLookup!$A$2:$C$8,2,FALSE)</f>
        <v>1E-3</v>
      </c>
      <c r="N3184">
        <f t="shared" si="147"/>
        <v>8.3371552197619714E-5</v>
      </c>
      <c r="O3184">
        <f>VLOOKUP(K3184,RatingLookup!$A$2:$C$8,3,FALSE)</f>
        <v>0.3</v>
      </c>
      <c r="P3184">
        <f t="shared" si="148"/>
        <v>1.7120848473094395E-2</v>
      </c>
      <c r="Q3184" t="str">
        <f t="shared" ca="1" si="149"/>
        <v>No</v>
      </c>
    </row>
    <row r="3185" spans="1:17" x14ac:dyDescent="0.45">
      <c r="A3185" t="s">
        <v>142</v>
      </c>
      <c r="B3185" t="s">
        <v>143</v>
      </c>
      <c r="C3185" t="s">
        <v>66</v>
      </c>
      <c r="D3185" t="s">
        <v>20</v>
      </c>
      <c r="E3185" t="s">
        <v>21</v>
      </c>
      <c r="F3185" s="1">
        <v>43922</v>
      </c>
      <c r="G3185">
        <v>6.25</v>
      </c>
      <c r="H3185">
        <v>82.011700000000005</v>
      </c>
      <c r="I3185">
        <v>19.29</v>
      </c>
      <c r="J3185">
        <v>79.61</v>
      </c>
      <c r="K3185" t="s">
        <v>23</v>
      </c>
      <c r="L3185">
        <v>665.79</v>
      </c>
      <c r="M3185">
        <f>VLOOKUP(K3185,RatingLookup!$A$2:$C$8,2,FALSE)</f>
        <v>1E-3</v>
      </c>
      <c r="N3185">
        <f t="shared" si="147"/>
        <v>8.3371552197619714E-5</v>
      </c>
      <c r="O3185">
        <f>VLOOKUP(K3185,RatingLookup!$A$2:$C$8,3,FALSE)</f>
        <v>0.3</v>
      </c>
      <c r="P3185">
        <f t="shared" si="148"/>
        <v>1.6652383721295967E-2</v>
      </c>
      <c r="Q3185" t="str">
        <f t="shared" ca="1" si="149"/>
        <v>No</v>
      </c>
    </row>
    <row r="3186" spans="1:17" x14ac:dyDescent="0.45">
      <c r="A3186" t="s">
        <v>142</v>
      </c>
      <c r="B3186" t="s">
        <v>143</v>
      </c>
      <c r="C3186" t="s">
        <v>66</v>
      </c>
      <c r="D3186" t="s">
        <v>20</v>
      </c>
      <c r="E3186" t="s">
        <v>21</v>
      </c>
      <c r="F3186" s="1">
        <v>43952</v>
      </c>
      <c r="G3186">
        <v>5.56</v>
      </c>
      <c r="H3186">
        <v>77.285600000000002</v>
      </c>
      <c r="I3186">
        <v>13.51</v>
      </c>
      <c r="J3186">
        <v>77.260000000000005</v>
      </c>
      <c r="K3186" t="s">
        <v>23</v>
      </c>
      <c r="L3186">
        <v>687.28</v>
      </c>
      <c r="M3186">
        <f>VLOOKUP(K3186,RatingLookup!$A$2:$C$8,2,FALSE)</f>
        <v>1E-3</v>
      </c>
      <c r="N3186">
        <f t="shared" si="147"/>
        <v>8.3371552197619714E-5</v>
      </c>
      <c r="O3186">
        <f>VLOOKUP(K3186,RatingLookup!$A$2:$C$8,3,FALSE)</f>
        <v>0.3</v>
      </c>
      <c r="P3186">
        <f t="shared" si="148"/>
        <v>1.7189880118314023E-2</v>
      </c>
      <c r="Q3186" t="str">
        <f t="shared" ca="1" si="149"/>
        <v>No</v>
      </c>
    </row>
    <row r="3187" spans="1:17" x14ac:dyDescent="0.45">
      <c r="A3187" t="s">
        <v>142</v>
      </c>
      <c r="B3187" t="s">
        <v>143</v>
      </c>
      <c r="C3187" t="s">
        <v>66</v>
      </c>
      <c r="D3187" t="s">
        <v>20</v>
      </c>
      <c r="E3187" t="s">
        <v>21</v>
      </c>
      <c r="F3187" s="1">
        <v>43983</v>
      </c>
      <c r="G3187">
        <v>5.95</v>
      </c>
      <c r="H3187">
        <v>83.208399999999997</v>
      </c>
      <c r="I3187">
        <v>22.32</v>
      </c>
      <c r="J3187">
        <v>75.31</v>
      </c>
      <c r="K3187" t="s">
        <v>48</v>
      </c>
      <c r="L3187">
        <v>736.68</v>
      </c>
      <c r="M3187">
        <f>VLOOKUP(K3187,RatingLookup!$A$2:$C$8,2,FALSE)</f>
        <v>5.0000000000000001E-4</v>
      </c>
      <c r="N3187">
        <f t="shared" si="147"/>
        <v>4.167621832917856E-5</v>
      </c>
      <c r="O3187">
        <f>VLOOKUP(K3187,RatingLookup!$A$2:$C$8,3,FALSE)</f>
        <v>0.25</v>
      </c>
      <c r="P3187">
        <f t="shared" si="148"/>
        <v>7.6755091296848146E-3</v>
      </c>
      <c r="Q3187" t="str">
        <f t="shared" ca="1" si="149"/>
        <v>No</v>
      </c>
    </row>
    <row r="3188" spans="1:17" x14ac:dyDescent="0.45">
      <c r="A3188" t="s">
        <v>142</v>
      </c>
      <c r="B3188" t="s">
        <v>143</v>
      </c>
      <c r="C3188" t="s">
        <v>66</v>
      </c>
      <c r="D3188" t="s">
        <v>20</v>
      </c>
      <c r="E3188" t="s">
        <v>21</v>
      </c>
      <c r="F3188" s="1">
        <v>44013</v>
      </c>
      <c r="G3188">
        <v>4.71</v>
      </c>
      <c r="H3188">
        <v>77.894900000000007</v>
      </c>
      <c r="I3188">
        <v>16.02</v>
      </c>
      <c r="J3188">
        <v>46.59</v>
      </c>
      <c r="K3188" t="s">
        <v>48</v>
      </c>
      <c r="L3188">
        <v>738.53</v>
      </c>
      <c r="M3188">
        <f>VLOOKUP(K3188,RatingLookup!$A$2:$C$8,2,FALSE)</f>
        <v>5.0000000000000001E-4</v>
      </c>
      <c r="N3188">
        <f t="shared" si="147"/>
        <v>4.167621832917856E-5</v>
      </c>
      <c r="O3188">
        <f>VLOOKUP(K3188,RatingLookup!$A$2:$C$8,3,FALSE)</f>
        <v>0.25</v>
      </c>
      <c r="P3188">
        <f t="shared" si="148"/>
        <v>7.6947843806620606E-3</v>
      </c>
      <c r="Q3188" t="str">
        <f t="shared" ca="1" si="149"/>
        <v>No</v>
      </c>
    </row>
    <row r="3189" spans="1:17" x14ac:dyDescent="0.45">
      <c r="A3189" t="s">
        <v>142</v>
      </c>
      <c r="B3189" t="s">
        <v>143</v>
      </c>
      <c r="C3189" t="s">
        <v>66</v>
      </c>
      <c r="D3189" t="s">
        <v>20</v>
      </c>
      <c r="E3189" t="s">
        <v>21</v>
      </c>
      <c r="F3189" s="1">
        <v>44044</v>
      </c>
      <c r="G3189">
        <v>6.03</v>
      </c>
      <c r="H3189">
        <v>81.451300000000003</v>
      </c>
      <c r="I3189">
        <v>19.47</v>
      </c>
      <c r="J3189">
        <v>71.989999999999995</v>
      </c>
      <c r="K3189" t="s">
        <v>48</v>
      </c>
      <c r="L3189">
        <v>735.36</v>
      </c>
      <c r="M3189">
        <f>VLOOKUP(K3189,RatingLookup!$A$2:$C$8,2,FALSE)</f>
        <v>5.0000000000000001E-4</v>
      </c>
      <c r="N3189">
        <f t="shared" si="147"/>
        <v>4.167621832917856E-5</v>
      </c>
      <c r="O3189">
        <f>VLOOKUP(K3189,RatingLookup!$A$2:$C$8,3,FALSE)</f>
        <v>0.25</v>
      </c>
      <c r="P3189">
        <f t="shared" si="148"/>
        <v>7.6617559776361865E-3</v>
      </c>
      <c r="Q3189" t="str">
        <f t="shared" ca="1" si="149"/>
        <v>No</v>
      </c>
    </row>
    <row r="3190" spans="1:17" x14ac:dyDescent="0.45">
      <c r="A3190" t="s">
        <v>142</v>
      </c>
      <c r="B3190" t="s">
        <v>143</v>
      </c>
      <c r="C3190" t="s">
        <v>66</v>
      </c>
      <c r="D3190" t="s">
        <v>20</v>
      </c>
      <c r="E3190" t="s">
        <v>21</v>
      </c>
      <c r="F3190" s="1">
        <v>44075</v>
      </c>
      <c r="G3190">
        <v>4.41</v>
      </c>
      <c r="H3190">
        <v>81.644800000000004</v>
      </c>
      <c r="I3190">
        <v>11.86</v>
      </c>
      <c r="J3190">
        <v>74.44</v>
      </c>
      <c r="K3190" t="s">
        <v>48</v>
      </c>
      <c r="L3190">
        <v>678.38</v>
      </c>
      <c r="M3190">
        <f>VLOOKUP(K3190,RatingLookup!$A$2:$C$8,2,FALSE)</f>
        <v>5.0000000000000001E-4</v>
      </c>
      <c r="N3190">
        <f t="shared" si="147"/>
        <v>4.167621832917856E-5</v>
      </c>
      <c r="O3190">
        <f>VLOOKUP(K3190,RatingLookup!$A$2:$C$8,3,FALSE)</f>
        <v>0.25</v>
      </c>
      <c r="P3190">
        <f t="shared" si="148"/>
        <v>7.068078247537038E-3</v>
      </c>
      <c r="Q3190" t="str">
        <f t="shared" ca="1" si="149"/>
        <v>No</v>
      </c>
    </row>
    <row r="3191" spans="1:17" x14ac:dyDescent="0.45">
      <c r="A3191" t="s">
        <v>142</v>
      </c>
      <c r="B3191" t="s">
        <v>143</v>
      </c>
      <c r="C3191" t="s">
        <v>66</v>
      </c>
      <c r="D3191" t="s">
        <v>20</v>
      </c>
      <c r="E3191" t="s">
        <v>21</v>
      </c>
      <c r="F3191" s="1">
        <v>44105</v>
      </c>
      <c r="G3191">
        <v>5.27</v>
      </c>
      <c r="H3191">
        <v>82.715500000000006</v>
      </c>
      <c r="I3191">
        <v>21.96</v>
      </c>
      <c r="J3191">
        <v>77.81</v>
      </c>
      <c r="K3191" t="s">
        <v>48</v>
      </c>
      <c r="L3191">
        <v>741.85</v>
      </c>
      <c r="M3191">
        <f>VLOOKUP(K3191,RatingLookup!$A$2:$C$8,2,FALSE)</f>
        <v>5.0000000000000001E-4</v>
      </c>
      <c r="N3191">
        <f t="shared" si="147"/>
        <v>4.167621832917856E-5</v>
      </c>
      <c r="O3191">
        <f>VLOOKUP(K3191,RatingLookup!$A$2:$C$8,3,FALSE)</f>
        <v>0.25</v>
      </c>
      <c r="P3191">
        <f t="shared" si="148"/>
        <v>7.7293756418752788E-3</v>
      </c>
      <c r="Q3191" t="str">
        <f t="shared" ca="1" si="149"/>
        <v>No</v>
      </c>
    </row>
    <row r="3192" spans="1:17" x14ac:dyDescent="0.45">
      <c r="A3192" t="s">
        <v>142</v>
      </c>
      <c r="B3192" t="s">
        <v>143</v>
      </c>
      <c r="C3192" t="s">
        <v>66</v>
      </c>
      <c r="D3192" t="s">
        <v>20</v>
      </c>
      <c r="E3192" t="s">
        <v>21</v>
      </c>
      <c r="F3192" s="1">
        <v>44136</v>
      </c>
      <c r="G3192">
        <v>6.18</v>
      </c>
      <c r="H3192">
        <v>78.975999999999999</v>
      </c>
      <c r="I3192">
        <v>19.309999999999999</v>
      </c>
      <c r="J3192">
        <v>78.61</v>
      </c>
      <c r="K3192" t="s">
        <v>48</v>
      </c>
      <c r="L3192">
        <v>722.46</v>
      </c>
      <c r="M3192">
        <f>VLOOKUP(K3192,RatingLookup!$A$2:$C$8,2,FALSE)</f>
        <v>5.0000000000000001E-4</v>
      </c>
      <c r="N3192">
        <f t="shared" si="147"/>
        <v>4.167621832917856E-5</v>
      </c>
      <c r="O3192">
        <f>VLOOKUP(K3192,RatingLookup!$A$2:$C$8,3,FALSE)</f>
        <v>0.25</v>
      </c>
      <c r="P3192">
        <f t="shared" si="148"/>
        <v>7.5273501735245857E-3</v>
      </c>
      <c r="Q3192" t="str">
        <f t="shared" ca="1" si="149"/>
        <v>No</v>
      </c>
    </row>
    <row r="3193" spans="1:17" x14ac:dyDescent="0.45">
      <c r="A3193" t="s">
        <v>142</v>
      </c>
      <c r="B3193" t="s">
        <v>143</v>
      </c>
      <c r="C3193" t="s">
        <v>66</v>
      </c>
      <c r="D3193" t="s">
        <v>20</v>
      </c>
      <c r="E3193" t="s">
        <v>21</v>
      </c>
      <c r="F3193" s="1">
        <v>44166</v>
      </c>
      <c r="G3193">
        <v>5.47</v>
      </c>
      <c r="H3193">
        <v>81.354600000000005</v>
      </c>
      <c r="I3193">
        <v>6.82</v>
      </c>
      <c r="J3193">
        <v>76.08</v>
      </c>
      <c r="K3193" t="s">
        <v>48</v>
      </c>
      <c r="L3193">
        <v>676.71</v>
      </c>
      <c r="M3193">
        <f>VLOOKUP(K3193,RatingLookup!$A$2:$C$8,2,FALSE)</f>
        <v>5.0000000000000001E-4</v>
      </c>
      <c r="N3193">
        <f t="shared" si="147"/>
        <v>4.167621832917856E-5</v>
      </c>
      <c r="O3193">
        <f>VLOOKUP(K3193,RatingLookup!$A$2:$C$8,3,FALSE)</f>
        <v>0.25</v>
      </c>
      <c r="P3193">
        <f t="shared" si="148"/>
        <v>7.0506784263846059E-3</v>
      </c>
      <c r="Q3193" t="str">
        <f t="shared" ca="1" si="149"/>
        <v>No</v>
      </c>
    </row>
    <row r="3194" spans="1:17" x14ac:dyDescent="0.45">
      <c r="A3194" t="s">
        <v>142</v>
      </c>
      <c r="B3194" t="s">
        <v>143</v>
      </c>
      <c r="C3194" t="s">
        <v>66</v>
      </c>
      <c r="D3194" t="s">
        <v>20</v>
      </c>
      <c r="E3194" t="s">
        <v>21</v>
      </c>
      <c r="F3194" s="1">
        <v>44197</v>
      </c>
      <c r="G3194">
        <v>4.32</v>
      </c>
      <c r="H3194">
        <v>81.240799999999993</v>
      </c>
      <c r="I3194">
        <v>18.239999999999998</v>
      </c>
      <c r="J3194">
        <v>83.88</v>
      </c>
      <c r="K3194" t="s">
        <v>48</v>
      </c>
      <c r="L3194">
        <v>683.74</v>
      </c>
      <c r="M3194">
        <f>VLOOKUP(K3194,RatingLookup!$A$2:$C$8,2,FALSE)</f>
        <v>5.0000000000000001E-4</v>
      </c>
      <c r="N3194">
        <f t="shared" si="147"/>
        <v>4.167621832917856E-5</v>
      </c>
      <c r="O3194">
        <f>VLOOKUP(K3194,RatingLookup!$A$2:$C$8,3,FALSE)</f>
        <v>0.25</v>
      </c>
      <c r="P3194">
        <f t="shared" si="148"/>
        <v>7.1239243800981372E-3</v>
      </c>
      <c r="Q3194" t="str">
        <f t="shared" ca="1" si="149"/>
        <v>No</v>
      </c>
    </row>
    <row r="3195" spans="1:17" x14ac:dyDescent="0.45">
      <c r="A3195" t="s">
        <v>142</v>
      </c>
      <c r="B3195" t="s">
        <v>143</v>
      </c>
      <c r="C3195" t="s">
        <v>66</v>
      </c>
      <c r="D3195" t="s">
        <v>20</v>
      </c>
      <c r="E3195" t="s">
        <v>21</v>
      </c>
      <c r="F3195" s="1">
        <v>44228</v>
      </c>
      <c r="G3195">
        <v>6.45</v>
      </c>
      <c r="H3195">
        <v>81.039299999999997</v>
      </c>
      <c r="I3195">
        <v>30.39</v>
      </c>
      <c r="J3195">
        <v>83.9</v>
      </c>
      <c r="K3195" t="s">
        <v>48</v>
      </c>
      <c r="L3195">
        <v>687.59</v>
      </c>
      <c r="M3195">
        <f>VLOOKUP(K3195,RatingLookup!$A$2:$C$8,2,FALSE)</f>
        <v>5.0000000000000001E-4</v>
      </c>
      <c r="N3195">
        <f t="shared" si="147"/>
        <v>4.167621832917856E-5</v>
      </c>
      <c r="O3195">
        <f>VLOOKUP(K3195,RatingLookup!$A$2:$C$8,3,FALSE)</f>
        <v>0.25</v>
      </c>
      <c r="P3195">
        <f t="shared" si="148"/>
        <v>7.1640377402399716E-3</v>
      </c>
      <c r="Q3195" t="str">
        <f t="shared" ca="1" si="149"/>
        <v>No</v>
      </c>
    </row>
    <row r="3196" spans="1:17" x14ac:dyDescent="0.45">
      <c r="A3196" t="s">
        <v>142</v>
      </c>
      <c r="B3196" t="s">
        <v>143</v>
      </c>
      <c r="C3196" t="s">
        <v>66</v>
      </c>
      <c r="D3196" t="s">
        <v>20</v>
      </c>
      <c r="E3196" t="s">
        <v>21</v>
      </c>
      <c r="F3196" s="1">
        <v>44256</v>
      </c>
      <c r="G3196">
        <v>5.17</v>
      </c>
      <c r="H3196">
        <v>76.455100000000002</v>
      </c>
      <c r="I3196">
        <v>21.9</v>
      </c>
      <c r="J3196">
        <v>64.739999999999995</v>
      </c>
      <c r="K3196" t="s">
        <v>48</v>
      </c>
      <c r="L3196">
        <v>704.8</v>
      </c>
      <c r="M3196">
        <f>VLOOKUP(K3196,RatingLookup!$A$2:$C$8,2,FALSE)</f>
        <v>5.0000000000000001E-4</v>
      </c>
      <c r="N3196">
        <f t="shared" si="147"/>
        <v>4.167621832917856E-5</v>
      </c>
      <c r="O3196">
        <f>VLOOKUP(K3196,RatingLookup!$A$2:$C$8,3,FALSE)</f>
        <v>0.25</v>
      </c>
      <c r="P3196">
        <f t="shared" si="148"/>
        <v>7.3433496696012615E-3</v>
      </c>
      <c r="Q3196" t="str">
        <f t="shared" ca="1" si="149"/>
        <v>No</v>
      </c>
    </row>
    <row r="3197" spans="1:17" x14ac:dyDescent="0.45">
      <c r="A3197" t="s">
        <v>142</v>
      </c>
      <c r="B3197" t="s">
        <v>143</v>
      </c>
      <c r="C3197" t="s">
        <v>66</v>
      </c>
      <c r="D3197" t="s">
        <v>20</v>
      </c>
      <c r="E3197" t="s">
        <v>21</v>
      </c>
      <c r="F3197" s="1">
        <v>44287</v>
      </c>
      <c r="G3197">
        <v>4.57</v>
      </c>
      <c r="H3197">
        <v>81.822299999999998</v>
      </c>
      <c r="I3197">
        <v>12.92</v>
      </c>
      <c r="J3197">
        <v>88.69</v>
      </c>
      <c r="K3197" t="s">
        <v>48</v>
      </c>
      <c r="L3197">
        <v>772.43</v>
      </c>
      <c r="M3197">
        <f>VLOOKUP(K3197,RatingLookup!$A$2:$C$8,2,FALSE)</f>
        <v>5.0000000000000001E-4</v>
      </c>
      <c r="N3197">
        <f t="shared" si="147"/>
        <v>4.167621832917856E-5</v>
      </c>
      <c r="O3197">
        <f>VLOOKUP(K3197,RatingLookup!$A$2:$C$8,3,FALSE)</f>
        <v>0.25</v>
      </c>
      <c r="P3197">
        <f t="shared" si="148"/>
        <v>8.0479903310018489E-3</v>
      </c>
      <c r="Q3197" t="str">
        <f t="shared" ca="1" si="149"/>
        <v>No</v>
      </c>
    </row>
    <row r="3198" spans="1:17" x14ac:dyDescent="0.45">
      <c r="A3198" t="s">
        <v>142</v>
      </c>
      <c r="B3198" t="s">
        <v>143</v>
      </c>
      <c r="C3198" t="s">
        <v>66</v>
      </c>
      <c r="D3198" t="s">
        <v>20</v>
      </c>
      <c r="E3198" t="s">
        <v>21</v>
      </c>
      <c r="F3198" s="1">
        <v>44317</v>
      </c>
      <c r="G3198">
        <v>5.26</v>
      </c>
      <c r="H3198">
        <v>82.6434</v>
      </c>
      <c r="I3198">
        <v>14.62</v>
      </c>
      <c r="J3198">
        <v>63.97</v>
      </c>
      <c r="K3198" t="s">
        <v>48</v>
      </c>
      <c r="L3198">
        <v>672.42</v>
      </c>
      <c r="M3198">
        <f>VLOOKUP(K3198,RatingLookup!$A$2:$C$8,2,FALSE)</f>
        <v>5.0000000000000001E-4</v>
      </c>
      <c r="N3198">
        <f t="shared" si="147"/>
        <v>4.167621832917856E-5</v>
      </c>
      <c r="O3198">
        <f>VLOOKUP(K3198,RatingLookup!$A$2:$C$8,3,FALSE)</f>
        <v>0.25</v>
      </c>
      <c r="P3198">
        <f t="shared" si="148"/>
        <v>7.0059806822265619E-3</v>
      </c>
      <c r="Q3198" t="str">
        <f t="shared" ca="1" si="149"/>
        <v>No</v>
      </c>
    </row>
    <row r="3199" spans="1:17" x14ac:dyDescent="0.45">
      <c r="A3199" t="s">
        <v>142</v>
      </c>
      <c r="B3199" t="s">
        <v>143</v>
      </c>
      <c r="C3199" t="s">
        <v>66</v>
      </c>
      <c r="D3199" t="s">
        <v>20</v>
      </c>
      <c r="E3199" t="s">
        <v>21</v>
      </c>
      <c r="F3199" s="1">
        <v>44348</v>
      </c>
      <c r="G3199">
        <v>4.8499999999999996</v>
      </c>
      <c r="H3199">
        <v>79.9572</v>
      </c>
      <c r="I3199">
        <v>13.16</v>
      </c>
      <c r="J3199">
        <v>66.73</v>
      </c>
      <c r="K3199" t="s">
        <v>48</v>
      </c>
      <c r="L3199">
        <v>648.88</v>
      </c>
      <c r="M3199">
        <f>VLOOKUP(K3199,RatingLookup!$A$2:$C$8,2,FALSE)</f>
        <v>5.0000000000000001E-4</v>
      </c>
      <c r="N3199">
        <f t="shared" si="147"/>
        <v>4.167621832917856E-5</v>
      </c>
      <c r="O3199">
        <f>VLOOKUP(K3199,RatingLookup!$A$2:$C$8,3,FALSE)</f>
        <v>0.25</v>
      </c>
      <c r="P3199">
        <f t="shared" si="148"/>
        <v>6.7607161373593461E-3</v>
      </c>
      <c r="Q3199" t="str">
        <f t="shared" ca="1" si="149"/>
        <v>No</v>
      </c>
    </row>
    <row r="3200" spans="1:17" x14ac:dyDescent="0.45">
      <c r="A3200" t="s">
        <v>142</v>
      </c>
      <c r="B3200" t="s">
        <v>143</v>
      </c>
      <c r="C3200" t="s">
        <v>66</v>
      </c>
      <c r="D3200" t="s">
        <v>20</v>
      </c>
      <c r="E3200" t="s">
        <v>21</v>
      </c>
      <c r="F3200" s="1">
        <v>44378</v>
      </c>
      <c r="G3200">
        <v>6.47</v>
      </c>
      <c r="H3200">
        <v>83.196200000000005</v>
      </c>
      <c r="I3200">
        <v>21.92</v>
      </c>
      <c r="J3200">
        <v>92.88</v>
      </c>
      <c r="K3200" t="s">
        <v>23</v>
      </c>
      <c r="L3200">
        <v>726.68</v>
      </c>
      <c r="M3200">
        <f>VLOOKUP(K3200,RatingLookup!$A$2:$C$8,2,FALSE)</f>
        <v>1E-3</v>
      </c>
      <c r="N3200">
        <f t="shared" si="147"/>
        <v>8.3371552197619714E-5</v>
      </c>
      <c r="O3200">
        <f>VLOOKUP(K3200,RatingLookup!$A$2:$C$8,3,FALSE)</f>
        <v>0.3</v>
      </c>
      <c r="P3200">
        <f t="shared" si="148"/>
        <v>1.8175331865289888E-2</v>
      </c>
      <c r="Q3200" t="str">
        <f t="shared" ca="1" si="149"/>
        <v>No</v>
      </c>
    </row>
    <row r="3201" spans="1:17" x14ac:dyDescent="0.45">
      <c r="A3201" t="s">
        <v>142</v>
      </c>
      <c r="B3201" t="s">
        <v>143</v>
      </c>
      <c r="C3201" t="s">
        <v>66</v>
      </c>
      <c r="D3201" t="s">
        <v>20</v>
      </c>
      <c r="E3201" t="s">
        <v>21</v>
      </c>
      <c r="F3201" s="1">
        <v>44409</v>
      </c>
      <c r="G3201">
        <v>6.09</v>
      </c>
      <c r="H3201">
        <v>82.905000000000001</v>
      </c>
      <c r="I3201">
        <v>16.93</v>
      </c>
      <c r="J3201">
        <v>92.37</v>
      </c>
      <c r="K3201" t="s">
        <v>23</v>
      </c>
      <c r="L3201">
        <v>674.38</v>
      </c>
      <c r="M3201">
        <f>VLOOKUP(K3201,RatingLookup!$A$2:$C$8,2,FALSE)</f>
        <v>1E-3</v>
      </c>
      <c r="N3201">
        <f t="shared" si="147"/>
        <v>8.3371552197619714E-5</v>
      </c>
      <c r="O3201">
        <f>VLOOKUP(K3201,RatingLookup!$A$2:$C$8,3,FALSE)</f>
        <v>0.3</v>
      </c>
      <c r="P3201">
        <f t="shared" si="148"/>
        <v>1.6867232211309233E-2</v>
      </c>
      <c r="Q3201" t="str">
        <f t="shared" ca="1" si="149"/>
        <v>No</v>
      </c>
    </row>
    <row r="3202" spans="1:17" x14ac:dyDescent="0.45">
      <c r="A3202" t="s">
        <v>142</v>
      </c>
      <c r="B3202" t="s">
        <v>143</v>
      </c>
      <c r="C3202" t="s">
        <v>66</v>
      </c>
      <c r="D3202" t="s">
        <v>20</v>
      </c>
      <c r="E3202" t="s">
        <v>21</v>
      </c>
      <c r="F3202" s="1">
        <v>44440</v>
      </c>
      <c r="G3202">
        <v>6.08</v>
      </c>
      <c r="H3202">
        <v>82.431700000000006</v>
      </c>
      <c r="I3202">
        <v>20.440000000000001</v>
      </c>
      <c r="J3202">
        <v>82.17</v>
      </c>
      <c r="K3202" t="s">
        <v>23</v>
      </c>
      <c r="L3202">
        <v>731.13</v>
      </c>
      <c r="M3202">
        <f>VLOOKUP(K3202,RatingLookup!$A$2:$C$8,2,FALSE)</f>
        <v>1E-3</v>
      </c>
      <c r="N3202">
        <f t="shared" ref="N3202:N3265" si="150">1-(1-M3202)^(1/12)</f>
        <v>8.3371552197619714E-5</v>
      </c>
      <c r="O3202">
        <f>VLOOKUP(K3202,RatingLookup!$A$2:$C$8,3,FALSE)</f>
        <v>0.3</v>
      </c>
      <c r="P3202">
        <f t="shared" ref="P3202:P3265" si="151">L3202*N3202*O3202</f>
        <v>1.828663288747371E-2</v>
      </c>
      <c r="Q3202" t="str">
        <f t="shared" ref="Q3202:Q3265" ca="1" si="152">IF(RAND()&lt;N3202,"Yes","No")</f>
        <v>No</v>
      </c>
    </row>
    <row r="3203" spans="1:17" x14ac:dyDescent="0.45">
      <c r="A3203" t="s">
        <v>142</v>
      </c>
      <c r="B3203" t="s">
        <v>143</v>
      </c>
      <c r="C3203" t="s">
        <v>66</v>
      </c>
      <c r="D3203" t="s">
        <v>20</v>
      </c>
      <c r="E3203" t="s">
        <v>21</v>
      </c>
      <c r="F3203" s="1">
        <v>44470</v>
      </c>
      <c r="G3203">
        <v>5.64</v>
      </c>
      <c r="H3203">
        <v>81.909899999999993</v>
      </c>
      <c r="I3203">
        <v>12.48</v>
      </c>
      <c r="J3203">
        <v>78.44</v>
      </c>
      <c r="K3203" t="s">
        <v>23</v>
      </c>
      <c r="L3203">
        <v>732.07</v>
      </c>
      <c r="M3203">
        <f>VLOOKUP(K3203,RatingLookup!$A$2:$C$8,2,FALSE)</f>
        <v>1E-3</v>
      </c>
      <c r="N3203">
        <f t="shared" si="150"/>
        <v>8.3371552197619714E-5</v>
      </c>
      <c r="O3203">
        <f>VLOOKUP(K3203,RatingLookup!$A$2:$C$8,3,FALSE)</f>
        <v>0.3</v>
      </c>
      <c r="P3203">
        <f t="shared" si="151"/>
        <v>1.8310143665193439E-2</v>
      </c>
      <c r="Q3203" t="str">
        <f t="shared" ca="1" si="152"/>
        <v>No</v>
      </c>
    </row>
    <row r="3204" spans="1:17" x14ac:dyDescent="0.45">
      <c r="A3204" t="s">
        <v>142</v>
      </c>
      <c r="B3204" t="s">
        <v>143</v>
      </c>
      <c r="C3204" t="s">
        <v>66</v>
      </c>
      <c r="D3204" t="s">
        <v>20</v>
      </c>
      <c r="E3204" t="s">
        <v>21</v>
      </c>
      <c r="F3204" s="1">
        <v>44501</v>
      </c>
      <c r="G3204">
        <v>5.27</v>
      </c>
      <c r="H3204">
        <v>82.277100000000004</v>
      </c>
      <c r="I3204">
        <v>13.38</v>
      </c>
      <c r="J3204">
        <v>79.540000000000006</v>
      </c>
      <c r="K3204" t="s">
        <v>23</v>
      </c>
      <c r="L3204">
        <v>691.01</v>
      </c>
      <c r="M3204">
        <f>VLOOKUP(K3204,RatingLookup!$A$2:$C$8,2,FALSE)</f>
        <v>1E-3</v>
      </c>
      <c r="N3204">
        <f t="shared" si="150"/>
        <v>8.3371552197619714E-5</v>
      </c>
      <c r="O3204">
        <f>VLOOKUP(K3204,RatingLookup!$A$2:$C$8,3,FALSE)</f>
        <v>0.3</v>
      </c>
      <c r="P3204">
        <f t="shared" si="151"/>
        <v>1.7283172885223158E-2</v>
      </c>
      <c r="Q3204" t="str">
        <f t="shared" ca="1" si="152"/>
        <v>No</v>
      </c>
    </row>
    <row r="3205" spans="1:17" x14ac:dyDescent="0.45">
      <c r="A3205" t="s">
        <v>142</v>
      </c>
      <c r="B3205" t="s">
        <v>143</v>
      </c>
      <c r="C3205" t="s">
        <v>66</v>
      </c>
      <c r="D3205" t="s">
        <v>20</v>
      </c>
      <c r="E3205" t="s">
        <v>21</v>
      </c>
      <c r="F3205" s="1">
        <v>44531</v>
      </c>
      <c r="G3205">
        <v>5.15</v>
      </c>
      <c r="H3205">
        <v>84.109200000000001</v>
      </c>
      <c r="I3205">
        <v>20.05</v>
      </c>
      <c r="J3205">
        <v>83.06</v>
      </c>
      <c r="K3205" t="s">
        <v>23</v>
      </c>
      <c r="L3205">
        <v>737.36</v>
      </c>
      <c r="M3205">
        <f>VLOOKUP(K3205,RatingLookup!$A$2:$C$8,2,FALSE)</f>
        <v>1E-3</v>
      </c>
      <c r="N3205">
        <f t="shared" si="150"/>
        <v>8.3371552197619714E-5</v>
      </c>
      <c r="O3205">
        <f>VLOOKUP(K3205,RatingLookup!$A$2:$C$8,3,FALSE)</f>
        <v>0.3</v>
      </c>
      <c r="P3205">
        <f t="shared" si="151"/>
        <v>1.844245431853106E-2</v>
      </c>
      <c r="Q3205" t="str">
        <f t="shared" ca="1" si="152"/>
        <v>No</v>
      </c>
    </row>
    <row r="3206" spans="1:17" x14ac:dyDescent="0.45">
      <c r="A3206" t="s">
        <v>142</v>
      </c>
      <c r="B3206" t="s">
        <v>143</v>
      </c>
      <c r="C3206" t="s">
        <v>66</v>
      </c>
      <c r="D3206" t="s">
        <v>20</v>
      </c>
      <c r="E3206" t="s">
        <v>21</v>
      </c>
      <c r="F3206" s="1">
        <v>44562</v>
      </c>
      <c r="G3206">
        <v>4.95</v>
      </c>
      <c r="H3206">
        <v>83.394199999999998</v>
      </c>
      <c r="I3206">
        <v>24.98</v>
      </c>
      <c r="J3206">
        <v>73.489999999999995</v>
      </c>
      <c r="K3206" t="s">
        <v>23</v>
      </c>
      <c r="L3206">
        <v>785.01</v>
      </c>
      <c r="M3206">
        <f>VLOOKUP(K3206,RatingLookup!$A$2:$C$8,2,FALSE)</f>
        <v>1E-3</v>
      </c>
      <c r="N3206">
        <f t="shared" si="150"/>
        <v>8.3371552197619714E-5</v>
      </c>
      <c r="O3206">
        <f>VLOOKUP(K3206,RatingLookup!$A$2:$C$8,3,FALSE)</f>
        <v>0.3</v>
      </c>
      <c r="P3206">
        <f t="shared" si="151"/>
        <v>1.9634250657196036E-2</v>
      </c>
      <c r="Q3206" t="str">
        <f t="shared" ca="1" si="152"/>
        <v>No</v>
      </c>
    </row>
    <row r="3207" spans="1:17" x14ac:dyDescent="0.45">
      <c r="A3207" t="s">
        <v>142</v>
      </c>
      <c r="B3207" t="s">
        <v>143</v>
      </c>
      <c r="C3207" t="s">
        <v>66</v>
      </c>
      <c r="D3207" t="s">
        <v>20</v>
      </c>
      <c r="E3207" t="s">
        <v>21</v>
      </c>
      <c r="F3207" s="1">
        <v>44593</v>
      </c>
      <c r="G3207">
        <v>5.73</v>
      </c>
      <c r="H3207">
        <v>84.4773</v>
      </c>
      <c r="I3207">
        <v>21.31</v>
      </c>
      <c r="J3207">
        <v>98.62</v>
      </c>
      <c r="K3207" t="s">
        <v>23</v>
      </c>
      <c r="L3207">
        <v>745.44</v>
      </c>
      <c r="M3207">
        <f>VLOOKUP(K3207,RatingLookup!$A$2:$C$8,2,FALSE)</f>
        <v>1E-3</v>
      </c>
      <c r="N3207">
        <f t="shared" si="150"/>
        <v>8.3371552197619714E-5</v>
      </c>
      <c r="O3207">
        <f>VLOOKUP(K3207,RatingLookup!$A$2:$C$8,3,FALSE)</f>
        <v>0.3</v>
      </c>
      <c r="P3207">
        <f t="shared" si="151"/>
        <v>1.8644546961058092E-2</v>
      </c>
      <c r="Q3207" t="str">
        <f t="shared" ca="1" si="152"/>
        <v>No</v>
      </c>
    </row>
    <row r="3208" spans="1:17" x14ac:dyDescent="0.45">
      <c r="A3208" t="s">
        <v>142</v>
      </c>
      <c r="B3208" t="s">
        <v>143</v>
      </c>
      <c r="C3208" t="s">
        <v>66</v>
      </c>
      <c r="D3208" t="s">
        <v>20</v>
      </c>
      <c r="E3208" t="s">
        <v>21</v>
      </c>
      <c r="F3208" s="1">
        <v>44621</v>
      </c>
      <c r="G3208">
        <v>5.69</v>
      </c>
      <c r="H3208">
        <v>85.384399999999999</v>
      </c>
      <c r="I3208">
        <v>16.440000000000001</v>
      </c>
      <c r="J3208">
        <v>70.48</v>
      </c>
      <c r="K3208" t="s">
        <v>23</v>
      </c>
      <c r="L3208">
        <v>805.1</v>
      </c>
      <c r="M3208">
        <f>VLOOKUP(K3208,RatingLookup!$A$2:$C$8,2,FALSE)</f>
        <v>1E-3</v>
      </c>
      <c r="N3208">
        <f t="shared" si="150"/>
        <v>8.3371552197619714E-5</v>
      </c>
      <c r="O3208">
        <f>VLOOKUP(K3208,RatingLookup!$A$2:$C$8,3,FALSE)</f>
        <v>0.3</v>
      </c>
      <c r="P3208">
        <f t="shared" si="151"/>
        <v>2.0136731002291089E-2</v>
      </c>
      <c r="Q3208" t="str">
        <f t="shared" ca="1" si="152"/>
        <v>No</v>
      </c>
    </row>
    <row r="3209" spans="1:17" x14ac:dyDescent="0.45">
      <c r="A3209" t="s">
        <v>142</v>
      </c>
      <c r="B3209" t="s">
        <v>143</v>
      </c>
      <c r="C3209" t="s">
        <v>66</v>
      </c>
      <c r="D3209" t="s">
        <v>20</v>
      </c>
      <c r="E3209" t="s">
        <v>21</v>
      </c>
      <c r="F3209" s="1">
        <v>44652</v>
      </c>
      <c r="G3209">
        <v>5.33</v>
      </c>
      <c r="H3209">
        <v>81.4452</v>
      </c>
      <c r="I3209">
        <v>17.8</v>
      </c>
      <c r="J3209">
        <v>83.43</v>
      </c>
      <c r="K3209" t="s">
        <v>23</v>
      </c>
      <c r="L3209">
        <v>773.77</v>
      </c>
      <c r="M3209">
        <f>VLOOKUP(K3209,RatingLookup!$A$2:$C$8,2,FALSE)</f>
        <v>1E-3</v>
      </c>
      <c r="N3209">
        <f t="shared" si="150"/>
        <v>8.3371552197619714E-5</v>
      </c>
      <c r="O3209">
        <f>VLOOKUP(K3209,RatingLookup!$A$2:$C$8,3,FALSE)</f>
        <v>0.3</v>
      </c>
      <c r="P3209">
        <f t="shared" si="151"/>
        <v>1.935312178318566E-2</v>
      </c>
      <c r="Q3209" t="str">
        <f t="shared" ca="1" si="152"/>
        <v>No</v>
      </c>
    </row>
    <row r="3210" spans="1:17" x14ac:dyDescent="0.45">
      <c r="A3210" t="s">
        <v>142</v>
      </c>
      <c r="B3210" t="s">
        <v>143</v>
      </c>
      <c r="C3210" t="s">
        <v>66</v>
      </c>
      <c r="D3210" t="s">
        <v>20</v>
      </c>
      <c r="E3210" t="s">
        <v>21</v>
      </c>
      <c r="F3210" s="1">
        <v>44682</v>
      </c>
      <c r="G3210">
        <v>5.58</v>
      </c>
      <c r="H3210">
        <v>82.12</v>
      </c>
      <c r="I3210">
        <v>21.92</v>
      </c>
      <c r="J3210">
        <v>92.09</v>
      </c>
      <c r="K3210" t="s">
        <v>23</v>
      </c>
      <c r="L3210">
        <v>750.68</v>
      </c>
      <c r="M3210">
        <f>VLOOKUP(K3210,RatingLookup!$A$2:$C$8,2,FALSE)</f>
        <v>1E-3</v>
      </c>
      <c r="N3210">
        <f t="shared" si="150"/>
        <v>8.3371552197619714E-5</v>
      </c>
      <c r="O3210">
        <f>VLOOKUP(K3210,RatingLookup!$A$2:$C$8,3,FALSE)</f>
        <v>0.3</v>
      </c>
      <c r="P3210">
        <f t="shared" si="151"/>
        <v>1.8775607041112748E-2</v>
      </c>
      <c r="Q3210" t="str">
        <f t="shared" ca="1" si="152"/>
        <v>No</v>
      </c>
    </row>
    <row r="3211" spans="1:17" x14ac:dyDescent="0.45">
      <c r="A3211" t="s">
        <v>142</v>
      </c>
      <c r="B3211" t="s">
        <v>143</v>
      </c>
      <c r="C3211" t="s">
        <v>66</v>
      </c>
      <c r="D3211" t="s">
        <v>20</v>
      </c>
      <c r="E3211" t="s">
        <v>21</v>
      </c>
      <c r="F3211" s="1">
        <v>44713</v>
      </c>
      <c r="G3211">
        <v>5.0599999999999996</v>
      </c>
      <c r="H3211">
        <v>86.415899999999993</v>
      </c>
      <c r="I3211">
        <v>24.12</v>
      </c>
      <c r="J3211">
        <v>79.89</v>
      </c>
      <c r="K3211" t="s">
        <v>23</v>
      </c>
      <c r="L3211">
        <v>722.13</v>
      </c>
      <c r="M3211">
        <f>VLOOKUP(K3211,RatingLookup!$A$2:$C$8,2,FALSE)</f>
        <v>1E-3</v>
      </c>
      <c r="N3211">
        <f t="shared" si="150"/>
        <v>8.3371552197619714E-5</v>
      </c>
      <c r="O3211">
        <f>VLOOKUP(K3211,RatingLookup!$A$2:$C$8,3,FALSE)</f>
        <v>0.3</v>
      </c>
      <c r="P3211">
        <f t="shared" si="151"/>
        <v>1.8061529696540138E-2</v>
      </c>
      <c r="Q3211" t="str">
        <f t="shared" ca="1" si="152"/>
        <v>No</v>
      </c>
    </row>
    <row r="3212" spans="1:17" x14ac:dyDescent="0.45">
      <c r="A3212" t="s">
        <v>142</v>
      </c>
      <c r="B3212" t="s">
        <v>143</v>
      </c>
      <c r="C3212" t="s">
        <v>66</v>
      </c>
      <c r="D3212" t="s">
        <v>20</v>
      </c>
      <c r="E3212" t="s">
        <v>21</v>
      </c>
      <c r="F3212" s="1">
        <v>44743</v>
      </c>
      <c r="G3212">
        <v>5.48</v>
      </c>
      <c r="H3212">
        <v>80.546300000000002</v>
      </c>
      <c r="I3212">
        <v>22.5</v>
      </c>
      <c r="J3212">
        <v>85.01</v>
      </c>
      <c r="K3212" t="s">
        <v>23</v>
      </c>
      <c r="L3212">
        <v>769.17</v>
      </c>
      <c r="M3212">
        <f>VLOOKUP(K3212,RatingLookup!$A$2:$C$8,2,FALSE)</f>
        <v>1E-3</v>
      </c>
      <c r="N3212">
        <f t="shared" si="150"/>
        <v>8.3371552197619714E-5</v>
      </c>
      <c r="O3212">
        <f>VLOOKUP(K3212,RatingLookup!$A$2:$C$8,3,FALSE)</f>
        <v>0.3</v>
      </c>
      <c r="P3212">
        <f t="shared" si="151"/>
        <v>1.9238069041152942E-2</v>
      </c>
      <c r="Q3212" t="str">
        <f t="shared" ca="1" si="152"/>
        <v>No</v>
      </c>
    </row>
    <row r="3213" spans="1:17" x14ac:dyDescent="0.45">
      <c r="A3213" t="s">
        <v>142</v>
      </c>
      <c r="B3213" t="s">
        <v>143</v>
      </c>
      <c r="C3213" t="s">
        <v>66</v>
      </c>
      <c r="D3213" t="s">
        <v>20</v>
      </c>
      <c r="E3213" t="s">
        <v>21</v>
      </c>
      <c r="F3213" s="1">
        <v>44774</v>
      </c>
      <c r="G3213">
        <v>5.83</v>
      </c>
      <c r="H3213">
        <v>79.905799999999999</v>
      </c>
      <c r="I3213">
        <v>20.61</v>
      </c>
      <c r="J3213">
        <v>89.11</v>
      </c>
      <c r="K3213" t="s">
        <v>23</v>
      </c>
      <c r="L3213">
        <v>726.93</v>
      </c>
      <c r="M3213">
        <f>VLOOKUP(K3213,RatingLookup!$A$2:$C$8,2,FALSE)</f>
        <v>1E-3</v>
      </c>
      <c r="N3213">
        <f t="shared" si="150"/>
        <v>8.3371552197619714E-5</v>
      </c>
      <c r="O3213">
        <f>VLOOKUP(K3213,RatingLookup!$A$2:$C$8,3,FALSE)</f>
        <v>0.3</v>
      </c>
      <c r="P3213">
        <f t="shared" si="151"/>
        <v>1.8181584731704708E-2</v>
      </c>
      <c r="Q3213" t="str">
        <f t="shared" ca="1" si="152"/>
        <v>No</v>
      </c>
    </row>
    <row r="3214" spans="1:17" x14ac:dyDescent="0.45">
      <c r="A3214" t="s">
        <v>142</v>
      </c>
      <c r="B3214" t="s">
        <v>143</v>
      </c>
      <c r="C3214" t="s">
        <v>66</v>
      </c>
      <c r="D3214" t="s">
        <v>20</v>
      </c>
      <c r="E3214" t="s">
        <v>21</v>
      </c>
      <c r="F3214" s="1">
        <v>44805</v>
      </c>
      <c r="G3214">
        <v>4.3899999999999997</v>
      </c>
      <c r="H3214">
        <v>83.241100000000003</v>
      </c>
      <c r="I3214">
        <v>15.34</v>
      </c>
      <c r="J3214">
        <v>84.31</v>
      </c>
      <c r="K3214" t="s">
        <v>23</v>
      </c>
      <c r="L3214">
        <v>737.26</v>
      </c>
      <c r="M3214">
        <f>VLOOKUP(K3214,RatingLookup!$A$2:$C$8,2,FALSE)</f>
        <v>1E-3</v>
      </c>
      <c r="N3214">
        <f t="shared" si="150"/>
        <v>8.3371552197619714E-5</v>
      </c>
      <c r="O3214">
        <f>VLOOKUP(K3214,RatingLookup!$A$2:$C$8,3,FALSE)</f>
        <v>0.3</v>
      </c>
      <c r="P3214">
        <f t="shared" si="151"/>
        <v>1.8439953171965132E-2</v>
      </c>
      <c r="Q3214" t="str">
        <f t="shared" ca="1" si="152"/>
        <v>No</v>
      </c>
    </row>
    <row r="3215" spans="1:17" x14ac:dyDescent="0.45">
      <c r="A3215" t="s">
        <v>142</v>
      </c>
      <c r="B3215" t="s">
        <v>143</v>
      </c>
      <c r="C3215" t="s">
        <v>66</v>
      </c>
      <c r="D3215" t="s">
        <v>20</v>
      </c>
      <c r="E3215" t="s">
        <v>21</v>
      </c>
      <c r="F3215" s="1">
        <v>44835</v>
      </c>
      <c r="G3215">
        <v>5.39</v>
      </c>
      <c r="H3215">
        <v>79.256100000000004</v>
      </c>
      <c r="I3215">
        <v>24.38</v>
      </c>
      <c r="J3215">
        <v>71.959999999999994</v>
      </c>
      <c r="K3215" t="s">
        <v>23</v>
      </c>
      <c r="L3215">
        <v>723.02</v>
      </c>
      <c r="M3215">
        <f>VLOOKUP(K3215,RatingLookup!$A$2:$C$8,2,FALSE)</f>
        <v>1E-3</v>
      </c>
      <c r="N3215">
        <f t="shared" si="150"/>
        <v>8.3371552197619714E-5</v>
      </c>
      <c r="O3215">
        <f>VLOOKUP(K3215,RatingLookup!$A$2:$C$8,3,FALSE)</f>
        <v>0.3</v>
      </c>
      <c r="P3215">
        <f t="shared" si="151"/>
        <v>1.80837899009769E-2</v>
      </c>
      <c r="Q3215" t="str">
        <f t="shared" ca="1" si="152"/>
        <v>No</v>
      </c>
    </row>
    <row r="3216" spans="1:17" x14ac:dyDescent="0.45">
      <c r="A3216" t="s">
        <v>142</v>
      </c>
      <c r="B3216" t="s">
        <v>143</v>
      </c>
      <c r="C3216" t="s">
        <v>66</v>
      </c>
      <c r="D3216" t="s">
        <v>20</v>
      </c>
      <c r="E3216" t="s">
        <v>21</v>
      </c>
      <c r="F3216" s="1">
        <v>44866</v>
      </c>
      <c r="G3216">
        <v>5.2</v>
      </c>
      <c r="H3216">
        <v>87.471199999999996</v>
      </c>
      <c r="I3216">
        <v>20.7</v>
      </c>
      <c r="J3216">
        <v>69.819999999999993</v>
      </c>
      <c r="K3216" t="s">
        <v>23</v>
      </c>
      <c r="L3216">
        <v>668.52</v>
      </c>
      <c r="M3216">
        <f>VLOOKUP(K3216,RatingLookup!$A$2:$C$8,2,FALSE)</f>
        <v>1E-3</v>
      </c>
      <c r="N3216">
        <f t="shared" si="150"/>
        <v>8.3371552197619714E-5</v>
      </c>
      <c r="O3216">
        <f>VLOOKUP(K3216,RatingLookup!$A$2:$C$8,3,FALSE)</f>
        <v>0.3</v>
      </c>
      <c r="P3216">
        <f t="shared" si="151"/>
        <v>1.6720665022545819E-2</v>
      </c>
      <c r="Q3216" t="str">
        <f t="shared" ca="1" si="152"/>
        <v>No</v>
      </c>
    </row>
    <row r="3217" spans="1:17" x14ac:dyDescent="0.45">
      <c r="A3217" t="s">
        <v>142</v>
      </c>
      <c r="B3217" t="s">
        <v>143</v>
      </c>
      <c r="C3217" t="s">
        <v>66</v>
      </c>
      <c r="D3217" t="s">
        <v>20</v>
      </c>
      <c r="E3217" t="s">
        <v>21</v>
      </c>
      <c r="F3217" s="1">
        <v>44896</v>
      </c>
      <c r="G3217">
        <v>6.1</v>
      </c>
      <c r="H3217">
        <v>81.659400000000005</v>
      </c>
      <c r="I3217">
        <v>13.22</v>
      </c>
      <c r="J3217">
        <v>77.739999999999995</v>
      </c>
      <c r="K3217" t="s">
        <v>23</v>
      </c>
      <c r="L3217">
        <v>723.33</v>
      </c>
      <c r="M3217">
        <f>VLOOKUP(K3217,RatingLookup!$A$2:$C$8,2,FALSE)</f>
        <v>1E-3</v>
      </c>
      <c r="N3217">
        <f t="shared" si="150"/>
        <v>8.3371552197619714E-5</v>
      </c>
      <c r="O3217">
        <f>VLOOKUP(K3217,RatingLookup!$A$2:$C$8,3,FALSE)</f>
        <v>0.3</v>
      </c>
      <c r="P3217">
        <f t="shared" si="151"/>
        <v>1.8091543455331281E-2</v>
      </c>
      <c r="Q3217" t="str">
        <f t="shared" ca="1" si="152"/>
        <v>No</v>
      </c>
    </row>
    <row r="3218" spans="1:17" x14ac:dyDescent="0.45">
      <c r="A3218" t="s">
        <v>142</v>
      </c>
      <c r="B3218" t="s">
        <v>143</v>
      </c>
      <c r="C3218" t="s">
        <v>66</v>
      </c>
      <c r="D3218" t="s">
        <v>20</v>
      </c>
      <c r="E3218" t="s">
        <v>21</v>
      </c>
      <c r="F3218" s="1">
        <v>44927</v>
      </c>
      <c r="G3218">
        <v>4.63</v>
      </c>
      <c r="H3218">
        <v>86.305499999999995</v>
      </c>
      <c r="I3218">
        <v>17.78</v>
      </c>
      <c r="J3218">
        <v>67.760000000000005</v>
      </c>
      <c r="K3218" t="s">
        <v>23</v>
      </c>
      <c r="L3218">
        <v>805.18</v>
      </c>
      <c r="M3218">
        <f>VLOOKUP(K3218,RatingLookup!$A$2:$C$8,2,FALSE)</f>
        <v>1E-3</v>
      </c>
      <c r="N3218">
        <f t="shared" si="150"/>
        <v>8.3371552197619714E-5</v>
      </c>
      <c r="O3218">
        <f>VLOOKUP(K3218,RatingLookup!$A$2:$C$8,3,FALSE)</f>
        <v>0.3</v>
      </c>
      <c r="P3218">
        <f t="shared" si="151"/>
        <v>2.013873191954383E-2</v>
      </c>
      <c r="Q3218" t="str">
        <f t="shared" ca="1" si="152"/>
        <v>No</v>
      </c>
    </row>
    <row r="3219" spans="1:17" x14ac:dyDescent="0.45">
      <c r="A3219" t="s">
        <v>142</v>
      </c>
      <c r="B3219" t="s">
        <v>143</v>
      </c>
      <c r="C3219" t="s">
        <v>66</v>
      </c>
      <c r="D3219" t="s">
        <v>20</v>
      </c>
      <c r="E3219" t="s">
        <v>21</v>
      </c>
      <c r="F3219" s="1">
        <v>44958</v>
      </c>
      <c r="G3219">
        <v>5.91</v>
      </c>
      <c r="H3219">
        <v>83.709299999999999</v>
      </c>
      <c r="I3219">
        <v>9.52</v>
      </c>
      <c r="J3219">
        <v>64.31</v>
      </c>
      <c r="K3219" t="s">
        <v>23</v>
      </c>
      <c r="L3219">
        <v>759.65</v>
      </c>
      <c r="M3219">
        <f>VLOOKUP(K3219,RatingLookup!$A$2:$C$8,2,FALSE)</f>
        <v>1E-3</v>
      </c>
      <c r="N3219">
        <f t="shared" si="150"/>
        <v>8.3371552197619714E-5</v>
      </c>
      <c r="O3219">
        <f>VLOOKUP(K3219,RatingLookup!$A$2:$C$8,3,FALSE)</f>
        <v>0.3</v>
      </c>
      <c r="P3219">
        <f t="shared" si="151"/>
        <v>1.8999959888076543E-2</v>
      </c>
      <c r="Q3219" t="str">
        <f t="shared" ca="1" si="152"/>
        <v>No</v>
      </c>
    </row>
    <row r="3220" spans="1:17" x14ac:dyDescent="0.45">
      <c r="A3220" t="s">
        <v>142</v>
      </c>
      <c r="B3220" t="s">
        <v>143</v>
      </c>
      <c r="C3220" t="s">
        <v>66</v>
      </c>
      <c r="D3220" t="s">
        <v>20</v>
      </c>
      <c r="E3220" t="s">
        <v>21</v>
      </c>
      <c r="F3220" s="1">
        <v>44986</v>
      </c>
      <c r="G3220">
        <v>4.67</v>
      </c>
      <c r="H3220">
        <v>85.061599999999999</v>
      </c>
      <c r="I3220">
        <v>27.3</v>
      </c>
      <c r="J3220">
        <v>83.7</v>
      </c>
      <c r="K3220" t="s">
        <v>23</v>
      </c>
      <c r="L3220">
        <v>622.58000000000004</v>
      </c>
      <c r="M3220">
        <f>VLOOKUP(K3220,RatingLookup!$A$2:$C$8,2,FALSE)</f>
        <v>1E-3</v>
      </c>
      <c r="N3220">
        <f t="shared" si="150"/>
        <v>8.3371552197619714E-5</v>
      </c>
      <c r="O3220">
        <f>VLOOKUP(K3220,RatingLookup!$A$2:$C$8,3,FALSE)</f>
        <v>0.3</v>
      </c>
      <c r="P3220">
        <f t="shared" si="151"/>
        <v>1.5571638290158224E-2</v>
      </c>
      <c r="Q3220" t="str">
        <f t="shared" ca="1" si="152"/>
        <v>No</v>
      </c>
    </row>
    <row r="3221" spans="1:17" x14ac:dyDescent="0.45">
      <c r="A3221" t="s">
        <v>142</v>
      </c>
      <c r="B3221" t="s">
        <v>143</v>
      </c>
      <c r="C3221" t="s">
        <v>66</v>
      </c>
      <c r="D3221" t="s">
        <v>20</v>
      </c>
      <c r="E3221" t="s">
        <v>21</v>
      </c>
      <c r="F3221" s="1">
        <v>45017</v>
      </c>
      <c r="G3221">
        <v>6.17</v>
      </c>
      <c r="H3221">
        <v>80.921800000000005</v>
      </c>
      <c r="I3221">
        <v>28.87</v>
      </c>
      <c r="J3221">
        <v>80.67</v>
      </c>
      <c r="K3221" t="s">
        <v>23</v>
      </c>
      <c r="L3221">
        <v>735.3</v>
      </c>
      <c r="M3221">
        <f>VLOOKUP(K3221,RatingLookup!$A$2:$C$8,2,FALSE)</f>
        <v>1E-3</v>
      </c>
      <c r="N3221">
        <f t="shared" si="150"/>
        <v>8.3371552197619714E-5</v>
      </c>
      <c r="O3221">
        <f>VLOOKUP(K3221,RatingLookup!$A$2:$C$8,3,FALSE)</f>
        <v>0.3</v>
      </c>
      <c r="P3221">
        <f t="shared" si="151"/>
        <v>1.8390930699272931E-2</v>
      </c>
      <c r="Q3221" t="str">
        <f t="shared" ca="1" si="152"/>
        <v>No</v>
      </c>
    </row>
    <row r="3222" spans="1:17" x14ac:dyDescent="0.45">
      <c r="A3222" t="s">
        <v>142</v>
      </c>
      <c r="B3222" t="s">
        <v>143</v>
      </c>
      <c r="C3222" t="s">
        <v>66</v>
      </c>
      <c r="D3222" t="s">
        <v>20</v>
      </c>
      <c r="E3222" t="s">
        <v>21</v>
      </c>
      <c r="F3222" s="1">
        <v>45047</v>
      </c>
      <c r="G3222">
        <v>4.82</v>
      </c>
      <c r="H3222">
        <v>83.635099999999994</v>
      </c>
      <c r="I3222">
        <v>20.12</v>
      </c>
      <c r="J3222">
        <v>64.28</v>
      </c>
      <c r="K3222" t="s">
        <v>23</v>
      </c>
      <c r="L3222">
        <v>783.85</v>
      </c>
      <c r="M3222">
        <f>VLOOKUP(K3222,RatingLookup!$A$2:$C$8,2,FALSE)</f>
        <v>1E-3</v>
      </c>
      <c r="N3222">
        <f t="shared" si="150"/>
        <v>8.3371552197619714E-5</v>
      </c>
      <c r="O3222">
        <f>VLOOKUP(K3222,RatingLookup!$A$2:$C$8,3,FALSE)</f>
        <v>0.3</v>
      </c>
      <c r="P3222">
        <f t="shared" si="151"/>
        <v>1.9605237357031263E-2</v>
      </c>
      <c r="Q3222" t="str">
        <f t="shared" ca="1" si="152"/>
        <v>No</v>
      </c>
    </row>
    <row r="3223" spans="1:17" x14ac:dyDescent="0.45">
      <c r="A3223" t="s">
        <v>142</v>
      </c>
      <c r="B3223" t="s">
        <v>143</v>
      </c>
      <c r="C3223" t="s">
        <v>66</v>
      </c>
      <c r="D3223" t="s">
        <v>20</v>
      </c>
      <c r="E3223" t="s">
        <v>21</v>
      </c>
      <c r="F3223" s="1">
        <v>45078</v>
      </c>
      <c r="G3223">
        <v>5.48</v>
      </c>
      <c r="H3223">
        <v>83.375299999999996</v>
      </c>
      <c r="I3223">
        <v>18.3</v>
      </c>
      <c r="J3223">
        <v>58.65</v>
      </c>
      <c r="K3223" t="s">
        <v>23</v>
      </c>
      <c r="L3223">
        <v>786.23</v>
      </c>
      <c r="M3223">
        <f>VLOOKUP(K3223,RatingLookup!$A$2:$C$8,2,FALSE)</f>
        <v>1E-3</v>
      </c>
      <c r="N3223">
        <f t="shared" si="150"/>
        <v>8.3371552197619714E-5</v>
      </c>
      <c r="O3223">
        <f>VLOOKUP(K3223,RatingLookup!$A$2:$C$8,3,FALSE)</f>
        <v>0.3</v>
      </c>
      <c r="P3223">
        <f t="shared" si="151"/>
        <v>1.9664764645300366E-2</v>
      </c>
      <c r="Q3223" t="str">
        <f t="shared" ca="1" si="152"/>
        <v>No</v>
      </c>
    </row>
    <row r="3224" spans="1:17" x14ac:dyDescent="0.45">
      <c r="A3224" t="s">
        <v>142</v>
      </c>
      <c r="B3224" t="s">
        <v>143</v>
      </c>
      <c r="C3224" t="s">
        <v>66</v>
      </c>
      <c r="D3224" t="s">
        <v>20</v>
      </c>
      <c r="E3224" t="s">
        <v>21</v>
      </c>
      <c r="F3224" s="1">
        <v>45108</v>
      </c>
      <c r="G3224">
        <v>5.51</v>
      </c>
      <c r="H3224">
        <v>86.722200000000001</v>
      </c>
      <c r="I3224">
        <v>27.03</v>
      </c>
      <c r="J3224">
        <v>92.82</v>
      </c>
      <c r="K3224" t="s">
        <v>23</v>
      </c>
      <c r="L3224">
        <v>717.29</v>
      </c>
      <c r="M3224">
        <f>VLOOKUP(K3224,RatingLookup!$A$2:$C$8,2,FALSE)</f>
        <v>1E-3</v>
      </c>
      <c r="N3224">
        <f t="shared" si="150"/>
        <v>8.3371552197619714E-5</v>
      </c>
      <c r="O3224">
        <f>VLOOKUP(K3224,RatingLookup!$A$2:$C$8,3,FALSE)</f>
        <v>0.3</v>
      </c>
      <c r="P3224">
        <f t="shared" si="151"/>
        <v>1.794047420274919E-2</v>
      </c>
      <c r="Q3224" t="str">
        <f t="shared" ca="1" si="152"/>
        <v>No</v>
      </c>
    </row>
    <row r="3225" spans="1:17" x14ac:dyDescent="0.45">
      <c r="A3225" t="s">
        <v>142</v>
      </c>
      <c r="B3225" t="s">
        <v>143</v>
      </c>
      <c r="C3225" t="s">
        <v>66</v>
      </c>
      <c r="D3225" t="s">
        <v>20</v>
      </c>
      <c r="E3225" t="s">
        <v>21</v>
      </c>
      <c r="F3225" s="1">
        <v>45139</v>
      </c>
      <c r="G3225">
        <v>6.45</v>
      </c>
      <c r="H3225">
        <v>81.634699999999995</v>
      </c>
      <c r="I3225">
        <v>23.34</v>
      </c>
      <c r="J3225">
        <v>85.57</v>
      </c>
      <c r="K3225" t="s">
        <v>23</v>
      </c>
      <c r="L3225">
        <v>751.9</v>
      </c>
      <c r="M3225">
        <f>VLOOKUP(K3225,RatingLookup!$A$2:$C$8,2,FALSE)</f>
        <v>1E-3</v>
      </c>
      <c r="N3225">
        <f t="shared" si="150"/>
        <v>8.3371552197619714E-5</v>
      </c>
      <c r="O3225">
        <f>VLOOKUP(K3225,RatingLookup!$A$2:$C$8,3,FALSE)</f>
        <v>0.3</v>
      </c>
      <c r="P3225">
        <f t="shared" si="151"/>
        <v>1.8806121029217079E-2</v>
      </c>
      <c r="Q3225" t="str">
        <f t="shared" ca="1" si="152"/>
        <v>No</v>
      </c>
    </row>
    <row r="3226" spans="1:17" x14ac:dyDescent="0.45">
      <c r="A3226" t="s">
        <v>142</v>
      </c>
      <c r="B3226" t="s">
        <v>143</v>
      </c>
      <c r="C3226" t="s">
        <v>66</v>
      </c>
      <c r="D3226" t="s">
        <v>20</v>
      </c>
      <c r="E3226" t="s">
        <v>21</v>
      </c>
      <c r="F3226" s="1">
        <v>45170</v>
      </c>
      <c r="G3226">
        <v>5.54</v>
      </c>
      <c r="H3226">
        <v>82.291399999999996</v>
      </c>
      <c r="I3226">
        <v>32.06</v>
      </c>
      <c r="J3226">
        <v>79.69</v>
      </c>
      <c r="K3226" t="s">
        <v>23</v>
      </c>
      <c r="L3226">
        <v>732.29</v>
      </c>
      <c r="M3226">
        <f>VLOOKUP(K3226,RatingLookup!$A$2:$C$8,2,FALSE)</f>
        <v>1E-3</v>
      </c>
      <c r="N3226">
        <f t="shared" si="150"/>
        <v>8.3371552197619714E-5</v>
      </c>
      <c r="O3226">
        <f>VLOOKUP(K3226,RatingLookup!$A$2:$C$8,3,FALSE)</f>
        <v>0.3</v>
      </c>
      <c r="P3226">
        <f t="shared" si="151"/>
        <v>1.8315646187638479E-2</v>
      </c>
      <c r="Q3226" t="str">
        <f t="shared" ca="1" si="152"/>
        <v>No</v>
      </c>
    </row>
    <row r="3227" spans="1:17" x14ac:dyDescent="0.45">
      <c r="A3227" t="s">
        <v>142</v>
      </c>
      <c r="B3227" t="s">
        <v>143</v>
      </c>
      <c r="C3227" t="s">
        <v>66</v>
      </c>
      <c r="D3227" t="s">
        <v>20</v>
      </c>
      <c r="E3227" t="s">
        <v>21</v>
      </c>
      <c r="F3227" s="1">
        <v>45200</v>
      </c>
      <c r="G3227">
        <v>5.57</v>
      </c>
      <c r="H3227">
        <v>83.366600000000005</v>
      </c>
      <c r="I3227">
        <v>5</v>
      </c>
      <c r="J3227">
        <v>83.77</v>
      </c>
      <c r="K3227" t="s">
        <v>22</v>
      </c>
      <c r="L3227">
        <v>852.02</v>
      </c>
      <c r="M3227">
        <f>VLOOKUP(K3227,RatingLookup!$A$2:$C$8,2,FALSE)</f>
        <v>5.0000000000000001E-3</v>
      </c>
      <c r="N3227">
        <f t="shared" si="150"/>
        <v>4.1762458919303302E-4</v>
      </c>
      <c r="O3227">
        <f>VLOOKUP(K3227,RatingLookup!$A$2:$C$8,3,FALSE)</f>
        <v>0.45</v>
      </c>
      <c r="P3227">
        <f t="shared" si="151"/>
        <v>0.16012102611791162</v>
      </c>
      <c r="Q3227" t="str">
        <f t="shared" ca="1" si="152"/>
        <v>No</v>
      </c>
    </row>
    <row r="3228" spans="1:17" x14ac:dyDescent="0.45">
      <c r="A3228" t="s">
        <v>142</v>
      </c>
      <c r="B3228" t="s">
        <v>143</v>
      </c>
      <c r="C3228" t="s">
        <v>66</v>
      </c>
      <c r="D3228" t="s">
        <v>20</v>
      </c>
      <c r="E3228" t="s">
        <v>21</v>
      </c>
      <c r="F3228" s="1">
        <v>45231</v>
      </c>
      <c r="G3228">
        <v>5.56</v>
      </c>
      <c r="H3228">
        <v>85.202799999999996</v>
      </c>
      <c r="I3228">
        <v>26.77</v>
      </c>
      <c r="J3228">
        <v>76.260000000000005</v>
      </c>
      <c r="K3228" t="s">
        <v>22</v>
      </c>
      <c r="L3228">
        <v>743.5</v>
      </c>
      <c r="M3228">
        <f>VLOOKUP(K3228,RatingLookup!$A$2:$C$8,2,FALSE)</f>
        <v>5.0000000000000001E-3</v>
      </c>
      <c r="N3228">
        <f t="shared" si="150"/>
        <v>4.1762458919303302E-4</v>
      </c>
      <c r="O3228">
        <f>VLOOKUP(K3228,RatingLookup!$A$2:$C$8,3,FALSE)</f>
        <v>0.45</v>
      </c>
      <c r="P3228">
        <f t="shared" si="151"/>
        <v>0.13972674692925902</v>
      </c>
      <c r="Q3228" t="str">
        <f t="shared" ca="1" si="152"/>
        <v>No</v>
      </c>
    </row>
    <row r="3229" spans="1:17" x14ac:dyDescent="0.45">
      <c r="A3229" t="s">
        <v>142</v>
      </c>
      <c r="B3229" t="s">
        <v>143</v>
      </c>
      <c r="C3229" t="s">
        <v>66</v>
      </c>
      <c r="D3229" t="s">
        <v>20</v>
      </c>
      <c r="E3229" t="s">
        <v>21</v>
      </c>
      <c r="F3229" s="1">
        <v>45261</v>
      </c>
      <c r="G3229">
        <v>5.77</v>
      </c>
      <c r="H3229">
        <v>78.059200000000004</v>
      </c>
      <c r="I3229">
        <v>20.149999999999999</v>
      </c>
      <c r="J3229">
        <v>96.58</v>
      </c>
      <c r="K3229" t="s">
        <v>30</v>
      </c>
      <c r="L3229">
        <v>759.06</v>
      </c>
      <c r="M3229">
        <f>VLOOKUP(K3229,RatingLookup!$A$2:$C$8,2,FALSE)</f>
        <v>1.4999999999999999E-2</v>
      </c>
      <c r="N3229">
        <f t="shared" si="150"/>
        <v>1.2586770182638762E-3</v>
      </c>
      <c r="O3229">
        <f>VLOOKUP(K3229,RatingLookup!$A$2:$C$8,3,FALSE)</f>
        <v>0.5</v>
      </c>
      <c r="P3229">
        <f t="shared" si="151"/>
        <v>0.47770568874168889</v>
      </c>
      <c r="Q3229" t="str">
        <f t="shared" ca="1" si="152"/>
        <v>No</v>
      </c>
    </row>
    <row r="3230" spans="1:17" x14ac:dyDescent="0.45">
      <c r="A3230" t="s">
        <v>142</v>
      </c>
      <c r="B3230" t="s">
        <v>143</v>
      </c>
      <c r="C3230" t="s">
        <v>66</v>
      </c>
      <c r="D3230" t="s">
        <v>20</v>
      </c>
      <c r="E3230" t="s">
        <v>21</v>
      </c>
      <c r="F3230" s="1">
        <v>45292</v>
      </c>
      <c r="G3230">
        <v>5.68</v>
      </c>
      <c r="H3230">
        <v>83.900199999999998</v>
      </c>
      <c r="I3230">
        <v>19.89</v>
      </c>
      <c r="J3230">
        <v>99.16</v>
      </c>
      <c r="K3230" t="s">
        <v>30</v>
      </c>
      <c r="L3230">
        <v>771.18</v>
      </c>
      <c r="M3230">
        <f>VLOOKUP(K3230,RatingLookup!$A$2:$C$8,2,FALSE)</f>
        <v>1.4999999999999999E-2</v>
      </c>
      <c r="N3230">
        <f t="shared" si="150"/>
        <v>1.2586770182638762E-3</v>
      </c>
      <c r="O3230">
        <f>VLOOKUP(K3230,RatingLookup!$A$2:$C$8,3,FALSE)</f>
        <v>0.5</v>
      </c>
      <c r="P3230">
        <f t="shared" si="151"/>
        <v>0.48533327147236799</v>
      </c>
      <c r="Q3230" t="str">
        <f t="shared" ca="1" si="152"/>
        <v>No</v>
      </c>
    </row>
    <row r="3231" spans="1:17" x14ac:dyDescent="0.45">
      <c r="A3231" t="s">
        <v>142</v>
      </c>
      <c r="B3231" t="s">
        <v>143</v>
      </c>
      <c r="C3231" t="s">
        <v>66</v>
      </c>
      <c r="D3231" t="s">
        <v>20</v>
      </c>
      <c r="E3231" t="s">
        <v>21</v>
      </c>
      <c r="F3231" s="1">
        <v>45323</v>
      </c>
      <c r="G3231">
        <v>5.62</v>
      </c>
      <c r="H3231">
        <v>87.222700000000003</v>
      </c>
      <c r="I3231">
        <v>15.21</v>
      </c>
      <c r="J3231">
        <v>78.81</v>
      </c>
      <c r="K3231" t="s">
        <v>30</v>
      </c>
      <c r="L3231">
        <v>683.25</v>
      </c>
      <c r="M3231">
        <f>VLOOKUP(K3231,RatingLookup!$A$2:$C$8,2,FALSE)</f>
        <v>1.4999999999999999E-2</v>
      </c>
      <c r="N3231">
        <f t="shared" si="150"/>
        <v>1.2586770182638762E-3</v>
      </c>
      <c r="O3231">
        <f>VLOOKUP(K3231,RatingLookup!$A$2:$C$8,3,FALSE)</f>
        <v>0.5</v>
      </c>
      <c r="P3231">
        <f t="shared" si="151"/>
        <v>0.42999553636439669</v>
      </c>
      <c r="Q3231" t="str">
        <f t="shared" ca="1" si="152"/>
        <v>No</v>
      </c>
    </row>
    <row r="3232" spans="1:17" x14ac:dyDescent="0.45">
      <c r="A3232" t="s">
        <v>142</v>
      </c>
      <c r="B3232" t="s">
        <v>143</v>
      </c>
      <c r="C3232" t="s">
        <v>66</v>
      </c>
      <c r="D3232" t="s">
        <v>20</v>
      </c>
      <c r="E3232" t="s">
        <v>21</v>
      </c>
      <c r="F3232" s="1">
        <v>45352</v>
      </c>
      <c r="G3232">
        <v>5.32</v>
      </c>
      <c r="H3232">
        <v>83.567499999999995</v>
      </c>
      <c r="I3232">
        <v>14.63</v>
      </c>
      <c r="J3232">
        <v>84.48</v>
      </c>
      <c r="K3232" t="s">
        <v>30</v>
      </c>
      <c r="L3232">
        <v>762.5</v>
      </c>
      <c r="M3232">
        <f>VLOOKUP(K3232,RatingLookup!$A$2:$C$8,2,FALSE)</f>
        <v>1.4999999999999999E-2</v>
      </c>
      <c r="N3232">
        <f t="shared" si="150"/>
        <v>1.2586770182638762E-3</v>
      </c>
      <c r="O3232">
        <f>VLOOKUP(K3232,RatingLookup!$A$2:$C$8,3,FALSE)</f>
        <v>0.5</v>
      </c>
      <c r="P3232">
        <f t="shared" si="151"/>
        <v>0.47987061321310281</v>
      </c>
      <c r="Q3232" t="str">
        <f t="shared" ca="1" si="152"/>
        <v>No</v>
      </c>
    </row>
    <row r="3233" spans="1:17" x14ac:dyDescent="0.45">
      <c r="A3233" t="s">
        <v>142</v>
      </c>
      <c r="B3233" t="s">
        <v>143</v>
      </c>
      <c r="C3233" t="s">
        <v>66</v>
      </c>
      <c r="D3233" t="s">
        <v>20</v>
      </c>
      <c r="E3233" t="s">
        <v>21</v>
      </c>
      <c r="F3233" s="1">
        <v>45383</v>
      </c>
      <c r="G3233">
        <v>5.75</v>
      </c>
      <c r="H3233">
        <v>83.441299999999998</v>
      </c>
      <c r="I3233">
        <v>14.01</v>
      </c>
      <c r="J3233">
        <v>73.739999999999995</v>
      </c>
      <c r="K3233" t="s">
        <v>30</v>
      </c>
      <c r="L3233">
        <v>702.13</v>
      </c>
      <c r="M3233">
        <f>VLOOKUP(K3233,RatingLookup!$A$2:$C$8,2,FALSE)</f>
        <v>1.4999999999999999E-2</v>
      </c>
      <c r="N3233">
        <f t="shared" si="150"/>
        <v>1.2586770182638762E-3</v>
      </c>
      <c r="O3233">
        <f>VLOOKUP(K3233,RatingLookup!$A$2:$C$8,3,FALSE)</f>
        <v>0.5</v>
      </c>
      <c r="P3233">
        <f t="shared" si="151"/>
        <v>0.44187744741680773</v>
      </c>
      <c r="Q3233" t="str">
        <f t="shared" ca="1" si="152"/>
        <v>No</v>
      </c>
    </row>
    <row r="3234" spans="1:17" x14ac:dyDescent="0.45">
      <c r="A3234" t="s">
        <v>142</v>
      </c>
      <c r="B3234" t="s">
        <v>143</v>
      </c>
      <c r="C3234" t="s">
        <v>66</v>
      </c>
      <c r="D3234" t="s">
        <v>20</v>
      </c>
      <c r="E3234" t="s">
        <v>21</v>
      </c>
      <c r="F3234" s="1">
        <v>45413</v>
      </c>
      <c r="G3234">
        <v>4.8</v>
      </c>
      <c r="H3234">
        <v>84.710499999999996</v>
      </c>
      <c r="I3234">
        <v>15.48</v>
      </c>
      <c r="J3234">
        <v>75.06</v>
      </c>
      <c r="K3234" t="s">
        <v>31</v>
      </c>
      <c r="L3234">
        <v>746.69</v>
      </c>
      <c r="M3234">
        <f>VLOOKUP(K3234,RatingLookup!$A$2:$C$8,2,FALSE)</f>
        <v>0.04</v>
      </c>
      <c r="N3234">
        <f t="shared" si="150"/>
        <v>3.3960531989175591E-3</v>
      </c>
      <c r="O3234">
        <f>VLOOKUP(K3234,RatingLookup!$A$2:$C$8,3,FALSE)</f>
        <v>0.6</v>
      </c>
      <c r="P3234">
        <f t="shared" si="151"/>
        <v>1.5214793778598512</v>
      </c>
      <c r="Q3234" t="str">
        <f t="shared" ca="1" si="152"/>
        <v>No</v>
      </c>
    </row>
    <row r="3235" spans="1:17" x14ac:dyDescent="0.45">
      <c r="A3235" t="s">
        <v>142</v>
      </c>
      <c r="B3235" t="s">
        <v>143</v>
      </c>
      <c r="C3235" t="s">
        <v>66</v>
      </c>
      <c r="D3235" t="s">
        <v>20</v>
      </c>
      <c r="E3235" t="s">
        <v>21</v>
      </c>
      <c r="F3235" s="1">
        <v>45444</v>
      </c>
      <c r="G3235">
        <v>4.01</v>
      </c>
      <c r="H3235">
        <v>79.992900000000006</v>
      </c>
      <c r="I3235">
        <v>19.329999999999998</v>
      </c>
      <c r="J3235">
        <v>80.25</v>
      </c>
      <c r="K3235" t="s">
        <v>31</v>
      </c>
      <c r="L3235">
        <v>644.58000000000004</v>
      </c>
      <c r="M3235">
        <f>VLOOKUP(K3235,RatingLookup!$A$2:$C$8,2,FALSE)</f>
        <v>0.04</v>
      </c>
      <c r="N3235">
        <f t="shared" si="150"/>
        <v>3.3960531989175591E-3</v>
      </c>
      <c r="O3235">
        <f>VLOOKUP(K3235,RatingLookup!$A$2:$C$8,3,FALSE)</f>
        <v>0.6</v>
      </c>
      <c r="P3235">
        <f t="shared" si="151"/>
        <v>1.3134167825749681</v>
      </c>
      <c r="Q3235" t="str">
        <f t="shared" ca="1" si="152"/>
        <v>No</v>
      </c>
    </row>
    <row r="3236" spans="1:17" x14ac:dyDescent="0.45">
      <c r="A3236" t="s">
        <v>142</v>
      </c>
      <c r="B3236" t="s">
        <v>143</v>
      </c>
      <c r="C3236" t="s">
        <v>66</v>
      </c>
      <c r="D3236" t="s">
        <v>20</v>
      </c>
      <c r="E3236" t="s">
        <v>21</v>
      </c>
      <c r="F3236" s="1">
        <v>45474</v>
      </c>
      <c r="G3236">
        <v>4.7699999999999996</v>
      </c>
      <c r="H3236">
        <v>80.386200000000002</v>
      </c>
      <c r="I3236">
        <v>12.67</v>
      </c>
      <c r="J3236">
        <v>68.209999999999994</v>
      </c>
      <c r="K3236" t="s">
        <v>31</v>
      </c>
      <c r="L3236">
        <v>775.96</v>
      </c>
      <c r="M3236">
        <f>VLOOKUP(K3236,RatingLookup!$A$2:$C$8,2,FALSE)</f>
        <v>0.04</v>
      </c>
      <c r="N3236">
        <f t="shared" si="150"/>
        <v>3.3960531989175591E-3</v>
      </c>
      <c r="O3236">
        <f>VLOOKUP(K3236,RatingLookup!$A$2:$C$8,3,FALSE)</f>
        <v>0.6</v>
      </c>
      <c r="P3236">
        <f t="shared" si="151"/>
        <v>1.5811208641392416</v>
      </c>
      <c r="Q3236" t="str">
        <f t="shared" ca="1" si="152"/>
        <v>No</v>
      </c>
    </row>
    <row r="3237" spans="1:17" x14ac:dyDescent="0.45">
      <c r="A3237" t="s">
        <v>142</v>
      </c>
      <c r="B3237" t="s">
        <v>143</v>
      </c>
      <c r="C3237" t="s">
        <v>66</v>
      </c>
      <c r="D3237" t="s">
        <v>20</v>
      </c>
      <c r="E3237" t="s">
        <v>21</v>
      </c>
      <c r="F3237" s="1">
        <v>45505</v>
      </c>
      <c r="G3237">
        <v>4.8600000000000003</v>
      </c>
      <c r="H3237">
        <v>82.657899999999998</v>
      </c>
      <c r="I3237">
        <v>14.42</v>
      </c>
      <c r="J3237">
        <v>85.05</v>
      </c>
      <c r="K3237" t="s">
        <v>31</v>
      </c>
      <c r="L3237">
        <v>650.98</v>
      </c>
      <c r="M3237">
        <f>VLOOKUP(K3237,RatingLookup!$A$2:$C$8,2,FALSE)</f>
        <v>0.04</v>
      </c>
      <c r="N3237">
        <f t="shared" si="150"/>
        <v>3.3960531989175591E-3</v>
      </c>
      <c r="O3237">
        <f>VLOOKUP(K3237,RatingLookup!$A$2:$C$8,3,FALSE)</f>
        <v>0.6</v>
      </c>
      <c r="P3237">
        <f t="shared" si="151"/>
        <v>1.3264576268588117</v>
      </c>
      <c r="Q3237" t="str">
        <f t="shared" ca="1" si="152"/>
        <v>No</v>
      </c>
    </row>
    <row r="3238" spans="1:17" x14ac:dyDescent="0.45">
      <c r="A3238" t="s">
        <v>142</v>
      </c>
      <c r="B3238" t="s">
        <v>143</v>
      </c>
      <c r="C3238" t="s">
        <v>66</v>
      </c>
      <c r="D3238" t="s">
        <v>20</v>
      </c>
      <c r="E3238" t="s">
        <v>21</v>
      </c>
      <c r="F3238" s="1">
        <v>45536</v>
      </c>
      <c r="G3238">
        <v>4.84</v>
      </c>
      <c r="H3238">
        <v>86.363900000000001</v>
      </c>
      <c r="I3238">
        <v>27.42</v>
      </c>
      <c r="J3238">
        <v>94.63</v>
      </c>
      <c r="K3238" t="s">
        <v>31</v>
      </c>
      <c r="L3238">
        <v>733.16</v>
      </c>
      <c r="M3238">
        <f>VLOOKUP(K3238,RatingLookup!$A$2:$C$8,2,FALSE)</f>
        <v>0.04</v>
      </c>
      <c r="N3238">
        <f t="shared" si="150"/>
        <v>3.3960531989175591E-3</v>
      </c>
      <c r="O3238">
        <f>VLOOKUP(K3238,RatingLookup!$A$2:$C$8,3,FALSE)</f>
        <v>0.6</v>
      </c>
      <c r="P3238">
        <f t="shared" si="151"/>
        <v>1.4939102179910386</v>
      </c>
      <c r="Q3238" t="str">
        <f t="shared" ca="1" si="152"/>
        <v>No</v>
      </c>
    </row>
    <row r="3239" spans="1:17" x14ac:dyDescent="0.45">
      <c r="A3239" t="s">
        <v>142</v>
      </c>
      <c r="B3239" t="s">
        <v>143</v>
      </c>
      <c r="C3239" t="s">
        <v>66</v>
      </c>
      <c r="D3239" t="s">
        <v>20</v>
      </c>
      <c r="E3239" t="s">
        <v>21</v>
      </c>
      <c r="F3239" s="1">
        <v>45566</v>
      </c>
      <c r="G3239">
        <v>4.67</v>
      </c>
      <c r="H3239">
        <v>80.759100000000004</v>
      </c>
      <c r="I3239">
        <v>11.34</v>
      </c>
      <c r="J3239">
        <v>73.86</v>
      </c>
      <c r="K3239" t="s">
        <v>31</v>
      </c>
      <c r="L3239">
        <v>730.79</v>
      </c>
      <c r="M3239">
        <f>VLOOKUP(K3239,RatingLookup!$A$2:$C$8,2,FALSE)</f>
        <v>0.04</v>
      </c>
      <c r="N3239">
        <f t="shared" si="150"/>
        <v>3.3960531989175591E-3</v>
      </c>
      <c r="O3239">
        <f>VLOOKUP(K3239,RatingLookup!$A$2:$C$8,3,FALSE)</f>
        <v>0.6</v>
      </c>
      <c r="P3239">
        <f t="shared" si="151"/>
        <v>1.4890810303421778</v>
      </c>
      <c r="Q3239" t="str">
        <f t="shared" ca="1" si="152"/>
        <v>No</v>
      </c>
    </row>
    <row r="3240" spans="1:17" x14ac:dyDescent="0.45">
      <c r="A3240" t="s">
        <v>142</v>
      </c>
      <c r="B3240" t="s">
        <v>143</v>
      </c>
      <c r="C3240" t="s">
        <v>66</v>
      </c>
      <c r="D3240" t="s">
        <v>20</v>
      </c>
      <c r="E3240" t="s">
        <v>21</v>
      </c>
      <c r="F3240" s="1">
        <v>45597</v>
      </c>
      <c r="G3240">
        <v>4.99</v>
      </c>
      <c r="H3240">
        <v>85.716800000000006</v>
      </c>
      <c r="I3240">
        <v>17</v>
      </c>
      <c r="J3240">
        <v>82</v>
      </c>
      <c r="K3240" t="s">
        <v>30</v>
      </c>
      <c r="L3240">
        <v>744.58</v>
      </c>
      <c r="M3240">
        <f>VLOOKUP(K3240,RatingLookup!$A$2:$C$8,2,FALSE)</f>
        <v>1.4999999999999999E-2</v>
      </c>
      <c r="N3240">
        <f t="shared" si="150"/>
        <v>1.2586770182638762E-3</v>
      </c>
      <c r="O3240">
        <f>VLOOKUP(K3240,RatingLookup!$A$2:$C$8,3,FALSE)</f>
        <v>0.5</v>
      </c>
      <c r="P3240">
        <f t="shared" si="151"/>
        <v>0.46859286712945852</v>
      </c>
      <c r="Q3240" t="str">
        <f t="shared" ca="1" si="152"/>
        <v>No</v>
      </c>
    </row>
    <row r="3241" spans="1:17" x14ac:dyDescent="0.45">
      <c r="A3241" t="s">
        <v>142</v>
      </c>
      <c r="B3241" t="s">
        <v>143</v>
      </c>
      <c r="C3241" t="s">
        <v>66</v>
      </c>
      <c r="D3241" t="s">
        <v>20</v>
      </c>
      <c r="E3241" t="s">
        <v>21</v>
      </c>
      <c r="F3241" s="1">
        <v>45627</v>
      </c>
      <c r="G3241">
        <v>5.04</v>
      </c>
      <c r="H3241">
        <v>87.045500000000004</v>
      </c>
      <c r="I3241">
        <v>25.9</v>
      </c>
      <c r="J3241">
        <v>85.42</v>
      </c>
      <c r="K3241" t="s">
        <v>30</v>
      </c>
      <c r="L3241">
        <v>759.15</v>
      </c>
      <c r="M3241">
        <f>VLOOKUP(K3241,RatingLookup!$A$2:$C$8,2,FALSE)</f>
        <v>1.4999999999999999E-2</v>
      </c>
      <c r="N3241">
        <f t="shared" si="150"/>
        <v>1.2586770182638762E-3</v>
      </c>
      <c r="O3241">
        <f>VLOOKUP(K3241,RatingLookup!$A$2:$C$8,3,FALSE)</f>
        <v>0.5</v>
      </c>
      <c r="P3241">
        <f t="shared" si="151"/>
        <v>0.47776232920751083</v>
      </c>
      <c r="Q3241" t="str">
        <f t="shared" ca="1" si="152"/>
        <v>No</v>
      </c>
    </row>
    <row r="3242" spans="1:17" x14ac:dyDescent="0.45">
      <c r="A3242" t="s">
        <v>144</v>
      </c>
      <c r="B3242" t="s">
        <v>145</v>
      </c>
      <c r="C3242" t="s">
        <v>29</v>
      </c>
      <c r="D3242" t="s">
        <v>20</v>
      </c>
      <c r="E3242" t="s">
        <v>21</v>
      </c>
      <c r="F3242" s="1">
        <v>43831</v>
      </c>
      <c r="G3242">
        <v>5.32</v>
      </c>
      <c r="H3242">
        <v>82.700299999999999</v>
      </c>
      <c r="I3242">
        <v>21.69</v>
      </c>
      <c r="J3242">
        <v>75.14</v>
      </c>
      <c r="K3242" t="s">
        <v>22</v>
      </c>
      <c r="L3242">
        <v>631.77</v>
      </c>
      <c r="M3242">
        <f>VLOOKUP(K3242,RatingLookup!$A$2:$C$8,2,FALSE)</f>
        <v>5.0000000000000001E-3</v>
      </c>
      <c r="N3242">
        <f t="shared" si="150"/>
        <v>4.1762458919303302E-4</v>
      </c>
      <c r="O3242">
        <f>VLOOKUP(K3242,RatingLookup!$A$2:$C$8,3,FALSE)</f>
        <v>0.45</v>
      </c>
      <c r="P3242">
        <f t="shared" si="151"/>
        <v>0.11872920902151711</v>
      </c>
      <c r="Q3242" t="str">
        <f t="shared" ca="1" si="152"/>
        <v>No</v>
      </c>
    </row>
    <row r="3243" spans="1:17" x14ac:dyDescent="0.45">
      <c r="A3243" t="s">
        <v>144</v>
      </c>
      <c r="B3243" t="s">
        <v>145</v>
      </c>
      <c r="C3243" t="s">
        <v>29</v>
      </c>
      <c r="D3243" t="s">
        <v>20</v>
      </c>
      <c r="E3243" t="s">
        <v>21</v>
      </c>
      <c r="F3243" s="1">
        <v>43862</v>
      </c>
      <c r="G3243">
        <v>6.06</v>
      </c>
      <c r="H3243">
        <v>79.560699999999997</v>
      </c>
      <c r="I3243">
        <v>21.54</v>
      </c>
      <c r="J3243">
        <v>75.42</v>
      </c>
      <c r="K3243" t="s">
        <v>22</v>
      </c>
      <c r="L3243">
        <v>620.5</v>
      </c>
      <c r="M3243">
        <f>VLOOKUP(K3243,RatingLookup!$A$2:$C$8,2,FALSE)</f>
        <v>5.0000000000000001E-3</v>
      </c>
      <c r="N3243">
        <f t="shared" si="150"/>
        <v>4.1762458919303302E-4</v>
      </c>
      <c r="O3243">
        <f>VLOOKUP(K3243,RatingLookup!$A$2:$C$8,3,FALSE)</f>
        <v>0.45</v>
      </c>
      <c r="P3243">
        <f t="shared" si="151"/>
        <v>0.11661122591742465</v>
      </c>
      <c r="Q3243" t="str">
        <f t="shared" ca="1" si="152"/>
        <v>No</v>
      </c>
    </row>
    <row r="3244" spans="1:17" x14ac:dyDescent="0.45">
      <c r="A3244" t="s">
        <v>144</v>
      </c>
      <c r="B3244" t="s">
        <v>145</v>
      </c>
      <c r="C3244" t="s">
        <v>29</v>
      </c>
      <c r="D3244" t="s">
        <v>20</v>
      </c>
      <c r="E3244" t="s">
        <v>21</v>
      </c>
      <c r="F3244" s="1">
        <v>43891</v>
      </c>
      <c r="G3244">
        <v>5.14</v>
      </c>
      <c r="H3244">
        <v>85.508600000000001</v>
      </c>
      <c r="I3244">
        <v>26.4</v>
      </c>
      <c r="J3244">
        <v>79.709999999999994</v>
      </c>
      <c r="K3244" t="s">
        <v>22</v>
      </c>
      <c r="L3244">
        <v>606.44000000000005</v>
      </c>
      <c r="M3244">
        <f>VLOOKUP(K3244,RatingLookup!$A$2:$C$8,2,FALSE)</f>
        <v>5.0000000000000001E-3</v>
      </c>
      <c r="N3244">
        <f t="shared" si="150"/>
        <v>4.1762458919303302E-4</v>
      </c>
      <c r="O3244">
        <f>VLOOKUP(K3244,RatingLookup!$A$2:$C$8,3,FALSE)</f>
        <v>0.45</v>
      </c>
      <c r="P3244">
        <f t="shared" si="151"/>
        <v>0.11396891514160033</v>
      </c>
      <c r="Q3244" t="str">
        <f t="shared" ca="1" si="152"/>
        <v>No</v>
      </c>
    </row>
    <row r="3245" spans="1:17" x14ac:dyDescent="0.45">
      <c r="A3245" t="s">
        <v>144</v>
      </c>
      <c r="B3245" t="s">
        <v>145</v>
      </c>
      <c r="C3245" t="s">
        <v>29</v>
      </c>
      <c r="D3245" t="s">
        <v>20</v>
      </c>
      <c r="E3245" t="s">
        <v>21</v>
      </c>
      <c r="F3245" s="1">
        <v>43922</v>
      </c>
      <c r="G3245">
        <v>5</v>
      </c>
      <c r="H3245">
        <v>79.281300000000002</v>
      </c>
      <c r="I3245">
        <v>12.23</v>
      </c>
      <c r="J3245">
        <v>80.81</v>
      </c>
      <c r="K3245" t="s">
        <v>22</v>
      </c>
      <c r="L3245">
        <v>603.79999999999995</v>
      </c>
      <c r="M3245">
        <f>VLOOKUP(K3245,RatingLookup!$A$2:$C$8,2,FALSE)</f>
        <v>5.0000000000000001E-3</v>
      </c>
      <c r="N3245">
        <f t="shared" si="150"/>
        <v>4.1762458919303302E-4</v>
      </c>
      <c r="O3245">
        <f>VLOOKUP(K3245,RatingLookup!$A$2:$C$8,3,FALSE)</f>
        <v>0.45</v>
      </c>
      <c r="P3245">
        <f t="shared" si="151"/>
        <v>0.11347277712963899</v>
      </c>
      <c r="Q3245" t="str">
        <f t="shared" ca="1" si="152"/>
        <v>No</v>
      </c>
    </row>
    <row r="3246" spans="1:17" x14ac:dyDescent="0.45">
      <c r="A3246" t="s">
        <v>144</v>
      </c>
      <c r="B3246" t="s">
        <v>145</v>
      </c>
      <c r="C3246" t="s">
        <v>29</v>
      </c>
      <c r="D3246" t="s">
        <v>20</v>
      </c>
      <c r="E3246" t="s">
        <v>21</v>
      </c>
      <c r="F3246" s="1">
        <v>43952</v>
      </c>
      <c r="G3246">
        <v>6.46</v>
      </c>
      <c r="H3246">
        <v>82.576400000000007</v>
      </c>
      <c r="I3246">
        <v>14.78</v>
      </c>
      <c r="J3246">
        <v>74.650000000000006</v>
      </c>
      <c r="K3246" t="s">
        <v>22</v>
      </c>
      <c r="L3246">
        <v>600.25</v>
      </c>
      <c r="M3246">
        <f>VLOOKUP(K3246,RatingLookup!$A$2:$C$8,2,FALSE)</f>
        <v>5.0000000000000001E-3</v>
      </c>
      <c r="N3246">
        <f t="shared" si="150"/>
        <v>4.1762458919303302E-4</v>
      </c>
      <c r="O3246">
        <f>VLOOKUP(K3246,RatingLookup!$A$2:$C$8,3,FALSE)</f>
        <v>0.45</v>
      </c>
      <c r="P3246">
        <f t="shared" si="151"/>
        <v>0.11280562184840312</v>
      </c>
      <c r="Q3246" t="str">
        <f t="shared" ca="1" si="152"/>
        <v>No</v>
      </c>
    </row>
    <row r="3247" spans="1:17" x14ac:dyDescent="0.45">
      <c r="A3247" t="s">
        <v>144</v>
      </c>
      <c r="B3247" t="s">
        <v>145</v>
      </c>
      <c r="C3247" t="s">
        <v>29</v>
      </c>
      <c r="D3247" t="s">
        <v>20</v>
      </c>
      <c r="E3247" t="s">
        <v>21</v>
      </c>
      <c r="F3247" s="1">
        <v>43983</v>
      </c>
      <c r="G3247">
        <v>6.63</v>
      </c>
      <c r="H3247">
        <v>85.481300000000005</v>
      </c>
      <c r="I3247">
        <v>13.01</v>
      </c>
      <c r="J3247">
        <v>61.24</v>
      </c>
      <c r="K3247" t="s">
        <v>22</v>
      </c>
      <c r="L3247">
        <v>618.05999999999995</v>
      </c>
      <c r="M3247">
        <f>VLOOKUP(K3247,RatingLookup!$A$2:$C$8,2,FALSE)</f>
        <v>5.0000000000000001E-3</v>
      </c>
      <c r="N3247">
        <f t="shared" si="150"/>
        <v>4.1762458919303302E-4</v>
      </c>
      <c r="O3247">
        <f>VLOOKUP(K3247,RatingLookup!$A$2:$C$8,3,FALSE)</f>
        <v>0.45</v>
      </c>
      <c r="P3247">
        <f t="shared" si="151"/>
        <v>0.1161526741184907</v>
      </c>
      <c r="Q3247" t="str">
        <f t="shared" ca="1" si="152"/>
        <v>No</v>
      </c>
    </row>
    <row r="3248" spans="1:17" x14ac:dyDescent="0.45">
      <c r="A3248" t="s">
        <v>144</v>
      </c>
      <c r="B3248" t="s">
        <v>145</v>
      </c>
      <c r="C3248" t="s">
        <v>29</v>
      </c>
      <c r="D3248" t="s">
        <v>20</v>
      </c>
      <c r="E3248" t="s">
        <v>21</v>
      </c>
      <c r="F3248" s="1">
        <v>44013</v>
      </c>
      <c r="G3248">
        <v>4.1900000000000004</v>
      </c>
      <c r="H3248">
        <v>78.740799999999993</v>
      </c>
      <c r="I3248">
        <v>25.46</v>
      </c>
      <c r="J3248">
        <v>79.650000000000006</v>
      </c>
      <c r="K3248" t="s">
        <v>22</v>
      </c>
      <c r="L3248">
        <v>677.97</v>
      </c>
      <c r="M3248">
        <f>VLOOKUP(K3248,RatingLookup!$A$2:$C$8,2,FALSE)</f>
        <v>5.0000000000000001E-3</v>
      </c>
      <c r="N3248">
        <f t="shared" si="150"/>
        <v>4.1762458919303302E-4</v>
      </c>
      <c r="O3248">
        <f>VLOOKUP(K3248,RatingLookup!$A$2:$C$8,3,FALSE)</f>
        <v>0.45</v>
      </c>
      <c r="P3248">
        <f t="shared" si="151"/>
        <v>0.12741162423084029</v>
      </c>
      <c r="Q3248" t="str">
        <f t="shared" ca="1" si="152"/>
        <v>No</v>
      </c>
    </row>
    <row r="3249" spans="1:17" x14ac:dyDescent="0.45">
      <c r="A3249" t="s">
        <v>144</v>
      </c>
      <c r="B3249" t="s">
        <v>145</v>
      </c>
      <c r="C3249" t="s">
        <v>29</v>
      </c>
      <c r="D3249" t="s">
        <v>20</v>
      </c>
      <c r="E3249" t="s">
        <v>21</v>
      </c>
      <c r="F3249" s="1">
        <v>44044</v>
      </c>
      <c r="G3249">
        <v>5.48</v>
      </c>
      <c r="H3249">
        <v>91.111699999999999</v>
      </c>
      <c r="I3249">
        <v>24.46</v>
      </c>
      <c r="J3249">
        <v>67.290000000000006</v>
      </c>
      <c r="K3249" t="s">
        <v>22</v>
      </c>
      <c r="L3249">
        <v>633.38</v>
      </c>
      <c r="M3249">
        <f>VLOOKUP(K3249,RatingLookup!$A$2:$C$8,2,FALSE)</f>
        <v>5.0000000000000001E-3</v>
      </c>
      <c r="N3249">
        <f t="shared" si="150"/>
        <v>4.1762458919303302E-4</v>
      </c>
      <c r="O3249">
        <f>VLOOKUP(K3249,RatingLookup!$A$2:$C$8,3,FALSE)</f>
        <v>0.45</v>
      </c>
      <c r="P3249">
        <f t="shared" si="151"/>
        <v>0.11903177803638747</v>
      </c>
      <c r="Q3249" t="str">
        <f t="shared" ca="1" si="152"/>
        <v>No</v>
      </c>
    </row>
    <row r="3250" spans="1:17" x14ac:dyDescent="0.45">
      <c r="A3250" t="s">
        <v>144</v>
      </c>
      <c r="B3250" t="s">
        <v>145</v>
      </c>
      <c r="C3250" t="s">
        <v>29</v>
      </c>
      <c r="D3250" t="s">
        <v>20</v>
      </c>
      <c r="E3250" t="s">
        <v>21</v>
      </c>
      <c r="F3250" s="1">
        <v>44075</v>
      </c>
      <c r="G3250">
        <v>6.62</v>
      </c>
      <c r="H3250">
        <v>83.629400000000004</v>
      </c>
      <c r="I3250">
        <v>15.94</v>
      </c>
      <c r="J3250">
        <v>94.44</v>
      </c>
      <c r="K3250" t="s">
        <v>22</v>
      </c>
      <c r="L3250">
        <v>582.24</v>
      </c>
      <c r="M3250">
        <f>VLOOKUP(K3250,RatingLookup!$A$2:$C$8,2,FALSE)</f>
        <v>5.0000000000000001E-3</v>
      </c>
      <c r="N3250">
        <f t="shared" si="150"/>
        <v>4.1762458919303302E-4</v>
      </c>
      <c r="O3250">
        <f>VLOOKUP(K3250,RatingLookup!$A$2:$C$8,3,FALSE)</f>
        <v>0.45</v>
      </c>
      <c r="P3250">
        <f t="shared" si="151"/>
        <v>0.10942098336528819</v>
      </c>
      <c r="Q3250" t="str">
        <f t="shared" ca="1" si="152"/>
        <v>No</v>
      </c>
    </row>
    <row r="3251" spans="1:17" x14ac:dyDescent="0.45">
      <c r="A3251" t="s">
        <v>144</v>
      </c>
      <c r="B3251" t="s">
        <v>145</v>
      </c>
      <c r="C3251" t="s">
        <v>29</v>
      </c>
      <c r="D3251" t="s">
        <v>20</v>
      </c>
      <c r="E3251" t="s">
        <v>21</v>
      </c>
      <c r="F3251" s="1">
        <v>44105</v>
      </c>
      <c r="G3251">
        <v>5.34</v>
      </c>
      <c r="H3251">
        <v>80.441699999999997</v>
      </c>
      <c r="I3251">
        <v>17.87</v>
      </c>
      <c r="J3251">
        <v>71.2</v>
      </c>
      <c r="K3251" t="s">
        <v>30</v>
      </c>
      <c r="L3251">
        <v>621.70000000000005</v>
      </c>
      <c r="M3251">
        <f>VLOOKUP(K3251,RatingLookup!$A$2:$C$8,2,FALSE)</f>
        <v>1.4999999999999999E-2</v>
      </c>
      <c r="N3251">
        <f t="shared" si="150"/>
        <v>1.2586770182638762E-3</v>
      </c>
      <c r="O3251">
        <f>VLOOKUP(K3251,RatingLookup!$A$2:$C$8,3,FALSE)</f>
        <v>0.5</v>
      </c>
      <c r="P3251">
        <f t="shared" si="151"/>
        <v>0.39125975112732597</v>
      </c>
      <c r="Q3251" t="str">
        <f t="shared" ca="1" si="152"/>
        <v>No</v>
      </c>
    </row>
    <row r="3252" spans="1:17" x14ac:dyDescent="0.45">
      <c r="A3252" t="s">
        <v>144</v>
      </c>
      <c r="B3252" t="s">
        <v>145</v>
      </c>
      <c r="C3252" t="s">
        <v>29</v>
      </c>
      <c r="D3252" t="s">
        <v>20</v>
      </c>
      <c r="E3252" t="s">
        <v>21</v>
      </c>
      <c r="F3252" s="1">
        <v>44136</v>
      </c>
      <c r="G3252">
        <v>5.72</v>
      </c>
      <c r="H3252">
        <v>85.537499999999994</v>
      </c>
      <c r="I3252">
        <v>15.81</v>
      </c>
      <c r="J3252">
        <v>69.75</v>
      </c>
      <c r="K3252" t="s">
        <v>30</v>
      </c>
      <c r="L3252">
        <v>621.04</v>
      </c>
      <c r="M3252">
        <f>VLOOKUP(K3252,RatingLookup!$A$2:$C$8,2,FALSE)</f>
        <v>1.4999999999999999E-2</v>
      </c>
      <c r="N3252">
        <f t="shared" si="150"/>
        <v>1.2586770182638762E-3</v>
      </c>
      <c r="O3252">
        <f>VLOOKUP(K3252,RatingLookup!$A$2:$C$8,3,FALSE)</f>
        <v>0.5</v>
      </c>
      <c r="P3252">
        <f t="shared" si="151"/>
        <v>0.39084438771129881</v>
      </c>
      <c r="Q3252" t="str">
        <f t="shared" ca="1" si="152"/>
        <v>No</v>
      </c>
    </row>
    <row r="3253" spans="1:17" x14ac:dyDescent="0.45">
      <c r="A3253" t="s">
        <v>144</v>
      </c>
      <c r="B3253" t="s">
        <v>145</v>
      </c>
      <c r="C3253" t="s">
        <v>29</v>
      </c>
      <c r="D3253" t="s">
        <v>20</v>
      </c>
      <c r="E3253" t="s">
        <v>21</v>
      </c>
      <c r="F3253" s="1">
        <v>44166</v>
      </c>
      <c r="G3253">
        <v>5.31</v>
      </c>
      <c r="H3253">
        <v>80.4298</v>
      </c>
      <c r="I3253">
        <v>23.43</v>
      </c>
      <c r="J3253">
        <v>79.66</v>
      </c>
      <c r="K3253" t="s">
        <v>31</v>
      </c>
      <c r="L3253">
        <v>598.78</v>
      </c>
      <c r="M3253">
        <f>VLOOKUP(K3253,RatingLookup!$A$2:$C$8,2,FALSE)</f>
        <v>0.04</v>
      </c>
      <c r="N3253">
        <f t="shared" si="150"/>
        <v>3.3960531989175591E-3</v>
      </c>
      <c r="O3253">
        <f>VLOOKUP(K3253,RatingLookup!$A$2:$C$8,3,FALSE)</f>
        <v>0.6</v>
      </c>
      <c r="P3253">
        <f t="shared" si="151"/>
        <v>1.2200932406687135</v>
      </c>
      <c r="Q3253" t="str">
        <f t="shared" ca="1" si="152"/>
        <v>No</v>
      </c>
    </row>
    <row r="3254" spans="1:17" x14ac:dyDescent="0.45">
      <c r="A3254" t="s">
        <v>144</v>
      </c>
      <c r="B3254" t="s">
        <v>145</v>
      </c>
      <c r="C3254" t="s">
        <v>29</v>
      </c>
      <c r="D3254" t="s">
        <v>20</v>
      </c>
      <c r="E3254" t="s">
        <v>21</v>
      </c>
      <c r="F3254" s="1">
        <v>44197</v>
      </c>
      <c r="G3254">
        <v>5.67</v>
      </c>
      <c r="H3254">
        <v>81.590199999999996</v>
      </c>
      <c r="I3254">
        <v>21.53</v>
      </c>
      <c r="J3254">
        <v>89.67</v>
      </c>
      <c r="K3254" t="s">
        <v>31</v>
      </c>
      <c r="L3254">
        <v>597.30999999999995</v>
      </c>
      <c r="M3254">
        <f>VLOOKUP(K3254,RatingLookup!$A$2:$C$8,2,FALSE)</f>
        <v>0.04</v>
      </c>
      <c r="N3254">
        <f t="shared" si="150"/>
        <v>3.3960531989175591E-3</v>
      </c>
      <c r="O3254">
        <f>VLOOKUP(K3254,RatingLookup!$A$2:$C$8,3,FALSE)</f>
        <v>0.6</v>
      </c>
      <c r="P3254">
        <f t="shared" si="151"/>
        <v>1.2170979217472684</v>
      </c>
      <c r="Q3254" t="str">
        <f t="shared" ca="1" si="152"/>
        <v>No</v>
      </c>
    </row>
    <row r="3255" spans="1:17" x14ac:dyDescent="0.45">
      <c r="A3255" t="s">
        <v>144</v>
      </c>
      <c r="B3255" t="s">
        <v>145</v>
      </c>
      <c r="C3255" t="s">
        <v>29</v>
      </c>
      <c r="D3255" t="s">
        <v>20</v>
      </c>
      <c r="E3255" t="s">
        <v>21</v>
      </c>
      <c r="F3255" s="1">
        <v>44228</v>
      </c>
      <c r="G3255">
        <v>6.04</v>
      </c>
      <c r="H3255">
        <v>81.271799999999999</v>
      </c>
      <c r="I3255">
        <v>8.1300000000000008</v>
      </c>
      <c r="J3255">
        <v>81.3</v>
      </c>
      <c r="K3255" t="s">
        <v>31</v>
      </c>
      <c r="L3255">
        <v>618.9</v>
      </c>
      <c r="M3255">
        <f>VLOOKUP(K3255,RatingLookup!$A$2:$C$8,2,FALSE)</f>
        <v>0.04</v>
      </c>
      <c r="N3255">
        <f t="shared" si="150"/>
        <v>3.3960531989175591E-3</v>
      </c>
      <c r="O3255">
        <f>VLOOKUP(K3255,RatingLookup!$A$2:$C$8,3,FALSE)</f>
        <v>0.6</v>
      </c>
      <c r="P3255">
        <f t="shared" si="151"/>
        <v>1.2610903948860461</v>
      </c>
      <c r="Q3255" t="str">
        <f t="shared" ca="1" si="152"/>
        <v>No</v>
      </c>
    </row>
    <row r="3256" spans="1:17" x14ac:dyDescent="0.45">
      <c r="A3256" t="s">
        <v>144</v>
      </c>
      <c r="B3256" t="s">
        <v>145</v>
      </c>
      <c r="C3256" t="s">
        <v>29</v>
      </c>
      <c r="D3256" t="s">
        <v>20</v>
      </c>
      <c r="E3256" t="s">
        <v>21</v>
      </c>
      <c r="F3256" s="1">
        <v>44256</v>
      </c>
      <c r="G3256">
        <v>6.5</v>
      </c>
      <c r="H3256">
        <v>85.549899999999994</v>
      </c>
      <c r="I3256">
        <v>16.87</v>
      </c>
      <c r="J3256">
        <v>73.540000000000006</v>
      </c>
      <c r="K3256" t="s">
        <v>31</v>
      </c>
      <c r="L3256">
        <v>579.59</v>
      </c>
      <c r="M3256">
        <f>VLOOKUP(K3256,RatingLookup!$A$2:$C$8,2,FALSE)</f>
        <v>0.04</v>
      </c>
      <c r="N3256">
        <f t="shared" si="150"/>
        <v>3.3960531989175591E-3</v>
      </c>
      <c r="O3256">
        <f>VLOOKUP(K3256,RatingLookup!$A$2:$C$8,3,FALSE)</f>
        <v>0.6</v>
      </c>
      <c r="P3256">
        <f t="shared" si="151"/>
        <v>1.1809910841363769</v>
      </c>
      <c r="Q3256" t="str">
        <f t="shared" ca="1" si="152"/>
        <v>No</v>
      </c>
    </row>
    <row r="3257" spans="1:17" x14ac:dyDescent="0.45">
      <c r="A3257" t="s">
        <v>144</v>
      </c>
      <c r="B3257" t="s">
        <v>145</v>
      </c>
      <c r="C3257" t="s">
        <v>29</v>
      </c>
      <c r="D3257" t="s">
        <v>20</v>
      </c>
      <c r="E3257" t="s">
        <v>21</v>
      </c>
      <c r="F3257" s="1">
        <v>44287</v>
      </c>
      <c r="G3257">
        <v>5.54</v>
      </c>
      <c r="H3257">
        <v>79.627899999999997</v>
      </c>
      <c r="I3257">
        <v>16.05</v>
      </c>
      <c r="J3257">
        <v>59.55</v>
      </c>
      <c r="K3257" t="s">
        <v>31</v>
      </c>
      <c r="L3257">
        <v>588.12</v>
      </c>
      <c r="M3257">
        <f>VLOOKUP(K3257,RatingLookup!$A$2:$C$8,2,FALSE)</f>
        <v>0.04</v>
      </c>
      <c r="N3257">
        <f t="shared" si="150"/>
        <v>3.3960531989175591E-3</v>
      </c>
      <c r="O3257">
        <f>VLOOKUP(K3257,RatingLookup!$A$2:$C$8,3,FALSE)</f>
        <v>0.6</v>
      </c>
      <c r="P3257">
        <f t="shared" si="151"/>
        <v>1.1983720844084369</v>
      </c>
      <c r="Q3257" t="str">
        <f t="shared" ca="1" si="152"/>
        <v>No</v>
      </c>
    </row>
    <row r="3258" spans="1:17" x14ac:dyDescent="0.45">
      <c r="A3258" t="s">
        <v>144</v>
      </c>
      <c r="B3258" t="s">
        <v>145</v>
      </c>
      <c r="C3258" t="s">
        <v>29</v>
      </c>
      <c r="D3258" t="s">
        <v>20</v>
      </c>
      <c r="E3258" t="s">
        <v>21</v>
      </c>
      <c r="F3258" s="1">
        <v>44317</v>
      </c>
      <c r="G3258">
        <v>5.15</v>
      </c>
      <c r="H3258">
        <v>82.999200000000002</v>
      </c>
      <c r="I3258">
        <v>19.37</v>
      </c>
      <c r="J3258">
        <v>84.59</v>
      </c>
      <c r="K3258" t="s">
        <v>32</v>
      </c>
      <c r="L3258">
        <v>645.54</v>
      </c>
      <c r="M3258">
        <f>VLOOKUP(K3258,RatingLookup!$A$2:$C$8,2,FALSE)</f>
        <v>0.12</v>
      </c>
      <c r="N3258">
        <f t="shared" si="150"/>
        <v>1.0596241035318976E-2</v>
      </c>
      <c r="O3258">
        <f>VLOOKUP(K3258,RatingLookup!$A$2:$C$8,3,FALSE)</f>
        <v>0.7</v>
      </c>
      <c r="P3258">
        <f t="shared" si="151"/>
        <v>4.7882082065578677</v>
      </c>
      <c r="Q3258" t="str">
        <f t="shared" ca="1" si="152"/>
        <v>No</v>
      </c>
    </row>
    <row r="3259" spans="1:17" x14ac:dyDescent="0.45">
      <c r="A3259" t="s">
        <v>144</v>
      </c>
      <c r="B3259" t="s">
        <v>145</v>
      </c>
      <c r="C3259" t="s">
        <v>29</v>
      </c>
      <c r="D3259" t="s">
        <v>20</v>
      </c>
      <c r="E3259" t="s">
        <v>21</v>
      </c>
      <c r="F3259" s="1">
        <v>44348</v>
      </c>
      <c r="G3259">
        <v>5.89</v>
      </c>
      <c r="H3259">
        <v>78.327200000000005</v>
      </c>
      <c r="I3259">
        <v>15.49</v>
      </c>
      <c r="J3259">
        <v>51.3</v>
      </c>
      <c r="K3259" t="s">
        <v>32</v>
      </c>
      <c r="L3259">
        <v>598.29999999999995</v>
      </c>
      <c r="M3259">
        <f>VLOOKUP(K3259,RatingLookup!$A$2:$C$8,2,FALSE)</f>
        <v>0.12</v>
      </c>
      <c r="N3259">
        <f t="shared" si="150"/>
        <v>1.0596241035318976E-2</v>
      </c>
      <c r="O3259">
        <f>VLOOKUP(K3259,RatingLookup!$A$2:$C$8,3,FALSE)</f>
        <v>0.7</v>
      </c>
      <c r="P3259">
        <f t="shared" si="151"/>
        <v>4.4378117080019397</v>
      </c>
      <c r="Q3259" t="str">
        <f t="shared" ca="1" si="152"/>
        <v>No</v>
      </c>
    </row>
    <row r="3260" spans="1:17" x14ac:dyDescent="0.45">
      <c r="A3260" t="s">
        <v>144</v>
      </c>
      <c r="B3260" t="s">
        <v>145</v>
      </c>
      <c r="C3260" t="s">
        <v>29</v>
      </c>
      <c r="D3260" t="s">
        <v>20</v>
      </c>
      <c r="E3260" t="s">
        <v>21</v>
      </c>
      <c r="F3260" s="1">
        <v>44378</v>
      </c>
      <c r="G3260">
        <v>4.92</v>
      </c>
      <c r="H3260">
        <v>82.787400000000005</v>
      </c>
      <c r="I3260">
        <v>16.09</v>
      </c>
      <c r="J3260">
        <v>72.55</v>
      </c>
      <c r="K3260" t="s">
        <v>32</v>
      </c>
      <c r="L3260">
        <v>585.67999999999995</v>
      </c>
      <c r="M3260">
        <f>VLOOKUP(K3260,RatingLookup!$A$2:$C$8,2,FALSE)</f>
        <v>0.12</v>
      </c>
      <c r="N3260">
        <f t="shared" si="150"/>
        <v>1.0596241035318976E-2</v>
      </c>
      <c r="O3260">
        <f>VLOOKUP(K3260,RatingLookup!$A$2:$C$8,3,FALSE)</f>
        <v>0.7</v>
      </c>
      <c r="P3260">
        <f t="shared" si="151"/>
        <v>4.3442045146959316</v>
      </c>
      <c r="Q3260" t="str">
        <f t="shared" ca="1" si="152"/>
        <v>No</v>
      </c>
    </row>
    <row r="3261" spans="1:17" x14ac:dyDescent="0.45">
      <c r="A3261" t="s">
        <v>144</v>
      </c>
      <c r="B3261" t="s">
        <v>145</v>
      </c>
      <c r="C3261" t="s">
        <v>29</v>
      </c>
      <c r="D3261" t="s">
        <v>20</v>
      </c>
      <c r="E3261" t="s">
        <v>21</v>
      </c>
      <c r="F3261" s="1">
        <v>44409</v>
      </c>
      <c r="G3261">
        <v>5.68</v>
      </c>
      <c r="H3261">
        <v>81.977500000000006</v>
      </c>
      <c r="I3261">
        <v>12.64</v>
      </c>
      <c r="J3261">
        <v>78.22</v>
      </c>
      <c r="K3261" t="s">
        <v>32</v>
      </c>
      <c r="L3261">
        <v>617.72</v>
      </c>
      <c r="M3261">
        <f>VLOOKUP(K3261,RatingLookup!$A$2:$C$8,2,FALSE)</f>
        <v>0.12</v>
      </c>
      <c r="N3261">
        <f t="shared" si="150"/>
        <v>1.0596241035318976E-2</v>
      </c>
      <c r="O3261">
        <f>VLOOKUP(K3261,RatingLookup!$A$2:$C$8,3,FALSE)</f>
        <v>0.7</v>
      </c>
      <c r="P3261">
        <f t="shared" si="151"/>
        <v>4.5818570086360664</v>
      </c>
      <c r="Q3261" t="str">
        <f t="shared" ca="1" si="152"/>
        <v>No</v>
      </c>
    </row>
    <row r="3262" spans="1:17" x14ac:dyDescent="0.45">
      <c r="A3262" t="s">
        <v>144</v>
      </c>
      <c r="B3262" t="s">
        <v>145</v>
      </c>
      <c r="C3262" t="s">
        <v>29</v>
      </c>
      <c r="D3262" t="s">
        <v>20</v>
      </c>
      <c r="E3262" t="s">
        <v>21</v>
      </c>
      <c r="F3262" s="1">
        <v>44440</v>
      </c>
      <c r="G3262">
        <v>5.27</v>
      </c>
      <c r="H3262">
        <v>79.171999999999997</v>
      </c>
      <c r="I3262">
        <v>15.71</v>
      </c>
      <c r="J3262">
        <v>66.400000000000006</v>
      </c>
      <c r="K3262" t="s">
        <v>32</v>
      </c>
      <c r="L3262">
        <v>642.53</v>
      </c>
      <c r="M3262">
        <f>VLOOKUP(K3262,RatingLookup!$A$2:$C$8,2,FALSE)</f>
        <v>0.12</v>
      </c>
      <c r="N3262">
        <f t="shared" si="150"/>
        <v>1.0596241035318976E-2</v>
      </c>
      <c r="O3262">
        <f>VLOOKUP(K3262,RatingLookup!$A$2:$C$8,3,FALSE)</f>
        <v>0.7</v>
      </c>
      <c r="P3262">
        <f t="shared" si="151"/>
        <v>4.7658819266964505</v>
      </c>
      <c r="Q3262" t="str">
        <f t="shared" ca="1" si="152"/>
        <v>No</v>
      </c>
    </row>
    <row r="3263" spans="1:17" x14ac:dyDescent="0.45">
      <c r="A3263" t="s">
        <v>144</v>
      </c>
      <c r="B3263" t="s">
        <v>145</v>
      </c>
      <c r="C3263" t="s">
        <v>29</v>
      </c>
      <c r="D3263" t="s">
        <v>20</v>
      </c>
      <c r="E3263" t="s">
        <v>21</v>
      </c>
      <c r="F3263" s="1">
        <v>44470</v>
      </c>
      <c r="G3263">
        <v>5.81</v>
      </c>
      <c r="H3263">
        <v>81.039599999999993</v>
      </c>
      <c r="I3263">
        <v>26.21</v>
      </c>
      <c r="J3263">
        <v>71</v>
      </c>
      <c r="K3263" t="s">
        <v>32</v>
      </c>
      <c r="L3263">
        <v>602.41</v>
      </c>
      <c r="M3263">
        <f>VLOOKUP(K3263,RatingLookup!$A$2:$C$8,2,FALSE)</f>
        <v>0.12</v>
      </c>
      <c r="N3263">
        <f t="shared" si="150"/>
        <v>1.0596241035318976E-2</v>
      </c>
      <c r="O3263">
        <f>VLOOKUP(K3263,RatingLookup!$A$2:$C$8,3,FALSE)</f>
        <v>0.7</v>
      </c>
      <c r="P3263">
        <f t="shared" si="151"/>
        <v>4.4682970934605519</v>
      </c>
      <c r="Q3263" t="str">
        <f t="shared" ca="1" si="152"/>
        <v>No</v>
      </c>
    </row>
    <row r="3264" spans="1:17" x14ac:dyDescent="0.45">
      <c r="A3264" t="s">
        <v>144</v>
      </c>
      <c r="B3264" t="s">
        <v>145</v>
      </c>
      <c r="C3264" t="s">
        <v>29</v>
      </c>
      <c r="D3264" t="s">
        <v>20</v>
      </c>
      <c r="E3264" t="s">
        <v>21</v>
      </c>
      <c r="F3264" s="1">
        <v>44501</v>
      </c>
      <c r="G3264">
        <v>6.42</v>
      </c>
      <c r="H3264">
        <v>83.478399999999993</v>
      </c>
      <c r="I3264">
        <v>9.75</v>
      </c>
      <c r="J3264">
        <v>58.89</v>
      </c>
      <c r="K3264" t="s">
        <v>32</v>
      </c>
      <c r="L3264">
        <v>610.27</v>
      </c>
      <c r="M3264">
        <f>VLOOKUP(K3264,RatingLookup!$A$2:$C$8,2,FALSE)</f>
        <v>0.12</v>
      </c>
      <c r="N3264">
        <f t="shared" si="150"/>
        <v>1.0596241035318976E-2</v>
      </c>
      <c r="O3264">
        <f>VLOOKUP(K3264,RatingLookup!$A$2:$C$8,3,FALSE)</f>
        <v>0.7</v>
      </c>
      <c r="P3264">
        <f t="shared" si="151"/>
        <v>4.5265976116368778</v>
      </c>
      <c r="Q3264" t="str">
        <f t="shared" ca="1" si="152"/>
        <v>No</v>
      </c>
    </row>
    <row r="3265" spans="1:17" x14ac:dyDescent="0.45">
      <c r="A3265" t="s">
        <v>144</v>
      </c>
      <c r="B3265" t="s">
        <v>145</v>
      </c>
      <c r="C3265" t="s">
        <v>29</v>
      </c>
      <c r="D3265" t="s">
        <v>20</v>
      </c>
      <c r="E3265" t="s">
        <v>21</v>
      </c>
      <c r="F3265" s="1">
        <v>44531</v>
      </c>
      <c r="G3265">
        <v>6.88</v>
      </c>
      <c r="H3265">
        <v>85.849400000000003</v>
      </c>
      <c r="I3265">
        <v>20.72</v>
      </c>
      <c r="J3265">
        <v>85.15</v>
      </c>
      <c r="K3265" t="s">
        <v>32</v>
      </c>
      <c r="L3265">
        <v>633.79</v>
      </c>
      <c r="M3265">
        <f>VLOOKUP(K3265,RatingLookup!$A$2:$C$8,2,FALSE)</f>
        <v>0.12</v>
      </c>
      <c r="N3265">
        <f t="shared" si="150"/>
        <v>1.0596241035318976E-2</v>
      </c>
      <c r="O3265">
        <f>VLOOKUP(K3265,RatingLookup!$A$2:$C$8,3,FALSE)</f>
        <v>0.7</v>
      </c>
      <c r="P3265">
        <f t="shared" si="151"/>
        <v>4.7010541240423693</v>
      </c>
      <c r="Q3265" t="str">
        <f t="shared" ca="1" si="152"/>
        <v>No</v>
      </c>
    </row>
    <row r="3266" spans="1:17" x14ac:dyDescent="0.45">
      <c r="A3266" t="s">
        <v>144</v>
      </c>
      <c r="B3266" t="s">
        <v>145</v>
      </c>
      <c r="C3266" t="s">
        <v>29</v>
      </c>
      <c r="D3266" t="s">
        <v>20</v>
      </c>
      <c r="E3266" t="s">
        <v>21</v>
      </c>
      <c r="F3266" s="1">
        <v>44562</v>
      </c>
      <c r="G3266">
        <v>4.5199999999999996</v>
      </c>
      <c r="H3266">
        <v>82.999200000000002</v>
      </c>
      <c r="I3266">
        <v>26.36</v>
      </c>
      <c r="J3266">
        <v>98.31</v>
      </c>
      <c r="K3266" t="s">
        <v>32</v>
      </c>
      <c r="L3266">
        <v>622.33000000000004</v>
      </c>
      <c r="M3266">
        <f>VLOOKUP(K3266,RatingLookup!$A$2:$C$8,2,FALSE)</f>
        <v>0.12</v>
      </c>
      <c r="N3266">
        <f t="shared" ref="N3266:N3329" si="153">1-(1-M3266)^(1/12)</f>
        <v>1.0596241035318976E-2</v>
      </c>
      <c r="O3266">
        <f>VLOOKUP(K3266,RatingLookup!$A$2:$C$8,3,FALSE)</f>
        <v>0.7</v>
      </c>
      <c r="P3266">
        <f t="shared" ref="P3266:P3329" si="154">L3266*N3266*O3266</f>
        <v>4.6160510784570405</v>
      </c>
      <c r="Q3266" t="str">
        <f t="shared" ref="Q3266:Q3329" ca="1" si="155">IF(RAND()&lt;N3266,"Yes","No")</f>
        <v>No</v>
      </c>
    </row>
    <row r="3267" spans="1:17" x14ac:dyDescent="0.45">
      <c r="A3267" t="s">
        <v>144</v>
      </c>
      <c r="B3267" t="s">
        <v>145</v>
      </c>
      <c r="C3267" t="s">
        <v>29</v>
      </c>
      <c r="D3267" t="s">
        <v>20</v>
      </c>
      <c r="E3267" t="s">
        <v>21</v>
      </c>
      <c r="F3267" s="1">
        <v>44593</v>
      </c>
      <c r="G3267">
        <v>4.68</v>
      </c>
      <c r="H3267">
        <v>84.672899999999998</v>
      </c>
      <c r="I3267">
        <v>20.94</v>
      </c>
      <c r="J3267">
        <v>96.1</v>
      </c>
      <c r="K3267" t="s">
        <v>32</v>
      </c>
      <c r="L3267">
        <v>612.28</v>
      </c>
      <c r="M3267">
        <f>VLOOKUP(K3267,RatingLookup!$A$2:$C$8,2,FALSE)</f>
        <v>0.12</v>
      </c>
      <c r="N3267">
        <f t="shared" si="153"/>
        <v>1.0596241035318976E-2</v>
      </c>
      <c r="O3267">
        <f>VLOOKUP(K3267,RatingLookup!$A$2:$C$8,3,FALSE)</f>
        <v>0.7</v>
      </c>
      <c r="P3267">
        <f t="shared" si="154"/>
        <v>4.541506522773572</v>
      </c>
      <c r="Q3267" t="str">
        <f t="shared" ca="1" si="155"/>
        <v>No</v>
      </c>
    </row>
    <row r="3268" spans="1:17" x14ac:dyDescent="0.45">
      <c r="A3268" t="s">
        <v>144</v>
      </c>
      <c r="B3268" t="s">
        <v>145</v>
      </c>
      <c r="C3268" t="s">
        <v>29</v>
      </c>
      <c r="D3268" t="s">
        <v>20</v>
      </c>
      <c r="E3268" t="s">
        <v>21</v>
      </c>
      <c r="F3268" s="1">
        <v>44621</v>
      </c>
      <c r="G3268">
        <v>5.56</v>
      </c>
      <c r="H3268">
        <v>83.218699999999998</v>
      </c>
      <c r="I3268">
        <v>19.25</v>
      </c>
      <c r="J3268">
        <v>85.43</v>
      </c>
      <c r="K3268" t="s">
        <v>32</v>
      </c>
      <c r="L3268">
        <v>546.51</v>
      </c>
      <c r="M3268">
        <f>VLOOKUP(K3268,RatingLookup!$A$2:$C$8,2,FALSE)</f>
        <v>0.12</v>
      </c>
      <c r="N3268">
        <f t="shared" si="153"/>
        <v>1.0596241035318976E-2</v>
      </c>
      <c r="O3268">
        <f>VLOOKUP(K3268,RatingLookup!$A$2:$C$8,3,FALSE)</f>
        <v>0.7</v>
      </c>
      <c r="P3268">
        <f t="shared" si="154"/>
        <v>4.0536661817485209</v>
      </c>
      <c r="Q3268" t="str">
        <f t="shared" ca="1" si="155"/>
        <v>No</v>
      </c>
    </row>
    <row r="3269" spans="1:17" x14ac:dyDescent="0.45">
      <c r="A3269" t="s">
        <v>144</v>
      </c>
      <c r="B3269" t="s">
        <v>145</v>
      </c>
      <c r="C3269" t="s">
        <v>29</v>
      </c>
      <c r="D3269" t="s">
        <v>20</v>
      </c>
      <c r="E3269" t="s">
        <v>21</v>
      </c>
      <c r="F3269" s="1">
        <v>44652</v>
      </c>
      <c r="G3269">
        <v>5.42</v>
      </c>
      <c r="H3269">
        <v>87.013300000000001</v>
      </c>
      <c r="I3269">
        <v>19.899999999999999</v>
      </c>
      <c r="J3269">
        <v>91.61</v>
      </c>
      <c r="K3269" t="s">
        <v>32</v>
      </c>
      <c r="L3269">
        <v>606.70000000000005</v>
      </c>
      <c r="M3269">
        <f>VLOOKUP(K3269,RatingLookup!$A$2:$C$8,2,FALSE)</f>
        <v>0.12</v>
      </c>
      <c r="N3269">
        <f t="shared" si="153"/>
        <v>1.0596241035318976E-2</v>
      </c>
      <c r="O3269">
        <f>VLOOKUP(K3269,RatingLookup!$A$2:$C$8,3,FALSE)</f>
        <v>0.7</v>
      </c>
      <c r="P3269">
        <f t="shared" si="154"/>
        <v>4.5001176052896161</v>
      </c>
      <c r="Q3269" t="str">
        <f t="shared" ca="1" si="155"/>
        <v>No</v>
      </c>
    </row>
    <row r="3270" spans="1:17" x14ac:dyDescent="0.45">
      <c r="A3270" t="s">
        <v>144</v>
      </c>
      <c r="B3270" t="s">
        <v>145</v>
      </c>
      <c r="C3270" t="s">
        <v>29</v>
      </c>
      <c r="D3270" t="s">
        <v>20</v>
      </c>
      <c r="E3270" t="s">
        <v>21</v>
      </c>
      <c r="F3270" s="1">
        <v>44682</v>
      </c>
      <c r="G3270">
        <v>4.7699999999999996</v>
      </c>
      <c r="H3270">
        <v>89.863299999999995</v>
      </c>
      <c r="I3270">
        <v>28.33</v>
      </c>
      <c r="J3270">
        <v>72.05</v>
      </c>
      <c r="K3270" t="s">
        <v>32</v>
      </c>
      <c r="L3270">
        <v>625.55999999999995</v>
      </c>
      <c r="M3270">
        <f>VLOOKUP(K3270,RatingLookup!$A$2:$C$8,2,FALSE)</f>
        <v>0.12</v>
      </c>
      <c r="N3270">
        <f t="shared" si="153"/>
        <v>1.0596241035318976E-2</v>
      </c>
      <c r="O3270">
        <f>VLOOKUP(K3270,RatingLookup!$A$2:$C$8,3,FALSE)</f>
        <v>0.7</v>
      </c>
      <c r="P3270">
        <f t="shared" si="154"/>
        <v>4.6400091794378966</v>
      </c>
      <c r="Q3270" t="str">
        <f t="shared" ca="1" si="155"/>
        <v>No</v>
      </c>
    </row>
    <row r="3271" spans="1:17" x14ac:dyDescent="0.45">
      <c r="A3271" t="s">
        <v>144</v>
      </c>
      <c r="B3271" t="s">
        <v>145</v>
      </c>
      <c r="C3271" t="s">
        <v>29</v>
      </c>
      <c r="D3271" t="s">
        <v>20</v>
      </c>
      <c r="E3271" t="s">
        <v>21</v>
      </c>
      <c r="F3271" s="1">
        <v>44713</v>
      </c>
      <c r="G3271">
        <v>4.66</v>
      </c>
      <c r="H3271">
        <v>85.617199999999997</v>
      </c>
      <c r="I3271">
        <v>22.57</v>
      </c>
      <c r="J3271">
        <v>83.41</v>
      </c>
      <c r="K3271" t="s">
        <v>31</v>
      </c>
      <c r="L3271">
        <v>601.78</v>
      </c>
      <c r="M3271">
        <f>VLOOKUP(K3271,RatingLookup!$A$2:$C$8,2,FALSE)</f>
        <v>0.04</v>
      </c>
      <c r="N3271">
        <f t="shared" si="153"/>
        <v>3.3960531989175591E-3</v>
      </c>
      <c r="O3271">
        <f>VLOOKUP(K3271,RatingLookup!$A$2:$C$8,3,FALSE)</f>
        <v>0.6</v>
      </c>
      <c r="P3271">
        <f t="shared" si="154"/>
        <v>1.2262061364267651</v>
      </c>
      <c r="Q3271" t="str">
        <f t="shared" ca="1" si="155"/>
        <v>No</v>
      </c>
    </row>
    <row r="3272" spans="1:17" x14ac:dyDescent="0.45">
      <c r="A3272" t="s">
        <v>144</v>
      </c>
      <c r="B3272" t="s">
        <v>145</v>
      </c>
      <c r="C3272" t="s">
        <v>29</v>
      </c>
      <c r="D3272" t="s">
        <v>20</v>
      </c>
      <c r="E3272" t="s">
        <v>21</v>
      </c>
      <c r="F3272" s="1">
        <v>44743</v>
      </c>
      <c r="G3272">
        <v>6.52</v>
      </c>
      <c r="H3272">
        <v>79.155900000000003</v>
      </c>
      <c r="I3272">
        <v>23.2</v>
      </c>
      <c r="J3272">
        <v>69.98</v>
      </c>
      <c r="K3272" t="s">
        <v>31</v>
      </c>
      <c r="L3272">
        <v>619.23</v>
      </c>
      <c r="M3272">
        <f>VLOOKUP(K3272,RatingLookup!$A$2:$C$8,2,FALSE)</f>
        <v>0.04</v>
      </c>
      <c r="N3272">
        <f t="shared" si="153"/>
        <v>3.3960531989175591E-3</v>
      </c>
      <c r="O3272">
        <f>VLOOKUP(K3272,RatingLookup!$A$2:$C$8,3,FALSE)</f>
        <v>0.6</v>
      </c>
      <c r="P3272">
        <f t="shared" si="154"/>
        <v>1.2617628134194321</v>
      </c>
      <c r="Q3272" t="str">
        <f t="shared" ca="1" si="155"/>
        <v>No</v>
      </c>
    </row>
    <row r="3273" spans="1:17" x14ac:dyDescent="0.45">
      <c r="A3273" t="s">
        <v>144</v>
      </c>
      <c r="B3273" t="s">
        <v>145</v>
      </c>
      <c r="C3273" t="s">
        <v>29</v>
      </c>
      <c r="D3273" t="s">
        <v>20</v>
      </c>
      <c r="E3273" t="s">
        <v>21</v>
      </c>
      <c r="F3273" s="1">
        <v>44774</v>
      </c>
      <c r="G3273">
        <v>4.66</v>
      </c>
      <c r="H3273">
        <v>84.687700000000007</v>
      </c>
      <c r="I3273">
        <v>22.5</v>
      </c>
      <c r="J3273">
        <v>79.97</v>
      </c>
      <c r="K3273" t="s">
        <v>31</v>
      </c>
      <c r="L3273">
        <v>628.95000000000005</v>
      </c>
      <c r="M3273">
        <f>VLOOKUP(K3273,RatingLookup!$A$2:$C$8,2,FALSE)</f>
        <v>0.04</v>
      </c>
      <c r="N3273">
        <f t="shared" si="153"/>
        <v>3.3960531989175591E-3</v>
      </c>
      <c r="O3273">
        <f>VLOOKUP(K3273,RatingLookup!$A$2:$C$8,3,FALSE)</f>
        <v>0.6</v>
      </c>
      <c r="P3273">
        <f t="shared" si="154"/>
        <v>1.2815685956755194</v>
      </c>
      <c r="Q3273" t="str">
        <f t="shared" ca="1" si="155"/>
        <v>No</v>
      </c>
    </row>
    <row r="3274" spans="1:17" x14ac:dyDescent="0.45">
      <c r="A3274" t="s">
        <v>144</v>
      </c>
      <c r="B3274" t="s">
        <v>145</v>
      </c>
      <c r="C3274" t="s">
        <v>29</v>
      </c>
      <c r="D3274" t="s">
        <v>20</v>
      </c>
      <c r="E3274" t="s">
        <v>21</v>
      </c>
      <c r="F3274" s="1">
        <v>44805</v>
      </c>
      <c r="G3274">
        <v>5.17</v>
      </c>
      <c r="H3274">
        <v>84.202500000000001</v>
      </c>
      <c r="I3274">
        <v>17.489999999999998</v>
      </c>
      <c r="J3274">
        <v>83.09</v>
      </c>
      <c r="K3274" t="s">
        <v>31</v>
      </c>
      <c r="L3274">
        <v>595.72</v>
      </c>
      <c r="M3274">
        <f>VLOOKUP(K3274,RatingLookup!$A$2:$C$8,2,FALSE)</f>
        <v>0.04</v>
      </c>
      <c r="N3274">
        <f t="shared" si="153"/>
        <v>3.3960531989175591E-3</v>
      </c>
      <c r="O3274">
        <f>VLOOKUP(K3274,RatingLookup!$A$2:$C$8,3,FALSE)</f>
        <v>0.6</v>
      </c>
      <c r="P3274">
        <f t="shared" si="154"/>
        <v>1.2138580869955011</v>
      </c>
      <c r="Q3274" t="str">
        <f t="shared" ca="1" si="155"/>
        <v>No</v>
      </c>
    </row>
    <row r="3275" spans="1:17" x14ac:dyDescent="0.45">
      <c r="A3275" t="s">
        <v>144</v>
      </c>
      <c r="B3275" t="s">
        <v>145</v>
      </c>
      <c r="C3275" t="s">
        <v>29</v>
      </c>
      <c r="D3275" t="s">
        <v>20</v>
      </c>
      <c r="E3275" t="s">
        <v>21</v>
      </c>
      <c r="F3275" s="1">
        <v>44835</v>
      </c>
      <c r="G3275">
        <v>5.34</v>
      </c>
      <c r="H3275">
        <v>84.823899999999995</v>
      </c>
      <c r="I3275">
        <v>18.940000000000001</v>
      </c>
      <c r="J3275">
        <v>65.41</v>
      </c>
      <c r="K3275" t="s">
        <v>31</v>
      </c>
      <c r="L3275">
        <v>587.85</v>
      </c>
      <c r="M3275">
        <f>VLOOKUP(K3275,RatingLookup!$A$2:$C$8,2,FALSE)</f>
        <v>0.04</v>
      </c>
      <c r="N3275">
        <f t="shared" si="153"/>
        <v>3.3960531989175591E-3</v>
      </c>
      <c r="O3275">
        <f>VLOOKUP(K3275,RatingLookup!$A$2:$C$8,3,FALSE)</f>
        <v>0.6</v>
      </c>
      <c r="P3275">
        <f t="shared" si="154"/>
        <v>1.1978219237902124</v>
      </c>
      <c r="Q3275" t="str">
        <f t="shared" ca="1" si="155"/>
        <v>No</v>
      </c>
    </row>
    <row r="3276" spans="1:17" x14ac:dyDescent="0.45">
      <c r="A3276" t="s">
        <v>144</v>
      </c>
      <c r="B3276" t="s">
        <v>145</v>
      </c>
      <c r="C3276" t="s">
        <v>29</v>
      </c>
      <c r="D3276" t="s">
        <v>20</v>
      </c>
      <c r="E3276" t="s">
        <v>21</v>
      </c>
      <c r="F3276" s="1">
        <v>44866</v>
      </c>
      <c r="G3276">
        <v>5.37</v>
      </c>
      <c r="H3276">
        <v>84.947500000000005</v>
      </c>
      <c r="I3276">
        <v>11.51</v>
      </c>
      <c r="J3276">
        <v>82.74</v>
      </c>
      <c r="K3276" t="s">
        <v>31</v>
      </c>
      <c r="L3276">
        <v>614.51</v>
      </c>
      <c r="M3276">
        <f>VLOOKUP(K3276,RatingLookup!$A$2:$C$8,2,FALSE)</f>
        <v>0.04</v>
      </c>
      <c r="N3276">
        <f t="shared" si="153"/>
        <v>3.3960531989175591E-3</v>
      </c>
      <c r="O3276">
        <f>VLOOKUP(K3276,RatingLookup!$A$2:$C$8,3,FALSE)</f>
        <v>0.6</v>
      </c>
      <c r="P3276">
        <f t="shared" si="154"/>
        <v>1.2521451907600973</v>
      </c>
      <c r="Q3276" t="str">
        <f t="shared" ca="1" si="155"/>
        <v>No</v>
      </c>
    </row>
    <row r="3277" spans="1:17" x14ac:dyDescent="0.45">
      <c r="A3277" t="s">
        <v>144</v>
      </c>
      <c r="B3277" t="s">
        <v>145</v>
      </c>
      <c r="C3277" t="s">
        <v>29</v>
      </c>
      <c r="D3277" t="s">
        <v>20</v>
      </c>
      <c r="E3277" t="s">
        <v>21</v>
      </c>
      <c r="F3277" s="1">
        <v>44896</v>
      </c>
      <c r="G3277">
        <v>5.25</v>
      </c>
      <c r="H3277">
        <v>84.898300000000006</v>
      </c>
      <c r="I3277">
        <v>14.86</v>
      </c>
      <c r="J3277">
        <v>76.95</v>
      </c>
      <c r="K3277" t="s">
        <v>32</v>
      </c>
      <c r="L3277">
        <v>656.16</v>
      </c>
      <c r="M3277">
        <f>VLOOKUP(K3277,RatingLookup!$A$2:$C$8,2,FALSE)</f>
        <v>0.12</v>
      </c>
      <c r="N3277">
        <f t="shared" si="153"/>
        <v>1.0596241035318976E-2</v>
      </c>
      <c r="O3277">
        <f>VLOOKUP(K3277,RatingLookup!$A$2:$C$8,3,FALSE)</f>
        <v>0.7</v>
      </c>
      <c r="P3277">
        <f t="shared" si="154"/>
        <v>4.8669806624144289</v>
      </c>
      <c r="Q3277" t="str">
        <f t="shared" ca="1" si="155"/>
        <v>No</v>
      </c>
    </row>
    <row r="3278" spans="1:17" x14ac:dyDescent="0.45">
      <c r="A3278" t="s">
        <v>144</v>
      </c>
      <c r="B3278" t="s">
        <v>145</v>
      </c>
      <c r="C3278" t="s">
        <v>29</v>
      </c>
      <c r="D3278" t="s">
        <v>20</v>
      </c>
      <c r="E3278" t="s">
        <v>21</v>
      </c>
      <c r="F3278" s="1">
        <v>44927</v>
      </c>
      <c r="G3278">
        <v>4.99</v>
      </c>
      <c r="H3278">
        <v>84.949799999999996</v>
      </c>
      <c r="I3278">
        <v>11.94</v>
      </c>
      <c r="J3278">
        <v>73.87</v>
      </c>
      <c r="K3278" t="s">
        <v>32</v>
      </c>
      <c r="L3278">
        <v>609.27</v>
      </c>
      <c r="M3278">
        <f>VLOOKUP(K3278,RatingLookup!$A$2:$C$8,2,FALSE)</f>
        <v>0.12</v>
      </c>
      <c r="N3278">
        <f t="shared" si="153"/>
        <v>1.0596241035318976E-2</v>
      </c>
      <c r="O3278">
        <f>VLOOKUP(K3278,RatingLookup!$A$2:$C$8,3,FALSE)</f>
        <v>0.7</v>
      </c>
      <c r="P3278">
        <f t="shared" si="154"/>
        <v>4.5191802429121539</v>
      </c>
      <c r="Q3278" t="str">
        <f t="shared" ca="1" si="155"/>
        <v>No</v>
      </c>
    </row>
    <row r="3279" spans="1:17" x14ac:dyDescent="0.45">
      <c r="A3279" t="s">
        <v>144</v>
      </c>
      <c r="B3279" t="s">
        <v>145</v>
      </c>
      <c r="C3279" t="s">
        <v>29</v>
      </c>
      <c r="D3279" t="s">
        <v>20</v>
      </c>
      <c r="E3279" t="s">
        <v>21</v>
      </c>
      <c r="F3279" s="1">
        <v>44958</v>
      </c>
      <c r="G3279">
        <v>5.51</v>
      </c>
      <c r="H3279">
        <v>83.944900000000004</v>
      </c>
      <c r="I3279">
        <v>17.04</v>
      </c>
      <c r="J3279">
        <v>91.87</v>
      </c>
      <c r="K3279" t="s">
        <v>32</v>
      </c>
      <c r="L3279">
        <v>595.74</v>
      </c>
      <c r="M3279">
        <f>VLOOKUP(K3279,RatingLookup!$A$2:$C$8,2,FALSE)</f>
        <v>0.12</v>
      </c>
      <c r="N3279">
        <f t="shared" si="153"/>
        <v>1.0596241035318976E-2</v>
      </c>
      <c r="O3279">
        <f>VLOOKUP(K3279,RatingLookup!$A$2:$C$8,3,FALSE)</f>
        <v>0.7</v>
      </c>
      <c r="P3279">
        <f t="shared" si="154"/>
        <v>4.4188232440666484</v>
      </c>
      <c r="Q3279" t="str">
        <f t="shared" ca="1" si="155"/>
        <v>No</v>
      </c>
    </row>
    <row r="3280" spans="1:17" x14ac:dyDescent="0.45">
      <c r="A3280" t="s">
        <v>144</v>
      </c>
      <c r="B3280" t="s">
        <v>145</v>
      </c>
      <c r="C3280" t="s">
        <v>29</v>
      </c>
      <c r="D3280" t="s">
        <v>20</v>
      </c>
      <c r="E3280" t="s">
        <v>21</v>
      </c>
      <c r="F3280" s="1">
        <v>44986</v>
      </c>
      <c r="G3280">
        <v>5.38</v>
      </c>
      <c r="H3280">
        <v>82.749799999999993</v>
      </c>
      <c r="I3280">
        <v>14.79</v>
      </c>
      <c r="J3280">
        <v>72.89</v>
      </c>
      <c r="K3280" t="s">
        <v>32</v>
      </c>
      <c r="L3280">
        <v>598.02</v>
      </c>
      <c r="M3280">
        <f>VLOOKUP(K3280,RatingLookup!$A$2:$C$8,2,FALSE)</f>
        <v>0.12</v>
      </c>
      <c r="N3280">
        <f t="shared" si="153"/>
        <v>1.0596241035318976E-2</v>
      </c>
      <c r="O3280">
        <f>VLOOKUP(K3280,RatingLookup!$A$2:$C$8,3,FALSE)</f>
        <v>0.7</v>
      </c>
      <c r="P3280">
        <f t="shared" si="154"/>
        <v>4.4357348447590175</v>
      </c>
      <c r="Q3280" t="str">
        <f t="shared" ca="1" si="155"/>
        <v>No</v>
      </c>
    </row>
    <row r="3281" spans="1:17" x14ac:dyDescent="0.45">
      <c r="A3281" t="s">
        <v>144</v>
      </c>
      <c r="B3281" t="s">
        <v>145</v>
      </c>
      <c r="C3281" t="s">
        <v>29</v>
      </c>
      <c r="D3281" t="s">
        <v>20</v>
      </c>
      <c r="E3281" t="s">
        <v>21</v>
      </c>
      <c r="F3281" s="1">
        <v>45017</v>
      </c>
      <c r="G3281">
        <v>6.49</v>
      </c>
      <c r="H3281">
        <v>81.779600000000002</v>
      </c>
      <c r="I3281">
        <v>18.8</v>
      </c>
      <c r="J3281">
        <v>96.82</v>
      </c>
      <c r="K3281" t="s">
        <v>32</v>
      </c>
      <c r="L3281">
        <v>579.62</v>
      </c>
      <c r="M3281">
        <f>VLOOKUP(K3281,RatingLookup!$A$2:$C$8,2,FALSE)</f>
        <v>0.12</v>
      </c>
      <c r="N3281">
        <f t="shared" si="153"/>
        <v>1.0596241035318976E-2</v>
      </c>
      <c r="O3281">
        <f>VLOOKUP(K3281,RatingLookup!$A$2:$C$8,3,FALSE)</f>
        <v>0.7</v>
      </c>
      <c r="P3281">
        <f t="shared" si="154"/>
        <v>4.2992552602241085</v>
      </c>
      <c r="Q3281" t="str">
        <f t="shared" ca="1" si="155"/>
        <v>No</v>
      </c>
    </row>
    <row r="3282" spans="1:17" x14ac:dyDescent="0.45">
      <c r="A3282" t="s">
        <v>144</v>
      </c>
      <c r="B3282" t="s">
        <v>145</v>
      </c>
      <c r="C3282" t="s">
        <v>29</v>
      </c>
      <c r="D3282" t="s">
        <v>20</v>
      </c>
      <c r="E3282" t="s">
        <v>21</v>
      </c>
      <c r="F3282" s="1">
        <v>45047</v>
      </c>
      <c r="G3282">
        <v>4.9000000000000004</v>
      </c>
      <c r="H3282">
        <v>81.431899999999999</v>
      </c>
      <c r="I3282">
        <v>7.18</v>
      </c>
      <c r="J3282">
        <v>80.069999999999993</v>
      </c>
      <c r="K3282" t="s">
        <v>32</v>
      </c>
      <c r="L3282">
        <v>634.37</v>
      </c>
      <c r="M3282">
        <f>VLOOKUP(K3282,RatingLookup!$A$2:$C$8,2,FALSE)</f>
        <v>0.12</v>
      </c>
      <c r="N3282">
        <f t="shared" si="153"/>
        <v>1.0596241035318976E-2</v>
      </c>
      <c r="O3282">
        <f>VLOOKUP(K3282,RatingLookup!$A$2:$C$8,3,FALSE)</f>
        <v>0.7</v>
      </c>
      <c r="P3282">
        <f t="shared" si="154"/>
        <v>4.7053561979027094</v>
      </c>
      <c r="Q3282" t="str">
        <f t="shared" ca="1" si="155"/>
        <v>No</v>
      </c>
    </row>
    <row r="3283" spans="1:17" x14ac:dyDescent="0.45">
      <c r="A3283" t="s">
        <v>144</v>
      </c>
      <c r="B3283" t="s">
        <v>145</v>
      </c>
      <c r="C3283" t="s">
        <v>29</v>
      </c>
      <c r="D3283" t="s">
        <v>20</v>
      </c>
      <c r="E3283" t="s">
        <v>21</v>
      </c>
      <c r="F3283" s="1">
        <v>45078</v>
      </c>
      <c r="G3283">
        <v>5.52</v>
      </c>
      <c r="H3283">
        <v>85.845299999999995</v>
      </c>
      <c r="I3283">
        <v>12.94</v>
      </c>
      <c r="J3283">
        <v>87.93</v>
      </c>
      <c r="K3283" t="s">
        <v>32</v>
      </c>
      <c r="L3283">
        <v>661.08</v>
      </c>
      <c r="M3283">
        <f>VLOOKUP(K3283,RatingLookup!$A$2:$C$8,2,FALSE)</f>
        <v>0.12</v>
      </c>
      <c r="N3283">
        <f t="shared" si="153"/>
        <v>1.0596241035318976E-2</v>
      </c>
      <c r="O3283">
        <f>VLOOKUP(K3283,RatingLookup!$A$2:$C$8,3,FALSE)</f>
        <v>0.7</v>
      </c>
      <c r="P3283">
        <f t="shared" si="154"/>
        <v>4.9034741165400675</v>
      </c>
      <c r="Q3283" t="str">
        <f t="shared" ca="1" si="155"/>
        <v>No</v>
      </c>
    </row>
    <row r="3284" spans="1:17" x14ac:dyDescent="0.45">
      <c r="A3284" t="s">
        <v>144</v>
      </c>
      <c r="B3284" t="s">
        <v>145</v>
      </c>
      <c r="C3284" t="s">
        <v>29</v>
      </c>
      <c r="D3284" t="s">
        <v>20</v>
      </c>
      <c r="E3284" t="s">
        <v>21</v>
      </c>
      <c r="F3284" s="1">
        <v>45108</v>
      </c>
      <c r="G3284">
        <v>5.6</v>
      </c>
      <c r="H3284">
        <v>80.4268</v>
      </c>
      <c r="I3284">
        <v>13.94</v>
      </c>
      <c r="J3284">
        <v>77.47</v>
      </c>
      <c r="K3284" t="s">
        <v>32</v>
      </c>
      <c r="L3284">
        <v>659.86</v>
      </c>
      <c r="M3284">
        <f>VLOOKUP(K3284,RatingLookup!$A$2:$C$8,2,FALSE)</f>
        <v>0.12</v>
      </c>
      <c r="N3284">
        <f t="shared" si="153"/>
        <v>1.0596241035318976E-2</v>
      </c>
      <c r="O3284">
        <f>VLOOKUP(K3284,RatingLookup!$A$2:$C$8,3,FALSE)</f>
        <v>0.7</v>
      </c>
      <c r="P3284">
        <f t="shared" si="154"/>
        <v>4.8944249266959057</v>
      </c>
      <c r="Q3284" t="str">
        <f t="shared" ca="1" si="155"/>
        <v>No</v>
      </c>
    </row>
    <row r="3285" spans="1:17" x14ac:dyDescent="0.45">
      <c r="A3285" t="s">
        <v>144</v>
      </c>
      <c r="B3285" t="s">
        <v>145</v>
      </c>
      <c r="C3285" t="s">
        <v>29</v>
      </c>
      <c r="D3285" t="s">
        <v>20</v>
      </c>
      <c r="E3285" t="s">
        <v>21</v>
      </c>
      <c r="F3285" s="1">
        <v>45139</v>
      </c>
      <c r="G3285">
        <v>5.18</v>
      </c>
      <c r="H3285">
        <v>83.308999999999997</v>
      </c>
      <c r="I3285">
        <v>24.5</v>
      </c>
      <c r="J3285">
        <v>46.44</v>
      </c>
      <c r="K3285" t="s">
        <v>32</v>
      </c>
      <c r="L3285">
        <v>569.84</v>
      </c>
      <c r="M3285">
        <f>VLOOKUP(K3285,RatingLookup!$A$2:$C$8,2,FALSE)</f>
        <v>0.12</v>
      </c>
      <c r="N3285">
        <f t="shared" si="153"/>
        <v>1.0596241035318976E-2</v>
      </c>
      <c r="O3285">
        <f>VLOOKUP(K3285,RatingLookup!$A$2:$C$8,3,FALSE)</f>
        <v>0.7</v>
      </c>
      <c r="P3285">
        <f t="shared" si="154"/>
        <v>4.2267133940963157</v>
      </c>
      <c r="Q3285" t="str">
        <f t="shared" ca="1" si="155"/>
        <v>No</v>
      </c>
    </row>
    <row r="3286" spans="1:17" x14ac:dyDescent="0.45">
      <c r="A3286" t="s">
        <v>144</v>
      </c>
      <c r="B3286" t="s">
        <v>145</v>
      </c>
      <c r="C3286" t="s">
        <v>29</v>
      </c>
      <c r="D3286" t="s">
        <v>20</v>
      </c>
      <c r="E3286" t="s">
        <v>21</v>
      </c>
      <c r="F3286" s="1">
        <v>45170</v>
      </c>
      <c r="G3286">
        <v>6.67</v>
      </c>
      <c r="H3286">
        <v>85.487300000000005</v>
      </c>
      <c r="I3286">
        <v>25.18</v>
      </c>
      <c r="J3286">
        <v>70.010000000000005</v>
      </c>
      <c r="K3286" t="s">
        <v>32</v>
      </c>
      <c r="L3286">
        <v>645.86</v>
      </c>
      <c r="M3286">
        <f>VLOOKUP(K3286,RatingLookup!$A$2:$C$8,2,FALSE)</f>
        <v>0.12</v>
      </c>
      <c r="N3286">
        <f t="shared" si="153"/>
        <v>1.0596241035318976E-2</v>
      </c>
      <c r="O3286">
        <f>VLOOKUP(K3286,RatingLookup!$A$2:$C$8,3,FALSE)</f>
        <v>0.7</v>
      </c>
      <c r="P3286">
        <f t="shared" si="154"/>
        <v>4.7905817645497795</v>
      </c>
      <c r="Q3286" t="str">
        <f t="shared" ca="1" si="155"/>
        <v>No</v>
      </c>
    </row>
    <row r="3287" spans="1:17" x14ac:dyDescent="0.45">
      <c r="A3287" t="s">
        <v>144</v>
      </c>
      <c r="B3287" t="s">
        <v>145</v>
      </c>
      <c r="C3287" t="s">
        <v>29</v>
      </c>
      <c r="D3287" t="s">
        <v>20</v>
      </c>
      <c r="E3287" t="s">
        <v>21</v>
      </c>
      <c r="F3287" s="1">
        <v>45200</v>
      </c>
      <c r="G3287">
        <v>5.01</v>
      </c>
      <c r="H3287">
        <v>87.3797</v>
      </c>
      <c r="I3287">
        <v>21.98</v>
      </c>
      <c r="J3287">
        <v>74.209999999999994</v>
      </c>
      <c r="K3287" t="s">
        <v>32</v>
      </c>
      <c r="L3287">
        <v>575.78</v>
      </c>
      <c r="M3287">
        <f>VLOOKUP(K3287,RatingLookup!$A$2:$C$8,2,FALSE)</f>
        <v>0.12</v>
      </c>
      <c r="N3287">
        <f t="shared" si="153"/>
        <v>1.0596241035318976E-2</v>
      </c>
      <c r="O3287">
        <f>VLOOKUP(K3287,RatingLookup!$A$2:$C$8,3,FALSE)</f>
        <v>0.7</v>
      </c>
      <c r="P3287">
        <f t="shared" si="154"/>
        <v>4.2707725643211711</v>
      </c>
      <c r="Q3287" t="str">
        <f t="shared" ca="1" si="155"/>
        <v>No</v>
      </c>
    </row>
    <row r="3288" spans="1:17" x14ac:dyDescent="0.45">
      <c r="A3288" t="s">
        <v>144</v>
      </c>
      <c r="B3288" t="s">
        <v>145</v>
      </c>
      <c r="C3288" t="s">
        <v>29</v>
      </c>
      <c r="D3288" t="s">
        <v>20</v>
      </c>
      <c r="E3288" t="s">
        <v>21</v>
      </c>
      <c r="F3288" s="1">
        <v>45231</v>
      </c>
      <c r="G3288">
        <v>4.68</v>
      </c>
      <c r="H3288">
        <v>82.983400000000003</v>
      </c>
      <c r="I3288">
        <v>16.690000000000001</v>
      </c>
      <c r="J3288">
        <v>81.13</v>
      </c>
      <c r="K3288" t="s">
        <v>32</v>
      </c>
      <c r="L3288">
        <v>567.97</v>
      </c>
      <c r="M3288">
        <f>VLOOKUP(K3288,RatingLookup!$A$2:$C$8,2,FALSE)</f>
        <v>0.12</v>
      </c>
      <c r="N3288">
        <f t="shared" si="153"/>
        <v>1.0596241035318976E-2</v>
      </c>
      <c r="O3288">
        <f>VLOOKUP(K3288,RatingLookup!$A$2:$C$8,3,FALSE)</f>
        <v>0.7</v>
      </c>
      <c r="P3288">
        <f t="shared" si="154"/>
        <v>4.2128429145810831</v>
      </c>
      <c r="Q3288" t="str">
        <f t="shared" ca="1" si="155"/>
        <v>No</v>
      </c>
    </row>
    <row r="3289" spans="1:17" x14ac:dyDescent="0.45">
      <c r="A3289" t="s">
        <v>144</v>
      </c>
      <c r="B3289" t="s">
        <v>145</v>
      </c>
      <c r="C3289" t="s">
        <v>29</v>
      </c>
      <c r="D3289" t="s">
        <v>20</v>
      </c>
      <c r="E3289" t="s">
        <v>21</v>
      </c>
      <c r="F3289" s="1">
        <v>45261</v>
      </c>
      <c r="G3289">
        <v>5.22</v>
      </c>
      <c r="H3289">
        <v>83.580500000000001</v>
      </c>
      <c r="I3289">
        <v>20.05</v>
      </c>
      <c r="J3289">
        <v>80.36</v>
      </c>
      <c r="K3289" t="s">
        <v>31</v>
      </c>
      <c r="L3289">
        <v>611.62</v>
      </c>
      <c r="M3289">
        <f>VLOOKUP(K3289,RatingLookup!$A$2:$C$8,2,FALSE)</f>
        <v>0.04</v>
      </c>
      <c r="N3289">
        <f t="shared" si="153"/>
        <v>3.3960531989175591E-3</v>
      </c>
      <c r="O3289">
        <f>VLOOKUP(K3289,RatingLookup!$A$2:$C$8,3,FALSE)</f>
        <v>0.6</v>
      </c>
      <c r="P3289">
        <f t="shared" si="154"/>
        <v>1.2462564345131746</v>
      </c>
      <c r="Q3289" t="str">
        <f t="shared" ca="1" si="155"/>
        <v>No</v>
      </c>
    </row>
    <row r="3290" spans="1:17" x14ac:dyDescent="0.45">
      <c r="A3290" t="s">
        <v>144</v>
      </c>
      <c r="B3290" t="s">
        <v>145</v>
      </c>
      <c r="C3290" t="s">
        <v>29</v>
      </c>
      <c r="D3290" t="s">
        <v>20</v>
      </c>
      <c r="E3290" t="s">
        <v>21</v>
      </c>
      <c r="F3290" s="1">
        <v>45292</v>
      </c>
      <c r="G3290">
        <v>6.36</v>
      </c>
      <c r="H3290">
        <v>79.110299999999995</v>
      </c>
      <c r="I3290">
        <v>31.96</v>
      </c>
      <c r="J3290">
        <v>78.42</v>
      </c>
      <c r="K3290" t="s">
        <v>31</v>
      </c>
      <c r="L3290">
        <v>574.46</v>
      </c>
      <c r="M3290">
        <f>VLOOKUP(K3290,RatingLookup!$A$2:$C$8,2,FALSE)</f>
        <v>0.04</v>
      </c>
      <c r="N3290">
        <f t="shared" si="153"/>
        <v>3.3960531989175591E-3</v>
      </c>
      <c r="O3290">
        <f>VLOOKUP(K3290,RatingLookup!$A$2:$C$8,3,FALSE)</f>
        <v>0.6</v>
      </c>
      <c r="P3290">
        <f t="shared" si="154"/>
        <v>1.1705380323901087</v>
      </c>
      <c r="Q3290" t="str">
        <f t="shared" ca="1" si="155"/>
        <v>No</v>
      </c>
    </row>
    <row r="3291" spans="1:17" x14ac:dyDescent="0.45">
      <c r="A3291" t="s">
        <v>144</v>
      </c>
      <c r="B3291" t="s">
        <v>145</v>
      </c>
      <c r="C3291" t="s">
        <v>29</v>
      </c>
      <c r="D3291" t="s">
        <v>20</v>
      </c>
      <c r="E3291" t="s">
        <v>21</v>
      </c>
      <c r="F3291" s="1">
        <v>45323</v>
      </c>
      <c r="G3291">
        <v>6.02</v>
      </c>
      <c r="H3291">
        <v>81.574399999999997</v>
      </c>
      <c r="I3291">
        <v>21.01</v>
      </c>
      <c r="J3291">
        <v>92.33</v>
      </c>
      <c r="K3291" t="s">
        <v>31</v>
      </c>
      <c r="L3291">
        <v>620.86</v>
      </c>
      <c r="M3291">
        <f>VLOOKUP(K3291,RatingLookup!$A$2:$C$8,2,FALSE)</f>
        <v>0.04</v>
      </c>
      <c r="N3291">
        <f t="shared" si="153"/>
        <v>3.3960531989175591E-3</v>
      </c>
      <c r="O3291">
        <f>VLOOKUP(K3291,RatingLookup!$A$2:$C$8,3,FALSE)</f>
        <v>0.6</v>
      </c>
      <c r="P3291">
        <f t="shared" si="154"/>
        <v>1.2650841534479735</v>
      </c>
      <c r="Q3291" t="str">
        <f t="shared" ca="1" si="155"/>
        <v>No</v>
      </c>
    </row>
    <row r="3292" spans="1:17" x14ac:dyDescent="0.45">
      <c r="A3292" t="s">
        <v>144</v>
      </c>
      <c r="B3292" t="s">
        <v>145</v>
      </c>
      <c r="C3292" t="s">
        <v>29</v>
      </c>
      <c r="D3292" t="s">
        <v>20</v>
      </c>
      <c r="E3292" t="s">
        <v>21</v>
      </c>
      <c r="F3292" s="1">
        <v>45352</v>
      </c>
      <c r="G3292">
        <v>5.52</v>
      </c>
      <c r="H3292">
        <v>85.027699999999996</v>
      </c>
      <c r="I3292">
        <v>12.56</v>
      </c>
      <c r="J3292">
        <v>94.59</v>
      </c>
      <c r="K3292" t="s">
        <v>31</v>
      </c>
      <c r="L3292">
        <v>594.15</v>
      </c>
      <c r="M3292">
        <f>VLOOKUP(K3292,RatingLookup!$A$2:$C$8,2,FALSE)</f>
        <v>0.04</v>
      </c>
      <c r="N3292">
        <f t="shared" si="153"/>
        <v>3.3960531989175591E-3</v>
      </c>
      <c r="O3292">
        <f>VLOOKUP(K3292,RatingLookup!$A$2:$C$8,3,FALSE)</f>
        <v>0.6</v>
      </c>
      <c r="P3292">
        <f t="shared" si="154"/>
        <v>1.2106590048821204</v>
      </c>
      <c r="Q3292" t="str">
        <f t="shared" ca="1" si="155"/>
        <v>No</v>
      </c>
    </row>
    <row r="3293" spans="1:17" x14ac:dyDescent="0.45">
      <c r="A3293" t="s">
        <v>144</v>
      </c>
      <c r="B3293" t="s">
        <v>145</v>
      </c>
      <c r="C3293" t="s">
        <v>29</v>
      </c>
      <c r="D3293" t="s">
        <v>20</v>
      </c>
      <c r="E3293" t="s">
        <v>21</v>
      </c>
      <c r="F3293" s="1">
        <v>45383</v>
      </c>
      <c r="G3293">
        <v>5.61</v>
      </c>
      <c r="H3293">
        <v>82.236099999999993</v>
      </c>
      <c r="I3293">
        <v>22.66</v>
      </c>
      <c r="J3293">
        <v>90.64</v>
      </c>
      <c r="K3293" t="s">
        <v>31</v>
      </c>
      <c r="L3293">
        <v>569.54</v>
      </c>
      <c r="M3293">
        <f>VLOOKUP(K3293,RatingLookup!$A$2:$C$8,2,FALSE)</f>
        <v>0.04</v>
      </c>
      <c r="N3293">
        <f t="shared" si="153"/>
        <v>3.3960531989175591E-3</v>
      </c>
      <c r="O3293">
        <f>VLOOKUP(K3293,RatingLookup!$A$2:$C$8,3,FALSE)</f>
        <v>0.6</v>
      </c>
      <c r="P3293">
        <f t="shared" si="154"/>
        <v>1.1605128833469038</v>
      </c>
      <c r="Q3293" t="str">
        <f t="shared" ca="1" si="155"/>
        <v>No</v>
      </c>
    </row>
    <row r="3294" spans="1:17" x14ac:dyDescent="0.45">
      <c r="A3294" t="s">
        <v>144</v>
      </c>
      <c r="B3294" t="s">
        <v>145</v>
      </c>
      <c r="C3294" t="s">
        <v>29</v>
      </c>
      <c r="D3294" t="s">
        <v>20</v>
      </c>
      <c r="E3294" t="s">
        <v>21</v>
      </c>
      <c r="F3294" s="1">
        <v>45413</v>
      </c>
      <c r="G3294">
        <v>5.76</v>
      </c>
      <c r="H3294">
        <v>82.311099999999996</v>
      </c>
      <c r="I3294">
        <v>16.45</v>
      </c>
      <c r="J3294">
        <v>89.06</v>
      </c>
      <c r="K3294" t="s">
        <v>31</v>
      </c>
      <c r="L3294">
        <v>613.6</v>
      </c>
      <c r="M3294">
        <f>VLOOKUP(K3294,RatingLookup!$A$2:$C$8,2,FALSE)</f>
        <v>0.04</v>
      </c>
      <c r="N3294">
        <f t="shared" si="153"/>
        <v>3.3960531989175591E-3</v>
      </c>
      <c r="O3294">
        <f>VLOOKUP(K3294,RatingLookup!$A$2:$C$8,3,FALSE)</f>
        <v>0.6</v>
      </c>
      <c r="P3294">
        <f t="shared" si="154"/>
        <v>1.2502909457134888</v>
      </c>
      <c r="Q3294" t="str">
        <f t="shared" ca="1" si="155"/>
        <v>No</v>
      </c>
    </row>
    <row r="3295" spans="1:17" x14ac:dyDescent="0.45">
      <c r="A3295" t="s">
        <v>144</v>
      </c>
      <c r="B3295" t="s">
        <v>145</v>
      </c>
      <c r="C3295" t="s">
        <v>29</v>
      </c>
      <c r="D3295" t="s">
        <v>20</v>
      </c>
      <c r="E3295" t="s">
        <v>21</v>
      </c>
      <c r="F3295" s="1">
        <v>45444</v>
      </c>
      <c r="G3295">
        <v>5.63</v>
      </c>
      <c r="H3295">
        <v>85.056100000000001</v>
      </c>
      <c r="I3295">
        <v>21.3</v>
      </c>
      <c r="J3295">
        <v>65.75</v>
      </c>
      <c r="K3295" t="s">
        <v>31</v>
      </c>
      <c r="L3295">
        <v>633.79</v>
      </c>
      <c r="M3295">
        <f>VLOOKUP(K3295,RatingLookup!$A$2:$C$8,2,FALSE)</f>
        <v>0.04</v>
      </c>
      <c r="N3295">
        <f t="shared" si="153"/>
        <v>3.3960531989175591E-3</v>
      </c>
      <c r="O3295">
        <f>VLOOKUP(K3295,RatingLookup!$A$2:$C$8,3,FALSE)</f>
        <v>0.6</v>
      </c>
      <c r="P3295">
        <f t="shared" si="154"/>
        <v>1.2914307341651758</v>
      </c>
      <c r="Q3295" t="str">
        <f t="shared" ca="1" si="155"/>
        <v>No</v>
      </c>
    </row>
    <row r="3296" spans="1:17" x14ac:dyDescent="0.45">
      <c r="A3296" t="s">
        <v>144</v>
      </c>
      <c r="B3296" t="s">
        <v>145</v>
      </c>
      <c r="C3296" t="s">
        <v>29</v>
      </c>
      <c r="D3296" t="s">
        <v>20</v>
      </c>
      <c r="E3296" t="s">
        <v>21</v>
      </c>
      <c r="F3296" s="1">
        <v>45474</v>
      </c>
      <c r="G3296">
        <v>5.32</v>
      </c>
      <c r="H3296">
        <v>84.986500000000007</v>
      </c>
      <c r="I3296">
        <v>14.69</v>
      </c>
      <c r="J3296">
        <v>66.95</v>
      </c>
      <c r="K3296" t="s">
        <v>31</v>
      </c>
      <c r="L3296">
        <v>597.19000000000005</v>
      </c>
      <c r="M3296">
        <f>VLOOKUP(K3296,RatingLookup!$A$2:$C$8,2,FALSE)</f>
        <v>0.04</v>
      </c>
      <c r="N3296">
        <f t="shared" si="153"/>
        <v>3.3960531989175591E-3</v>
      </c>
      <c r="O3296">
        <f>VLOOKUP(K3296,RatingLookup!$A$2:$C$8,3,FALSE)</f>
        <v>0.6</v>
      </c>
      <c r="P3296">
        <f t="shared" si="154"/>
        <v>1.2168534059169465</v>
      </c>
      <c r="Q3296" t="str">
        <f t="shared" ca="1" si="155"/>
        <v>No</v>
      </c>
    </row>
    <row r="3297" spans="1:17" x14ac:dyDescent="0.45">
      <c r="A3297" t="s">
        <v>144</v>
      </c>
      <c r="B3297" t="s">
        <v>145</v>
      </c>
      <c r="C3297" t="s">
        <v>29</v>
      </c>
      <c r="D3297" t="s">
        <v>20</v>
      </c>
      <c r="E3297" t="s">
        <v>21</v>
      </c>
      <c r="F3297" s="1">
        <v>45505</v>
      </c>
      <c r="G3297">
        <v>5.91</v>
      </c>
      <c r="H3297">
        <v>80.579700000000003</v>
      </c>
      <c r="I3297">
        <v>19.54</v>
      </c>
      <c r="J3297">
        <v>77.28</v>
      </c>
      <c r="K3297" t="s">
        <v>31</v>
      </c>
      <c r="L3297">
        <v>548.17999999999995</v>
      </c>
      <c r="M3297">
        <f>VLOOKUP(K3297,RatingLookup!$A$2:$C$8,2,FALSE)</f>
        <v>0.04</v>
      </c>
      <c r="N3297">
        <f t="shared" si="153"/>
        <v>3.3960531989175591E-3</v>
      </c>
      <c r="O3297">
        <f>VLOOKUP(K3297,RatingLookup!$A$2:$C$8,3,FALSE)</f>
        <v>0.6</v>
      </c>
      <c r="P3297">
        <f t="shared" si="154"/>
        <v>1.1169890655495764</v>
      </c>
      <c r="Q3297" t="str">
        <f t="shared" ca="1" si="155"/>
        <v>No</v>
      </c>
    </row>
    <row r="3298" spans="1:17" x14ac:dyDescent="0.45">
      <c r="A3298" t="s">
        <v>144</v>
      </c>
      <c r="B3298" t="s">
        <v>145</v>
      </c>
      <c r="C3298" t="s">
        <v>29</v>
      </c>
      <c r="D3298" t="s">
        <v>20</v>
      </c>
      <c r="E3298" t="s">
        <v>21</v>
      </c>
      <c r="F3298" s="1">
        <v>45536</v>
      </c>
      <c r="G3298">
        <v>6.01</v>
      </c>
      <c r="H3298">
        <v>83.921099999999996</v>
      </c>
      <c r="I3298">
        <v>18.309999999999999</v>
      </c>
      <c r="J3298">
        <v>82.33</v>
      </c>
      <c r="K3298" t="s">
        <v>31</v>
      </c>
      <c r="L3298">
        <v>593.32000000000005</v>
      </c>
      <c r="M3298">
        <f>VLOOKUP(K3298,RatingLookup!$A$2:$C$8,2,FALSE)</f>
        <v>0.04</v>
      </c>
      <c r="N3298">
        <f t="shared" si="153"/>
        <v>3.3960531989175591E-3</v>
      </c>
      <c r="O3298">
        <f>VLOOKUP(K3298,RatingLookup!$A$2:$C$8,3,FALSE)</f>
        <v>0.6</v>
      </c>
      <c r="P3298">
        <f t="shared" si="154"/>
        <v>1.2089677703890598</v>
      </c>
      <c r="Q3298" t="str">
        <f t="shared" ca="1" si="155"/>
        <v>No</v>
      </c>
    </row>
    <row r="3299" spans="1:17" x14ac:dyDescent="0.45">
      <c r="A3299" t="s">
        <v>144</v>
      </c>
      <c r="B3299" t="s">
        <v>145</v>
      </c>
      <c r="C3299" t="s">
        <v>29</v>
      </c>
      <c r="D3299" t="s">
        <v>20</v>
      </c>
      <c r="E3299" t="s">
        <v>21</v>
      </c>
      <c r="F3299" s="1">
        <v>45566</v>
      </c>
      <c r="G3299">
        <v>5.12</v>
      </c>
      <c r="H3299">
        <v>84.790499999999994</v>
      </c>
      <c r="I3299">
        <v>16.579999999999998</v>
      </c>
      <c r="J3299">
        <v>86.55</v>
      </c>
      <c r="K3299" t="s">
        <v>31</v>
      </c>
      <c r="L3299">
        <v>589.59</v>
      </c>
      <c r="M3299">
        <f>VLOOKUP(K3299,RatingLookup!$A$2:$C$8,2,FALSE)</f>
        <v>0.04</v>
      </c>
      <c r="N3299">
        <f t="shared" si="153"/>
        <v>3.3960531989175591E-3</v>
      </c>
      <c r="O3299">
        <f>VLOOKUP(K3299,RatingLookup!$A$2:$C$8,3,FALSE)</f>
        <v>0.6</v>
      </c>
      <c r="P3299">
        <f t="shared" si="154"/>
        <v>1.2013674033298822</v>
      </c>
      <c r="Q3299" t="str">
        <f t="shared" ca="1" si="155"/>
        <v>No</v>
      </c>
    </row>
    <row r="3300" spans="1:17" x14ac:dyDescent="0.45">
      <c r="A3300" t="s">
        <v>144</v>
      </c>
      <c r="B3300" t="s">
        <v>145</v>
      </c>
      <c r="C3300" t="s">
        <v>29</v>
      </c>
      <c r="D3300" t="s">
        <v>20</v>
      </c>
      <c r="E3300" t="s">
        <v>21</v>
      </c>
      <c r="F3300" s="1">
        <v>45597</v>
      </c>
      <c r="G3300">
        <v>5.76</v>
      </c>
      <c r="H3300">
        <v>82.158199999999994</v>
      </c>
      <c r="I3300">
        <v>18.329999999999998</v>
      </c>
      <c r="J3300">
        <v>93.97</v>
      </c>
      <c r="K3300" t="s">
        <v>31</v>
      </c>
      <c r="L3300">
        <v>548.47</v>
      </c>
      <c r="M3300">
        <f>VLOOKUP(K3300,RatingLookup!$A$2:$C$8,2,FALSE)</f>
        <v>0.04</v>
      </c>
      <c r="N3300">
        <f t="shared" si="153"/>
        <v>3.3960531989175591E-3</v>
      </c>
      <c r="O3300">
        <f>VLOOKUP(K3300,RatingLookup!$A$2:$C$8,3,FALSE)</f>
        <v>0.6</v>
      </c>
      <c r="P3300">
        <f t="shared" si="154"/>
        <v>1.1175799788061882</v>
      </c>
      <c r="Q3300" t="str">
        <f t="shared" ca="1" si="155"/>
        <v>No</v>
      </c>
    </row>
    <row r="3301" spans="1:17" x14ac:dyDescent="0.45">
      <c r="A3301" t="s">
        <v>144</v>
      </c>
      <c r="B3301" t="s">
        <v>145</v>
      </c>
      <c r="C3301" t="s">
        <v>29</v>
      </c>
      <c r="D3301" t="s">
        <v>20</v>
      </c>
      <c r="E3301" t="s">
        <v>21</v>
      </c>
      <c r="F3301" s="1">
        <v>45627</v>
      </c>
      <c r="G3301">
        <v>6.11</v>
      </c>
      <c r="H3301">
        <v>82.423100000000005</v>
      </c>
      <c r="I3301">
        <v>19.25</v>
      </c>
      <c r="J3301">
        <v>90.18</v>
      </c>
      <c r="K3301" t="s">
        <v>31</v>
      </c>
      <c r="L3301">
        <v>601.29</v>
      </c>
      <c r="M3301">
        <f>VLOOKUP(K3301,RatingLookup!$A$2:$C$8,2,FALSE)</f>
        <v>0.04</v>
      </c>
      <c r="N3301">
        <f t="shared" si="153"/>
        <v>3.3960531989175591E-3</v>
      </c>
      <c r="O3301">
        <f>VLOOKUP(K3301,RatingLookup!$A$2:$C$8,3,FALSE)</f>
        <v>0.6</v>
      </c>
      <c r="P3301">
        <f t="shared" si="154"/>
        <v>1.2252076967862833</v>
      </c>
      <c r="Q3301" t="str">
        <f t="shared" ca="1" si="155"/>
        <v>No</v>
      </c>
    </row>
    <row r="3302" spans="1:17" x14ac:dyDescent="0.45">
      <c r="A3302" t="s">
        <v>146</v>
      </c>
      <c r="B3302" t="s">
        <v>147</v>
      </c>
      <c r="C3302" t="s">
        <v>26</v>
      </c>
      <c r="D3302" t="s">
        <v>20</v>
      </c>
      <c r="E3302" t="s">
        <v>21</v>
      </c>
      <c r="F3302" s="1">
        <v>43831</v>
      </c>
      <c r="G3302">
        <v>5.71</v>
      </c>
      <c r="H3302">
        <v>82.846500000000006</v>
      </c>
      <c r="I3302">
        <v>11.54</v>
      </c>
      <c r="J3302">
        <v>72.5</v>
      </c>
      <c r="K3302" t="s">
        <v>22</v>
      </c>
      <c r="L3302">
        <v>514.04999999999995</v>
      </c>
      <c r="M3302">
        <f>VLOOKUP(K3302,RatingLookup!$A$2:$C$8,2,FALSE)</f>
        <v>5.0000000000000001E-3</v>
      </c>
      <c r="N3302">
        <f t="shared" si="153"/>
        <v>4.1762458919303302E-4</v>
      </c>
      <c r="O3302">
        <f>VLOOKUP(K3302,RatingLookup!$A$2:$C$8,3,FALSE)</f>
        <v>0.45</v>
      </c>
      <c r="P3302">
        <f t="shared" si="154"/>
        <v>9.6605964033605385E-2</v>
      </c>
      <c r="Q3302" t="str">
        <f t="shared" ca="1" si="155"/>
        <v>No</v>
      </c>
    </row>
    <row r="3303" spans="1:17" x14ac:dyDescent="0.45">
      <c r="A3303" t="s">
        <v>146</v>
      </c>
      <c r="B3303" t="s">
        <v>147</v>
      </c>
      <c r="C3303" t="s">
        <v>26</v>
      </c>
      <c r="D3303" t="s">
        <v>20</v>
      </c>
      <c r="E3303" t="s">
        <v>21</v>
      </c>
      <c r="F3303" s="1">
        <v>43862</v>
      </c>
      <c r="G3303">
        <v>5.82</v>
      </c>
      <c r="H3303">
        <v>86.042100000000005</v>
      </c>
      <c r="I3303">
        <v>5</v>
      </c>
      <c r="J3303">
        <v>73.400000000000006</v>
      </c>
      <c r="K3303" t="s">
        <v>22</v>
      </c>
      <c r="L3303">
        <v>473.52</v>
      </c>
      <c r="M3303">
        <f>VLOOKUP(K3303,RatingLookup!$A$2:$C$8,2,FALSE)</f>
        <v>5.0000000000000001E-3</v>
      </c>
      <c r="N3303">
        <f t="shared" si="153"/>
        <v>4.1762458919303302E-4</v>
      </c>
      <c r="O3303">
        <f>VLOOKUP(K3303,RatingLookup!$A$2:$C$8,3,FALSE)</f>
        <v>0.45</v>
      </c>
      <c r="P3303">
        <f t="shared" si="154"/>
        <v>8.8989117963608241E-2</v>
      </c>
      <c r="Q3303" t="str">
        <f t="shared" ca="1" si="155"/>
        <v>No</v>
      </c>
    </row>
    <row r="3304" spans="1:17" x14ac:dyDescent="0.45">
      <c r="A3304" t="s">
        <v>146</v>
      </c>
      <c r="B3304" t="s">
        <v>147</v>
      </c>
      <c r="C3304" t="s">
        <v>26</v>
      </c>
      <c r="D3304" t="s">
        <v>20</v>
      </c>
      <c r="E3304" t="s">
        <v>21</v>
      </c>
      <c r="F3304" s="1">
        <v>43891</v>
      </c>
      <c r="G3304">
        <v>5.19</v>
      </c>
      <c r="H3304">
        <v>84.355199999999996</v>
      </c>
      <c r="I3304">
        <v>26.21</v>
      </c>
      <c r="J3304">
        <v>79.22</v>
      </c>
      <c r="K3304" t="s">
        <v>22</v>
      </c>
      <c r="L3304">
        <v>510.9</v>
      </c>
      <c r="M3304">
        <f>VLOOKUP(K3304,RatingLookup!$A$2:$C$8,2,FALSE)</f>
        <v>5.0000000000000001E-3</v>
      </c>
      <c r="N3304">
        <f t="shared" si="153"/>
        <v>4.1762458919303302E-4</v>
      </c>
      <c r="O3304">
        <f>VLOOKUP(K3304,RatingLookup!$A$2:$C$8,3,FALSE)</f>
        <v>0.45</v>
      </c>
      <c r="P3304">
        <f t="shared" si="154"/>
        <v>9.6013981178424246E-2</v>
      </c>
      <c r="Q3304" t="str">
        <f t="shared" ca="1" si="155"/>
        <v>No</v>
      </c>
    </row>
    <row r="3305" spans="1:17" x14ac:dyDescent="0.45">
      <c r="A3305" t="s">
        <v>146</v>
      </c>
      <c r="B3305" t="s">
        <v>147</v>
      </c>
      <c r="C3305" t="s">
        <v>26</v>
      </c>
      <c r="D3305" t="s">
        <v>20</v>
      </c>
      <c r="E3305" t="s">
        <v>21</v>
      </c>
      <c r="F3305" s="1">
        <v>43922</v>
      </c>
      <c r="G3305">
        <v>5.82</v>
      </c>
      <c r="H3305">
        <v>84.830399999999997</v>
      </c>
      <c r="I3305">
        <v>10.33</v>
      </c>
      <c r="J3305">
        <v>60.12</v>
      </c>
      <c r="K3305" t="s">
        <v>22</v>
      </c>
      <c r="L3305">
        <v>494.1</v>
      </c>
      <c r="M3305">
        <f>VLOOKUP(K3305,RatingLookup!$A$2:$C$8,2,FALSE)</f>
        <v>5.0000000000000001E-3</v>
      </c>
      <c r="N3305">
        <f t="shared" si="153"/>
        <v>4.1762458919303302E-4</v>
      </c>
      <c r="O3305">
        <f>VLOOKUP(K3305,RatingLookup!$A$2:$C$8,3,FALSE)</f>
        <v>0.45</v>
      </c>
      <c r="P3305">
        <f t="shared" si="154"/>
        <v>9.2856739284124939E-2</v>
      </c>
      <c r="Q3305" t="str">
        <f t="shared" ca="1" si="155"/>
        <v>No</v>
      </c>
    </row>
    <row r="3306" spans="1:17" x14ac:dyDescent="0.45">
      <c r="A3306" t="s">
        <v>146</v>
      </c>
      <c r="B3306" t="s">
        <v>147</v>
      </c>
      <c r="C3306" t="s">
        <v>26</v>
      </c>
      <c r="D3306" t="s">
        <v>20</v>
      </c>
      <c r="E3306" t="s">
        <v>21</v>
      </c>
      <c r="F3306" s="1">
        <v>43952</v>
      </c>
      <c r="G3306">
        <v>5.48</v>
      </c>
      <c r="H3306">
        <v>85.237499999999997</v>
      </c>
      <c r="I3306">
        <v>6.01</v>
      </c>
      <c r="J3306">
        <v>85.3</v>
      </c>
      <c r="K3306" t="s">
        <v>22</v>
      </c>
      <c r="L3306">
        <v>522.82000000000005</v>
      </c>
      <c r="M3306">
        <f>VLOOKUP(K3306,RatingLookup!$A$2:$C$8,2,FALSE)</f>
        <v>5.0000000000000001E-3</v>
      </c>
      <c r="N3306">
        <f t="shared" si="153"/>
        <v>4.1762458919303302E-4</v>
      </c>
      <c r="O3306">
        <f>VLOOKUP(K3306,RatingLookup!$A$2:$C$8,3,FALSE)</f>
        <v>0.45</v>
      </c>
      <c r="P3306">
        <f t="shared" si="154"/>
        <v>9.8254119474855697E-2</v>
      </c>
      <c r="Q3306" t="str">
        <f t="shared" ca="1" si="155"/>
        <v>No</v>
      </c>
    </row>
    <row r="3307" spans="1:17" x14ac:dyDescent="0.45">
      <c r="A3307" t="s">
        <v>146</v>
      </c>
      <c r="B3307" t="s">
        <v>147</v>
      </c>
      <c r="C3307" t="s">
        <v>26</v>
      </c>
      <c r="D3307" t="s">
        <v>20</v>
      </c>
      <c r="E3307" t="s">
        <v>21</v>
      </c>
      <c r="F3307" s="1">
        <v>43983</v>
      </c>
      <c r="G3307">
        <v>4.84</v>
      </c>
      <c r="H3307">
        <v>87.747299999999996</v>
      </c>
      <c r="I3307">
        <v>21.09</v>
      </c>
      <c r="J3307">
        <v>76.06</v>
      </c>
      <c r="K3307" t="s">
        <v>22</v>
      </c>
      <c r="L3307">
        <v>545.54</v>
      </c>
      <c r="M3307">
        <f>VLOOKUP(K3307,RatingLookup!$A$2:$C$8,2,FALSE)</f>
        <v>5.0000000000000001E-3</v>
      </c>
      <c r="N3307">
        <f t="shared" si="153"/>
        <v>4.1762458919303302E-4</v>
      </c>
      <c r="O3307">
        <f>VLOOKUP(K3307,RatingLookup!$A$2:$C$8,3,FALSE)</f>
        <v>0.45</v>
      </c>
      <c r="P3307">
        <f t="shared" si="154"/>
        <v>0.10252391327476525</v>
      </c>
      <c r="Q3307" t="str">
        <f t="shared" ca="1" si="155"/>
        <v>No</v>
      </c>
    </row>
    <row r="3308" spans="1:17" x14ac:dyDescent="0.45">
      <c r="A3308" t="s">
        <v>146</v>
      </c>
      <c r="B3308" t="s">
        <v>147</v>
      </c>
      <c r="C3308" t="s">
        <v>26</v>
      </c>
      <c r="D3308" t="s">
        <v>20</v>
      </c>
      <c r="E3308" t="s">
        <v>21</v>
      </c>
      <c r="F3308" s="1">
        <v>44013</v>
      </c>
      <c r="G3308">
        <v>6.06</v>
      </c>
      <c r="H3308">
        <v>85.561999999999998</v>
      </c>
      <c r="I3308">
        <v>25.34</v>
      </c>
      <c r="J3308">
        <v>84.69</v>
      </c>
      <c r="K3308" t="s">
        <v>22</v>
      </c>
      <c r="L3308">
        <v>519.11</v>
      </c>
      <c r="M3308">
        <f>VLOOKUP(K3308,RatingLookup!$A$2:$C$8,2,FALSE)</f>
        <v>5.0000000000000001E-3</v>
      </c>
      <c r="N3308">
        <f t="shared" si="153"/>
        <v>4.1762458919303302E-4</v>
      </c>
      <c r="O3308">
        <f>VLOOKUP(K3308,RatingLookup!$A$2:$C$8,3,FALSE)</f>
        <v>0.45</v>
      </c>
      <c r="P3308">
        <f t="shared" si="154"/>
        <v>9.7556895223197923E-2</v>
      </c>
      <c r="Q3308" t="str">
        <f t="shared" ca="1" si="155"/>
        <v>No</v>
      </c>
    </row>
    <row r="3309" spans="1:17" x14ac:dyDescent="0.45">
      <c r="A3309" t="s">
        <v>146</v>
      </c>
      <c r="B3309" t="s">
        <v>147</v>
      </c>
      <c r="C3309" t="s">
        <v>26</v>
      </c>
      <c r="D3309" t="s">
        <v>20</v>
      </c>
      <c r="E3309" t="s">
        <v>21</v>
      </c>
      <c r="F3309" s="1">
        <v>44044</v>
      </c>
      <c r="G3309">
        <v>6.25</v>
      </c>
      <c r="H3309">
        <v>81.199600000000004</v>
      </c>
      <c r="I3309">
        <v>22.18</v>
      </c>
      <c r="J3309">
        <v>88.5</v>
      </c>
      <c r="K3309" t="s">
        <v>22</v>
      </c>
      <c r="L3309">
        <v>520.05999999999995</v>
      </c>
      <c r="M3309">
        <f>VLOOKUP(K3309,RatingLookup!$A$2:$C$8,2,FALSE)</f>
        <v>5.0000000000000001E-3</v>
      </c>
      <c r="N3309">
        <f t="shared" si="153"/>
        <v>4.1762458919303302E-4</v>
      </c>
      <c r="O3309">
        <f>VLOOKUP(K3309,RatingLookup!$A$2:$C$8,3,FALSE)</f>
        <v>0.45</v>
      </c>
      <c r="P3309">
        <f t="shared" si="154"/>
        <v>9.7735429735077928E-2</v>
      </c>
      <c r="Q3309" t="str">
        <f t="shared" ca="1" si="155"/>
        <v>No</v>
      </c>
    </row>
    <row r="3310" spans="1:17" x14ac:dyDescent="0.45">
      <c r="A3310" t="s">
        <v>146</v>
      </c>
      <c r="B3310" t="s">
        <v>147</v>
      </c>
      <c r="C3310" t="s">
        <v>26</v>
      </c>
      <c r="D3310" t="s">
        <v>20</v>
      </c>
      <c r="E3310" t="s">
        <v>21</v>
      </c>
      <c r="F3310" s="1">
        <v>44075</v>
      </c>
      <c r="G3310">
        <v>6.12</v>
      </c>
      <c r="H3310">
        <v>86.071200000000005</v>
      </c>
      <c r="I3310">
        <v>23.52</v>
      </c>
      <c r="J3310">
        <v>84.97</v>
      </c>
      <c r="K3310" t="s">
        <v>22</v>
      </c>
      <c r="L3310">
        <v>513.30999999999995</v>
      </c>
      <c r="M3310">
        <f>VLOOKUP(K3310,RatingLookup!$A$2:$C$8,2,FALSE)</f>
        <v>5.0000000000000001E-3</v>
      </c>
      <c r="N3310">
        <f t="shared" si="153"/>
        <v>4.1762458919303302E-4</v>
      </c>
      <c r="O3310">
        <f>VLOOKUP(K3310,RatingLookup!$A$2:$C$8,3,FALSE)</f>
        <v>0.45</v>
      </c>
      <c r="P3310">
        <f t="shared" si="154"/>
        <v>9.6466895045404094E-2</v>
      </c>
      <c r="Q3310" t="str">
        <f t="shared" ca="1" si="155"/>
        <v>No</v>
      </c>
    </row>
    <row r="3311" spans="1:17" x14ac:dyDescent="0.45">
      <c r="A3311" t="s">
        <v>146</v>
      </c>
      <c r="B3311" t="s">
        <v>147</v>
      </c>
      <c r="C3311" t="s">
        <v>26</v>
      </c>
      <c r="D3311" t="s">
        <v>20</v>
      </c>
      <c r="E3311" t="s">
        <v>21</v>
      </c>
      <c r="F3311" s="1">
        <v>44105</v>
      </c>
      <c r="G3311">
        <v>5.94</v>
      </c>
      <c r="H3311">
        <v>79.135000000000005</v>
      </c>
      <c r="I3311">
        <v>19.02</v>
      </c>
      <c r="J3311">
        <v>85.27</v>
      </c>
      <c r="K3311" t="s">
        <v>22</v>
      </c>
      <c r="L3311">
        <v>539.16</v>
      </c>
      <c r="M3311">
        <f>VLOOKUP(K3311,RatingLookup!$A$2:$C$8,2,FALSE)</f>
        <v>5.0000000000000001E-3</v>
      </c>
      <c r="N3311">
        <f t="shared" si="153"/>
        <v>4.1762458919303302E-4</v>
      </c>
      <c r="O3311">
        <f>VLOOKUP(K3311,RatingLookup!$A$2:$C$8,3,FALSE)</f>
        <v>0.45</v>
      </c>
      <c r="P3311">
        <f t="shared" si="154"/>
        <v>0.10132491307919206</v>
      </c>
      <c r="Q3311" t="str">
        <f t="shared" ca="1" si="155"/>
        <v>No</v>
      </c>
    </row>
    <row r="3312" spans="1:17" x14ac:dyDescent="0.45">
      <c r="A3312" t="s">
        <v>146</v>
      </c>
      <c r="B3312" t="s">
        <v>147</v>
      </c>
      <c r="C3312" t="s">
        <v>26</v>
      </c>
      <c r="D3312" t="s">
        <v>20</v>
      </c>
      <c r="E3312" t="s">
        <v>21</v>
      </c>
      <c r="F3312" s="1">
        <v>44136</v>
      </c>
      <c r="G3312">
        <v>4.59</v>
      </c>
      <c r="H3312">
        <v>85.772499999999994</v>
      </c>
      <c r="I3312">
        <v>9.75</v>
      </c>
      <c r="J3312">
        <v>79.17</v>
      </c>
      <c r="K3312" t="s">
        <v>22</v>
      </c>
      <c r="L3312">
        <v>573.48</v>
      </c>
      <c r="M3312">
        <f>VLOOKUP(K3312,RatingLookup!$A$2:$C$8,2,FALSE)</f>
        <v>5.0000000000000001E-3</v>
      </c>
      <c r="N3312">
        <f t="shared" si="153"/>
        <v>4.1762458919303302E-4</v>
      </c>
      <c r="O3312">
        <f>VLOOKUP(K3312,RatingLookup!$A$2:$C$8,3,FALSE)</f>
        <v>0.45</v>
      </c>
      <c r="P3312">
        <f t="shared" si="154"/>
        <v>0.10777470723468927</v>
      </c>
      <c r="Q3312" t="str">
        <f t="shared" ca="1" si="155"/>
        <v>No</v>
      </c>
    </row>
    <row r="3313" spans="1:17" x14ac:dyDescent="0.45">
      <c r="A3313" t="s">
        <v>146</v>
      </c>
      <c r="B3313" t="s">
        <v>147</v>
      </c>
      <c r="C3313" t="s">
        <v>26</v>
      </c>
      <c r="D3313" t="s">
        <v>20</v>
      </c>
      <c r="E3313" t="s">
        <v>21</v>
      </c>
      <c r="F3313" s="1">
        <v>44166</v>
      </c>
      <c r="G3313">
        <v>5.63</v>
      </c>
      <c r="H3313">
        <v>82.647000000000006</v>
      </c>
      <c r="I3313">
        <v>16.89</v>
      </c>
      <c r="J3313">
        <v>92.54</v>
      </c>
      <c r="K3313" t="s">
        <v>22</v>
      </c>
      <c r="L3313">
        <v>525.98</v>
      </c>
      <c r="M3313">
        <f>VLOOKUP(K3313,RatingLookup!$A$2:$C$8,2,FALSE)</f>
        <v>5.0000000000000001E-3</v>
      </c>
      <c r="N3313">
        <f t="shared" si="153"/>
        <v>4.1762458919303302E-4</v>
      </c>
      <c r="O3313">
        <f>VLOOKUP(K3313,RatingLookup!$A$2:$C$8,3,FALSE)</f>
        <v>0.45</v>
      </c>
      <c r="P3313">
        <f t="shared" si="154"/>
        <v>9.8847981640688184E-2</v>
      </c>
      <c r="Q3313" t="str">
        <f t="shared" ca="1" si="155"/>
        <v>No</v>
      </c>
    </row>
    <row r="3314" spans="1:17" x14ac:dyDescent="0.45">
      <c r="A3314" t="s">
        <v>146</v>
      </c>
      <c r="B3314" t="s">
        <v>147</v>
      </c>
      <c r="C3314" t="s">
        <v>26</v>
      </c>
      <c r="D3314" t="s">
        <v>20</v>
      </c>
      <c r="E3314" t="s">
        <v>21</v>
      </c>
      <c r="F3314" s="1">
        <v>44197</v>
      </c>
      <c r="G3314">
        <v>5.99</v>
      </c>
      <c r="H3314">
        <v>78.386200000000002</v>
      </c>
      <c r="I3314">
        <v>14.76</v>
      </c>
      <c r="J3314">
        <v>83</v>
      </c>
      <c r="K3314" t="s">
        <v>30</v>
      </c>
      <c r="L3314">
        <v>494.42</v>
      </c>
      <c r="M3314">
        <f>VLOOKUP(K3314,RatingLookup!$A$2:$C$8,2,FALSE)</f>
        <v>1.4999999999999999E-2</v>
      </c>
      <c r="N3314">
        <f t="shared" si="153"/>
        <v>1.2586770182638762E-3</v>
      </c>
      <c r="O3314">
        <f>VLOOKUP(K3314,RatingLookup!$A$2:$C$8,3,FALSE)</f>
        <v>0.5</v>
      </c>
      <c r="P3314">
        <f t="shared" si="154"/>
        <v>0.31115754568501286</v>
      </c>
      <c r="Q3314" t="str">
        <f t="shared" ca="1" si="155"/>
        <v>No</v>
      </c>
    </row>
    <row r="3315" spans="1:17" x14ac:dyDescent="0.45">
      <c r="A3315" t="s">
        <v>146</v>
      </c>
      <c r="B3315" t="s">
        <v>147</v>
      </c>
      <c r="C3315" t="s">
        <v>26</v>
      </c>
      <c r="D3315" t="s">
        <v>20</v>
      </c>
      <c r="E3315" t="s">
        <v>21</v>
      </c>
      <c r="F3315" s="1">
        <v>44228</v>
      </c>
      <c r="G3315">
        <v>4.5199999999999996</v>
      </c>
      <c r="H3315">
        <v>82.288300000000007</v>
      </c>
      <c r="I3315">
        <v>21.3</v>
      </c>
      <c r="J3315">
        <v>66.459999999999994</v>
      </c>
      <c r="K3315" t="s">
        <v>30</v>
      </c>
      <c r="L3315">
        <v>512.46</v>
      </c>
      <c r="M3315">
        <f>VLOOKUP(K3315,RatingLookup!$A$2:$C$8,2,FALSE)</f>
        <v>1.4999999999999999E-2</v>
      </c>
      <c r="N3315">
        <f t="shared" si="153"/>
        <v>1.2586770182638762E-3</v>
      </c>
      <c r="O3315">
        <f>VLOOKUP(K3315,RatingLookup!$A$2:$C$8,3,FALSE)</f>
        <v>0.5</v>
      </c>
      <c r="P3315">
        <f t="shared" si="154"/>
        <v>0.32251081238975304</v>
      </c>
      <c r="Q3315" t="str">
        <f t="shared" ca="1" si="155"/>
        <v>No</v>
      </c>
    </row>
    <row r="3316" spans="1:17" x14ac:dyDescent="0.45">
      <c r="A3316" t="s">
        <v>146</v>
      </c>
      <c r="B3316" t="s">
        <v>147</v>
      </c>
      <c r="C3316" t="s">
        <v>26</v>
      </c>
      <c r="D3316" t="s">
        <v>20</v>
      </c>
      <c r="E3316" t="s">
        <v>21</v>
      </c>
      <c r="F3316" s="1">
        <v>44256</v>
      </c>
      <c r="G3316">
        <v>6.34</v>
      </c>
      <c r="H3316">
        <v>83.3416</v>
      </c>
      <c r="I3316">
        <v>11.83</v>
      </c>
      <c r="J3316">
        <v>56.62</v>
      </c>
      <c r="K3316" t="s">
        <v>30</v>
      </c>
      <c r="L3316">
        <v>503.19</v>
      </c>
      <c r="M3316">
        <f>VLOOKUP(K3316,RatingLookup!$A$2:$C$8,2,FALSE)</f>
        <v>1.4999999999999999E-2</v>
      </c>
      <c r="N3316">
        <f t="shared" si="153"/>
        <v>1.2586770182638762E-3</v>
      </c>
      <c r="O3316">
        <f>VLOOKUP(K3316,RatingLookup!$A$2:$C$8,3,FALSE)</f>
        <v>0.5</v>
      </c>
      <c r="P3316">
        <f t="shared" si="154"/>
        <v>0.31667684441009997</v>
      </c>
      <c r="Q3316" t="str">
        <f t="shared" ca="1" si="155"/>
        <v>No</v>
      </c>
    </row>
    <row r="3317" spans="1:17" x14ac:dyDescent="0.45">
      <c r="A3317" t="s">
        <v>146</v>
      </c>
      <c r="B3317" t="s">
        <v>147</v>
      </c>
      <c r="C3317" t="s">
        <v>26</v>
      </c>
      <c r="D3317" t="s">
        <v>20</v>
      </c>
      <c r="E3317" t="s">
        <v>21</v>
      </c>
      <c r="F3317" s="1">
        <v>44287</v>
      </c>
      <c r="G3317">
        <v>4.87</v>
      </c>
      <c r="H3317">
        <v>83.978800000000007</v>
      </c>
      <c r="I3317">
        <v>17.760000000000002</v>
      </c>
      <c r="J3317">
        <v>71.95</v>
      </c>
      <c r="K3317" t="s">
        <v>30</v>
      </c>
      <c r="L3317">
        <v>550.54999999999995</v>
      </c>
      <c r="M3317">
        <f>VLOOKUP(K3317,RatingLookup!$A$2:$C$8,2,FALSE)</f>
        <v>1.4999999999999999E-2</v>
      </c>
      <c r="N3317">
        <f t="shared" si="153"/>
        <v>1.2586770182638762E-3</v>
      </c>
      <c r="O3317">
        <f>VLOOKUP(K3317,RatingLookup!$A$2:$C$8,3,FALSE)</f>
        <v>0.5</v>
      </c>
      <c r="P3317">
        <f t="shared" si="154"/>
        <v>0.34648231620258851</v>
      </c>
      <c r="Q3317" t="str">
        <f t="shared" ca="1" si="155"/>
        <v>No</v>
      </c>
    </row>
    <row r="3318" spans="1:17" x14ac:dyDescent="0.45">
      <c r="A3318" t="s">
        <v>146</v>
      </c>
      <c r="B3318" t="s">
        <v>147</v>
      </c>
      <c r="C3318" t="s">
        <v>26</v>
      </c>
      <c r="D3318" t="s">
        <v>20</v>
      </c>
      <c r="E3318" t="s">
        <v>21</v>
      </c>
      <c r="F3318" s="1">
        <v>44317</v>
      </c>
      <c r="G3318">
        <v>5.62</v>
      </c>
      <c r="H3318">
        <v>83.301400000000001</v>
      </c>
      <c r="I3318">
        <v>25.54</v>
      </c>
      <c r="J3318">
        <v>85.81</v>
      </c>
      <c r="K3318" t="s">
        <v>30</v>
      </c>
      <c r="L3318">
        <v>527.51</v>
      </c>
      <c r="M3318">
        <f>VLOOKUP(K3318,RatingLookup!$A$2:$C$8,2,FALSE)</f>
        <v>1.4999999999999999E-2</v>
      </c>
      <c r="N3318">
        <f t="shared" si="153"/>
        <v>1.2586770182638762E-3</v>
      </c>
      <c r="O3318">
        <f>VLOOKUP(K3318,RatingLookup!$A$2:$C$8,3,FALSE)</f>
        <v>0.5</v>
      </c>
      <c r="P3318">
        <f t="shared" si="154"/>
        <v>0.3319823569521887</v>
      </c>
      <c r="Q3318" t="str">
        <f t="shared" ca="1" si="155"/>
        <v>No</v>
      </c>
    </row>
    <row r="3319" spans="1:17" x14ac:dyDescent="0.45">
      <c r="A3319" t="s">
        <v>146</v>
      </c>
      <c r="B3319" t="s">
        <v>147</v>
      </c>
      <c r="C3319" t="s">
        <v>26</v>
      </c>
      <c r="D3319" t="s">
        <v>20</v>
      </c>
      <c r="E3319" t="s">
        <v>21</v>
      </c>
      <c r="F3319" s="1">
        <v>44348</v>
      </c>
      <c r="G3319">
        <v>5.37</v>
      </c>
      <c r="H3319">
        <v>86.075800000000001</v>
      </c>
      <c r="I3319">
        <v>17.940000000000001</v>
      </c>
      <c r="J3319">
        <v>71.5</v>
      </c>
      <c r="K3319" t="s">
        <v>30</v>
      </c>
      <c r="L3319">
        <v>578.63</v>
      </c>
      <c r="M3319">
        <f>VLOOKUP(K3319,RatingLookup!$A$2:$C$8,2,FALSE)</f>
        <v>1.4999999999999999E-2</v>
      </c>
      <c r="N3319">
        <f t="shared" si="153"/>
        <v>1.2586770182638762E-3</v>
      </c>
      <c r="O3319">
        <f>VLOOKUP(K3319,RatingLookup!$A$2:$C$8,3,FALSE)</f>
        <v>0.5</v>
      </c>
      <c r="P3319">
        <f t="shared" si="154"/>
        <v>0.36415414153901338</v>
      </c>
      <c r="Q3319" t="str">
        <f t="shared" ca="1" si="155"/>
        <v>No</v>
      </c>
    </row>
    <row r="3320" spans="1:17" x14ac:dyDescent="0.45">
      <c r="A3320" t="s">
        <v>146</v>
      </c>
      <c r="B3320" t="s">
        <v>147</v>
      </c>
      <c r="C3320" t="s">
        <v>26</v>
      </c>
      <c r="D3320" t="s">
        <v>20</v>
      </c>
      <c r="E3320" t="s">
        <v>21</v>
      </c>
      <c r="F3320" s="1">
        <v>44378</v>
      </c>
      <c r="G3320">
        <v>6.23</v>
      </c>
      <c r="H3320">
        <v>84.61</v>
      </c>
      <c r="I3320">
        <v>8.74</v>
      </c>
      <c r="J3320">
        <v>77.61</v>
      </c>
      <c r="K3320" t="s">
        <v>30</v>
      </c>
      <c r="L3320">
        <v>538.75</v>
      </c>
      <c r="M3320">
        <f>VLOOKUP(K3320,RatingLookup!$A$2:$C$8,2,FALSE)</f>
        <v>1.4999999999999999E-2</v>
      </c>
      <c r="N3320">
        <f t="shared" si="153"/>
        <v>1.2586770182638762E-3</v>
      </c>
      <c r="O3320">
        <f>VLOOKUP(K3320,RatingLookup!$A$2:$C$8,3,FALSE)</f>
        <v>0.5</v>
      </c>
      <c r="P3320">
        <f t="shared" si="154"/>
        <v>0.33905612179483169</v>
      </c>
      <c r="Q3320" t="str">
        <f t="shared" ca="1" si="155"/>
        <v>No</v>
      </c>
    </row>
    <row r="3321" spans="1:17" x14ac:dyDescent="0.45">
      <c r="A3321" t="s">
        <v>146</v>
      </c>
      <c r="B3321" t="s">
        <v>147</v>
      </c>
      <c r="C3321" t="s">
        <v>26</v>
      </c>
      <c r="D3321" t="s">
        <v>20</v>
      </c>
      <c r="E3321" t="s">
        <v>21</v>
      </c>
      <c r="F3321" s="1">
        <v>44409</v>
      </c>
      <c r="G3321">
        <v>5.76</v>
      </c>
      <c r="H3321">
        <v>83.274100000000004</v>
      </c>
      <c r="I3321">
        <v>23.63</v>
      </c>
      <c r="J3321">
        <v>69.42</v>
      </c>
      <c r="K3321" t="s">
        <v>30</v>
      </c>
      <c r="L3321">
        <v>553.69000000000005</v>
      </c>
      <c r="M3321">
        <f>VLOOKUP(K3321,RatingLookup!$A$2:$C$8,2,FALSE)</f>
        <v>1.4999999999999999E-2</v>
      </c>
      <c r="N3321">
        <f t="shared" si="153"/>
        <v>1.2586770182638762E-3</v>
      </c>
      <c r="O3321">
        <f>VLOOKUP(K3321,RatingLookup!$A$2:$C$8,3,FALSE)</f>
        <v>0.5</v>
      </c>
      <c r="P3321">
        <f t="shared" si="154"/>
        <v>0.34845843912126284</v>
      </c>
      <c r="Q3321" t="str">
        <f t="shared" ca="1" si="155"/>
        <v>No</v>
      </c>
    </row>
    <row r="3322" spans="1:17" x14ac:dyDescent="0.45">
      <c r="A3322" t="s">
        <v>146</v>
      </c>
      <c r="B3322" t="s">
        <v>147</v>
      </c>
      <c r="C3322" t="s">
        <v>26</v>
      </c>
      <c r="D3322" t="s">
        <v>20</v>
      </c>
      <c r="E3322" t="s">
        <v>21</v>
      </c>
      <c r="F3322" s="1">
        <v>44440</v>
      </c>
      <c r="G3322">
        <v>5.9</v>
      </c>
      <c r="H3322">
        <v>81.498699999999999</v>
      </c>
      <c r="I3322">
        <v>18.260000000000002</v>
      </c>
      <c r="J3322">
        <v>89.53</v>
      </c>
      <c r="K3322" t="s">
        <v>30</v>
      </c>
      <c r="L3322">
        <v>578.41999999999996</v>
      </c>
      <c r="M3322">
        <f>VLOOKUP(K3322,RatingLookup!$A$2:$C$8,2,FALSE)</f>
        <v>1.4999999999999999E-2</v>
      </c>
      <c r="N3322">
        <f t="shared" si="153"/>
        <v>1.2586770182638762E-3</v>
      </c>
      <c r="O3322">
        <f>VLOOKUP(K3322,RatingLookup!$A$2:$C$8,3,FALSE)</f>
        <v>0.5</v>
      </c>
      <c r="P3322">
        <f t="shared" si="154"/>
        <v>0.36402198045209561</v>
      </c>
      <c r="Q3322" t="str">
        <f t="shared" ca="1" si="155"/>
        <v>No</v>
      </c>
    </row>
    <row r="3323" spans="1:17" x14ac:dyDescent="0.45">
      <c r="A3323" t="s">
        <v>146</v>
      </c>
      <c r="B3323" t="s">
        <v>147</v>
      </c>
      <c r="C3323" t="s">
        <v>26</v>
      </c>
      <c r="D3323" t="s">
        <v>20</v>
      </c>
      <c r="E3323" t="s">
        <v>21</v>
      </c>
      <c r="F3323" s="1">
        <v>44470</v>
      </c>
      <c r="G3323">
        <v>5.15</v>
      </c>
      <c r="H3323">
        <v>78.200599999999994</v>
      </c>
      <c r="I3323">
        <v>17.96</v>
      </c>
      <c r="J3323">
        <v>87.73</v>
      </c>
      <c r="K3323" t="s">
        <v>30</v>
      </c>
      <c r="L3323">
        <v>586.29999999999995</v>
      </c>
      <c r="M3323">
        <f>VLOOKUP(K3323,RatingLookup!$A$2:$C$8,2,FALSE)</f>
        <v>1.4999999999999999E-2</v>
      </c>
      <c r="N3323">
        <f t="shared" si="153"/>
        <v>1.2586770182638762E-3</v>
      </c>
      <c r="O3323">
        <f>VLOOKUP(K3323,RatingLookup!$A$2:$C$8,3,FALSE)</f>
        <v>0.5</v>
      </c>
      <c r="P3323">
        <f t="shared" si="154"/>
        <v>0.36898116790405527</v>
      </c>
      <c r="Q3323" t="str">
        <f t="shared" ca="1" si="155"/>
        <v>No</v>
      </c>
    </row>
    <row r="3324" spans="1:17" x14ac:dyDescent="0.45">
      <c r="A3324" t="s">
        <v>146</v>
      </c>
      <c r="B3324" t="s">
        <v>147</v>
      </c>
      <c r="C3324" t="s">
        <v>26</v>
      </c>
      <c r="D3324" t="s">
        <v>20</v>
      </c>
      <c r="E3324" t="s">
        <v>21</v>
      </c>
      <c r="F3324" s="1">
        <v>44501</v>
      </c>
      <c r="G3324">
        <v>5.78</v>
      </c>
      <c r="H3324">
        <v>84.37</v>
      </c>
      <c r="I3324">
        <v>18.52</v>
      </c>
      <c r="J3324">
        <v>59.5</v>
      </c>
      <c r="K3324" t="s">
        <v>30</v>
      </c>
      <c r="L3324">
        <v>537.85</v>
      </c>
      <c r="M3324">
        <f>VLOOKUP(K3324,RatingLookup!$A$2:$C$8,2,FALSE)</f>
        <v>1.4999999999999999E-2</v>
      </c>
      <c r="N3324">
        <f t="shared" si="153"/>
        <v>1.2586770182638762E-3</v>
      </c>
      <c r="O3324">
        <f>VLOOKUP(K3324,RatingLookup!$A$2:$C$8,3,FALSE)</f>
        <v>0.5</v>
      </c>
      <c r="P3324">
        <f t="shared" si="154"/>
        <v>0.33848971713661291</v>
      </c>
      <c r="Q3324" t="str">
        <f t="shared" ca="1" si="155"/>
        <v>No</v>
      </c>
    </row>
    <row r="3325" spans="1:17" x14ac:dyDescent="0.45">
      <c r="A3325" t="s">
        <v>146</v>
      </c>
      <c r="B3325" t="s">
        <v>147</v>
      </c>
      <c r="C3325" t="s">
        <v>26</v>
      </c>
      <c r="D3325" t="s">
        <v>20</v>
      </c>
      <c r="E3325" t="s">
        <v>21</v>
      </c>
      <c r="F3325" s="1">
        <v>44531</v>
      </c>
      <c r="G3325">
        <v>4.95</v>
      </c>
      <c r="H3325">
        <v>79.875200000000007</v>
      </c>
      <c r="I3325">
        <v>23.16</v>
      </c>
      <c r="J3325">
        <v>75.59</v>
      </c>
      <c r="K3325" t="s">
        <v>30</v>
      </c>
      <c r="L3325">
        <v>562.58000000000004</v>
      </c>
      <c r="M3325">
        <f>VLOOKUP(K3325,RatingLookup!$A$2:$C$8,2,FALSE)</f>
        <v>1.4999999999999999E-2</v>
      </c>
      <c r="N3325">
        <f t="shared" si="153"/>
        <v>1.2586770182638762E-3</v>
      </c>
      <c r="O3325">
        <f>VLOOKUP(K3325,RatingLookup!$A$2:$C$8,3,FALSE)</f>
        <v>0.5</v>
      </c>
      <c r="P3325">
        <f t="shared" si="154"/>
        <v>0.35405325846744579</v>
      </c>
      <c r="Q3325" t="str">
        <f t="shared" ca="1" si="155"/>
        <v>No</v>
      </c>
    </row>
    <row r="3326" spans="1:17" x14ac:dyDescent="0.45">
      <c r="A3326" t="s">
        <v>146</v>
      </c>
      <c r="B3326" t="s">
        <v>147</v>
      </c>
      <c r="C3326" t="s">
        <v>26</v>
      </c>
      <c r="D3326" t="s">
        <v>20</v>
      </c>
      <c r="E3326" t="s">
        <v>21</v>
      </c>
      <c r="F3326" s="1">
        <v>44562</v>
      </c>
      <c r="G3326">
        <v>6.46</v>
      </c>
      <c r="H3326">
        <v>86.946299999999994</v>
      </c>
      <c r="I3326">
        <v>7.82</v>
      </c>
      <c r="J3326">
        <v>84.33</v>
      </c>
      <c r="K3326" t="s">
        <v>30</v>
      </c>
      <c r="L3326">
        <v>610.74</v>
      </c>
      <c r="M3326">
        <f>VLOOKUP(K3326,RatingLookup!$A$2:$C$8,2,FALSE)</f>
        <v>1.4999999999999999E-2</v>
      </c>
      <c r="N3326">
        <f t="shared" si="153"/>
        <v>1.2586770182638762E-3</v>
      </c>
      <c r="O3326">
        <f>VLOOKUP(K3326,RatingLookup!$A$2:$C$8,3,FALSE)</f>
        <v>0.5</v>
      </c>
      <c r="P3326">
        <f t="shared" si="154"/>
        <v>0.38436220106723989</v>
      </c>
      <c r="Q3326" t="str">
        <f t="shared" ca="1" si="155"/>
        <v>No</v>
      </c>
    </row>
    <row r="3327" spans="1:17" x14ac:dyDescent="0.45">
      <c r="A3327" t="s">
        <v>146</v>
      </c>
      <c r="B3327" t="s">
        <v>147</v>
      </c>
      <c r="C3327" t="s">
        <v>26</v>
      </c>
      <c r="D3327" t="s">
        <v>20</v>
      </c>
      <c r="E3327" t="s">
        <v>21</v>
      </c>
      <c r="F3327" s="1">
        <v>44593</v>
      </c>
      <c r="G3327">
        <v>4.66</v>
      </c>
      <c r="H3327">
        <v>83.646299999999997</v>
      </c>
      <c r="I3327">
        <v>19.809999999999999</v>
      </c>
      <c r="J3327">
        <v>75</v>
      </c>
      <c r="K3327" t="s">
        <v>30</v>
      </c>
      <c r="L3327">
        <v>558.54</v>
      </c>
      <c r="M3327">
        <f>VLOOKUP(K3327,RatingLookup!$A$2:$C$8,2,FALSE)</f>
        <v>1.4999999999999999E-2</v>
      </c>
      <c r="N3327">
        <f t="shared" si="153"/>
        <v>1.2586770182638762E-3</v>
      </c>
      <c r="O3327">
        <f>VLOOKUP(K3327,RatingLookup!$A$2:$C$8,3,FALSE)</f>
        <v>0.5</v>
      </c>
      <c r="P3327">
        <f t="shared" si="154"/>
        <v>0.35151073089055268</v>
      </c>
      <c r="Q3327" t="str">
        <f t="shared" ca="1" si="155"/>
        <v>No</v>
      </c>
    </row>
    <row r="3328" spans="1:17" x14ac:dyDescent="0.45">
      <c r="A3328" t="s">
        <v>146</v>
      </c>
      <c r="B3328" t="s">
        <v>147</v>
      </c>
      <c r="C3328" t="s">
        <v>26</v>
      </c>
      <c r="D3328" t="s">
        <v>20</v>
      </c>
      <c r="E3328" t="s">
        <v>21</v>
      </c>
      <c r="F3328" s="1">
        <v>44621</v>
      </c>
      <c r="G3328">
        <v>5.43</v>
      </c>
      <c r="H3328">
        <v>77.244399999999999</v>
      </c>
      <c r="I3328">
        <v>17.68</v>
      </c>
      <c r="J3328">
        <v>77.430000000000007</v>
      </c>
      <c r="K3328" t="s">
        <v>30</v>
      </c>
      <c r="L3328">
        <v>535.41999999999996</v>
      </c>
      <c r="M3328">
        <f>VLOOKUP(K3328,RatingLookup!$A$2:$C$8,2,FALSE)</f>
        <v>1.4999999999999999E-2</v>
      </c>
      <c r="N3328">
        <f t="shared" si="153"/>
        <v>1.2586770182638762E-3</v>
      </c>
      <c r="O3328">
        <f>VLOOKUP(K3328,RatingLookup!$A$2:$C$8,3,FALSE)</f>
        <v>0.5</v>
      </c>
      <c r="P3328">
        <f t="shared" si="154"/>
        <v>0.33696042455942227</v>
      </c>
      <c r="Q3328" t="str">
        <f t="shared" ca="1" si="155"/>
        <v>No</v>
      </c>
    </row>
    <row r="3329" spans="1:17" x14ac:dyDescent="0.45">
      <c r="A3329" t="s">
        <v>146</v>
      </c>
      <c r="B3329" t="s">
        <v>147</v>
      </c>
      <c r="C3329" t="s">
        <v>26</v>
      </c>
      <c r="D3329" t="s">
        <v>20</v>
      </c>
      <c r="E3329" t="s">
        <v>21</v>
      </c>
      <c r="F3329" s="1">
        <v>44652</v>
      </c>
      <c r="G3329">
        <v>5.09</v>
      </c>
      <c r="H3329">
        <v>83.440100000000001</v>
      </c>
      <c r="I3329">
        <v>21.12</v>
      </c>
      <c r="J3329">
        <v>87.95</v>
      </c>
      <c r="K3329" t="s">
        <v>30</v>
      </c>
      <c r="L3329">
        <v>552.47</v>
      </c>
      <c r="M3329">
        <f>VLOOKUP(K3329,RatingLookup!$A$2:$C$8,2,FALSE)</f>
        <v>1.4999999999999999E-2</v>
      </c>
      <c r="N3329">
        <f t="shared" si="153"/>
        <v>1.2586770182638762E-3</v>
      </c>
      <c r="O3329">
        <f>VLOOKUP(K3329,RatingLookup!$A$2:$C$8,3,FALSE)</f>
        <v>0.5</v>
      </c>
      <c r="P3329">
        <f t="shared" si="154"/>
        <v>0.34769064614012185</v>
      </c>
      <c r="Q3329" t="str">
        <f t="shared" ca="1" si="155"/>
        <v>No</v>
      </c>
    </row>
    <row r="3330" spans="1:17" x14ac:dyDescent="0.45">
      <c r="A3330" t="s">
        <v>146</v>
      </c>
      <c r="B3330" t="s">
        <v>147</v>
      </c>
      <c r="C3330" t="s">
        <v>26</v>
      </c>
      <c r="D3330" t="s">
        <v>20</v>
      </c>
      <c r="E3330" t="s">
        <v>21</v>
      </c>
      <c r="F3330" s="1">
        <v>44682</v>
      </c>
      <c r="G3330">
        <v>5.62</v>
      </c>
      <c r="H3330">
        <v>82.003200000000007</v>
      </c>
      <c r="I3330">
        <v>21.56</v>
      </c>
      <c r="J3330">
        <v>74.98</v>
      </c>
      <c r="K3330" t="s">
        <v>30</v>
      </c>
      <c r="L3330">
        <v>547.73</v>
      </c>
      <c r="M3330">
        <f>VLOOKUP(K3330,RatingLookup!$A$2:$C$8,2,FALSE)</f>
        <v>1.4999999999999999E-2</v>
      </c>
      <c r="N3330">
        <f t="shared" ref="N3330:N3393" si="156">1-(1-M3330)^(1/12)</f>
        <v>1.2586770182638762E-3</v>
      </c>
      <c r="O3330">
        <f>VLOOKUP(K3330,RatingLookup!$A$2:$C$8,3,FALSE)</f>
        <v>0.5</v>
      </c>
      <c r="P3330">
        <f t="shared" ref="P3330:P3393" si="157">L3330*N3330*O3330</f>
        <v>0.34470758160683646</v>
      </c>
      <c r="Q3330" t="str">
        <f t="shared" ref="Q3330:Q3393" ca="1" si="158">IF(RAND()&lt;N3330,"Yes","No")</f>
        <v>No</v>
      </c>
    </row>
    <row r="3331" spans="1:17" x14ac:dyDescent="0.45">
      <c r="A3331" t="s">
        <v>146</v>
      </c>
      <c r="B3331" t="s">
        <v>147</v>
      </c>
      <c r="C3331" t="s">
        <v>26</v>
      </c>
      <c r="D3331" t="s">
        <v>20</v>
      </c>
      <c r="E3331" t="s">
        <v>21</v>
      </c>
      <c r="F3331" s="1">
        <v>44713</v>
      </c>
      <c r="G3331">
        <v>5.01</v>
      </c>
      <c r="H3331">
        <v>87.241100000000003</v>
      </c>
      <c r="I3331">
        <v>10.71</v>
      </c>
      <c r="J3331">
        <v>89.61</v>
      </c>
      <c r="K3331" t="s">
        <v>30</v>
      </c>
      <c r="L3331">
        <v>501.76</v>
      </c>
      <c r="M3331">
        <f>VLOOKUP(K3331,RatingLookup!$A$2:$C$8,2,FALSE)</f>
        <v>1.4999999999999999E-2</v>
      </c>
      <c r="N3331">
        <f t="shared" si="156"/>
        <v>1.2586770182638762E-3</v>
      </c>
      <c r="O3331">
        <f>VLOOKUP(K3331,RatingLookup!$A$2:$C$8,3,FALSE)</f>
        <v>0.5</v>
      </c>
      <c r="P3331">
        <f t="shared" si="157"/>
        <v>0.31577689034204126</v>
      </c>
      <c r="Q3331" t="str">
        <f t="shared" ca="1" si="158"/>
        <v>No</v>
      </c>
    </row>
    <row r="3332" spans="1:17" x14ac:dyDescent="0.45">
      <c r="A3332" t="s">
        <v>146</v>
      </c>
      <c r="B3332" t="s">
        <v>147</v>
      </c>
      <c r="C3332" t="s">
        <v>26</v>
      </c>
      <c r="D3332" t="s">
        <v>20</v>
      </c>
      <c r="E3332" t="s">
        <v>21</v>
      </c>
      <c r="F3332" s="1">
        <v>44743</v>
      </c>
      <c r="G3332">
        <v>5.76</v>
      </c>
      <c r="H3332">
        <v>84.641900000000007</v>
      </c>
      <c r="I3332">
        <v>30.21</v>
      </c>
      <c r="J3332">
        <v>72.680000000000007</v>
      </c>
      <c r="K3332" t="s">
        <v>30</v>
      </c>
      <c r="L3332">
        <v>540.47</v>
      </c>
      <c r="M3332">
        <f>VLOOKUP(K3332,RatingLookup!$A$2:$C$8,2,FALSE)</f>
        <v>1.4999999999999999E-2</v>
      </c>
      <c r="N3332">
        <f t="shared" si="156"/>
        <v>1.2586770182638762E-3</v>
      </c>
      <c r="O3332">
        <f>VLOOKUP(K3332,RatingLookup!$A$2:$C$8,3,FALSE)</f>
        <v>0.5</v>
      </c>
      <c r="P3332">
        <f t="shared" si="157"/>
        <v>0.34013858403053859</v>
      </c>
      <c r="Q3332" t="str">
        <f t="shared" ca="1" si="158"/>
        <v>No</v>
      </c>
    </row>
    <row r="3333" spans="1:17" x14ac:dyDescent="0.45">
      <c r="A3333" t="s">
        <v>146</v>
      </c>
      <c r="B3333" t="s">
        <v>147</v>
      </c>
      <c r="C3333" t="s">
        <v>26</v>
      </c>
      <c r="D3333" t="s">
        <v>20</v>
      </c>
      <c r="E3333" t="s">
        <v>21</v>
      </c>
      <c r="F3333" s="1">
        <v>44774</v>
      </c>
      <c r="G3333">
        <v>6.03</v>
      </c>
      <c r="H3333">
        <v>81.506299999999996</v>
      </c>
      <c r="I3333">
        <v>14.36</v>
      </c>
      <c r="J3333">
        <v>61.41</v>
      </c>
      <c r="K3333" t="s">
        <v>30</v>
      </c>
      <c r="L3333">
        <v>607.73</v>
      </c>
      <c r="M3333">
        <f>VLOOKUP(K3333,RatingLookup!$A$2:$C$8,2,FALSE)</f>
        <v>1.4999999999999999E-2</v>
      </c>
      <c r="N3333">
        <f t="shared" si="156"/>
        <v>1.2586770182638762E-3</v>
      </c>
      <c r="O3333">
        <f>VLOOKUP(K3333,RatingLookup!$A$2:$C$8,3,FALSE)</f>
        <v>0.5</v>
      </c>
      <c r="P3333">
        <f t="shared" si="157"/>
        <v>0.38246789215475274</v>
      </c>
      <c r="Q3333" t="str">
        <f t="shared" ca="1" si="158"/>
        <v>No</v>
      </c>
    </row>
    <row r="3334" spans="1:17" x14ac:dyDescent="0.45">
      <c r="A3334" t="s">
        <v>146</v>
      </c>
      <c r="B3334" t="s">
        <v>147</v>
      </c>
      <c r="C3334" t="s">
        <v>26</v>
      </c>
      <c r="D3334" t="s">
        <v>20</v>
      </c>
      <c r="E3334" t="s">
        <v>21</v>
      </c>
      <c r="F3334" s="1">
        <v>44805</v>
      </c>
      <c r="G3334">
        <v>6.4</v>
      </c>
      <c r="H3334">
        <v>83.082800000000006</v>
      </c>
      <c r="I3334">
        <v>17.37</v>
      </c>
      <c r="J3334">
        <v>83.5</v>
      </c>
      <c r="K3334" t="s">
        <v>30</v>
      </c>
      <c r="L3334">
        <v>551.22</v>
      </c>
      <c r="M3334">
        <f>VLOOKUP(K3334,RatingLookup!$A$2:$C$8,2,FALSE)</f>
        <v>1.4999999999999999E-2</v>
      </c>
      <c r="N3334">
        <f t="shared" si="156"/>
        <v>1.2586770182638762E-3</v>
      </c>
      <c r="O3334">
        <f>VLOOKUP(K3334,RatingLookup!$A$2:$C$8,3,FALSE)</f>
        <v>0.5</v>
      </c>
      <c r="P3334">
        <f t="shared" si="157"/>
        <v>0.34690397300370696</v>
      </c>
      <c r="Q3334" t="str">
        <f t="shared" ca="1" si="158"/>
        <v>No</v>
      </c>
    </row>
    <row r="3335" spans="1:17" x14ac:dyDescent="0.45">
      <c r="A3335" t="s">
        <v>146</v>
      </c>
      <c r="B3335" t="s">
        <v>147</v>
      </c>
      <c r="C3335" t="s">
        <v>26</v>
      </c>
      <c r="D3335" t="s">
        <v>20</v>
      </c>
      <c r="E3335" t="s">
        <v>21</v>
      </c>
      <c r="F3335" s="1">
        <v>44835</v>
      </c>
      <c r="G3335">
        <v>4.71</v>
      </c>
      <c r="H3335">
        <v>80.410399999999996</v>
      </c>
      <c r="I3335">
        <v>21.71</v>
      </c>
      <c r="J3335">
        <v>91.1</v>
      </c>
      <c r="K3335" t="s">
        <v>30</v>
      </c>
      <c r="L3335">
        <v>554.42999999999995</v>
      </c>
      <c r="M3335">
        <f>VLOOKUP(K3335,RatingLookup!$A$2:$C$8,2,FALSE)</f>
        <v>1.4999999999999999E-2</v>
      </c>
      <c r="N3335">
        <f t="shared" si="156"/>
        <v>1.2586770182638762E-3</v>
      </c>
      <c r="O3335">
        <f>VLOOKUP(K3335,RatingLookup!$A$2:$C$8,3,FALSE)</f>
        <v>0.5</v>
      </c>
      <c r="P3335">
        <f t="shared" si="157"/>
        <v>0.34892414961802043</v>
      </c>
      <c r="Q3335" t="str">
        <f t="shared" ca="1" si="158"/>
        <v>No</v>
      </c>
    </row>
    <row r="3336" spans="1:17" x14ac:dyDescent="0.45">
      <c r="A3336" t="s">
        <v>146</v>
      </c>
      <c r="B3336" t="s">
        <v>147</v>
      </c>
      <c r="C3336" t="s">
        <v>26</v>
      </c>
      <c r="D3336" t="s">
        <v>20</v>
      </c>
      <c r="E3336" t="s">
        <v>21</v>
      </c>
      <c r="F3336" s="1">
        <v>44866</v>
      </c>
      <c r="G3336">
        <v>4.99</v>
      </c>
      <c r="H3336">
        <v>82.144400000000005</v>
      </c>
      <c r="I3336">
        <v>17.32</v>
      </c>
      <c r="J3336">
        <v>69.790000000000006</v>
      </c>
      <c r="K3336" t="s">
        <v>30</v>
      </c>
      <c r="L3336">
        <v>528.55999999999995</v>
      </c>
      <c r="M3336">
        <f>VLOOKUP(K3336,RatingLookup!$A$2:$C$8,2,FALSE)</f>
        <v>1.4999999999999999E-2</v>
      </c>
      <c r="N3336">
        <f t="shared" si="156"/>
        <v>1.2586770182638762E-3</v>
      </c>
      <c r="O3336">
        <f>VLOOKUP(K3336,RatingLookup!$A$2:$C$8,3,FALSE)</f>
        <v>0.5</v>
      </c>
      <c r="P3336">
        <f t="shared" si="157"/>
        <v>0.33264316238677716</v>
      </c>
      <c r="Q3336" t="str">
        <f t="shared" ca="1" si="158"/>
        <v>No</v>
      </c>
    </row>
    <row r="3337" spans="1:17" x14ac:dyDescent="0.45">
      <c r="A3337" t="s">
        <v>146</v>
      </c>
      <c r="B3337" t="s">
        <v>147</v>
      </c>
      <c r="C3337" t="s">
        <v>26</v>
      </c>
      <c r="D3337" t="s">
        <v>20</v>
      </c>
      <c r="E3337" t="s">
        <v>21</v>
      </c>
      <c r="F3337" s="1">
        <v>44896</v>
      </c>
      <c r="G3337">
        <v>5.51</v>
      </c>
      <c r="H3337">
        <v>83.315899999999999</v>
      </c>
      <c r="I3337">
        <v>14.3</v>
      </c>
      <c r="J3337">
        <v>73.760000000000005</v>
      </c>
      <c r="K3337" t="s">
        <v>30</v>
      </c>
      <c r="L3337">
        <v>562.98</v>
      </c>
      <c r="M3337">
        <f>VLOOKUP(K3337,RatingLookup!$A$2:$C$8,2,FALSE)</f>
        <v>1.4999999999999999E-2</v>
      </c>
      <c r="N3337">
        <f t="shared" si="156"/>
        <v>1.2586770182638762E-3</v>
      </c>
      <c r="O3337">
        <f>VLOOKUP(K3337,RatingLookup!$A$2:$C$8,3,FALSE)</f>
        <v>0.5</v>
      </c>
      <c r="P3337">
        <f t="shared" si="157"/>
        <v>0.35430499387109854</v>
      </c>
      <c r="Q3337" t="str">
        <f t="shared" ca="1" si="158"/>
        <v>No</v>
      </c>
    </row>
    <row r="3338" spans="1:17" x14ac:dyDescent="0.45">
      <c r="A3338" t="s">
        <v>146</v>
      </c>
      <c r="B3338" t="s">
        <v>147</v>
      </c>
      <c r="C3338" t="s">
        <v>26</v>
      </c>
      <c r="D3338" t="s">
        <v>20</v>
      </c>
      <c r="E3338" t="s">
        <v>21</v>
      </c>
      <c r="F3338" s="1">
        <v>44927</v>
      </c>
      <c r="G3338">
        <v>6.19</v>
      </c>
      <c r="H3338">
        <v>82.542400000000001</v>
      </c>
      <c r="I3338">
        <v>21.45</v>
      </c>
      <c r="J3338">
        <v>82.86</v>
      </c>
      <c r="K3338" t="s">
        <v>30</v>
      </c>
      <c r="L3338">
        <v>571.38</v>
      </c>
      <c r="M3338">
        <f>VLOOKUP(K3338,RatingLookup!$A$2:$C$8,2,FALSE)</f>
        <v>1.4999999999999999E-2</v>
      </c>
      <c r="N3338">
        <f t="shared" si="156"/>
        <v>1.2586770182638762E-3</v>
      </c>
      <c r="O3338">
        <f>VLOOKUP(K3338,RatingLookup!$A$2:$C$8,3,FALSE)</f>
        <v>0.5</v>
      </c>
      <c r="P3338">
        <f t="shared" si="157"/>
        <v>0.3595914373478068</v>
      </c>
      <c r="Q3338" t="str">
        <f t="shared" ca="1" si="158"/>
        <v>No</v>
      </c>
    </row>
    <row r="3339" spans="1:17" x14ac:dyDescent="0.45">
      <c r="A3339" t="s">
        <v>146</v>
      </c>
      <c r="B3339" t="s">
        <v>147</v>
      </c>
      <c r="C3339" t="s">
        <v>26</v>
      </c>
      <c r="D3339" t="s">
        <v>20</v>
      </c>
      <c r="E3339" t="s">
        <v>21</v>
      </c>
      <c r="F3339" s="1">
        <v>44958</v>
      </c>
      <c r="G3339">
        <v>5.38</v>
      </c>
      <c r="H3339">
        <v>79.9041</v>
      </c>
      <c r="I3339">
        <v>27.4</v>
      </c>
      <c r="J3339">
        <v>80.86</v>
      </c>
      <c r="K3339" t="s">
        <v>30</v>
      </c>
      <c r="L3339">
        <v>577.71</v>
      </c>
      <c r="M3339">
        <f>VLOOKUP(K3339,RatingLookup!$A$2:$C$8,2,FALSE)</f>
        <v>1.4999999999999999E-2</v>
      </c>
      <c r="N3339">
        <f t="shared" si="156"/>
        <v>1.2586770182638762E-3</v>
      </c>
      <c r="O3339">
        <f>VLOOKUP(K3339,RatingLookup!$A$2:$C$8,3,FALSE)</f>
        <v>0.5</v>
      </c>
      <c r="P3339">
        <f t="shared" si="157"/>
        <v>0.36357515011061198</v>
      </c>
      <c r="Q3339" t="str">
        <f t="shared" ca="1" si="158"/>
        <v>No</v>
      </c>
    </row>
    <row r="3340" spans="1:17" x14ac:dyDescent="0.45">
      <c r="A3340" t="s">
        <v>146</v>
      </c>
      <c r="B3340" t="s">
        <v>147</v>
      </c>
      <c r="C3340" t="s">
        <v>26</v>
      </c>
      <c r="D3340" t="s">
        <v>20</v>
      </c>
      <c r="E3340" t="s">
        <v>21</v>
      </c>
      <c r="F3340" s="1">
        <v>44986</v>
      </c>
      <c r="G3340">
        <v>5.39</v>
      </c>
      <c r="H3340">
        <v>78.967100000000002</v>
      </c>
      <c r="I3340">
        <v>15.55</v>
      </c>
      <c r="J3340">
        <v>84.78</v>
      </c>
      <c r="K3340" t="s">
        <v>30</v>
      </c>
      <c r="L3340">
        <v>554.47</v>
      </c>
      <c r="M3340">
        <f>VLOOKUP(K3340,RatingLookup!$A$2:$C$8,2,FALSE)</f>
        <v>1.4999999999999999E-2</v>
      </c>
      <c r="N3340">
        <f t="shared" si="156"/>
        <v>1.2586770182638762E-3</v>
      </c>
      <c r="O3340">
        <f>VLOOKUP(K3340,RatingLookup!$A$2:$C$8,3,FALSE)</f>
        <v>0.5</v>
      </c>
      <c r="P3340">
        <f t="shared" si="157"/>
        <v>0.34894932315838573</v>
      </c>
      <c r="Q3340" t="str">
        <f t="shared" ca="1" si="158"/>
        <v>No</v>
      </c>
    </row>
    <row r="3341" spans="1:17" x14ac:dyDescent="0.45">
      <c r="A3341" t="s">
        <v>146</v>
      </c>
      <c r="B3341" t="s">
        <v>147</v>
      </c>
      <c r="C3341" t="s">
        <v>26</v>
      </c>
      <c r="D3341" t="s">
        <v>20</v>
      </c>
      <c r="E3341" t="s">
        <v>21</v>
      </c>
      <c r="F3341" s="1">
        <v>45017</v>
      </c>
      <c r="G3341">
        <v>4.4000000000000004</v>
      </c>
      <c r="H3341">
        <v>82.009</v>
      </c>
      <c r="I3341">
        <v>25.89</v>
      </c>
      <c r="J3341">
        <v>66.180000000000007</v>
      </c>
      <c r="K3341" t="s">
        <v>30</v>
      </c>
      <c r="L3341">
        <v>591.33000000000004</v>
      </c>
      <c r="M3341">
        <f>VLOOKUP(K3341,RatingLookup!$A$2:$C$8,2,FALSE)</f>
        <v>1.4999999999999999E-2</v>
      </c>
      <c r="N3341">
        <f t="shared" si="156"/>
        <v>1.2586770182638762E-3</v>
      </c>
      <c r="O3341">
        <f>VLOOKUP(K3341,RatingLookup!$A$2:$C$8,3,FALSE)</f>
        <v>0.5</v>
      </c>
      <c r="P3341">
        <f t="shared" si="157"/>
        <v>0.37214674060498898</v>
      </c>
      <c r="Q3341" t="str">
        <f t="shared" ca="1" si="158"/>
        <v>No</v>
      </c>
    </row>
    <row r="3342" spans="1:17" x14ac:dyDescent="0.45">
      <c r="A3342" t="s">
        <v>146</v>
      </c>
      <c r="B3342" t="s">
        <v>147</v>
      </c>
      <c r="C3342" t="s">
        <v>26</v>
      </c>
      <c r="D3342" t="s">
        <v>20</v>
      </c>
      <c r="E3342" t="s">
        <v>21</v>
      </c>
      <c r="F3342" s="1">
        <v>45047</v>
      </c>
      <c r="G3342">
        <v>4.99</v>
      </c>
      <c r="H3342">
        <v>83.502499999999998</v>
      </c>
      <c r="I3342">
        <v>25.06</v>
      </c>
      <c r="J3342">
        <v>76.2</v>
      </c>
      <c r="K3342" t="s">
        <v>31</v>
      </c>
      <c r="L3342">
        <v>534.30999999999995</v>
      </c>
      <c r="M3342">
        <f>VLOOKUP(K3342,RatingLookup!$A$2:$C$8,2,FALSE)</f>
        <v>0.04</v>
      </c>
      <c r="N3342">
        <f t="shared" si="156"/>
        <v>3.3960531989175591E-3</v>
      </c>
      <c r="O3342">
        <f>VLOOKUP(K3342,RatingLookup!$A$2:$C$8,3,FALSE)</f>
        <v>0.6</v>
      </c>
      <c r="P3342">
        <f t="shared" si="157"/>
        <v>1.0887271108281844</v>
      </c>
      <c r="Q3342" t="str">
        <f t="shared" ca="1" si="158"/>
        <v>No</v>
      </c>
    </row>
    <row r="3343" spans="1:17" x14ac:dyDescent="0.45">
      <c r="A3343" t="s">
        <v>146</v>
      </c>
      <c r="B3343" t="s">
        <v>147</v>
      </c>
      <c r="C3343" t="s">
        <v>26</v>
      </c>
      <c r="D3343" t="s">
        <v>20</v>
      </c>
      <c r="E3343" t="s">
        <v>21</v>
      </c>
      <c r="F3343" s="1">
        <v>45078</v>
      </c>
      <c r="G3343">
        <v>6.26</v>
      </c>
      <c r="H3343">
        <v>79.764600000000002</v>
      </c>
      <c r="I3343">
        <v>23.44</v>
      </c>
      <c r="J3343">
        <v>72.209999999999994</v>
      </c>
      <c r="K3343" t="s">
        <v>31</v>
      </c>
      <c r="L3343">
        <v>538.82000000000005</v>
      </c>
      <c r="M3343">
        <f>VLOOKUP(K3343,RatingLookup!$A$2:$C$8,2,FALSE)</f>
        <v>0.04</v>
      </c>
      <c r="N3343">
        <f t="shared" si="156"/>
        <v>3.3960531989175591E-3</v>
      </c>
      <c r="O3343">
        <f>VLOOKUP(K3343,RatingLookup!$A$2:$C$8,3,FALSE)</f>
        <v>0.6</v>
      </c>
      <c r="P3343">
        <f t="shared" si="157"/>
        <v>1.0979168307844556</v>
      </c>
      <c r="Q3343" t="str">
        <f t="shared" ca="1" si="158"/>
        <v>No</v>
      </c>
    </row>
    <row r="3344" spans="1:17" x14ac:dyDescent="0.45">
      <c r="A3344" t="s">
        <v>146</v>
      </c>
      <c r="B3344" t="s">
        <v>147</v>
      </c>
      <c r="C3344" t="s">
        <v>26</v>
      </c>
      <c r="D3344" t="s">
        <v>20</v>
      </c>
      <c r="E3344" t="s">
        <v>21</v>
      </c>
      <c r="F3344" s="1">
        <v>45108</v>
      </c>
      <c r="G3344">
        <v>5.82</v>
      </c>
      <c r="H3344">
        <v>79.900599999999997</v>
      </c>
      <c r="I3344">
        <v>14.36</v>
      </c>
      <c r="J3344">
        <v>85.86</v>
      </c>
      <c r="K3344" t="s">
        <v>31</v>
      </c>
      <c r="L3344">
        <v>525.69000000000005</v>
      </c>
      <c r="M3344">
        <f>VLOOKUP(K3344,RatingLookup!$A$2:$C$8,2,FALSE)</f>
        <v>0.04</v>
      </c>
      <c r="N3344">
        <f t="shared" si="156"/>
        <v>3.3960531989175591E-3</v>
      </c>
      <c r="O3344">
        <f>VLOOKUP(K3344,RatingLookup!$A$2:$C$8,3,FALSE)</f>
        <v>0.6</v>
      </c>
      <c r="P3344">
        <f t="shared" si="157"/>
        <v>1.0711627236833829</v>
      </c>
      <c r="Q3344" t="str">
        <f t="shared" ca="1" si="158"/>
        <v>No</v>
      </c>
    </row>
    <row r="3345" spans="1:17" x14ac:dyDescent="0.45">
      <c r="A3345" t="s">
        <v>146</v>
      </c>
      <c r="B3345" t="s">
        <v>147</v>
      </c>
      <c r="C3345" t="s">
        <v>26</v>
      </c>
      <c r="D3345" t="s">
        <v>20</v>
      </c>
      <c r="E3345" t="s">
        <v>21</v>
      </c>
      <c r="F3345" s="1">
        <v>45139</v>
      </c>
      <c r="G3345">
        <v>5.07</v>
      </c>
      <c r="H3345">
        <v>79.903400000000005</v>
      </c>
      <c r="I3345">
        <v>5</v>
      </c>
      <c r="J3345">
        <v>82.9</v>
      </c>
      <c r="K3345" t="s">
        <v>31</v>
      </c>
      <c r="L3345">
        <v>533.69000000000005</v>
      </c>
      <c r="M3345">
        <f>VLOOKUP(K3345,RatingLookup!$A$2:$C$8,2,FALSE)</f>
        <v>0.04</v>
      </c>
      <c r="N3345">
        <f t="shared" si="156"/>
        <v>3.3960531989175591E-3</v>
      </c>
      <c r="O3345">
        <f>VLOOKUP(K3345,RatingLookup!$A$2:$C$8,3,FALSE)</f>
        <v>0.6</v>
      </c>
      <c r="P3345">
        <f t="shared" si="157"/>
        <v>1.0874637790381874</v>
      </c>
      <c r="Q3345" t="str">
        <f t="shared" ca="1" si="158"/>
        <v>No</v>
      </c>
    </row>
    <row r="3346" spans="1:17" x14ac:dyDescent="0.45">
      <c r="A3346" t="s">
        <v>146</v>
      </c>
      <c r="B3346" t="s">
        <v>147</v>
      </c>
      <c r="C3346" t="s">
        <v>26</v>
      </c>
      <c r="D3346" t="s">
        <v>20</v>
      </c>
      <c r="E3346" t="s">
        <v>21</v>
      </c>
      <c r="F3346" s="1">
        <v>45170</v>
      </c>
      <c r="G3346">
        <v>5.36</v>
      </c>
      <c r="H3346">
        <v>82.706100000000006</v>
      </c>
      <c r="I3346">
        <v>20.94</v>
      </c>
      <c r="J3346">
        <v>73.7</v>
      </c>
      <c r="K3346" t="s">
        <v>31</v>
      </c>
      <c r="L3346">
        <v>495.62</v>
      </c>
      <c r="M3346">
        <f>VLOOKUP(K3346,RatingLookup!$A$2:$C$8,2,FALSE)</f>
        <v>0.04</v>
      </c>
      <c r="N3346">
        <f t="shared" si="156"/>
        <v>3.3960531989175591E-3</v>
      </c>
      <c r="O3346">
        <f>VLOOKUP(K3346,RatingLookup!$A$2:$C$8,3,FALSE)</f>
        <v>0.6</v>
      </c>
      <c r="P3346">
        <f t="shared" si="157"/>
        <v>1.0098911318685122</v>
      </c>
      <c r="Q3346" t="str">
        <f t="shared" ca="1" si="158"/>
        <v>No</v>
      </c>
    </row>
    <row r="3347" spans="1:17" x14ac:dyDescent="0.45">
      <c r="A3347" t="s">
        <v>146</v>
      </c>
      <c r="B3347" t="s">
        <v>147</v>
      </c>
      <c r="C3347" t="s">
        <v>26</v>
      </c>
      <c r="D3347" t="s">
        <v>20</v>
      </c>
      <c r="E3347" t="s">
        <v>21</v>
      </c>
      <c r="F3347" s="1">
        <v>45200</v>
      </c>
      <c r="G3347">
        <v>4.8099999999999996</v>
      </c>
      <c r="H3347">
        <v>86.818299999999994</v>
      </c>
      <c r="I3347">
        <v>17.190000000000001</v>
      </c>
      <c r="J3347">
        <v>81.180000000000007</v>
      </c>
      <c r="K3347" t="s">
        <v>31</v>
      </c>
      <c r="L3347">
        <v>585.65</v>
      </c>
      <c r="M3347">
        <f>VLOOKUP(K3347,RatingLookup!$A$2:$C$8,2,FALSE)</f>
        <v>0.04</v>
      </c>
      <c r="N3347">
        <f t="shared" si="156"/>
        <v>3.3960531989175591E-3</v>
      </c>
      <c r="O3347">
        <f>VLOOKUP(K3347,RatingLookup!$A$2:$C$8,3,FALSE)</f>
        <v>0.6</v>
      </c>
      <c r="P3347">
        <f t="shared" si="157"/>
        <v>1.1933391335676409</v>
      </c>
      <c r="Q3347" t="str">
        <f t="shared" ca="1" si="158"/>
        <v>No</v>
      </c>
    </row>
    <row r="3348" spans="1:17" x14ac:dyDescent="0.45">
      <c r="A3348" t="s">
        <v>146</v>
      </c>
      <c r="B3348" t="s">
        <v>147</v>
      </c>
      <c r="C3348" t="s">
        <v>26</v>
      </c>
      <c r="D3348" t="s">
        <v>20</v>
      </c>
      <c r="E3348" t="s">
        <v>21</v>
      </c>
      <c r="F3348" s="1">
        <v>45231</v>
      </c>
      <c r="G3348">
        <v>6.28</v>
      </c>
      <c r="H3348">
        <v>86.082700000000003</v>
      </c>
      <c r="I3348">
        <v>23.03</v>
      </c>
      <c r="J3348">
        <v>74.319999999999993</v>
      </c>
      <c r="K3348" t="s">
        <v>31</v>
      </c>
      <c r="L3348">
        <v>563.70000000000005</v>
      </c>
      <c r="M3348">
        <f>VLOOKUP(K3348,RatingLookup!$A$2:$C$8,2,FALSE)</f>
        <v>0.04</v>
      </c>
      <c r="N3348">
        <f t="shared" si="156"/>
        <v>3.3960531989175591E-3</v>
      </c>
      <c r="O3348">
        <f>VLOOKUP(K3348,RatingLookup!$A$2:$C$8,3,FALSE)</f>
        <v>0.6</v>
      </c>
      <c r="P3348">
        <f t="shared" si="157"/>
        <v>1.1486131129378969</v>
      </c>
      <c r="Q3348" t="str">
        <f t="shared" ca="1" si="158"/>
        <v>No</v>
      </c>
    </row>
    <row r="3349" spans="1:17" x14ac:dyDescent="0.45">
      <c r="A3349" t="s">
        <v>146</v>
      </c>
      <c r="B3349" t="s">
        <v>147</v>
      </c>
      <c r="C3349" t="s">
        <v>26</v>
      </c>
      <c r="D3349" t="s">
        <v>20</v>
      </c>
      <c r="E3349" t="s">
        <v>21</v>
      </c>
      <c r="F3349" s="1">
        <v>45261</v>
      </c>
      <c r="G3349">
        <v>5.77</v>
      </c>
      <c r="H3349">
        <v>78.874499999999998</v>
      </c>
      <c r="I3349">
        <v>22.83</v>
      </c>
      <c r="J3349">
        <v>74.180000000000007</v>
      </c>
      <c r="K3349" t="s">
        <v>31</v>
      </c>
      <c r="L3349">
        <v>538.25</v>
      </c>
      <c r="M3349">
        <f>VLOOKUP(K3349,RatingLookup!$A$2:$C$8,2,FALSE)</f>
        <v>0.04</v>
      </c>
      <c r="N3349">
        <f t="shared" si="156"/>
        <v>3.3960531989175591E-3</v>
      </c>
      <c r="O3349">
        <f>VLOOKUP(K3349,RatingLookup!$A$2:$C$8,3,FALSE)</f>
        <v>0.6</v>
      </c>
      <c r="P3349">
        <f t="shared" si="157"/>
        <v>1.0967553805904258</v>
      </c>
      <c r="Q3349" t="str">
        <f t="shared" ca="1" si="158"/>
        <v>No</v>
      </c>
    </row>
    <row r="3350" spans="1:17" x14ac:dyDescent="0.45">
      <c r="A3350" t="s">
        <v>146</v>
      </c>
      <c r="B3350" t="s">
        <v>147</v>
      </c>
      <c r="C3350" t="s">
        <v>26</v>
      </c>
      <c r="D3350" t="s">
        <v>20</v>
      </c>
      <c r="E3350" t="s">
        <v>21</v>
      </c>
      <c r="F3350" s="1">
        <v>45292</v>
      </c>
      <c r="G3350">
        <v>5.19</v>
      </c>
      <c r="H3350">
        <v>82.579300000000003</v>
      </c>
      <c r="I3350">
        <v>15.39</v>
      </c>
      <c r="J3350">
        <v>83.28</v>
      </c>
      <c r="K3350" t="s">
        <v>31</v>
      </c>
      <c r="L3350">
        <v>547.03</v>
      </c>
      <c r="M3350">
        <f>VLOOKUP(K3350,RatingLookup!$A$2:$C$8,2,FALSE)</f>
        <v>0.04</v>
      </c>
      <c r="N3350">
        <f t="shared" si="156"/>
        <v>3.3960531989175591E-3</v>
      </c>
      <c r="O3350">
        <f>VLOOKUP(K3350,RatingLookup!$A$2:$C$8,3,FALSE)</f>
        <v>0.6</v>
      </c>
      <c r="P3350">
        <f t="shared" si="157"/>
        <v>1.1146457888423233</v>
      </c>
      <c r="Q3350" t="str">
        <f t="shared" ca="1" si="158"/>
        <v>No</v>
      </c>
    </row>
    <row r="3351" spans="1:17" x14ac:dyDescent="0.45">
      <c r="A3351" t="s">
        <v>146</v>
      </c>
      <c r="B3351" t="s">
        <v>147</v>
      </c>
      <c r="C3351" t="s">
        <v>26</v>
      </c>
      <c r="D3351" t="s">
        <v>20</v>
      </c>
      <c r="E3351" t="s">
        <v>21</v>
      </c>
      <c r="F3351" s="1">
        <v>45323</v>
      </c>
      <c r="G3351">
        <v>5.23</v>
      </c>
      <c r="H3351">
        <v>77.368700000000004</v>
      </c>
      <c r="I3351">
        <v>21.63</v>
      </c>
      <c r="J3351">
        <v>73.48</v>
      </c>
      <c r="K3351" t="s">
        <v>31</v>
      </c>
      <c r="L3351">
        <v>467.76</v>
      </c>
      <c r="M3351">
        <f>VLOOKUP(K3351,RatingLookup!$A$2:$C$8,2,FALSE)</f>
        <v>0.04</v>
      </c>
      <c r="N3351">
        <f t="shared" si="156"/>
        <v>3.3960531989175591E-3</v>
      </c>
      <c r="O3351">
        <f>VLOOKUP(K3351,RatingLookup!$A$2:$C$8,3,FALSE)</f>
        <v>0.6</v>
      </c>
      <c r="P3351">
        <f t="shared" si="157"/>
        <v>0.95312270659540643</v>
      </c>
      <c r="Q3351" t="str">
        <f t="shared" ca="1" si="158"/>
        <v>No</v>
      </c>
    </row>
    <row r="3352" spans="1:17" x14ac:dyDescent="0.45">
      <c r="A3352" t="s">
        <v>146</v>
      </c>
      <c r="B3352" t="s">
        <v>147</v>
      </c>
      <c r="C3352" t="s">
        <v>26</v>
      </c>
      <c r="D3352" t="s">
        <v>20</v>
      </c>
      <c r="E3352" t="s">
        <v>21</v>
      </c>
      <c r="F3352" s="1">
        <v>45352</v>
      </c>
      <c r="G3352">
        <v>5.22</v>
      </c>
      <c r="H3352">
        <v>84.167599999999993</v>
      </c>
      <c r="I3352">
        <v>24.1</v>
      </c>
      <c r="J3352">
        <v>92.9</v>
      </c>
      <c r="K3352" t="s">
        <v>31</v>
      </c>
      <c r="L3352">
        <v>572.02</v>
      </c>
      <c r="M3352">
        <f>VLOOKUP(K3352,RatingLookup!$A$2:$C$8,2,FALSE)</f>
        <v>0.04</v>
      </c>
      <c r="N3352">
        <f t="shared" si="156"/>
        <v>3.3960531989175591E-3</v>
      </c>
      <c r="O3352">
        <f>VLOOKUP(K3352,RatingLookup!$A$2:$C$8,3,FALSE)</f>
        <v>0.6</v>
      </c>
      <c r="P3352">
        <f t="shared" si="157"/>
        <v>1.1655662105068931</v>
      </c>
      <c r="Q3352" t="str">
        <f t="shared" ca="1" si="158"/>
        <v>Yes</v>
      </c>
    </row>
    <row r="3353" spans="1:17" x14ac:dyDescent="0.45">
      <c r="A3353" t="s">
        <v>146</v>
      </c>
      <c r="B3353" t="s">
        <v>147</v>
      </c>
      <c r="C3353" t="s">
        <v>26</v>
      </c>
      <c r="D3353" t="s">
        <v>20</v>
      </c>
      <c r="E3353" t="s">
        <v>21</v>
      </c>
      <c r="F3353" s="1">
        <v>45383</v>
      </c>
      <c r="G3353">
        <v>4.88</v>
      </c>
      <c r="H3353">
        <v>85.665099999999995</v>
      </c>
      <c r="I3353">
        <v>22.45</v>
      </c>
      <c r="J3353">
        <v>81.81</v>
      </c>
      <c r="K3353" t="s">
        <v>31</v>
      </c>
      <c r="L3353">
        <v>511.73</v>
      </c>
      <c r="M3353">
        <f>VLOOKUP(K3353,RatingLookup!$A$2:$C$8,2,FALSE)</f>
        <v>0.04</v>
      </c>
      <c r="N3353">
        <f t="shared" si="156"/>
        <v>3.3960531989175591E-3</v>
      </c>
      <c r="O3353">
        <f>VLOOKUP(K3353,RatingLookup!$A$2:$C$8,3,FALSE)</f>
        <v>0.6</v>
      </c>
      <c r="P3353">
        <f t="shared" si="157"/>
        <v>1.0427173820892495</v>
      </c>
      <c r="Q3353" t="str">
        <f t="shared" ca="1" si="158"/>
        <v>No</v>
      </c>
    </row>
    <row r="3354" spans="1:17" x14ac:dyDescent="0.45">
      <c r="A3354" t="s">
        <v>146</v>
      </c>
      <c r="B3354" t="s">
        <v>147</v>
      </c>
      <c r="C3354" t="s">
        <v>26</v>
      </c>
      <c r="D3354" t="s">
        <v>20</v>
      </c>
      <c r="E3354" t="s">
        <v>21</v>
      </c>
      <c r="F3354" s="1">
        <v>45413</v>
      </c>
      <c r="G3354">
        <v>6.22</v>
      </c>
      <c r="H3354">
        <v>80.520899999999997</v>
      </c>
      <c r="I3354">
        <v>18.899999999999999</v>
      </c>
      <c r="J3354">
        <v>80.88</v>
      </c>
      <c r="K3354" t="s">
        <v>31</v>
      </c>
      <c r="L3354">
        <v>491.62</v>
      </c>
      <c r="M3354">
        <f>VLOOKUP(K3354,RatingLookup!$A$2:$C$8,2,FALSE)</f>
        <v>0.04</v>
      </c>
      <c r="N3354">
        <f t="shared" si="156"/>
        <v>3.3960531989175591E-3</v>
      </c>
      <c r="O3354">
        <f>VLOOKUP(K3354,RatingLookup!$A$2:$C$8,3,FALSE)</f>
        <v>0.6</v>
      </c>
      <c r="P3354">
        <f t="shared" si="157"/>
        <v>1.0017406041911101</v>
      </c>
      <c r="Q3354" t="str">
        <f t="shared" ca="1" si="158"/>
        <v>No</v>
      </c>
    </row>
    <row r="3355" spans="1:17" x14ac:dyDescent="0.45">
      <c r="A3355" t="s">
        <v>146</v>
      </c>
      <c r="B3355" t="s">
        <v>147</v>
      </c>
      <c r="C3355" t="s">
        <v>26</v>
      </c>
      <c r="D3355" t="s">
        <v>20</v>
      </c>
      <c r="E3355" t="s">
        <v>21</v>
      </c>
      <c r="F3355" s="1">
        <v>45444</v>
      </c>
      <c r="G3355">
        <v>5.59</v>
      </c>
      <c r="H3355">
        <v>89.819599999999994</v>
      </c>
      <c r="I3355">
        <v>14.66</v>
      </c>
      <c r="J3355">
        <v>76.37</v>
      </c>
      <c r="K3355" t="s">
        <v>31</v>
      </c>
      <c r="L3355">
        <v>539.91999999999996</v>
      </c>
      <c r="M3355">
        <f>VLOOKUP(K3355,RatingLookup!$A$2:$C$8,2,FALSE)</f>
        <v>0.04</v>
      </c>
      <c r="N3355">
        <f t="shared" si="156"/>
        <v>3.3960531989175591E-3</v>
      </c>
      <c r="O3355">
        <f>VLOOKUP(K3355,RatingLookup!$A$2:$C$8,3,FALSE)</f>
        <v>0.6</v>
      </c>
      <c r="P3355">
        <f t="shared" si="157"/>
        <v>1.100158225895741</v>
      </c>
      <c r="Q3355" t="str">
        <f t="shared" ca="1" si="158"/>
        <v>No</v>
      </c>
    </row>
    <row r="3356" spans="1:17" x14ac:dyDescent="0.45">
      <c r="A3356" t="s">
        <v>146</v>
      </c>
      <c r="B3356" t="s">
        <v>147</v>
      </c>
      <c r="C3356" t="s">
        <v>26</v>
      </c>
      <c r="D3356" t="s">
        <v>20</v>
      </c>
      <c r="E3356" t="s">
        <v>21</v>
      </c>
      <c r="F3356" s="1">
        <v>45474</v>
      </c>
      <c r="G3356">
        <v>5.31</v>
      </c>
      <c r="H3356">
        <v>82.080600000000004</v>
      </c>
      <c r="I3356">
        <v>23.22</v>
      </c>
      <c r="J3356">
        <v>81.25</v>
      </c>
      <c r="K3356" t="s">
        <v>31</v>
      </c>
      <c r="L3356">
        <v>540.13</v>
      </c>
      <c r="M3356">
        <f>VLOOKUP(K3356,RatingLookup!$A$2:$C$8,2,FALSE)</f>
        <v>0.04</v>
      </c>
      <c r="N3356">
        <f t="shared" si="156"/>
        <v>3.3960531989175591E-3</v>
      </c>
      <c r="O3356">
        <f>VLOOKUP(K3356,RatingLookup!$A$2:$C$8,3,FALSE)</f>
        <v>0.6</v>
      </c>
      <c r="P3356">
        <f t="shared" si="157"/>
        <v>1.1005861285988048</v>
      </c>
      <c r="Q3356" t="str">
        <f t="shared" ca="1" si="158"/>
        <v>No</v>
      </c>
    </row>
    <row r="3357" spans="1:17" x14ac:dyDescent="0.45">
      <c r="A3357" t="s">
        <v>146</v>
      </c>
      <c r="B3357" t="s">
        <v>147</v>
      </c>
      <c r="C3357" t="s">
        <v>26</v>
      </c>
      <c r="D3357" t="s">
        <v>20</v>
      </c>
      <c r="E3357" t="s">
        <v>21</v>
      </c>
      <c r="F3357" s="1">
        <v>45505</v>
      </c>
      <c r="G3357">
        <v>6.01</v>
      </c>
      <c r="H3357">
        <v>86.16</v>
      </c>
      <c r="I3357">
        <v>15.59</v>
      </c>
      <c r="J3357">
        <v>75.19</v>
      </c>
      <c r="K3357" t="s">
        <v>31</v>
      </c>
      <c r="L3357">
        <v>542.17999999999995</v>
      </c>
      <c r="M3357">
        <f>VLOOKUP(K3357,RatingLookup!$A$2:$C$8,2,FALSE)</f>
        <v>0.04</v>
      </c>
      <c r="N3357">
        <f t="shared" si="156"/>
        <v>3.3960531989175591E-3</v>
      </c>
      <c r="O3357">
        <f>VLOOKUP(K3357,RatingLookup!$A$2:$C$8,3,FALSE)</f>
        <v>0.6</v>
      </c>
      <c r="P3357">
        <f t="shared" si="157"/>
        <v>1.1047632740334732</v>
      </c>
      <c r="Q3357" t="str">
        <f t="shared" ca="1" si="158"/>
        <v>No</v>
      </c>
    </row>
    <row r="3358" spans="1:17" x14ac:dyDescent="0.45">
      <c r="A3358" t="s">
        <v>146</v>
      </c>
      <c r="B3358" t="s">
        <v>147</v>
      </c>
      <c r="C3358" t="s">
        <v>26</v>
      </c>
      <c r="D3358" t="s">
        <v>20</v>
      </c>
      <c r="E3358" t="s">
        <v>21</v>
      </c>
      <c r="F3358" s="1">
        <v>45536</v>
      </c>
      <c r="G3358">
        <v>6.07</v>
      </c>
      <c r="H3358">
        <v>87.069800000000001</v>
      </c>
      <c r="I3358">
        <v>23.56</v>
      </c>
      <c r="J3358">
        <v>91.33</v>
      </c>
      <c r="K3358" t="s">
        <v>31</v>
      </c>
      <c r="L3358">
        <v>519.35</v>
      </c>
      <c r="M3358">
        <f>VLOOKUP(K3358,RatingLookup!$A$2:$C$8,2,FALSE)</f>
        <v>0.04</v>
      </c>
      <c r="N3358">
        <f t="shared" si="156"/>
        <v>3.3960531989175591E-3</v>
      </c>
      <c r="O3358">
        <f>VLOOKUP(K3358,RatingLookup!$A$2:$C$8,3,FALSE)</f>
        <v>0.6</v>
      </c>
      <c r="P3358">
        <f t="shared" si="157"/>
        <v>1.0582441373147005</v>
      </c>
      <c r="Q3358" t="str">
        <f t="shared" ca="1" si="158"/>
        <v>No</v>
      </c>
    </row>
    <row r="3359" spans="1:17" x14ac:dyDescent="0.45">
      <c r="A3359" t="s">
        <v>146</v>
      </c>
      <c r="B3359" t="s">
        <v>147</v>
      </c>
      <c r="C3359" t="s">
        <v>26</v>
      </c>
      <c r="D3359" t="s">
        <v>20</v>
      </c>
      <c r="E3359" t="s">
        <v>21</v>
      </c>
      <c r="F3359" s="1">
        <v>45566</v>
      </c>
      <c r="G3359">
        <v>6</v>
      </c>
      <c r="H3359">
        <v>83.3964</v>
      </c>
      <c r="I3359">
        <v>25.61</v>
      </c>
      <c r="J3359">
        <v>82.31</v>
      </c>
      <c r="K3359" t="s">
        <v>31</v>
      </c>
      <c r="L3359">
        <v>516.29</v>
      </c>
      <c r="M3359">
        <f>VLOOKUP(K3359,RatingLookup!$A$2:$C$8,2,FALSE)</f>
        <v>0.04</v>
      </c>
      <c r="N3359">
        <f t="shared" si="156"/>
        <v>3.3960531989175591E-3</v>
      </c>
      <c r="O3359">
        <f>VLOOKUP(K3359,RatingLookup!$A$2:$C$8,3,FALSE)</f>
        <v>0.6</v>
      </c>
      <c r="P3359">
        <f t="shared" si="157"/>
        <v>1.0520089836414879</v>
      </c>
      <c r="Q3359" t="str">
        <f t="shared" ca="1" si="158"/>
        <v>No</v>
      </c>
    </row>
    <row r="3360" spans="1:17" x14ac:dyDescent="0.45">
      <c r="A3360" t="s">
        <v>146</v>
      </c>
      <c r="B3360" t="s">
        <v>147</v>
      </c>
      <c r="C3360" t="s">
        <v>26</v>
      </c>
      <c r="D3360" t="s">
        <v>20</v>
      </c>
      <c r="E3360" t="s">
        <v>21</v>
      </c>
      <c r="F3360" s="1">
        <v>45597</v>
      </c>
      <c r="G3360">
        <v>6.28</v>
      </c>
      <c r="H3360">
        <v>79.769800000000004</v>
      </c>
      <c r="I3360">
        <v>9.1</v>
      </c>
      <c r="J3360">
        <v>83.72</v>
      </c>
      <c r="K3360" t="s">
        <v>31</v>
      </c>
      <c r="L3360">
        <v>528.14</v>
      </c>
      <c r="M3360">
        <f>VLOOKUP(K3360,RatingLookup!$A$2:$C$8,2,FALSE)</f>
        <v>0.04</v>
      </c>
      <c r="N3360">
        <f t="shared" si="156"/>
        <v>3.3960531989175591E-3</v>
      </c>
      <c r="O3360">
        <f>VLOOKUP(K3360,RatingLookup!$A$2:$C$8,3,FALSE)</f>
        <v>0.6</v>
      </c>
      <c r="P3360">
        <f t="shared" si="157"/>
        <v>1.0761549218857918</v>
      </c>
      <c r="Q3360" t="str">
        <f t="shared" ca="1" si="158"/>
        <v>No</v>
      </c>
    </row>
    <row r="3361" spans="1:17" x14ac:dyDescent="0.45">
      <c r="A3361" t="s">
        <v>146</v>
      </c>
      <c r="B3361" t="s">
        <v>147</v>
      </c>
      <c r="C3361" t="s">
        <v>26</v>
      </c>
      <c r="D3361" t="s">
        <v>20</v>
      </c>
      <c r="E3361" t="s">
        <v>21</v>
      </c>
      <c r="F3361" s="1">
        <v>45627</v>
      </c>
      <c r="G3361">
        <v>4.8099999999999996</v>
      </c>
      <c r="H3361">
        <v>86.251300000000001</v>
      </c>
      <c r="I3361">
        <v>8.06</v>
      </c>
      <c r="J3361">
        <v>82.75</v>
      </c>
      <c r="K3361" t="s">
        <v>31</v>
      </c>
      <c r="L3361">
        <v>582.92999999999995</v>
      </c>
      <c r="M3361">
        <f>VLOOKUP(K3361,RatingLookup!$A$2:$C$8,2,FALSE)</f>
        <v>0.04</v>
      </c>
      <c r="N3361">
        <f t="shared" si="156"/>
        <v>3.3960531989175591E-3</v>
      </c>
      <c r="O3361">
        <f>VLOOKUP(K3361,RatingLookup!$A$2:$C$8,3,FALSE)</f>
        <v>0.6</v>
      </c>
      <c r="P3361">
        <f t="shared" si="157"/>
        <v>1.1877967747470075</v>
      </c>
      <c r="Q3361" t="str">
        <f t="shared" ca="1" si="158"/>
        <v>No</v>
      </c>
    </row>
    <row r="3362" spans="1:17" x14ac:dyDescent="0.45">
      <c r="A3362" t="s">
        <v>148</v>
      </c>
      <c r="B3362" t="s">
        <v>149</v>
      </c>
      <c r="C3362" t="s">
        <v>66</v>
      </c>
      <c r="D3362" t="s">
        <v>20</v>
      </c>
      <c r="E3362" t="s">
        <v>21</v>
      </c>
      <c r="F3362" s="1">
        <v>43831</v>
      </c>
      <c r="G3362">
        <v>5.15</v>
      </c>
      <c r="H3362">
        <v>81.3262</v>
      </c>
      <c r="I3362">
        <v>12.09</v>
      </c>
      <c r="J3362">
        <v>70.59</v>
      </c>
      <c r="K3362" t="s">
        <v>22</v>
      </c>
      <c r="L3362">
        <v>157.15</v>
      </c>
      <c r="M3362">
        <f>VLOOKUP(K3362,RatingLookup!$A$2:$C$8,2,FALSE)</f>
        <v>5.0000000000000001E-3</v>
      </c>
      <c r="N3362">
        <f t="shared" si="156"/>
        <v>4.1762458919303302E-4</v>
      </c>
      <c r="O3362">
        <f>VLOOKUP(K3362,RatingLookup!$A$2:$C$8,3,FALSE)</f>
        <v>0.45</v>
      </c>
      <c r="P3362">
        <f t="shared" si="157"/>
        <v>2.9533366886258312E-2</v>
      </c>
      <c r="Q3362" t="str">
        <f t="shared" ca="1" si="158"/>
        <v>No</v>
      </c>
    </row>
    <row r="3363" spans="1:17" x14ac:dyDescent="0.45">
      <c r="A3363" t="s">
        <v>148</v>
      </c>
      <c r="B3363" t="s">
        <v>149</v>
      </c>
      <c r="C3363" t="s">
        <v>66</v>
      </c>
      <c r="D3363" t="s">
        <v>20</v>
      </c>
      <c r="E3363" t="s">
        <v>21</v>
      </c>
      <c r="F3363" s="1">
        <v>43862</v>
      </c>
      <c r="G3363">
        <v>5.78</v>
      </c>
      <c r="H3363">
        <v>84.525099999999995</v>
      </c>
      <c r="I3363">
        <v>16.670000000000002</v>
      </c>
      <c r="J3363">
        <v>81.319999999999993</v>
      </c>
      <c r="K3363" t="s">
        <v>22</v>
      </c>
      <c r="L3363">
        <v>143.36000000000001</v>
      </c>
      <c r="M3363">
        <f>VLOOKUP(K3363,RatingLookup!$A$2:$C$8,2,FALSE)</f>
        <v>5.0000000000000001E-3</v>
      </c>
      <c r="N3363">
        <f t="shared" si="156"/>
        <v>4.1762458919303302E-4</v>
      </c>
      <c r="O3363">
        <f>VLOOKUP(K3363,RatingLookup!$A$2:$C$8,3,FALSE)</f>
        <v>0.45</v>
      </c>
      <c r="P3363">
        <f t="shared" si="157"/>
        <v>2.6941797498020951E-2</v>
      </c>
      <c r="Q3363" t="str">
        <f t="shared" ca="1" si="158"/>
        <v>No</v>
      </c>
    </row>
    <row r="3364" spans="1:17" x14ac:dyDescent="0.45">
      <c r="A3364" t="s">
        <v>148</v>
      </c>
      <c r="B3364" t="s">
        <v>149</v>
      </c>
      <c r="C3364" t="s">
        <v>66</v>
      </c>
      <c r="D3364" t="s">
        <v>20</v>
      </c>
      <c r="E3364" t="s">
        <v>21</v>
      </c>
      <c r="F3364" s="1">
        <v>43891</v>
      </c>
      <c r="G3364">
        <v>6.77</v>
      </c>
      <c r="H3364">
        <v>79.723799999999997</v>
      </c>
      <c r="I3364">
        <v>26.64</v>
      </c>
      <c r="J3364">
        <v>82.14</v>
      </c>
      <c r="K3364" t="s">
        <v>30</v>
      </c>
      <c r="L3364">
        <v>164.36</v>
      </c>
      <c r="M3364">
        <f>VLOOKUP(K3364,RatingLookup!$A$2:$C$8,2,FALSE)</f>
        <v>1.4999999999999999E-2</v>
      </c>
      <c r="N3364">
        <f t="shared" si="156"/>
        <v>1.2586770182638762E-3</v>
      </c>
      <c r="O3364">
        <f>VLOOKUP(K3364,RatingLookup!$A$2:$C$8,3,FALSE)</f>
        <v>0.5</v>
      </c>
      <c r="P3364">
        <f t="shared" si="157"/>
        <v>0.10343807736092536</v>
      </c>
      <c r="Q3364" t="str">
        <f t="shared" ca="1" si="158"/>
        <v>No</v>
      </c>
    </row>
    <row r="3365" spans="1:17" x14ac:dyDescent="0.45">
      <c r="A3365" t="s">
        <v>148</v>
      </c>
      <c r="B3365" t="s">
        <v>149</v>
      </c>
      <c r="C3365" t="s">
        <v>66</v>
      </c>
      <c r="D3365" t="s">
        <v>20</v>
      </c>
      <c r="E3365" t="s">
        <v>21</v>
      </c>
      <c r="F3365" s="1">
        <v>43922</v>
      </c>
      <c r="G3365">
        <v>5.9</v>
      </c>
      <c r="H3365">
        <v>83.246200000000002</v>
      </c>
      <c r="I3365">
        <v>17.32</v>
      </c>
      <c r="J3365">
        <v>61.38</v>
      </c>
      <c r="K3365" t="s">
        <v>30</v>
      </c>
      <c r="L3365">
        <v>154.16999999999999</v>
      </c>
      <c r="M3365">
        <f>VLOOKUP(K3365,RatingLookup!$A$2:$C$8,2,FALSE)</f>
        <v>1.4999999999999999E-2</v>
      </c>
      <c r="N3365">
        <f t="shared" si="156"/>
        <v>1.2586770182638762E-3</v>
      </c>
      <c r="O3365">
        <f>VLOOKUP(K3365,RatingLookup!$A$2:$C$8,3,FALSE)</f>
        <v>0.5</v>
      </c>
      <c r="P3365">
        <f t="shared" si="157"/>
        <v>9.7025117952870887E-2</v>
      </c>
      <c r="Q3365" t="str">
        <f t="shared" ca="1" si="158"/>
        <v>No</v>
      </c>
    </row>
    <row r="3366" spans="1:17" x14ac:dyDescent="0.45">
      <c r="A3366" t="s">
        <v>148</v>
      </c>
      <c r="B3366" t="s">
        <v>149</v>
      </c>
      <c r="C3366" t="s">
        <v>66</v>
      </c>
      <c r="D3366" t="s">
        <v>20</v>
      </c>
      <c r="E3366" t="s">
        <v>21</v>
      </c>
      <c r="F3366" s="1">
        <v>43952</v>
      </c>
      <c r="G3366">
        <v>6.01</v>
      </c>
      <c r="H3366">
        <v>79.635199999999998</v>
      </c>
      <c r="I3366">
        <v>21.09</v>
      </c>
      <c r="J3366">
        <v>63.82</v>
      </c>
      <c r="K3366" t="s">
        <v>30</v>
      </c>
      <c r="L3366">
        <v>144.37</v>
      </c>
      <c r="M3366">
        <f>VLOOKUP(K3366,RatingLookup!$A$2:$C$8,2,FALSE)</f>
        <v>1.4999999999999999E-2</v>
      </c>
      <c r="N3366">
        <f t="shared" si="156"/>
        <v>1.2586770182638762E-3</v>
      </c>
      <c r="O3366">
        <f>VLOOKUP(K3366,RatingLookup!$A$2:$C$8,3,FALSE)</f>
        <v>0.5</v>
      </c>
      <c r="P3366">
        <f t="shared" si="157"/>
        <v>9.085760056337791E-2</v>
      </c>
      <c r="Q3366" t="str">
        <f t="shared" ca="1" si="158"/>
        <v>No</v>
      </c>
    </row>
    <row r="3367" spans="1:17" x14ac:dyDescent="0.45">
      <c r="A3367" t="s">
        <v>148</v>
      </c>
      <c r="B3367" t="s">
        <v>149</v>
      </c>
      <c r="C3367" t="s">
        <v>66</v>
      </c>
      <c r="D3367" t="s">
        <v>20</v>
      </c>
      <c r="E3367" t="s">
        <v>21</v>
      </c>
      <c r="F3367" s="1">
        <v>43983</v>
      </c>
      <c r="G3367">
        <v>5.08</v>
      </c>
      <c r="H3367">
        <v>84.274699999999996</v>
      </c>
      <c r="I3367">
        <v>15.95</v>
      </c>
      <c r="J3367">
        <v>82.24</v>
      </c>
      <c r="K3367" t="s">
        <v>30</v>
      </c>
      <c r="L3367">
        <v>146.33000000000001</v>
      </c>
      <c r="M3367">
        <f>VLOOKUP(K3367,RatingLookup!$A$2:$C$8,2,FALSE)</f>
        <v>1.4999999999999999E-2</v>
      </c>
      <c r="N3367">
        <f t="shared" si="156"/>
        <v>1.2586770182638762E-3</v>
      </c>
      <c r="O3367">
        <f>VLOOKUP(K3367,RatingLookup!$A$2:$C$8,3,FALSE)</f>
        <v>0.5</v>
      </c>
      <c r="P3367">
        <f t="shared" si="157"/>
        <v>9.2091104041276517E-2</v>
      </c>
      <c r="Q3367" t="str">
        <f t="shared" ca="1" si="158"/>
        <v>No</v>
      </c>
    </row>
    <row r="3368" spans="1:17" x14ac:dyDescent="0.45">
      <c r="A3368" t="s">
        <v>148</v>
      </c>
      <c r="B3368" t="s">
        <v>149</v>
      </c>
      <c r="C3368" t="s">
        <v>66</v>
      </c>
      <c r="D3368" t="s">
        <v>20</v>
      </c>
      <c r="E3368" t="s">
        <v>21</v>
      </c>
      <c r="F3368" s="1">
        <v>44013</v>
      </c>
      <c r="G3368">
        <v>5.2</v>
      </c>
      <c r="H3368">
        <v>80.358999999999995</v>
      </c>
      <c r="I3368">
        <v>9.5</v>
      </c>
      <c r="J3368">
        <v>78.91</v>
      </c>
      <c r="K3368" t="s">
        <v>30</v>
      </c>
      <c r="L3368">
        <v>173.05</v>
      </c>
      <c r="M3368">
        <f>VLOOKUP(K3368,RatingLookup!$A$2:$C$8,2,FALSE)</f>
        <v>1.4999999999999999E-2</v>
      </c>
      <c r="N3368">
        <f t="shared" si="156"/>
        <v>1.2586770182638762E-3</v>
      </c>
      <c r="O3368">
        <f>VLOOKUP(K3368,RatingLookup!$A$2:$C$8,3,FALSE)</f>
        <v>0.5</v>
      </c>
      <c r="P3368">
        <f t="shared" si="157"/>
        <v>0.1089070290052819</v>
      </c>
      <c r="Q3368" t="str">
        <f t="shared" ca="1" si="158"/>
        <v>No</v>
      </c>
    </row>
    <row r="3369" spans="1:17" x14ac:dyDescent="0.45">
      <c r="A3369" t="s">
        <v>148</v>
      </c>
      <c r="B3369" t="s">
        <v>149</v>
      </c>
      <c r="C3369" t="s">
        <v>66</v>
      </c>
      <c r="D3369" t="s">
        <v>20</v>
      </c>
      <c r="E3369" t="s">
        <v>21</v>
      </c>
      <c r="F3369" s="1">
        <v>44044</v>
      </c>
      <c r="G3369">
        <v>4.41</v>
      </c>
      <c r="H3369">
        <v>76.409499999999994</v>
      </c>
      <c r="I3369">
        <v>12.89</v>
      </c>
      <c r="J3369">
        <v>73.349999999999994</v>
      </c>
      <c r="K3369" t="s">
        <v>30</v>
      </c>
      <c r="L3369">
        <v>165.5</v>
      </c>
      <c r="M3369">
        <f>VLOOKUP(K3369,RatingLookup!$A$2:$C$8,2,FALSE)</f>
        <v>1.4999999999999999E-2</v>
      </c>
      <c r="N3369">
        <f t="shared" si="156"/>
        <v>1.2586770182638762E-3</v>
      </c>
      <c r="O3369">
        <f>VLOOKUP(K3369,RatingLookup!$A$2:$C$8,3,FALSE)</f>
        <v>0.5</v>
      </c>
      <c r="P3369">
        <f t="shared" si="157"/>
        <v>0.10415552326133576</v>
      </c>
      <c r="Q3369" t="str">
        <f t="shared" ca="1" si="158"/>
        <v>No</v>
      </c>
    </row>
    <row r="3370" spans="1:17" x14ac:dyDescent="0.45">
      <c r="A3370" t="s">
        <v>148</v>
      </c>
      <c r="B3370" t="s">
        <v>149</v>
      </c>
      <c r="C3370" t="s">
        <v>66</v>
      </c>
      <c r="D3370" t="s">
        <v>20</v>
      </c>
      <c r="E3370" t="s">
        <v>21</v>
      </c>
      <c r="F3370" s="1">
        <v>44075</v>
      </c>
      <c r="G3370">
        <v>6.27</v>
      </c>
      <c r="H3370">
        <v>79.8733</v>
      </c>
      <c r="I3370">
        <v>21.94</v>
      </c>
      <c r="J3370">
        <v>64.42</v>
      </c>
      <c r="K3370" t="s">
        <v>30</v>
      </c>
      <c r="L3370">
        <v>158.21</v>
      </c>
      <c r="M3370">
        <f>VLOOKUP(K3370,RatingLookup!$A$2:$C$8,2,FALSE)</f>
        <v>1.4999999999999999E-2</v>
      </c>
      <c r="N3370">
        <f t="shared" si="156"/>
        <v>1.2586770182638762E-3</v>
      </c>
      <c r="O3370">
        <f>VLOOKUP(K3370,RatingLookup!$A$2:$C$8,3,FALSE)</f>
        <v>0.5</v>
      </c>
      <c r="P3370">
        <f t="shared" si="157"/>
        <v>9.9567645529763937E-2</v>
      </c>
      <c r="Q3370" t="str">
        <f t="shared" ca="1" si="158"/>
        <v>No</v>
      </c>
    </row>
    <row r="3371" spans="1:17" x14ac:dyDescent="0.45">
      <c r="A3371" t="s">
        <v>148</v>
      </c>
      <c r="B3371" t="s">
        <v>149</v>
      </c>
      <c r="C3371" t="s">
        <v>66</v>
      </c>
      <c r="D3371" t="s">
        <v>20</v>
      </c>
      <c r="E3371" t="s">
        <v>21</v>
      </c>
      <c r="F3371" s="1">
        <v>44105</v>
      </c>
      <c r="G3371">
        <v>5.71</v>
      </c>
      <c r="H3371">
        <v>81.283600000000007</v>
      </c>
      <c r="I3371">
        <v>15.44</v>
      </c>
      <c r="J3371">
        <v>90.99</v>
      </c>
      <c r="K3371" t="s">
        <v>30</v>
      </c>
      <c r="L3371">
        <v>162.93</v>
      </c>
      <c r="M3371">
        <f>VLOOKUP(K3371,RatingLookup!$A$2:$C$8,2,FALSE)</f>
        <v>1.4999999999999999E-2</v>
      </c>
      <c r="N3371">
        <f t="shared" si="156"/>
        <v>1.2586770182638762E-3</v>
      </c>
      <c r="O3371">
        <f>VLOOKUP(K3371,RatingLookup!$A$2:$C$8,3,FALSE)</f>
        <v>0.5</v>
      </c>
      <c r="P3371">
        <f t="shared" si="157"/>
        <v>0.10253812329286668</v>
      </c>
      <c r="Q3371" t="str">
        <f t="shared" ca="1" si="158"/>
        <v>No</v>
      </c>
    </row>
    <row r="3372" spans="1:17" x14ac:dyDescent="0.45">
      <c r="A3372" t="s">
        <v>148</v>
      </c>
      <c r="B3372" t="s">
        <v>149</v>
      </c>
      <c r="C3372" t="s">
        <v>66</v>
      </c>
      <c r="D3372" t="s">
        <v>20</v>
      </c>
      <c r="E3372" t="s">
        <v>21</v>
      </c>
      <c r="F3372" s="1">
        <v>44136</v>
      </c>
      <c r="G3372">
        <v>5.79</v>
      </c>
      <c r="H3372">
        <v>84.041300000000007</v>
      </c>
      <c r="I3372">
        <v>21.66</v>
      </c>
      <c r="J3372">
        <v>79.569999999999993</v>
      </c>
      <c r="K3372" t="s">
        <v>30</v>
      </c>
      <c r="L3372">
        <v>170.72</v>
      </c>
      <c r="M3372">
        <f>VLOOKUP(K3372,RatingLookup!$A$2:$C$8,2,FALSE)</f>
        <v>1.4999999999999999E-2</v>
      </c>
      <c r="N3372">
        <f t="shared" si="156"/>
        <v>1.2586770182638762E-3</v>
      </c>
      <c r="O3372">
        <f>VLOOKUP(K3372,RatingLookup!$A$2:$C$8,3,FALSE)</f>
        <v>0.5</v>
      </c>
      <c r="P3372">
        <f t="shared" si="157"/>
        <v>0.10744067027900447</v>
      </c>
      <c r="Q3372" t="str">
        <f t="shared" ca="1" si="158"/>
        <v>No</v>
      </c>
    </row>
    <row r="3373" spans="1:17" x14ac:dyDescent="0.45">
      <c r="A3373" t="s">
        <v>148</v>
      </c>
      <c r="B3373" t="s">
        <v>149</v>
      </c>
      <c r="C3373" t="s">
        <v>66</v>
      </c>
      <c r="D3373" t="s">
        <v>20</v>
      </c>
      <c r="E3373" t="s">
        <v>21</v>
      </c>
      <c r="F3373" s="1">
        <v>44166</v>
      </c>
      <c r="G3373">
        <v>4.9400000000000004</v>
      </c>
      <c r="H3373">
        <v>82.572599999999994</v>
      </c>
      <c r="I3373">
        <v>14.03</v>
      </c>
      <c r="J3373">
        <v>59.87</v>
      </c>
      <c r="K3373" t="s">
        <v>30</v>
      </c>
      <c r="L3373">
        <v>167.41</v>
      </c>
      <c r="M3373">
        <f>VLOOKUP(K3373,RatingLookup!$A$2:$C$8,2,FALSE)</f>
        <v>1.4999999999999999E-2</v>
      </c>
      <c r="N3373">
        <f t="shared" si="156"/>
        <v>1.2586770182638762E-3</v>
      </c>
      <c r="O3373">
        <f>VLOOKUP(K3373,RatingLookup!$A$2:$C$8,3,FALSE)</f>
        <v>0.5</v>
      </c>
      <c r="P3373">
        <f t="shared" si="157"/>
        <v>0.10535755981377776</v>
      </c>
      <c r="Q3373" t="str">
        <f t="shared" ca="1" si="158"/>
        <v>No</v>
      </c>
    </row>
    <row r="3374" spans="1:17" x14ac:dyDescent="0.45">
      <c r="A3374" t="s">
        <v>148</v>
      </c>
      <c r="B3374" t="s">
        <v>149</v>
      </c>
      <c r="C3374" t="s">
        <v>66</v>
      </c>
      <c r="D3374" t="s">
        <v>20</v>
      </c>
      <c r="E3374" t="s">
        <v>21</v>
      </c>
      <c r="F3374" s="1">
        <v>44197</v>
      </c>
      <c r="G3374">
        <v>6.61</v>
      </c>
      <c r="H3374">
        <v>85.454899999999995</v>
      </c>
      <c r="I3374">
        <v>16.64</v>
      </c>
      <c r="J3374">
        <v>80.23</v>
      </c>
      <c r="K3374" t="s">
        <v>31</v>
      </c>
      <c r="L3374">
        <v>159.27000000000001</v>
      </c>
      <c r="M3374">
        <f>VLOOKUP(K3374,RatingLookup!$A$2:$C$8,2,FALSE)</f>
        <v>0.04</v>
      </c>
      <c r="N3374">
        <f t="shared" si="156"/>
        <v>3.3960531989175591E-3</v>
      </c>
      <c r="O3374">
        <f>VLOOKUP(K3374,RatingLookup!$A$2:$C$8,3,FALSE)</f>
        <v>0.6</v>
      </c>
      <c r="P3374">
        <f t="shared" si="157"/>
        <v>0.32453363579495981</v>
      </c>
      <c r="Q3374" t="str">
        <f t="shared" ca="1" si="158"/>
        <v>No</v>
      </c>
    </row>
    <row r="3375" spans="1:17" x14ac:dyDescent="0.45">
      <c r="A3375" t="s">
        <v>148</v>
      </c>
      <c r="B3375" t="s">
        <v>149</v>
      </c>
      <c r="C3375" t="s">
        <v>66</v>
      </c>
      <c r="D3375" t="s">
        <v>20</v>
      </c>
      <c r="E3375" t="s">
        <v>21</v>
      </c>
      <c r="F3375" s="1">
        <v>44228</v>
      </c>
      <c r="G3375">
        <v>5.14</v>
      </c>
      <c r="H3375">
        <v>84.793899999999994</v>
      </c>
      <c r="I3375">
        <v>5</v>
      </c>
      <c r="J3375">
        <v>86.36</v>
      </c>
      <c r="K3375" t="s">
        <v>31</v>
      </c>
      <c r="L3375">
        <v>160.84</v>
      </c>
      <c r="M3375">
        <f>VLOOKUP(K3375,RatingLookup!$A$2:$C$8,2,FALSE)</f>
        <v>0.04</v>
      </c>
      <c r="N3375">
        <f t="shared" si="156"/>
        <v>3.3960531989175591E-3</v>
      </c>
      <c r="O3375">
        <f>VLOOKUP(K3375,RatingLookup!$A$2:$C$8,3,FALSE)</f>
        <v>0.6</v>
      </c>
      <c r="P3375">
        <f t="shared" si="157"/>
        <v>0.32773271790834013</v>
      </c>
      <c r="Q3375" t="str">
        <f t="shared" ca="1" si="158"/>
        <v>No</v>
      </c>
    </row>
    <row r="3376" spans="1:17" x14ac:dyDescent="0.45">
      <c r="A3376" t="s">
        <v>148</v>
      </c>
      <c r="B3376" t="s">
        <v>149</v>
      </c>
      <c r="C3376" t="s">
        <v>66</v>
      </c>
      <c r="D3376" t="s">
        <v>20</v>
      </c>
      <c r="E3376" t="s">
        <v>21</v>
      </c>
      <c r="F3376" s="1">
        <v>44256</v>
      </c>
      <c r="G3376">
        <v>4.26</v>
      </c>
      <c r="H3376">
        <v>86.521900000000002</v>
      </c>
      <c r="I3376">
        <v>12.33</v>
      </c>
      <c r="J3376">
        <v>85.5</v>
      </c>
      <c r="K3376" t="s">
        <v>31</v>
      </c>
      <c r="L3376">
        <v>165.27</v>
      </c>
      <c r="M3376">
        <f>VLOOKUP(K3376,RatingLookup!$A$2:$C$8,2,FALSE)</f>
        <v>0.04</v>
      </c>
      <c r="N3376">
        <f t="shared" si="156"/>
        <v>3.3960531989175591E-3</v>
      </c>
      <c r="O3376">
        <f>VLOOKUP(K3376,RatingLookup!$A$2:$C$8,3,FALSE)</f>
        <v>0.6</v>
      </c>
      <c r="P3376">
        <f t="shared" si="157"/>
        <v>0.33675942731106301</v>
      </c>
      <c r="Q3376" t="str">
        <f t="shared" ca="1" si="158"/>
        <v>No</v>
      </c>
    </row>
    <row r="3377" spans="1:17" x14ac:dyDescent="0.45">
      <c r="A3377" t="s">
        <v>148</v>
      </c>
      <c r="B3377" t="s">
        <v>149</v>
      </c>
      <c r="C3377" t="s">
        <v>66</v>
      </c>
      <c r="D3377" t="s">
        <v>20</v>
      </c>
      <c r="E3377" t="s">
        <v>21</v>
      </c>
      <c r="F3377" s="1">
        <v>44287</v>
      </c>
      <c r="G3377">
        <v>5.43</v>
      </c>
      <c r="H3377">
        <v>82.8386</v>
      </c>
      <c r="I3377">
        <v>23.92</v>
      </c>
      <c r="J3377">
        <v>64.77</v>
      </c>
      <c r="K3377" t="s">
        <v>31</v>
      </c>
      <c r="L3377">
        <v>165.99</v>
      </c>
      <c r="M3377">
        <f>VLOOKUP(K3377,RatingLookup!$A$2:$C$8,2,FALSE)</f>
        <v>0.04</v>
      </c>
      <c r="N3377">
        <f t="shared" si="156"/>
        <v>3.3960531989175591E-3</v>
      </c>
      <c r="O3377">
        <f>VLOOKUP(K3377,RatingLookup!$A$2:$C$8,3,FALSE)</f>
        <v>0.6</v>
      </c>
      <c r="P3377">
        <f t="shared" si="157"/>
        <v>0.33822652229299538</v>
      </c>
      <c r="Q3377" t="str">
        <f t="shared" ca="1" si="158"/>
        <v>No</v>
      </c>
    </row>
    <row r="3378" spans="1:17" x14ac:dyDescent="0.45">
      <c r="A3378" t="s">
        <v>148</v>
      </c>
      <c r="B3378" t="s">
        <v>149</v>
      </c>
      <c r="C3378" t="s">
        <v>66</v>
      </c>
      <c r="D3378" t="s">
        <v>20</v>
      </c>
      <c r="E3378" t="s">
        <v>21</v>
      </c>
      <c r="F3378" s="1">
        <v>44317</v>
      </c>
      <c r="G3378">
        <v>4.93</v>
      </c>
      <c r="H3378">
        <v>81.111800000000002</v>
      </c>
      <c r="I3378">
        <v>14.48</v>
      </c>
      <c r="J3378">
        <v>74.790000000000006</v>
      </c>
      <c r="K3378" t="s">
        <v>31</v>
      </c>
      <c r="L3378">
        <v>152.07</v>
      </c>
      <c r="M3378">
        <f>VLOOKUP(K3378,RatingLookup!$A$2:$C$8,2,FALSE)</f>
        <v>0.04</v>
      </c>
      <c r="N3378">
        <f t="shared" si="156"/>
        <v>3.3960531989175591E-3</v>
      </c>
      <c r="O3378">
        <f>VLOOKUP(K3378,RatingLookup!$A$2:$C$8,3,FALSE)</f>
        <v>0.6</v>
      </c>
      <c r="P3378">
        <f t="shared" si="157"/>
        <v>0.30986268597563588</v>
      </c>
      <c r="Q3378" t="str">
        <f t="shared" ca="1" si="158"/>
        <v>No</v>
      </c>
    </row>
    <row r="3379" spans="1:17" x14ac:dyDescent="0.45">
      <c r="A3379" t="s">
        <v>148</v>
      </c>
      <c r="B3379" t="s">
        <v>149</v>
      </c>
      <c r="C3379" t="s">
        <v>66</v>
      </c>
      <c r="D3379" t="s">
        <v>20</v>
      </c>
      <c r="E3379" t="s">
        <v>21</v>
      </c>
      <c r="F3379" s="1">
        <v>44348</v>
      </c>
      <c r="G3379">
        <v>5.77</v>
      </c>
      <c r="H3379">
        <v>83.625500000000002</v>
      </c>
      <c r="I3379">
        <v>6.78</v>
      </c>
      <c r="J3379">
        <v>92.21</v>
      </c>
      <c r="K3379" t="s">
        <v>31</v>
      </c>
      <c r="L3379">
        <v>163.91</v>
      </c>
      <c r="M3379">
        <f>VLOOKUP(K3379,RatingLookup!$A$2:$C$8,2,FALSE)</f>
        <v>0.04</v>
      </c>
      <c r="N3379">
        <f t="shared" si="156"/>
        <v>3.3960531989175591E-3</v>
      </c>
      <c r="O3379">
        <f>VLOOKUP(K3379,RatingLookup!$A$2:$C$8,3,FALSE)</f>
        <v>0.6</v>
      </c>
      <c r="P3379">
        <f t="shared" si="157"/>
        <v>0.33398824790074622</v>
      </c>
      <c r="Q3379" t="str">
        <f t="shared" ca="1" si="158"/>
        <v>No</v>
      </c>
    </row>
    <row r="3380" spans="1:17" x14ac:dyDescent="0.45">
      <c r="A3380" t="s">
        <v>148</v>
      </c>
      <c r="B3380" t="s">
        <v>149</v>
      </c>
      <c r="C3380" t="s">
        <v>66</v>
      </c>
      <c r="D3380" t="s">
        <v>20</v>
      </c>
      <c r="E3380" t="s">
        <v>21</v>
      </c>
      <c r="F3380" s="1">
        <v>44378</v>
      </c>
      <c r="G3380">
        <v>5.85</v>
      </c>
      <c r="H3380">
        <v>83.332999999999998</v>
      </c>
      <c r="I3380">
        <v>12.59</v>
      </c>
      <c r="J3380">
        <v>81.88</v>
      </c>
      <c r="K3380" t="s">
        <v>31</v>
      </c>
      <c r="L3380">
        <v>159.24</v>
      </c>
      <c r="M3380">
        <f>VLOOKUP(K3380,RatingLookup!$A$2:$C$8,2,FALSE)</f>
        <v>0.04</v>
      </c>
      <c r="N3380">
        <f t="shared" si="156"/>
        <v>3.3960531989175591E-3</v>
      </c>
      <c r="O3380">
        <f>VLOOKUP(K3380,RatingLookup!$A$2:$C$8,3,FALSE)</f>
        <v>0.6</v>
      </c>
      <c r="P3380">
        <f t="shared" si="157"/>
        <v>0.32447250683737933</v>
      </c>
      <c r="Q3380" t="str">
        <f t="shared" ca="1" si="158"/>
        <v>No</v>
      </c>
    </row>
    <row r="3381" spans="1:17" x14ac:dyDescent="0.45">
      <c r="A3381" t="s">
        <v>148</v>
      </c>
      <c r="B3381" t="s">
        <v>149</v>
      </c>
      <c r="C3381" t="s">
        <v>66</v>
      </c>
      <c r="D3381" t="s">
        <v>20</v>
      </c>
      <c r="E3381" t="s">
        <v>21</v>
      </c>
      <c r="F3381" s="1">
        <v>44409</v>
      </c>
      <c r="G3381">
        <v>5.75</v>
      </c>
      <c r="H3381">
        <v>80.977900000000005</v>
      </c>
      <c r="I3381">
        <v>18.09</v>
      </c>
      <c r="J3381">
        <v>71.819999999999993</v>
      </c>
      <c r="K3381" t="s">
        <v>31</v>
      </c>
      <c r="L3381">
        <v>150.34</v>
      </c>
      <c r="M3381">
        <f>VLOOKUP(K3381,RatingLookup!$A$2:$C$8,2,FALSE)</f>
        <v>0.04</v>
      </c>
      <c r="N3381">
        <f t="shared" si="156"/>
        <v>3.3960531989175591E-3</v>
      </c>
      <c r="O3381">
        <f>VLOOKUP(K3381,RatingLookup!$A$2:$C$8,3,FALSE)</f>
        <v>0.6</v>
      </c>
      <c r="P3381">
        <f t="shared" si="157"/>
        <v>0.30633758275515949</v>
      </c>
      <c r="Q3381" t="str">
        <f t="shared" ca="1" si="158"/>
        <v>No</v>
      </c>
    </row>
    <row r="3382" spans="1:17" x14ac:dyDescent="0.45">
      <c r="A3382" t="s">
        <v>148</v>
      </c>
      <c r="B3382" t="s">
        <v>149</v>
      </c>
      <c r="C3382" t="s">
        <v>66</v>
      </c>
      <c r="D3382" t="s">
        <v>20</v>
      </c>
      <c r="E3382" t="s">
        <v>21</v>
      </c>
      <c r="F3382" s="1">
        <v>44440</v>
      </c>
      <c r="G3382">
        <v>5.59</v>
      </c>
      <c r="H3382">
        <v>78.9255</v>
      </c>
      <c r="I3382">
        <v>7.49</v>
      </c>
      <c r="J3382">
        <v>94.3</v>
      </c>
      <c r="K3382" t="s">
        <v>31</v>
      </c>
      <c r="L3382">
        <v>171.16</v>
      </c>
      <c r="M3382">
        <f>VLOOKUP(K3382,RatingLookup!$A$2:$C$8,2,FALSE)</f>
        <v>0.04</v>
      </c>
      <c r="N3382">
        <f t="shared" si="156"/>
        <v>3.3960531989175591E-3</v>
      </c>
      <c r="O3382">
        <f>VLOOKUP(K3382,RatingLookup!$A$2:$C$8,3,FALSE)</f>
        <v>0.6</v>
      </c>
      <c r="P3382">
        <f t="shared" si="157"/>
        <v>0.34876107931603761</v>
      </c>
      <c r="Q3382" t="str">
        <f t="shared" ca="1" si="158"/>
        <v>No</v>
      </c>
    </row>
    <row r="3383" spans="1:17" x14ac:dyDescent="0.45">
      <c r="A3383" t="s">
        <v>148</v>
      </c>
      <c r="B3383" t="s">
        <v>149</v>
      </c>
      <c r="C3383" t="s">
        <v>66</v>
      </c>
      <c r="D3383" t="s">
        <v>20</v>
      </c>
      <c r="E3383" t="s">
        <v>21</v>
      </c>
      <c r="F3383" s="1">
        <v>44470</v>
      </c>
      <c r="G3383">
        <v>5.14</v>
      </c>
      <c r="H3383">
        <v>84.088700000000003</v>
      </c>
      <c r="I3383">
        <v>11.93</v>
      </c>
      <c r="J3383">
        <v>65.33</v>
      </c>
      <c r="K3383" t="s">
        <v>31</v>
      </c>
      <c r="L3383">
        <v>158.35</v>
      </c>
      <c r="M3383">
        <f>VLOOKUP(K3383,RatingLookup!$A$2:$C$8,2,FALSE)</f>
        <v>0.04</v>
      </c>
      <c r="N3383">
        <f t="shared" si="156"/>
        <v>3.3960531989175591E-3</v>
      </c>
      <c r="O3383">
        <f>VLOOKUP(K3383,RatingLookup!$A$2:$C$8,3,FALSE)</f>
        <v>0.6</v>
      </c>
      <c r="P3383">
        <f t="shared" si="157"/>
        <v>0.32265901442915729</v>
      </c>
      <c r="Q3383" t="str">
        <f t="shared" ca="1" si="158"/>
        <v>No</v>
      </c>
    </row>
    <row r="3384" spans="1:17" x14ac:dyDescent="0.45">
      <c r="A3384" t="s">
        <v>148</v>
      </c>
      <c r="B3384" t="s">
        <v>149</v>
      </c>
      <c r="C3384" t="s">
        <v>66</v>
      </c>
      <c r="D3384" t="s">
        <v>20</v>
      </c>
      <c r="E3384" t="s">
        <v>21</v>
      </c>
      <c r="F3384" s="1">
        <v>44501</v>
      </c>
      <c r="G3384">
        <v>6.09</v>
      </c>
      <c r="H3384">
        <v>85.724699999999999</v>
      </c>
      <c r="I3384">
        <v>12.09</v>
      </c>
      <c r="J3384">
        <v>71.88</v>
      </c>
      <c r="K3384" t="s">
        <v>30</v>
      </c>
      <c r="L3384">
        <v>167.87</v>
      </c>
      <c r="M3384">
        <f>VLOOKUP(K3384,RatingLookup!$A$2:$C$8,2,FALSE)</f>
        <v>1.4999999999999999E-2</v>
      </c>
      <c r="N3384">
        <f t="shared" si="156"/>
        <v>1.2586770182638762E-3</v>
      </c>
      <c r="O3384">
        <f>VLOOKUP(K3384,RatingLookup!$A$2:$C$8,3,FALSE)</f>
        <v>0.5</v>
      </c>
      <c r="P3384">
        <f t="shared" si="157"/>
        <v>0.10564705552797846</v>
      </c>
      <c r="Q3384" t="str">
        <f t="shared" ca="1" si="158"/>
        <v>No</v>
      </c>
    </row>
    <row r="3385" spans="1:17" x14ac:dyDescent="0.45">
      <c r="A3385" t="s">
        <v>148</v>
      </c>
      <c r="B3385" t="s">
        <v>149</v>
      </c>
      <c r="C3385" t="s">
        <v>66</v>
      </c>
      <c r="D3385" t="s">
        <v>20</v>
      </c>
      <c r="E3385" t="s">
        <v>21</v>
      </c>
      <c r="F3385" s="1">
        <v>44531</v>
      </c>
      <c r="G3385">
        <v>4.76</v>
      </c>
      <c r="H3385">
        <v>85.209800000000001</v>
      </c>
      <c r="I3385">
        <v>21.35</v>
      </c>
      <c r="J3385">
        <v>77.75</v>
      </c>
      <c r="K3385" t="s">
        <v>30</v>
      </c>
      <c r="L3385">
        <v>164.53</v>
      </c>
      <c r="M3385">
        <f>VLOOKUP(K3385,RatingLookup!$A$2:$C$8,2,FALSE)</f>
        <v>1.4999999999999999E-2</v>
      </c>
      <c r="N3385">
        <f t="shared" si="156"/>
        <v>1.2586770182638762E-3</v>
      </c>
      <c r="O3385">
        <f>VLOOKUP(K3385,RatingLookup!$A$2:$C$8,3,FALSE)</f>
        <v>0.5</v>
      </c>
      <c r="P3385">
        <f t="shared" si="157"/>
        <v>0.10354506490747778</v>
      </c>
      <c r="Q3385" t="str">
        <f t="shared" ca="1" si="158"/>
        <v>No</v>
      </c>
    </row>
    <row r="3386" spans="1:17" x14ac:dyDescent="0.45">
      <c r="A3386" t="s">
        <v>148</v>
      </c>
      <c r="B3386" t="s">
        <v>149</v>
      </c>
      <c r="C3386" t="s">
        <v>66</v>
      </c>
      <c r="D3386" t="s">
        <v>20</v>
      </c>
      <c r="E3386" t="s">
        <v>21</v>
      </c>
      <c r="F3386" s="1">
        <v>44562</v>
      </c>
      <c r="G3386">
        <v>6.03</v>
      </c>
      <c r="H3386">
        <v>84.15</v>
      </c>
      <c r="I3386">
        <v>25.88</v>
      </c>
      <c r="J3386">
        <v>71.94</v>
      </c>
      <c r="K3386" t="s">
        <v>30</v>
      </c>
      <c r="L3386">
        <v>175.51</v>
      </c>
      <c r="M3386">
        <f>VLOOKUP(K3386,RatingLookup!$A$2:$C$8,2,FALSE)</f>
        <v>1.4999999999999999E-2</v>
      </c>
      <c r="N3386">
        <f t="shared" si="156"/>
        <v>1.2586770182638762E-3</v>
      </c>
      <c r="O3386">
        <f>VLOOKUP(K3386,RatingLookup!$A$2:$C$8,3,FALSE)</f>
        <v>0.5</v>
      </c>
      <c r="P3386">
        <f t="shared" si="157"/>
        <v>0.11045520173774645</v>
      </c>
      <c r="Q3386" t="str">
        <f t="shared" ca="1" si="158"/>
        <v>No</v>
      </c>
    </row>
    <row r="3387" spans="1:17" x14ac:dyDescent="0.45">
      <c r="A3387" t="s">
        <v>148</v>
      </c>
      <c r="B3387" t="s">
        <v>149</v>
      </c>
      <c r="C3387" t="s">
        <v>66</v>
      </c>
      <c r="D3387" t="s">
        <v>20</v>
      </c>
      <c r="E3387" t="s">
        <v>21</v>
      </c>
      <c r="F3387" s="1">
        <v>44593</v>
      </c>
      <c r="G3387">
        <v>5.39</v>
      </c>
      <c r="H3387">
        <v>83.949799999999996</v>
      </c>
      <c r="I3387">
        <v>26.25</v>
      </c>
      <c r="J3387">
        <v>98.21</v>
      </c>
      <c r="K3387" t="s">
        <v>30</v>
      </c>
      <c r="L3387">
        <v>175.49</v>
      </c>
      <c r="M3387">
        <f>VLOOKUP(K3387,RatingLookup!$A$2:$C$8,2,FALSE)</f>
        <v>1.4999999999999999E-2</v>
      </c>
      <c r="N3387">
        <f t="shared" si="156"/>
        <v>1.2586770182638762E-3</v>
      </c>
      <c r="O3387">
        <f>VLOOKUP(K3387,RatingLookup!$A$2:$C$8,3,FALSE)</f>
        <v>0.5</v>
      </c>
      <c r="P3387">
        <f t="shared" si="157"/>
        <v>0.11044261496756383</v>
      </c>
      <c r="Q3387" t="str">
        <f t="shared" ca="1" si="158"/>
        <v>No</v>
      </c>
    </row>
    <row r="3388" spans="1:17" x14ac:dyDescent="0.45">
      <c r="A3388" t="s">
        <v>148</v>
      </c>
      <c r="B3388" t="s">
        <v>149</v>
      </c>
      <c r="C3388" t="s">
        <v>66</v>
      </c>
      <c r="D3388" t="s">
        <v>20</v>
      </c>
      <c r="E3388" t="s">
        <v>21</v>
      </c>
      <c r="F3388" s="1">
        <v>44621</v>
      </c>
      <c r="G3388">
        <v>6.25</v>
      </c>
      <c r="H3388">
        <v>84.294799999999995</v>
      </c>
      <c r="I3388">
        <v>16.12</v>
      </c>
      <c r="J3388">
        <v>83.75</v>
      </c>
      <c r="K3388" t="s">
        <v>30</v>
      </c>
      <c r="L3388">
        <v>177.94</v>
      </c>
      <c r="M3388">
        <f>VLOOKUP(K3388,RatingLookup!$A$2:$C$8,2,FALSE)</f>
        <v>1.4999999999999999E-2</v>
      </c>
      <c r="N3388">
        <f t="shared" si="156"/>
        <v>1.2586770182638762E-3</v>
      </c>
      <c r="O3388">
        <f>VLOOKUP(K3388,RatingLookup!$A$2:$C$8,3,FALSE)</f>
        <v>0.5</v>
      </c>
      <c r="P3388">
        <f t="shared" si="157"/>
        <v>0.11198449431493707</v>
      </c>
      <c r="Q3388" t="str">
        <f t="shared" ca="1" si="158"/>
        <v>No</v>
      </c>
    </row>
    <row r="3389" spans="1:17" x14ac:dyDescent="0.45">
      <c r="A3389" t="s">
        <v>148</v>
      </c>
      <c r="B3389" t="s">
        <v>149</v>
      </c>
      <c r="C3389" t="s">
        <v>66</v>
      </c>
      <c r="D3389" t="s">
        <v>20</v>
      </c>
      <c r="E3389" t="s">
        <v>21</v>
      </c>
      <c r="F3389" s="1">
        <v>44652</v>
      </c>
      <c r="G3389">
        <v>6.59</v>
      </c>
      <c r="H3389">
        <v>78.090800000000002</v>
      </c>
      <c r="I3389">
        <v>23.31</v>
      </c>
      <c r="J3389">
        <v>62.37</v>
      </c>
      <c r="K3389" t="s">
        <v>30</v>
      </c>
      <c r="L3389">
        <v>169.8</v>
      </c>
      <c r="M3389">
        <f>VLOOKUP(K3389,RatingLookup!$A$2:$C$8,2,FALSE)</f>
        <v>1.4999999999999999E-2</v>
      </c>
      <c r="N3389">
        <f t="shared" si="156"/>
        <v>1.2586770182638762E-3</v>
      </c>
      <c r="O3389">
        <f>VLOOKUP(K3389,RatingLookup!$A$2:$C$8,3,FALSE)</f>
        <v>0.5</v>
      </c>
      <c r="P3389">
        <f t="shared" si="157"/>
        <v>0.1068616788506031</v>
      </c>
      <c r="Q3389" t="str">
        <f t="shared" ca="1" si="158"/>
        <v>No</v>
      </c>
    </row>
    <row r="3390" spans="1:17" x14ac:dyDescent="0.45">
      <c r="A3390" t="s">
        <v>148</v>
      </c>
      <c r="B3390" t="s">
        <v>149</v>
      </c>
      <c r="C3390" t="s">
        <v>66</v>
      </c>
      <c r="D3390" t="s">
        <v>20</v>
      </c>
      <c r="E3390" t="s">
        <v>21</v>
      </c>
      <c r="F3390" s="1">
        <v>44682</v>
      </c>
      <c r="G3390">
        <v>4.5999999999999996</v>
      </c>
      <c r="H3390">
        <v>79.4101</v>
      </c>
      <c r="I3390">
        <v>13.04</v>
      </c>
      <c r="J3390">
        <v>76.56</v>
      </c>
      <c r="K3390" t="s">
        <v>30</v>
      </c>
      <c r="L3390">
        <v>177.89</v>
      </c>
      <c r="M3390">
        <f>VLOOKUP(K3390,RatingLookup!$A$2:$C$8,2,FALSE)</f>
        <v>1.4999999999999999E-2</v>
      </c>
      <c r="N3390">
        <f t="shared" si="156"/>
        <v>1.2586770182638762E-3</v>
      </c>
      <c r="O3390">
        <f>VLOOKUP(K3390,RatingLookup!$A$2:$C$8,3,FALSE)</f>
        <v>0.5</v>
      </c>
      <c r="P3390">
        <f t="shared" si="157"/>
        <v>0.11195302738948046</v>
      </c>
      <c r="Q3390" t="str">
        <f t="shared" ca="1" si="158"/>
        <v>No</v>
      </c>
    </row>
    <row r="3391" spans="1:17" x14ac:dyDescent="0.45">
      <c r="A3391" t="s">
        <v>148</v>
      </c>
      <c r="B3391" t="s">
        <v>149</v>
      </c>
      <c r="C3391" t="s">
        <v>66</v>
      </c>
      <c r="D3391" t="s">
        <v>20</v>
      </c>
      <c r="E3391" t="s">
        <v>21</v>
      </c>
      <c r="F3391" s="1">
        <v>44713</v>
      </c>
      <c r="G3391">
        <v>5.51</v>
      </c>
      <c r="H3391">
        <v>83.318700000000007</v>
      </c>
      <c r="I3391">
        <v>18.149999999999999</v>
      </c>
      <c r="J3391">
        <v>72.92</v>
      </c>
      <c r="K3391" t="s">
        <v>30</v>
      </c>
      <c r="L3391">
        <v>169.15</v>
      </c>
      <c r="M3391">
        <f>VLOOKUP(K3391,RatingLookup!$A$2:$C$8,2,FALSE)</f>
        <v>1.4999999999999999E-2</v>
      </c>
      <c r="N3391">
        <f t="shared" si="156"/>
        <v>1.2586770182638762E-3</v>
      </c>
      <c r="O3391">
        <f>VLOOKUP(K3391,RatingLookup!$A$2:$C$8,3,FALSE)</f>
        <v>0.5</v>
      </c>
      <c r="P3391">
        <f t="shared" si="157"/>
        <v>0.10645260881966734</v>
      </c>
      <c r="Q3391" t="str">
        <f t="shared" ca="1" si="158"/>
        <v>No</v>
      </c>
    </row>
    <row r="3392" spans="1:17" x14ac:dyDescent="0.45">
      <c r="A3392" t="s">
        <v>148</v>
      </c>
      <c r="B3392" t="s">
        <v>149</v>
      </c>
      <c r="C3392" t="s">
        <v>66</v>
      </c>
      <c r="D3392" t="s">
        <v>20</v>
      </c>
      <c r="E3392" t="s">
        <v>21</v>
      </c>
      <c r="F3392" s="1">
        <v>44743</v>
      </c>
      <c r="G3392">
        <v>5.83</v>
      </c>
      <c r="H3392">
        <v>83.403000000000006</v>
      </c>
      <c r="I3392">
        <v>15.61</v>
      </c>
      <c r="J3392">
        <v>67.680000000000007</v>
      </c>
      <c r="K3392" t="s">
        <v>30</v>
      </c>
      <c r="L3392">
        <v>184.71</v>
      </c>
      <c r="M3392">
        <f>VLOOKUP(K3392,RatingLookup!$A$2:$C$8,2,FALSE)</f>
        <v>1.4999999999999999E-2</v>
      </c>
      <c r="N3392">
        <f t="shared" si="156"/>
        <v>1.2586770182638762E-3</v>
      </c>
      <c r="O3392">
        <f>VLOOKUP(K3392,RatingLookup!$A$2:$C$8,3,FALSE)</f>
        <v>0.5</v>
      </c>
      <c r="P3392">
        <f t="shared" si="157"/>
        <v>0.1162451160217603</v>
      </c>
      <c r="Q3392" t="str">
        <f t="shared" ca="1" si="158"/>
        <v>No</v>
      </c>
    </row>
    <row r="3393" spans="1:17" x14ac:dyDescent="0.45">
      <c r="A3393" t="s">
        <v>148</v>
      </c>
      <c r="B3393" t="s">
        <v>149</v>
      </c>
      <c r="C3393" t="s">
        <v>66</v>
      </c>
      <c r="D3393" t="s">
        <v>20</v>
      </c>
      <c r="E3393" t="s">
        <v>21</v>
      </c>
      <c r="F3393" s="1">
        <v>44774</v>
      </c>
      <c r="G3393">
        <v>5.88</v>
      </c>
      <c r="H3393">
        <v>85.373400000000004</v>
      </c>
      <c r="I3393">
        <v>15.81</v>
      </c>
      <c r="J3393">
        <v>76.8</v>
      </c>
      <c r="K3393" t="s">
        <v>30</v>
      </c>
      <c r="L3393">
        <v>162.44</v>
      </c>
      <c r="M3393">
        <f>VLOOKUP(K3393,RatingLookup!$A$2:$C$8,2,FALSE)</f>
        <v>1.4999999999999999E-2</v>
      </c>
      <c r="N3393">
        <f t="shared" si="156"/>
        <v>1.2586770182638762E-3</v>
      </c>
      <c r="O3393">
        <f>VLOOKUP(K3393,RatingLookup!$A$2:$C$8,3,FALSE)</f>
        <v>0.5</v>
      </c>
      <c r="P3393">
        <f t="shared" si="157"/>
        <v>0.10222974742339203</v>
      </c>
      <c r="Q3393" t="str">
        <f t="shared" ca="1" si="158"/>
        <v>No</v>
      </c>
    </row>
    <row r="3394" spans="1:17" x14ac:dyDescent="0.45">
      <c r="A3394" t="s">
        <v>148</v>
      </c>
      <c r="B3394" t="s">
        <v>149</v>
      </c>
      <c r="C3394" t="s">
        <v>66</v>
      </c>
      <c r="D3394" t="s">
        <v>20</v>
      </c>
      <c r="E3394" t="s">
        <v>21</v>
      </c>
      <c r="F3394" s="1">
        <v>44805</v>
      </c>
      <c r="G3394">
        <v>5.5</v>
      </c>
      <c r="H3394">
        <v>80.950100000000006</v>
      </c>
      <c r="I3394">
        <v>12.6</v>
      </c>
      <c r="J3394">
        <v>62</v>
      </c>
      <c r="K3394" t="s">
        <v>30</v>
      </c>
      <c r="L3394">
        <v>183.68</v>
      </c>
      <c r="M3394">
        <f>VLOOKUP(K3394,RatingLookup!$A$2:$C$8,2,FALSE)</f>
        <v>1.4999999999999999E-2</v>
      </c>
      <c r="N3394">
        <f t="shared" ref="N3394:N3457" si="159">1-(1-M3394)^(1/12)</f>
        <v>1.2586770182638762E-3</v>
      </c>
      <c r="O3394">
        <f>VLOOKUP(K3394,RatingLookup!$A$2:$C$8,3,FALSE)</f>
        <v>0.5</v>
      </c>
      <c r="P3394">
        <f t="shared" ref="P3394:P3457" si="160">L3394*N3394*O3394</f>
        <v>0.1155968973573544</v>
      </c>
      <c r="Q3394" t="str">
        <f t="shared" ref="Q3394:Q3457" ca="1" si="161">IF(RAND()&lt;N3394,"Yes","No")</f>
        <v>No</v>
      </c>
    </row>
    <row r="3395" spans="1:17" x14ac:dyDescent="0.45">
      <c r="A3395" t="s">
        <v>148</v>
      </c>
      <c r="B3395" t="s">
        <v>149</v>
      </c>
      <c r="C3395" t="s">
        <v>66</v>
      </c>
      <c r="D3395" t="s">
        <v>20</v>
      </c>
      <c r="E3395" t="s">
        <v>21</v>
      </c>
      <c r="F3395" s="1">
        <v>44835</v>
      </c>
      <c r="G3395">
        <v>5.3</v>
      </c>
      <c r="H3395">
        <v>86.016900000000007</v>
      </c>
      <c r="I3395">
        <v>19.73</v>
      </c>
      <c r="J3395">
        <v>72.209999999999994</v>
      </c>
      <c r="K3395" t="s">
        <v>31</v>
      </c>
      <c r="L3395">
        <v>142.34</v>
      </c>
      <c r="M3395">
        <f>VLOOKUP(K3395,RatingLookup!$A$2:$C$8,2,FALSE)</f>
        <v>0.04</v>
      </c>
      <c r="N3395">
        <f t="shared" si="159"/>
        <v>3.3960531989175591E-3</v>
      </c>
      <c r="O3395">
        <f>VLOOKUP(K3395,RatingLookup!$A$2:$C$8,3,FALSE)</f>
        <v>0.6</v>
      </c>
      <c r="P3395">
        <f t="shared" si="160"/>
        <v>0.29003652740035524</v>
      </c>
      <c r="Q3395" t="str">
        <f t="shared" ca="1" si="161"/>
        <v>No</v>
      </c>
    </row>
    <row r="3396" spans="1:17" x14ac:dyDescent="0.45">
      <c r="A3396" t="s">
        <v>148</v>
      </c>
      <c r="B3396" t="s">
        <v>149</v>
      </c>
      <c r="C3396" t="s">
        <v>66</v>
      </c>
      <c r="D3396" t="s">
        <v>20</v>
      </c>
      <c r="E3396" t="s">
        <v>21</v>
      </c>
      <c r="F3396" s="1">
        <v>44866</v>
      </c>
      <c r="G3396">
        <v>6.06</v>
      </c>
      <c r="H3396">
        <v>76.560699999999997</v>
      </c>
      <c r="I3396">
        <v>31.14</v>
      </c>
      <c r="J3396">
        <v>70.489999999999995</v>
      </c>
      <c r="K3396" t="s">
        <v>31</v>
      </c>
      <c r="L3396">
        <v>168.14</v>
      </c>
      <c r="M3396">
        <f>VLOOKUP(K3396,RatingLookup!$A$2:$C$8,2,FALSE)</f>
        <v>0.04</v>
      </c>
      <c r="N3396">
        <f t="shared" si="159"/>
        <v>3.3960531989175591E-3</v>
      </c>
      <c r="O3396">
        <f>VLOOKUP(K3396,RatingLookup!$A$2:$C$8,3,FALSE)</f>
        <v>0.6</v>
      </c>
      <c r="P3396">
        <f t="shared" si="160"/>
        <v>0.342607430919599</v>
      </c>
      <c r="Q3396" t="str">
        <f t="shared" ca="1" si="161"/>
        <v>No</v>
      </c>
    </row>
    <row r="3397" spans="1:17" x14ac:dyDescent="0.45">
      <c r="A3397" t="s">
        <v>148</v>
      </c>
      <c r="B3397" t="s">
        <v>149</v>
      </c>
      <c r="C3397" t="s">
        <v>66</v>
      </c>
      <c r="D3397" t="s">
        <v>20</v>
      </c>
      <c r="E3397" t="s">
        <v>21</v>
      </c>
      <c r="F3397" s="1">
        <v>44896</v>
      </c>
      <c r="G3397">
        <v>4.3600000000000003</v>
      </c>
      <c r="H3397">
        <v>80.145399999999995</v>
      </c>
      <c r="I3397">
        <v>13.76</v>
      </c>
      <c r="J3397">
        <v>94.7</v>
      </c>
      <c r="K3397" t="s">
        <v>31</v>
      </c>
      <c r="L3397">
        <v>156.6</v>
      </c>
      <c r="M3397">
        <f>VLOOKUP(K3397,RatingLookup!$A$2:$C$8,2,FALSE)</f>
        <v>0.04</v>
      </c>
      <c r="N3397">
        <f t="shared" si="159"/>
        <v>3.3960531989175591E-3</v>
      </c>
      <c r="O3397">
        <f>VLOOKUP(K3397,RatingLookup!$A$2:$C$8,3,FALSE)</f>
        <v>0.6</v>
      </c>
      <c r="P3397">
        <f t="shared" si="160"/>
        <v>0.3190931585702938</v>
      </c>
      <c r="Q3397" t="str">
        <f t="shared" ca="1" si="161"/>
        <v>No</v>
      </c>
    </row>
    <row r="3398" spans="1:17" x14ac:dyDescent="0.45">
      <c r="A3398" t="s">
        <v>148</v>
      </c>
      <c r="B3398" t="s">
        <v>149</v>
      </c>
      <c r="C3398" t="s">
        <v>66</v>
      </c>
      <c r="D3398" t="s">
        <v>20</v>
      </c>
      <c r="E3398" t="s">
        <v>21</v>
      </c>
      <c r="F3398" s="1">
        <v>44927</v>
      </c>
      <c r="G3398">
        <v>4.3</v>
      </c>
      <c r="H3398">
        <v>81.864400000000003</v>
      </c>
      <c r="I3398">
        <v>16.399999999999999</v>
      </c>
      <c r="J3398">
        <v>69.13</v>
      </c>
      <c r="K3398" t="s">
        <v>31</v>
      </c>
      <c r="L3398">
        <v>169.38</v>
      </c>
      <c r="M3398">
        <f>VLOOKUP(K3398,RatingLookup!$A$2:$C$8,2,FALSE)</f>
        <v>0.04</v>
      </c>
      <c r="N3398">
        <f t="shared" si="159"/>
        <v>3.3960531989175591E-3</v>
      </c>
      <c r="O3398">
        <f>VLOOKUP(K3398,RatingLookup!$A$2:$C$8,3,FALSE)</f>
        <v>0.6</v>
      </c>
      <c r="P3398">
        <f t="shared" si="160"/>
        <v>0.34513409449959365</v>
      </c>
      <c r="Q3398" t="str">
        <f t="shared" ca="1" si="161"/>
        <v>No</v>
      </c>
    </row>
    <row r="3399" spans="1:17" x14ac:dyDescent="0.45">
      <c r="A3399" t="s">
        <v>148</v>
      </c>
      <c r="B3399" t="s">
        <v>149</v>
      </c>
      <c r="C3399" t="s">
        <v>66</v>
      </c>
      <c r="D3399" t="s">
        <v>20</v>
      </c>
      <c r="E3399" t="s">
        <v>21</v>
      </c>
      <c r="F3399" s="1">
        <v>44958</v>
      </c>
      <c r="G3399">
        <v>6.02</v>
      </c>
      <c r="H3399">
        <v>83.835800000000006</v>
      </c>
      <c r="I3399">
        <v>16.63</v>
      </c>
      <c r="J3399">
        <v>74.72</v>
      </c>
      <c r="K3399" t="s">
        <v>31</v>
      </c>
      <c r="L3399">
        <v>166.04</v>
      </c>
      <c r="M3399">
        <f>VLOOKUP(K3399,RatingLookup!$A$2:$C$8,2,FALSE)</f>
        <v>0.04</v>
      </c>
      <c r="N3399">
        <f t="shared" si="159"/>
        <v>3.3960531989175591E-3</v>
      </c>
      <c r="O3399">
        <f>VLOOKUP(K3399,RatingLookup!$A$2:$C$8,3,FALSE)</f>
        <v>0.6</v>
      </c>
      <c r="P3399">
        <f t="shared" si="160"/>
        <v>0.3383284038889629</v>
      </c>
      <c r="Q3399" t="str">
        <f t="shared" ca="1" si="161"/>
        <v>No</v>
      </c>
    </row>
    <row r="3400" spans="1:17" x14ac:dyDescent="0.45">
      <c r="A3400" t="s">
        <v>148</v>
      </c>
      <c r="B3400" t="s">
        <v>149</v>
      </c>
      <c r="C3400" t="s">
        <v>66</v>
      </c>
      <c r="D3400" t="s">
        <v>20</v>
      </c>
      <c r="E3400" t="s">
        <v>21</v>
      </c>
      <c r="F3400" s="1">
        <v>44986</v>
      </c>
      <c r="G3400">
        <v>6.03</v>
      </c>
      <c r="H3400">
        <v>82.612899999999996</v>
      </c>
      <c r="I3400">
        <v>23.85</v>
      </c>
      <c r="J3400">
        <v>90.58</v>
      </c>
      <c r="K3400" t="s">
        <v>31</v>
      </c>
      <c r="L3400">
        <v>152.81</v>
      </c>
      <c r="M3400">
        <f>VLOOKUP(K3400,RatingLookup!$A$2:$C$8,2,FALSE)</f>
        <v>0.04</v>
      </c>
      <c r="N3400">
        <f t="shared" si="159"/>
        <v>3.3960531989175591E-3</v>
      </c>
      <c r="O3400">
        <f>VLOOKUP(K3400,RatingLookup!$A$2:$C$8,3,FALSE)</f>
        <v>0.6</v>
      </c>
      <c r="P3400">
        <f t="shared" si="160"/>
        <v>0.31137053359595529</v>
      </c>
      <c r="Q3400" t="str">
        <f t="shared" ca="1" si="161"/>
        <v>No</v>
      </c>
    </row>
    <row r="3401" spans="1:17" x14ac:dyDescent="0.45">
      <c r="A3401" t="s">
        <v>148</v>
      </c>
      <c r="B3401" t="s">
        <v>149</v>
      </c>
      <c r="C3401" t="s">
        <v>66</v>
      </c>
      <c r="D3401" t="s">
        <v>20</v>
      </c>
      <c r="E3401" t="s">
        <v>21</v>
      </c>
      <c r="F3401" s="1">
        <v>45017</v>
      </c>
      <c r="G3401">
        <v>5.52</v>
      </c>
      <c r="H3401">
        <v>85.238</v>
      </c>
      <c r="I3401">
        <v>17.37</v>
      </c>
      <c r="J3401">
        <v>83.64</v>
      </c>
      <c r="K3401" t="s">
        <v>31</v>
      </c>
      <c r="L3401">
        <v>163.49</v>
      </c>
      <c r="M3401">
        <f>VLOOKUP(K3401,RatingLookup!$A$2:$C$8,2,FALSE)</f>
        <v>0.04</v>
      </c>
      <c r="N3401">
        <f t="shared" si="159"/>
        <v>3.3960531989175591E-3</v>
      </c>
      <c r="O3401">
        <f>VLOOKUP(K3401,RatingLookup!$A$2:$C$8,3,FALSE)</f>
        <v>0.6</v>
      </c>
      <c r="P3401">
        <f t="shared" si="160"/>
        <v>0.33313244249461904</v>
      </c>
      <c r="Q3401" t="str">
        <f t="shared" ca="1" si="161"/>
        <v>No</v>
      </c>
    </row>
    <row r="3402" spans="1:17" x14ac:dyDescent="0.45">
      <c r="A3402" t="s">
        <v>148</v>
      </c>
      <c r="B3402" t="s">
        <v>149</v>
      </c>
      <c r="C3402" t="s">
        <v>66</v>
      </c>
      <c r="D3402" t="s">
        <v>20</v>
      </c>
      <c r="E3402" t="s">
        <v>21</v>
      </c>
      <c r="F3402" s="1">
        <v>45047</v>
      </c>
      <c r="G3402">
        <v>5.29</v>
      </c>
      <c r="H3402">
        <v>84.120699999999999</v>
      </c>
      <c r="I3402">
        <v>20.61</v>
      </c>
      <c r="J3402">
        <v>59.49</v>
      </c>
      <c r="K3402" t="s">
        <v>31</v>
      </c>
      <c r="L3402">
        <v>166.28</v>
      </c>
      <c r="M3402">
        <f>VLOOKUP(K3402,RatingLookup!$A$2:$C$8,2,FALSE)</f>
        <v>0.04</v>
      </c>
      <c r="N3402">
        <f t="shared" si="159"/>
        <v>3.3960531989175591E-3</v>
      </c>
      <c r="O3402">
        <f>VLOOKUP(K3402,RatingLookup!$A$2:$C$8,3,FALSE)</f>
        <v>0.6</v>
      </c>
      <c r="P3402">
        <f t="shared" si="160"/>
        <v>0.33881743554960703</v>
      </c>
      <c r="Q3402" t="str">
        <f t="shared" ca="1" si="161"/>
        <v>No</v>
      </c>
    </row>
    <row r="3403" spans="1:17" x14ac:dyDescent="0.45">
      <c r="A3403" t="s">
        <v>148</v>
      </c>
      <c r="B3403" t="s">
        <v>149</v>
      </c>
      <c r="C3403" t="s">
        <v>66</v>
      </c>
      <c r="D3403" t="s">
        <v>20</v>
      </c>
      <c r="E3403" t="s">
        <v>21</v>
      </c>
      <c r="F3403" s="1">
        <v>45078</v>
      </c>
      <c r="G3403">
        <v>5.17</v>
      </c>
      <c r="H3403">
        <v>83.995699999999999</v>
      </c>
      <c r="I3403">
        <v>30.11</v>
      </c>
      <c r="J3403">
        <v>89.09</v>
      </c>
      <c r="K3403" t="s">
        <v>31</v>
      </c>
      <c r="L3403">
        <v>156.16999999999999</v>
      </c>
      <c r="M3403">
        <f>VLOOKUP(K3403,RatingLookup!$A$2:$C$8,2,FALSE)</f>
        <v>0.04</v>
      </c>
      <c r="N3403">
        <f t="shared" si="159"/>
        <v>3.3960531989175591E-3</v>
      </c>
      <c r="O3403">
        <f>VLOOKUP(K3403,RatingLookup!$A$2:$C$8,3,FALSE)</f>
        <v>0.6</v>
      </c>
      <c r="P3403">
        <f t="shared" si="160"/>
        <v>0.31821697684497308</v>
      </c>
      <c r="Q3403" t="str">
        <f t="shared" ca="1" si="161"/>
        <v>No</v>
      </c>
    </row>
    <row r="3404" spans="1:17" x14ac:dyDescent="0.45">
      <c r="A3404" t="s">
        <v>148</v>
      </c>
      <c r="B3404" t="s">
        <v>149</v>
      </c>
      <c r="C3404" t="s">
        <v>66</v>
      </c>
      <c r="D3404" t="s">
        <v>20</v>
      </c>
      <c r="E3404" t="s">
        <v>21</v>
      </c>
      <c r="F3404" s="1">
        <v>45108</v>
      </c>
      <c r="G3404">
        <v>5.29</v>
      </c>
      <c r="H3404">
        <v>82.651799999999994</v>
      </c>
      <c r="I3404">
        <v>16.73</v>
      </c>
      <c r="J3404">
        <v>82.9</v>
      </c>
      <c r="K3404" t="s">
        <v>31</v>
      </c>
      <c r="L3404">
        <v>151.02000000000001</v>
      </c>
      <c r="M3404">
        <f>VLOOKUP(K3404,RatingLookup!$A$2:$C$8,2,FALSE)</f>
        <v>0.04</v>
      </c>
      <c r="N3404">
        <f t="shared" si="159"/>
        <v>3.3960531989175591E-3</v>
      </c>
      <c r="O3404">
        <f>VLOOKUP(K3404,RatingLookup!$A$2:$C$8,3,FALSE)</f>
        <v>0.6</v>
      </c>
      <c r="P3404">
        <f t="shared" si="160"/>
        <v>0.30772317246031783</v>
      </c>
      <c r="Q3404" t="str">
        <f t="shared" ca="1" si="161"/>
        <v>No</v>
      </c>
    </row>
    <row r="3405" spans="1:17" x14ac:dyDescent="0.45">
      <c r="A3405" t="s">
        <v>148</v>
      </c>
      <c r="B3405" t="s">
        <v>149</v>
      </c>
      <c r="C3405" t="s">
        <v>66</v>
      </c>
      <c r="D3405" t="s">
        <v>20</v>
      </c>
      <c r="E3405" t="s">
        <v>21</v>
      </c>
      <c r="F3405" s="1">
        <v>45139</v>
      </c>
      <c r="G3405">
        <v>6.33</v>
      </c>
      <c r="H3405">
        <v>79.900999999999996</v>
      </c>
      <c r="I3405">
        <v>11.78</v>
      </c>
      <c r="J3405">
        <v>90.09</v>
      </c>
      <c r="K3405" t="s">
        <v>31</v>
      </c>
      <c r="L3405">
        <v>154.81</v>
      </c>
      <c r="M3405">
        <f>VLOOKUP(K3405,RatingLookup!$A$2:$C$8,2,FALSE)</f>
        <v>0.04</v>
      </c>
      <c r="N3405">
        <f t="shared" si="159"/>
        <v>3.3960531989175591E-3</v>
      </c>
      <c r="O3405">
        <f>VLOOKUP(K3405,RatingLookup!$A$2:$C$8,3,FALSE)</f>
        <v>0.6</v>
      </c>
      <c r="P3405">
        <f t="shared" si="160"/>
        <v>0.31544579743465634</v>
      </c>
      <c r="Q3405" t="str">
        <f t="shared" ca="1" si="161"/>
        <v>No</v>
      </c>
    </row>
    <row r="3406" spans="1:17" x14ac:dyDescent="0.45">
      <c r="A3406" t="s">
        <v>148</v>
      </c>
      <c r="B3406" t="s">
        <v>149</v>
      </c>
      <c r="C3406" t="s">
        <v>66</v>
      </c>
      <c r="D3406" t="s">
        <v>20</v>
      </c>
      <c r="E3406" t="s">
        <v>21</v>
      </c>
      <c r="F3406" s="1">
        <v>45170</v>
      </c>
      <c r="G3406">
        <v>5.01</v>
      </c>
      <c r="H3406">
        <v>82.833100000000002</v>
      </c>
      <c r="I3406">
        <v>15.63</v>
      </c>
      <c r="J3406">
        <v>86.98</v>
      </c>
      <c r="K3406" t="s">
        <v>31</v>
      </c>
      <c r="L3406">
        <v>161.81</v>
      </c>
      <c r="M3406">
        <f>VLOOKUP(K3406,RatingLookup!$A$2:$C$8,2,FALSE)</f>
        <v>0.04</v>
      </c>
      <c r="N3406">
        <f t="shared" si="159"/>
        <v>3.3960531989175591E-3</v>
      </c>
      <c r="O3406">
        <f>VLOOKUP(K3406,RatingLookup!$A$2:$C$8,3,FALSE)</f>
        <v>0.6</v>
      </c>
      <c r="P3406">
        <f t="shared" si="160"/>
        <v>0.32970922087011012</v>
      </c>
      <c r="Q3406" t="str">
        <f t="shared" ca="1" si="161"/>
        <v>No</v>
      </c>
    </row>
    <row r="3407" spans="1:17" x14ac:dyDescent="0.45">
      <c r="A3407" t="s">
        <v>148</v>
      </c>
      <c r="B3407" t="s">
        <v>149</v>
      </c>
      <c r="C3407" t="s">
        <v>66</v>
      </c>
      <c r="D3407" t="s">
        <v>20</v>
      </c>
      <c r="E3407" t="s">
        <v>21</v>
      </c>
      <c r="F3407" s="1">
        <v>45200</v>
      </c>
      <c r="G3407">
        <v>6.05</v>
      </c>
      <c r="H3407">
        <v>83.128900000000002</v>
      </c>
      <c r="I3407">
        <v>14.41</v>
      </c>
      <c r="J3407">
        <v>69.14</v>
      </c>
      <c r="K3407" t="s">
        <v>31</v>
      </c>
      <c r="L3407">
        <v>159.37</v>
      </c>
      <c r="M3407">
        <f>VLOOKUP(K3407,RatingLookup!$A$2:$C$8,2,FALSE)</f>
        <v>0.04</v>
      </c>
      <c r="N3407">
        <f t="shared" si="159"/>
        <v>3.3960531989175591E-3</v>
      </c>
      <c r="O3407">
        <f>VLOOKUP(K3407,RatingLookup!$A$2:$C$8,3,FALSE)</f>
        <v>0.6</v>
      </c>
      <c r="P3407">
        <f t="shared" si="160"/>
        <v>0.32473739898689485</v>
      </c>
      <c r="Q3407" t="str">
        <f t="shared" ca="1" si="161"/>
        <v>No</v>
      </c>
    </row>
    <row r="3408" spans="1:17" x14ac:dyDescent="0.45">
      <c r="A3408" t="s">
        <v>148</v>
      </c>
      <c r="B3408" t="s">
        <v>149</v>
      </c>
      <c r="C3408" t="s">
        <v>66</v>
      </c>
      <c r="D3408" t="s">
        <v>20</v>
      </c>
      <c r="E3408" t="s">
        <v>21</v>
      </c>
      <c r="F3408" s="1">
        <v>45231</v>
      </c>
      <c r="G3408">
        <v>6</v>
      </c>
      <c r="H3408">
        <v>81.204499999999996</v>
      </c>
      <c r="I3408">
        <v>17.38</v>
      </c>
      <c r="J3408">
        <v>85.07</v>
      </c>
      <c r="K3408" t="s">
        <v>31</v>
      </c>
      <c r="L3408">
        <v>165.49</v>
      </c>
      <c r="M3408">
        <f>VLOOKUP(K3408,RatingLookup!$A$2:$C$8,2,FALSE)</f>
        <v>0.04</v>
      </c>
      <c r="N3408">
        <f t="shared" si="159"/>
        <v>3.3960531989175591E-3</v>
      </c>
      <c r="O3408">
        <f>VLOOKUP(K3408,RatingLookup!$A$2:$C$8,3,FALSE)</f>
        <v>0.6</v>
      </c>
      <c r="P3408">
        <f t="shared" si="160"/>
        <v>0.33720770633332009</v>
      </c>
      <c r="Q3408" t="str">
        <f t="shared" ca="1" si="161"/>
        <v>No</v>
      </c>
    </row>
    <row r="3409" spans="1:17" x14ac:dyDescent="0.45">
      <c r="A3409" t="s">
        <v>148</v>
      </c>
      <c r="B3409" t="s">
        <v>149</v>
      </c>
      <c r="C3409" t="s">
        <v>66</v>
      </c>
      <c r="D3409" t="s">
        <v>20</v>
      </c>
      <c r="E3409" t="s">
        <v>21</v>
      </c>
      <c r="F3409" s="1">
        <v>45261</v>
      </c>
      <c r="G3409">
        <v>6.21</v>
      </c>
      <c r="H3409">
        <v>82.7804</v>
      </c>
      <c r="I3409">
        <v>19.899999999999999</v>
      </c>
      <c r="J3409">
        <v>61.9</v>
      </c>
      <c r="K3409" t="s">
        <v>31</v>
      </c>
      <c r="L3409">
        <v>151.57</v>
      </c>
      <c r="M3409">
        <f>VLOOKUP(K3409,RatingLookup!$A$2:$C$8,2,FALSE)</f>
        <v>0.04</v>
      </c>
      <c r="N3409">
        <f t="shared" si="159"/>
        <v>3.3960531989175591E-3</v>
      </c>
      <c r="O3409">
        <f>VLOOKUP(K3409,RatingLookup!$A$2:$C$8,3,FALSE)</f>
        <v>0.6</v>
      </c>
      <c r="P3409">
        <f t="shared" si="160"/>
        <v>0.30884387001596064</v>
      </c>
      <c r="Q3409" t="str">
        <f t="shared" ca="1" si="161"/>
        <v>No</v>
      </c>
    </row>
    <row r="3410" spans="1:17" x14ac:dyDescent="0.45">
      <c r="A3410" t="s">
        <v>148</v>
      </c>
      <c r="B3410" t="s">
        <v>149</v>
      </c>
      <c r="C3410" t="s">
        <v>66</v>
      </c>
      <c r="D3410" t="s">
        <v>20</v>
      </c>
      <c r="E3410" t="s">
        <v>21</v>
      </c>
      <c r="F3410" s="1">
        <v>45292</v>
      </c>
      <c r="G3410">
        <v>4.49</v>
      </c>
      <c r="H3410">
        <v>84.881900000000002</v>
      </c>
      <c r="I3410">
        <v>16.59</v>
      </c>
      <c r="J3410">
        <v>71.849999999999994</v>
      </c>
      <c r="K3410" t="s">
        <v>31</v>
      </c>
      <c r="L3410">
        <v>148.87</v>
      </c>
      <c r="M3410">
        <f>VLOOKUP(K3410,RatingLookup!$A$2:$C$8,2,FALSE)</f>
        <v>0.04</v>
      </c>
      <c r="N3410">
        <f t="shared" si="159"/>
        <v>3.3960531989175591E-3</v>
      </c>
      <c r="O3410">
        <f>VLOOKUP(K3410,RatingLookup!$A$2:$C$8,3,FALSE)</f>
        <v>0.6</v>
      </c>
      <c r="P3410">
        <f t="shared" si="160"/>
        <v>0.30334226383371427</v>
      </c>
      <c r="Q3410" t="str">
        <f t="shared" ca="1" si="161"/>
        <v>No</v>
      </c>
    </row>
    <row r="3411" spans="1:17" x14ac:dyDescent="0.45">
      <c r="A3411" t="s">
        <v>148</v>
      </c>
      <c r="B3411" t="s">
        <v>149</v>
      </c>
      <c r="C3411" t="s">
        <v>66</v>
      </c>
      <c r="D3411" t="s">
        <v>20</v>
      </c>
      <c r="E3411" t="s">
        <v>21</v>
      </c>
      <c r="F3411" s="1">
        <v>45323</v>
      </c>
      <c r="G3411">
        <v>4.62</v>
      </c>
      <c r="H3411">
        <v>86.089500000000001</v>
      </c>
      <c r="I3411">
        <v>18.18</v>
      </c>
      <c r="J3411">
        <v>76.69</v>
      </c>
      <c r="K3411" t="s">
        <v>31</v>
      </c>
      <c r="L3411">
        <v>158.07</v>
      </c>
      <c r="M3411">
        <f>VLOOKUP(K3411,RatingLookup!$A$2:$C$8,2,FALSE)</f>
        <v>0.04</v>
      </c>
      <c r="N3411">
        <f t="shared" si="159"/>
        <v>3.3960531989175591E-3</v>
      </c>
      <c r="O3411">
        <f>VLOOKUP(K3411,RatingLookup!$A$2:$C$8,3,FALSE)</f>
        <v>0.6</v>
      </c>
      <c r="P3411">
        <f t="shared" si="160"/>
        <v>0.32208847749173908</v>
      </c>
      <c r="Q3411" t="str">
        <f t="shared" ca="1" si="161"/>
        <v>No</v>
      </c>
    </row>
    <row r="3412" spans="1:17" x14ac:dyDescent="0.45">
      <c r="A3412" t="s">
        <v>148</v>
      </c>
      <c r="B3412" t="s">
        <v>149</v>
      </c>
      <c r="C3412" t="s">
        <v>66</v>
      </c>
      <c r="D3412" t="s">
        <v>20</v>
      </c>
      <c r="E3412" t="s">
        <v>21</v>
      </c>
      <c r="F3412" s="1">
        <v>45352</v>
      </c>
      <c r="G3412">
        <v>5.88</v>
      </c>
      <c r="H3412">
        <v>83.217500000000001</v>
      </c>
      <c r="I3412">
        <v>23.65</v>
      </c>
      <c r="J3412">
        <v>90.82</v>
      </c>
      <c r="K3412" t="s">
        <v>31</v>
      </c>
      <c r="L3412">
        <v>147.78</v>
      </c>
      <c r="M3412">
        <f>VLOOKUP(K3412,RatingLookup!$A$2:$C$8,2,FALSE)</f>
        <v>0.04</v>
      </c>
      <c r="N3412">
        <f t="shared" si="159"/>
        <v>3.3960531989175591E-3</v>
      </c>
      <c r="O3412">
        <f>VLOOKUP(K3412,RatingLookup!$A$2:$C$8,3,FALSE)</f>
        <v>0.6</v>
      </c>
      <c r="P3412">
        <f t="shared" si="160"/>
        <v>0.30112124504162213</v>
      </c>
      <c r="Q3412" t="str">
        <f t="shared" ca="1" si="161"/>
        <v>No</v>
      </c>
    </row>
    <row r="3413" spans="1:17" x14ac:dyDescent="0.45">
      <c r="A3413" t="s">
        <v>148</v>
      </c>
      <c r="B3413" t="s">
        <v>149</v>
      </c>
      <c r="C3413" t="s">
        <v>66</v>
      </c>
      <c r="D3413" t="s">
        <v>20</v>
      </c>
      <c r="E3413" t="s">
        <v>21</v>
      </c>
      <c r="F3413" s="1">
        <v>45383</v>
      </c>
      <c r="G3413">
        <v>5.1100000000000003</v>
      </c>
      <c r="H3413">
        <v>79.061700000000002</v>
      </c>
      <c r="I3413">
        <v>16.98</v>
      </c>
      <c r="J3413">
        <v>75.23</v>
      </c>
      <c r="K3413" t="s">
        <v>31</v>
      </c>
      <c r="L3413">
        <v>166.33</v>
      </c>
      <c r="M3413">
        <f>VLOOKUP(K3413,RatingLookup!$A$2:$C$8,2,FALSE)</f>
        <v>0.04</v>
      </c>
      <c r="N3413">
        <f t="shared" si="159"/>
        <v>3.3960531989175591E-3</v>
      </c>
      <c r="O3413">
        <f>VLOOKUP(K3413,RatingLookup!$A$2:$C$8,3,FALSE)</f>
        <v>0.6</v>
      </c>
      <c r="P3413">
        <f t="shared" si="160"/>
        <v>0.33891931714557455</v>
      </c>
      <c r="Q3413" t="str">
        <f t="shared" ca="1" si="161"/>
        <v>No</v>
      </c>
    </row>
    <row r="3414" spans="1:17" x14ac:dyDescent="0.45">
      <c r="A3414" t="s">
        <v>148</v>
      </c>
      <c r="B3414" t="s">
        <v>149</v>
      </c>
      <c r="C3414" t="s">
        <v>66</v>
      </c>
      <c r="D3414" t="s">
        <v>20</v>
      </c>
      <c r="E3414" t="s">
        <v>21</v>
      </c>
      <c r="F3414" s="1">
        <v>45413</v>
      </c>
      <c r="G3414">
        <v>5.44</v>
      </c>
      <c r="H3414">
        <v>80.458600000000004</v>
      </c>
      <c r="I3414">
        <v>18.09</v>
      </c>
      <c r="J3414">
        <v>69.95</v>
      </c>
      <c r="K3414" t="s">
        <v>31</v>
      </c>
      <c r="L3414">
        <v>160.81</v>
      </c>
      <c r="M3414">
        <f>VLOOKUP(K3414,RatingLookup!$A$2:$C$8,2,FALSE)</f>
        <v>0.04</v>
      </c>
      <c r="N3414">
        <f t="shared" si="159"/>
        <v>3.3960531989175591E-3</v>
      </c>
      <c r="O3414">
        <f>VLOOKUP(K3414,RatingLookup!$A$2:$C$8,3,FALSE)</f>
        <v>0.6</v>
      </c>
      <c r="P3414">
        <f t="shared" si="160"/>
        <v>0.3276715889507596</v>
      </c>
      <c r="Q3414" t="str">
        <f t="shared" ca="1" si="161"/>
        <v>No</v>
      </c>
    </row>
    <row r="3415" spans="1:17" x14ac:dyDescent="0.45">
      <c r="A3415" t="s">
        <v>148</v>
      </c>
      <c r="B3415" t="s">
        <v>149</v>
      </c>
      <c r="C3415" t="s">
        <v>66</v>
      </c>
      <c r="D3415" t="s">
        <v>20</v>
      </c>
      <c r="E3415" t="s">
        <v>21</v>
      </c>
      <c r="F3415" s="1">
        <v>45444</v>
      </c>
      <c r="G3415">
        <v>5.12</v>
      </c>
      <c r="H3415">
        <v>86.294799999999995</v>
      </c>
      <c r="I3415">
        <v>19.28</v>
      </c>
      <c r="J3415">
        <v>86.37</v>
      </c>
      <c r="K3415" t="s">
        <v>31</v>
      </c>
      <c r="L3415">
        <v>156.72</v>
      </c>
      <c r="M3415">
        <f>VLOOKUP(K3415,RatingLookup!$A$2:$C$8,2,FALSE)</f>
        <v>0.04</v>
      </c>
      <c r="N3415">
        <f t="shared" si="159"/>
        <v>3.3960531989175591E-3</v>
      </c>
      <c r="O3415">
        <f>VLOOKUP(K3415,RatingLookup!$A$2:$C$8,3,FALSE)</f>
        <v>0.6</v>
      </c>
      <c r="P3415">
        <f t="shared" si="160"/>
        <v>0.31933767440061595</v>
      </c>
      <c r="Q3415" t="str">
        <f t="shared" ca="1" si="161"/>
        <v>No</v>
      </c>
    </row>
    <row r="3416" spans="1:17" x14ac:dyDescent="0.45">
      <c r="A3416" t="s">
        <v>148</v>
      </c>
      <c r="B3416" t="s">
        <v>149</v>
      </c>
      <c r="C3416" t="s">
        <v>66</v>
      </c>
      <c r="D3416" t="s">
        <v>20</v>
      </c>
      <c r="E3416" t="s">
        <v>21</v>
      </c>
      <c r="F3416" s="1">
        <v>45474</v>
      </c>
      <c r="G3416">
        <v>5.72</v>
      </c>
      <c r="H3416">
        <v>77.953599999999994</v>
      </c>
      <c r="I3416">
        <v>24.32</v>
      </c>
      <c r="J3416">
        <v>76.81</v>
      </c>
      <c r="K3416" t="s">
        <v>31</v>
      </c>
      <c r="L3416">
        <v>158.43</v>
      </c>
      <c r="M3416">
        <f>VLOOKUP(K3416,RatingLookup!$A$2:$C$8,2,FALSE)</f>
        <v>0.04</v>
      </c>
      <c r="N3416">
        <f t="shared" si="159"/>
        <v>3.3960531989175591E-3</v>
      </c>
      <c r="O3416">
        <f>VLOOKUP(K3416,RatingLookup!$A$2:$C$8,3,FALSE)</f>
        <v>0.6</v>
      </c>
      <c r="P3416">
        <f t="shared" si="160"/>
        <v>0.32282202498270535</v>
      </c>
      <c r="Q3416" t="str">
        <f t="shared" ca="1" si="161"/>
        <v>No</v>
      </c>
    </row>
    <row r="3417" spans="1:17" x14ac:dyDescent="0.45">
      <c r="A3417" t="s">
        <v>148</v>
      </c>
      <c r="B3417" t="s">
        <v>149</v>
      </c>
      <c r="C3417" t="s">
        <v>66</v>
      </c>
      <c r="D3417" t="s">
        <v>20</v>
      </c>
      <c r="E3417" t="s">
        <v>21</v>
      </c>
      <c r="F3417" s="1">
        <v>45505</v>
      </c>
      <c r="G3417">
        <v>5.9</v>
      </c>
      <c r="H3417">
        <v>78.515500000000003</v>
      </c>
      <c r="I3417">
        <v>17.77</v>
      </c>
      <c r="J3417">
        <v>96.28</v>
      </c>
      <c r="K3417" t="s">
        <v>31</v>
      </c>
      <c r="L3417">
        <v>158.58000000000001</v>
      </c>
      <c r="M3417">
        <f>VLOOKUP(K3417,RatingLookup!$A$2:$C$8,2,FALSE)</f>
        <v>0.04</v>
      </c>
      <c r="N3417">
        <f t="shared" si="159"/>
        <v>3.3960531989175591E-3</v>
      </c>
      <c r="O3417">
        <f>VLOOKUP(K3417,RatingLookup!$A$2:$C$8,3,FALSE)</f>
        <v>0.6</v>
      </c>
      <c r="P3417">
        <f t="shared" si="160"/>
        <v>0.32312766977060792</v>
      </c>
      <c r="Q3417" t="str">
        <f t="shared" ca="1" si="161"/>
        <v>No</v>
      </c>
    </row>
    <row r="3418" spans="1:17" x14ac:dyDescent="0.45">
      <c r="A3418" t="s">
        <v>148</v>
      </c>
      <c r="B3418" t="s">
        <v>149</v>
      </c>
      <c r="C3418" t="s">
        <v>66</v>
      </c>
      <c r="D3418" t="s">
        <v>20</v>
      </c>
      <c r="E3418" t="s">
        <v>21</v>
      </c>
      <c r="F3418" s="1">
        <v>45536</v>
      </c>
      <c r="G3418">
        <v>6.29</v>
      </c>
      <c r="H3418">
        <v>81.2072</v>
      </c>
      <c r="I3418">
        <v>9.8800000000000008</v>
      </c>
      <c r="J3418">
        <v>75.930000000000007</v>
      </c>
      <c r="K3418" t="s">
        <v>31</v>
      </c>
      <c r="L3418">
        <v>150.01</v>
      </c>
      <c r="M3418">
        <f>VLOOKUP(K3418,RatingLookup!$A$2:$C$8,2,FALSE)</f>
        <v>0.04</v>
      </c>
      <c r="N3418">
        <f t="shared" si="159"/>
        <v>3.3960531989175591E-3</v>
      </c>
      <c r="O3418">
        <f>VLOOKUP(K3418,RatingLookup!$A$2:$C$8,3,FALSE)</f>
        <v>0.6</v>
      </c>
      <c r="P3418">
        <f t="shared" si="160"/>
        <v>0.30566516422177376</v>
      </c>
      <c r="Q3418" t="str">
        <f t="shared" ca="1" si="161"/>
        <v>No</v>
      </c>
    </row>
    <row r="3419" spans="1:17" x14ac:dyDescent="0.45">
      <c r="A3419" t="s">
        <v>148</v>
      </c>
      <c r="B3419" t="s">
        <v>149</v>
      </c>
      <c r="C3419" t="s">
        <v>66</v>
      </c>
      <c r="D3419" t="s">
        <v>20</v>
      </c>
      <c r="E3419" t="s">
        <v>21</v>
      </c>
      <c r="F3419" s="1">
        <v>45566</v>
      </c>
      <c r="G3419">
        <v>4.1500000000000004</v>
      </c>
      <c r="H3419">
        <v>85.173000000000002</v>
      </c>
      <c r="I3419">
        <v>21.79</v>
      </c>
      <c r="J3419">
        <v>91.68</v>
      </c>
      <c r="K3419" t="s">
        <v>31</v>
      </c>
      <c r="L3419">
        <v>166.14</v>
      </c>
      <c r="M3419">
        <f>VLOOKUP(K3419,RatingLookup!$A$2:$C$8,2,FALSE)</f>
        <v>0.04</v>
      </c>
      <c r="N3419">
        <f t="shared" si="159"/>
        <v>3.3960531989175591E-3</v>
      </c>
      <c r="O3419">
        <f>VLOOKUP(K3419,RatingLookup!$A$2:$C$8,3,FALSE)</f>
        <v>0.6</v>
      </c>
      <c r="P3419">
        <f t="shared" si="160"/>
        <v>0.33853216708089795</v>
      </c>
      <c r="Q3419" t="str">
        <f t="shared" ca="1" si="161"/>
        <v>No</v>
      </c>
    </row>
    <row r="3420" spans="1:17" x14ac:dyDescent="0.45">
      <c r="A3420" t="s">
        <v>148</v>
      </c>
      <c r="B3420" t="s">
        <v>149</v>
      </c>
      <c r="C3420" t="s">
        <v>66</v>
      </c>
      <c r="D3420" t="s">
        <v>20</v>
      </c>
      <c r="E3420" t="s">
        <v>21</v>
      </c>
      <c r="F3420" s="1">
        <v>45597</v>
      </c>
      <c r="G3420">
        <v>6.33</v>
      </c>
      <c r="H3420">
        <v>79.518000000000001</v>
      </c>
      <c r="I3420">
        <v>33.020000000000003</v>
      </c>
      <c r="J3420">
        <v>73.13</v>
      </c>
      <c r="K3420" t="s">
        <v>31</v>
      </c>
      <c r="L3420">
        <v>155.34</v>
      </c>
      <c r="M3420">
        <f>VLOOKUP(K3420,RatingLookup!$A$2:$C$8,2,FALSE)</f>
        <v>0.04</v>
      </c>
      <c r="N3420">
        <f t="shared" si="159"/>
        <v>3.3960531989175591E-3</v>
      </c>
      <c r="O3420">
        <f>VLOOKUP(K3420,RatingLookup!$A$2:$C$8,3,FALSE)</f>
        <v>0.6</v>
      </c>
      <c r="P3420">
        <f t="shared" si="160"/>
        <v>0.31652574235191216</v>
      </c>
      <c r="Q3420" t="str">
        <f t="shared" ca="1" si="161"/>
        <v>No</v>
      </c>
    </row>
    <row r="3421" spans="1:17" x14ac:dyDescent="0.45">
      <c r="A3421" t="s">
        <v>148</v>
      </c>
      <c r="B3421" t="s">
        <v>149</v>
      </c>
      <c r="C3421" t="s">
        <v>66</v>
      </c>
      <c r="D3421" t="s">
        <v>20</v>
      </c>
      <c r="E3421" t="s">
        <v>21</v>
      </c>
      <c r="F3421" s="1">
        <v>45627</v>
      </c>
      <c r="G3421">
        <v>5.18</v>
      </c>
      <c r="H3421">
        <v>80.9679</v>
      </c>
      <c r="I3421">
        <v>24.79</v>
      </c>
      <c r="J3421">
        <v>94.31</v>
      </c>
      <c r="K3421" t="s">
        <v>31</v>
      </c>
      <c r="L3421">
        <v>152.49</v>
      </c>
      <c r="M3421">
        <f>VLOOKUP(K3421,RatingLookup!$A$2:$C$8,2,FALSE)</f>
        <v>0.04</v>
      </c>
      <c r="N3421">
        <f t="shared" si="159"/>
        <v>3.3960531989175591E-3</v>
      </c>
      <c r="O3421">
        <f>VLOOKUP(K3421,RatingLookup!$A$2:$C$8,3,FALSE)</f>
        <v>0.6</v>
      </c>
      <c r="P3421">
        <f t="shared" si="160"/>
        <v>0.31071849138176316</v>
      </c>
      <c r="Q3421" t="str">
        <f t="shared" ca="1" si="161"/>
        <v>No</v>
      </c>
    </row>
    <row r="3422" spans="1:17" x14ac:dyDescent="0.45">
      <c r="A3422" t="s">
        <v>150</v>
      </c>
      <c r="B3422" t="s">
        <v>151</v>
      </c>
      <c r="C3422" t="s">
        <v>61</v>
      </c>
      <c r="D3422" t="s">
        <v>20</v>
      </c>
      <c r="E3422" t="s">
        <v>21</v>
      </c>
      <c r="F3422" s="1">
        <v>43831</v>
      </c>
      <c r="G3422">
        <v>5.8</v>
      </c>
      <c r="H3422">
        <v>79.756399999999999</v>
      </c>
      <c r="I3422">
        <v>22.39</v>
      </c>
      <c r="J3422">
        <v>73.67</v>
      </c>
      <c r="K3422" t="s">
        <v>48</v>
      </c>
      <c r="L3422">
        <v>787.39</v>
      </c>
      <c r="M3422">
        <f>VLOOKUP(K3422,RatingLookup!$A$2:$C$8,2,FALSE)</f>
        <v>5.0000000000000001E-4</v>
      </c>
      <c r="N3422">
        <f t="shared" si="159"/>
        <v>4.167621832917856E-5</v>
      </c>
      <c r="O3422">
        <f>VLOOKUP(K3422,RatingLookup!$A$2:$C$8,3,FALSE)</f>
        <v>0.25</v>
      </c>
      <c r="P3422">
        <f t="shared" si="160"/>
        <v>8.2038593875529767E-3</v>
      </c>
      <c r="Q3422" t="str">
        <f t="shared" ca="1" si="161"/>
        <v>No</v>
      </c>
    </row>
    <row r="3423" spans="1:17" x14ac:dyDescent="0.45">
      <c r="A3423" t="s">
        <v>150</v>
      </c>
      <c r="B3423" t="s">
        <v>151</v>
      </c>
      <c r="C3423" t="s">
        <v>61</v>
      </c>
      <c r="D3423" t="s">
        <v>20</v>
      </c>
      <c r="E3423" t="s">
        <v>21</v>
      </c>
      <c r="F3423" s="1">
        <v>43862</v>
      </c>
      <c r="G3423">
        <v>5.48</v>
      </c>
      <c r="H3423">
        <v>82.732500000000002</v>
      </c>
      <c r="I3423">
        <v>18.559999999999999</v>
      </c>
      <c r="J3423">
        <v>76.040000000000006</v>
      </c>
      <c r="K3423" t="s">
        <v>48</v>
      </c>
      <c r="L3423">
        <v>858.97</v>
      </c>
      <c r="M3423">
        <f>VLOOKUP(K3423,RatingLookup!$A$2:$C$8,2,FALSE)</f>
        <v>5.0000000000000001E-4</v>
      </c>
      <c r="N3423">
        <f t="shared" si="159"/>
        <v>4.167621832917856E-5</v>
      </c>
      <c r="O3423">
        <f>VLOOKUP(K3423,RatingLookup!$A$2:$C$8,3,FALSE)</f>
        <v>0.25</v>
      </c>
      <c r="P3423">
        <f t="shared" si="160"/>
        <v>8.949655314553627E-3</v>
      </c>
      <c r="Q3423" t="str">
        <f t="shared" ca="1" si="161"/>
        <v>No</v>
      </c>
    </row>
    <row r="3424" spans="1:17" x14ac:dyDescent="0.45">
      <c r="A3424" t="s">
        <v>150</v>
      </c>
      <c r="B3424" t="s">
        <v>151</v>
      </c>
      <c r="C3424" t="s">
        <v>61</v>
      </c>
      <c r="D3424" t="s">
        <v>20</v>
      </c>
      <c r="E3424" t="s">
        <v>21</v>
      </c>
      <c r="F3424" s="1">
        <v>43891</v>
      </c>
      <c r="G3424">
        <v>6</v>
      </c>
      <c r="H3424">
        <v>78.639700000000005</v>
      </c>
      <c r="I3424">
        <v>21.33</v>
      </c>
      <c r="J3424">
        <v>91.32</v>
      </c>
      <c r="K3424" t="s">
        <v>48</v>
      </c>
      <c r="L3424">
        <v>800.07</v>
      </c>
      <c r="M3424">
        <f>VLOOKUP(K3424,RatingLookup!$A$2:$C$8,2,FALSE)</f>
        <v>5.0000000000000001E-4</v>
      </c>
      <c r="N3424">
        <f t="shared" si="159"/>
        <v>4.167621832917856E-5</v>
      </c>
      <c r="O3424">
        <f>VLOOKUP(K3424,RatingLookup!$A$2:$C$8,3,FALSE)</f>
        <v>0.25</v>
      </c>
      <c r="P3424">
        <f t="shared" si="160"/>
        <v>8.3359729996564727E-3</v>
      </c>
      <c r="Q3424" t="str">
        <f t="shared" ca="1" si="161"/>
        <v>No</v>
      </c>
    </row>
    <row r="3425" spans="1:17" x14ac:dyDescent="0.45">
      <c r="A3425" t="s">
        <v>150</v>
      </c>
      <c r="B3425" t="s">
        <v>151</v>
      </c>
      <c r="C3425" t="s">
        <v>61</v>
      </c>
      <c r="D3425" t="s">
        <v>20</v>
      </c>
      <c r="E3425" t="s">
        <v>21</v>
      </c>
      <c r="F3425" s="1">
        <v>43922</v>
      </c>
      <c r="G3425">
        <v>6.01</v>
      </c>
      <c r="H3425">
        <v>88.047300000000007</v>
      </c>
      <c r="I3425">
        <v>22.64</v>
      </c>
      <c r="J3425">
        <v>77.48</v>
      </c>
      <c r="K3425" t="s">
        <v>48</v>
      </c>
      <c r="L3425">
        <v>888.79</v>
      </c>
      <c r="M3425">
        <f>VLOOKUP(K3425,RatingLookup!$A$2:$C$8,2,FALSE)</f>
        <v>5.0000000000000001E-4</v>
      </c>
      <c r="N3425">
        <f t="shared" si="159"/>
        <v>4.167621832917856E-5</v>
      </c>
      <c r="O3425">
        <f>VLOOKUP(K3425,RatingLookup!$A$2:$C$8,3,FALSE)</f>
        <v>0.25</v>
      </c>
      <c r="P3425">
        <f t="shared" si="160"/>
        <v>9.2603515221976532E-3</v>
      </c>
      <c r="Q3425" t="str">
        <f t="shared" ca="1" si="161"/>
        <v>No</v>
      </c>
    </row>
    <row r="3426" spans="1:17" x14ac:dyDescent="0.45">
      <c r="A3426" t="s">
        <v>150</v>
      </c>
      <c r="B3426" t="s">
        <v>151</v>
      </c>
      <c r="C3426" t="s">
        <v>61</v>
      </c>
      <c r="D3426" t="s">
        <v>20</v>
      </c>
      <c r="E3426" t="s">
        <v>21</v>
      </c>
      <c r="F3426" s="1">
        <v>43952</v>
      </c>
      <c r="G3426">
        <v>4.99</v>
      </c>
      <c r="H3426">
        <v>82.316599999999994</v>
      </c>
      <c r="I3426">
        <v>8.33</v>
      </c>
      <c r="J3426">
        <v>71.56</v>
      </c>
      <c r="K3426" t="s">
        <v>48</v>
      </c>
      <c r="L3426">
        <v>867.4</v>
      </c>
      <c r="M3426">
        <f>VLOOKUP(K3426,RatingLookup!$A$2:$C$8,2,FALSE)</f>
        <v>5.0000000000000001E-4</v>
      </c>
      <c r="N3426">
        <f t="shared" si="159"/>
        <v>4.167621832917856E-5</v>
      </c>
      <c r="O3426">
        <f>VLOOKUP(K3426,RatingLookup!$A$2:$C$8,3,FALSE)</f>
        <v>0.25</v>
      </c>
      <c r="P3426">
        <f t="shared" si="160"/>
        <v>9.0374879446823708E-3</v>
      </c>
      <c r="Q3426" t="str">
        <f t="shared" ca="1" si="161"/>
        <v>No</v>
      </c>
    </row>
    <row r="3427" spans="1:17" x14ac:dyDescent="0.45">
      <c r="A3427" t="s">
        <v>150</v>
      </c>
      <c r="B3427" t="s">
        <v>151</v>
      </c>
      <c r="C3427" t="s">
        <v>61</v>
      </c>
      <c r="D3427" t="s">
        <v>20</v>
      </c>
      <c r="E3427" t="s">
        <v>21</v>
      </c>
      <c r="F3427" s="1">
        <v>43983</v>
      </c>
      <c r="G3427">
        <v>5.19</v>
      </c>
      <c r="H3427">
        <v>83.176699999999997</v>
      </c>
      <c r="I3427">
        <v>22.57</v>
      </c>
      <c r="J3427">
        <v>68.72</v>
      </c>
      <c r="K3427" t="s">
        <v>48</v>
      </c>
      <c r="L3427">
        <v>778.63</v>
      </c>
      <c r="M3427">
        <f>VLOOKUP(K3427,RatingLookup!$A$2:$C$8,2,FALSE)</f>
        <v>5.0000000000000001E-4</v>
      </c>
      <c r="N3427">
        <f t="shared" si="159"/>
        <v>4.167621832917856E-5</v>
      </c>
      <c r="O3427">
        <f>VLOOKUP(K3427,RatingLookup!$A$2:$C$8,3,FALSE)</f>
        <v>0.25</v>
      </c>
      <c r="P3427">
        <f t="shared" si="160"/>
        <v>8.1125884694120756E-3</v>
      </c>
      <c r="Q3427" t="str">
        <f t="shared" ca="1" si="161"/>
        <v>No</v>
      </c>
    </row>
    <row r="3428" spans="1:17" x14ac:dyDescent="0.45">
      <c r="A3428" t="s">
        <v>150</v>
      </c>
      <c r="B3428" t="s">
        <v>151</v>
      </c>
      <c r="C3428" t="s">
        <v>61</v>
      </c>
      <c r="D3428" t="s">
        <v>20</v>
      </c>
      <c r="E3428" t="s">
        <v>21</v>
      </c>
      <c r="F3428" s="1">
        <v>44013</v>
      </c>
      <c r="G3428">
        <v>4.29</v>
      </c>
      <c r="H3428">
        <v>82.957300000000004</v>
      </c>
      <c r="I3428">
        <v>20.41</v>
      </c>
      <c r="J3428">
        <v>57.63</v>
      </c>
      <c r="K3428" t="s">
        <v>48</v>
      </c>
      <c r="L3428">
        <v>849.16</v>
      </c>
      <c r="M3428">
        <f>VLOOKUP(K3428,RatingLookup!$A$2:$C$8,2,FALSE)</f>
        <v>5.0000000000000001E-4</v>
      </c>
      <c r="N3428">
        <f t="shared" si="159"/>
        <v>4.167621832917856E-5</v>
      </c>
      <c r="O3428">
        <f>VLOOKUP(K3428,RatingLookup!$A$2:$C$8,3,FALSE)</f>
        <v>0.25</v>
      </c>
      <c r="P3428">
        <f t="shared" si="160"/>
        <v>8.8474443891013166E-3</v>
      </c>
      <c r="Q3428" t="str">
        <f t="shared" ca="1" si="161"/>
        <v>No</v>
      </c>
    </row>
    <row r="3429" spans="1:17" x14ac:dyDescent="0.45">
      <c r="A3429" t="s">
        <v>150</v>
      </c>
      <c r="B3429" t="s">
        <v>151</v>
      </c>
      <c r="C3429" t="s">
        <v>61</v>
      </c>
      <c r="D3429" t="s">
        <v>20</v>
      </c>
      <c r="E3429" t="s">
        <v>21</v>
      </c>
      <c r="F3429" s="1">
        <v>44044</v>
      </c>
      <c r="G3429">
        <v>5.26</v>
      </c>
      <c r="H3429">
        <v>82.143600000000006</v>
      </c>
      <c r="I3429">
        <v>13.88</v>
      </c>
      <c r="J3429">
        <v>78.02</v>
      </c>
      <c r="K3429" t="s">
        <v>48</v>
      </c>
      <c r="L3429">
        <v>832.56</v>
      </c>
      <c r="M3429">
        <f>VLOOKUP(K3429,RatingLookup!$A$2:$C$8,2,FALSE)</f>
        <v>5.0000000000000001E-4</v>
      </c>
      <c r="N3429">
        <f t="shared" si="159"/>
        <v>4.167621832917856E-5</v>
      </c>
      <c r="O3429">
        <f>VLOOKUP(K3429,RatingLookup!$A$2:$C$8,3,FALSE)</f>
        <v>0.25</v>
      </c>
      <c r="P3429">
        <f t="shared" si="160"/>
        <v>8.6744880830352256E-3</v>
      </c>
      <c r="Q3429" t="str">
        <f t="shared" ca="1" si="161"/>
        <v>No</v>
      </c>
    </row>
    <row r="3430" spans="1:17" x14ac:dyDescent="0.45">
      <c r="A3430" t="s">
        <v>150</v>
      </c>
      <c r="B3430" t="s">
        <v>151</v>
      </c>
      <c r="C3430" t="s">
        <v>61</v>
      </c>
      <c r="D3430" t="s">
        <v>20</v>
      </c>
      <c r="E3430" t="s">
        <v>21</v>
      </c>
      <c r="F3430" s="1">
        <v>44075</v>
      </c>
      <c r="G3430">
        <v>4.6900000000000004</v>
      </c>
      <c r="H3430">
        <v>78.978800000000007</v>
      </c>
      <c r="I3430">
        <v>8.1999999999999993</v>
      </c>
      <c r="J3430">
        <v>78.69</v>
      </c>
      <c r="K3430" t="s">
        <v>48</v>
      </c>
      <c r="L3430">
        <v>847.48</v>
      </c>
      <c r="M3430">
        <f>VLOOKUP(K3430,RatingLookup!$A$2:$C$8,2,FALSE)</f>
        <v>5.0000000000000001E-4</v>
      </c>
      <c r="N3430">
        <f t="shared" si="159"/>
        <v>4.167621832917856E-5</v>
      </c>
      <c r="O3430">
        <f>VLOOKUP(K3430,RatingLookup!$A$2:$C$8,3,FALSE)</f>
        <v>0.25</v>
      </c>
      <c r="P3430">
        <f t="shared" si="160"/>
        <v>8.8299403774030616E-3</v>
      </c>
      <c r="Q3430" t="str">
        <f t="shared" ca="1" si="161"/>
        <v>No</v>
      </c>
    </row>
    <row r="3431" spans="1:17" x14ac:dyDescent="0.45">
      <c r="A3431" t="s">
        <v>150</v>
      </c>
      <c r="B3431" t="s">
        <v>151</v>
      </c>
      <c r="C3431" t="s">
        <v>61</v>
      </c>
      <c r="D3431" t="s">
        <v>20</v>
      </c>
      <c r="E3431" t="s">
        <v>21</v>
      </c>
      <c r="F3431" s="1">
        <v>44105</v>
      </c>
      <c r="G3431">
        <v>4.6399999999999997</v>
      </c>
      <c r="H3431">
        <v>81.181700000000006</v>
      </c>
      <c r="I3431">
        <v>27.79</v>
      </c>
      <c r="J3431">
        <v>61.33</v>
      </c>
      <c r="K3431" t="s">
        <v>48</v>
      </c>
      <c r="L3431">
        <v>802.61</v>
      </c>
      <c r="M3431">
        <f>VLOOKUP(K3431,RatingLookup!$A$2:$C$8,2,FALSE)</f>
        <v>5.0000000000000001E-4</v>
      </c>
      <c r="N3431">
        <f t="shared" si="159"/>
        <v>4.167621832917856E-5</v>
      </c>
      <c r="O3431">
        <f>VLOOKUP(K3431,RatingLookup!$A$2:$C$8,3,FALSE)</f>
        <v>0.25</v>
      </c>
      <c r="P3431">
        <f t="shared" si="160"/>
        <v>8.3624373982955011E-3</v>
      </c>
      <c r="Q3431" t="str">
        <f t="shared" ca="1" si="161"/>
        <v>No</v>
      </c>
    </row>
    <row r="3432" spans="1:17" x14ac:dyDescent="0.45">
      <c r="A3432" t="s">
        <v>150</v>
      </c>
      <c r="B3432" t="s">
        <v>151</v>
      </c>
      <c r="C3432" t="s">
        <v>61</v>
      </c>
      <c r="D3432" t="s">
        <v>20</v>
      </c>
      <c r="E3432" t="s">
        <v>21</v>
      </c>
      <c r="F3432" s="1">
        <v>44136</v>
      </c>
      <c r="G3432">
        <v>5.0599999999999996</v>
      </c>
      <c r="H3432">
        <v>77.2607</v>
      </c>
      <c r="I3432">
        <v>21.76</v>
      </c>
      <c r="J3432">
        <v>74.430000000000007</v>
      </c>
      <c r="K3432" t="s">
        <v>48</v>
      </c>
      <c r="L3432">
        <v>806.64</v>
      </c>
      <c r="M3432">
        <f>VLOOKUP(K3432,RatingLookup!$A$2:$C$8,2,FALSE)</f>
        <v>5.0000000000000001E-4</v>
      </c>
      <c r="N3432">
        <f t="shared" si="159"/>
        <v>4.167621832917856E-5</v>
      </c>
      <c r="O3432">
        <f>VLOOKUP(K3432,RatingLookup!$A$2:$C$8,3,FALSE)</f>
        <v>0.25</v>
      </c>
      <c r="P3432">
        <f t="shared" si="160"/>
        <v>8.4044261882621485E-3</v>
      </c>
      <c r="Q3432" t="str">
        <f t="shared" ca="1" si="161"/>
        <v>No</v>
      </c>
    </row>
    <row r="3433" spans="1:17" x14ac:dyDescent="0.45">
      <c r="A3433" t="s">
        <v>150</v>
      </c>
      <c r="B3433" t="s">
        <v>151</v>
      </c>
      <c r="C3433" t="s">
        <v>61</v>
      </c>
      <c r="D3433" t="s">
        <v>20</v>
      </c>
      <c r="E3433" t="s">
        <v>21</v>
      </c>
      <c r="F3433" s="1">
        <v>44166</v>
      </c>
      <c r="G3433">
        <v>6.18</v>
      </c>
      <c r="H3433">
        <v>84.193299999999994</v>
      </c>
      <c r="I3433">
        <v>14.84</v>
      </c>
      <c r="J3433">
        <v>76.180000000000007</v>
      </c>
      <c r="K3433" t="s">
        <v>48</v>
      </c>
      <c r="L3433">
        <v>892.15</v>
      </c>
      <c r="M3433">
        <f>VLOOKUP(K3433,RatingLookup!$A$2:$C$8,2,FALSE)</f>
        <v>5.0000000000000001E-4</v>
      </c>
      <c r="N3433">
        <f t="shared" si="159"/>
        <v>4.167621832917856E-5</v>
      </c>
      <c r="O3433">
        <f>VLOOKUP(K3433,RatingLookup!$A$2:$C$8,3,FALSE)</f>
        <v>0.25</v>
      </c>
      <c r="P3433">
        <f t="shared" si="160"/>
        <v>9.2953595455941632E-3</v>
      </c>
      <c r="Q3433" t="str">
        <f t="shared" ca="1" si="161"/>
        <v>No</v>
      </c>
    </row>
    <row r="3434" spans="1:17" x14ac:dyDescent="0.45">
      <c r="A3434" t="s">
        <v>150</v>
      </c>
      <c r="B3434" t="s">
        <v>151</v>
      </c>
      <c r="C3434" t="s">
        <v>61</v>
      </c>
      <c r="D3434" t="s">
        <v>20</v>
      </c>
      <c r="E3434" t="s">
        <v>21</v>
      </c>
      <c r="F3434" s="1">
        <v>44197</v>
      </c>
      <c r="G3434">
        <v>5.54</v>
      </c>
      <c r="H3434">
        <v>85.416700000000006</v>
      </c>
      <c r="I3434">
        <v>18.04</v>
      </c>
      <c r="J3434">
        <v>83.06</v>
      </c>
      <c r="K3434" t="s">
        <v>48</v>
      </c>
      <c r="L3434">
        <v>758.35</v>
      </c>
      <c r="M3434">
        <f>VLOOKUP(K3434,RatingLookup!$A$2:$C$8,2,FALSE)</f>
        <v>5.0000000000000001E-4</v>
      </c>
      <c r="N3434">
        <f t="shared" si="159"/>
        <v>4.167621832917856E-5</v>
      </c>
      <c r="O3434">
        <f>VLOOKUP(K3434,RatingLookup!$A$2:$C$8,3,FALSE)</f>
        <v>0.25</v>
      </c>
      <c r="P3434">
        <f t="shared" si="160"/>
        <v>7.9012900424831403E-3</v>
      </c>
      <c r="Q3434" t="str">
        <f t="shared" ca="1" si="161"/>
        <v>No</v>
      </c>
    </row>
    <row r="3435" spans="1:17" x14ac:dyDescent="0.45">
      <c r="A3435" t="s">
        <v>150</v>
      </c>
      <c r="B3435" t="s">
        <v>151</v>
      </c>
      <c r="C3435" t="s">
        <v>61</v>
      </c>
      <c r="D3435" t="s">
        <v>20</v>
      </c>
      <c r="E3435" t="s">
        <v>21</v>
      </c>
      <c r="F3435" s="1">
        <v>44228</v>
      </c>
      <c r="G3435">
        <v>4.21</v>
      </c>
      <c r="H3435">
        <v>81.374600000000001</v>
      </c>
      <c r="I3435">
        <v>24.81</v>
      </c>
      <c r="J3435">
        <v>72.37</v>
      </c>
      <c r="K3435" t="s">
        <v>48</v>
      </c>
      <c r="L3435">
        <v>823.73</v>
      </c>
      <c r="M3435">
        <f>VLOOKUP(K3435,RatingLookup!$A$2:$C$8,2,FALSE)</f>
        <v>5.0000000000000001E-4</v>
      </c>
      <c r="N3435">
        <f t="shared" si="159"/>
        <v>4.167621832917856E-5</v>
      </c>
      <c r="O3435">
        <f>VLOOKUP(K3435,RatingLookup!$A$2:$C$8,3,FALSE)</f>
        <v>0.25</v>
      </c>
      <c r="P3435">
        <f t="shared" si="160"/>
        <v>8.5824878310735639E-3</v>
      </c>
      <c r="Q3435" t="str">
        <f t="shared" ca="1" si="161"/>
        <v>No</v>
      </c>
    </row>
    <row r="3436" spans="1:17" x14ac:dyDescent="0.45">
      <c r="A3436" t="s">
        <v>150</v>
      </c>
      <c r="B3436" t="s">
        <v>151</v>
      </c>
      <c r="C3436" t="s">
        <v>61</v>
      </c>
      <c r="D3436" t="s">
        <v>20</v>
      </c>
      <c r="E3436" t="s">
        <v>21</v>
      </c>
      <c r="F3436" s="1">
        <v>44256</v>
      </c>
      <c r="G3436">
        <v>5.49</v>
      </c>
      <c r="H3436">
        <v>84.907899999999998</v>
      </c>
      <c r="I3436">
        <v>20.079999999999998</v>
      </c>
      <c r="J3436">
        <v>82.33</v>
      </c>
      <c r="K3436" t="s">
        <v>48</v>
      </c>
      <c r="L3436">
        <v>837.8</v>
      </c>
      <c r="M3436">
        <f>VLOOKUP(K3436,RatingLookup!$A$2:$C$8,2,FALSE)</f>
        <v>5.0000000000000001E-4</v>
      </c>
      <c r="N3436">
        <f t="shared" si="159"/>
        <v>4.167621832917856E-5</v>
      </c>
      <c r="O3436">
        <f>VLOOKUP(K3436,RatingLookup!$A$2:$C$8,3,FALSE)</f>
        <v>0.25</v>
      </c>
      <c r="P3436">
        <f t="shared" si="160"/>
        <v>8.7290839290464495E-3</v>
      </c>
      <c r="Q3436" t="str">
        <f t="shared" ca="1" si="161"/>
        <v>No</v>
      </c>
    </row>
    <row r="3437" spans="1:17" x14ac:dyDescent="0.45">
      <c r="A3437" t="s">
        <v>150</v>
      </c>
      <c r="B3437" t="s">
        <v>151</v>
      </c>
      <c r="C3437" t="s">
        <v>61</v>
      </c>
      <c r="D3437" t="s">
        <v>20</v>
      </c>
      <c r="E3437" t="s">
        <v>21</v>
      </c>
      <c r="F3437" s="1">
        <v>44287</v>
      </c>
      <c r="G3437">
        <v>6.49</v>
      </c>
      <c r="H3437">
        <v>84.790899999999993</v>
      </c>
      <c r="I3437">
        <v>25.37</v>
      </c>
      <c r="J3437">
        <v>89.6</v>
      </c>
      <c r="K3437" t="s">
        <v>48</v>
      </c>
      <c r="L3437">
        <v>869.05</v>
      </c>
      <c r="M3437">
        <f>VLOOKUP(K3437,RatingLookup!$A$2:$C$8,2,FALSE)</f>
        <v>5.0000000000000001E-4</v>
      </c>
      <c r="N3437">
        <f t="shared" si="159"/>
        <v>4.167621832917856E-5</v>
      </c>
      <c r="O3437">
        <f>VLOOKUP(K3437,RatingLookup!$A$2:$C$8,3,FALSE)</f>
        <v>0.25</v>
      </c>
      <c r="P3437">
        <f t="shared" si="160"/>
        <v>9.054679384743157E-3</v>
      </c>
      <c r="Q3437" t="str">
        <f t="shared" ca="1" si="161"/>
        <v>No</v>
      </c>
    </row>
    <row r="3438" spans="1:17" x14ac:dyDescent="0.45">
      <c r="A3438" t="s">
        <v>150</v>
      </c>
      <c r="B3438" t="s">
        <v>151</v>
      </c>
      <c r="C3438" t="s">
        <v>61</v>
      </c>
      <c r="D3438" t="s">
        <v>20</v>
      </c>
      <c r="E3438" t="s">
        <v>21</v>
      </c>
      <c r="F3438" s="1">
        <v>44317</v>
      </c>
      <c r="G3438">
        <v>5.92</v>
      </c>
      <c r="H3438">
        <v>83.763900000000007</v>
      </c>
      <c r="I3438">
        <v>23.63</v>
      </c>
      <c r="J3438">
        <v>77.069999999999993</v>
      </c>
      <c r="K3438" t="s">
        <v>48</v>
      </c>
      <c r="L3438">
        <v>773.7</v>
      </c>
      <c r="M3438">
        <f>VLOOKUP(K3438,RatingLookup!$A$2:$C$8,2,FALSE)</f>
        <v>5.0000000000000001E-4</v>
      </c>
      <c r="N3438">
        <f t="shared" si="159"/>
        <v>4.167621832917856E-5</v>
      </c>
      <c r="O3438">
        <f>VLOOKUP(K3438,RatingLookup!$A$2:$C$8,3,FALSE)</f>
        <v>0.25</v>
      </c>
      <c r="P3438">
        <f t="shared" si="160"/>
        <v>8.061222530321363E-3</v>
      </c>
      <c r="Q3438" t="str">
        <f t="shared" ca="1" si="161"/>
        <v>No</v>
      </c>
    </row>
    <row r="3439" spans="1:17" x14ac:dyDescent="0.45">
      <c r="A3439" t="s">
        <v>150</v>
      </c>
      <c r="B3439" t="s">
        <v>151</v>
      </c>
      <c r="C3439" t="s">
        <v>61</v>
      </c>
      <c r="D3439" t="s">
        <v>20</v>
      </c>
      <c r="E3439" t="s">
        <v>21</v>
      </c>
      <c r="F3439" s="1">
        <v>44348</v>
      </c>
      <c r="G3439">
        <v>5.43</v>
      </c>
      <c r="H3439">
        <v>79.342299999999994</v>
      </c>
      <c r="I3439">
        <v>16.649999999999999</v>
      </c>
      <c r="J3439">
        <v>81.08</v>
      </c>
      <c r="K3439" t="s">
        <v>48</v>
      </c>
      <c r="L3439">
        <v>757.98</v>
      </c>
      <c r="M3439">
        <f>VLOOKUP(K3439,RatingLookup!$A$2:$C$8,2,FALSE)</f>
        <v>5.0000000000000001E-4</v>
      </c>
      <c r="N3439">
        <f t="shared" si="159"/>
        <v>4.167621832917856E-5</v>
      </c>
      <c r="O3439">
        <f>VLOOKUP(K3439,RatingLookup!$A$2:$C$8,3,FALSE)</f>
        <v>0.25</v>
      </c>
      <c r="P3439">
        <f t="shared" si="160"/>
        <v>7.8974349922876913E-3</v>
      </c>
      <c r="Q3439" t="str">
        <f t="shared" ca="1" si="161"/>
        <v>No</v>
      </c>
    </row>
    <row r="3440" spans="1:17" x14ac:dyDescent="0.45">
      <c r="A3440" t="s">
        <v>150</v>
      </c>
      <c r="B3440" t="s">
        <v>151</v>
      </c>
      <c r="C3440" t="s">
        <v>61</v>
      </c>
      <c r="D3440" t="s">
        <v>20</v>
      </c>
      <c r="E3440" t="s">
        <v>21</v>
      </c>
      <c r="F3440" s="1">
        <v>44378</v>
      </c>
      <c r="G3440">
        <v>5.81</v>
      </c>
      <c r="H3440">
        <v>84.399500000000003</v>
      </c>
      <c r="I3440">
        <v>14.47</v>
      </c>
      <c r="J3440">
        <v>62.04</v>
      </c>
      <c r="K3440" t="s">
        <v>48</v>
      </c>
      <c r="L3440">
        <v>845.96</v>
      </c>
      <c r="M3440">
        <f>VLOOKUP(K3440,RatingLookup!$A$2:$C$8,2,FALSE)</f>
        <v>5.0000000000000001E-4</v>
      </c>
      <c r="N3440">
        <f t="shared" si="159"/>
        <v>4.167621832917856E-5</v>
      </c>
      <c r="O3440">
        <f>VLOOKUP(K3440,RatingLookup!$A$2:$C$8,3,FALSE)</f>
        <v>0.25</v>
      </c>
      <c r="P3440">
        <f t="shared" si="160"/>
        <v>8.8141034144379737E-3</v>
      </c>
      <c r="Q3440" t="str">
        <f t="shared" ca="1" si="161"/>
        <v>No</v>
      </c>
    </row>
    <row r="3441" spans="1:17" x14ac:dyDescent="0.45">
      <c r="A3441" t="s">
        <v>150</v>
      </c>
      <c r="B3441" t="s">
        <v>151</v>
      </c>
      <c r="C3441" t="s">
        <v>61</v>
      </c>
      <c r="D3441" t="s">
        <v>20</v>
      </c>
      <c r="E3441" t="s">
        <v>21</v>
      </c>
      <c r="F3441" s="1">
        <v>44409</v>
      </c>
      <c r="G3441">
        <v>6.13</v>
      </c>
      <c r="H3441">
        <v>81.025000000000006</v>
      </c>
      <c r="I3441">
        <v>21.27</v>
      </c>
      <c r="J3441">
        <v>82.92</v>
      </c>
      <c r="K3441" t="s">
        <v>48</v>
      </c>
      <c r="L3441">
        <v>908.63</v>
      </c>
      <c r="M3441">
        <f>VLOOKUP(K3441,RatingLookup!$A$2:$C$8,2,FALSE)</f>
        <v>5.0000000000000001E-4</v>
      </c>
      <c r="N3441">
        <f t="shared" si="159"/>
        <v>4.167621832917856E-5</v>
      </c>
      <c r="O3441">
        <f>VLOOKUP(K3441,RatingLookup!$A$2:$C$8,3,FALSE)</f>
        <v>0.25</v>
      </c>
      <c r="P3441">
        <f t="shared" si="160"/>
        <v>9.4670655651103788E-3</v>
      </c>
      <c r="Q3441" t="str">
        <f t="shared" ca="1" si="161"/>
        <v>No</v>
      </c>
    </row>
    <row r="3442" spans="1:17" x14ac:dyDescent="0.45">
      <c r="A3442" t="s">
        <v>150</v>
      </c>
      <c r="B3442" t="s">
        <v>151</v>
      </c>
      <c r="C3442" t="s">
        <v>61</v>
      </c>
      <c r="D3442" t="s">
        <v>20</v>
      </c>
      <c r="E3442" t="s">
        <v>21</v>
      </c>
      <c r="F3442" s="1">
        <v>44440</v>
      </c>
      <c r="G3442">
        <v>5.32</v>
      </c>
      <c r="H3442">
        <v>79.781999999999996</v>
      </c>
      <c r="I3442">
        <v>25.04</v>
      </c>
      <c r="J3442">
        <v>65.849999999999994</v>
      </c>
      <c r="K3442" t="s">
        <v>48</v>
      </c>
      <c r="L3442">
        <v>808.05</v>
      </c>
      <c r="M3442">
        <f>VLOOKUP(K3442,RatingLookup!$A$2:$C$8,2,FALSE)</f>
        <v>5.0000000000000001E-4</v>
      </c>
      <c r="N3442">
        <f t="shared" si="159"/>
        <v>4.167621832917856E-5</v>
      </c>
      <c r="O3442">
        <f>VLOOKUP(K3442,RatingLookup!$A$2:$C$8,3,FALSE)</f>
        <v>0.25</v>
      </c>
      <c r="P3442">
        <f t="shared" si="160"/>
        <v>8.4191170552231839E-3</v>
      </c>
      <c r="Q3442" t="str">
        <f t="shared" ca="1" si="161"/>
        <v>No</v>
      </c>
    </row>
    <row r="3443" spans="1:17" x14ac:dyDescent="0.45">
      <c r="A3443" t="s">
        <v>150</v>
      </c>
      <c r="B3443" t="s">
        <v>151</v>
      </c>
      <c r="C3443" t="s">
        <v>61</v>
      </c>
      <c r="D3443" t="s">
        <v>20</v>
      </c>
      <c r="E3443" t="s">
        <v>21</v>
      </c>
      <c r="F3443" s="1">
        <v>44470</v>
      </c>
      <c r="G3443">
        <v>5.79</v>
      </c>
      <c r="H3443">
        <v>86.408199999999994</v>
      </c>
      <c r="I3443">
        <v>35.56</v>
      </c>
      <c r="J3443">
        <v>63.7</v>
      </c>
      <c r="K3443" t="s">
        <v>48</v>
      </c>
      <c r="L3443">
        <v>859.4</v>
      </c>
      <c r="M3443">
        <f>VLOOKUP(K3443,RatingLookup!$A$2:$C$8,2,FALSE)</f>
        <v>5.0000000000000001E-4</v>
      </c>
      <c r="N3443">
        <f t="shared" si="159"/>
        <v>4.167621832917856E-5</v>
      </c>
      <c r="O3443">
        <f>VLOOKUP(K3443,RatingLookup!$A$2:$C$8,3,FALSE)</f>
        <v>0.25</v>
      </c>
      <c r="P3443">
        <f t="shared" si="160"/>
        <v>8.9541355080240137E-3</v>
      </c>
      <c r="Q3443" t="str">
        <f t="shared" ca="1" si="161"/>
        <v>No</v>
      </c>
    </row>
    <row r="3444" spans="1:17" x14ac:dyDescent="0.45">
      <c r="A3444" t="s">
        <v>150</v>
      </c>
      <c r="B3444" t="s">
        <v>151</v>
      </c>
      <c r="C3444" t="s">
        <v>61</v>
      </c>
      <c r="D3444" t="s">
        <v>20</v>
      </c>
      <c r="E3444" t="s">
        <v>21</v>
      </c>
      <c r="F3444" s="1">
        <v>44501</v>
      </c>
      <c r="G3444">
        <v>5.33</v>
      </c>
      <c r="H3444">
        <v>79.353300000000004</v>
      </c>
      <c r="I3444">
        <v>28.44</v>
      </c>
      <c r="J3444">
        <v>56.39</v>
      </c>
      <c r="K3444" t="s">
        <v>48</v>
      </c>
      <c r="L3444">
        <v>827.51</v>
      </c>
      <c r="M3444">
        <f>VLOOKUP(K3444,RatingLookup!$A$2:$C$8,2,FALSE)</f>
        <v>5.0000000000000001E-4</v>
      </c>
      <c r="N3444">
        <f t="shared" si="159"/>
        <v>4.167621832917856E-5</v>
      </c>
      <c r="O3444">
        <f>VLOOKUP(K3444,RatingLookup!$A$2:$C$8,3,FALSE)</f>
        <v>0.25</v>
      </c>
      <c r="P3444">
        <f t="shared" si="160"/>
        <v>8.6218718573946376E-3</v>
      </c>
      <c r="Q3444" t="str">
        <f t="shared" ca="1" si="161"/>
        <v>No</v>
      </c>
    </row>
    <row r="3445" spans="1:17" x14ac:dyDescent="0.45">
      <c r="A3445" t="s">
        <v>150</v>
      </c>
      <c r="B3445" t="s">
        <v>151</v>
      </c>
      <c r="C3445" t="s">
        <v>61</v>
      </c>
      <c r="D3445" t="s">
        <v>20</v>
      </c>
      <c r="E3445" t="s">
        <v>21</v>
      </c>
      <c r="F3445" s="1">
        <v>44531</v>
      </c>
      <c r="G3445">
        <v>6.4</v>
      </c>
      <c r="H3445">
        <v>83.027699999999996</v>
      </c>
      <c r="I3445">
        <v>14.44</v>
      </c>
      <c r="J3445">
        <v>71</v>
      </c>
      <c r="K3445" t="s">
        <v>48</v>
      </c>
      <c r="L3445">
        <v>872.38</v>
      </c>
      <c r="M3445">
        <f>VLOOKUP(K3445,RatingLookup!$A$2:$C$8,2,FALSE)</f>
        <v>5.0000000000000001E-4</v>
      </c>
      <c r="N3445">
        <f t="shared" si="159"/>
        <v>4.167621832917856E-5</v>
      </c>
      <c r="O3445">
        <f>VLOOKUP(K3445,RatingLookup!$A$2:$C$8,3,FALSE)</f>
        <v>0.25</v>
      </c>
      <c r="P3445">
        <f t="shared" si="160"/>
        <v>9.0893748365021981E-3</v>
      </c>
      <c r="Q3445" t="str">
        <f t="shared" ca="1" si="161"/>
        <v>No</v>
      </c>
    </row>
    <row r="3446" spans="1:17" x14ac:dyDescent="0.45">
      <c r="A3446" t="s">
        <v>150</v>
      </c>
      <c r="B3446" t="s">
        <v>151</v>
      </c>
      <c r="C3446" t="s">
        <v>61</v>
      </c>
      <c r="D3446" t="s">
        <v>20</v>
      </c>
      <c r="E3446" t="s">
        <v>21</v>
      </c>
      <c r="F3446" s="1">
        <v>44562</v>
      </c>
      <c r="G3446">
        <v>5.87</v>
      </c>
      <c r="H3446">
        <v>84.805499999999995</v>
      </c>
      <c r="I3446">
        <v>15.13</v>
      </c>
      <c r="J3446">
        <v>63.74</v>
      </c>
      <c r="K3446" t="s">
        <v>48</v>
      </c>
      <c r="L3446">
        <v>795.17</v>
      </c>
      <c r="M3446">
        <f>VLOOKUP(K3446,RatingLookup!$A$2:$C$8,2,FALSE)</f>
        <v>5.0000000000000001E-4</v>
      </c>
      <c r="N3446">
        <f t="shared" si="159"/>
        <v>4.167621832917856E-5</v>
      </c>
      <c r="O3446">
        <f>VLOOKUP(K3446,RatingLookup!$A$2:$C$8,3,FALSE)</f>
        <v>0.25</v>
      </c>
      <c r="P3446">
        <f t="shared" si="160"/>
        <v>8.284919632203229E-3</v>
      </c>
      <c r="Q3446" t="str">
        <f t="shared" ca="1" si="161"/>
        <v>No</v>
      </c>
    </row>
    <row r="3447" spans="1:17" x14ac:dyDescent="0.45">
      <c r="A3447" t="s">
        <v>150</v>
      </c>
      <c r="B3447" t="s">
        <v>151</v>
      </c>
      <c r="C3447" t="s">
        <v>61</v>
      </c>
      <c r="D3447" t="s">
        <v>20</v>
      </c>
      <c r="E3447" t="s">
        <v>21</v>
      </c>
      <c r="F3447" s="1">
        <v>44593</v>
      </c>
      <c r="G3447">
        <v>6.33</v>
      </c>
      <c r="H3447">
        <v>80.166600000000003</v>
      </c>
      <c r="I3447">
        <v>25.49</v>
      </c>
      <c r="J3447">
        <v>78.37</v>
      </c>
      <c r="K3447" t="s">
        <v>48</v>
      </c>
      <c r="L3447">
        <v>770.02</v>
      </c>
      <c r="M3447">
        <f>VLOOKUP(K3447,RatingLookup!$A$2:$C$8,2,FALSE)</f>
        <v>5.0000000000000001E-4</v>
      </c>
      <c r="N3447">
        <f t="shared" si="159"/>
        <v>4.167621832917856E-5</v>
      </c>
      <c r="O3447">
        <f>VLOOKUP(K3447,RatingLookup!$A$2:$C$8,3,FALSE)</f>
        <v>0.25</v>
      </c>
      <c r="P3447">
        <f t="shared" si="160"/>
        <v>8.0228804094585188E-3</v>
      </c>
      <c r="Q3447" t="str">
        <f t="shared" ca="1" si="161"/>
        <v>No</v>
      </c>
    </row>
    <row r="3448" spans="1:17" x14ac:dyDescent="0.45">
      <c r="A3448" t="s">
        <v>150</v>
      </c>
      <c r="B3448" t="s">
        <v>151</v>
      </c>
      <c r="C3448" t="s">
        <v>61</v>
      </c>
      <c r="D3448" t="s">
        <v>20</v>
      </c>
      <c r="E3448" t="s">
        <v>21</v>
      </c>
      <c r="F3448" s="1">
        <v>44621</v>
      </c>
      <c r="G3448">
        <v>5.16</v>
      </c>
      <c r="H3448">
        <v>87.757000000000005</v>
      </c>
      <c r="I3448">
        <v>30.01</v>
      </c>
      <c r="J3448">
        <v>92.5</v>
      </c>
      <c r="K3448" t="s">
        <v>48</v>
      </c>
      <c r="L3448">
        <v>859.63</v>
      </c>
      <c r="M3448">
        <f>VLOOKUP(K3448,RatingLookup!$A$2:$C$8,2,FALSE)</f>
        <v>5.0000000000000001E-4</v>
      </c>
      <c r="N3448">
        <f t="shared" si="159"/>
        <v>4.167621832917856E-5</v>
      </c>
      <c r="O3448">
        <f>VLOOKUP(K3448,RatingLookup!$A$2:$C$8,3,FALSE)</f>
        <v>0.25</v>
      </c>
      <c r="P3448">
        <f t="shared" si="160"/>
        <v>8.9565318905779415E-3</v>
      </c>
      <c r="Q3448" t="str">
        <f t="shared" ca="1" si="161"/>
        <v>No</v>
      </c>
    </row>
    <row r="3449" spans="1:17" x14ac:dyDescent="0.45">
      <c r="A3449" t="s">
        <v>150</v>
      </c>
      <c r="B3449" t="s">
        <v>151</v>
      </c>
      <c r="C3449" t="s">
        <v>61</v>
      </c>
      <c r="D3449" t="s">
        <v>20</v>
      </c>
      <c r="E3449" t="s">
        <v>21</v>
      </c>
      <c r="F3449" s="1">
        <v>44652</v>
      </c>
      <c r="G3449">
        <v>6.12</v>
      </c>
      <c r="H3449">
        <v>79.5398</v>
      </c>
      <c r="I3449">
        <v>18.27</v>
      </c>
      <c r="J3449">
        <v>65.010000000000005</v>
      </c>
      <c r="K3449" t="s">
        <v>48</v>
      </c>
      <c r="L3449">
        <v>839.96</v>
      </c>
      <c r="M3449">
        <f>VLOOKUP(K3449,RatingLookup!$A$2:$C$8,2,FALSE)</f>
        <v>5.0000000000000001E-4</v>
      </c>
      <c r="N3449">
        <f t="shared" si="159"/>
        <v>4.167621832917856E-5</v>
      </c>
      <c r="O3449">
        <f>VLOOKUP(K3449,RatingLookup!$A$2:$C$8,3,FALSE)</f>
        <v>0.25</v>
      </c>
      <c r="P3449">
        <f t="shared" si="160"/>
        <v>8.7515890869442059E-3</v>
      </c>
      <c r="Q3449" t="str">
        <f t="shared" ca="1" si="161"/>
        <v>No</v>
      </c>
    </row>
    <row r="3450" spans="1:17" x14ac:dyDescent="0.45">
      <c r="A3450" t="s">
        <v>150</v>
      </c>
      <c r="B3450" t="s">
        <v>151</v>
      </c>
      <c r="C3450" t="s">
        <v>61</v>
      </c>
      <c r="D3450" t="s">
        <v>20</v>
      </c>
      <c r="E3450" t="s">
        <v>21</v>
      </c>
      <c r="F3450" s="1">
        <v>44682</v>
      </c>
      <c r="G3450">
        <v>3.97</v>
      </c>
      <c r="H3450">
        <v>80.603300000000004</v>
      </c>
      <c r="I3450">
        <v>14.24</v>
      </c>
      <c r="J3450">
        <v>74.709999999999994</v>
      </c>
      <c r="K3450" t="s">
        <v>48</v>
      </c>
      <c r="L3450">
        <v>892.49</v>
      </c>
      <c r="M3450">
        <f>VLOOKUP(K3450,RatingLookup!$A$2:$C$8,2,FALSE)</f>
        <v>5.0000000000000001E-4</v>
      </c>
      <c r="N3450">
        <f t="shared" si="159"/>
        <v>4.167621832917856E-5</v>
      </c>
      <c r="O3450">
        <f>VLOOKUP(K3450,RatingLookup!$A$2:$C$8,3,FALSE)</f>
        <v>0.25</v>
      </c>
      <c r="P3450">
        <f t="shared" si="160"/>
        <v>9.2989020241521433E-3</v>
      </c>
      <c r="Q3450" t="str">
        <f t="shared" ca="1" si="161"/>
        <v>No</v>
      </c>
    </row>
    <row r="3451" spans="1:17" x14ac:dyDescent="0.45">
      <c r="A3451" t="s">
        <v>150</v>
      </c>
      <c r="B3451" t="s">
        <v>151</v>
      </c>
      <c r="C3451" t="s">
        <v>61</v>
      </c>
      <c r="D3451" t="s">
        <v>20</v>
      </c>
      <c r="E3451" t="s">
        <v>21</v>
      </c>
      <c r="F3451" s="1">
        <v>44713</v>
      </c>
      <c r="G3451">
        <v>5.47</v>
      </c>
      <c r="H3451">
        <v>86.105199999999996</v>
      </c>
      <c r="I3451">
        <v>13.14</v>
      </c>
      <c r="J3451">
        <v>66.08</v>
      </c>
      <c r="K3451" t="s">
        <v>48</v>
      </c>
      <c r="L3451">
        <v>837.22</v>
      </c>
      <c r="M3451">
        <f>VLOOKUP(K3451,RatingLookup!$A$2:$C$8,2,FALSE)</f>
        <v>5.0000000000000001E-4</v>
      </c>
      <c r="N3451">
        <f t="shared" si="159"/>
        <v>4.167621832917856E-5</v>
      </c>
      <c r="O3451">
        <f>VLOOKUP(K3451,RatingLookup!$A$2:$C$8,3,FALSE)</f>
        <v>0.25</v>
      </c>
      <c r="P3451">
        <f t="shared" si="160"/>
        <v>8.7230408773887186E-3</v>
      </c>
      <c r="Q3451" t="str">
        <f t="shared" ca="1" si="161"/>
        <v>No</v>
      </c>
    </row>
    <row r="3452" spans="1:17" x14ac:dyDescent="0.45">
      <c r="A3452" t="s">
        <v>150</v>
      </c>
      <c r="B3452" t="s">
        <v>151</v>
      </c>
      <c r="C3452" t="s">
        <v>61</v>
      </c>
      <c r="D3452" t="s">
        <v>20</v>
      </c>
      <c r="E3452" t="s">
        <v>21</v>
      </c>
      <c r="F3452" s="1">
        <v>44743</v>
      </c>
      <c r="G3452">
        <v>4.93</v>
      </c>
      <c r="H3452">
        <v>79.552199999999999</v>
      </c>
      <c r="I3452">
        <v>20.73</v>
      </c>
      <c r="J3452">
        <v>96.65</v>
      </c>
      <c r="K3452" t="s">
        <v>48</v>
      </c>
      <c r="L3452">
        <v>832.84</v>
      </c>
      <c r="M3452">
        <f>VLOOKUP(K3452,RatingLookup!$A$2:$C$8,2,FALSE)</f>
        <v>5.0000000000000001E-4</v>
      </c>
      <c r="N3452">
        <f t="shared" si="159"/>
        <v>4.167621832917856E-5</v>
      </c>
      <c r="O3452">
        <f>VLOOKUP(K3452,RatingLookup!$A$2:$C$8,3,FALSE)</f>
        <v>0.25</v>
      </c>
      <c r="P3452">
        <f t="shared" si="160"/>
        <v>8.6774054183182681E-3</v>
      </c>
      <c r="Q3452" t="str">
        <f t="shared" ca="1" si="161"/>
        <v>No</v>
      </c>
    </row>
    <row r="3453" spans="1:17" x14ac:dyDescent="0.45">
      <c r="A3453" t="s">
        <v>150</v>
      </c>
      <c r="B3453" t="s">
        <v>151</v>
      </c>
      <c r="C3453" t="s">
        <v>61</v>
      </c>
      <c r="D3453" t="s">
        <v>20</v>
      </c>
      <c r="E3453" t="s">
        <v>21</v>
      </c>
      <c r="F3453" s="1">
        <v>44774</v>
      </c>
      <c r="G3453">
        <v>5.67</v>
      </c>
      <c r="H3453">
        <v>82.519800000000004</v>
      </c>
      <c r="I3453">
        <v>27.5</v>
      </c>
      <c r="J3453">
        <v>66.34</v>
      </c>
      <c r="K3453" t="s">
        <v>23</v>
      </c>
      <c r="L3453">
        <v>840.47</v>
      </c>
      <c r="M3453">
        <f>VLOOKUP(K3453,RatingLookup!$A$2:$C$8,2,FALSE)</f>
        <v>1E-3</v>
      </c>
      <c r="N3453">
        <f t="shared" si="159"/>
        <v>8.3371552197619714E-5</v>
      </c>
      <c r="O3453">
        <f>VLOOKUP(K3453,RatingLookup!$A$2:$C$8,3,FALSE)</f>
        <v>0.3</v>
      </c>
      <c r="P3453">
        <f t="shared" si="160"/>
        <v>2.1021386542660031E-2</v>
      </c>
      <c r="Q3453" t="str">
        <f t="shared" ca="1" si="161"/>
        <v>No</v>
      </c>
    </row>
    <row r="3454" spans="1:17" x14ac:dyDescent="0.45">
      <c r="A3454" t="s">
        <v>150</v>
      </c>
      <c r="B3454" t="s">
        <v>151</v>
      </c>
      <c r="C3454" t="s">
        <v>61</v>
      </c>
      <c r="D3454" t="s">
        <v>20</v>
      </c>
      <c r="E3454" t="s">
        <v>21</v>
      </c>
      <c r="F3454" s="1">
        <v>44805</v>
      </c>
      <c r="G3454">
        <v>6.16</v>
      </c>
      <c r="H3454">
        <v>79.630300000000005</v>
      </c>
      <c r="I3454">
        <v>24.88</v>
      </c>
      <c r="J3454">
        <v>78.400000000000006</v>
      </c>
      <c r="K3454" t="s">
        <v>23</v>
      </c>
      <c r="L3454">
        <v>850.42</v>
      </c>
      <c r="M3454">
        <f>VLOOKUP(K3454,RatingLookup!$A$2:$C$8,2,FALSE)</f>
        <v>1E-3</v>
      </c>
      <c r="N3454">
        <f t="shared" si="159"/>
        <v>8.3371552197619714E-5</v>
      </c>
      <c r="O3454">
        <f>VLOOKUP(K3454,RatingLookup!$A$2:$C$8,3,FALSE)</f>
        <v>0.3</v>
      </c>
      <c r="P3454">
        <f t="shared" si="160"/>
        <v>2.1270250625969923E-2</v>
      </c>
      <c r="Q3454" t="str">
        <f t="shared" ca="1" si="161"/>
        <v>No</v>
      </c>
    </row>
    <row r="3455" spans="1:17" x14ac:dyDescent="0.45">
      <c r="A3455" t="s">
        <v>150</v>
      </c>
      <c r="B3455" t="s">
        <v>151</v>
      </c>
      <c r="C3455" t="s">
        <v>61</v>
      </c>
      <c r="D3455" t="s">
        <v>20</v>
      </c>
      <c r="E3455" t="s">
        <v>21</v>
      </c>
      <c r="F3455" s="1">
        <v>44835</v>
      </c>
      <c r="G3455">
        <v>5.3</v>
      </c>
      <c r="H3455">
        <v>81.270499999999998</v>
      </c>
      <c r="I3455">
        <v>27.81</v>
      </c>
      <c r="J3455">
        <v>83.4</v>
      </c>
      <c r="K3455" t="s">
        <v>23</v>
      </c>
      <c r="L3455">
        <v>848.42</v>
      </c>
      <c r="M3455">
        <f>VLOOKUP(K3455,RatingLookup!$A$2:$C$8,2,FALSE)</f>
        <v>1E-3</v>
      </c>
      <c r="N3455">
        <f t="shared" si="159"/>
        <v>8.3371552197619714E-5</v>
      </c>
      <c r="O3455">
        <f>VLOOKUP(K3455,RatingLookup!$A$2:$C$8,3,FALSE)</f>
        <v>0.3</v>
      </c>
      <c r="P3455">
        <f t="shared" si="160"/>
        <v>2.1220227694651352E-2</v>
      </c>
      <c r="Q3455" t="str">
        <f t="shared" ca="1" si="161"/>
        <v>No</v>
      </c>
    </row>
    <row r="3456" spans="1:17" x14ac:dyDescent="0.45">
      <c r="A3456" t="s">
        <v>150</v>
      </c>
      <c r="B3456" t="s">
        <v>151</v>
      </c>
      <c r="C3456" t="s">
        <v>61</v>
      </c>
      <c r="D3456" t="s">
        <v>20</v>
      </c>
      <c r="E3456" t="s">
        <v>21</v>
      </c>
      <c r="F3456" s="1">
        <v>44866</v>
      </c>
      <c r="G3456">
        <v>5.92</v>
      </c>
      <c r="H3456">
        <v>85.590500000000006</v>
      </c>
      <c r="I3456">
        <v>17.05</v>
      </c>
      <c r="J3456">
        <v>82.75</v>
      </c>
      <c r="K3456" t="s">
        <v>23</v>
      </c>
      <c r="L3456">
        <v>829.85</v>
      </c>
      <c r="M3456">
        <f>VLOOKUP(K3456,RatingLookup!$A$2:$C$8,2,FALSE)</f>
        <v>1E-3</v>
      </c>
      <c r="N3456">
        <f t="shared" si="159"/>
        <v>8.3371552197619714E-5</v>
      </c>
      <c r="O3456">
        <f>VLOOKUP(K3456,RatingLookup!$A$2:$C$8,3,FALSE)</f>
        <v>0.3</v>
      </c>
      <c r="P3456">
        <f t="shared" si="160"/>
        <v>2.0755764777358417E-2</v>
      </c>
      <c r="Q3456" t="str">
        <f t="shared" ca="1" si="161"/>
        <v>No</v>
      </c>
    </row>
    <row r="3457" spans="1:17" x14ac:dyDescent="0.45">
      <c r="A3457" t="s">
        <v>150</v>
      </c>
      <c r="B3457" t="s">
        <v>151</v>
      </c>
      <c r="C3457" t="s">
        <v>61</v>
      </c>
      <c r="D3457" t="s">
        <v>20</v>
      </c>
      <c r="E3457" t="s">
        <v>21</v>
      </c>
      <c r="F3457" s="1">
        <v>44896</v>
      </c>
      <c r="G3457">
        <v>6.19</v>
      </c>
      <c r="H3457">
        <v>83.197100000000006</v>
      </c>
      <c r="I3457">
        <v>33.979999999999997</v>
      </c>
      <c r="J3457">
        <v>71.430000000000007</v>
      </c>
      <c r="K3457" t="s">
        <v>23</v>
      </c>
      <c r="L3457">
        <v>886.68</v>
      </c>
      <c r="M3457">
        <f>VLOOKUP(K3457,RatingLookup!$A$2:$C$8,2,FALSE)</f>
        <v>1E-3</v>
      </c>
      <c r="N3457">
        <f t="shared" si="159"/>
        <v>8.3371552197619714E-5</v>
      </c>
      <c r="O3457">
        <f>VLOOKUP(K3457,RatingLookup!$A$2:$C$8,3,FALSE)</f>
        <v>0.3</v>
      </c>
      <c r="P3457">
        <f t="shared" si="160"/>
        <v>2.2177166370775634E-2</v>
      </c>
      <c r="Q3457" t="str">
        <f t="shared" ca="1" si="161"/>
        <v>No</v>
      </c>
    </row>
    <row r="3458" spans="1:17" x14ac:dyDescent="0.45">
      <c r="A3458" t="s">
        <v>150</v>
      </c>
      <c r="B3458" t="s">
        <v>151</v>
      </c>
      <c r="C3458" t="s">
        <v>61</v>
      </c>
      <c r="D3458" t="s">
        <v>20</v>
      </c>
      <c r="E3458" t="s">
        <v>21</v>
      </c>
      <c r="F3458" s="1">
        <v>44927</v>
      </c>
      <c r="G3458">
        <v>4.3600000000000003</v>
      </c>
      <c r="H3458">
        <v>82.902000000000001</v>
      </c>
      <c r="I3458">
        <v>12.87</v>
      </c>
      <c r="J3458">
        <v>75.5</v>
      </c>
      <c r="K3458" t="s">
        <v>23</v>
      </c>
      <c r="L3458">
        <v>811.74</v>
      </c>
      <c r="M3458">
        <f>VLOOKUP(K3458,RatingLookup!$A$2:$C$8,2,FALSE)</f>
        <v>1E-3</v>
      </c>
      <c r="N3458">
        <f t="shared" ref="N3458:N3521" si="162">1-(1-M3458)^(1/12)</f>
        <v>8.3371552197619714E-5</v>
      </c>
      <c r="O3458">
        <f>VLOOKUP(K3458,RatingLookup!$A$2:$C$8,3,FALSE)</f>
        <v>0.3</v>
      </c>
      <c r="P3458">
        <f t="shared" ref="P3458:P3521" si="163">L3458*N3458*O3458</f>
        <v>2.0302807134268745E-2</v>
      </c>
      <c r="Q3458" t="str">
        <f t="shared" ref="Q3458:Q3521" ca="1" si="164">IF(RAND()&lt;N3458,"Yes","No")</f>
        <v>No</v>
      </c>
    </row>
    <row r="3459" spans="1:17" x14ac:dyDescent="0.45">
      <c r="A3459" t="s">
        <v>150</v>
      </c>
      <c r="B3459" t="s">
        <v>151</v>
      </c>
      <c r="C3459" t="s">
        <v>61</v>
      </c>
      <c r="D3459" t="s">
        <v>20</v>
      </c>
      <c r="E3459" t="s">
        <v>21</v>
      </c>
      <c r="F3459" s="1">
        <v>44958</v>
      </c>
      <c r="G3459">
        <v>5.0199999999999996</v>
      </c>
      <c r="H3459">
        <v>78.762100000000004</v>
      </c>
      <c r="I3459">
        <v>21</v>
      </c>
      <c r="J3459">
        <v>78.88</v>
      </c>
      <c r="K3459" t="s">
        <v>23</v>
      </c>
      <c r="L3459">
        <v>882.48</v>
      </c>
      <c r="M3459">
        <f>VLOOKUP(K3459,RatingLookup!$A$2:$C$8,2,FALSE)</f>
        <v>1E-3</v>
      </c>
      <c r="N3459">
        <f t="shared" si="162"/>
        <v>8.3371552197619714E-5</v>
      </c>
      <c r="O3459">
        <f>VLOOKUP(K3459,RatingLookup!$A$2:$C$8,3,FALSE)</f>
        <v>0.3</v>
      </c>
      <c r="P3459">
        <f t="shared" si="163"/>
        <v>2.2072118215006636E-2</v>
      </c>
      <c r="Q3459" t="str">
        <f t="shared" ca="1" si="164"/>
        <v>No</v>
      </c>
    </row>
    <row r="3460" spans="1:17" x14ac:dyDescent="0.45">
      <c r="A3460" t="s">
        <v>150</v>
      </c>
      <c r="B3460" t="s">
        <v>151</v>
      </c>
      <c r="C3460" t="s">
        <v>61</v>
      </c>
      <c r="D3460" t="s">
        <v>20</v>
      </c>
      <c r="E3460" t="s">
        <v>21</v>
      </c>
      <c r="F3460" s="1">
        <v>44986</v>
      </c>
      <c r="G3460">
        <v>5.45</v>
      </c>
      <c r="H3460">
        <v>84.514200000000002</v>
      </c>
      <c r="I3460">
        <v>20.56</v>
      </c>
      <c r="J3460">
        <v>78.930000000000007</v>
      </c>
      <c r="K3460" t="s">
        <v>23</v>
      </c>
      <c r="L3460">
        <v>881.82</v>
      </c>
      <c r="M3460">
        <f>VLOOKUP(K3460,RatingLookup!$A$2:$C$8,2,FALSE)</f>
        <v>1E-3</v>
      </c>
      <c r="N3460">
        <f t="shared" si="162"/>
        <v>8.3371552197619714E-5</v>
      </c>
      <c r="O3460">
        <f>VLOOKUP(K3460,RatingLookup!$A$2:$C$8,3,FALSE)</f>
        <v>0.3</v>
      </c>
      <c r="P3460">
        <f t="shared" si="163"/>
        <v>2.2055610647671507E-2</v>
      </c>
      <c r="Q3460" t="str">
        <f t="shared" ca="1" si="164"/>
        <v>No</v>
      </c>
    </row>
    <row r="3461" spans="1:17" x14ac:dyDescent="0.45">
      <c r="A3461" t="s">
        <v>150</v>
      </c>
      <c r="B3461" t="s">
        <v>151</v>
      </c>
      <c r="C3461" t="s">
        <v>61</v>
      </c>
      <c r="D3461" t="s">
        <v>20</v>
      </c>
      <c r="E3461" t="s">
        <v>21</v>
      </c>
      <c r="F3461" s="1">
        <v>45017</v>
      </c>
      <c r="G3461">
        <v>5.5</v>
      </c>
      <c r="H3461">
        <v>80.309200000000004</v>
      </c>
      <c r="I3461">
        <v>10.92</v>
      </c>
      <c r="J3461">
        <v>80.17</v>
      </c>
      <c r="K3461" t="s">
        <v>23</v>
      </c>
      <c r="L3461">
        <v>852.7</v>
      </c>
      <c r="M3461">
        <f>VLOOKUP(K3461,RatingLookup!$A$2:$C$8,2,FALSE)</f>
        <v>1E-3</v>
      </c>
      <c r="N3461">
        <f t="shared" si="162"/>
        <v>8.3371552197619714E-5</v>
      </c>
      <c r="O3461">
        <f>VLOOKUP(K3461,RatingLookup!$A$2:$C$8,3,FALSE)</f>
        <v>0.3</v>
      </c>
      <c r="P3461">
        <f t="shared" si="163"/>
        <v>2.1327276767673101E-2</v>
      </c>
      <c r="Q3461" t="str">
        <f t="shared" ca="1" si="164"/>
        <v>No</v>
      </c>
    </row>
    <row r="3462" spans="1:17" x14ac:dyDescent="0.45">
      <c r="A3462" t="s">
        <v>150</v>
      </c>
      <c r="B3462" t="s">
        <v>151</v>
      </c>
      <c r="C3462" t="s">
        <v>61</v>
      </c>
      <c r="D3462" t="s">
        <v>20</v>
      </c>
      <c r="E3462" t="s">
        <v>21</v>
      </c>
      <c r="F3462" s="1">
        <v>45047</v>
      </c>
      <c r="G3462">
        <v>5.14</v>
      </c>
      <c r="H3462">
        <v>85.926900000000003</v>
      </c>
      <c r="I3462">
        <v>22.88</v>
      </c>
      <c r="J3462">
        <v>80.94</v>
      </c>
      <c r="K3462" t="s">
        <v>23</v>
      </c>
      <c r="L3462">
        <v>940.08</v>
      </c>
      <c r="M3462">
        <f>VLOOKUP(K3462,RatingLookup!$A$2:$C$8,2,FALSE)</f>
        <v>1E-3</v>
      </c>
      <c r="N3462">
        <f t="shared" si="162"/>
        <v>8.3371552197619714E-5</v>
      </c>
      <c r="O3462">
        <f>VLOOKUP(K3462,RatingLookup!$A$2:$C$8,3,FALSE)</f>
        <v>0.3</v>
      </c>
      <c r="P3462">
        <f t="shared" si="163"/>
        <v>2.3512778636981504E-2</v>
      </c>
      <c r="Q3462" t="str">
        <f t="shared" ca="1" si="164"/>
        <v>No</v>
      </c>
    </row>
    <row r="3463" spans="1:17" x14ac:dyDescent="0.45">
      <c r="A3463" t="s">
        <v>150</v>
      </c>
      <c r="B3463" t="s">
        <v>151</v>
      </c>
      <c r="C3463" t="s">
        <v>61</v>
      </c>
      <c r="D3463" t="s">
        <v>20</v>
      </c>
      <c r="E3463" t="s">
        <v>21</v>
      </c>
      <c r="F3463" s="1">
        <v>45078</v>
      </c>
      <c r="G3463">
        <v>6.12</v>
      </c>
      <c r="H3463">
        <v>82.43</v>
      </c>
      <c r="I3463">
        <v>11.51</v>
      </c>
      <c r="J3463">
        <v>61.26</v>
      </c>
      <c r="K3463" t="s">
        <v>23</v>
      </c>
      <c r="L3463">
        <v>888.89</v>
      </c>
      <c r="M3463">
        <f>VLOOKUP(K3463,RatingLookup!$A$2:$C$8,2,FALSE)</f>
        <v>1E-3</v>
      </c>
      <c r="N3463">
        <f t="shared" si="162"/>
        <v>8.3371552197619714E-5</v>
      </c>
      <c r="O3463">
        <f>VLOOKUP(K3463,RatingLookup!$A$2:$C$8,3,FALSE)</f>
        <v>0.3</v>
      </c>
      <c r="P3463">
        <f t="shared" si="163"/>
        <v>2.2232441709882655E-2</v>
      </c>
      <c r="Q3463" t="str">
        <f t="shared" ca="1" si="164"/>
        <v>No</v>
      </c>
    </row>
    <row r="3464" spans="1:17" x14ac:dyDescent="0.45">
      <c r="A3464" t="s">
        <v>150</v>
      </c>
      <c r="B3464" t="s">
        <v>151</v>
      </c>
      <c r="C3464" t="s">
        <v>61</v>
      </c>
      <c r="D3464" t="s">
        <v>20</v>
      </c>
      <c r="E3464" t="s">
        <v>21</v>
      </c>
      <c r="F3464" s="1">
        <v>45108</v>
      </c>
      <c r="G3464">
        <v>4.99</v>
      </c>
      <c r="H3464">
        <v>80.302800000000005</v>
      </c>
      <c r="I3464">
        <v>23.51</v>
      </c>
      <c r="J3464">
        <v>87.18</v>
      </c>
      <c r="K3464" t="s">
        <v>23</v>
      </c>
      <c r="L3464">
        <v>938.49</v>
      </c>
      <c r="M3464">
        <f>VLOOKUP(K3464,RatingLookup!$A$2:$C$8,2,FALSE)</f>
        <v>1E-3</v>
      </c>
      <c r="N3464">
        <f t="shared" si="162"/>
        <v>8.3371552197619714E-5</v>
      </c>
      <c r="O3464">
        <f>VLOOKUP(K3464,RatingLookup!$A$2:$C$8,3,FALSE)</f>
        <v>0.3</v>
      </c>
      <c r="P3464">
        <f t="shared" si="163"/>
        <v>2.3473010406583235E-2</v>
      </c>
      <c r="Q3464" t="str">
        <f t="shared" ca="1" si="164"/>
        <v>No</v>
      </c>
    </row>
    <row r="3465" spans="1:17" x14ac:dyDescent="0.45">
      <c r="A3465" t="s">
        <v>150</v>
      </c>
      <c r="B3465" t="s">
        <v>151</v>
      </c>
      <c r="C3465" t="s">
        <v>61</v>
      </c>
      <c r="D3465" t="s">
        <v>20</v>
      </c>
      <c r="E3465" t="s">
        <v>21</v>
      </c>
      <c r="F3465" s="1">
        <v>45139</v>
      </c>
      <c r="G3465">
        <v>5.35</v>
      </c>
      <c r="H3465">
        <v>84.224800000000002</v>
      </c>
      <c r="I3465">
        <v>17.579999999999998</v>
      </c>
      <c r="J3465">
        <v>98.44</v>
      </c>
      <c r="K3465" t="s">
        <v>23</v>
      </c>
      <c r="L3465">
        <v>962.2</v>
      </c>
      <c r="M3465">
        <f>VLOOKUP(K3465,RatingLookup!$A$2:$C$8,2,FALSE)</f>
        <v>1E-3</v>
      </c>
      <c r="N3465">
        <f t="shared" si="162"/>
        <v>8.3371552197619714E-5</v>
      </c>
      <c r="O3465">
        <f>VLOOKUP(K3465,RatingLookup!$A$2:$C$8,3,FALSE)</f>
        <v>0.3</v>
      </c>
      <c r="P3465">
        <f t="shared" si="163"/>
        <v>2.4066032257364908E-2</v>
      </c>
      <c r="Q3465" t="str">
        <f t="shared" ca="1" si="164"/>
        <v>No</v>
      </c>
    </row>
    <row r="3466" spans="1:17" x14ac:dyDescent="0.45">
      <c r="A3466" t="s">
        <v>150</v>
      </c>
      <c r="B3466" t="s">
        <v>151</v>
      </c>
      <c r="C3466" t="s">
        <v>61</v>
      </c>
      <c r="D3466" t="s">
        <v>20</v>
      </c>
      <c r="E3466" t="s">
        <v>21</v>
      </c>
      <c r="F3466" s="1">
        <v>45170</v>
      </c>
      <c r="G3466">
        <v>4.9400000000000004</v>
      </c>
      <c r="H3466">
        <v>85.7851</v>
      </c>
      <c r="I3466">
        <v>28.72</v>
      </c>
      <c r="J3466">
        <v>69.78</v>
      </c>
      <c r="K3466" t="s">
        <v>23</v>
      </c>
      <c r="L3466">
        <v>809.27</v>
      </c>
      <c r="M3466">
        <f>VLOOKUP(K3466,RatingLookup!$A$2:$C$8,2,FALSE)</f>
        <v>1E-3</v>
      </c>
      <c r="N3466">
        <f t="shared" si="162"/>
        <v>8.3371552197619714E-5</v>
      </c>
      <c r="O3466">
        <f>VLOOKUP(K3466,RatingLookup!$A$2:$C$8,3,FALSE)</f>
        <v>0.3</v>
      </c>
      <c r="P3466">
        <f t="shared" si="163"/>
        <v>2.024102881409031E-2</v>
      </c>
      <c r="Q3466" t="str">
        <f t="shared" ca="1" si="164"/>
        <v>No</v>
      </c>
    </row>
    <row r="3467" spans="1:17" x14ac:dyDescent="0.45">
      <c r="A3467" t="s">
        <v>150</v>
      </c>
      <c r="B3467" t="s">
        <v>151</v>
      </c>
      <c r="C3467" t="s">
        <v>61</v>
      </c>
      <c r="D3467" t="s">
        <v>20</v>
      </c>
      <c r="E3467" t="s">
        <v>21</v>
      </c>
      <c r="F3467" s="1">
        <v>45200</v>
      </c>
      <c r="G3467">
        <v>5.2</v>
      </c>
      <c r="H3467">
        <v>84.846299999999999</v>
      </c>
      <c r="I3467">
        <v>20.21</v>
      </c>
      <c r="J3467">
        <v>93.33</v>
      </c>
      <c r="K3467" t="s">
        <v>23</v>
      </c>
      <c r="L3467">
        <v>820.67</v>
      </c>
      <c r="M3467">
        <f>VLOOKUP(K3467,RatingLookup!$A$2:$C$8,2,FALSE)</f>
        <v>1E-3</v>
      </c>
      <c r="N3467">
        <f t="shared" si="162"/>
        <v>8.3371552197619714E-5</v>
      </c>
      <c r="O3467">
        <f>VLOOKUP(K3467,RatingLookup!$A$2:$C$8,3,FALSE)</f>
        <v>0.3</v>
      </c>
      <c r="P3467">
        <f t="shared" si="163"/>
        <v>2.0526159522606169E-2</v>
      </c>
      <c r="Q3467" t="str">
        <f t="shared" ca="1" si="164"/>
        <v>No</v>
      </c>
    </row>
    <row r="3468" spans="1:17" x14ac:dyDescent="0.45">
      <c r="A3468" t="s">
        <v>150</v>
      </c>
      <c r="B3468" t="s">
        <v>151</v>
      </c>
      <c r="C3468" t="s">
        <v>61</v>
      </c>
      <c r="D3468" t="s">
        <v>20</v>
      </c>
      <c r="E3468" t="s">
        <v>21</v>
      </c>
      <c r="F3468" s="1">
        <v>45231</v>
      </c>
      <c r="G3468">
        <v>5.29</v>
      </c>
      <c r="H3468">
        <v>85.845699999999994</v>
      </c>
      <c r="I3468">
        <v>24.66</v>
      </c>
      <c r="J3468">
        <v>83.31</v>
      </c>
      <c r="K3468" t="s">
        <v>23</v>
      </c>
      <c r="L3468">
        <v>839.59</v>
      </c>
      <c r="M3468">
        <f>VLOOKUP(K3468,RatingLookup!$A$2:$C$8,2,FALSE)</f>
        <v>1E-3</v>
      </c>
      <c r="N3468">
        <f t="shared" si="162"/>
        <v>8.3371552197619714E-5</v>
      </c>
      <c r="O3468">
        <f>VLOOKUP(K3468,RatingLookup!$A$2:$C$8,3,FALSE)</f>
        <v>0.3</v>
      </c>
      <c r="P3468">
        <f t="shared" si="163"/>
        <v>2.0999376452879859E-2</v>
      </c>
      <c r="Q3468" t="str">
        <f t="shared" ca="1" si="164"/>
        <v>No</v>
      </c>
    </row>
    <row r="3469" spans="1:17" x14ac:dyDescent="0.45">
      <c r="A3469" t="s">
        <v>150</v>
      </c>
      <c r="B3469" t="s">
        <v>151</v>
      </c>
      <c r="C3469" t="s">
        <v>61</v>
      </c>
      <c r="D3469" t="s">
        <v>20</v>
      </c>
      <c r="E3469" t="s">
        <v>21</v>
      </c>
      <c r="F3469" s="1">
        <v>45261</v>
      </c>
      <c r="G3469">
        <v>5.97</v>
      </c>
      <c r="H3469">
        <v>86.744299999999996</v>
      </c>
      <c r="I3469">
        <v>15.48</v>
      </c>
      <c r="J3469">
        <v>105.58</v>
      </c>
      <c r="K3469" t="s">
        <v>23</v>
      </c>
      <c r="L3469">
        <v>821.88</v>
      </c>
      <c r="M3469">
        <f>VLOOKUP(K3469,RatingLookup!$A$2:$C$8,2,FALSE)</f>
        <v>1E-3</v>
      </c>
      <c r="N3469">
        <f t="shared" si="162"/>
        <v>8.3371552197619714E-5</v>
      </c>
      <c r="O3469">
        <f>VLOOKUP(K3469,RatingLookup!$A$2:$C$8,3,FALSE)</f>
        <v>0.3</v>
      </c>
      <c r="P3469">
        <f t="shared" si="163"/>
        <v>2.0556423396053906E-2</v>
      </c>
      <c r="Q3469" t="str">
        <f t="shared" ca="1" si="164"/>
        <v>No</v>
      </c>
    </row>
    <row r="3470" spans="1:17" x14ac:dyDescent="0.45">
      <c r="A3470" t="s">
        <v>150</v>
      </c>
      <c r="B3470" t="s">
        <v>151</v>
      </c>
      <c r="C3470" t="s">
        <v>61</v>
      </c>
      <c r="D3470" t="s">
        <v>20</v>
      </c>
      <c r="E3470" t="s">
        <v>21</v>
      </c>
      <c r="F3470" s="1">
        <v>45292</v>
      </c>
      <c r="G3470">
        <v>5.39</v>
      </c>
      <c r="H3470">
        <v>82.425899999999999</v>
      </c>
      <c r="I3470">
        <v>18.34</v>
      </c>
      <c r="J3470">
        <v>94.05</v>
      </c>
      <c r="K3470" t="s">
        <v>23</v>
      </c>
      <c r="L3470">
        <v>884.26</v>
      </c>
      <c r="M3470">
        <f>VLOOKUP(K3470,RatingLookup!$A$2:$C$8,2,FALSE)</f>
        <v>1E-3</v>
      </c>
      <c r="N3470">
        <f t="shared" si="162"/>
        <v>8.3371552197619714E-5</v>
      </c>
      <c r="O3470">
        <f>VLOOKUP(K3470,RatingLookup!$A$2:$C$8,3,FALSE)</f>
        <v>0.3</v>
      </c>
      <c r="P3470">
        <f t="shared" si="163"/>
        <v>2.2116638623880164E-2</v>
      </c>
      <c r="Q3470" t="str">
        <f t="shared" ca="1" si="164"/>
        <v>No</v>
      </c>
    </row>
    <row r="3471" spans="1:17" x14ac:dyDescent="0.45">
      <c r="A3471" t="s">
        <v>150</v>
      </c>
      <c r="B3471" t="s">
        <v>151</v>
      </c>
      <c r="C3471" t="s">
        <v>61</v>
      </c>
      <c r="D3471" t="s">
        <v>20</v>
      </c>
      <c r="E3471" t="s">
        <v>21</v>
      </c>
      <c r="F3471" s="1">
        <v>45323</v>
      </c>
      <c r="G3471">
        <v>5</v>
      </c>
      <c r="H3471">
        <v>84.2821</v>
      </c>
      <c r="I3471">
        <v>26.31</v>
      </c>
      <c r="J3471">
        <v>80.790000000000006</v>
      </c>
      <c r="K3471" t="s">
        <v>23</v>
      </c>
      <c r="L3471">
        <v>901.66</v>
      </c>
      <c r="M3471">
        <f>VLOOKUP(K3471,RatingLookup!$A$2:$C$8,2,FALSE)</f>
        <v>1E-3</v>
      </c>
      <c r="N3471">
        <f t="shared" si="162"/>
        <v>8.3371552197619714E-5</v>
      </c>
      <c r="O3471">
        <f>VLOOKUP(K3471,RatingLookup!$A$2:$C$8,3,FALSE)</f>
        <v>0.3</v>
      </c>
      <c r="P3471">
        <f t="shared" si="163"/>
        <v>2.2551838126351736E-2</v>
      </c>
      <c r="Q3471" t="str">
        <f t="shared" ca="1" si="164"/>
        <v>No</v>
      </c>
    </row>
    <row r="3472" spans="1:17" x14ac:dyDescent="0.45">
      <c r="A3472" t="s">
        <v>150</v>
      </c>
      <c r="B3472" t="s">
        <v>151</v>
      </c>
      <c r="C3472" t="s">
        <v>61</v>
      </c>
      <c r="D3472" t="s">
        <v>20</v>
      </c>
      <c r="E3472" t="s">
        <v>21</v>
      </c>
      <c r="F3472" s="1">
        <v>45352</v>
      </c>
      <c r="G3472">
        <v>4.82</v>
      </c>
      <c r="H3472">
        <v>86.916200000000003</v>
      </c>
      <c r="I3472">
        <v>9.9499999999999993</v>
      </c>
      <c r="J3472">
        <v>82.54</v>
      </c>
      <c r="K3472" t="s">
        <v>23</v>
      </c>
      <c r="L3472">
        <v>885.49</v>
      </c>
      <c r="M3472">
        <f>VLOOKUP(K3472,RatingLookup!$A$2:$C$8,2,FALSE)</f>
        <v>1E-3</v>
      </c>
      <c r="N3472">
        <f t="shared" si="162"/>
        <v>8.3371552197619714E-5</v>
      </c>
      <c r="O3472">
        <f>VLOOKUP(K3472,RatingLookup!$A$2:$C$8,3,FALSE)</f>
        <v>0.3</v>
      </c>
      <c r="P3472">
        <f t="shared" si="163"/>
        <v>2.2147402726641081E-2</v>
      </c>
      <c r="Q3472" t="str">
        <f t="shared" ca="1" si="164"/>
        <v>No</v>
      </c>
    </row>
    <row r="3473" spans="1:17" x14ac:dyDescent="0.45">
      <c r="A3473" t="s">
        <v>150</v>
      </c>
      <c r="B3473" t="s">
        <v>151</v>
      </c>
      <c r="C3473" t="s">
        <v>61</v>
      </c>
      <c r="D3473" t="s">
        <v>20</v>
      </c>
      <c r="E3473" t="s">
        <v>21</v>
      </c>
      <c r="F3473" s="1">
        <v>45383</v>
      </c>
      <c r="G3473">
        <v>4.91</v>
      </c>
      <c r="H3473">
        <v>85.272400000000005</v>
      </c>
      <c r="I3473">
        <v>10.92</v>
      </c>
      <c r="J3473">
        <v>74.3</v>
      </c>
      <c r="K3473" t="s">
        <v>23</v>
      </c>
      <c r="L3473">
        <v>911.68</v>
      </c>
      <c r="M3473">
        <f>VLOOKUP(K3473,RatingLookup!$A$2:$C$8,2,FALSE)</f>
        <v>1E-3</v>
      </c>
      <c r="N3473">
        <f t="shared" si="162"/>
        <v>8.3371552197619714E-5</v>
      </c>
      <c r="O3473">
        <f>VLOOKUP(K3473,RatingLookup!$A$2:$C$8,3,FALSE)</f>
        <v>0.3</v>
      </c>
      <c r="P3473">
        <f t="shared" si="163"/>
        <v>2.2802453012257782E-2</v>
      </c>
      <c r="Q3473" t="str">
        <f t="shared" ca="1" si="164"/>
        <v>No</v>
      </c>
    </row>
    <row r="3474" spans="1:17" x14ac:dyDescent="0.45">
      <c r="A3474" t="s">
        <v>150</v>
      </c>
      <c r="B3474" t="s">
        <v>151</v>
      </c>
      <c r="C3474" t="s">
        <v>61</v>
      </c>
      <c r="D3474" t="s">
        <v>20</v>
      </c>
      <c r="E3474" t="s">
        <v>21</v>
      </c>
      <c r="F3474" s="1">
        <v>45413</v>
      </c>
      <c r="G3474">
        <v>6.17</v>
      </c>
      <c r="H3474">
        <v>85.722800000000007</v>
      </c>
      <c r="I3474">
        <v>21.29</v>
      </c>
      <c r="J3474">
        <v>71.81</v>
      </c>
      <c r="K3474" t="s">
        <v>23</v>
      </c>
      <c r="L3474">
        <v>827.93</v>
      </c>
      <c r="M3474">
        <f>VLOOKUP(K3474,RatingLookup!$A$2:$C$8,2,FALSE)</f>
        <v>1E-3</v>
      </c>
      <c r="N3474">
        <f t="shared" si="162"/>
        <v>8.3371552197619714E-5</v>
      </c>
      <c r="O3474">
        <f>VLOOKUP(K3474,RatingLookup!$A$2:$C$8,3,FALSE)</f>
        <v>0.3</v>
      </c>
      <c r="P3474">
        <f t="shared" si="163"/>
        <v>2.0707742763292587E-2</v>
      </c>
      <c r="Q3474" t="str">
        <f t="shared" ca="1" si="164"/>
        <v>No</v>
      </c>
    </row>
    <row r="3475" spans="1:17" x14ac:dyDescent="0.45">
      <c r="A3475" t="s">
        <v>150</v>
      </c>
      <c r="B3475" t="s">
        <v>151</v>
      </c>
      <c r="C3475" t="s">
        <v>61</v>
      </c>
      <c r="D3475" t="s">
        <v>20</v>
      </c>
      <c r="E3475" t="s">
        <v>21</v>
      </c>
      <c r="F3475" s="1">
        <v>45444</v>
      </c>
      <c r="G3475">
        <v>5.2</v>
      </c>
      <c r="H3475">
        <v>82.772199999999998</v>
      </c>
      <c r="I3475">
        <v>19.52</v>
      </c>
      <c r="J3475">
        <v>77.900000000000006</v>
      </c>
      <c r="K3475" t="s">
        <v>23</v>
      </c>
      <c r="L3475">
        <v>878.9</v>
      </c>
      <c r="M3475">
        <f>VLOOKUP(K3475,RatingLookup!$A$2:$C$8,2,FALSE)</f>
        <v>1E-3</v>
      </c>
      <c r="N3475">
        <f t="shared" si="162"/>
        <v>8.3371552197619714E-5</v>
      </c>
      <c r="O3475">
        <f>VLOOKUP(K3475,RatingLookup!$A$2:$C$8,3,FALSE)</f>
        <v>0.3</v>
      </c>
      <c r="P3475">
        <f t="shared" si="163"/>
        <v>2.1982577167946389E-2</v>
      </c>
      <c r="Q3475" t="str">
        <f t="shared" ca="1" si="164"/>
        <v>No</v>
      </c>
    </row>
    <row r="3476" spans="1:17" x14ac:dyDescent="0.45">
      <c r="A3476" t="s">
        <v>150</v>
      </c>
      <c r="B3476" t="s">
        <v>151</v>
      </c>
      <c r="C3476" t="s">
        <v>61</v>
      </c>
      <c r="D3476" t="s">
        <v>20</v>
      </c>
      <c r="E3476" t="s">
        <v>21</v>
      </c>
      <c r="F3476" s="1">
        <v>45474</v>
      </c>
      <c r="G3476">
        <v>5.67</v>
      </c>
      <c r="H3476">
        <v>83.027299999999997</v>
      </c>
      <c r="I3476">
        <v>8.73</v>
      </c>
      <c r="J3476">
        <v>89.35</v>
      </c>
      <c r="K3476" t="s">
        <v>23</v>
      </c>
      <c r="L3476">
        <v>859.46</v>
      </c>
      <c r="M3476">
        <f>VLOOKUP(K3476,RatingLookup!$A$2:$C$8,2,FALSE)</f>
        <v>1E-3</v>
      </c>
      <c r="N3476">
        <f t="shared" si="162"/>
        <v>8.3371552197619714E-5</v>
      </c>
      <c r="O3476">
        <f>VLOOKUP(K3476,RatingLookup!$A$2:$C$8,3,FALSE)</f>
        <v>0.3</v>
      </c>
      <c r="P3476">
        <f t="shared" si="163"/>
        <v>2.1496354275529869E-2</v>
      </c>
      <c r="Q3476" t="str">
        <f t="shared" ca="1" si="164"/>
        <v>No</v>
      </c>
    </row>
    <row r="3477" spans="1:17" x14ac:dyDescent="0.45">
      <c r="A3477" t="s">
        <v>150</v>
      </c>
      <c r="B3477" t="s">
        <v>151</v>
      </c>
      <c r="C3477" t="s">
        <v>61</v>
      </c>
      <c r="D3477" t="s">
        <v>20</v>
      </c>
      <c r="E3477" t="s">
        <v>21</v>
      </c>
      <c r="F3477" s="1">
        <v>45505</v>
      </c>
      <c r="G3477">
        <v>5.88</v>
      </c>
      <c r="H3477">
        <v>83.726299999999995</v>
      </c>
      <c r="I3477">
        <v>22.08</v>
      </c>
      <c r="J3477">
        <v>92.21</v>
      </c>
      <c r="K3477" t="s">
        <v>23</v>
      </c>
      <c r="L3477">
        <v>914.66</v>
      </c>
      <c r="M3477">
        <f>VLOOKUP(K3477,RatingLookup!$A$2:$C$8,2,FALSE)</f>
        <v>1E-3</v>
      </c>
      <c r="N3477">
        <f t="shared" si="162"/>
        <v>8.3371552197619714E-5</v>
      </c>
      <c r="O3477">
        <f>VLOOKUP(K3477,RatingLookup!$A$2:$C$8,3,FALSE)</f>
        <v>0.3</v>
      </c>
      <c r="P3477">
        <f t="shared" si="163"/>
        <v>2.2876987179922453E-2</v>
      </c>
      <c r="Q3477" t="str">
        <f t="shared" ca="1" si="164"/>
        <v>No</v>
      </c>
    </row>
    <row r="3478" spans="1:17" x14ac:dyDescent="0.45">
      <c r="A3478" t="s">
        <v>150</v>
      </c>
      <c r="B3478" t="s">
        <v>151</v>
      </c>
      <c r="C3478" t="s">
        <v>61</v>
      </c>
      <c r="D3478" t="s">
        <v>20</v>
      </c>
      <c r="E3478" t="s">
        <v>21</v>
      </c>
      <c r="F3478" s="1">
        <v>45536</v>
      </c>
      <c r="G3478">
        <v>5.21</v>
      </c>
      <c r="H3478">
        <v>81.9499</v>
      </c>
      <c r="I3478">
        <v>25.05</v>
      </c>
      <c r="J3478">
        <v>76.72</v>
      </c>
      <c r="K3478" t="s">
        <v>23</v>
      </c>
      <c r="L3478">
        <v>898.28</v>
      </c>
      <c r="M3478">
        <f>VLOOKUP(K3478,RatingLookup!$A$2:$C$8,2,FALSE)</f>
        <v>1E-3</v>
      </c>
      <c r="N3478">
        <f t="shared" si="162"/>
        <v>8.3371552197619714E-5</v>
      </c>
      <c r="O3478">
        <f>VLOOKUP(K3478,RatingLookup!$A$2:$C$8,3,FALSE)</f>
        <v>0.3</v>
      </c>
      <c r="P3478">
        <f t="shared" si="163"/>
        <v>2.2467299372423349E-2</v>
      </c>
      <c r="Q3478" t="str">
        <f t="shared" ca="1" si="164"/>
        <v>No</v>
      </c>
    </row>
    <row r="3479" spans="1:17" x14ac:dyDescent="0.45">
      <c r="A3479" t="s">
        <v>150</v>
      </c>
      <c r="B3479" t="s">
        <v>151</v>
      </c>
      <c r="C3479" t="s">
        <v>61</v>
      </c>
      <c r="D3479" t="s">
        <v>20</v>
      </c>
      <c r="E3479" t="s">
        <v>21</v>
      </c>
      <c r="F3479" s="1">
        <v>45566</v>
      </c>
      <c r="G3479">
        <v>6.53</v>
      </c>
      <c r="H3479">
        <v>81.595200000000006</v>
      </c>
      <c r="I3479">
        <v>23.51</v>
      </c>
      <c r="J3479">
        <v>72.67</v>
      </c>
      <c r="K3479" t="s">
        <v>23</v>
      </c>
      <c r="L3479">
        <v>902.07</v>
      </c>
      <c r="M3479">
        <f>VLOOKUP(K3479,RatingLookup!$A$2:$C$8,2,FALSE)</f>
        <v>1E-3</v>
      </c>
      <c r="N3479">
        <f t="shared" si="162"/>
        <v>8.3371552197619714E-5</v>
      </c>
      <c r="O3479">
        <f>VLOOKUP(K3479,RatingLookup!$A$2:$C$8,3,FALSE)</f>
        <v>0.3</v>
      </c>
      <c r="P3479">
        <f t="shared" si="163"/>
        <v>2.2562092827272045E-2</v>
      </c>
      <c r="Q3479" t="str">
        <f t="shared" ca="1" si="164"/>
        <v>No</v>
      </c>
    </row>
    <row r="3480" spans="1:17" x14ac:dyDescent="0.45">
      <c r="A3480" t="s">
        <v>150</v>
      </c>
      <c r="B3480" t="s">
        <v>151</v>
      </c>
      <c r="C3480" t="s">
        <v>61</v>
      </c>
      <c r="D3480" t="s">
        <v>20</v>
      </c>
      <c r="E3480" t="s">
        <v>21</v>
      </c>
      <c r="F3480" s="1">
        <v>45597</v>
      </c>
      <c r="G3480">
        <v>5.27</v>
      </c>
      <c r="H3480">
        <v>87.094300000000004</v>
      </c>
      <c r="I3480">
        <v>17.809999999999999</v>
      </c>
      <c r="J3480">
        <v>103.68</v>
      </c>
      <c r="K3480" t="s">
        <v>23</v>
      </c>
      <c r="L3480">
        <v>878.64</v>
      </c>
      <c r="M3480">
        <f>VLOOKUP(K3480,RatingLookup!$A$2:$C$8,2,FALSE)</f>
        <v>1E-3</v>
      </c>
      <c r="N3480">
        <f t="shared" si="162"/>
        <v>8.3371552197619714E-5</v>
      </c>
      <c r="O3480">
        <f>VLOOKUP(K3480,RatingLookup!$A$2:$C$8,3,FALSE)</f>
        <v>0.3</v>
      </c>
      <c r="P3480">
        <f t="shared" si="163"/>
        <v>2.1976074186874972E-2</v>
      </c>
      <c r="Q3480" t="str">
        <f t="shared" ca="1" si="164"/>
        <v>No</v>
      </c>
    </row>
    <row r="3481" spans="1:17" x14ac:dyDescent="0.45">
      <c r="A3481" t="s">
        <v>150</v>
      </c>
      <c r="B3481" t="s">
        <v>151</v>
      </c>
      <c r="C3481" t="s">
        <v>61</v>
      </c>
      <c r="D3481" t="s">
        <v>20</v>
      </c>
      <c r="E3481" t="s">
        <v>21</v>
      </c>
      <c r="F3481" s="1">
        <v>45627</v>
      </c>
      <c r="G3481">
        <v>5.9</v>
      </c>
      <c r="H3481">
        <v>86.620699999999999</v>
      </c>
      <c r="I3481">
        <v>20.5</v>
      </c>
      <c r="J3481">
        <v>75.34</v>
      </c>
      <c r="K3481" t="s">
        <v>23</v>
      </c>
      <c r="L3481">
        <v>846.04</v>
      </c>
      <c r="M3481">
        <f>VLOOKUP(K3481,RatingLookup!$A$2:$C$8,2,FALSE)</f>
        <v>1E-3</v>
      </c>
      <c r="N3481">
        <f t="shared" si="162"/>
        <v>8.3371552197619714E-5</v>
      </c>
      <c r="O3481">
        <f>VLOOKUP(K3481,RatingLookup!$A$2:$C$8,3,FALSE)</f>
        <v>0.3</v>
      </c>
      <c r="P3481">
        <f t="shared" si="163"/>
        <v>2.1160700406382255E-2</v>
      </c>
      <c r="Q3481" t="str">
        <f t="shared" ca="1" si="164"/>
        <v>No</v>
      </c>
    </row>
    <row r="3482" spans="1:17" x14ac:dyDescent="0.45">
      <c r="A3482" t="s">
        <v>152</v>
      </c>
      <c r="B3482" t="s">
        <v>153</v>
      </c>
      <c r="C3482" t="s">
        <v>61</v>
      </c>
      <c r="D3482" t="s">
        <v>20</v>
      </c>
      <c r="E3482" t="s">
        <v>21</v>
      </c>
      <c r="F3482" s="1">
        <v>43831</v>
      </c>
      <c r="G3482">
        <v>5.44</v>
      </c>
      <c r="H3482">
        <v>81.411900000000003</v>
      </c>
      <c r="I3482">
        <v>14.96</v>
      </c>
      <c r="J3482">
        <v>59.98</v>
      </c>
      <c r="K3482" t="s">
        <v>23</v>
      </c>
      <c r="L3482">
        <v>2518.7199999999998</v>
      </c>
      <c r="M3482">
        <f>VLOOKUP(K3482,RatingLookup!$A$2:$C$8,2,FALSE)</f>
        <v>1E-3</v>
      </c>
      <c r="N3482">
        <f t="shared" si="162"/>
        <v>8.3371552197619714E-5</v>
      </c>
      <c r="O3482">
        <f>VLOOKUP(K3482,RatingLookup!$A$2:$C$8,3,FALSE)</f>
        <v>0.3</v>
      </c>
      <c r="P3482">
        <f t="shared" si="163"/>
        <v>6.2996878785356605E-2</v>
      </c>
      <c r="Q3482" t="str">
        <f t="shared" ca="1" si="164"/>
        <v>No</v>
      </c>
    </row>
    <row r="3483" spans="1:17" x14ac:dyDescent="0.45">
      <c r="A3483" t="s">
        <v>152</v>
      </c>
      <c r="B3483" t="s">
        <v>153</v>
      </c>
      <c r="C3483" t="s">
        <v>61</v>
      </c>
      <c r="D3483" t="s">
        <v>20</v>
      </c>
      <c r="E3483" t="s">
        <v>21</v>
      </c>
      <c r="F3483" s="1">
        <v>43862</v>
      </c>
      <c r="G3483">
        <v>5.19</v>
      </c>
      <c r="H3483">
        <v>85.102599999999995</v>
      </c>
      <c r="I3483">
        <v>25.59</v>
      </c>
      <c r="J3483">
        <v>99.08</v>
      </c>
      <c r="K3483" t="s">
        <v>23</v>
      </c>
      <c r="L3483">
        <v>2461.54</v>
      </c>
      <c r="M3483">
        <f>VLOOKUP(K3483,RatingLookup!$A$2:$C$8,2,FALSE)</f>
        <v>1E-3</v>
      </c>
      <c r="N3483">
        <f t="shared" si="162"/>
        <v>8.3371552197619714E-5</v>
      </c>
      <c r="O3483">
        <f>VLOOKUP(K3483,RatingLookup!$A$2:$C$8,3,FALSE)</f>
        <v>0.3</v>
      </c>
      <c r="P3483">
        <f t="shared" si="163"/>
        <v>6.1566723178958643E-2</v>
      </c>
      <c r="Q3483" t="str">
        <f t="shared" ca="1" si="164"/>
        <v>No</v>
      </c>
    </row>
    <row r="3484" spans="1:17" x14ac:dyDescent="0.45">
      <c r="A3484" t="s">
        <v>152</v>
      </c>
      <c r="B3484" t="s">
        <v>153</v>
      </c>
      <c r="C3484" t="s">
        <v>61</v>
      </c>
      <c r="D3484" t="s">
        <v>20</v>
      </c>
      <c r="E3484" t="s">
        <v>21</v>
      </c>
      <c r="F3484" s="1">
        <v>43891</v>
      </c>
      <c r="G3484">
        <v>5.66</v>
      </c>
      <c r="H3484">
        <v>84.990099999999998</v>
      </c>
      <c r="I3484">
        <v>17.54</v>
      </c>
      <c r="J3484">
        <v>80.72</v>
      </c>
      <c r="K3484" t="s">
        <v>23</v>
      </c>
      <c r="L3484">
        <v>2397.9899999999998</v>
      </c>
      <c r="M3484">
        <f>VLOOKUP(K3484,RatingLookup!$A$2:$C$8,2,FALSE)</f>
        <v>1E-3</v>
      </c>
      <c r="N3484">
        <f t="shared" si="162"/>
        <v>8.3371552197619714E-5</v>
      </c>
      <c r="O3484">
        <f>VLOOKUP(K3484,RatingLookup!$A$2:$C$8,3,FALSE)</f>
        <v>0.3</v>
      </c>
      <c r="P3484">
        <f t="shared" si="163"/>
        <v>5.9977244536311022E-2</v>
      </c>
      <c r="Q3484" t="str">
        <f t="shared" ca="1" si="164"/>
        <v>No</v>
      </c>
    </row>
    <row r="3485" spans="1:17" x14ac:dyDescent="0.45">
      <c r="A3485" t="s">
        <v>152</v>
      </c>
      <c r="B3485" t="s">
        <v>153</v>
      </c>
      <c r="C3485" t="s">
        <v>61</v>
      </c>
      <c r="D3485" t="s">
        <v>20</v>
      </c>
      <c r="E3485" t="s">
        <v>21</v>
      </c>
      <c r="F3485" s="1">
        <v>43922</v>
      </c>
      <c r="G3485">
        <v>4.71</v>
      </c>
      <c r="H3485">
        <v>83.433400000000006</v>
      </c>
      <c r="I3485">
        <v>24.58</v>
      </c>
      <c r="J3485">
        <v>81.180000000000007</v>
      </c>
      <c r="K3485" t="s">
        <v>23</v>
      </c>
      <c r="L3485">
        <v>2321.2199999999998</v>
      </c>
      <c r="M3485">
        <f>VLOOKUP(K3485,RatingLookup!$A$2:$C$8,2,FALSE)</f>
        <v>1E-3</v>
      </c>
      <c r="N3485">
        <f t="shared" si="162"/>
        <v>8.3371552197619714E-5</v>
      </c>
      <c r="O3485">
        <f>VLOOKUP(K3485,RatingLookup!$A$2:$C$8,3,FALSE)</f>
        <v>0.3</v>
      </c>
      <c r="P3485">
        <f t="shared" si="163"/>
        <v>5.8057114317647644E-2</v>
      </c>
      <c r="Q3485" t="str">
        <f t="shared" ca="1" si="164"/>
        <v>No</v>
      </c>
    </row>
    <row r="3486" spans="1:17" x14ac:dyDescent="0.45">
      <c r="A3486" t="s">
        <v>152</v>
      </c>
      <c r="B3486" t="s">
        <v>153</v>
      </c>
      <c r="C3486" t="s">
        <v>61</v>
      </c>
      <c r="D3486" t="s">
        <v>20</v>
      </c>
      <c r="E3486" t="s">
        <v>21</v>
      </c>
      <c r="F3486" s="1">
        <v>43952</v>
      </c>
      <c r="G3486">
        <v>5.9</v>
      </c>
      <c r="H3486">
        <v>86.716999999999999</v>
      </c>
      <c r="I3486">
        <v>30.8</v>
      </c>
      <c r="J3486">
        <v>68.98</v>
      </c>
      <c r="K3486" t="s">
        <v>23</v>
      </c>
      <c r="L3486">
        <v>2310.58</v>
      </c>
      <c r="M3486">
        <f>VLOOKUP(K3486,RatingLookup!$A$2:$C$8,2,FALSE)</f>
        <v>1E-3</v>
      </c>
      <c r="N3486">
        <f t="shared" si="162"/>
        <v>8.3371552197619714E-5</v>
      </c>
      <c r="O3486">
        <f>VLOOKUP(K3486,RatingLookup!$A$2:$C$8,3,FALSE)</f>
        <v>0.3</v>
      </c>
      <c r="P3486">
        <f t="shared" si="163"/>
        <v>5.779099232303285E-2</v>
      </c>
      <c r="Q3486" t="str">
        <f t="shared" ca="1" si="164"/>
        <v>No</v>
      </c>
    </row>
    <row r="3487" spans="1:17" x14ac:dyDescent="0.45">
      <c r="A3487" t="s">
        <v>152</v>
      </c>
      <c r="B3487" t="s">
        <v>153</v>
      </c>
      <c r="C3487" t="s">
        <v>61</v>
      </c>
      <c r="D3487" t="s">
        <v>20</v>
      </c>
      <c r="E3487" t="s">
        <v>21</v>
      </c>
      <c r="F3487" s="1">
        <v>43983</v>
      </c>
      <c r="G3487">
        <v>5.95</v>
      </c>
      <c r="H3487">
        <v>80.452299999999994</v>
      </c>
      <c r="I3487">
        <v>16.97</v>
      </c>
      <c r="J3487">
        <v>63.23</v>
      </c>
      <c r="K3487" t="s">
        <v>23</v>
      </c>
      <c r="L3487">
        <v>2403.4499999999998</v>
      </c>
      <c r="M3487">
        <f>VLOOKUP(K3487,RatingLookup!$A$2:$C$8,2,FALSE)</f>
        <v>1E-3</v>
      </c>
      <c r="N3487">
        <f t="shared" si="162"/>
        <v>8.3371552197619714E-5</v>
      </c>
      <c r="O3487">
        <f>VLOOKUP(K3487,RatingLookup!$A$2:$C$8,3,FALSE)</f>
        <v>0.3</v>
      </c>
      <c r="P3487">
        <f t="shared" si="163"/>
        <v>6.0113807138810718E-2</v>
      </c>
      <c r="Q3487" t="str">
        <f t="shared" ca="1" si="164"/>
        <v>No</v>
      </c>
    </row>
    <row r="3488" spans="1:17" x14ac:dyDescent="0.45">
      <c r="A3488" t="s">
        <v>152</v>
      </c>
      <c r="B3488" t="s">
        <v>153</v>
      </c>
      <c r="C3488" t="s">
        <v>61</v>
      </c>
      <c r="D3488" t="s">
        <v>20</v>
      </c>
      <c r="E3488" t="s">
        <v>21</v>
      </c>
      <c r="F3488" s="1">
        <v>44013</v>
      </c>
      <c r="G3488">
        <v>5.78</v>
      </c>
      <c r="H3488">
        <v>77.683700000000002</v>
      </c>
      <c r="I3488">
        <v>18.510000000000002</v>
      </c>
      <c r="J3488">
        <v>89.79</v>
      </c>
      <c r="K3488" t="s">
        <v>23</v>
      </c>
      <c r="L3488">
        <v>2400.46</v>
      </c>
      <c r="M3488">
        <f>VLOOKUP(K3488,RatingLookup!$A$2:$C$8,2,FALSE)</f>
        <v>1E-3</v>
      </c>
      <c r="N3488">
        <f t="shared" si="162"/>
        <v>8.3371552197619714E-5</v>
      </c>
      <c r="O3488">
        <f>VLOOKUP(K3488,RatingLookup!$A$2:$C$8,3,FALSE)</f>
        <v>0.3</v>
      </c>
      <c r="P3488">
        <f t="shared" si="163"/>
        <v>6.0039022856489467E-2</v>
      </c>
      <c r="Q3488" t="str">
        <f t="shared" ca="1" si="164"/>
        <v>No</v>
      </c>
    </row>
    <row r="3489" spans="1:17" x14ac:dyDescent="0.45">
      <c r="A3489" t="s">
        <v>152</v>
      </c>
      <c r="B3489" t="s">
        <v>153</v>
      </c>
      <c r="C3489" t="s">
        <v>61</v>
      </c>
      <c r="D3489" t="s">
        <v>20</v>
      </c>
      <c r="E3489" t="s">
        <v>21</v>
      </c>
      <c r="F3489" s="1">
        <v>44044</v>
      </c>
      <c r="G3489">
        <v>5.91</v>
      </c>
      <c r="H3489">
        <v>83.037199999999999</v>
      </c>
      <c r="I3489">
        <v>21.68</v>
      </c>
      <c r="J3489">
        <v>71.540000000000006</v>
      </c>
      <c r="K3489" t="s">
        <v>23</v>
      </c>
      <c r="L3489">
        <v>2404.37</v>
      </c>
      <c r="M3489">
        <f>VLOOKUP(K3489,RatingLookup!$A$2:$C$8,2,FALSE)</f>
        <v>1E-3</v>
      </c>
      <c r="N3489">
        <f t="shared" si="162"/>
        <v>8.3371552197619714E-5</v>
      </c>
      <c r="O3489">
        <f>VLOOKUP(K3489,RatingLookup!$A$2:$C$8,3,FALSE)</f>
        <v>0.3</v>
      </c>
      <c r="P3489">
        <f t="shared" si="163"/>
        <v>6.0136817687217271E-2</v>
      </c>
      <c r="Q3489" t="str">
        <f t="shared" ca="1" si="164"/>
        <v>No</v>
      </c>
    </row>
    <row r="3490" spans="1:17" x14ac:dyDescent="0.45">
      <c r="A3490" t="s">
        <v>152</v>
      </c>
      <c r="B3490" t="s">
        <v>153</v>
      </c>
      <c r="C3490" t="s">
        <v>61</v>
      </c>
      <c r="D3490" t="s">
        <v>20</v>
      </c>
      <c r="E3490" t="s">
        <v>21</v>
      </c>
      <c r="F3490" s="1">
        <v>44075</v>
      </c>
      <c r="G3490">
        <v>5.8</v>
      </c>
      <c r="H3490">
        <v>80.220100000000002</v>
      </c>
      <c r="I3490">
        <v>15.03</v>
      </c>
      <c r="J3490">
        <v>85.03</v>
      </c>
      <c r="K3490" t="s">
        <v>22</v>
      </c>
      <c r="L3490">
        <v>2320.7600000000002</v>
      </c>
      <c r="M3490">
        <f>VLOOKUP(K3490,RatingLookup!$A$2:$C$8,2,FALSE)</f>
        <v>5.0000000000000001E-3</v>
      </c>
      <c r="N3490">
        <f t="shared" si="162"/>
        <v>4.1762458919303302E-4</v>
      </c>
      <c r="O3490">
        <f>VLOOKUP(K3490,RatingLookup!$A$2:$C$8,3,FALSE)</f>
        <v>0.45</v>
      </c>
      <c r="P3490">
        <f t="shared" si="163"/>
        <v>0.43614289872703055</v>
      </c>
      <c r="Q3490" t="str">
        <f t="shared" ca="1" si="164"/>
        <v>No</v>
      </c>
    </row>
    <row r="3491" spans="1:17" x14ac:dyDescent="0.45">
      <c r="A3491" t="s">
        <v>152</v>
      </c>
      <c r="B3491" t="s">
        <v>153</v>
      </c>
      <c r="C3491" t="s">
        <v>61</v>
      </c>
      <c r="D3491" t="s">
        <v>20</v>
      </c>
      <c r="E3491" t="s">
        <v>21</v>
      </c>
      <c r="F3491" s="1">
        <v>44105</v>
      </c>
      <c r="G3491">
        <v>5.0199999999999996</v>
      </c>
      <c r="H3491">
        <v>84.675299999999993</v>
      </c>
      <c r="I3491">
        <v>21.32</v>
      </c>
      <c r="J3491">
        <v>67.17</v>
      </c>
      <c r="K3491" t="s">
        <v>22</v>
      </c>
      <c r="L3491">
        <v>2667.48</v>
      </c>
      <c r="M3491">
        <f>VLOOKUP(K3491,RatingLookup!$A$2:$C$8,2,FALSE)</f>
        <v>5.0000000000000001E-3</v>
      </c>
      <c r="N3491">
        <f t="shared" si="162"/>
        <v>4.1762458919303302E-4</v>
      </c>
      <c r="O3491">
        <f>VLOOKUP(K3491,RatingLookup!$A$2:$C$8,3,FALSE)</f>
        <v>0.45</v>
      </c>
      <c r="P3491">
        <f t="shared" si="163"/>
        <v>0.50130235763128428</v>
      </c>
      <c r="Q3491" t="str">
        <f t="shared" ca="1" si="164"/>
        <v>No</v>
      </c>
    </row>
    <row r="3492" spans="1:17" x14ac:dyDescent="0.45">
      <c r="A3492" t="s">
        <v>152</v>
      </c>
      <c r="B3492" t="s">
        <v>153</v>
      </c>
      <c r="C3492" t="s">
        <v>61</v>
      </c>
      <c r="D3492" t="s">
        <v>20</v>
      </c>
      <c r="E3492" t="s">
        <v>21</v>
      </c>
      <c r="F3492" s="1">
        <v>44136</v>
      </c>
      <c r="G3492">
        <v>6.59</v>
      </c>
      <c r="H3492">
        <v>80.107900000000001</v>
      </c>
      <c r="I3492">
        <v>17.53</v>
      </c>
      <c r="J3492">
        <v>74.66</v>
      </c>
      <c r="K3492" t="s">
        <v>22</v>
      </c>
      <c r="L3492">
        <v>2511.9</v>
      </c>
      <c r="M3492">
        <f>VLOOKUP(K3492,RatingLookup!$A$2:$C$8,2,FALSE)</f>
        <v>5.0000000000000001E-3</v>
      </c>
      <c r="N3492">
        <f t="shared" si="162"/>
        <v>4.1762458919303302E-4</v>
      </c>
      <c r="O3492">
        <f>VLOOKUP(K3492,RatingLookup!$A$2:$C$8,3,FALSE)</f>
        <v>0.45</v>
      </c>
      <c r="P3492">
        <f t="shared" si="163"/>
        <v>0.47206404251729084</v>
      </c>
      <c r="Q3492" t="str">
        <f t="shared" ca="1" si="164"/>
        <v>No</v>
      </c>
    </row>
    <row r="3493" spans="1:17" x14ac:dyDescent="0.45">
      <c r="A3493" t="s">
        <v>152</v>
      </c>
      <c r="B3493" t="s">
        <v>153</v>
      </c>
      <c r="C3493" t="s">
        <v>61</v>
      </c>
      <c r="D3493" t="s">
        <v>20</v>
      </c>
      <c r="E3493" t="s">
        <v>21</v>
      </c>
      <c r="F3493" s="1">
        <v>44166</v>
      </c>
      <c r="G3493">
        <v>4.4000000000000004</v>
      </c>
      <c r="H3493">
        <v>85.754300000000001</v>
      </c>
      <c r="I3493">
        <v>14.96</v>
      </c>
      <c r="J3493">
        <v>72.89</v>
      </c>
      <c r="K3493" t="s">
        <v>22</v>
      </c>
      <c r="L3493">
        <v>2538.15</v>
      </c>
      <c r="M3493">
        <f>VLOOKUP(K3493,RatingLookup!$A$2:$C$8,2,FALSE)</f>
        <v>5.0000000000000001E-3</v>
      </c>
      <c r="N3493">
        <f t="shared" si="162"/>
        <v>4.1762458919303302E-4</v>
      </c>
      <c r="O3493">
        <f>VLOOKUP(K3493,RatingLookup!$A$2:$C$8,3,FALSE)</f>
        <v>0.45</v>
      </c>
      <c r="P3493">
        <f t="shared" si="163"/>
        <v>0.47699723297713359</v>
      </c>
      <c r="Q3493" t="str">
        <f t="shared" ca="1" si="164"/>
        <v>No</v>
      </c>
    </row>
    <row r="3494" spans="1:17" x14ac:dyDescent="0.45">
      <c r="A3494" t="s">
        <v>152</v>
      </c>
      <c r="B3494" t="s">
        <v>153</v>
      </c>
      <c r="C3494" t="s">
        <v>61</v>
      </c>
      <c r="D3494" t="s">
        <v>20</v>
      </c>
      <c r="E3494" t="s">
        <v>21</v>
      </c>
      <c r="F3494" s="1">
        <v>44197</v>
      </c>
      <c r="G3494">
        <v>5.76</v>
      </c>
      <c r="H3494">
        <v>80.396600000000007</v>
      </c>
      <c r="I3494">
        <v>23.06</v>
      </c>
      <c r="J3494">
        <v>74.599999999999994</v>
      </c>
      <c r="K3494" t="s">
        <v>22</v>
      </c>
      <c r="L3494">
        <v>2298.0700000000002</v>
      </c>
      <c r="M3494">
        <f>VLOOKUP(K3494,RatingLookup!$A$2:$C$8,2,FALSE)</f>
        <v>5.0000000000000001E-3</v>
      </c>
      <c r="N3494">
        <f t="shared" si="162"/>
        <v>4.1762458919303302E-4</v>
      </c>
      <c r="O3494">
        <f>VLOOKUP(K3494,RatingLookup!$A$2:$C$8,3,FALSE)</f>
        <v>0.45</v>
      </c>
      <c r="P3494">
        <f t="shared" si="163"/>
        <v>0.43187874285907507</v>
      </c>
      <c r="Q3494" t="str">
        <f t="shared" ca="1" si="164"/>
        <v>No</v>
      </c>
    </row>
    <row r="3495" spans="1:17" x14ac:dyDescent="0.45">
      <c r="A3495" t="s">
        <v>152</v>
      </c>
      <c r="B3495" t="s">
        <v>153</v>
      </c>
      <c r="C3495" t="s">
        <v>61</v>
      </c>
      <c r="D3495" t="s">
        <v>20</v>
      </c>
      <c r="E3495" t="s">
        <v>21</v>
      </c>
      <c r="F3495" s="1">
        <v>44228</v>
      </c>
      <c r="G3495">
        <v>4.21</v>
      </c>
      <c r="H3495">
        <v>81.660899999999998</v>
      </c>
      <c r="I3495">
        <v>17.96</v>
      </c>
      <c r="J3495">
        <v>57.16</v>
      </c>
      <c r="K3495" t="s">
        <v>22</v>
      </c>
      <c r="L3495">
        <v>2362.88</v>
      </c>
      <c r="M3495">
        <f>VLOOKUP(K3495,RatingLookup!$A$2:$C$8,2,FALSE)</f>
        <v>5.0000000000000001E-3</v>
      </c>
      <c r="N3495">
        <f t="shared" si="162"/>
        <v>4.1762458919303302E-4</v>
      </c>
      <c r="O3495">
        <f>VLOOKUP(K3495,RatingLookup!$A$2:$C$8,3,FALSE)</f>
        <v>0.45</v>
      </c>
      <c r="P3495">
        <f t="shared" si="163"/>
        <v>0.44405855519059523</v>
      </c>
      <c r="Q3495" t="str">
        <f t="shared" ca="1" si="164"/>
        <v>No</v>
      </c>
    </row>
    <row r="3496" spans="1:17" x14ac:dyDescent="0.45">
      <c r="A3496" t="s">
        <v>152</v>
      </c>
      <c r="B3496" t="s">
        <v>153</v>
      </c>
      <c r="C3496" t="s">
        <v>61</v>
      </c>
      <c r="D3496" t="s">
        <v>20</v>
      </c>
      <c r="E3496" t="s">
        <v>21</v>
      </c>
      <c r="F3496" s="1">
        <v>44256</v>
      </c>
      <c r="G3496">
        <v>5.98</v>
      </c>
      <c r="H3496">
        <v>84.706400000000002</v>
      </c>
      <c r="I3496">
        <v>16.850000000000001</v>
      </c>
      <c r="J3496">
        <v>74.92</v>
      </c>
      <c r="K3496" t="s">
        <v>22</v>
      </c>
      <c r="L3496">
        <v>2396.0300000000002</v>
      </c>
      <c r="M3496">
        <f>VLOOKUP(K3496,RatingLookup!$A$2:$C$8,2,FALSE)</f>
        <v>5.0000000000000001E-3</v>
      </c>
      <c r="N3496">
        <f t="shared" si="162"/>
        <v>4.1762458919303302E-4</v>
      </c>
      <c r="O3496">
        <f>VLOOKUP(K3496,RatingLookup!$A$2:$C$8,3,FALSE)</f>
        <v>0.45</v>
      </c>
      <c r="P3496">
        <f t="shared" si="163"/>
        <v>0.45028846999988231</v>
      </c>
      <c r="Q3496" t="str">
        <f t="shared" ca="1" si="164"/>
        <v>No</v>
      </c>
    </row>
    <row r="3497" spans="1:17" x14ac:dyDescent="0.45">
      <c r="A3497" t="s">
        <v>152</v>
      </c>
      <c r="B3497" t="s">
        <v>153</v>
      </c>
      <c r="C3497" t="s">
        <v>61</v>
      </c>
      <c r="D3497" t="s">
        <v>20</v>
      </c>
      <c r="E3497" t="s">
        <v>21</v>
      </c>
      <c r="F3497" s="1">
        <v>44287</v>
      </c>
      <c r="G3497">
        <v>5.89</v>
      </c>
      <c r="H3497">
        <v>78.143699999999995</v>
      </c>
      <c r="I3497">
        <v>12.61</v>
      </c>
      <c r="J3497">
        <v>73.84</v>
      </c>
      <c r="K3497" t="s">
        <v>22</v>
      </c>
      <c r="L3497">
        <v>2581.3000000000002</v>
      </c>
      <c r="M3497">
        <f>VLOOKUP(K3497,RatingLookup!$A$2:$C$8,2,FALSE)</f>
        <v>5.0000000000000001E-3</v>
      </c>
      <c r="N3497">
        <f t="shared" si="162"/>
        <v>4.1762458919303302E-4</v>
      </c>
      <c r="O3497">
        <f>VLOOKUP(K3497,RatingLookup!$A$2:$C$8,3,FALSE)</f>
        <v>0.45</v>
      </c>
      <c r="P3497">
        <f t="shared" si="163"/>
        <v>0.48510645843778932</v>
      </c>
      <c r="Q3497" t="str">
        <f t="shared" ca="1" si="164"/>
        <v>No</v>
      </c>
    </row>
    <row r="3498" spans="1:17" x14ac:dyDescent="0.45">
      <c r="A3498" t="s">
        <v>152</v>
      </c>
      <c r="B3498" t="s">
        <v>153</v>
      </c>
      <c r="C3498" t="s">
        <v>61</v>
      </c>
      <c r="D3498" t="s">
        <v>20</v>
      </c>
      <c r="E3498" t="s">
        <v>21</v>
      </c>
      <c r="F3498" s="1">
        <v>44317</v>
      </c>
      <c r="G3498">
        <v>5.5</v>
      </c>
      <c r="H3498">
        <v>85.519499999999994</v>
      </c>
      <c r="I3498">
        <v>21.37</v>
      </c>
      <c r="J3498">
        <v>76.45</v>
      </c>
      <c r="K3498" t="s">
        <v>22</v>
      </c>
      <c r="L3498">
        <v>2388.9299999999998</v>
      </c>
      <c r="M3498">
        <f>VLOOKUP(K3498,RatingLookup!$A$2:$C$8,2,FALSE)</f>
        <v>5.0000000000000001E-3</v>
      </c>
      <c r="N3498">
        <f t="shared" si="162"/>
        <v>4.1762458919303302E-4</v>
      </c>
      <c r="O3498">
        <f>VLOOKUP(K3498,RatingLookup!$A$2:$C$8,3,FALSE)</f>
        <v>0.45</v>
      </c>
      <c r="P3498">
        <f t="shared" si="163"/>
        <v>0.44895415943741057</v>
      </c>
      <c r="Q3498" t="str">
        <f t="shared" ca="1" si="164"/>
        <v>No</v>
      </c>
    </row>
    <row r="3499" spans="1:17" x14ac:dyDescent="0.45">
      <c r="A3499" t="s">
        <v>152</v>
      </c>
      <c r="B3499" t="s">
        <v>153</v>
      </c>
      <c r="C3499" t="s">
        <v>61</v>
      </c>
      <c r="D3499" t="s">
        <v>20</v>
      </c>
      <c r="E3499" t="s">
        <v>21</v>
      </c>
      <c r="F3499" s="1">
        <v>44348</v>
      </c>
      <c r="G3499">
        <v>4.74</v>
      </c>
      <c r="H3499">
        <v>81.856499999999997</v>
      </c>
      <c r="I3499">
        <v>29.1</v>
      </c>
      <c r="J3499">
        <v>76.62</v>
      </c>
      <c r="K3499" t="s">
        <v>22</v>
      </c>
      <c r="L3499">
        <v>2366.4899999999998</v>
      </c>
      <c r="M3499">
        <f>VLOOKUP(K3499,RatingLookup!$A$2:$C$8,2,FALSE)</f>
        <v>5.0000000000000001E-3</v>
      </c>
      <c r="N3499">
        <f t="shared" si="162"/>
        <v>4.1762458919303302E-4</v>
      </c>
      <c r="O3499">
        <f>VLOOKUP(K3499,RatingLookup!$A$2:$C$8,3,FALSE)</f>
        <v>0.45</v>
      </c>
      <c r="P3499">
        <f t="shared" si="163"/>
        <v>0.44473698633573927</v>
      </c>
      <c r="Q3499" t="str">
        <f t="shared" ca="1" si="164"/>
        <v>No</v>
      </c>
    </row>
    <row r="3500" spans="1:17" x14ac:dyDescent="0.45">
      <c r="A3500" t="s">
        <v>152</v>
      </c>
      <c r="B3500" t="s">
        <v>153</v>
      </c>
      <c r="C3500" t="s">
        <v>61</v>
      </c>
      <c r="D3500" t="s">
        <v>20</v>
      </c>
      <c r="E3500" t="s">
        <v>21</v>
      </c>
      <c r="F3500" s="1">
        <v>44378</v>
      </c>
      <c r="G3500">
        <v>5.26</v>
      </c>
      <c r="H3500">
        <v>79.358400000000003</v>
      </c>
      <c r="I3500">
        <v>13.56</v>
      </c>
      <c r="J3500">
        <v>78.8</v>
      </c>
      <c r="K3500" t="s">
        <v>22</v>
      </c>
      <c r="L3500">
        <v>2510.71</v>
      </c>
      <c r="M3500">
        <f>VLOOKUP(K3500,RatingLookup!$A$2:$C$8,2,FALSE)</f>
        <v>5.0000000000000001E-3</v>
      </c>
      <c r="N3500">
        <f t="shared" si="162"/>
        <v>4.1762458919303302E-4</v>
      </c>
      <c r="O3500">
        <f>VLOOKUP(K3500,RatingLookup!$A$2:$C$8,3,FALSE)</f>
        <v>0.45</v>
      </c>
      <c r="P3500">
        <f t="shared" si="163"/>
        <v>0.47184040454977799</v>
      </c>
      <c r="Q3500" t="str">
        <f t="shared" ca="1" si="164"/>
        <v>No</v>
      </c>
    </row>
    <row r="3501" spans="1:17" x14ac:dyDescent="0.45">
      <c r="A3501" t="s">
        <v>152</v>
      </c>
      <c r="B3501" t="s">
        <v>153</v>
      </c>
      <c r="C3501" t="s">
        <v>61</v>
      </c>
      <c r="D3501" t="s">
        <v>20</v>
      </c>
      <c r="E3501" t="s">
        <v>21</v>
      </c>
      <c r="F3501" s="1">
        <v>44409</v>
      </c>
      <c r="G3501">
        <v>4.84</v>
      </c>
      <c r="H3501">
        <v>82.703900000000004</v>
      </c>
      <c r="I3501">
        <v>19.309999999999999</v>
      </c>
      <c r="J3501">
        <v>79.53</v>
      </c>
      <c r="K3501" t="s">
        <v>22</v>
      </c>
      <c r="L3501">
        <v>2583.46</v>
      </c>
      <c r="M3501">
        <f>VLOOKUP(K3501,RatingLookup!$A$2:$C$8,2,FALSE)</f>
        <v>5.0000000000000001E-3</v>
      </c>
      <c r="N3501">
        <f t="shared" si="162"/>
        <v>4.1762458919303302E-4</v>
      </c>
      <c r="O3501">
        <f>VLOOKUP(K3501,RatingLookup!$A$2:$C$8,3,FALSE)</f>
        <v>0.45</v>
      </c>
      <c r="P3501">
        <f t="shared" si="163"/>
        <v>0.48551238953848491</v>
      </c>
      <c r="Q3501" t="str">
        <f t="shared" ca="1" si="164"/>
        <v>No</v>
      </c>
    </row>
    <row r="3502" spans="1:17" x14ac:dyDescent="0.45">
      <c r="A3502" t="s">
        <v>152</v>
      </c>
      <c r="B3502" t="s">
        <v>153</v>
      </c>
      <c r="C3502" t="s">
        <v>61</v>
      </c>
      <c r="D3502" t="s">
        <v>20</v>
      </c>
      <c r="E3502" t="s">
        <v>21</v>
      </c>
      <c r="F3502" s="1">
        <v>44440</v>
      </c>
      <c r="G3502">
        <v>5.59</v>
      </c>
      <c r="H3502">
        <v>86.657700000000006</v>
      </c>
      <c r="I3502">
        <v>14.91</v>
      </c>
      <c r="J3502">
        <v>75.08</v>
      </c>
      <c r="K3502" t="s">
        <v>22</v>
      </c>
      <c r="L3502">
        <v>2567.4</v>
      </c>
      <c r="M3502">
        <f>VLOOKUP(K3502,RatingLookup!$A$2:$C$8,2,FALSE)</f>
        <v>5.0000000000000001E-3</v>
      </c>
      <c r="N3502">
        <f t="shared" si="162"/>
        <v>4.1762458919303302E-4</v>
      </c>
      <c r="O3502">
        <f>VLOOKUP(K3502,RatingLookup!$A$2:$C$8,3,FALSE)</f>
        <v>0.45</v>
      </c>
      <c r="P3502">
        <f t="shared" si="163"/>
        <v>0.4824942166323869</v>
      </c>
      <c r="Q3502" t="str">
        <f t="shared" ca="1" si="164"/>
        <v>No</v>
      </c>
    </row>
    <row r="3503" spans="1:17" x14ac:dyDescent="0.45">
      <c r="A3503" t="s">
        <v>152</v>
      </c>
      <c r="B3503" t="s">
        <v>153</v>
      </c>
      <c r="C3503" t="s">
        <v>61</v>
      </c>
      <c r="D3503" t="s">
        <v>20</v>
      </c>
      <c r="E3503" t="s">
        <v>21</v>
      </c>
      <c r="F3503" s="1">
        <v>44470</v>
      </c>
      <c r="G3503">
        <v>4.7699999999999996</v>
      </c>
      <c r="H3503">
        <v>80.896900000000002</v>
      </c>
      <c r="I3503">
        <v>21.44</v>
      </c>
      <c r="J3503">
        <v>98.67</v>
      </c>
      <c r="K3503" t="s">
        <v>22</v>
      </c>
      <c r="L3503">
        <v>2501.1799999999998</v>
      </c>
      <c r="M3503">
        <f>VLOOKUP(K3503,RatingLookup!$A$2:$C$8,2,FALSE)</f>
        <v>5.0000000000000001E-3</v>
      </c>
      <c r="N3503">
        <f t="shared" si="162"/>
        <v>4.1762458919303302E-4</v>
      </c>
      <c r="O3503">
        <f>VLOOKUP(K3503,RatingLookup!$A$2:$C$8,3,FALSE)</f>
        <v>0.45</v>
      </c>
      <c r="P3503">
        <f t="shared" si="163"/>
        <v>0.47004942149902362</v>
      </c>
      <c r="Q3503" t="str">
        <f t="shared" ca="1" si="164"/>
        <v>No</v>
      </c>
    </row>
    <row r="3504" spans="1:17" x14ac:dyDescent="0.45">
      <c r="A3504" t="s">
        <v>152</v>
      </c>
      <c r="B3504" t="s">
        <v>153</v>
      </c>
      <c r="C3504" t="s">
        <v>61</v>
      </c>
      <c r="D3504" t="s">
        <v>20</v>
      </c>
      <c r="E3504" t="s">
        <v>21</v>
      </c>
      <c r="F3504" s="1">
        <v>44501</v>
      </c>
      <c r="G3504">
        <v>6.39</v>
      </c>
      <c r="H3504">
        <v>81.841099999999997</v>
      </c>
      <c r="I3504">
        <v>11.4</v>
      </c>
      <c r="J3504">
        <v>84.75</v>
      </c>
      <c r="K3504" t="s">
        <v>22</v>
      </c>
      <c r="L3504">
        <v>2405.11</v>
      </c>
      <c r="M3504">
        <f>VLOOKUP(K3504,RatingLookup!$A$2:$C$8,2,FALSE)</f>
        <v>5.0000000000000001E-3</v>
      </c>
      <c r="N3504">
        <f t="shared" si="162"/>
        <v>4.1762458919303302E-4</v>
      </c>
      <c r="O3504">
        <f>VLOOKUP(K3504,RatingLookup!$A$2:$C$8,3,FALSE)</f>
        <v>0.45</v>
      </c>
      <c r="P3504">
        <f t="shared" si="163"/>
        <v>0.45199488407132504</v>
      </c>
      <c r="Q3504" t="str">
        <f t="shared" ca="1" si="164"/>
        <v>No</v>
      </c>
    </row>
    <row r="3505" spans="1:17" x14ac:dyDescent="0.45">
      <c r="A3505" t="s">
        <v>152</v>
      </c>
      <c r="B3505" t="s">
        <v>153</v>
      </c>
      <c r="C3505" t="s">
        <v>61</v>
      </c>
      <c r="D3505" t="s">
        <v>20</v>
      </c>
      <c r="E3505" t="s">
        <v>21</v>
      </c>
      <c r="F3505" s="1">
        <v>44531</v>
      </c>
      <c r="G3505">
        <v>5.52</v>
      </c>
      <c r="H3505">
        <v>82.384600000000006</v>
      </c>
      <c r="I3505">
        <v>17.86</v>
      </c>
      <c r="J3505">
        <v>81.05</v>
      </c>
      <c r="K3505" t="s">
        <v>22</v>
      </c>
      <c r="L3505">
        <v>2511.91</v>
      </c>
      <c r="M3505">
        <f>VLOOKUP(K3505,RatingLookup!$A$2:$C$8,2,FALSE)</f>
        <v>5.0000000000000001E-3</v>
      </c>
      <c r="N3505">
        <f t="shared" si="162"/>
        <v>4.1762458919303302E-4</v>
      </c>
      <c r="O3505">
        <f>VLOOKUP(K3505,RatingLookup!$A$2:$C$8,3,FALSE)</f>
        <v>0.45</v>
      </c>
      <c r="P3505">
        <f t="shared" si="163"/>
        <v>0.47206592182794216</v>
      </c>
      <c r="Q3505" t="str">
        <f t="shared" ca="1" si="164"/>
        <v>No</v>
      </c>
    </row>
    <row r="3506" spans="1:17" x14ac:dyDescent="0.45">
      <c r="A3506" t="s">
        <v>152</v>
      </c>
      <c r="B3506" t="s">
        <v>153</v>
      </c>
      <c r="C3506" t="s">
        <v>61</v>
      </c>
      <c r="D3506" t="s">
        <v>20</v>
      </c>
      <c r="E3506" t="s">
        <v>21</v>
      </c>
      <c r="F3506" s="1">
        <v>44562</v>
      </c>
      <c r="G3506">
        <v>5.41</v>
      </c>
      <c r="H3506">
        <v>79.103700000000003</v>
      </c>
      <c r="I3506">
        <v>5.15</v>
      </c>
      <c r="J3506">
        <v>78.150000000000006</v>
      </c>
      <c r="K3506" t="s">
        <v>22</v>
      </c>
      <c r="L3506">
        <v>2377.66</v>
      </c>
      <c r="M3506">
        <f>VLOOKUP(K3506,RatingLookup!$A$2:$C$8,2,FALSE)</f>
        <v>5.0000000000000001E-3</v>
      </c>
      <c r="N3506">
        <f t="shared" si="162"/>
        <v>4.1762458919303302E-4</v>
      </c>
      <c r="O3506">
        <f>VLOOKUP(K3506,RatingLookup!$A$2:$C$8,3,FALSE)</f>
        <v>0.45</v>
      </c>
      <c r="P3506">
        <f t="shared" si="163"/>
        <v>0.44683617633331812</v>
      </c>
      <c r="Q3506" t="str">
        <f t="shared" ca="1" si="164"/>
        <v>No</v>
      </c>
    </row>
    <row r="3507" spans="1:17" x14ac:dyDescent="0.45">
      <c r="A3507" t="s">
        <v>152</v>
      </c>
      <c r="B3507" t="s">
        <v>153</v>
      </c>
      <c r="C3507" t="s">
        <v>61</v>
      </c>
      <c r="D3507" t="s">
        <v>20</v>
      </c>
      <c r="E3507" t="s">
        <v>21</v>
      </c>
      <c r="F3507" s="1">
        <v>44593</v>
      </c>
      <c r="G3507">
        <v>5.84</v>
      </c>
      <c r="H3507">
        <v>79.347800000000007</v>
      </c>
      <c r="I3507">
        <v>24.85</v>
      </c>
      <c r="J3507">
        <v>66.599999999999994</v>
      </c>
      <c r="K3507" t="s">
        <v>22</v>
      </c>
      <c r="L3507">
        <v>2599.7800000000002</v>
      </c>
      <c r="M3507">
        <f>VLOOKUP(K3507,RatingLookup!$A$2:$C$8,2,FALSE)</f>
        <v>5.0000000000000001E-3</v>
      </c>
      <c r="N3507">
        <f t="shared" si="162"/>
        <v>4.1762458919303302E-4</v>
      </c>
      <c r="O3507">
        <f>VLOOKUP(K3507,RatingLookup!$A$2:$C$8,3,FALSE)</f>
        <v>0.45</v>
      </c>
      <c r="P3507">
        <f t="shared" si="163"/>
        <v>0.48857942452151859</v>
      </c>
      <c r="Q3507" t="str">
        <f t="shared" ca="1" si="164"/>
        <v>No</v>
      </c>
    </row>
    <row r="3508" spans="1:17" x14ac:dyDescent="0.45">
      <c r="A3508" t="s">
        <v>152</v>
      </c>
      <c r="B3508" t="s">
        <v>153</v>
      </c>
      <c r="C3508" t="s">
        <v>61</v>
      </c>
      <c r="D3508" t="s">
        <v>20</v>
      </c>
      <c r="E3508" t="s">
        <v>21</v>
      </c>
      <c r="F3508" s="1">
        <v>44621</v>
      </c>
      <c r="G3508">
        <v>6.35</v>
      </c>
      <c r="H3508">
        <v>81.659000000000006</v>
      </c>
      <c r="I3508">
        <v>14.14</v>
      </c>
      <c r="J3508">
        <v>76.03</v>
      </c>
      <c r="K3508" t="s">
        <v>22</v>
      </c>
      <c r="L3508">
        <v>2406.5</v>
      </c>
      <c r="M3508">
        <f>VLOOKUP(K3508,RatingLookup!$A$2:$C$8,2,FALSE)</f>
        <v>5.0000000000000001E-3</v>
      </c>
      <c r="N3508">
        <f t="shared" si="162"/>
        <v>4.1762458919303302E-4</v>
      </c>
      <c r="O3508">
        <f>VLOOKUP(K3508,RatingLookup!$A$2:$C$8,3,FALSE)</f>
        <v>0.45</v>
      </c>
      <c r="P3508">
        <f t="shared" si="163"/>
        <v>0.4522561082518653</v>
      </c>
      <c r="Q3508" t="str">
        <f t="shared" ca="1" si="164"/>
        <v>No</v>
      </c>
    </row>
    <row r="3509" spans="1:17" x14ac:dyDescent="0.45">
      <c r="A3509" t="s">
        <v>152</v>
      </c>
      <c r="B3509" t="s">
        <v>153</v>
      </c>
      <c r="C3509" t="s">
        <v>61</v>
      </c>
      <c r="D3509" t="s">
        <v>20</v>
      </c>
      <c r="E3509" t="s">
        <v>21</v>
      </c>
      <c r="F3509" s="1">
        <v>44652</v>
      </c>
      <c r="G3509">
        <v>6.47</v>
      </c>
      <c r="H3509">
        <v>83.712199999999996</v>
      </c>
      <c r="I3509">
        <v>23.89</v>
      </c>
      <c r="J3509">
        <v>73.180000000000007</v>
      </c>
      <c r="K3509" t="s">
        <v>22</v>
      </c>
      <c r="L3509">
        <v>2599.02</v>
      </c>
      <c r="M3509">
        <f>VLOOKUP(K3509,RatingLookup!$A$2:$C$8,2,FALSE)</f>
        <v>5.0000000000000001E-3</v>
      </c>
      <c r="N3509">
        <f t="shared" si="162"/>
        <v>4.1762458919303302E-4</v>
      </c>
      <c r="O3509">
        <f>VLOOKUP(K3509,RatingLookup!$A$2:$C$8,3,FALSE)</f>
        <v>0.45</v>
      </c>
      <c r="P3509">
        <f t="shared" si="163"/>
        <v>0.48843659691201452</v>
      </c>
      <c r="Q3509" t="str">
        <f t="shared" ca="1" si="164"/>
        <v>No</v>
      </c>
    </row>
    <row r="3510" spans="1:17" x14ac:dyDescent="0.45">
      <c r="A3510" t="s">
        <v>152</v>
      </c>
      <c r="B3510" t="s">
        <v>153</v>
      </c>
      <c r="C3510" t="s">
        <v>61</v>
      </c>
      <c r="D3510" t="s">
        <v>20</v>
      </c>
      <c r="E3510" t="s">
        <v>21</v>
      </c>
      <c r="F3510" s="1">
        <v>44682</v>
      </c>
      <c r="G3510">
        <v>4.7</v>
      </c>
      <c r="H3510">
        <v>85.981499999999997</v>
      </c>
      <c r="I3510">
        <v>19.600000000000001</v>
      </c>
      <c r="J3510">
        <v>77.84</v>
      </c>
      <c r="K3510" t="s">
        <v>22</v>
      </c>
      <c r="L3510">
        <v>2591</v>
      </c>
      <c r="M3510">
        <f>VLOOKUP(K3510,RatingLookup!$A$2:$C$8,2,FALSE)</f>
        <v>5.0000000000000001E-3</v>
      </c>
      <c r="N3510">
        <f t="shared" si="162"/>
        <v>4.1762458919303302E-4</v>
      </c>
      <c r="O3510">
        <f>VLOOKUP(K3510,RatingLookup!$A$2:$C$8,3,FALSE)</f>
        <v>0.45</v>
      </c>
      <c r="P3510">
        <f t="shared" si="163"/>
        <v>0.48692938976961692</v>
      </c>
      <c r="Q3510" t="str">
        <f t="shared" ca="1" si="164"/>
        <v>No</v>
      </c>
    </row>
    <row r="3511" spans="1:17" x14ac:dyDescent="0.45">
      <c r="A3511" t="s">
        <v>152</v>
      </c>
      <c r="B3511" t="s">
        <v>153</v>
      </c>
      <c r="C3511" t="s">
        <v>61</v>
      </c>
      <c r="D3511" t="s">
        <v>20</v>
      </c>
      <c r="E3511" t="s">
        <v>21</v>
      </c>
      <c r="F3511" s="1">
        <v>44713</v>
      </c>
      <c r="G3511">
        <v>6.36</v>
      </c>
      <c r="H3511">
        <v>82.760300000000001</v>
      </c>
      <c r="I3511">
        <v>22.32</v>
      </c>
      <c r="J3511">
        <v>71.83</v>
      </c>
      <c r="K3511" t="s">
        <v>22</v>
      </c>
      <c r="L3511">
        <v>2476.7600000000002</v>
      </c>
      <c r="M3511">
        <f>VLOOKUP(K3511,RatingLookup!$A$2:$C$8,2,FALSE)</f>
        <v>5.0000000000000001E-3</v>
      </c>
      <c r="N3511">
        <f t="shared" si="162"/>
        <v>4.1762458919303302E-4</v>
      </c>
      <c r="O3511">
        <f>VLOOKUP(K3511,RatingLookup!$A$2:$C$8,3,FALSE)</f>
        <v>0.45</v>
      </c>
      <c r="P3511">
        <f t="shared" si="163"/>
        <v>0.46546014488838144</v>
      </c>
      <c r="Q3511" t="str">
        <f t="shared" ca="1" si="164"/>
        <v>No</v>
      </c>
    </row>
    <row r="3512" spans="1:17" x14ac:dyDescent="0.45">
      <c r="A3512" t="s">
        <v>152</v>
      </c>
      <c r="B3512" t="s">
        <v>153</v>
      </c>
      <c r="C3512" t="s">
        <v>61</v>
      </c>
      <c r="D3512" t="s">
        <v>20</v>
      </c>
      <c r="E3512" t="s">
        <v>21</v>
      </c>
      <c r="F3512" s="1">
        <v>44743</v>
      </c>
      <c r="G3512">
        <v>5.92</v>
      </c>
      <c r="H3512">
        <v>83.5488</v>
      </c>
      <c r="I3512">
        <v>28.57</v>
      </c>
      <c r="J3512">
        <v>88.06</v>
      </c>
      <c r="K3512" t="s">
        <v>22</v>
      </c>
      <c r="L3512">
        <v>2534.31</v>
      </c>
      <c r="M3512">
        <f>VLOOKUP(K3512,RatingLookup!$A$2:$C$8,2,FALSE)</f>
        <v>5.0000000000000001E-3</v>
      </c>
      <c r="N3512">
        <f t="shared" si="162"/>
        <v>4.1762458919303302E-4</v>
      </c>
      <c r="O3512">
        <f>VLOOKUP(K3512,RatingLookup!$A$2:$C$8,3,FALSE)</f>
        <v>0.45</v>
      </c>
      <c r="P3512">
        <f t="shared" si="163"/>
        <v>0.47627557768700801</v>
      </c>
      <c r="Q3512" t="str">
        <f t="shared" ca="1" si="164"/>
        <v>No</v>
      </c>
    </row>
    <row r="3513" spans="1:17" x14ac:dyDescent="0.45">
      <c r="A3513" t="s">
        <v>152</v>
      </c>
      <c r="B3513" t="s">
        <v>153</v>
      </c>
      <c r="C3513" t="s">
        <v>61</v>
      </c>
      <c r="D3513" t="s">
        <v>20</v>
      </c>
      <c r="E3513" t="s">
        <v>21</v>
      </c>
      <c r="F3513" s="1">
        <v>44774</v>
      </c>
      <c r="G3513">
        <v>4.74</v>
      </c>
      <c r="H3513">
        <v>86.350099999999998</v>
      </c>
      <c r="I3513">
        <v>23.42</v>
      </c>
      <c r="J3513">
        <v>70.150000000000006</v>
      </c>
      <c r="K3513" t="s">
        <v>22</v>
      </c>
      <c r="L3513">
        <v>2566.79</v>
      </c>
      <c r="M3513">
        <f>VLOOKUP(K3513,RatingLookup!$A$2:$C$8,2,FALSE)</f>
        <v>5.0000000000000001E-3</v>
      </c>
      <c r="N3513">
        <f t="shared" si="162"/>
        <v>4.1762458919303302E-4</v>
      </c>
      <c r="O3513">
        <f>VLOOKUP(K3513,RatingLookup!$A$2:$C$8,3,FALSE)</f>
        <v>0.45</v>
      </c>
      <c r="P3513">
        <f t="shared" si="163"/>
        <v>0.48237957868265341</v>
      </c>
      <c r="Q3513" t="str">
        <f t="shared" ca="1" si="164"/>
        <v>No</v>
      </c>
    </row>
    <row r="3514" spans="1:17" x14ac:dyDescent="0.45">
      <c r="A3514" t="s">
        <v>152</v>
      </c>
      <c r="B3514" t="s">
        <v>153</v>
      </c>
      <c r="C3514" t="s">
        <v>61</v>
      </c>
      <c r="D3514" t="s">
        <v>20</v>
      </c>
      <c r="E3514" t="s">
        <v>21</v>
      </c>
      <c r="F3514" s="1">
        <v>44805</v>
      </c>
      <c r="G3514">
        <v>5.88</v>
      </c>
      <c r="H3514">
        <v>82.278999999999996</v>
      </c>
      <c r="I3514">
        <v>11.65</v>
      </c>
      <c r="J3514">
        <v>86.47</v>
      </c>
      <c r="K3514" t="s">
        <v>22</v>
      </c>
      <c r="L3514">
        <v>2538.4299999999998</v>
      </c>
      <c r="M3514">
        <f>VLOOKUP(K3514,RatingLookup!$A$2:$C$8,2,FALSE)</f>
        <v>5.0000000000000001E-3</v>
      </c>
      <c r="N3514">
        <f t="shared" si="162"/>
        <v>4.1762458919303302E-4</v>
      </c>
      <c r="O3514">
        <f>VLOOKUP(K3514,RatingLookup!$A$2:$C$8,3,FALSE)</f>
        <v>0.45</v>
      </c>
      <c r="P3514">
        <f t="shared" si="163"/>
        <v>0.47704985367537184</v>
      </c>
      <c r="Q3514" t="str">
        <f t="shared" ca="1" si="164"/>
        <v>No</v>
      </c>
    </row>
    <row r="3515" spans="1:17" x14ac:dyDescent="0.45">
      <c r="A3515" t="s">
        <v>152</v>
      </c>
      <c r="B3515" t="s">
        <v>153</v>
      </c>
      <c r="C3515" t="s">
        <v>61</v>
      </c>
      <c r="D3515" t="s">
        <v>20</v>
      </c>
      <c r="E3515" t="s">
        <v>21</v>
      </c>
      <c r="F3515" s="1">
        <v>44835</v>
      </c>
      <c r="G3515">
        <v>5.28</v>
      </c>
      <c r="H3515">
        <v>82.963999999999999</v>
      </c>
      <c r="I3515">
        <v>8.39</v>
      </c>
      <c r="J3515">
        <v>89.41</v>
      </c>
      <c r="K3515" t="s">
        <v>22</v>
      </c>
      <c r="L3515">
        <v>2462.5700000000002</v>
      </c>
      <c r="M3515">
        <f>VLOOKUP(K3515,RatingLookup!$A$2:$C$8,2,FALSE)</f>
        <v>5.0000000000000001E-3</v>
      </c>
      <c r="N3515">
        <f t="shared" si="162"/>
        <v>4.1762458919303302E-4</v>
      </c>
      <c r="O3515">
        <f>VLOOKUP(K3515,RatingLookup!$A$2:$C$8,3,FALSE)</f>
        <v>0.45</v>
      </c>
      <c r="P3515">
        <f t="shared" si="163"/>
        <v>0.46279340307408928</v>
      </c>
      <c r="Q3515" t="str">
        <f t="shared" ca="1" si="164"/>
        <v>No</v>
      </c>
    </row>
    <row r="3516" spans="1:17" x14ac:dyDescent="0.45">
      <c r="A3516" t="s">
        <v>152</v>
      </c>
      <c r="B3516" t="s">
        <v>153</v>
      </c>
      <c r="C3516" t="s">
        <v>61</v>
      </c>
      <c r="D3516" t="s">
        <v>20</v>
      </c>
      <c r="E3516" t="s">
        <v>21</v>
      </c>
      <c r="F3516" s="1">
        <v>44866</v>
      </c>
      <c r="G3516">
        <v>4.72</v>
      </c>
      <c r="H3516">
        <v>83.811300000000003</v>
      </c>
      <c r="I3516">
        <v>13.62</v>
      </c>
      <c r="J3516">
        <v>82.41</v>
      </c>
      <c r="K3516" t="s">
        <v>22</v>
      </c>
      <c r="L3516">
        <v>2410.9</v>
      </c>
      <c r="M3516">
        <f>VLOOKUP(K3516,RatingLookup!$A$2:$C$8,2,FALSE)</f>
        <v>5.0000000000000001E-3</v>
      </c>
      <c r="N3516">
        <f t="shared" si="162"/>
        <v>4.1762458919303302E-4</v>
      </c>
      <c r="O3516">
        <f>VLOOKUP(K3516,RatingLookup!$A$2:$C$8,3,FALSE)</f>
        <v>0.45</v>
      </c>
      <c r="P3516">
        <f t="shared" si="163"/>
        <v>0.45308300493846754</v>
      </c>
      <c r="Q3516" t="str">
        <f t="shared" ca="1" si="164"/>
        <v>No</v>
      </c>
    </row>
    <row r="3517" spans="1:17" x14ac:dyDescent="0.45">
      <c r="A3517" t="s">
        <v>152</v>
      </c>
      <c r="B3517" t="s">
        <v>153</v>
      </c>
      <c r="C3517" t="s">
        <v>61</v>
      </c>
      <c r="D3517" t="s">
        <v>20</v>
      </c>
      <c r="E3517" t="s">
        <v>21</v>
      </c>
      <c r="F3517" s="1">
        <v>44896</v>
      </c>
      <c r="G3517">
        <v>5.23</v>
      </c>
      <c r="H3517">
        <v>82.697299999999998</v>
      </c>
      <c r="I3517">
        <v>28.19</v>
      </c>
      <c r="J3517">
        <v>75.14</v>
      </c>
      <c r="K3517" t="s">
        <v>22</v>
      </c>
      <c r="L3517">
        <v>2690.87</v>
      </c>
      <c r="M3517">
        <f>VLOOKUP(K3517,RatingLookup!$A$2:$C$8,2,FALSE)</f>
        <v>5.0000000000000001E-3</v>
      </c>
      <c r="N3517">
        <f t="shared" si="162"/>
        <v>4.1762458919303302E-4</v>
      </c>
      <c r="O3517">
        <f>VLOOKUP(K3517,RatingLookup!$A$2:$C$8,3,FALSE)</f>
        <v>0.45</v>
      </c>
      <c r="P3517">
        <f t="shared" si="163"/>
        <v>0.50569806524483552</v>
      </c>
      <c r="Q3517" t="str">
        <f t="shared" ca="1" si="164"/>
        <v>No</v>
      </c>
    </row>
    <row r="3518" spans="1:17" x14ac:dyDescent="0.45">
      <c r="A3518" t="s">
        <v>152</v>
      </c>
      <c r="B3518" t="s">
        <v>153</v>
      </c>
      <c r="C3518" t="s">
        <v>61</v>
      </c>
      <c r="D3518" t="s">
        <v>20</v>
      </c>
      <c r="E3518" t="s">
        <v>21</v>
      </c>
      <c r="F3518" s="1">
        <v>44927</v>
      </c>
      <c r="G3518">
        <v>4.8</v>
      </c>
      <c r="H3518">
        <v>85.7607</v>
      </c>
      <c r="I3518">
        <v>19.440000000000001</v>
      </c>
      <c r="J3518">
        <v>101.72</v>
      </c>
      <c r="K3518" t="s">
        <v>22</v>
      </c>
      <c r="L3518">
        <v>2566.42</v>
      </c>
      <c r="M3518">
        <f>VLOOKUP(K3518,RatingLookup!$A$2:$C$8,2,FALSE)</f>
        <v>5.0000000000000001E-3</v>
      </c>
      <c r="N3518">
        <f t="shared" si="162"/>
        <v>4.1762458919303302E-4</v>
      </c>
      <c r="O3518">
        <f>VLOOKUP(K3518,RatingLookup!$A$2:$C$8,3,FALSE)</f>
        <v>0.45</v>
      </c>
      <c r="P3518">
        <f t="shared" si="163"/>
        <v>0.48231004418855278</v>
      </c>
      <c r="Q3518" t="str">
        <f t="shared" ca="1" si="164"/>
        <v>No</v>
      </c>
    </row>
    <row r="3519" spans="1:17" x14ac:dyDescent="0.45">
      <c r="A3519" t="s">
        <v>152</v>
      </c>
      <c r="B3519" t="s">
        <v>153</v>
      </c>
      <c r="C3519" t="s">
        <v>61</v>
      </c>
      <c r="D3519" t="s">
        <v>20</v>
      </c>
      <c r="E3519" t="s">
        <v>21</v>
      </c>
      <c r="F3519" s="1">
        <v>44958</v>
      </c>
      <c r="G3519">
        <v>5.49</v>
      </c>
      <c r="H3519">
        <v>86.268199999999993</v>
      </c>
      <c r="I3519">
        <v>23.44</v>
      </c>
      <c r="J3519">
        <v>81.650000000000006</v>
      </c>
      <c r="K3519" t="s">
        <v>22</v>
      </c>
      <c r="L3519">
        <v>2648.17</v>
      </c>
      <c r="M3519">
        <f>VLOOKUP(K3519,RatingLookup!$A$2:$C$8,2,FALSE)</f>
        <v>5.0000000000000001E-3</v>
      </c>
      <c r="N3519">
        <f t="shared" si="162"/>
        <v>4.1762458919303302E-4</v>
      </c>
      <c r="O3519">
        <f>VLOOKUP(K3519,RatingLookup!$A$2:$C$8,3,FALSE)</f>
        <v>0.45</v>
      </c>
      <c r="P3519">
        <f t="shared" si="163"/>
        <v>0.49767340876349142</v>
      </c>
      <c r="Q3519" t="str">
        <f t="shared" ca="1" si="164"/>
        <v>No</v>
      </c>
    </row>
    <row r="3520" spans="1:17" x14ac:dyDescent="0.45">
      <c r="A3520" t="s">
        <v>152</v>
      </c>
      <c r="B3520" t="s">
        <v>153</v>
      </c>
      <c r="C3520" t="s">
        <v>61</v>
      </c>
      <c r="D3520" t="s">
        <v>20</v>
      </c>
      <c r="E3520" t="s">
        <v>21</v>
      </c>
      <c r="F3520" s="1">
        <v>44986</v>
      </c>
      <c r="G3520">
        <v>5.23</v>
      </c>
      <c r="H3520">
        <v>81.462400000000002</v>
      </c>
      <c r="I3520">
        <v>15</v>
      </c>
      <c r="J3520">
        <v>88.68</v>
      </c>
      <c r="K3520" t="s">
        <v>22</v>
      </c>
      <c r="L3520">
        <v>2682.91</v>
      </c>
      <c r="M3520">
        <f>VLOOKUP(K3520,RatingLookup!$A$2:$C$8,2,FALSE)</f>
        <v>5.0000000000000001E-3</v>
      </c>
      <c r="N3520">
        <f t="shared" si="162"/>
        <v>4.1762458919303302E-4</v>
      </c>
      <c r="O3520">
        <f>VLOOKUP(K3520,RatingLookup!$A$2:$C$8,3,FALSE)</f>
        <v>0.45</v>
      </c>
      <c r="P3520">
        <f t="shared" si="163"/>
        <v>0.50420213396634606</v>
      </c>
      <c r="Q3520" t="str">
        <f t="shared" ca="1" si="164"/>
        <v>No</v>
      </c>
    </row>
    <row r="3521" spans="1:17" x14ac:dyDescent="0.45">
      <c r="A3521" t="s">
        <v>152</v>
      </c>
      <c r="B3521" t="s">
        <v>153</v>
      </c>
      <c r="C3521" t="s">
        <v>61</v>
      </c>
      <c r="D3521" t="s">
        <v>20</v>
      </c>
      <c r="E3521" t="s">
        <v>21</v>
      </c>
      <c r="F3521" s="1">
        <v>45017</v>
      </c>
      <c r="G3521">
        <v>5.0199999999999996</v>
      </c>
      <c r="H3521">
        <v>80.222499999999997</v>
      </c>
      <c r="I3521">
        <v>20.190000000000001</v>
      </c>
      <c r="J3521">
        <v>93.26</v>
      </c>
      <c r="K3521" t="s">
        <v>22</v>
      </c>
      <c r="L3521">
        <v>2591.6999999999998</v>
      </c>
      <c r="M3521">
        <f>VLOOKUP(K3521,RatingLookup!$A$2:$C$8,2,FALSE)</f>
        <v>5.0000000000000001E-3</v>
      </c>
      <c r="N3521">
        <f t="shared" si="162"/>
        <v>4.1762458919303302E-4</v>
      </c>
      <c r="O3521">
        <f>VLOOKUP(K3521,RatingLookup!$A$2:$C$8,3,FALSE)</f>
        <v>0.45</v>
      </c>
      <c r="P3521">
        <f t="shared" si="163"/>
        <v>0.48706094151521268</v>
      </c>
      <c r="Q3521" t="str">
        <f t="shared" ca="1" si="164"/>
        <v>No</v>
      </c>
    </row>
    <row r="3522" spans="1:17" x14ac:dyDescent="0.45">
      <c r="A3522" t="s">
        <v>152</v>
      </c>
      <c r="B3522" t="s">
        <v>153</v>
      </c>
      <c r="C3522" t="s">
        <v>61</v>
      </c>
      <c r="D3522" t="s">
        <v>20</v>
      </c>
      <c r="E3522" t="s">
        <v>21</v>
      </c>
      <c r="F3522" s="1">
        <v>45047</v>
      </c>
      <c r="G3522">
        <v>6.12</v>
      </c>
      <c r="H3522">
        <v>79.4983</v>
      </c>
      <c r="I3522">
        <v>15.78</v>
      </c>
      <c r="J3522">
        <v>60.03</v>
      </c>
      <c r="K3522" t="s">
        <v>22</v>
      </c>
      <c r="L3522">
        <v>2540.13</v>
      </c>
      <c r="M3522">
        <f>VLOOKUP(K3522,RatingLookup!$A$2:$C$8,2,FALSE)</f>
        <v>5.0000000000000001E-3</v>
      </c>
      <c r="N3522">
        <f t="shared" ref="N3522:N3585" si="165">1-(1-M3522)^(1/12)</f>
        <v>4.1762458919303302E-4</v>
      </c>
      <c r="O3522">
        <f>VLOOKUP(K3522,RatingLookup!$A$2:$C$8,3,FALSE)</f>
        <v>0.45</v>
      </c>
      <c r="P3522">
        <f t="shared" ref="P3522:P3585" si="166">L3522*N3522*O3522</f>
        <v>0.47736933648610452</v>
      </c>
      <c r="Q3522" t="str">
        <f t="shared" ref="Q3522:Q3585" ca="1" si="167">IF(RAND()&lt;N3522,"Yes","No")</f>
        <v>No</v>
      </c>
    </row>
    <row r="3523" spans="1:17" x14ac:dyDescent="0.45">
      <c r="A3523" t="s">
        <v>152</v>
      </c>
      <c r="B3523" t="s">
        <v>153</v>
      </c>
      <c r="C3523" t="s">
        <v>61</v>
      </c>
      <c r="D3523" t="s">
        <v>20</v>
      </c>
      <c r="E3523" t="s">
        <v>21</v>
      </c>
      <c r="F3523" s="1">
        <v>45078</v>
      </c>
      <c r="G3523">
        <v>6.81</v>
      </c>
      <c r="H3523">
        <v>83.180499999999995</v>
      </c>
      <c r="I3523">
        <v>25.5</v>
      </c>
      <c r="J3523">
        <v>90.8</v>
      </c>
      <c r="K3523" t="s">
        <v>22</v>
      </c>
      <c r="L3523">
        <v>2586.1799999999998</v>
      </c>
      <c r="M3523">
        <f>VLOOKUP(K3523,RatingLookup!$A$2:$C$8,2,FALSE)</f>
        <v>5.0000000000000001E-3</v>
      </c>
      <c r="N3523">
        <f t="shared" si="165"/>
        <v>4.1762458919303302E-4</v>
      </c>
      <c r="O3523">
        <f>VLOOKUP(K3523,RatingLookup!$A$2:$C$8,3,FALSE)</f>
        <v>0.45</v>
      </c>
      <c r="P3523">
        <f t="shared" si="166"/>
        <v>0.48602356203565711</v>
      </c>
      <c r="Q3523" t="str">
        <f t="shared" ca="1" si="167"/>
        <v>No</v>
      </c>
    </row>
    <row r="3524" spans="1:17" x14ac:dyDescent="0.45">
      <c r="A3524" t="s">
        <v>152</v>
      </c>
      <c r="B3524" t="s">
        <v>153</v>
      </c>
      <c r="C3524" t="s">
        <v>61</v>
      </c>
      <c r="D3524" t="s">
        <v>20</v>
      </c>
      <c r="E3524" t="s">
        <v>21</v>
      </c>
      <c r="F3524" s="1">
        <v>45108</v>
      </c>
      <c r="G3524">
        <v>5.35</v>
      </c>
      <c r="H3524">
        <v>82.217399999999998</v>
      </c>
      <c r="I3524">
        <v>18.46</v>
      </c>
      <c r="J3524">
        <v>69.02</v>
      </c>
      <c r="K3524" t="s">
        <v>22</v>
      </c>
      <c r="L3524">
        <v>2875.65</v>
      </c>
      <c r="M3524">
        <f>VLOOKUP(K3524,RatingLookup!$A$2:$C$8,2,FALSE)</f>
        <v>5.0000000000000001E-3</v>
      </c>
      <c r="N3524">
        <f t="shared" si="165"/>
        <v>4.1762458919303302E-4</v>
      </c>
      <c r="O3524">
        <f>VLOOKUP(K3524,RatingLookup!$A$2:$C$8,3,FALSE)</f>
        <v>0.45</v>
      </c>
      <c r="P3524">
        <f t="shared" si="166"/>
        <v>0.54042396746082544</v>
      </c>
      <c r="Q3524" t="str">
        <f t="shared" ca="1" si="167"/>
        <v>No</v>
      </c>
    </row>
    <row r="3525" spans="1:17" x14ac:dyDescent="0.45">
      <c r="A3525" t="s">
        <v>152</v>
      </c>
      <c r="B3525" t="s">
        <v>153</v>
      </c>
      <c r="C3525" t="s">
        <v>61</v>
      </c>
      <c r="D3525" t="s">
        <v>20</v>
      </c>
      <c r="E3525" t="s">
        <v>21</v>
      </c>
      <c r="F3525" s="1">
        <v>45139</v>
      </c>
      <c r="G3525">
        <v>5.26</v>
      </c>
      <c r="H3525">
        <v>87.025700000000001</v>
      </c>
      <c r="I3525">
        <v>25.73</v>
      </c>
      <c r="J3525">
        <v>79.47</v>
      </c>
      <c r="K3525" t="s">
        <v>30</v>
      </c>
      <c r="L3525">
        <v>2766.36</v>
      </c>
      <c r="M3525">
        <f>VLOOKUP(K3525,RatingLookup!$A$2:$C$8,2,FALSE)</f>
        <v>1.4999999999999999E-2</v>
      </c>
      <c r="N3525">
        <f t="shared" si="165"/>
        <v>1.2586770182638762E-3</v>
      </c>
      <c r="O3525">
        <f>VLOOKUP(K3525,RatingLookup!$A$2:$C$8,3,FALSE)</f>
        <v>0.5</v>
      </c>
      <c r="P3525">
        <f t="shared" si="166"/>
        <v>1.7409768781222283</v>
      </c>
      <c r="Q3525" t="str">
        <f t="shared" ca="1" si="167"/>
        <v>No</v>
      </c>
    </row>
    <row r="3526" spans="1:17" x14ac:dyDescent="0.45">
      <c r="A3526" t="s">
        <v>152</v>
      </c>
      <c r="B3526" t="s">
        <v>153</v>
      </c>
      <c r="C3526" t="s">
        <v>61</v>
      </c>
      <c r="D3526" t="s">
        <v>20</v>
      </c>
      <c r="E3526" t="s">
        <v>21</v>
      </c>
      <c r="F3526" s="1">
        <v>45170</v>
      </c>
      <c r="G3526">
        <v>5.16</v>
      </c>
      <c r="H3526">
        <v>78.863600000000005</v>
      </c>
      <c r="I3526">
        <v>32.479999999999997</v>
      </c>
      <c r="J3526">
        <v>84.83</v>
      </c>
      <c r="K3526" t="s">
        <v>30</v>
      </c>
      <c r="L3526">
        <v>2453.3200000000002</v>
      </c>
      <c r="M3526">
        <f>VLOOKUP(K3526,RatingLookup!$A$2:$C$8,2,FALSE)</f>
        <v>1.4999999999999999E-2</v>
      </c>
      <c r="N3526">
        <f t="shared" si="165"/>
        <v>1.2586770182638762E-3</v>
      </c>
      <c r="O3526">
        <f>VLOOKUP(K3526,RatingLookup!$A$2:$C$8,3,FALSE)</f>
        <v>0.5</v>
      </c>
      <c r="P3526">
        <f t="shared" si="166"/>
        <v>1.5439687512235665</v>
      </c>
      <c r="Q3526" t="str">
        <f t="shared" ca="1" si="167"/>
        <v>No</v>
      </c>
    </row>
    <row r="3527" spans="1:17" x14ac:dyDescent="0.45">
      <c r="A3527" t="s">
        <v>152</v>
      </c>
      <c r="B3527" t="s">
        <v>153</v>
      </c>
      <c r="C3527" t="s">
        <v>61</v>
      </c>
      <c r="D3527" t="s">
        <v>20</v>
      </c>
      <c r="E3527" t="s">
        <v>21</v>
      </c>
      <c r="F3527" s="1">
        <v>45200</v>
      </c>
      <c r="G3527">
        <v>5.45</v>
      </c>
      <c r="H3527">
        <v>88.495599999999996</v>
      </c>
      <c r="I3527">
        <v>25.41</v>
      </c>
      <c r="J3527">
        <v>86.92</v>
      </c>
      <c r="K3527" t="s">
        <v>30</v>
      </c>
      <c r="L3527">
        <v>2607.4</v>
      </c>
      <c r="M3527">
        <f>VLOOKUP(K3527,RatingLookup!$A$2:$C$8,2,FALSE)</f>
        <v>1.4999999999999999E-2</v>
      </c>
      <c r="N3527">
        <f t="shared" si="165"/>
        <v>1.2586770182638762E-3</v>
      </c>
      <c r="O3527">
        <f>VLOOKUP(K3527,RatingLookup!$A$2:$C$8,3,FALSE)</f>
        <v>0.5</v>
      </c>
      <c r="P3527">
        <f t="shared" si="166"/>
        <v>1.6409372287106154</v>
      </c>
      <c r="Q3527" t="str">
        <f t="shared" ca="1" si="167"/>
        <v>No</v>
      </c>
    </row>
    <row r="3528" spans="1:17" x14ac:dyDescent="0.45">
      <c r="A3528" t="s">
        <v>152</v>
      </c>
      <c r="B3528" t="s">
        <v>153</v>
      </c>
      <c r="C3528" t="s">
        <v>61</v>
      </c>
      <c r="D3528" t="s">
        <v>20</v>
      </c>
      <c r="E3528" t="s">
        <v>21</v>
      </c>
      <c r="F3528" s="1">
        <v>45231</v>
      </c>
      <c r="G3528">
        <v>5.08</v>
      </c>
      <c r="H3528">
        <v>84.231999999999999</v>
      </c>
      <c r="I3528">
        <v>12.25</v>
      </c>
      <c r="J3528">
        <v>74.67</v>
      </c>
      <c r="K3528" t="s">
        <v>30</v>
      </c>
      <c r="L3528">
        <v>2312.98</v>
      </c>
      <c r="M3528">
        <f>VLOOKUP(K3528,RatingLookup!$A$2:$C$8,2,FALSE)</f>
        <v>1.4999999999999999E-2</v>
      </c>
      <c r="N3528">
        <f t="shared" si="165"/>
        <v>1.2586770182638762E-3</v>
      </c>
      <c r="O3528">
        <f>VLOOKUP(K3528,RatingLookup!$A$2:$C$8,3,FALSE)</f>
        <v>0.5</v>
      </c>
      <c r="P3528">
        <f t="shared" si="166"/>
        <v>1.4556473848519902</v>
      </c>
      <c r="Q3528" t="str">
        <f t="shared" ca="1" si="167"/>
        <v>No</v>
      </c>
    </row>
    <row r="3529" spans="1:17" x14ac:dyDescent="0.45">
      <c r="A3529" t="s">
        <v>152</v>
      </c>
      <c r="B3529" t="s">
        <v>153</v>
      </c>
      <c r="C3529" t="s">
        <v>61</v>
      </c>
      <c r="D3529" t="s">
        <v>20</v>
      </c>
      <c r="E3529" t="s">
        <v>21</v>
      </c>
      <c r="F3529" s="1">
        <v>45261</v>
      </c>
      <c r="G3529">
        <v>4.6900000000000004</v>
      </c>
      <c r="H3529">
        <v>83.894199999999998</v>
      </c>
      <c r="I3529">
        <v>21.76</v>
      </c>
      <c r="J3529">
        <v>84.29</v>
      </c>
      <c r="K3529" t="s">
        <v>30</v>
      </c>
      <c r="L3529">
        <v>2656.47</v>
      </c>
      <c r="M3529">
        <f>VLOOKUP(K3529,RatingLookup!$A$2:$C$8,2,FALSE)</f>
        <v>1.4999999999999999E-2</v>
      </c>
      <c r="N3529">
        <f t="shared" si="165"/>
        <v>1.2586770182638762E-3</v>
      </c>
      <c r="O3529">
        <f>VLOOKUP(K3529,RatingLookup!$A$2:$C$8,3,FALSE)</f>
        <v>0.5</v>
      </c>
      <c r="P3529">
        <f t="shared" si="166"/>
        <v>1.6718188693537195</v>
      </c>
      <c r="Q3529" t="str">
        <f t="shared" ca="1" si="167"/>
        <v>No</v>
      </c>
    </row>
    <row r="3530" spans="1:17" x14ac:dyDescent="0.45">
      <c r="A3530" t="s">
        <v>152</v>
      </c>
      <c r="B3530" t="s">
        <v>153</v>
      </c>
      <c r="C3530" t="s">
        <v>61</v>
      </c>
      <c r="D3530" t="s">
        <v>20</v>
      </c>
      <c r="E3530" t="s">
        <v>21</v>
      </c>
      <c r="F3530" s="1">
        <v>45292</v>
      </c>
      <c r="G3530">
        <v>6.14</v>
      </c>
      <c r="H3530">
        <v>83.575999999999993</v>
      </c>
      <c r="I3530">
        <v>16.350000000000001</v>
      </c>
      <c r="J3530">
        <v>78.349999999999994</v>
      </c>
      <c r="K3530" t="s">
        <v>30</v>
      </c>
      <c r="L3530">
        <v>2471.38</v>
      </c>
      <c r="M3530">
        <f>VLOOKUP(K3530,RatingLookup!$A$2:$C$8,2,FALSE)</f>
        <v>1.4999999999999999E-2</v>
      </c>
      <c r="N3530">
        <f t="shared" si="165"/>
        <v>1.2586770182638762E-3</v>
      </c>
      <c r="O3530">
        <f>VLOOKUP(K3530,RatingLookup!$A$2:$C$8,3,FALSE)</f>
        <v>0.5</v>
      </c>
      <c r="P3530">
        <f t="shared" si="166"/>
        <v>1.5553346046984893</v>
      </c>
      <c r="Q3530" t="str">
        <f t="shared" ca="1" si="167"/>
        <v>No</v>
      </c>
    </row>
    <row r="3531" spans="1:17" x14ac:dyDescent="0.45">
      <c r="A3531" t="s">
        <v>152</v>
      </c>
      <c r="B3531" t="s">
        <v>153</v>
      </c>
      <c r="C3531" t="s">
        <v>61</v>
      </c>
      <c r="D3531" t="s">
        <v>20</v>
      </c>
      <c r="E3531" t="s">
        <v>21</v>
      </c>
      <c r="F3531" s="1">
        <v>45323</v>
      </c>
      <c r="G3531">
        <v>6.01</v>
      </c>
      <c r="H3531">
        <v>84.402799999999999</v>
      </c>
      <c r="I3531">
        <v>12.86</v>
      </c>
      <c r="J3531">
        <v>65.92</v>
      </c>
      <c r="K3531" t="s">
        <v>30</v>
      </c>
      <c r="L3531">
        <v>2302.52</v>
      </c>
      <c r="M3531">
        <f>VLOOKUP(K3531,RatingLookup!$A$2:$C$8,2,FALSE)</f>
        <v>1.4999999999999999E-2</v>
      </c>
      <c r="N3531">
        <f t="shared" si="165"/>
        <v>1.2586770182638762E-3</v>
      </c>
      <c r="O3531">
        <f>VLOOKUP(K3531,RatingLookup!$A$2:$C$8,3,FALSE)</f>
        <v>0.5</v>
      </c>
      <c r="P3531">
        <f t="shared" si="166"/>
        <v>1.4490645040464702</v>
      </c>
      <c r="Q3531" t="str">
        <f t="shared" ca="1" si="167"/>
        <v>No</v>
      </c>
    </row>
    <row r="3532" spans="1:17" x14ac:dyDescent="0.45">
      <c r="A3532" t="s">
        <v>152</v>
      </c>
      <c r="B3532" t="s">
        <v>153</v>
      </c>
      <c r="C3532" t="s">
        <v>61</v>
      </c>
      <c r="D3532" t="s">
        <v>20</v>
      </c>
      <c r="E3532" t="s">
        <v>21</v>
      </c>
      <c r="F3532" s="1">
        <v>45352</v>
      </c>
      <c r="G3532">
        <v>6.03</v>
      </c>
      <c r="H3532">
        <v>79.121099999999998</v>
      </c>
      <c r="I3532">
        <v>22.17</v>
      </c>
      <c r="J3532">
        <v>66.98</v>
      </c>
      <c r="K3532" t="s">
        <v>30</v>
      </c>
      <c r="L3532">
        <v>2395.83</v>
      </c>
      <c r="M3532">
        <f>VLOOKUP(K3532,RatingLookup!$A$2:$C$8,2,FALSE)</f>
        <v>1.4999999999999999E-2</v>
      </c>
      <c r="N3532">
        <f t="shared" si="165"/>
        <v>1.2586770182638762E-3</v>
      </c>
      <c r="O3532">
        <f>VLOOKUP(K3532,RatingLookup!$A$2:$C$8,3,FALSE)</f>
        <v>0.5</v>
      </c>
      <c r="P3532">
        <f t="shared" si="166"/>
        <v>1.5077880803335713</v>
      </c>
      <c r="Q3532" t="str">
        <f t="shared" ca="1" si="167"/>
        <v>No</v>
      </c>
    </row>
    <row r="3533" spans="1:17" x14ac:dyDescent="0.45">
      <c r="A3533" t="s">
        <v>152</v>
      </c>
      <c r="B3533" t="s">
        <v>153</v>
      </c>
      <c r="C3533" t="s">
        <v>61</v>
      </c>
      <c r="D3533" t="s">
        <v>20</v>
      </c>
      <c r="E3533" t="s">
        <v>21</v>
      </c>
      <c r="F3533" s="1">
        <v>45383</v>
      </c>
      <c r="G3533">
        <v>4.78</v>
      </c>
      <c r="H3533">
        <v>85.874799999999993</v>
      </c>
      <c r="I3533">
        <v>20.239999999999998</v>
      </c>
      <c r="J3533">
        <v>74.92</v>
      </c>
      <c r="K3533" t="s">
        <v>30</v>
      </c>
      <c r="L3533">
        <v>2455.09</v>
      </c>
      <c r="M3533">
        <f>VLOOKUP(K3533,RatingLookup!$A$2:$C$8,2,FALSE)</f>
        <v>1.4999999999999999E-2</v>
      </c>
      <c r="N3533">
        <f t="shared" si="165"/>
        <v>1.2586770182638762E-3</v>
      </c>
      <c r="O3533">
        <f>VLOOKUP(K3533,RatingLookup!$A$2:$C$8,3,FALSE)</f>
        <v>0.5</v>
      </c>
      <c r="P3533">
        <f t="shared" si="166"/>
        <v>1.54508268038473</v>
      </c>
      <c r="Q3533" t="str">
        <f t="shared" ca="1" si="167"/>
        <v>No</v>
      </c>
    </row>
    <row r="3534" spans="1:17" x14ac:dyDescent="0.45">
      <c r="A3534" t="s">
        <v>152</v>
      </c>
      <c r="B3534" t="s">
        <v>153</v>
      </c>
      <c r="C3534" t="s">
        <v>61</v>
      </c>
      <c r="D3534" t="s">
        <v>20</v>
      </c>
      <c r="E3534" t="s">
        <v>21</v>
      </c>
      <c r="F3534" s="1">
        <v>45413</v>
      </c>
      <c r="G3534">
        <v>6.64</v>
      </c>
      <c r="H3534">
        <v>81.569100000000006</v>
      </c>
      <c r="I3534">
        <v>15.53</v>
      </c>
      <c r="J3534">
        <v>94.71</v>
      </c>
      <c r="K3534" t="s">
        <v>30</v>
      </c>
      <c r="L3534">
        <v>2811.14</v>
      </c>
      <c r="M3534">
        <f>VLOOKUP(K3534,RatingLookup!$A$2:$C$8,2,FALSE)</f>
        <v>1.4999999999999999E-2</v>
      </c>
      <c r="N3534">
        <f t="shared" si="165"/>
        <v>1.2586770182638762E-3</v>
      </c>
      <c r="O3534">
        <f>VLOOKUP(K3534,RatingLookup!$A$2:$C$8,3,FALSE)</f>
        <v>0.5</v>
      </c>
      <c r="P3534">
        <f t="shared" si="166"/>
        <v>1.7691586565611563</v>
      </c>
      <c r="Q3534" t="str">
        <f t="shared" ca="1" si="167"/>
        <v>No</v>
      </c>
    </row>
    <row r="3535" spans="1:17" x14ac:dyDescent="0.45">
      <c r="A3535" t="s">
        <v>152</v>
      </c>
      <c r="B3535" t="s">
        <v>153</v>
      </c>
      <c r="C3535" t="s">
        <v>61</v>
      </c>
      <c r="D3535" t="s">
        <v>20</v>
      </c>
      <c r="E3535" t="s">
        <v>21</v>
      </c>
      <c r="F3535" s="1">
        <v>45444</v>
      </c>
      <c r="G3535">
        <v>5.42</v>
      </c>
      <c r="H3535">
        <v>88.677400000000006</v>
      </c>
      <c r="I3535">
        <v>11.19</v>
      </c>
      <c r="J3535">
        <v>71.16</v>
      </c>
      <c r="K3535" t="s">
        <v>30</v>
      </c>
      <c r="L3535">
        <v>2770.97</v>
      </c>
      <c r="M3535">
        <f>VLOOKUP(K3535,RatingLookup!$A$2:$C$8,2,FALSE)</f>
        <v>1.4999999999999999E-2</v>
      </c>
      <c r="N3535">
        <f t="shared" si="165"/>
        <v>1.2586770182638762E-3</v>
      </c>
      <c r="O3535">
        <f>VLOOKUP(K3535,RatingLookup!$A$2:$C$8,3,FALSE)</f>
        <v>0.5</v>
      </c>
      <c r="P3535">
        <f t="shared" si="166"/>
        <v>1.7438781286493263</v>
      </c>
      <c r="Q3535" t="str">
        <f t="shared" ca="1" si="167"/>
        <v>No</v>
      </c>
    </row>
    <row r="3536" spans="1:17" x14ac:dyDescent="0.45">
      <c r="A3536" t="s">
        <v>152</v>
      </c>
      <c r="B3536" t="s">
        <v>153</v>
      </c>
      <c r="C3536" t="s">
        <v>61</v>
      </c>
      <c r="D3536" t="s">
        <v>20</v>
      </c>
      <c r="E3536" t="s">
        <v>21</v>
      </c>
      <c r="F3536" s="1">
        <v>45474</v>
      </c>
      <c r="G3536">
        <v>5.22</v>
      </c>
      <c r="H3536">
        <v>84.728200000000001</v>
      </c>
      <c r="I3536">
        <v>14.92</v>
      </c>
      <c r="J3536">
        <v>79.64</v>
      </c>
      <c r="K3536" t="s">
        <v>30</v>
      </c>
      <c r="L3536">
        <v>2437.38</v>
      </c>
      <c r="M3536">
        <f>VLOOKUP(K3536,RatingLookup!$A$2:$C$8,2,FALSE)</f>
        <v>1.4999999999999999E-2</v>
      </c>
      <c r="N3536">
        <f t="shared" si="165"/>
        <v>1.2586770182638762E-3</v>
      </c>
      <c r="O3536">
        <f>VLOOKUP(K3536,RatingLookup!$A$2:$C$8,3,FALSE)</f>
        <v>0.5</v>
      </c>
      <c r="P3536">
        <f t="shared" si="166"/>
        <v>1.5339370953880034</v>
      </c>
      <c r="Q3536" t="str">
        <f t="shared" ca="1" si="167"/>
        <v>No</v>
      </c>
    </row>
    <row r="3537" spans="1:17" x14ac:dyDescent="0.45">
      <c r="A3537" t="s">
        <v>152</v>
      </c>
      <c r="B3537" t="s">
        <v>153</v>
      </c>
      <c r="C3537" t="s">
        <v>61</v>
      </c>
      <c r="D3537" t="s">
        <v>20</v>
      </c>
      <c r="E3537" t="s">
        <v>21</v>
      </c>
      <c r="F3537" s="1">
        <v>45505</v>
      </c>
      <c r="G3537">
        <v>5.47</v>
      </c>
      <c r="H3537">
        <v>82.298299999999998</v>
      </c>
      <c r="I3537">
        <v>11.91</v>
      </c>
      <c r="J3537">
        <v>87.42</v>
      </c>
      <c r="K3537" t="s">
        <v>30</v>
      </c>
      <c r="L3537">
        <v>2449.64</v>
      </c>
      <c r="M3537">
        <f>VLOOKUP(K3537,RatingLookup!$A$2:$C$8,2,FALSE)</f>
        <v>1.4999999999999999E-2</v>
      </c>
      <c r="N3537">
        <f t="shared" si="165"/>
        <v>1.2586770182638762E-3</v>
      </c>
      <c r="O3537">
        <f>VLOOKUP(K3537,RatingLookup!$A$2:$C$8,3,FALSE)</f>
        <v>0.5</v>
      </c>
      <c r="P3537">
        <f t="shared" si="166"/>
        <v>1.5416527855099609</v>
      </c>
      <c r="Q3537" t="str">
        <f t="shared" ca="1" si="167"/>
        <v>No</v>
      </c>
    </row>
    <row r="3538" spans="1:17" x14ac:dyDescent="0.45">
      <c r="A3538" t="s">
        <v>152</v>
      </c>
      <c r="B3538" t="s">
        <v>153</v>
      </c>
      <c r="C3538" t="s">
        <v>61</v>
      </c>
      <c r="D3538" t="s">
        <v>20</v>
      </c>
      <c r="E3538" t="s">
        <v>21</v>
      </c>
      <c r="F3538" s="1">
        <v>45536</v>
      </c>
      <c r="G3538">
        <v>5.48</v>
      </c>
      <c r="H3538">
        <v>82.645600000000002</v>
      </c>
      <c r="I3538">
        <v>17.600000000000001</v>
      </c>
      <c r="J3538">
        <v>81.22</v>
      </c>
      <c r="K3538" t="s">
        <v>30</v>
      </c>
      <c r="L3538">
        <v>2520.7600000000002</v>
      </c>
      <c r="M3538">
        <f>VLOOKUP(K3538,RatingLookup!$A$2:$C$8,2,FALSE)</f>
        <v>1.4999999999999999E-2</v>
      </c>
      <c r="N3538">
        <f t="shared" si="165"/>
        <v>1.2586770182638762E-3</v>
      </c>
      <c r="O3538">
        <f>VLOOKUP(K3538,RatingLookup!$A$2:$C$8,3,FALSE)</f>
        <v>0.5</v>
      </c>
      <c r="P3538">
        <f t="shared" si="166"/>
        <v>1.5864113402794244</v>
      </c>
      <c r="Q3538" t="str">
        <f t="shared" ca="1" si="167"/>
        <v>No</v>
      </c>
    </row>
    <row r="3539" spans="1:17" x14ac:dyDescent="0.45">
      <c r="A3539" t="s">
        <v>152</v>
      </c>
      <c r="B3539" t="s">
        <v>153</v>
      </c>
      <c r="C3539" t="s">
        <v>61</v>
      </c>
      <c r="D3539" t="s">
        <v>20</v>
      </c>
      <c r="E3539" t="s">
        <v>21</v>
      </c>
      <c r="F3539" s="1">
        <v>45566</v>
      </c>
      <c r="G3539">
        <v>4.84</v>
      </c>
      <c r="H3539">
        <v>79.942599999999999</v>
      </c>
      <c r="I3539">
        <v>22.83</v>
      </c>
      <c r="J3539">
        <v>80.540000000000006</v>
      </c>
      <c r="K3539" t="s">
        <v>30</v>
      </c>
      <c r="L3539">
        <v>2471.36</v>
      </c>
      <c r="M3539">
        <f>VLOOKUP(K3539,RatingLookup!$A$2:$C$8,2,FALSE)</f>
        <v>1.4999999999999999E-2</v>
      </c>
      <c r="N3539">
        <f t="shared" si="165"/>
        <v>1.2586770182638762E-3</v>
      </c>
      <c r="O3539">
        <f>VLOOKUP(K3539,RatingLookup!$A$2:$C$8,3,FALSE)</f>
        <v>0.5</v>
      </c>
      <c r="P3539">
        <f t="shared" si="166"/>
        <v>1.5553220179283067</v>
      </c>
      <c r="Q3539" t="str">
        <f t="shared" ca="1" si="167"/>
        <v>No</v>
      </c>
    </row>
    <row r="3540" spans="1:17" x14ac:dyDescent="0.45">
      <c r="A3540" t="s">
        <v>152</v>
      </c>
      <c r="B3540" t="s">
        <v>153</v>
      </c>
      <c r="C3540" t="s">
        <v>61</v>
      </c>
      <c r="D3540" t="s">
        <v>20</v>
      </c>
      <c r="E3540" t="s">
        <v>21</v>
      </c>
      <c r="F3540" s="1">
        <v>45597</v>
      </c>
      <c r="G3540">
        <v>4.88</v>
      </c>
      <c r="H3540">
        <v>91.066000000000003</v>
      </c>
      <c r="I3540">
        <v>19.11</v>
      </c>
      <c r="J3540">
        <v>78.599999999999994</v>
      </c>
      <c r="K3540" t="s">
        <v>30</v>
      </c>
      <c r="L3540">
        <v>2951.55</v>
      </c>
      <c r="M3540">
        <f>VLOOKUP(K3540,RatingLookup!$A$2:$C$8,2,FALSE)</f>
        <v>1.4999999999999999E-2</v>
      </c>
      <c r="N3540">
        <f t="shared" si="165"/>
        <v>1.2586770182638762E-3</v>
      </c>
      <c r="O3540">
        <f>VLOOKUP(K3540,RatingLookup!$A$2:$C$8,3,FALSE)</f>
        <v>0.5</v>
      </c>
      <c r="P3540">
        <f t="shared" si="166"/>
        <v>1.857524076628372</v>
      </c>
      <c r="Q3540" t="str">
        <f t="shared" ca="1" si="167"/>
        <v>No</v>
      </c>
    </row>
    <row r="3541" spans="1:17" x14ac:dyDescent="0.45">
      <c r="A3541" t="s">
        <v>152</v>
      </c>
      <c r="B3541" t="s">
        <v>153</v>
      </c>
      <c r="C3541" t="s">
        <v>61</v>
      </c>
      <c r="D3541" t="s">
        <v>20</v>
      </c>
      <c r="E3541" t="s">
        <v>21</v>
      </c>
      <c r="F3541" s="1">
        <v>45627</v>
      </c>
      <c r="G3541">
        <v>5.77</v>
      </c>
      <c r="H3541">
        <v>88.1374</v>
      </c>
      <c r="I3541">
        <v>21.25</v>
      </c>
      <c r="J3541">
        <v>65.95</v>
      </c>
      <c r="K3541" t="s">
        <v>31</v>
      </c>
      <c r="L3541">
        <v>2375.1999999999998</v>
      </c>
      <c r="M3541">
        <f>VLOOKUP(K3541,RatingLookup!$A$2:$C$8,2,FALSE)</f>
        <v>0.04</v>
      </c>
      <c r="N3541">
        <f t="shared" si="165"/>
        <v>3.3960531989175591E-3</v>
      </c>
      <c r="O3541">
        <f>VLOOKUP(K3541,RatingLookup!$A$2:$C$8,3,FALSE)</f>
        <v>0.6</v>
      </c>
      <c r="P3541">
        <f t="shared" si="166"/>
        <v>4.8397833348413917</v>
      </c>
      <c r="Q3541" t="str">
        <f t="shared" ca="1" si="167"/>
        <v>No</v>
      </c>
    </row>
    <row r="3542" spans="1:17" x14ac:dyDescent="0.45">
      <c r="A3542" t="s">
        <v>154</v>
      </c>
      <c r="B3542" t="s">
        <v>155</v>
      </c>
      <c r="C3542" t="s">
        <v>40</v>
      </c>
      <c r="D3542" t="s">
        <v>20</v>
      </c>
      <c r="E3542" t="s">
        <v>21</v>
      </c>
      <c r="F3542" s="1">
        <v>43831</v>
      </c>
      <c r="G3542">
        <v>5.61</v>
      </c>
      <c r="H3542">
        <v>81.705100000000002</v>
      </c>
      <c r="I3542">
        <v>16.64</v>
      </c>
      <c r="J3542">
        <v>73.98</v>
      </c>
      <c r="K3542" t="s">
        <v>22</v>
      </c>
      <c r="L3542">
        <v>721.03</v>
      </c>
      <c r="M3542">
        <f>VLOOKUP(K3542,RatingLookup!$A$2:$C$8,2,FALSE)</f>
        <v>5.0000000000000001E-3</v>
      </c>
      <c r="N3542">
        <f t="shared" si="165"/>
        <v>4.1762458919303302E-4</v>
      </c>
      <c r="O3542">
        <f>VLOOKUP(K3542,RatingLookup!$A$2:$C$8,3,FALSE)</f>
        <v>0.45</v>
      </c>
      <c r="P3542">
        <f t="shared" si="166"/>
        <v>0.13550393589563367</v>
      </c>
      <c r="Q3542" t="str">
        <f t="shared" ca="1" si="167"/>
        <v>No</v>
      </c>
    </row>
    <row r="3543" spans="1:17" x14ac:dyDescent="0.45">
      <c r="A3543" t="s">
        <v>154</v>
      </c>
      <c r="B3543" t="s">
        <v>155</v>
      </c>
      <c r="C3543" t="s">
        <v>40</v>
      </c>
      <c r="D3543" t="s">
        <v>20</v>
      </c>
      <c r="E3543" t="s">
        <v>21</v>
      </c>
      <c r="F3543" s="1">
        <v>43862</v>
      </c>
      <c r="G3543">
        <v>5.93</v>
      </c>
      <c r="H3543">
        <v>79.856200000000001</v>
      </c>
      <c r="I3543">
        <v>11.3</v>
      </c>
      <c r="J3543">
        <v>71.38</v>
      </c>
      <c r="K3543" t="s">
        <v>22</v>
      </c>
      <c r="L3543">
        <v>764.7</v>
      </c>
      <c r="M3543">
        <f>VLOOKUP(K3543,RatingLookup!$A$2:$C$8,2,FALSE)</f>
        <v>5.0000000000000001E-3</v>
      </c>
      <c r="N3543">
        <f t="shared" si="165"/>
        <v>4.1762458919303302E-4</v>
      </c>
      <c r="O3543">
        <f>VLOOKUP(K3543,RatingLookup!$A$2:$C$8,3,FALSE)</f>
        <v>0.45</v>
      </c>
      <c r="P3543">
        <f t="shared" si="166"/>
        <v>0.14371088551016059</v>
      </c>
      <c r="Q3543" t="str">
        <f t="shared" ca="1" si="167"/>
        <v>No</v>
      </c>
    </row>
    <row r="3544" spans="1:17" x14ac:dyDescent="0.45">
      <c r="A3544" t="s">
        <v>154</v>
      </c>
      <c r="B3544" t="s">
        <v>155</v>
      </c>
      <c r="C3544" t="s">
        <v>40</v>
      </c>
      <c r="D3544" t="s">
        <v>20</v>
      </c>
      <c r="E3544" t="s">
        <v>21</v>
      </c>
      <c r="F3544" s="1">
        <v>43891</v>
      </c>
      <c r="G3544">
        <v>4.21</v>
      </c>
      <c r="H3544">
        <v>87.049400000000006</v>
      </c>
      <c r="I3544">
        <v>13.44</v>
      </c>
      <c r="J3544">
        <v>63.61</v>
      </c>
      <c r="K3544" t="s">
        <v>22</v>
      </c>
      <c r="L3544">
        <v>812.08</v>
      </c>
      <c r="M3544">
        <f>VLOOKUP(K3544,RatingLookup!$A$2:$C$8,2,FALSE)</f>
        <v>5.0000000000000001E-3</v>
      </c>
      <c r="N3544">
        <f t="shared" si="165"/>
        <v>4.1762458919303302E-4</v>
      </c>
      <c r="O3544">
        <f>VLOOKUP(K3544,RatingLookup!$A$2:$C$8,3,FALSE)</f>
        <v>0.45</v>
      </c>
      <c r="P3544">
        <f t="shared" si="166"/>
        <v>0.15261505937634523</v>
      </c>
      <c r="Q3544" t="str">
        <f t="shared" ca="1" si="167"/>
        <v>No</v>
      </c>
    </row>
    <row r="3545" spans="1:17" x14ac:dyDescent="0.45">
      <c r="A3545" t="s">
        <v>154</v>
      </c>
      <c r="B3545" t="s">
        <v>155</v>
      </c>
      <c r="C3545" t="s">
        <v>40</v>
      </c>
      <c r="D3545" t="s">
        <v>20</v>
      </c>
      <c r="E3545" t="s">
        <v>21</v>
      </c>
      <c r="F3545" s="1">
        <v>43922</v>
      </c>
      <c r="G3545">
        <v>4.8</v>
      </c>
      <c r="H3545">
        <v>81.300299999999993</v>
      </c>
      <c r="I3545">
        <v>16.309999999999999</v>
      </c>
      <c r="J3545">
        <v>67.8</v>
      </c>
      <c r="K3545" t="s">
        <v>22</v>
      </c>
      <c r="L3545">
        <v>802.45</v>
      </c>
      <c r="M3545">
        <f>VLOOKUP(K3545,RatingLookup!$A$2:$C$8,2,FALSE)</f>
        <v>5.0000000000000001E-3</v>
      </c>
      <c r="N3545">
        <f t="shared" si="165"/>
        <v>4.1762458919303302E-4</v>
      </c>
      <c r="O3545">
        <f>VLOOKUP(K3545,RatingLookup!$A$2:$C$8,3,FALSE)</f>
        <v>0.45</v>
      </c>
      <c r="P3545">
        <f t="shared" si="166"/>
        <v>0.15080528321907721</v>
      </c>
      <c r="Q3545" t="str">
        <f t="shared" ca="1" si="167"/>
        <v>No</v>
      </c>
    </row>
    <row r="3546" spans="1:17" x14ac:dyDescent="0.45">
      <c r="A3546" t="s">
        <v>154</v>
      </c>
      <c r="B3546" t="s">
        <v>155</v>
      </c>
      <c r="C3546" t="s">
        <v>40</v>
      </c>
      <c r="D3546" t="s">
        <v>20</v>
      </c>
      <c r="E3546" t="s">
        <v>21</v>
      </c>
      <c r="F3546" s="1">
        <v>43952</v>
      </c>
      <c r="G3546">
        <v>5.58</v>
      </c>
      <c r="H3546">
        <v>78.779899999999998</v>
      </c>
      <c r="I3546">
        <v>18.71</v>
      </c>
      <c r="J3546">
        <v>83.61</v>
      </c>
      <c r="K3546" t="s">
        <v>22</v>
      </c>
      <c r="L3546">
        <v>773.59</v>
      </c>
      <c r="M3546">
        <f>VLOOKUP(K3546,RatingLookup!$A$2:$C$8,2,FALSE)</f>
        <v>5.0000000000000001E-3</v>
      </c>
      <c r="N3546">
        <f t="shared" si="165"/>
        <v>4.1762458919303302E-4</v>
      </c>
      <c r="O3546">
        <f>VLOOKUP(K3546,RatingLookup!$A$2:$C$8,3,FALSE)</f>
        <v>0.45</v>
      </c>
      <c r="P3546">
        <f t="shared" si="166"/>
        <v>0.14538159267922732</v>
      </c>
      <c r="Q3546" t="str">
        <f t="shared" ca="1" si="167"/>
        <v>No</v>
      </c>
    </row>
    <row r="3547" spans="1:17" x14ac:dyDescent="0.45">
      <c r="A3547" t="s">
        <v>154</v>
      </c>
      <c r="B3547" t="s">
        <v>155</v>
      </c>
      <c r="C3547" t="s">
        <v>40</v>
      </c>
      <c r="D3547" t="s">
        <v>20</v>
      </c>
      <c r="E3547" t="s">
        <v>21</v>
      </c>
      <c r="F3547" s="1">
        <v>43983</v>
      </c>
      <c r="G3547">
        <v>5.16</v>
      </c>
      <c r="H3547">
        <v>81.572800000000001</v>
      </c>
      <c r="I3547">
        <v>14.18</v>
      </c>
      <c r="J3547">
        <v>77.23</v>
      </c>
      <c r="K3547" t="s">
        <v>22</v>
      </c>
      <c r="L3547">
        <v>725.54</v>
      </c>
      <c r="M3547">
        <f>VLOOKUP(K3547,RatingLookup!$A$2:$C$8,2,FALSE)</f>
        <v>5.0000000000000001E-3</v>
      </c>
      <c r="N3547">
        <f t="shared" si="165"/>
        <v>4.1762458919303302E-4</v>
      </c>
      <c r="O3547">
        <f>VLOOKUP(K3547,RatingLookup!$A$2:$C$8,3,FALSE)</f>
        <v>0.45</v>
      </c>
      <c r="P3547">
        <f t="shared" si="166"/>
        <v>0.13635150499940094</v>
      </c>
      <c r="Q3547" t="str">
        <f t="shared" ca="1" si="167"/>
        <v>No</v>
      </c>
    </row>
    <row r="3548" spans="1:17" x14ac:dyDescent="0.45">
      <c r="A3548" t="s">
        <v>154</v>
      </c>
      <c r="B3548" t="s">
        <v>155</v>
      </c>
      <c r="C3548" t="s">
        <v>40</v>
      </c>
      <c r="D3548" t="s">
        <v>20</v>
      </c>
      <c r="E3548" t="s">
        <v>21</v>
      </c>
      <c r="F3548" s="1">
        <v>44013</v>
      </c>
      <c r="G3548">
        <v>5.47</v>
      </c>
      <c r="H3548">
        <v>82.415899999999993</v>
      </c>
      <c r="I3548">
        <v>13.63</v>
      </c>
      <c r="J3548">
        <v>71.3</v>
      </c>
      <c r="K3548" t="s">
        <v>22</v>
      </c>
      <c r="L3548">
        <v>731.5</v>
      </c>
      <c r="M3548">
        <f>VLOOKUP(K3548,RatingLookup!$A$2:$C$8,2,FALSE)</f>
        <v>5.0000000000000001E-3</v>
      </c>
      <c r="N3548">
        <f t="shared" si="165"/>
        <v>4.1762458919303302E-4</v>
      </c>
      <c r="O3548">
        <f>VLOOKUP(K3548,RatingLookup!$A$2:$C$8,3,FALSE)</f>
        <v>0.45</v>
      </c>
      <c r="P3548">
        <f t="shared" si="166"/>
        <v>0.13747157414761665</v>
      </c>
      <c r="Q3548" t="str">
        <f t="shared" ca="1" si="167"/>
        <v>No</v>
      </c>
    </row>
    <row r="3549" spans="1:17" x14ac:dyDescent="0.45">
      <c r="A3549" t="s">
        <v>154</v>
      </c>
      <c r="B3549" t="s">
        <v>155</v>
      </c>
      <c r="C3549" t="s">
        <v>40</v>
      </c>
      <c r="D3549" t="s">
        <v>20</v>
      </c>
      <c r="E3549" t="s">
        <v>21</v>
      </c>
      <c r="F3549" s="1">
        <v>44044</v>
      </c>
      <c r="G3549">
        <v>6.21</v>
      </c>
      <c r="H3549">
        <v>85.697699999999998</v>
      </c>
      <c r="I3549">
        <v>15.68</v>
      </c>
      <c r="J3549">
        <v>87.03</v>
      </c>
      <c r="K3549" t="s">
        <v>30</v>
      </c>
      <c r="L3549">
        <v>799.13</v>
      </c>
      <c r="M3549">
        <f>VLOOKUP(K3549,RatingLookup!$A$2:$C$8,2,FALSE)</f>
        <v>1.4999999999999999E-2</v>
      </c>
      <c r="N3549">
        <f t="shared" si="165"/>
        <v>1.2586770182638762E-3</v>
      </c>
      <c r="O3549">
        <f>VLOOKUP(K3549,RatingLookup!$A$2:$C$8,3,FALSE)</f>
        <v>0.5</v>
      </c>
      <c r="P3549">
        <f t="shared" si="166"/>
        <v>0.50292328280260568</v>
      </c>
      <c r="Q3549" t="str">
        <f t="shared" ca="1" si="167"/>
        <v>No</v>
      </c>
    </row>
    <row r="3550" spans="1:17" x14ac:dyDescent="0.45">
      <c r="A3550" t="s">
        <v>154</v>
      </c>
      <c r="B3550" t="s">
        <v>155</v>
      </c>
      <c r="C3550" t="s">
        <v>40</v>
      </c>
      <c r="D3550" t="s">
        <v>20</v>
      </c>
      <c r="E3550" t="s">
        <v>21</v>
      </c>
      <c r="F3550" s="1">
        <v>44075</v>
      </c>
      <c r="G3550">
        <v>5.68</v>
      </c>
      <c r="H3550">
        <v>81.846900000000005</v>
      </c>
      <c r="I3550">
        <v>17.61</v>
      </c>
      <c r="J3550">
        <v>80.790000000000006</v>
      </c>
      <c r="K3550" t="s">
        <v>30</v>
      </c>
      <c r="L3550">
        <v>816.68</v>
      </c>
      <c r="M3550">
        <f>VLOOKUP(K3550,RatingLookup!$A$2:$C$8,2,FALSE)</f>
        <v>1.4999999999999999E-2</v>
      </c>
      <c r="N3550">
        <f t="shared" si="165"/>
        <v>1.2586770182638762E-3</v>
      </c>
      <c r="O3550">
        <f>VLOOKUP(K3550,RatingLookup!$A$2:$C$8,3,FALSE)</f>
        <v>0.5</v>
      </c>
      <c r="P3550">
        <f t="shared" si="166"/>
        <v>0.51396817363787117</v>
      </c>
      <c r="Q3550" t="str">
        <f t="shared" ca="1" si="167"/>
        <v>No</v>
      </c>
    </row>
    <row r="3551" spans="1:17" x14ac:dyDescent="0.45">
      <c r="A3551" t="s">
        <v>154</v>
      </c>
      <c r="B3551" t="s">
        <v>155</v>
      </c>
      <c r="C3551" t="s">
        <v>40</v>
      </c>
      <c r="D3551" t="s">
        <v>20</v>
      </c>
      <c r="E3551" t="s">
        <v>21</v>
      </c>
      <c r="F3551" s="1">
        <v>44105</v>
      </c>
      <c r="G3551">
        <v>5.81</v>
      </c>
      <c r="H3551">
        <v>82.831900000000005</v>
      </c>
      <c r="I3551">
        <v>18.61</v>
      </c>
      <c r="J3551">
        <v>82.91</v>
      </c>
      <c r="K3551" t="s">
        <v>30</v>
      </c>
      <c r="L3551">
        <v>750.67</v>
      </c>
      <c r="M3551">
        <f>VLOOKUP(K3551,RatingLookup!$A$2:$C$8,2,FALSE)</f>
        <v>1.4999999999999999E-2</v>
      </c>
      <c r="N3551">
        <f t="shared" si="165"/>
        <v>1.2586770182638762E-3</v>
      </c>
      <c r="O3551">
        <f>VLOOKUP(K3551,RatingLookup!$A$2:$C$8,3,FALSE)</f>
        <v>0.5</v>
      </c>
      <c r="P3551">
        <f t="shared" si="166"/>
        <v>0.47242553865007197</v>
      </c>
      <c r="Q3551" t="str">
        <f t="shared" ca="1" si="167"/>
        <v>No</v>
      </c>
    </row>
    <row r="3552" spans="1:17" x14ac:dyDescent="0.45">
      <c r="A3552" t="s">
        <v>154</v>
      </c>
      <c r="B3552" t="s">
        <v>155</v>
      </c>
      <c r="C3552" t="s">
        <v>40</v>
      </c>
      <c r="D3552" t="s">
        <v>20</v>
      </c>
      <c r="E3552" t="s">
        <v>21</v>
      </c>
      <c r="F3552" s="1">
        <v>44136</v>
      </c>
      <c r="G3552">
        <v>4.8899999999999997</v>
      </c>
      <c r="H3552">
        <v>78.4679</v>
      </c>
      <c r="I3552">
        <v>27.91</v>
      </c>
      <c r="J3552">
        <v>42.77</v>
      </c>
      <c r="K3552" t="s">
        <v>30</v>
      </c>
      <c r="L3552">
        <v>800.74</v>
      </c>
      <c r="M3552">
        <f>VLOOKUP(K3552,RatingLookup!$A$2:$C$8,2,FALSE)</f>
        <v>1.4999999999999999E-2</v>
      </c>
      <c r="N3552">
        <f t="shared" si="165"/>
        <v>1.2586770182638762E-3</v>
      </c>
      <c r="O3552">
        <f>VLOOKUP(K3552,RatingLookup!$A$2:$C$8,3,FALSE)</f>
        <v>0.5</v>
      </c>
      <c r="P3552">
        <f t="shared" si="166"/>
        <v>0.50393651780230808</v>
      </c>
      <c r="Q3552" t="str">
        <f t="shared" ca="1" si="167"/>
        <v>No</v>
      </c>
    </row>
    <row r="3553" spans="1:17" x14ac:dyDescent="0.45">
      <c r="A3553" t="s">
        <v>154</v>
      </c>
      <c r="B3553" t="s">
        <v>155</v>
      </c>
      <c r="C3553" t="s">
        <v>40</v>
      </c>
      <c r="D3553" t="s">
        <v>20</v>
      </c>
      <c r="E3553" t="s">
        <v>21</v>
      </c>
      <c r="F3553" s="1">
        <v>44166</v>
      </c>
      <c r="G3553">
        <v>4.8600000000000003</v>
      </c>
      <c r="H3553">
        <v>88.039299999999997</v>
      </c>
      <c r="I3553">
        <v>22.43</v>
      </c>
      <c r="J3553">
        <v>65.900000000000006</v>
      </c>
      <c r="K3553" t="s">
        <v>30</v>
      </c>
      <c r="L3553">
        <v>775.51</v>
      </c>
      <c r="M3553">
        <f>VLOOKUP(K3553,RatingLookup!$A$2:$C$8,2,FALSE)</f>
        <v>1.4999999999999999E-2</v>
      </c>
      <c r="N3553">
        <f t="shared" si="165"/>
        <v>1.2586770182638762E-3</v>
      </c>
      <c r="O3553">
        <f>VLOOKUP(K3553,RatingLookup!$A$2:$C$8,3,FALSE)</f>
        <v>0.5</v>
      </c>
      <c r="P3553">
        <f t="shared" si="166"/>
        <v>0.48805830721690935</v>
      </c>
      <c r="Q3553" t="str">
        <f t="shared" ca="1" si="167"/>
        <v>No</v>
      </c>
    </row>
    <row r="3554" spans="1:17" x14ac:dyDescent="0.45">
      <c r="A3554" t="s">
        <v>154</v>
      </c>
      <c r="B3554" t="s">
        <v>155</v>
      </c>
      <c r="C3554" t="s">
        <v>40</v>
      </c>
      <c r="D3554" t="s">
        <v>20</v>
      </c>
      <c r="E3554" t="s">
        <v>21</v>
      </c>
      <c r="F3554" s="1">
        <v>44197</v>
      </c>
      <c r="G3554">
        <v>5.53</v>
      </c>
      <c r="H3554">
        <v>80.557699999999997</v>
      </c>
      <c r="I3554">
        <v>22.68</v>
      </c>
      <c r="J3554">
        <v>73.12</v>
      </c>
      <c r="K3554" t="s">
        <v>30</v>
      </c>
      <c r="L3554">
        <v>841.01</v>
      </c>
      <c r="M3554">
        <f>VLOOKUP(K3554,RatingLookup!$A$2:$C$8,2,FALSE)</f>
        <v>1.4999999999999999E-2</v>
      </c>
      <c r="N3554">
        <f t="shared" si="165"/>
        <v>1.2586770182638762E-3</v>
      </c>
      <c r="O3554">
        <f>VLOOKUP(K3554,RatingLookup!$A$2:$C$8,3,FALSE)</f>
        <v>0.5</v>
      </c>
      <c r="P3554">
        <f t="shared" si="166"/>
        <v>0.52927997956505124</v>
      </c>
      <c r="Q3554" t="str">
        <f t="shared" ca="1" si="167"/>
        <v>No</v>
      </c>
    </row>
    <row r="3555" spans="1:17" x14ac:dyDescent="0.45">
      <c r="A3555" t="s">
        <v>154</v>
      </c>
      <c r="B3555" t="s">
        <v>155</v>
      </c>
      <c r="C3555" t="s">
        <v>40</v>
      </c>
      <c r="D3555" t="s">
        <v>20</v>
      </c>
      <c r="E3555" t="s">
        <v>21</v>
      </c>
      <c r="F3555" s="1">
        <v>44228</v>
      </c>
      <c r="G3555">
        <v>5.71</v>
      </c>
      <c r="H3555">
        <v>83.0107</v>
      </c>
      <c r="I3555">
        <v>28.12</v>
      </c>
      <c r="J3555">
        <v>64.989999999999995</v>
      </c>
      <c r="K3555" t="s">
        <v>30</v>
      </c>
      <c r="L3555">
        <v>704.77</v>
      </c>
      <c r="M3555">
        <f>VLOOKUP(K3555,RatingLookup!$A$2:$C$8,2,FALSE)</f>
        <v>1.4999999999999999E-2</v>
      </c>
      <c r="N3555">
        <f t="shared" si="165"/>
        <v>1.2586770182638762E-3</v>
      </c>
      <c r="O3555">
        <f>VLOOKUP(K3555,RatingLookup!$A$2:$C$8,3,FALSE)</f>
        <v>0.5</v>
      </c>
      <c r="P3555">
        <f t="shared" si="166"/>
        <v>0.44353890108091604</v>
      </c>
      <c r="Q3555" t="str">
        <f t="shared" ca="1" si="167"/>
        <v>No</v>
      </c>
    </row>
    <row r="3556" spans="1:17" x14ac:dyDescent="0.45">
      <c r="A3556" t="s">
        <v>154</v>
      </c>
      <c r="B3556" t="s">
        <v>155</v>
      </c>
      <c r="C3556" t="s">
        <v>40</v>
      </c>
      <c r="D3556" t="s">
        <v>20</v>
      </c>
      <c r="E3556" t="s">
        <v>21</v>
      </c>
      <c r="F3556" s="1">
        <v>44256</v>
      </c>
      <c r="G3556">
        <v>4.8099999999999996</v>
      </c>
      <c r="H3556">
        <v>81.181600000000003</v>
      </c>
      <c r="I3556">
        <v>8.2200000000000006</v>
      </c>
      <c r="J3556">
        <v>76.09</v>
      </c>
      <c r="K3556" t="s">
        <v>30</v>
      </c>
      <c r="L3556">
        <v>780.25</v>
      </c>
      <c r="M3556">
        <f>VLOOKUP(K3556,RatingLookup!$A$2:$C$8,2,FALSE)</f>
        <v>1.4999999999999999E-2</v>
      </c>
      <c r="N3556">
        <f t="shared" si="165"/>
        <v>1.2586770182638762E-3</v>
      </c>
      <c r="O3556">
        <f>VLOOKUP(K3556,RatingLookup!$A$2:$C$8,3,FALSE)</f>
        <v>0.5</v>
      </c>
      <c r="P3556">
        <f t="shared" si="166"/>
        <v>0.49104137175019469</v>
      </c>
      <c r="Q3556" t="str">
        <f t="shared" ca="1" si="167"/>
        <v>No</v>
      </c>
    </row>
    <row r="3557" spans="1:17" x14ac:dyDescent="0.45">
      <c r="A3557" t="s">
        <v>154</v>
      </c>
      <c r="B3557" t="s">
        <v>155</v>
      </c>
      <c r="C3557" t="s">
        <v>40</v>
      </c>
      <c r="D3557" t="s">
        <v>20</v>
      </c>
      <c r="E3557" t="s">
        <v>21</v>
      </c>
      <c r="F3557" s="1">
        <v>44287</v>
      </c>
      <c r="G3557">
        <v>5.87</v>
      </c>
      <c r="H3557">
        <v>81.046400000000006</v>
      </c>
      <c r="I3557">
        <v>16.71</v>
      </c>
      <c r="J3557">
        <v>82.78</v>
      </c>
      <c r="K3557" t="s">
        <v>30</v>
      </c>
      <c r="L3557">
        <v>790.35</v>
      </c>
      <c r="M3557">
        <f>VLOOKUP(K3557,RatingLookup!$A$2:$C$8,2,FALSE)</f>
        <v>1.4999999999999999E-2</v>
      </c>
      <c r="N3557">
        <f t="shared" si="165"/>
        <v>1.2586770182638762E-3</v>
      </c>
      <c r="O3557">
        <f>VLOOKUP(K3557,RatingLookup!$A$2:$C$8,3,FALSE)</f>
        <v>0.5</v>
      </c>
      <c r="P3557">
        <f t="shared" si="166"/>
        <v>0.49739769069242729</v>
      </c>
      <c r="Q3557" t="str">
        <f t="shared" ca="1" si="167"/>
        <v>No</v>
      </c>
    </row>
    <row r="3558" spans="1:17" x14ac:dyDescent="0.45">
      <c r="A3558" t="s">
        <v>154</v>
      </c>
      <c r="B3558" t="s">
        <v>155</v>
      </c>
      <c r="C3558" t="s">
        <v>40</v>
      </c>
      <c r="D3558" t="s">
        <v>20</v>
      </c>
      <c r="E3558" t="s">
        <v>21</v>
      </c>
      <c r="F3558" s="1">
        <v>44317</v>
      </c>
      <c r="G3558">
        <v>5.74</v>
      </c>
      <c r="H3558">
        <v>84.451300000000003</v>
      </c>
      <c r="I3558">
        <v>22.72</v>
      </c>
      <c r="J3558">
        <v>97.7</v>
      </c>
      <c r="K3558" t="s">
        <v>30</v>
      </c>
      <c r="L3558">
        <v>800.63</v>
      </c>
      <c r="M3558">
        <f>VLOOKUP(K3558,RatingLookup!$A$2:$C$8,2,FALSE)</f>
        <v>1.4999999999999999E-2</v>
      </c>
      <c r="N3558">
        <f t="shared" si="165"/>
        <v>1.2586770182638762E-3</v>
      </c>
      <c r="O3558">
        <f>VLOOKUP(K3558,RatingLookup!$A$2:$C$8,3,FALSE)</f>
        <v>0.5</v>
      </c>
      <c r="P3558">
        <f t="shared" si="166"/>
        <v>0.50386729056630364</v>
      </c>
      <c r="Q3558" t="str">
        <f t="shared" ca="1" si="167"/>
        <v>No</v>
      </c>
    </row>
    <row r="3559" spans="1:17" x14ac:dyDescent="0.45">
      <c r="A3559" t="s">
        <v>154</v>
      </c>
      <c r="B3559" t="s">
        <v>155</v>
      </c>
      <c r="C3559" t="s">
        <v>40</v>
      </c>
      <c r="D3559" t="s">
        <v>20</v>
      </c>
      <c r="E3559" t="s">
        <v>21</v>
      </c>
      <c r="F3559" s="1">
        <v>44348</v>
      </c>
      <c r="G3559">
        <v>5.77</v>
      </c>
      <c r="H3559">
        <v>79.131399999999999</v>
      </c>
      <c r="I3559">
        <v>14.63</v>
      </c>
      <c r="J3559">
        <v>87.98</v>
      </c>
      <c r="K3559" t="s">
        <v>30</v>
      </c>
      <c r="L3559">
        <v>725.65</v>
      </c>
      <c r="M3559">
        <f>VLOOKUP(K3559,RatingLookup!$A$2:$C$8,2,FALSE)</f>
        <v>1.4999999999999999E-2</v>
      </c>
      <c r="N3559">
        <f t="shared" si="165"/>
        <v>1.2586770182638762E-3</v>
      </c>
      <c r="O3559">
        <f>VLOOKUP(K3559,RatingLookup!$A$2:$C$8,3,FALSE)</f>
        <v>0.5</v>
      </c>
      <c r="P3559">
        <f t="shared" si="166"/>
        <v>0.4566794891515909</v>
      </c>
      <c r="Q3559" t="str">
        <f t="shared" ca="1" si="167"/>
        <v>No</v>
      </c>
    </row>
    <row r="3560" spans="1:17" x14ac:dyDescent="0.45">
      <c r="A3560" t="s">
        <v>154</v>
      </c>
      <c r="B3560" t="s">
        <v>155</v>
      </c>
      <c r="C3560" t="s">
        <v>40</v>
      </c>
      <c r="D3560" t="s">
        <v>20</v>
      </c>
      <c r="E3560" t="s">
        <v>21</v>
      </c>
      <c r="F3560" s="1">
        <v>44378</v>
      </c>
      <c r="G3560">
        <v>6.34</v>
      </c>
      <c r="H3560">
        <v>81.609399999999994</v>
      </c>
      <c r="I3560">
        <v>12.91</v>
      </c>
      <c r="J3560">
        <v>74.040000000000006</v>
      </c>
      <c r="K3560" t="s">
        <v>30</v>
      </c>
      <c r="L3560">
        <v>808.84</v>
      </c>
      <c r="M3560">
        <f>VLOOKUP(K3560,RatingLookup!$A$2:$C$8,2,FALSE)</f>
        <v>1.4999999999999999E-2</v>
      </c>
      <c r="N3560">
        <f t="shared" si="165"/>
        <v>1.2586770182638762E-3</v>
      </c>
      <c r="O3560">
        <f>VLOOKUP(K3560,RatingLookup!$A$2:$C$8,3,FALSE)</f>
        <v>0.5</v>
      </c>
      <c r="P3560">
        <f t="shared" si="166"/>
        <v>0.50903415972627686</v>
      </c>
      <c r="Q3560" t="str">
        <f t="shared" ca="1" si="167"/>
        <v>No</v>
      </c>
    </row>
    <row r="3561" spans="1:17" x14ac:dyDescent="0.45">
      <c r="A3561" t="s">
        <v>154</v>
      </c>
      <c r="B3561" t="s">
        <v>155</v>
      </c>
      <c r="C3561" t="s">
        <v>40</v>
      </c>
      <c r="D3561" t="s">
        <v>20</v>
      </c>
      <c r="E3561" t="s">
        <v>21</v>
      </c>
      <c r="F3561" s="1">
        <v>44409</v>
      </c>
      <c r="G3561">
        <v>5.55</v>
      </c>
      <c r="H3561">
        <v>83.656199999999998</v>
      </c>
      <c r="I3561">
        <v>21.62</v>
      </c>
      <c r="J3561">
        <v>78.28</v>
      </c>
      <c r="K3561" t="s">
        <v>30</v>
      </c>
      <c r="L3561">
        <v>776.88</v>
      </c>
      <c r="M3561">
        <f>VLOOKUP(K3561,RatingLookup!$A$2:$C$8,2,FALSE)</f>
        <v>1.4999999999999999E-2</v>
      </c>
      <c r="N3561">
        <f t="shared" si="165"/>
        <v>1.2586770182638762E-3</v>
      </c>
      <c r="O3561">
        <f>VLOOKUP(K3561,RatingLookup!$A$2:$C$8,3,FALSE)</f>
        <v>0.5</v>
      </c>
      <c r="P3561">
        <f t="shared" si="166"/>
        <v>0.48892050097442008</v>
      </c>
      <c r="Q3561" t="str">
        <f t="shared" ca="1" si="167"/>
        <v>No</v>
      </c>
    </row>
    <row r="3562" spans="1:17" x14ac:dyDescent="0.45">
      <c r="A3562" t="s">
        <v>154</v>
      </c>
      <c r="B3562" t="s">
        <v>155</v>
      </c>
      <c r="C3562" t="s">
        <v>40</v>
      </c>
      <c r="D3562" t="s">
        <v>20</v>
      </c>
      <c r="E3562" t="s">
        <v>21</v>
      </c>
      <c r="F3562" s="1">
        <v>44440</v>
      </c>
      <c r="G3562">
        <v>5.47</v>
      </c>
      <c r="H3562">
        <v>85.540599999999998</v>
      </c>
      <c r="I3562">
        <v>25.32</v>
      </c>
      <c r="J3562">
        <v>65.16</v>
      </c>
      <c r="K3562" t="s">
        <v>30</v>
      </c>
      <c r="L3562">
        <v>826.7</v>
      </c>
      <c r="M3562">
        <f>VLOOKUP(K3562,RatingLookup!$A$2:$C$8,2,FALSE)</f>
        <v>1.4999999999999999E-2</v>
      </c>
      <c r="N3562">
        <f t="shared" si="165"/>
        <v>1.2586770182638762E-3</v>
      </c>
      <c r="O3562">
        <f>VLOOKUP(K3562,RatingLookup!$A$2:$C$8,3,FALSE)</f>
        <v>0.5</v>
      </c>
      <c r="P3562">
        <f t="shared" si="166"/>
        <v>0.52027414549937323</v>
      </c>
      <c r="Q3562" t="str">
        <f t="shared" ca="1" si="167"/>
        <v>No</v>
      </c>
    </row>
    <row r="3563" spans="1:17" x14ac:dyDescent="0.45">
      <c r="A3563" t="s">
        <v>154</v>
      </c>
      <c r="B3563" t="s">
        <v>155</v>
      </c>
      <c r="C3563" t="s">
        <v>40</v>
      </c>
      <c r="D3563" t="s">
        <v>20</v>
      </c>
      <c r="E3563" t="s">
        <v>21</v>
      </c>
      <c r="F3563" s="1">
        <v>44470</v>
      </c>
      <c r="G3563">
        <v>5.49</v>
      </c>
      <c r="H3563">
        <v>81.657799999999995</v>
      </c>
      <c r="I3563">
        <v>22.68</v>
      </c>
      <c r="J3563">
        <v>79.95</v>
      </c>
      <c r="K3563" t="s">
        <v>30</v>
      </c>
      <c r="L3563">
        <v>754.17</v>
      </c>
      <c r="M3563">
        <f>VLOOKUP(K3563,RatingLookup!$A$2:$C$8,2,FALSE)</f>
        <v>1.4999999999999999E-2</v>
      </c>
      <c r="N3563">
        <f t="shared" si="165"/>
        <v>1.2586770182638762E-3</v>
      </c>
      <c r="O3563">
        <f>VLOOKUP(K3563,RatingLookup!$A$2:$C$8,3,FALSE)</f>
        <v>0.5</v>
      </c>
      <c r="P3563">
        <f t="shared" si="166"/>
        <v>0.47462822343203376</v>
      </c>
      <c r="Q3563" t="str">
        <f t="shared" ca="1" si="167"/>
        <v>No</v>
      </c>
    </row>
    <row r="3564" spans="1:17" x14ac:dyDescent="0.45">
      <c r="A3564" t="s">
        <v>154</v>
      </c>
      <c r="B3564" t="s">
        <v>155</v>
      </c>
      <c r="C3564" t="s">
        <v>40</v>
      </c>
      <c r="D3564" t="s">
        <v>20</v>
      </c>
      <c r="E3564" t="s">
        <v>21</v>
      </c>
      <c r="F3564" s="1">
        <v>44501</v>
      </c>
      <c r="G3564">
        <v>5.81</v>
      </c>
      <c r="H3564">
        <v>84.083299999999994</v>
      </c>
      <c r="I3564">
        <v>13.16</v>
      </c>
      <c r="J3564">
        <v>90.57</v>
      </c>
      <c r="K3564" t="s">
        <v>22</v>
      </c>
      <c r="L3564">
        <v>786.41</v>
      </c>
      <c r="M3564">
        <f>VLOOKUP(K3564,RatingLookup!$A$2:$C$8,2,FALSE)</f>
        <v>5.0000000000000001E-3</v>
      </c>
      <c r="N3564">
        <f t="shared" si="165"/>
        <v>4.1762458919303302E-4</v>
      </c>
      <c r="O3564">
        <f>VLOOKUP(K3564,RatingLookup!$A$2:$C$8,3,FALSE)</f>
        <v>0.45</v>
      </c>
      <c r="P3564">
        <f t="shared" si="166"/>
        <v>0.14779086893428189</v>
      </c>
      <c r="Q3564" t="str">
        <f t="shared" ca="1" si="167"/>
        <v>No</v>
      </c>
    </row>
    <row r="3565" spans="1:17" x14ac:dyDescent="0.45">
      <c r="A3565" t="s">
        <v>154</v>
      </c>
      <c r="B3565" t="s">
        <v>155</v>
      </c>
      <c r="C3565" t="s">
        <v>40</v>
      </c>
      <c r="D3565" t="s">
        <v>20</v>
      </c>
      <c r="E3565" t="s">
        <v>21</v>
      </c>
      <c r="F3565" s="1">
        <v>44531</v>
      </c>
      <c r="G3565">
        <v>6.4</v>
      </c>
      <c r="H3565">
        <v>83.960800000000006</v>
      </c>
      <c r="I3565">
        <v>17.350000000000001</v>
      </c>
      <c r="J3565">
        <v>91.36</v>
      </c>
      <c r="K3565" t="s">
        <v>22</v>
      </c>
      <c r="L3565">
        <v>796.53</v>
      </c>
      <c r="M3565">
        <f>VLOOKUP(K3565,RatingLookup!$A$2:$C$8,2,FALSE)</f>
        <v>5.0000000000000001E-3</v>
      </c>
      <c r="N3565">
        <f t="shared" si="165"/>
        <v>4.1762458919303302E-4</v>
      </c>
      <c r="O3565">
        <f>VLOOKUP(K3565,RatingLookup!$A$2:$C$8,3,FALSE)</f>
        <v>0.45</v>
      </c>
      <c r="P3565">
        <f t="shared" si="166"/>
        <v>0.14969273131346697</v>
      </c>
      <c r="Q3565" t="str">
        <f t="shared" ca="1" si="167"/>
        <v>No</v>
      </c>
    </row>
    <row r="3566" spans="1:17" x14ac:dyDescent="0.45">
      <c r="A3566" t="s">
        <v>154</v>
      </c>
      <c r="B3566" t="s">
        <v>155</v>
      </c>
      <c r="C3566" t="s">
        <v>40</v>
      </c>
      <c r="D3566" t="s">
        <v>20</v>
      </c>
      <c r="E3566" t="s">
        <v>21</v>
      </c>
      <c r="F3566" s="1">
        <v>44562</v>
      </c>
      <c r="G3566">
        <v>5.65</v>
      </c>
      <c r="H3566">
        <v>87.130099999999999</v>
      </c>
      <c r="I3566">
        <v>12.39</v>
      </c>
      <c r="J3566">
        <v>71.75</v>
      </c>
      <c r="K3566" t="s">
        <v>30</v>
      </c>
      <c r="L3566">
        <v>879.09</v>
      </c>
      <c r="M3566">
        <f>VLOOKUP(K3566,RatingLookup!$A$2:$C$8,2,FALSE)</f>
        <v>1.4999999999999999E-2</v>
      </c>
      <c r="N3566">
        <f t="shared" si="165"/>
        <v>1.2586770182638762E-3</v>
      </c>
      <c r="O3566">
        <f>VLOOKUP(K3566,RatingLookup!$A$2:$C$8,3,FALSE)</f>
        <v>0.5</v>
      </c>
      <c r="P3566">
        <f t="shared" si="166"/>
        <v>0.55324518999279548</v>
      </c>
      <c r="Q3566" t="str">
        <f t="shared" ca="1" si="167"/>
        <v>No</v>
      </c>
    </row>
    <row r="3567" spans="1:17" x14ac:dyDescent="0.45">
      <c r="A3567" t="s">
        <v>154</v>
      </c>
      <c r="B3567" t="s">
        <v>155</v>
      </c>
      <c r="C3567" t="s">
        <v>40</v>
      </c>
      <c r="D3567" t="s">
        <v>20</v>
      </c>
      <c r="E3567" t="s">
        <v>21</v>
      </c>
      <c r="F3567" s="1">
        <v>44593</v>
      </c>
      <c r="G3567">
        <v>5.37</v>
      </c>
      <c r="H3567">
        <v>80.072500000000005</v>
      </c>
      <c r="I3567">
        <v>19.09</v>
      </c>
      <c r="J3567">
        <v>88.28</v>
      </c>
      <c r="K3567" t="s">
        <v>30</v>
      </c>
      <c r="L3567">
        <v>829.89</v>
      </c>
      <c r="M3567">
        <f>VLOOKUP(K3567,RatingLookup!$A$2:$C$8,2,FALSE)</f>
        <v>1.4999999999999999E-2</v>
      </c>
      <c r="N3567">
        <f t="shared" si="165"/>
        <v>1.2586770182638762E-3</v>
      </c>
      <c r="O3567">
        <f>VLOOKUP(K3567,RatingLookup!$A$2:$C$8,3,FALSE)</f>
        <v>0.5</v>
      </c>
      <c r="P3567">
        <f t="shared" si="166"/>
        <v>0.52228173534350408</v>
      </c>
      <c r="Q3567" t="str">
        <f t="shared" ca="1" si="167"/>
        <v>No</v>
      </c>
    </row>
    <row r="3568" spans="1:17" x14ac:dyDescent="0.45">
      <c r="A3568" t="s">
        <v>154</v>
      </c>
      <c r="B3568" t="s">
        <v>155</v>
      </c>
      <c r="C3568" t="s">
        <v>40</v>
      </c>
      <c r="D3568" t="s">
        <v>20</v>
      </c>
      <c r="E3568" t="s">
        <v>21</v>
      </c>
      <c r="F3568" s="1">
        <v>44621</v>
      </c>
      <c r="G3568">
        <v>4.97</v>
      </c>
      <c r="H3568">
        <v>88.485200000000006</v>
      </c>
      <c r="I3568">
        <v>21.68</v>
      </c>
      <c r="J3568">
        <v>77.180000000000007</v>
      </c>
      <c r="K3568" t="s">
        <v>30</v>
      </c>
      <c r="L3568">
        <v>755.82</v>
      </c>
      <c r="M3568">
        <f>VLOOKUP(K3568,RatingLookup!$A$2:$C$8,2,FALSE)</f>
        <v>1.4999999999999999E-2</v>
      </c>
      <c r="N3568">
        <f t="shared" si="165"/>
        <v>1.2586770182638762E-3</v>
      </c>
      <c r="O3568">
        <f>VLOOKUP(K3568,RatingLookup!$A$2:$C$8,3,FALSE)</f>
        <v>0.5</v>
      </c>
      <c r="P3568">
        <f t="shared" si="166"/>
        <v>0.47566663197210152</v>
      </c>
      <c r="Q3568" t="str">
        <f t="shared" ca="1" si="167"/>
        <v>No</v>
      </c>
    </row>
    <row r="3569" spans="1:17" x14ac:dyDescent="0.45">
      <c r="A3569" t="s">
        <v>154</v>
      </c>
      <c r="B3569" t="s">
        <v>155</v>
      </c>
      <c r="C3569" t="s">
        <v>40</v>
      </c>
      <c r="D3569" t="s">
        <v>20</v>
      </c>
      <c r="E3569" t="s">
        <v>21</v>
      </c>
      <c r="F3569" s="1">
        <v>44652</v>
      </c>
      <c r="G3569">
        <v>5.79</v>
      </c>
      <c r="H3569">
        <v>78.163899999999998</v>
      </c>
      <c r="I3569">
        <v>14.31</v>
      </c>
      <c r="J3569">
        <v>74.38</v>
      </c>
      <c r="K3569" t="s">
        <v>30</v>
      </c>
      <c r="L3569">
        <v>737.23</v>
      </c>
      <c r="M3569">
        <f>VLOOKUP(K3569,RatingLookup!$A$2:$C$8,2,FALSE)</f>
        <v>1.4999999999999999E-2</v>
      </c>
      <c r="N3569">
        <f t="shared" si="165"/>
        <v>1.2586770182638762E-3</v>
      </c>
      <c r="O3569">
        <f>VLOOKUP(K3569,RatingLookup!$A$2:$C$8,3,FALSE)</f>
        <v>0.5</v>
      </c>
      <c r="P3569">
        <f t="shared" si="166"/>
        <v>0.46396722908733873</v>
      </c>
      <c r="Q3569" t="str">
        <f t="shared" ca="1" si="167"/>
        <v>No</v>
      </c>
    </row>
    <row r="3570" spans="1:17" x14ac:dyDescent="0.45">
      <c r="A3570" t="s">
        <v>154</v>
      </c>
      <c r="B3570" t="s">
        <v>155</v>
      </c>
      <c r="C3570" t="s">
        <v>40</v>
      </c>
      <c r="D3570" t="s">
        <v>20</v>
      </c>
      <c r="E3570" t="s">
        <v>21</v>
      </c>
      <c r="F3570" s="1">
        <v>44682</v>
      </c>
      <c r="G3570">
        <v>5.07</v>
      </c>
      <c r="H3570">
        <v>84.668800000000005</v>
      </c>
      <c r="I3570">
        <v>13.07</v>
      </c>
      <c r="J3570">
        <v>64.489999999999995</v>
      </c>
      <c r="K3570" t="s">
        <v>30</v>
      </c>
      <c r="L3570">
        <v>755.84</v>
      </c>
      <c r="M3570">
        <f>VLOOKUP(K3570,RatingLookup!$A$2:$C$8,2,FALSE)</f>
        <v>1.4999999999999999E-2</v>
      </c>
      <c r="N3570">
        <f t="shared" si="165"/>
        <v>1.2586770182638762E-3</v>
      </c>
      <c r="O3570">
        <f>VLOOKUP(K3570,RatingLookup!$A$2:$C$8,3,FALSE)</f>
        <v>0.5</v>
      </c>
      <c r="P3570">
        <f t="shared" si="166"/>
        <v>0.47567921874228414</v>
      </c>
      <c r="Q3570" t="str">
        <f t="shared" ca="1" si="167"/>
        <v>No</v>
      </c>
    </row>
    <row r="3571" spans="1:17" x14ac:dyDescent="0.45">
      <c r="A3571" t="s">
        <v>154</v>
      </c>
      <c r="B3571" t="s">
        <v>155</v>
      </c>
      <c r="C3571" t="s">
        <v>40</v>
      </c>
      <c r="D3571" t="s">
        <v>20</v>
      </c>
      <c r="E3571" t="s">
        <v>21</v>
      </c>
      <c r="F3571" s="1">
        <v>44713</v>
      </c>
      <c r="G3571">
        <v>5</v>
      </c>
      <c r="H3571">
        <v>84.552000000000007</v>
      </c>
      <c r="I3571">
        <v>21.92</v>
      </c>
      <c r="J3571">
        <v>68.75</v>
      </c>
      <c r="K3571" t="s">
        <v>30</v>
      </c>
      <c r="L3571">
        <v>771.51</v>
      </c>
      <c r="M3571">
        <f>VLOOKUP(K3571,RatingLookup!$A$2:$C$8,2,FALSE)</f>
        <v>1.4999999999999999E-2</v>
      </c>
      <c r="N3571">
        <f t="shared" si="165"/>
        <v>1.2586770182638762E-3</v>
      </c>
      <c r="O3571">
        <f>VLOOKUP(K3571,RatingLookup!$A$2:$C$8,3,FALSE)</f>
        <v>0.5</v>
      </c>
      <c r="P3571">
        <f t="shared" si="166"/>
        <v>0.4855409531803816</v>
      </c>
      <c r="Q3571" t="str">
        <f t="shared" ca="1" si="167"/>
        <v>No</v>
      </c>
    </row>
    <row r="3572" spans="1:17" x14ac:dyDescent="0.45">
      <c r="A3572" t="s">
        <v>154</v>
      </c>
      <c r="B3572" t="s">
        <v>155</v>
      </c>
      <c r="C3572" t="s">
        <v>40</v>
      </c>
      <c r="D3572" t="s">
        <v>20</v>
      </c>
      <c r="E3572" t="s">
        <v>21</v>
      </c>
      <c r="F3572" s="1">
        <v>44743</v>
      </c>
      <c r="G3572">
        <v>4.6500000000000004</v>
      </c>
      <c r="H3572">
        <v>85.916300000000007</v>
      </c>
      <c r="I3572">
        <v>32.14</v>
      </c>
      <c r="J3572">
        <v>77.739999999999995</v>
      </c>
      <c r="K3572" t="s">
        <v>30</v>
      </c>
      <c r="L3572">
        <v>787.05</v>
      </c>
      <c r="M3572">
        <f>VLOOKUP(K3572,RatingLookup!$A$2:$C$8,2,FALSE)</f>
        <v>1.4999999999999999E-2</v>
      </c>
      <c r="N3572">
        <f t="shared" si="165"/>
        <v>1.2586770182638762E-3</v>
      </c>
      <c r="O3572">
        <f>VLOOKUP(K3572,RatingLookup!$A$2:$C$8,3,FALSE)</f>
        <v>0.5</v>
      </c>
      <c r="P3572">
        <f t="shared" si="166"/>
        <v>0.49532087361229188</v>
      </c>
      <c r="Q3572" t="str">
        <f t="shared" ca="1" si="167"/>
        <v>No</v>
      </c>
    </row>
    <row r="3573" spans="1:17" x14ac:dyDescent="0.45">
      <c r="A3573" t="s">
        <v>154</v>
      </c>
      <c r="B3573" t="s">
        <v>155</v>
      </c>
      <c r="C3573" t="s">
        <v>40</v>
      </c>
      <c r="D3573" t="s">
        <v>20</v>
      </c>
      <c r="E3573" t="s">
        <v>21</v>
      </c>
      <c r="F3573" s="1">
        <v>44774</v>
      </c>
      <c r="G3573">
        <v>5.24</v>
      </c>
      <c r="H3573">
        <v>81.038200000000003</v>
      </c>
      <c r="I3573">
        <v>23.21</v>
      </c>
      <c r="J3573">
        <v>78.11</v>
      </c>
      <c r="K3573" t="s">
        <v>30</v>
      </c>
      <c r="L3573">
        <v>776.96</v>
      </c>
      <c r="M3573">
        <f>VLOOKUP(K3573,RatingLookup!$A$2:$C$8,2,FALSE)</f>
        <v>1.4999999999999999E-2</v>
      </c>
      <c r="N3573">
        <f t="shared" si="165"/>
        <v>1.2586770182638762E-3</v>
      </c>
      <c r="O3573">
        <f>VLOOKUP(K3573,RatingLookup!$A$2:$C$8,3,FALSE)</f>
        <v>0.5</v>
      </c>
      <c r="P3573">
        <f t="shared" si="166"/>
        <v>0.48897084805515068</v>
      </c>
      <c r="Q3573" t="str">
        <f t="shared" ca="1" si="167"/>
        <v>No</v>
      </c>
    </row>
    <row r="3574" spans="1:17" x14ac:dyDescent="0.45">
      <c r="A3574" t="s">
        <v>154</v>
      </c>
      <c r="B3574" t="s">
        <v>155</v>
      </c>
      <c r="C3574" t="s">
        <v>40</v>
      </c>
      <c r="D3574" t="s">
        <v>20</v>
      </c>
      <c r="E3574" t="s">
        <v>21</v>
      </c>
      <c r="F3574" s="1">
        <v>44805</v>
      </c>
      <c r="G3574">
        <v>5.71</v>
      </c>
      <c r="H3574">
        <v>82.1006</v>
      </c>
      <c r="I3574">
        <v>14.81</v>
      </c>
      <c r="J3574">
        <v>77.91</v>
      </c>
      <c r="K3574" t="s">
        <v>30</v>
      </c>
      <c r="L3574">
        <v>800.76</v>
      </c>
      <c r="M3574">
        <f>VLOOKUP(K3574,RatingLookup!$A$2:$C$8,2,FALSE)</f>
        <v>1.4999999999999999E-2</v>
      </c>
      <c r="N3574">
        <f t="shared" si="165"/>
        <v>1.2586770182638762E-3</v>
      </c>
      <c r="O3574">
        <f>VLOOKUP(K3574,RatingLookup!$A$2:$C$8,3,FALSE)</f>
        <v>0.5</v>
      </c>
      <c r="P3574">
        <f t="shared" si="166"/>
        <v>0.50394910457249076</v>
      </c>
      <c r="Q3574" t="str">
        <f t="shared" ca="1" si="167"/>
        <v>No</v>
      </c>
    </row>
    <row r="3575" spans="1:17" x14ac:dyDescent="0.45">
      <c r="A3575" t="s">
        <v>154</v>
      </c>
      <c r="B3575" t="s">
        <v>155</v>
      </c>
      <c r="C3575" t="s">
        <v>40</v>
      </c>
      <c r="D3575" t="s">
        <v>20</v>
      </c>
      <c r="E3575" t="s">
        <v>21</v>
      </c>
      <c r="F3575" s="1">
        <v>44835</v>
      </c>
      <c r="G3575">
        <v>5.21</v>
      </c>
      <c r="H3575">
        <v>83.176699999999997</v>
      </c>
      <c r="I3575">
        <v>21.06</v>
      </c>
      <c r="J3575">
        <v>81.98</v>
      </c>
      <c r="K3575" t="s">
        <v>30</v>
      </c>
      <c r="L3575">
        <v>857.24</v>
      </c>
      <c r="M3575">
        <f>VLOOKUP(K3575,RatingLookup!$A$2:$C$8,2,FALSE)</f>
        <v>1.4999999999999999E-2</v>
      </c>
      <c r="N3575">
        <f t="shared" si="165"/>
        <v>1.2586770182638762E-3</v>
      </c>
      <c r="O3575">
        <f>VLOOKUP(K3575,RatingLookup!$A$2:$C$8,3,FALSE)</f>
        <v>0.5</v>
      </c>
      <c r="P3575">
        <f t="shared" si="166"/>
        <v>0.53949414356826264</v>
      </c>
      <c r="Q3575" t="str">
        <f t="shared" ca="1" si="167"/>
        <v>No</v>
      </c>
    </row>
    <row r="3576" spans="1:17" x14ac:dyDescent="0.45">
      <c r="A3576" t="s">
        <v>154</v>
      </c>
      <c r="B3576" t="s">
        <v>155</v>
      </c>
      <c r="C3576" t="s">
        <v>40</v>
      </c>
      <c r="D3576" t="s">
        <v>20</v>
      </c>
      <c r="E3576" t="s">
        <v>21</v>
      </c>
      <c r="F3576" s="1">
        <v>44866</v>
      </c>
      <c r="G3576">
        <v>4.7</v>
      </c>
      <c r="H3576">
        <v>85.799599999999998</v>
      </c>
      <c r="I3576">
        <v>21.69</v>
      </c>
      <c r="J3576">
        <v>73.239999999999995</v>
      </c>
      <c r="K3576" t="s">
        <v>30</v>
      </c>
      <c r="L3576">
        <v>712.05</v>
      </c>
      <c r="M3576">
        <f>VLOOKUP(K3576,RatingLookup!$A$2:$C$8,2,FALSE)</f>
        <v>1.4999999999999999E-2</v>
      </c>
      <c r="N3576">
        <f t="shared" si="165"/>
        <v>1.2586770182638762E-3</v>
      </c>
      <c r="O3576">
        <f>VLOOKUP(K3576,RatingLookup!$A$2:$C$8,3,FALSE)</f>
        <v>0.5</v>
      </c>
      <c r="P3576">
        <f t="shared" si="166"/>
        <v>0.44812048542739652</v>
      </c>
      <c r="Q3576" t="str">
        <f t="shared" ca="1" si="167"/>
        <v>No</v>
      </c>
    </row>
    <row r="3577" spans="1:17" x14ac:dyDescent="0.45">
      <c r="A3577" t="s">
        <v>154</v>
      </c>
      <c r="B3577" t="s">
        <v>155</v>
      </c>
      <c r="C3577" t="s">
        <v>40</v>
      </c>
      <c r="D3577" t="s">
        <v>20</v>
      </c>
      <c r="E3577" t="s">
        <v>21</v>
      </c>
      <c r="F3577" s="1">
        <v>44896</v>
      </c>
      <c r="G3577">
        <v>4.5999999999999996</v>
      </c>
      <c r="H3577">
        <v>81.3643</v>
      </c>
      <c r="I3577">
        <v>18.47</v>
      </c>
      <c r="J3577">
        <v>74.13</v>
      </c>
      <c r="K3577" t="s">
        <v>30</v>
      </c>
      <c r="L3577">
        <v>811.61</v>
      </c>
      <c r="M3577">
        <f>VLOOKUP(K3577,RatingLookup!$A$2:$C$8,2,FALSE)</f>
        <v>1.4999999999999999E-2</v>
      </c>
      <c r="N3577">
        <f t="shared" si="165"/>
        <v>1.2586770182638762E-3</v>
      </c>
      <c r="O3577">
        <f>VLOOKUP(K3577,RatingLookup!$A$2:$C$8,3,FALSE)</f>
        <v>0.5</v>
      </c>
      <c r="P3577">
        <f t="shared" si="166"/>
        <v>0.51077742739657228</v>
      </c>
      <c r="Q3577" t="str">
        <f t="shared" ca="1" si="167"/>
        <v>No</v>
      </c>
    </row>
    <row r="3578" spans="1:17" x14ac:dyDescent="0.45">
      <c r="A3578" t="s">
        <v>154</v>
      </c>
      <c r="B3578" t="s">
        <v>155</v>
      </c>
      <c r="C3578" t="s">
        <v>40</v>
      </c>
      <c r="D3578" t="s">
        <v>20</v>
      </c>
      <c r="E3578" t="s">
        <v>21</v>
      </c>
      <c r="F3578" s="1">
        <v>44927</v>
      </c>
      <c r="G3578">
        <v>4.67</v>
      </c>
      <c r="H3578">
        <v>82.06</v>
      </c>
      <c r="I3578">
        <v>21.88</v>
      </c>
      <c r="J3578">
        <v>103.87</v>
      </c>
      <c r="K3578" t="s">
        <v>30</v>
      </c>
      <c r="L3578">
        <v>840.64</v>
      </c>
      <c r="M3578">
        <f>VLOOKUP(K3578,RatingLookup!$A$2:$C$8,2,FALSE)</f>
        <v>1.4999999999999999E-2</v>
      </c>
      <c r="N3578">
        <f t="shared" si="165"/>
        <v>1.2586770182638762E-3</v>
      </c>
      <c r="O3578">
        <f>VLOOKUP(K3578,RatingLookup!$A$2:$C$8,3,FALSE)</f>
        <v>0.5</v>
      </c>
      <c r="P3578">
        <f t="shared" si="166"/>
        <v>0.52904712431667245</v>
      </c>
      <c r="Q3578" t="str">
        <f t="shared" ca="1" si="167"/>
        <v>No</v>
      </c>
    </row>
    <row r="3579" spans="1:17" x14ac:dyDescent="0.45">
      <c r="A3579" t="s">
        <v>154</v>
      </c>
      <c r="B3579" t="s">
        <v>155</v>
      </c>
      <c r="C3579" t="s">
        <v>40</v>
      </c>
      <c r="D3579" t="s">
        <v>20</v>
      </c>
      <c r="E3579" t="s">
        <v>21</v>
      </c>
      <c r="F3579" s="1">
        <v>44958</v>
      </c>
      <c r="G3579">
        <v>5.39</v>
      </c>
      <c r="H3579">
        <v>80.644800000000004</v>
      </c>
      <c r="I3579">
        <v>19.61</v>
      </c>
      <c r="J3579">
        <v>81.87</v>
      </c>
      <c r="K3579" t="s">
        <v>30</v>
      </c>
      <c r="L3579">
        <v>799.18</v>
      </c>
      <c r="M3579">
        <f>VLOOKUP(K3579,RatingLookup!$A$2:$C$8,2,FALSE)</f>
        <v>1.4999999999999999E-2</v>
      </c>
      <c r="N3579">
        <f t="shared" si="165"/>
        <v>1.2586770182638762E-3</v>
      </c>
      <c r="O3579">
        <f>VLOOKUP(K3579,RatingLookup!$A$2:$C$8,3,FALSE)</f>
        <v>0.5</v>
      </c>
      <c r="P3579">
        <f t="shared" si="166"/>
        <v>0.50295474972806231</v>
      </c>
      <c r="Q3579" t="str">
        <f t="shared" ca="1" si="167"/>
        <v>No</v>
      </c>
    </row>
    <row r="3580" spans="1:17" x14ac:dyDescent="0.45">
      <c r="A3580" t="s">
        <v>154</v>
      </c>
      <c r="B3580" t="s">
        <v>155</v>
      </c>
      <c r="C3580" t="s">
        <v>40</v>
      </c>
      <c r="D3580" t="s">
        <v>20</v>
      </c>
      <c r="E3580" t="s">
        <v>21</v>
      </c>
      <c r="F3580" s="1">
        <v>44986</v>
      </c>
      <c r="G3580">
        <v>5.15</v>
      </c>
      <c r="H3580">
        <v>79.87</v>
      </c>
      <c r="I3580">
        <v>26.8</v>
      </c>
      <c r="J3580">
        <v>71.5</v>
      </c>
      <c r="K3580" t="s">
        <v>22</v>
      </c>
      <c r="L3580">
        <v>856.19</v>
      </c>
      <c r="M3580">
        <f>VLOOKUP(K3580,RatingLookup!$A$2:$C$8,2,FALSE)</f>
        <v>5.0000000000000001E-3</v>
      </c>
      <c r="N3580">
        <f t="shared" si="165"/>
        <v>4.1762458919303302E-4</v>
      </c>
      <c r="O3580">
        <f>VLOOKUP(K3580,RatingLookup!$A$2:$C$8,3,FALSE)</f>
        <v>0.45</v>
      </c>
      <c r="P3580">
        <f t="shared" si="166"/>
        <v>0.16090469865953233</v>
      </c>
      <c r="Q3580" t="str">
        <f t="shared" ca="1" si="167"/>
        <v>No</v>
      </c>
    </row>
    <row r="3581" spans="1:17" x14ac:dyDescent="0.45">
      <c r="A3581" t="s">
        <v>154</v>
      </c>
      <c r="B3581" t="s">
        <v>155</v>
      </c>
      <c r="C3581" t="s">
        <v>40</v>
      </c>
      <c r="D3581" t="s">
        <v>20</v>
      </c>
      <c r="E3581" t="s">
        <v>21</v>
      </c>
      <c r="F3581" s="1">
        <v>45017</v>
      </c>
      <c r="G3581">
        <v>6.79</v>
      </c>
      <c r="H3581">
        <v>82.284499999999994</v>
      </c>
      <c r="I3581">
        <v>24.26</v>
      </c>
      <c r="J3581">
        <v>78.67</v>
      </c>
      <c r="K3581" t="s">
        <v>22</v>
      </c>
      <c r="L3581">
        <v>868.75</v>
      </c>
      <c r="M3581">
        <f>VLOOKUP(K3581,RatingLookup!$A$2:$C$8,2,FALSE)</f>
        <v>5.0000000000000001E-3</v>
      </c>
      <c r="N3581">
        <f t="shared" si="165"/>
        <v>4.1762458919303302E-4</v>
      </c>
      <c r="O3581">
        <f>VLOOKUP(K3581,RatingLookup!$A$2:$C$8,3,FALSE)</f>
        <v>0.45</v>
      </c>
      <c r="P3581">
        <f t="shared" si="166"/>
        <v>0.16326511283765135</v>
      </c>
      <c r="Q3581" t="str">
        <f t="shared" ca="1" si="167"/>
        <v>No</v>
      </c>
    </row>
    <row r="3582" spans="1:17" x14ac:dyDescent="0.45">
      <c r="A3582" t="s">
        <v>154</v>
      </c>
      <c r="B3582" t="s">
        <v>155</v>
      </c>
      <c r="C3582" t="s">
        <v>40</v>
      </c>
      <c r="D3582" t="s">
        <v>20</v>
      </c>
      <c r="E3582" t="s">
        <v>21</v>
      </c>
      <c r="F3582" s="1">
        <v>45047</v>
      </c>
      <c r="G3582">
        <v>5.53</v>
      </c>
      <c r="H3582">
        <v>81.564599999999999</v>
      </c>
      <c r="I3582">
        <v>18.79</v>
      </c>
      <c r="J3582">
        <v>81.93</v>
      </c>
      <c r="K3582" t="s">
        <v>22</v>
      </c>
      <c r="L3582">
        <v>800.19</v>
      </c>
      <c r="M3582">
        <f>VLOOKUP(K3582,RatingLookup!$A$2:$C$8,2,FALSE)</f>
        <v>5.0000000000000001E-3</v>
      </c>
      <c r="N3582">
        <f t="shared" si="165"/>
        <v>4.1762458919303302E-4</v>
      </c>
      <c r="O3582">
        <f>VLOOKUP(K3582,RatingLookup!$A$2:$C$8,3,FALSE)</f>
        <v>0.45</v>
      </c>
      <c r="P3582">
        <f t="shared" si="166"/>
        <v>0.15038055901186792</v>
      </c>
      <c r="Q3582" t="str">
        <f t="shared" ca="1" si="167"/>
        <v>No</v>
      </c>
    </row>
    <row r="3583" spans="1:17" x14ac:dyDescent="0.45">
      <c r="A3583" t="s">
        <v>154</v>
      </c>
      <c r="B3583" t="s">
        <v>155</v>
      </c>
      <c r="C3583" t="s">
        <v>40</v>
      </c>
      <c r="D3583" t="s">
        <v>20</v>
      </c>
      <c r="E3583" t="s">
        <v>21</v>
      </c>
      <c r="F3583" s="1">
        <v>45078</v>
      </c>
      <c r="G3583">
        <v>5.68</v>
      </c>
      <c r="H3583">
        <v>81.483999999999995</v>
      </c>
      <c r="I3583">
        <v>5</v>
      </c>
      <c r="J3583">
        <v>91.24</v>
      </c>
      <c r="K3583" t="s">
        <v>22</v>
      </c>
      <c r="L3583">
        <v>807.21</v>
      </c>
      <c r="M3583">
        <f>VLOOKUP(K3583,RatingLookup!$A$2:$C$8,2,FALSE)</f>
        <v>5.0000000000000001E-3</v>
      </c>
      <c r="N3583">
        <f t="shared" si="165"/>
        <v>4.1762458919303302E-4</v>
      </c>
      <c r="O3583">
        <f>VLOOKUP(K3583,RatingLookup!$A$2:$C$8,3,FALSE)</f>
        <v>0.45</v>
      </c>
      <c r="P3583">
        <f t="shared" si="166"/>
        <v>0.15169983508912868</v>
      </c>
      <c r="Q3583" t="str">
        <f t="shared" ca="1" si="167"/>
        <v>No</v>
      </c>
    </row>
    <row r="3584" spans="1:17" x14ac:dyDescent="0.45">
      <c r="A3584" t="s">
        <v>154</v>
      </c>
      <c r="B3584" t="s">
        <v>155</v>
      </c>
      <c r="C3584" t="s">
        <v>40</v>
      </c>
      <c r="D3584" t="s">
        <v>20</v>
      </c>
      <c r="E3584" t="s">
        <v>21</v>
      </c>
      <c r="F3584" s="1">
        <v>45108</v>
      </c>
      <c r="G3584">
        <v>5.83</v>
      </c>
      <c r="H3584">
        <v>84.734499999999997</v>
      </c>
      <c r="I3584">
        <v>24.89</v>
      </c>
      <c r="J3584">
        <v>86.76</v>
      </c>
      <c r="K3584" t="s">
        <v>22</v>
      </c>
      <c r="L3584">
        <v>695.53</v>
      </c>
      <c r="M3584">
        <f>VLOOKUP(K3584,RatingLookup!$A$2:$C$8,2,FALSE)</f>
        <v>5.0000000000000001E-3</v>
      </c>
      <c r="N3584">
        <f t="shared" si="165"/>
        <v>4.1762458919303302E-4</v>
      </c>
      <c r="O3584">
        <f>VLOOKUP(K3584,RatingLookup!$A$2:$C$8,3,FALSE)</f>
        <v>0.45</v>
      </c>
      <c r="P3584">
        <f t="shared" si="166"/>
        <v>0.13071169373464361</v>
      </c>
      <c r="Q3584" t="str">
        <f t="shared" ca="1" si="167"/>
        <v>No</v>
      </c>
    </row>
    <row r="3585" spans="1:17" x14ac:dyDescent="0.45">
      <c r="A3585" t="s">
        <v>154</v>
      </c>
      <c r="B3585" t="s">
        <v>155</v>
      </c>
      <c r="C3585" t="s">
        <v>40</v>
      </c>
      <c r="D3585" t="s">
        <v>20</v>
      </c>
      <c r="E3585" t="s">
        <v>21</v>
      </c>
      <c r="F3585" s="1">
        <v>45139</v>
      </c>
      <c r="G3585">
        <v>5.74</v>
      </c>
      <c r="H3585">
        <v>84.058800000000005</v>
      </c>
      <c r="I3585">
        <v>18.98</v>
      </c>
      <c r="J3585">
        <v>73.62</v>
      </c>
      <c r="K3585" t="s">
        <v>22</v>
      </c>
      <c r="L3585">
        <v>865.9</v>
      </c>
      <c r="M3585">
        <f>VLOOKUP(K3585,RatingLookup!$A$2:$C$8,2,FALSE)</f>
        <v>5.0000000000000001E-3</v>
      </c>
      <c r="N3585">
        <f t="shared" si="165"/>
        <v>4.1762458919303302E-4</v>
      </c>
      <c r="O3585">
        <f>VLOOKUP(K3585,RatingLookup!$A$2:$C$8,3,FALSE)</f>
        <v>0.45</v>
      </c>
      <c r="P3585">
        <f t="shared" si="166"/>
        <v>0.1627295093020113</v>
      </c>
      <c r="Q3585" t="str">
        <f t="shared" ca="1" si="167"/>
        <v>No</v>
      </c>
    </row>
    <row r="3586" spans="1:17" x14ac:dyDescent="0.45">
      <c r="A3586" t="s">
        <v>154</v>
      </c>
      <c r="B3586" t="s">
        <v>155</v>
      </c>
      <c r="C3586" t="s">
        <v>40</v>
      </c>
      <c r="D3586" t="s">
        <v>20</v>
      </c>
      <c r="E3586" t="s">
        <v>21</v>
      </c>
      <c r="F3586" s="1">
        <v>45170</v>
      </c>
      <c r="G3586">
        <v>6.89</v>
      </c>
      <c r="H3586">
        <v>78.717699999999994</v>
      </c>
      <c r="I3586">
        <v>22.46</v>
      </c>
      <c r="J3586">
        <v>76.64</v>
      </c>
      <c r="K3586" t="s">
        <v>22</v>
      </c>
      <c r="L3586">
        <v>841.97</v>
      </c>
      <c r="M3586">
        <f>VLOOKUP(K3586,RatingLookup!$A$2:$C$8,2,FALSE)</f>
        <v>5.0000000000000001E-3</v>
      </c>
      <c r="N3586">
        <f t="shared" ref="N3586:N3649" si="168">1-(1-M3586)^(1/12)</f>
        <v>4.1762458919303302E-4</v>
      </c>
      <c r="O3586">
        <f>VLOOKUP(K3586,RatingLookup!$A$2:$C$8,3,FALSE)</f>
        <v>0.45</v>
      </c>
      <c r="P3586">
        <f t="shared" ref="P3586:P3649" si="169">L3586*N3586*O3586</f>
        <v>0.15823231891328612</v>
      </c>
      <c r="Q3586" t="str">
        <f t="shared" ref="Q3586:Q3649" ca="1" si="170">IF(RAND()&lt;N3586,"Yes","No")</f>
        <v>No</v>
      </c>
    </row>
    <row r="3587" spans="1:17" x14ac:dyDescent="0.45">
      <c r="A3587" t="s">
        <v>154</v>
      </c>
      <c r="B3587" t="s">
        <v>155</v>
      </c>
      <c r="C3587" t="s">
        <v>40</v>
      </c>
      <c r="D3587" t="s">
        <v>20</v>
      </c>
      <c r="E3587" t="s">
        <v>21</v>
      </c>
      <c r="F3587" s="1">
        <v>45200</v>
      </c>
      <c r="G3587">
        <v>6.06</v>
      </c>
      <c r="H3587">
        <v>80.495800000000003</v>
      </c>
      <c r="I3587">
        <v>14.05</v>
      </c>
      <c r="J3587">
        <v>87.5</v>
      </c>
      <c r="K3587" t="s">
        <v>30</v>
      </c>
      <c r="L3587">
        <v>843.28</v>
      </c>
      <c r="M3587">
        <f>VLOOKUP(K3587,RatingLookup!$A$2:$C$8,2,FALSE)</f>
        <v>1.4999999999999999E-2</v>
      </c>
      <c r="N3587">
        <f t="shared" si="168"/>
        <v>1.2586770182638762E-3</v>
      </c>
      <c r="O3587">
        <f>VLOOKUP(K3587,RatingLookup!$A$2:$C$8,3,FALSE)</f>
        <v>0.5</v>
      </c>
      <c r="P3587">
        <f t="shared" si="169"/>
        <v>0.53070857798078075</v>
      </c>
      <c r="Q3587" t="str">
        <f t="shared" ca="1" si="170"/>
        <v>No</v>
      </c>
    </row>
    <row r="3588" spans="1:17" x14ac:dyDescent="0.45">
      <c r="A3588" t="s">
        <v>154</v>
      </c>
      <c r="B3588" t="s">
        <v>155</v>
      </c>
      <c r="C3588" t="s">
        <v>40</v>
      </c>
      <c r="D3588" t="s">
        <v>20</v>
      </c>
      <c r="E3588" t="s">
        <v>21</v>
      </c>
      <c r="F3588" s="1">
        <v>45231</v>
      </c>
      <c r="G3588">
        <v>5.3</v>
      </c>
      <c r="H3588">
        <v>82.642399999999995</v>
      </c>
      <c r="I3588">
        <v>22.06</v>
      </c>
      <c r="J3588">
        <v>64.319999999999993</v>
      </c>
      <c r="K3588" t="s">
        <v>30</v>
      </c>
      <c r="L3588">
        <v>840.68</v>
      </c>
      <c r="M3588">
        <f>VLOOKUP(K3588,RatingLookup!$A$2:$C$8,2,FALSE)</f>
        <v>1.4999999999999999E-2</v>
      </c>
      <c r="N3588">
        <f t="shared" si="168"/>
        <v>1.2586770182638762E-3</v>
      </c>
      <c r="O3588">
        <f>VLOOKUP(K3588,RatingLookup!$A$2:$C$8,3,FALSE)</f>
        <v>0.5</v>
      </c>
      <c r="P3588">
        <f t="shared" si="169"/>
        <v>0.52907229785703769</v>
      </c>
      <c r="Q3588" t="str">
        <f t="shared" ca="1" si="170"/>
        <v>No</v>
      </c>
    </row>
    <row r="3589" spans="1:17" x14ac:dyDescent="0.45">
      <c r="A3589" t="s">
        <v>154</v>
      </c>
      <c r="B3589" t="s">
        <v>155</v>
      </c>
      <c r="C3589" t="s">
        <v>40</v>
      </c>
      <c r="D3589" t="s">
        <v>20</v>
      </c>
      <c r="E3589" t="s">
        <v>21</v>
      </c>
      <c r="F3589" s="1">
        <v>45261</v>
      </c>
      <c r="G3589">
        <v>5.88</v>
      </c>
      <c r="H3589">
        <v>80.914900000000003</v>
      </c>
      <c r="I3589">
        <v>17.66</v>
      </c>
      <c r="J3589">
        <v>59.88</v>
      </c>
      <c r="K3589" t="s">
        <v>30</v>
      </c>
      <c r="L3589">
        <v>857.48</v>
      </c>
      <c r="M3589">
        <f>VLOOKUP(K3589,RatingLookup!$A$2:$C$8,2,FALSE)</f>
        <v>1.4999999999999999E-2</v>
      </c>
      <c r="N3589">
        <f t="shared" si="168"/>
        <v>1.2586770182638762E-3</v>
      </c>
      <c r="O3589">
        <f>VLOOKUP(K3589,RatingLookup!$A$2:$C$8,3,FALSE)</f>
        <v>0.5</v>
      </c>
      <c r="P3589">
        <f t="shared" si="169"/>
        <v>0.53964518481045431</v>
      </c>
      <c r="Q3589" t="str">
        <f t="shared" ca="1" si="170"/>
        <v>No</v>
      </c>
    </row>
    <row r="3590" spans="1:17" x14ac:dyDescent="0.45">
      <c r="A3590" t="s">
        <v>154</v>
      </c>
      <c r="B3590" t="s">
        <v>155</v>
      </c>
      <c r="C3590" t="s">
        <v>40</v>
      </c>
      <c r="D3590" t="s">
        <v>20</v>
      </c>
      <c r="E3590" t="s">
        <v>21</v>
      </c>
      <c r="F3590" s="1">
        <v>45292</v>
      </c>
      <c r="G3590">
        <v>4.8600000000000003</v>
      </c>
      <c r="H3590">
        <v>81.873500000000007</v>
      </c>
      <c r="I3590">
        <v>24.06</v>
      </c>
      <c r="J3590">
        <v>84.85</v>
      </c>
      <c r="K3590" t="s">
        <v>30</v>
      </c>
      <c r="L3590">
        <v>786.7</v>
      </c>
      <c r="M3590">
        <f>VLOOKUP(K3590,RatingLookup!$A$2:$C$8,2,FALSE)</f>
        <v>1.4999999999999999E-2</v>
      </c>
      <c r="N3590">
        <f t="shared" si="168"/>
        <v>1.2586770182638762E-3</v>
      </c>
      <c r="O3590">
        <f>VLOOKUP(K3590,RatingLookup!$A$2:$C$8,3,FALSE)</f>
        <v>0.5</v>
      </c>
      <c r="P3590">
        <f t="shared" si="169"/>
        <v>0.49510060513409576</v>
      </c>
      <c r="Q3590" t="str">
        <f t="shared" ca="1" si="170"/>
        <v>No</v>
      </c>
    </row>
    <row r="3591" spans="1:17" x14ac:dyDescent="0.45">
      <c r="A3591" t="s">
        <v>154</v>
      </c>
      <c r="B3591" t="s">
        <v>155</v>
      </c>
      <c r="C3591" t="s">
        <v>40</v>
      </c>
      <c r="D3591" t="s">
        <v>20</v>
      </c>
      <c r="E3591" t="s">
        <v>21</v>
      </c>
      <c r="F3591" s="1">
        <v>45323</v>
      </c>
      <c r="G3591">
        <v>5.14</v>
      </c>
      <c r="H3591">
        <v>81.678899999999999</v>
      </c>
      <c r="I3591">
        <v>23.13</v>
      </c>
      <c r="J3591">
        <v>67.63</v>
      </c>
      <c r="K3591" t="s">
        <v>30</v>
      </c>
      <c r="L3591">
        <v>815.04</v>
      </c>
      <c r="M3591">
        <f>VLOOKUP(K3591,RatingLookup!$A$2:$C$8,2,FALSE)</f>
        <v>1.4999999999999999E-2</v>
      </c>
      <c r="N3591">
        <f t="shared" si="168"/>
        <v>1.2586770182638762E-3</v>
      </c>
      <c r="O3591">
        <f>VLOOKUP(K3591,RatingLookup!$A$2:$C$8,3,FALSE)</f>
        <v>0.5</v>
      </c>
      <c r="P3591">
        <f t="shared" si="169"/>
        <v>0.51293605848289481</v>
      </c>
      <c r="Q3591" t="str">
        <f t="shared" ca="1" si="170"/>
        <v>No</v>
      </c>
    </row>
    <row r="3592" spans="1:17" x14ac:dyDescent="0.45">
      <c r="A3592" t="s">
        <v>154</v>
      </c>
      <c r="B3592" t="s">
        <v>155</v>
      </c>
      <c r="C3592" t="s">
        <v>40</v>
      </c>
      <c r="D3592" t="s">
        <v>20</v>
      </c>
      <c r="E3592" t="s">
        <v>21</v>
      </c>
      <c r="F3592" s="1">
        <v>45352</v>
      </c>
      <c r="G3592">
        <v>5.66</v>
      </c>
      <c r="H3592">
        <v>84.536500000000004</v>
      </c>
      <c r="I3592">
        <v>23.71</v>
      </c>
      <c r="J3592">
        <v>76.56</v>
      </c>
      <c r="K3592" t="s">
        <v>30</v>
      </c>
      <c r="L3592">
        <v>815.81</v>
      </c>
      <c r="M3592">
        <f>VLOOKUP(K3592,RatingLookup!$A$2:$C$8,2,FALSE)</f>
        <v>1.4999999999999999E-2</v>
      </c>
      <c r="N3592">
        <f t="shared" si="168"/>
        <v>1.2586770182638762E-3</v>
      </c>
      <c r="O3592">
        <f>VLOOKUP(K3592,RatingLookup!$A$2:$C$8,3,FALSE)</f>
        <v>0.5</v>
      </c>
      <c r="P3592">
        <f t="shared" si="169"/>
        <v>0.51342064913492635</v>
      </c>
      <c r="Q3592" t="str">
        <f t="shared" ca="1" si="170"/>
        <v>No</v>
      </c>
    </row>
    <row r="3593" spans="1:17" x14ac:dyDescent="0.45">
      <c r="A3593" t="s">
        <v>154</v>
      </c>
      <c r="B3593" t="s">
        <v>155</v>
      </c>
      <c r="C3593" t="s">
        <v>40</v>
      </c>
      <c r="D3593" t="s">
        <v>20</v>
      </c>
      <c r="E3593" t="s">
        <v>21</v>
      </c>
      <c r="F3593" s="1">
        <v>45383</v>
      </c>
      <c r="G3593">
        <v>5.71</v>
      </c>
      <c r="H3593">
        <v>84.144199999999998</v>
      </c>
      <c r="I3593">
        <v>14.08</v>
      </c>
      <c r="J3593">
        <v>98.84</v>
      </c>
      <c r="K3593" t="s">
        <v>30</v>
      </c>
      <c r="L3593">
        <v>823.31</v>
      </c>
      <c r="M3593">
        <f>VLOOKUP(K3593,RatingLookup!$A$2:$C$8,2,FALSE)</f>
        <v>1.4999999999999999E-2</v>
      </c>
      <c r="N3593">
        <f t="shared" si="168"/>
        <v>1.2586770182638762E-3</v>
      </c>
      <c r="O3593">
        <f>VLOOKUP(K3593,RatingLookup!$A$2:$C$8,3,FALSE)</f>
        <v>0.5</v>
      </c>
      <c r="P3593">
        <f t="shared" si="169"/>
        <v>0.51814068795341595</v>
      </c>
      <c r="Q3593" t="str">
        <f t="shared" ca="1" si="170"/>
        <v>No</v>
      </c>
    </row>
    <row r="3594" spans="1:17" x14ac:dyDescent="0.45">
      <c r="A3594" t="s">
        <v>154</v>
      </c>
      <c r="B3594" t="s">
        <v>155</v>
      </c>
      <c r="C3594" t="s">
        <v>40</v>
      </c>
      <c r="D3594" t="s">
        <v>20</v>
      </c>
      <c r="E3594" t="s">
        <v>21</v>
      </c>
      <c r="F3594" s="1">
        <v>45413</v>
      </c>
      <c r="G3594">
        <v>5.66</v>
      </c>
      <c r="H3594">
        <v>83.695800000000006</v>
      </c>
      <c r="I3594">
        <v>24.6</v>
      </c>
      <c r="J3594">
        <v>78.12</v>
      </c>
      <c r="K3594" t="s">
        <v>30</v>
      </c>
      <c r="L3594">
        <v>856.9</v>
      </c>
      <c r="M3594">
        <f>VLOOKUP(K3594,RatingLookup!$A$2:$C$8,2,FALSE)</f>
        <v>1.4999999999999999E-2</v>
      </c>
      <c r="N3594">
        <f t="shared" si="168"/>
        <v>1.2586770182638762E-3</v>
      </c>
      <c r="O3594">
        <f>VLOOKUP(K3594,RatingLookup!$A$2:$C$8,3,FALSE)</f>
        <v>0.5</v>
      </c>
      <c r="P3594">
        <f t="shared" si="169"/>
        <v>0.53928016847515781</v>
      </c>
      <c r="Q3594" t="str">
        <f t="shared" ca="1" si="170"/>
        <v>No</v>
      </c>
    </row>
    <row r="3595" spans="1:17" x14ac:dyDescent="0.45">
      <c r="A3595" t="s">
        <v>154</v>
      </c>
      <c r="B3595" t="s">
        <v>155</v>
      </c>
      <c r="C3595" t="s">
        <v>40</v>
      </c>
      <c r="D3595" t="s">
        <v>20</v>
      </c>
      <c r="E3595" t="s">
        <v>21</v>
      </c>
      <c r="F3595" s="1">
        <v>45444</v>
      </c>
      <c r="G3595">
        <v>5.8</v>
      </c>
      <c r="H3595">
        <v>85.999499999999998</v>
      </c>
      <c r="I3595">
        <v>16.079999999999998</v>
      </c>
      <c r="J3595">
        <v>81.14</v>
      </c>
      <c r="K3595" t="s">
        <v>30</v>
      </c>
      <c r="L3595">
        <v>790.9</v>
      </c>
      <c r="M3595">
        <f>VLOOKUP(K3595,RatingLookup!$A$2:$C$8,2,FALSE)</f>
        <v>1.4999999999999999E-2</v>
      </c>
      <c r="N3595">
        <f t="shared" si="168"/>
        <v>1.2586770182638762E-3</v>
      </c>
      <c r="O3595">
        <f>VLOOKUP(K3595,RatingLookup!$A$2:$C$8,3,FALSE)</f>
        <v>0.5</v>
      </c>
      <c r="P3595">
        <f t="shared" si="169"/>
        <v>0.49774382687244983</v>
      </c>
      <c r="Q3595" t="str">
        <f t="shared" ca="1" si="170"/>
        <v>No</v>
      </c>
    </row>
    <row r="3596" spans="1:17" x14ac:dyDescent="0.45">
      <c r="A3596" t="s">
        <v>154</v>
      </c>
      <c r="B3596" t="s">
        <v>155</v>
      </c>
      <c r="C3596" t="s">
        <v>40</v>
      </c>
      <c r="D3596" t="s">
        <v>20</v>
      </c>
      <c r="E3596" t="s">
        <v>21</v>
      </c>
      <c r="F3596" s="1">
        <v>45474</v>
      </c>
      <c r="G3596">
        <v>6.17</v>
      </c>
      <c r="H3596">
        <v>81.231899999999996</v>
      </c>
      <c r="I3596">
        <v>21.07</v>
      </c>
      <c r="J3596">
        <v>75.86</v>
      </c>
      <c r="K3596" t="s">
        <v>30</v>
      </c>
      <c r="L3596">
        <v>875.13</v>
      </c>
      <c r="M3596">
        <f>VLOOKUP(K3596,RatingLookup!$A$2:$C$8,2,FALSE)</f>
        <v>1.4999999999999999E-2</v>
      </c>
      <c r="N3596">
        <f t="shared" si="168"/>
        <v>1.2586770182638762E-3</v>
      </c>
      <c r="O3596">
        <f>VLOOKUP(K3596,RatingLookup!$A$2:$C$8,3,FALSE)</f>
        <v>0.5</v>
      </c>
      <c r="P3596">
        <f t="shared" si="169"/>
        <v>0.55075300949663297</v>
      </c>
      <c r="Q3596" t="str">
        <f t="shared" ca="1" si="170"/>
        <v>No</v>
      </c>
    </row>
    <row r="3597" spans="1:17" x14ac:dyDescent="0.45">
      <c r="A3597" t="s">
        <v>154</v>
      </c>
      <c r="B3597" t="s">
        <v>155</v>
      </c>
      <c r="C3597" t="s">
        <v>40</v>
      </c>
      <c r="D3597" t="s">
        <v>20</v>
      </c>
      <c r="E3597" t="s">
        <v>21</v>
      </c>
      <c r="F3597" s="1">
        <v>45505</v>
      </c>
      <c r="G3597">
        <v>5.46</v>
      </c>
      <c r="H3597">
        <v>81.522000000000006</v>
      </c>
      <c r="I3597">
        <v>22.74</v>
      </c>
      <c r="J3597">
        <v>93.41</v>
      </c>
      <c r="K3597" t="s">
        <v>30</v>
      </c>
      <c r="L3597">
        <v>849.81</v>
      </c>
      <c r="M3597">
        <f>VLOOKUP(K3597,RatingLookup!$A$2:$C$8,2,FALSE)</f>
        <v>1.4999999999999999E-2</v>
      </c>
      <c r="N3597">
        <f t="shared" si="168"/>
        <v>1.2586770182638762E-3</v>
      </c>
      <c r="O3597">
        <f>VLOOKUP(K3597,RatingLookup!$A$2:$C$8,3,FALSE)</f>
        <v>0.5</v>
      </c>
      <c r="P3597">
        <f t="shared" si="169"/>
        <v>0.53481815844541225</v>
      </c>
      <c r="Q3597" t="str">
        <f t="shared" ca="1" si="170"/>
        <v>No</v>
      </c>
    </row>
    <row r="3598" spans="1:17" x14ac:dyDescent="0.45">
      <c r="A3598" t="s">
        <v>154</v>
      </c>
      <c r="B3598" t="s">
        <v>155</v>
      </c>
      <c r="C3598" t="s">
        <v>40</v>
      </c>
      <c r="D3598" t="s">
        <v>20</v>
      </c>
      <c r="E3598" t="s">
        <v>21</v>
      </c>
      <c r="F3598" s="1">
        <v>45536</v>
      </c>
      <c r="G3598">
        <v>5.51</v>
      </c>
      <c r="H3598">
        <v>82.317499999999995</v>
      </c>
      <c r="I3598">
        <v>30.02</v>
      </c>
      <c r="J3598">
        <v>88.67</v>
      </c>
      <c r="K3598" t="s">
        <v>30</v>
      </c>
      <c r="L3598">
        <v>807.8</v>
      </c>
      <c r="M3598">
        <f>VLOOKUP(K3598,RatingLookup!$A$2:$C$8,2,FALSE)</f>
        <v>1.4999999999999999E-2</v>
      </c>
      <c r="N3598">
        <f t="shared" si="168"/>
        <v>1.2586770182638762E-3</v>
      </c>
      <c r="O3598">
        <f>VLOOKUP(K3598,RatingLookup!$A$2:$C$8,3,FALSE)</f>
        <v>0.5</v>
      </c>
      <c r="P3598">
        <f t="shared" si="169"/>
        <v>0.50837964767677957</v>
      </c>
      <c r="Q3598" t="str">
        <f t="shared" ca="1" si="170"/>
        <v>No</v>
      </c>
    </row>
    <row r="3599" spans="1:17" x14ac:dyDescent="0.45">
      <c r="A3599" t="s">
        <v>154</v>
      </c>
      <c r="B3599" t="s">
        <v>155</v>
      </c>
      <c r="C3599" t="s">
        <v>40</v>
      </c>
      <c r="D3599" t="s">
        <v>20</v>
      </c>
      <c r="E3599" t="s">
        <v>21</v>
      </c>
      <c r="F3599" s="1">
        <v>45566</v>
      </c>
      <c r="G3599">
        <v>5.0999999999999996</v>
      </c>
      <c r="H3599">
        <v>79.3446</v>
      </c>
      <c r="I3599">
        <v>16.07</v>
      </c>
      <c r="J3599">
        <v>83.68</v>
      </c>
      <c r="K3599" t="s">
        <v>30</v>
      </c>
      <c r="L3599">
        <v>831.19</v>
      </c>
      <c r="M3599">
        <f>VLOOKUP(K3599,RatingLookup!$A$2:$C$8,2,FALSE)</f>
        <v>1.4999999999999999E-2</v>
      </c>
      <c r="N3599">
        <f t="shared" si="168"/>
        <v>1.2586770182638762E-3</v>
      </c>
      <c r="O3599">
        <f>VLOOKUP(K3599,RatingLookup!$A$2:$C$8,3,FALSE)</f>
        <v>0.5</v>
      </c>
      <c r="P3599">
        <f t="shared" si="169"/>
        <v>0.52309987540537572</v>
      </c>
      <c r="Q3599" t="str">
        <f t="shared" ca="1" si="170"/>
        <v>No</v>
      </c>
    </row>
    <row r="3600" spans="1:17" x14ac:dyDescent="0.45">
      <c r="A3600" t="s">
        <v>154</v>
      </c>
      <c r="B3600" t="s">
        <v>155</v>
      </c>
      <c r="C3600" t="s">
        <v>40</v>
      </c>
      <c r="D3600" t="s">
        <v>20</v>
      </c>
      <c r="E3600" t="s">
        <v>21</v>
      </c>
      <c r="F3600" s="1">
        <v>45597</v>
      </c>
      <c r="G3600">
        <v>5.91</v>
      </c>
      <c r="H3600">
        <v>82.618799999999993</v>
      </c>
      <c r="I3600">
        <v>15.97</v>
      </c>
      <c r="J3600">
        <v>89.45</v>
      </c>
      <c r="K3600" t="s">
        <v>30</v>
      </c>
      <c r="L3600">
        <v>824.62</v>
      </c>
      <c r="M3600">
        <f>VLOOKUP(K3600,RatingLookup!$A$2:$C$8,2,FALSE)</f>
        <v>1.4999999999999999E-2</v>
      </c>
      <c r="N3600">
        <f t="shared" si="168"/>
        <v>1.2586770182638762E-3</v>
      </c>
      <c r="O3600">
        <f>VLOOKUP(K3600,RatingLookup!$A$2:$C$8,3,FALSE)</f>
        <v>0.5</v>
      </c>
      <c r="P3600">
        <f t="shared" si="169"/>
        <v>0.51896512140037876</v>
      </c>
      <c r="Q3600" t="str">
        <f t="shared" ca="1" si="170"/>
        <v>No</v>
      </c>
    </row>
    <row r="3601" spans="1:17" x14ac:dyDescent="0.45">
      <c r="A3601" t="s">
        <v>154</v>
      </c>
      <c r="B3601" t="s">
        <v>155</v>
      </c>
      <c r="C3601" t="s">
        <v>40</v>
      </c>
      <c r="D3601" t="s">
        <v>20</v>
      </c>
      <c r="E3601" t="s">
        <v>21</v>
      </c>
      <c r="F3601" s="1">
        <v>45627</v>
      </c>
      <c r="G3601">
        <v>5.51</v>
      </c>
      <c r="H3601">
        <v>85.137100000000004</v>
      </c>
      <c r="I3601">
        <v>12.58</v>
      </c>
      <c r="J3601">
        <v>75.72</v>
      </c>
      <c r="K3601" t="s">
        <v>30</v>
      </c>
      <c r="L3601">
        <v>821.54</v>
      </c>
      <c r="M3601">
        <f>VLOOKUP(K3601,RatingLookup!$A$2:$C$8,2,FALSE)</f>
        <v>1.4999999999999999E-2</v>
      </c>
      <c r="N3601">
        <f t="shared" si="168"/>
        <v>1.2586770182638762E-3</v>
      </c>
      <c r="O3601">
        <f>VLOOKUP(K3601,RatingLookup!$A$2:$C$8,3,FALSE)</f>
        <v>0.5</v>
      </c>
      <c r="P3601">
        <f t="shared" si="169"/>
        <v>0.51702675879225246</v>
      </c>
      <c r="Q3601" t="str">
        <f t="shared" ca="1" si="170"/>
        <v>No</v>
      </c>
    </row>
    <row r="3602" spans="1:17" x14ac:dyDescent="0.45">
      <c r="A3602" t="s">
        <v>156</v>
      </c>
      <c r="B3602" t="s">
        <v>157</v>
      </c>
      <c r="C3602" t="s">
        <v>26</v>
      </c>
      <c r="D3602" t="s">
        <v>20</v>
      </c>
      <c r="E3602" t="s">
        <v>21</v>
      </c>
      <c r="F3602" s="1">
        <v>43831</v>
      </c>
      <c r="G3602">
        <v>5.52</v>
      </c>
      <c r="H3602">
        <v>79.783500000000004</v>
      </c>
      <c r="I3602">
        <v>31.86</v>
      </c>
      <c r="J3602">
        <v>77.67</v>
      </c>
      <c r="K3602" t="s">
        <v>30</v>
      </c>
      <c r="L3602">
        <v>1584.76</v>
      </c>
      <c r="M3602">
        <f>VLOOKUP(K3602,RatingLookup!$A$2:$C$8,2,FALSE)</f>
        <v>1.4999999999999999E-2</v>
      </c>
      <c r="N3602">
        <f t="shared" si="168"/>
        <v>1.2586770182638762E-3</v>
      </c>
      <c r="O3602">
        <f>VLOOKUP(K3602,RatingLookup!$A$2:$C$8,3,FALSE)</f>
        <v>0.5</v>
      </c>
      <c r="P3602">
        <f t="shared" si="169"/>
        <v>0.99735049573193024</v>
      </c>
      <c r="Q3602" t="str">
        <f t="shared" ca="1" si="170"/>
        <v>No</v>
      </c>
    </row>
    <row r="3603" spans="1:17" x14ac:dyDescent="0.45">
      <c r="A3603" t="s">
        <v>156</v>
      </c>
      <c r="B3603" t="s">
        <v>157</v>
      </c>
      <c r="C3603" t="s">
        <v>26</v>
      </c>
      <c r="D3603" t="s">
        <v>20</v>
      </c>
      <c r="E3603" t="s">
        <v>21</v>
      </c>
      <c r="F3603" s="1">
        <v>43862</v>
      </c>
      <c r="G3603">
        <v>4.51</v>
      </c>
      <c r="H3603">
        <v>80.458299999999994</v>
      </c>
      <c r="I3603">
        <v>19.760000000000002</v>
      </c>
      <c r="J3603">
        <v>75.510000000000005</v>
      </c>
      <c r="K3603" t="s">
        <v>22</v>
      </c>
      <c r="L3603">
        <v>1554.82</v>
      </c>
      <c r="M3603">
        <f>VLOOKUP(K3603,RatingLookup!$A$2:$C$8,2,FALSE)</f>
        <v>5.0000000000000001E-3</v>
      </c>
      <c r="N3603">
        <f t="shared" si="168"/>
        <v>4.1762458919303302E-4</v>
      </c>
      <c r="O3603">
        <f>VLOOKUP(K3603,RatingLookup!$A$2:$C$8,3,FALSE)</f>
        <v>0.45</v>
      </c>
      <c r="P3603">
        <f t="shared" si="169"/>
        <v>0.29219897869610018</v>
      </c>
      <c r="Q3603" t="str">
        <f t="shared" ca="1" si="170"/>
        <v>No</v>
      </c>
    </row>
    <row r="3604" spans="1:17" x14ac:dyDescent="0.45">
      <c r="A3604" t="s">
        <v>156</v>
      </c>
      <c r="B3604" t="s">
        <v>157</v>
      </c>
      <c r="C3604" t="s">
        <v>26</v>
      </c>
      <c r="D3604" t="s">
        <v>20</v>
      </c>
      <c r="E3604" t="s">
        <v>21</v>
      </c>
      <c r="F3604" s="1">
        <v>43891</v>
      </c>
      <c r="G3604">
        <v>6.06</v>
      </c>
      <c r="H3604">
        <v>83.3733</v>
      </c>
      <c r="I3604">
        <v>21.21</v>
      </c>
      <c r="J3604">
        <v>75.489999999999995</v>
      </c>
      <c r="K3604" t="s">
        <v>22</v>
      </c>
      <c r="L3604">
        <v>1774.49</v>
      </c>
      <c r="M3604">
        <f>VLOOKUP(K3604,RatingLookup!$A$2:$C$8,2,FALSE)</f>
        <v>5.0000000000000001E-3</v>
      </c>
      <c r="N3604">
        <f t="shared" si="168"/>
        <v>4.1762458919303302E-4</v>
      </c>
      <c r="O3604">
        <f>VLOOKUP(K3604,RatingLookup!$A$2:$C$8,3,FALSE)</f>
        <v>0.45</v>
      </c>
      <c r="P3604">
        <f t="shared" si="169"/>
        <v>0.33348179577471532</v>
      </c>
      <c r="Q3604" t="str">
        <f t="shared" ca="1" si="170"/>
        <v>No</v>
      </c>
    </row>
    <row r="3605" spans="1:17" x14ac:dyDescent="0.45">
      <c r="A3605" t="s">
        <v>156</v>
      </c>
      <c r="B3605" t="s">
        <v>157</v>
      </c>
      <c r="C3605" t="s">
        <v>26</v>
      </c>
      <c r="D3605" t="s">
        <v>20</v>
      </c>
      <c r="E3605" t="s">
        <v>21</v>
      </c>
      <c r="F3605" s="1">
        <v>43922</v>
      </c>
      <c r="G3605">
        <v>4.7</v>
      </c>
      <c r="H3605">
        <v>81.352699999999999</v>
      </c>
      <c r="I3605">
        <v>12.61</v>
      </c>
      <c r="J3605">
        <v>83.74</v>
      </c>
      <c r="K3605" t="s">
        <v>22</v>
      </c>
      <c r="L3605">
        <v>1732.09</v>
      </c>
      <c r="M3605">
        <f>VLOOKUP(K3605,RatingLookup!$A$2:$C$8,2,FALSE)</f>
        <v>5.0000000000000001E-3</v>
      </c>
      <c r="N3605">
        <f t="shared" si="168"/>
        <v>4.1762458919303302E-4</v>
      </c>
      <c r="O3605">
        <f>VLOOKUP(K3605,RatingLookup!$A$2:$C$8,3,FALSE)</f>
        <v>0.45</v>
      </c>
      <c r="P3605">
        <f t="shared" si="169"/>
        <v>0.32551351861291222</v>
      </c>
      <c r="Q3605" t="str">
        <f t="shared" ca="1" si="170"/>
        <v>No</v>
      </c>
    </row>
    <row r="3606" spans="1:17" x14ac:dyDescent="0.45">
      <c r="A3606" t="s">
        <v>156</v>
      </c>
      <c r="B3606" t="s">
        <v>157</v>
      </c>
      <c r="C3606" t="s">
        <v>26</v>
      </c>
      <c r="D3606" t="s">
        <v>20</v>
      </c>
      <c r="E3606" t="s">
        <v>21</v>
      </c>
      <c r="F3606" s="1">
        <v>43952</v>
      </c>
      <c r="G3606">
        <v>4.3099999999999996</v>
      </c>
      <c r="H3606">
        <v>83.785300000000007</v>
      </c>
      <c r="I3606">
        <v>14.29</v>
      </c>
      <c r="J3606">
        <v>80.31</v>
      </c>
      <c r="K3606" t="s">
        <v>22</v>
      </c>
      <c r="L3606">
        <v>1672.16</v>
      </c>
      <c r="M3606">
        <f>VLOOKUP(K3606,RatingLookup!$A$2:$C$8,2,FALSE)</f>
        <v>5.0000000000000001E-3</v>
      </c>
      <c r="N3606">
        <f t="shared" si="168"/>
        <v>4.1762458919303302E-4</v>
      </c>
      <c r="O3606">
        <f>VLOOKUP(K3606,RatingLookup!$A$2:$C$8,3,FALSE)</f>
        <v>0.45</v>
      </c>
      <c r="P3606">
        <f t="shared" si="169"/>
        <v>0.31425080987925996</v>
      </c>
      <c r="Q3606" t="str">
        <f t="shared" ca="1" si="170"/>
        <v>No</v>
      </c>
    </row>
    <row r="3607" spans="1:17" x14ac:dyDescent="0.45">
      <c r="A3607" t="s">
        <v>156</v>
      </c>
      <c r="B3607" t="s">
        <v>157</v>
      </c>
      <c r="C3607" t="s">
        <v>26</v>
      </c>
      <c r="D3607" t="s">
        <v>20</v>
      </c>
      <c r="E3607" t="s">
        <v>21</v>
      </c>
      <c r="F3607" s="1">
        <v>43983</v>
      </c>
      <c r="G3607">
        <v>5.87</v>
      </c>
      <c r="H3607">
        <v>78.075900000000004</v>
      </c>
      <c r="I3607">
        <v>10.02</v>
      </c>
      <c r="J3607">
        <v>64.37</v>
      </c>
      <c r="K3607" t="s">
        <v>22</v>
      </c>
      <c r="L3607">
        <v>1720.18</v>
      </c>
      <c r="M3607">
        <f>VLOOKUP(K3607,RatingLookup!$A$2:$C$8,2,FALSE)</f>
        <v>5.0000000000000001E-3</v>
      </c>
      <c r="N3607">
        <f t="shared" si="168"/>
        <v>4.1762458919303302E-4</v>
      </c>
      <c r="O3607">
        <f>VLOOKUP(K3607,RatingLookup!$A$2:$C$8,3,FALSE)</f>
        <v>0.45</v>
      </c>
      <c r="P3607">
        <f t="shared" si="169"/>
        <v>0.32327525962713222</v>
      </c>
      <c r="Q3607" t="str">
        <f t="shared" ca="1" si="170"/>
        <v>No</v>
      </c>
    </row>
    <row r="3608" spans="1:17" x14ac:dyDescent="0.45">
      <c r="A3608" t="s">
        <v>156</v>
      </c>
      <c r="B3608" t="s">
        <v>157</v>
      </c>
      <c r="C3608" t="s">
        <v>26</v>
      </c>
      <c r="D3608" t="s">
        <v>20</v>
      </c>
      <c r="E3608" t="s">
        <v>21</v>
      </c>
      <c r="F3608" s="1">
        <v>44013</v>
      </c>
      <c r="G3608">
        <v>4.96</v>
      </c>
      <c r="H3608">
        <v>82.196200000000005</v>
      </c>
      <c r="I3608">
        <v>6.28</v>
      </c>
      <c r="J3608">
        <v>81.790000000000006</v>
      </c>
      <c r="K3608" t="s">
        <v>22</v>
      </c>
      <c r="L3608">
        <v>1681.02</v>
      </c>
      <c r="M3608">
        <f>VLOOKUP(K3608,RatingLookup!$A$2:$C$8,2,FALSE)</f>
        <v>5.0000000000000001E-3</v>
      </c>
      <c r="N3608">
        <f t="shared" si="168"/>
        <v>4.1762458919303302E-4</v>
      </c>
      <c r="O3608">
        <f>VLOOKUP(K3608,RatingLookup!$A$2:$C$8,3,FALSE)</f>
        <v>0.45</v>
      </c>
      <c r="P3608">
        <f t="shared" si="169"/>
        <v>0.31591587911637259</v>
      </c>
      <c r="Q3608" t="str">
        <f t="shared" ca="1" si="170"/>
        <v>No</v>
      </c>
    </row>
    <row r="3609" spans="1:17" x14ac:dyDescent="0.45">
      <c r="A3609" t="s">
        <v>156</v>
      </c>
      <c r="B3609" t="s">
        <v>157</v>
      </c>
      <c r="C3609" t="s">
        <v>26</v>
      </c>
      <c r="D3609" t="s">
        <v>20</v>
      </c>
      <c r="E3609" t="s">
        <v>21</v>
      </c>
      <c r="F3609" s="1">
        <v>44044</v>
      </c>
      <c r="G3609">
        <v>5.54</v>
      </c>
      <c r="H3609">
        <v>78.016499999999994</v>
      </c>
      <c r="I3609">
        <v>23.35</v>
      </c>
      <c r="J3609">
        <v>63.1</v>
      </c>
      <c r="K3609" t="s">
        <v>22</v>
      </c>
      <c r="L3609">
        <v>1631.33</v>
      </c>
      <c r="M3609">
        <f>VLOOKUP(K3609,RatingLookup!$A$2:$C$8,2,FALSE)</f>
        <v>5.0000000000000001E-3</v>
      </c>
      <c r="N3609">
        <f t="shared" si="168"/>
        <v>4.1762458919303302E-4</v>
      </c>
      <c r="O3609">
        <f>VLOOKUP(K3609,RatingLookup!$A$2:$C$8,3,FALSE)</f>
        <v>0.45</v>
      </c>
      <c r="P3609">
        <f t="shared" si="169"/>
        <v>0.30657758448972172</v>
      </c>
      <c r="Q3609" t="str">
        <f t="shared" ca="1" si="170"/>
        <v>No</v>
      </c>
    </row>
    <row r="3610" spans="1:17" x14ac:dyDescent="0.45">
      <c r="A3610" t="s">
        <v>156</v>
      </c>
      <c r="B3610" t="s">
        <v>157</v>
      </c>
      <c r="C3610" t="s">
        <v>26</v>
      </c>
      <c r="D3610" t="s">
        <v>20</v>
      </c>
      <c r="E3610" t="s">
        <v>21</v>
      </c>
      <c r="F3610" s="1">
        <v>44075</v>
      </c>
      <c r="G3610">
        <v>4.93</v>
      </c>
      <c r="H3610">
        <v>84.242099999999994</v>
      </c>
      <c r="I3610">
        <v>14.65</v>
      </c>
      <c r="J3610">
        <v>85.43</v>
      </c>
      <c r="K3610" t="s">
        <v>22</v>
      </c>
      <c r="L3610">
        <v>1745.49</v>
      </c>
      <c r="M3610">
        <f>VLOOKUP(K3610,RatingLookup!$A$2:$C$8,2,FALSE)</f>
        <v>5.0000000000000001E-3</v>
      </c>
      <c r="N3610">
        <f t="shared" si="168"/>
        <v>4.1762458919303302E-4</v>
      </c>
      <c r="O3610">
        <f>VLOOKUP(K3610,RatingLookup!$A$2:$C$8,3,FALSE)</f>
        <v>0.45</v>
      </c>
      <c r="P3610">
        <f t="shared" si="169"/>
        <v>0.32803179488574624</v>
      </c>
      <c r="Q3610" t="str">
        <f t="shared" ca="1" si="170"/>
        <v>No</v>
      </c>
    </row>
    <row r="3611" spans="1:17" x14ac:dyDescent="0.45">
      <c r="A3611" t="s">
        <v>156</v>
      </c>
      <c r="B3611" t="s">
        <v>157</v>
      </c>
      <c r="C3611" t="s">
        <v>26</v>
      </c>
      <c r="D3611" t="s">
        <v>20</v>
      </c>
      <c r="E3611" t="s">
        <v>21</v>
      </c>
      <c r="F3611" s="1">
        <v>44105</v>
      </c>
      <c r="G3611">
        <v>4.93</v>
      </c>
      <c r="H3611">
        <v>83.178700000000006</v>
      </c>
      <c r="I3611">
        <v>14.25</v>
      </c>
      <c r="J3611">
        <v>65.34</v>
      </c>
      <c r="K3611" t="s">
        <v>22</v>
      </c>
      <c r="L3611">
        <v>1676.4</v>
      </c>
      <c r="M3611">
        <f>VLOOKUP(K3611,RatingLookup!$A$2:$C$8,2,FALSE)</f>
        <v>5.0000000000000001E-3</v>
      </c>
      <c r="N3611">
        <f t="shared" si="168"/>
        <v>4.1762458919303302E-4</v>
      </c>
      <c r="O3611">
        <f>VLOOKUP(K3611,RatingLookup!$A$2:$C$8,3,FALSE)</f>
        <v>0.45</v>
      </c>
      <c r="P3611">
        <f t="shared" si="169"/>
        <v>0.3150476375954403</v>
      </c>
      <c r="Q3611" t="str">
        <f t="shared" ca="1" si="170"/>
        <v>No</v>
      </c>
    </row>
    <row r="3612" spans="1:17" x14ac:dyDescent="0.45">
      <c r="A3612" t="s">
        <v>156</v>
      </c>
      <c r="B3612" t="s">
        <v>157</v>
      </c>
      <c r="C3612" t="s">
        <v>26</v>
      </c>
      <c r="D3612" t="s">
        <v>20</v>
      </c>
      <c r="E3612" t="s">
        <v>21</v>
      </c>
      <c r="F3612" s="1">
        <v>44136</v>
      </c>
      <c r="G3612">
        <v>6.64</v>
      </c>
      <c r="H3612">
        <v>85.506299999999996</v>
      </c>
      <c r="I3612">
        <v>11.04</v>
      </c>
      <c r="J3612">
        <v>91.35</v>
      </c>
      <c r="K3612" t="s">
        <v>22</v>
      </c>
      <c r="L3612">
        <v>1707.65</v>
      </c>
      <c r="M3612">
        <f>VLOOKUP(K3612,RatingLookup!$A$2:$C$8,2,FALSE)</f>
        <v>5.0000000000000001E-3</v>
      </c>
      <c r="N3612">
        <f t="shared" si="168"/>
        <v>4.1762458919303302E-4</v>
      </c>
      <c r="O3612">
        <f>VLOOKUP(K3612,RatingLookup!$A$2:$C$8,3,FALSE)</f>
        <v>0.45</v>
      </c>
      <c r="P3612">
        <f t="shared" si="169"/>
        <v>0.32092048338096729</v>
      </c>
      <c r="Q3612" t="str">
        <f t="shared" ca="1" si="170"/>
        <v>No</v>
      </c>
    </row>
    <row r="3613" spans="1:17" x14ac:dyDescent="0.45">
      <c r="A3613" t="s">
        <v>156</v>
      </c>
      <c r="B3613" t="s">
        <v>157</v>
      </c>
      <c r="C3613" t="s">
        <v>26</v>
      </c>
      <c r="D3613" t="s">
        <v>20</v>
      </c>
      <c r="E3613" t="s">
        <v>21</v>
      </c>
      <c r="F3613" s="1">
        <v>44166</v>
      </c>
      <c r="G3613">
        <v>3.97</v>
      </c>
      <c r="H3613">
        <v>81.124799999999993</v>
      </c>
      <c r="I3613">
        <v>29.67</v>
      </c>
      <c r="J3613">
        <v>63</v>
      </c>
      <c r="K3613" t="s">
        <v>22</v>
      </c>
      <c r="L3613">
        <v>1597.15</v>
      </c>
      <c r="M3613">
        <f>VLOOKUP(K3613,RatingLookup!$A$2:$C$8,2,FALSE)</f>
        <v>5.0000000000000001E-3</v>
      </c>
      <c r="N3613">
        <f t="shared" si="168"/>
        <v>4.1762458919303302E-4</v>
      </c>
      <c r="O3613">
        <f>VLOOKUP(K3613,RatingLookup!$A$2:$C$8,3,FALSE)</f>
        <v>0.45</v>
      </c>
      <c r="P3613">
        <f t="shared" si="169"/>
        <v>0.30015410068334369</v>
      </c>
      <c r="Q3613" t="str">
        <f t="shared" ca="1" si="170"/>
        <v>No</v>
      </c>
    </row>
    <row r="3614" spans="1:17" x14ac:dyDescent="0.45">
      <c r="A3614" t="s">
        <v>156</v>
      </c>
      <c r="B3614" t="s">
        <v>157</v>
      </c>
      <c r="C3614" t="s">
        <v>26</v>
      </c>
      <c r="D3614" t="s">
        <v>20</v>
      </c>
      <c r="E3614" t="s">
        <v>21</v>
      </c>
      <c r="F3614" s="1">
        <v>44197</v>
      </c>
      <c r="G3614">
        <v>5.35</v>
      </c>
      <c r="H3614">
        <v>82.511700000000005</v>
      </c>
      <c r="I3614">
        <v>9.36</v>
      </c>
      <c r="J3614">
        <v>78.48</v>
      </c>
      <c r="K3614" t="s">
        <v>22</v>
      </c>
      <c r="L3614">
        <v>1648.04</v>
      </c>
      <c r="M3614">
        <f>VLOOKUP(K3614,RatingLookup!$A$2:$C$8,2,FALSE)</f>
        <v>5.0000000000000001E-3</v>
      </c>
      <c r="N3614">
        <f t="shared" si="168"/>
        <v>4.1762458919303302E-4</v>
      </c>
      <c r="O3614">
        <f>VLOOKUP(K3614,RatingLookup!$A$2:$C$8,3,FALSE)</f>
        <v>0.45</v>
      </c>
      <c r="P3614">
        <f t="shared" si="169"/>
        <v>0.30971791258815878</v>
      </c>
      <c r="Q3614" t="str">
        <f t="shared" ca="1" si="170"/>
        <v>No</v>
      </c>
    </row>
    <row r="3615" spans="1:17" x14ac:dyDescent="0.45">
      <c r="A3615" t="s">
        <v>156</v>
      </c>
      <c r="B3615" t="s">
        <v>157</v>
      </c>
      <c r="C3615" t="s">
        <v>26</v>
      </c>
      <c r="D3615" t="s">
        <v>20</v>
      </c>
      <c r="E3615" t="s">
        <v>21</v>
      </c>
      <c r="F3615" s="1">
        <v>44228</v>
      </c>
      <c r="G3615">
        <v>6.14</v>
      </c>
      <c r="H3615">
        <v>80.076099999999997</v>
      </c>
      <c r="I3615">
        <v>13.99</v>
      </c>
      <c r="J3615">
        <v>66.989999999999995</v>
      </c>
      <c r="K3615" t="s">
        <v>22</v>
      </c>
      <c r="L3615">
        <v>1680.94</v>
      </c>
      <c r="M3615">
        <f>VLOOKUP(K3615,RatingLookup!$A$2:$C$8,2,FALSE)</f>
        <v>5.0000000000000001E-3</v>
      </c>
      <c r="N3615">
        <f t="shared" si="168"/>
        <v>4.1762458919303302E-4</v>
      </c>
      <c r="O3615">
        <f>VLOOKUP(K3615,RatingLookup!$A$2:$C$8,3,FALSE)</f>
        <v>0.45</v>
      </c>
      <c r="P3615">
        <f t="shared" si="169"/>
        <v>0.31590084463116164</v>
      </c>
      <c r="Q3615" t="str">
        <f t="shared" ca="1" si="170"/>
        <v>No</v>
      </c>
    </row>
    <row r="3616" spans="1:17" x14ac:dyDescent="0.45">
      <c r="A3616" t="s">
        <v>156</v>
      </c>
      <c r="B3616" t="s">
        <v>157</v>
      </c>
      <c r="C3616" t="s">
        <v>26</v>
      </c>
      <c r="D3616" t="s">
        <v>20</v>
      </c>
      <c r="E3616" t="s">
        <v>21</v>
      </c>
      <c r="F3616" s="1">
        <v>44256</v>
      </c>
      <c r="G3616">
        <v>5.18</v>
      </c>
      <c r="H3616">
        <v>84.309700000000007</v>
      </c>
      <c r="I3616">
        <v>18.63</v>
      </c>
      <c r="J3616">
        <v>93.52</v>
      </c>
      <c r="K3616" t="s">
        <v>22</v>
      </c>
      <c r="L3616">
        <v>1698.22</v>
      </c>
      <c r="M3616">
        <f>VLOOKUP(K3616,RatingLookup!$A$2:$C$8,2,FALSE)</f>
        <v>5.0000000000000001E-3</v>
      </c>
      <c r="N3616">
        <f t="shared" si="168"/>
        <v>4.1762458919303302E-4</v>
      </c>
      <c r="O3616">
        <f>VLOOKUP(K3616,RatingLookup!$A$2:$C$8,3,FALSE)</f>
        <v>0.45</v>
      </c>
      <c r="P3616">
        <f t="shared" si="169"/>
        <v>0.31914829343672663</v>
      </c>
      <c r="Q3616" t="str">
        <f t="shared" ca="1" si="170"/>
        <v>No</v>
      </c>
    </row>
    <row r="3617" spans="1:17" x14ac:dyDescent="0.45">
      <c r="A3617" t="s">
        <v>156</v>
      </c>
      <c r="B3617" t="s">
        <v>157</v>
      </c>
      <c r="C3617" t="s">
        <v>26</v>
      </c>
      <c r="D3617" t="s">
        <v>20</v>
      </c>
      <c r="E3617" t="s">
        <v>21</v>
      </c>
      <c r="F3617" s="1">
        <v>44287</v>
      </c>
      <c r="G3617">
        <v>5.29</v>
      </c>
      <c r="H3617">
        <v>83.7714</v>
      </c>
      <c r="I3617">
        <v>5.84</v>
      </c>
      <c r="J3617">
        <v>71.7</v>
      </c>
      <c r="K3617" t="s">
        <v>22</v>
      </c>
      <c r="L3617">
        <v>1716.96</v>
      </c>
      <c r="M3617">
        <f>VLOOKUP(K3617,RatingLookup!$A$2:$C$8,2,FALSE)</f>
        <v>5.0000000000000001E-3</v>
      </c>
      <c r="N3617">
        <f t="shared" si="168"/>
        <v>4.1762458919303302E-4</v>
      </c>
      <c r="O3617">
        <f>VLOOKUP(K3617,RatingLookup!$A$2:$C$8,3,FALSE)</f>
        <v>0.45</v>
      </c>
      <c r="P3617">
        <f t="shared" si="169"/>
        <v>0.3226701215973915</v>
      </c>
      <c r="Q3617" t="str">
        <f t="shared" ca="1" si="170"/>
        <v>No</v>
      </c>
    </row>
    <row r="3618" spans="1:17" x14ac:dyDescent="0.45">
      <c r="A3618" t="s">
        <v>156</v>
      </c>
      <c r="B3618" t="s">
        <v>157</v>
      </c>
      <c r="C3618" t="s">
        <v>26</v>
      </c>
      <c r="D3618" t="s">
        <v>20</v>
      </c>
      <c r="E3618" t="s">
        <v>21</v>
      </c>
      <c r="F3618" s="1">
        <v>44317</v>
      </c>
      <c r="G3618">
        <v>6.17</v>
      </c>
      <c r="H3618">
        <v>81.582400000000007</v>
      </c>
      <c r="I3618">
        <v>13.9</v>
      </c>
      <c r="J3618">
        <v>77.19</v>
      </c>
      <c r="K3618" t="s">
        <v>22</v>
      </c>
      <c r="L3618">
        <v>1705.75</v>
      </c>
      <c r="M3618">
        <f>VLOOKUP(K3618,RatingLookup!$A$2:$C$8,2,FALSE)</f>
        <v>5.0000000000000001E-3</v>
      </c>
      <c r="N3618">
        <f t="shared" si="168"/>
        <v>4.1762458919303302E-4</v>
      </c>
      <c r="O3618">
        <f>VLOOKUP(K3618,RatingLookup!$A$2:$C$8,3,FALSE)</f>
        <v>0.45</v>
      </c>
      <c r="P3618">
        <f t="shared" si="169"/>
        <v>0.32056341435720725</v>
      </c>
      <c r="Q3618" t="str">
        <f t="shared" ca="1" si="170"/>
        <v>No</v>
      </c>
    </row>
    <row r="3619" spans="1:17" x14ac:dyDescent="0.45">
      <c r="A3619" t="s">
        <v>156</v>
      </c>
      <c r="B3619" t="s">
        <v>157</v>
      </c>
      <c r="C3619" t="s">
        <v>26</v>
      </c>
      <c r="D3619" t="s">
        <v>20</v>
      </c>
      <c r="E3619" t="s">
        <v>21</v>
      </c>
      <c r="F3619" s="1">
        <v>44348</v>
      </c>
      <c r="G3619">
        <v>4.5</v>
      </c>
      <c r="H3619">
        <v>81.770600000000002</v>
      </c>
      <c r="I3619">
        <v>16.61</v>
      </c>
      <c r="J3619">
        <v>98.12</v>
      </c>
      <c r="K3619" t="s">
        <v>22</v>
      </c>
      <c r="L3619">
        <v>1812.46</v>
      </c>
      <c r="M3619">
        <f>VLOOKUP(K3619,RatingLookup!$A$2:$C$8,2,FALSE)</f>
        <v>5.0000000000000001E-3</v>
      </c>
      <c r="N3619">
        <f t="shared" si="168"/>
        <v>4.1762458919303302E-4</v>
      </c>
      <c r="O3619">
        <f>VLOOKUP(K3619,RatingLookup!$A$2:$C$8,3,FALSE)</f>
        <v>0.45</v>
      </c>
      <c r="P3619">
        <f t="shared" si="169"/>
        <v>0.3406175383179621</v>
      </c>
      <c r="Q3619" t="str">
        <f t="shared" ca="1" si="170"/>
        <v>No</v>
      </c>
    </row>
    <row r="3620" spans="1:17" x14ac:dyDescent="0.45">
      <c r="A3620" t="s">
        <v>156</v>
      </c>
      <c r="B3620" t="s">
        <v>157</v>
      </c>
      <c r="C3620" t="s">
        <v>26</v>
      </c>
      <c r="D3620" t="s">
        <v>20</v>
      </c>
      <c r="E3620" t="s">
        <v>21</v>
      </c>
      <c r="F3620" s="1">
        <v>44378</v>
      </c>
      <c r="G3620">
        <v>5.29</v>
      </c>
      <c r="H3620">
        <v>79.250200000000007</v>
      </c>
      <c r="I3620">
        <v>5.39</v>
      </c>
      <c r="J3620">
        <v>82.21</v>
      </c>
      <c r="K3620" t="s">
        <v>22</v>
      </c>
      <c r="L3620">
        <v>1785.69</v>
      </c>
      <c r="M3620">
        <f>VLOOKUP(K3620,RatingLookup!$A$2:$C$8,2,FALSE)</f>
        <v>5.0000000000000001E-3</v>
      </c>
      <c r="N3620">
        <f t="shared" si="168"/>
        <v>4.1762458919303302E-4</v>
      </c>
      <c r="O3620">
        <f>VLOOKUP(K3620,RatingLookup!$A$2:$C$8,3,FALSE)</f>
        <v>0.45</v>
      </c>
      <c r="P3620">
        <f t="shared" si="169"/>
        <v>0.33558662370424819</v>
      </c>
      <c r="Q3620" t="str">
        <f t="shared" ca="1" si="170"/>
        <v>No</v>
      </c>
    </row>
    <row r="3621" spans="1:17" x14ac:dyDescent="0.45">
      <c r="A3621" t="s">
        <v>156</v>
      </c>
      <c r="B3621" t="s">
        <v>157</v>
      </c>
      <c r="C3621" t="s">
        <v>26</v>
      </c>
      <c r="D3621" t="s">
        <v>20</v>
      </c>
      <c r="E3621" t="s">
        <v>21</v>
      </c>
      <c r="F3621" s="1">
        <v>44409</v>
      </c>
      <c r="G3621">
        <v>5.04</v>
      </c>
      <c r="H3621">
        <v>80.382199999999997</v>
      </c>
      <c r="I3621">
        <v>15.35</v>
      </c>
      <c r="J3621">
        <v>80.260000000000005</v>
      </c>
      <c r="K3621" t="s">
        <v>22</v>
      </c>
      <c r="L3621">
        <v>1836.02</v>
      </c>
      <c r="M3621">
        <f>VLOOKUP(K3621,RatingLookup!$A$2:$C$8,2,FALSE)</f>
        <v>5.0000000000000001E-3</v>
      </c>
      <c r="N3621">
        <f t="shared" si="168"/>
        <v>4.1762458919303302E-4</v>
      </c>
      <c r="O3621">
        <f>VLOOKUP(K3621,RatingLookup!$A$2:$C$8,3,FALSE)</f>
        <v>0.45</v>
      </c>
      <c r="P3621">
        <f t="shared" si="169"/>
        <v>0.34504519421258661</v>
      </c>
      <c r="Q3621" t="str">
        <f t="shared" ca="1" si="170"/>
        <v>No</v>
      </c>
    </row>
    <row r="3622" spans="1:17" x14ac:dyDescent="0.45">
      <c r="A3622" t="s">
        <v>156</v>
      </c>
      <c r="B3622" t="s">
        <v>157</v>
      </c>
      <c r="C3622" t="s">
        <v>26</v>
      </c>
      <c r="D3622" t="s">
        <v>20</v>
      </c>
      <c r="E3622" t="s">
        <v>21</v>
      </c>
      <c r="F3622" s="1">
        <v>44440</v>
      </c>
      <c r="G3622">
        <v>6.92</v>
      </c>
      <c r="H3622">
        <v>83.398600000000002</v>
      </c>
      <c r="I3622">
        <v>18.03</v>
      </c>
      <c r="J3622">
        <v>53.74</v>
      </c>
      <c r="K3622" t="s">
        <v>22</v>
      </c>
      <c r="L3622">
        <v>1798.73</v>
      </c>
      <c r="M3622">
        <f>VLOOKUP(K3622,RatingLookup!$A$2:$C$8,2,FALSE)</f>
        <v>5.0000000000000001E-3</v>
      </c>
      <c r="N3622">
        <f t="shared" si="168"/>
        <v>4.1762458919303302E-4</v>
      </c>
      <c r="O3622">
        <f>VLOOKUP(K3622,RatingLookup!$A$2:$C$8,3,FALSE)</f>
        <v>0.45</v>
      </c>
      <c r="P3622">
        <f t="shared" si="169"/>
        <v>0.33803724479363295</v>
      </c>
      <c r="Q3622" t="str">
        <f t="shared" ca="1" si="170"/>
        <v>No</v>
      </c>
    </row>
    <row r="3623" spans="1:17" x14ac:dyDescent="0.45">
      <c r="A3623" t="s">
        <v>156</v>
      </c>
      <c r="B3623" t="s">
        <v>157</v>
      </c>
      <c r="C3623" t="s">
        <v>26</v>
      </c>
      <c r="D3623" t="s">
        <v>20</v>
      </c>
      <c r="E3623" t="s">
        <v>21</v>
      </c>
      <c r="F3623" s="1">
        <v>44470</v>
      </c>
      <c r="G3623">
        <v>5.54</v>
      </c>
      <c r="H3623">
        <v>82.638900000000007</v>
      </c>
      <c r="I3623">
        <v>17.079999999999998</v>
      </c>
      <c r="J3623">
        <v>72.75</v>
      </c>
      <c r="K3623" t="s">
        <v>22</v>
      </c>
      <c r="L3623">
        <v>1664.13</v>
      </c>
      <c r="M3623">
        <f>VLOOKUP(K3623,RatingLookup!$A$2:$C$8,2,FALSE)</f>
        <v>5.0000000000000001E-3</v>
      </c>
      <c r="N3623">
        <f t="shared" si="168"/>
        <v>4.1762458919303302E-4</v>
      </c>
      <c r="O3623">
        <f>VLOOKUP(K3623,RatingLookup!$A$2:$C$8,3,FALSE)</f>
        <v>0.45</v>
      </c>
      <c r="P3623">
        <f t="shared" si="169"/>
        <v>0.31274172342621098</v>
      </c>
      <c r="Q3623" t="str">
        <f t="shared" ca="1" si="170"/>
        <v>No</v>
      </c>
    </row>
    <row r="3624" spans="1:17" x14ac:dyDescent="0.45">
      <c r="A3624" t="s">
        <v>156</v>
      </c>
      <c r="B3624" t="s">
        <v>157</v>
      </c>
      <c r="C3624" t="s">
        <v>26</v>
      </c>
      <c r="D3624" t="s">
        <v>20</v>
      </c>
      <c r="E3624" t="s">
        <v>21</v>
      </c>
      <c r="F3624" s="1">
        <v>44501</v>
      </c>
      <c r="G3624">
        <v>5.77</v>
      </c>
      <c r="H3624">
        <v>78.650700000000001</v>
      </c>
      <c r="I3624">
        <v>26.11</v>
      </c>
      <c r="J3624">
        <v>73.87</v>
      </c>
      <c r="K3624" t="s">
        <v>22</v>
      </c>
      <c r="L3624">
        <v>1803.27</v>
      </c>
      <c r="M3624">
        <f>VLOOKUP(K3624,RatingLookup!$A$2:$C$8,2,FALSE)</f>
        <v>5.0000000000000001E-3</v>
      </c>
      <c r="N3624">
        <f t="shared" si="168"/>
        <v>4.1762458919303302E-4</v>
      </c>
      <c r="O3624">
        <f>VLOOKUP(K3624,RatingLookup!$A$2:$C$8,3,FALSE)</f>
        <v>0.45</v>
      </c>
      <c r="P3624">
        <f t="shared" si="169"/>
        <v>0.33889045182935429</v>
      </c>
      <c r="Q3624" t="str">
        <f t="shared" ca="1" si="170"/>
        <v>No</v>
      </c>
    </row>
    <row r="3625" spans="1:17" x14ac:dyDescent="0.45">
      <c r="A3625" t="s">
        <v>156</v>
      </c>
      <c r="B3625" t="s">
        <v>157</v>
      </c>
      <c r="C3625" t="s">
        <v>26</v>
      </c>
      <c r="D3625" t="s">
        <v>20</v>
      </c>
      <c r="E3625" t="s">
        <v>21</v>
      </c>
      <c r="F3625" s="1">
        <v>44531</v>
      </c>
      <c r="G3625">
        <v>5.61</v>
      </c>
      <c r="H3625">
        <v>85.358500000000006</v>
      </c>
      <c r="I3625">
        <v>22.17</v>
      </c>
      <c r="J3625">
        <v>74.459999999999994</v>
      </c>
      <c r="K3625" t="s">
        <v>22</v>
      </c>
      <c r="L3625">
        <v>1800.86</v>
      </c>
      <c r="M3625">
        <f>VLOOKUP(K3625,RatingLookup!$A$2:$C$8,2,FALSE)</f>
        <v>5.0000000000000001E-3</v>
      </c>
      <c r="N3625">
        <f t="shared" si="168"/>
        <v>4.1762458919303302E-4</v>
      </c>
      <c r="O3625">
        <f>VLOOKUP(K3625,RatingLookup!$A$2:$C$8,3,FALSE)</f>
        <v>0.45</v>
      </c>
      <c r="P3625">
        <f t="shared" si="169"/>
        <v>0.33843753796237447</v>
      </c>
      <c r="Q3625" t="str">
        <f t="shared" ca="1" si="170"/>
        <v>No</v>
      </c>
    </row>
    <row r="3626" spans="1:17" x14ac:dyDescent="0.45">
      <c r="A3626" t="s">
        <v>156</v>
      </c>
      <c r="B3626" t="s">
        <v>157</v>
      </c>
      <c r="C3626" t="s">
        <v>26</v>
      </c>
      <c r="D3626" t="s">
        <v>20</v>
      </c>
      <c r="E3626" t="s">
        <v>21</v>
      </c>
      <c r="F3626" s="1">
        <v>44562</v>
      </c>
      <c r="G3626">
        <v>6.12</v>
      </c>
      <c r="H3626">
        <v>81.514899999999997</v>
      </c>
      <c r="I3626">
        <v>18.89</v>
      </c>
      <c r="J3626">
        <v>69.78</v>
      </c>
      <c r="K3626" t="s">
        <v>22</v>
      </c>
      <c r="L3626">
        <v>1839.89</v>
      </c>
      <c r="M3626">
        <f>VLOOKUP(K3626,RatingLookup!$A$2:$C$8,2,FALSE)</f>
        <v>5.0000000000000001E-3</v>
      </c>
      <c r="N3626">
        <f t="shared" si="168"/>
        <v>4.1762458919303302E-4</v>
      </c>
      <c r="O3626">
        <f>VLOOKUP(K3626,RatingLookup!$A$2:$C$8,3,FALSE)</f>
        <v>0.45</v>
      </c>
      <c r="P3626">
        <f t="shared" si="169"/>
        <v>0.34577248743466632</v>
      </c>
      <c r="Q3626" t="str">
        <f t="shared" ca="1" si="170"/>
        <v>No</v>
      </c>
    </row>
    <row r="3627" spans="1:17" x14ac:dyDescent="0.45">
      <c r="A3627" t="s">
        <v>156</v>
      </c>
      <c r="B3627" t="s">
        <v>157</v>
      </c>
      <c r="C3627" t="s">
        <v>26</v>
      </c>
      <c r="D3627" t="s">
        <v>20</v>
      </c>
      <c r="E3627" t="s">
        <v>21</v>
      </c>
      <c r="F3627" s="1">
        <v>44593</v>
      </c>
      <c r="G3627">
        <v>5.8</v>
      </c>
      <c r="H3627">
        <v>82.011300000000006</v>
      </c>
      <c r="I3627">
        <v>19.260000000000002</v>
      </c>
      <c r="J3627">
        <v>70.5</v>
      </c>
      <c r="K3627" t="s">
        <v>22</v>
      </c>
      <c r="L3627">
        <v>1886.25</v>
      </c>
      <c r="M3627">
        <f>VLOOKUP(K3627,RatingLookup!$A$2:$C$8,2,FALSE)</f>
        <v>5.0000000000000001E-3</v>
      </c>
      <c r="N3627">
        <f t="shared" si="168"/>
        <v>4.1762458919303302E-4</v>
      </c>
      <c r="O3627">
        <f>VLOOKUP(K3627,RatingLookup!$A$2:$C$8,3,FALSE)</f>
        <v>0.45</v>
      </c>
      <c r="P3627">
        <f t="shared" si="169"/>
        <v>0.35448497161441134</v>
      </c>
      <c r="Q3627" t="str">
        <f t="shared" ca="1" si="170"/>
        <v>No</v>
      </c>
    </row>
    <row r="3628" spans="1:17" x14ac:dyDescent="0.45">
      <c r="A3628" t="s">
        <v>156</v>
      </c>
      <c r="B3628" t="s">
        <v>157</v>
      </c>
      <c r="C3628" t="s">
        <v>26</v>
      </c>
      <c r="D3628" t="s">
        <v>20</v>
      </c>
      <c r="E3628" t="s">
        <v>21</v>
      </c>
      <c r="F3628" s="1">
        <v>44621</v>
      </c>
      <c r="G3628">
        <v>5.59</v>
      </c>
      <c r="H3628">
        <v>81.786100000000005</v>
      </c>
      <c r="I3628">
        <v>21.21</v>
      </c>
      <c r="J3628">
        <v>80.69</v>
      </c>
      <c r="K3628" t="s">
        <v>22</v>
      </c>
      <c r="L3628">
        <v>1954.32</v>
      </c>
      <c r="M3628">
        <f>VLOOKUP(K3628,RatingLookup!$A$2:$C$8,2,FALSE)</f>
        <v>5.0000000000000001E-3</v>
      </c>
      <c r="N3628">
        <f t="shared" si="168"/>
        <v>4.1762458919303302E-4</v>
      </c>
      <c r="O3628">
        <f>VLOOKUP(K3628,RatingLookup!$A$2:$C$8,3,FALSE)</f>
        <v>0.45</v>
      </c>
      <c r="P3628">
        <f t="shared" si="169"/>
        <v>0.36727743921827771</v>
      </c>
      <c r="Q3628" t="str">
        <f t="shared" ca="1" si="170"/>
        <v>No</v>
      </c>
    </row>
    <row r="3629" spans="1:17" x14ac:dyDescent="0.45">
      <c r="A3629" t="s">
        <v>156</v>
      </c>
      <c r="B3629" t="s">
        <v>157</v>
      </c>
      <c r="C3629" t="s">
        <v>26</v>
      </c>
      <c r="D3629" t="s">
        <v>20</v>
      </c>
      <c r="E3629" t="s">
        <v>21</v>
      </c>
      <c r="F3629" s="1">
        <v>44652</v>
      </c>
      <c r="G3629">
        <v>5.78</v>
      </c>
      <c r="H3629">
        <v>84.565799999999996</v>
      </c>
      <c r="I3629">
        <v>17.5</v>
      </c>
      <c r="J3629">
        <v>72.680000000000007</v>
      </c>
      <c r="K3629" t="s">
        <v>22</v>
      </c>
      <c r="L3629">
        <v>1715.81</v>
      </c>
      <c r="M3629">
        <f>VLOOKUP(K3629,RatingLookup!$A$2:$C$8,2,FALSE)</f>
        <v>5.0000000000000001E-3</v>
      </c>
      <c r="N3629">
        <f t="shared" si="168"/>
        <v>4.1762458919303302E-4</v>
      </c>
      <c r="O3629">
        <f>VLOOKUP(K3629,RatingLookup!$A$2:$C$8,3,FALSE)</f>
        <v>0.45</v>
      </c>
      <c r="P3629">
        <f t="shared" si="169"/>
        <v>0.3224540008724841</v>
      </c>
      <c r="Q3629" t="str">
        <f t="shared" ca="1" si="170"/>
        <v>No</v>
      </c>
    </row>
    <row r="3630" spans="1:17" x14ac:dyDescent="0.45">
      <c r="A3630" t="s">
        <v>156</v>
      </c>
      <c r="B3630" t="s">
        <v>157</v>
      </c>
      <c r="C3630" t="s">
        <v>26</v>
      </c>
      <c r="D3630" t="s">
        <v>20</v>
      </c>
      <c r="E3630" t="s">
        <v>21</v>
      </c>
      <c r="F3630" s="1">
        <v>44682</v>
      </c>
      <c r="G3630">
        <v>5.0999999999999996</v>
      </c>
      <c r="H3630">
        <v>85.921999999999997</v>
      </c>
      <c r="I3630">
        <v>13.59</v>
      </c>
      <c r="J3630">
        <v>64.78</v>
      </c>
      <c r="K3630" t="s">
        <v>22</v>
      </c>
      <c r="L3630">
        <v>1776.77</v>
      </c>
      <c r="M3630">
        <f>VLOOKUP(K3630,RatingLookup!$A$2:$C$8,2,FALSE)</f>
        <v>5.0000000000000001E-3</v>
      </c>
      <c r="N3630">
        <f t="shared" si="168"/>
        <v>4.1762458919303302E-4</v>
      </c>
      <c r="O3630">
        <f>VLOOKUP(K3630,RatingLookup!$A$2:$C$8,3,FALSE)</f>
        <v>0.45</v>
      </c>
      <c r="P3630">
        <f t="shared" si="169"/>
        <v>0.33391027860322742</v>
      </c>
      <c r="Q3630" t="str">
        <f t="shared" ca="1" si="170"/>
        <v>No</v>
      </c>
    </row>
    <row r="3631" spans="1:17" x14ac:dyDescent="0.45">
      <c r="A3631" t="s">
        <v>156</v>
      </c>
      <c r="B3631" t="s">
        <v>157</v>
      </c>
      <c r="C3631" t="s">
        <v>26</v>
      </c>
      <c r="D3631" t="s">
        <v>20</v>
      </c>
      <c r="E3631" t="s">
        <v>21</v>
      </c>
      <c r="F3631" s="1">
        <v>44713</v>
      </c>
      <c r="G3631">
        <v>4.28</v>
      </c>
      <c r="H3631">
        <v>82.716700000000003</v>
      </c>
      <c r="I3631">
        <v>6.06</v>
      </c>
      <c r="J3631">
        <v>78.81</v>
      </c>
      <c r="K3631" t="s">
        <v>22</v>
      </c>
      <c r="L3631">
        <v>1756.8</v>
      </c>
      <c r="M3631">
        <f>VLOOKUP(K3631,RatingLookup!$A$2:$C$8,2,FALSE)</f>
        <v>5.0000000000000001E-3</v>
      </c>
      <c r="N3631">
        <f t="shared" si="168"/>
        <v>4.1762458919303302E-4</v>
      </c>
      <c r="O3631">
        <f>VLOOKUP(K3631,RatingLookup!$A$2:$C$8,3,FALSE)</f>
        <v>0.45</v>
      </c>
      <c r="P3631">
        <f t="shared" si="169"/>
        <v>0.33015729523244419</v>
      </c>
      <c r="Q3631" t="str">
        <f t="shared" ca="1" si="170"/>
        <v>No</v>
      </c>
    </row>
    <row r="3632" spans="1:17" x14ac:dyDescent="0.45">
      <c r="A3632" t="s">
        <v>156</v>
      </c>
      <c r="B3632" t="s">
        <v>157</v>
      </c>
      <c r="C3632" t="s">
        <v>26</v>
      </c>
      <c r="D3632" t="s">
        <v>20</v>
      </c>
      <c r="E3632" t="s">
        <v>21</v>
      </c>
      <c r="F3632" s="1">
        <v>44743</v>
      </c>
      <c r="G3632">
        <v>6.41</v>
      </c>
      <c r="H3632">
        <v>87.412400000000005</v>
      </c>
      <c r="I3632">
        <v>20.56</v>
      </c>
      <c r="J3632">
        <v>78.22</v>
      </c>
      <c r="K3632" t="s">
        <v>22</v>
      </c>
      <c r="L3632">
        <v>1952.52</v>
      </c>
      <c r="M3632">
        <f>VLOOKUP(K3632,RatingLookup!$A$2:$C$8,2,FALSE)</f>
        <v>5.0000000000000001E-3</v>
      </c>
      <c r="N3632">
        <f t="shared" si="168"/>
        <v>4.1762458919303302E-4</v>
      </c>
      <c r="O3632">
        <f>VLOOKUP(K3632,RatingLookup!$A$2:$C$8,3,FALSE)</f>
        <v>0.45</v>
      </c>
      <c r="P3632">
        <f t="shared" si="169"/>
        <v>0.36693916330103138</v>
      </c>
      <c r="Q3632" t="str">
        <f t="shared" ca="1" si="170"/>
        <v>No</v>
      </c>
    </row>
    <row r="3633" spans="1:17" x14ac:dyDescent="0.45">
      <c r="A3633" t="s">
        <v>156</v>
      </c>
      <c r="B3633" t="s">
        <v>157</v>
      </c>
      <c r="C3633" t="s">
        <v>26</v>
      </c>
      <c r="D3633" t="s">
        <v>20</v>
      </c>
      <c r="E3633" t="s">
        <v>21</v>
      </c>
      <c r="F3633" s="1">
        <v>44774</v>
      </c>
      <c r="G3633">
        <v>5.65</v>
      </c>
      <c r="H3633">
        <v>84.004400000000004</v>
      </c>
      <c r="I3633">
        <v>8.8000000000000007</v>
      </c>
      <c r="J3633">
        <v>89.7</v>
      </c>
      <c r="K3633" t="s">
        <v>22</v>
      </c>
      <c r="L3633">
        <v>1670.62</v>
      </c>
      <c r="M3633">
        <f>VLOOKUP(K3633,RatingLookup!$A$2:$C$8,2,FALSE)</f>
        <v>5.0000000000000001E-3</v>
      </c>
      <c r="N3633">
        <f t="shared" si="168"/>
        <v>4.1762458919303302E-4</v>
      </c>
      <c r="O3633">
        <f>VLOOKUP(K3633,RatingLookup!$A$2:$C$8,3,FALSE)</f>
        <v>0.45</v>
      </c>
      <c r="P3633">
        <f t="shared" si="169"/>
        <v>0.31396139603894918</v>
      </c>
      <c r="Q3633" t="str">
        <f t="shared" ca="1" si="170"/>
        <v>No</v>
      </c>
    </row>
    <row r="3634" spans="1:17" x14ac:dyDescent="0.45">
      <c r="A3634" t="s">
        <v>156</v>
      </c>
      <c r="B3634" t="s">
        <v>157</v>
      </c>
      <c r="C3634" t="s">
        <v>26</v>
      </c>
      <c r="D3634" t="s">
        <v>20</v>
      </c>
      <c r="E3634" t="s">
        <v>21</v>
      </c>
      <c r="F3634" s="1">
        <v>44805</v>
      </c>
      <c r="G3634">
        <v>4.99</v>
      </c>
      <c r="H3634">
        <v>83.412999999999997</v>
      </c>
      <c r="I3634">
        <v>29.11</v>
      </c>
      <c r="J3634">
        <v>75.510000000000005</v>
      </c>
      <c r="K3634" t="s">
        <v>22</v>
      </c>
      <c r="L3634">
        <v>1703.2</v>
      </c>
      <c r="M3634">
        <f>VLOOKUP(K3634,RatingLookup!$A$2:$C$8,2,FALSE)</f>
        <v>5.0000000000000001E-3</v>
      </c>
      <c r="N3634">
        <f t="shared" si="168"/>
        <v>4.1762458919303302E-4</v>
      </c>
      <c r="O3634">
        <f>VLOOKUP(K3634,RatingLookup!$A$2:$C$8,3,FALSE)</f>
        <v>0.45</v>
      </c>
      <c r="P3634">
        <f t="shared" si="169"/>
        <v>0.32008419014110823</v>
      </c>
      <c r="Q3634" t="str">
        <f t="shared" ca="1" si="170"/>
        <v>No</v>
      </c>
    </row>
    <row r="3635" spans="1:17" x14ac:dyDescent="0.45">
      <c r="A3635" t="s">
        <v>156</v>
      </c>
      <c r="B3635" t="s">
        <v>157</v>
      </c>
      <c r="C3635" t="s">
        <v>26</v>
      </c>
      <c r="D3635" t="s">
        <v>20</v>
      </c>
      <c r="E3635" t="s">
        <v>21</v>
      </c>
      <c r="F3635" s="1">
        <v>44835</v>
      </c>
      <c r="G3635">
        <v>6.14</v>
      </c>
      <c r="H3635">
        <v>84.175299999999993</v>
      </c>
      <c r="I3635">
        <v>17.329999999999998</v>
      </c>
      <c r="J3635">
        <v>75.86</v>
      </c>
      <c r="K3635" t="s">
        <v>22</v>
      </c>
      <c r="L3635">
        <v>1866.78</v>
      </c>
      <c r="M3635">
        <f>VLOOKUP(K3635,RatingLookup!$A$2:$C$8,2,FALSE)</f>
        <v>5.0000000000000001E-3</v>
      </c>
      <c r="N3635">
        <f t="shared" si="168"/>
        <v>4.1762458919303302E-4</v>
      </c>
      <c r="O3635">
        <f>VLOOKUP(K3635,RatingLookup!$A$2:$C$8,3,FALSE)</f>
        <v>0.45</v>
      </c>
      <c r="P3635">
        <f t="shared" si="169"/>
        <v>0.35082595377619658</v>
      </c>
      <c r="Q3635" t="str">
        <f t="shared" ca="1" si="170"/>
        <v>No</v>
      </c>
    </row>
    <row r="3636" spans="1:17" x14ac:dyDescent="0.45">
      <c r="A3636" t="s">
        <v>156</v>
      </c>
      <c r="B3636" t="s">
        <v>157</v>
      </c>
      <c r="C3636" t="s">
        <v>26</v>
      </c>
      <c r="D3636" t="s">
        <v>20</v>
      </c>
      <c r="E3636" t="s">
        <v>21</v>
      </c>
      <c r="F3636" s="1">
        <v>44866</v>
      </c>
      <c r="G3636">
        <v>5.57</v>
      </c>
      <c r="H3636">
        <v>78.784300000000002</v>
      </c>
      <c r="I3636">
        <v>17.14</v>
      </c>
      <c r="J3636">
        <v>69.62</v>
      </c>
      <c r="K3636" t="s">
        <v>22</v>
      </c>
      <c r="L3636">
        <v>1784.53</v>
      </c>
      <c r="M3636">
        <f>VLOOKUP(K3636,RatingLookup!$A$2:$C$8,2,FALSE)</f>
        <v>5.0000000000000001E-3</v>
      </c>
      <c r="N3636">
        <f t="shared" si="168"/>
        <v>4.1762458919303302E-4</v>
      </c>
      <c r="O3636">
        <f>VLOOKUP(K3636,RatingLookup!$A$2:$C$8,3,FALSE)</f>
        <v>0.45</v>
      </c>
      <c r="P3636">
        <f t="shared" si="169"/>
        <v>0.33536862366868947</v>
      </c>
      <c r="Q3636" t="str">
        <f t="shared" ca="1" si="170"/>
        <v>No</v>
      </c>
    </row>
    <row r="3637" spans="1:17" x14ac:dyDescent="0.45">
      <c r="A3637" t="s">
        <v>156</v>
      </c>
      <c r="B3637" t="s">
        <v>157</v>
      </c>
      <c r="C3637" t="s">
        <v>26</v>
      </c>
      <c r="D3637" t="s">
        <v>20</v>
      </c>
      <c r="E3637" t="s">
        <v>21</v>
      </c>
      <c r="F3637" s="1">
        <v>44896</v>
      </c>
      <c r="G3637">
        <v>5.25</v>
      </c>
      <c r="H3637">
        <v>76.182400000000001</v>
      </c>
      <c r="I3637">
        <v>10.67</v>
      </c>
      <c r="J3637">
        <v>82.67</v>
      </c>
      <c r="K3637" t="s">
        <v>30</v>
      </c>
      <c r="L3637">
        <v>1702.49</v>
      </c>
      <c r="M3637">
        <f>VLOOKUP(K3637,RatingLookup!$A$2:$C$8,2,FALSE)</f>
        <v>1.4999999999999999E-2</v>
      </c>
      <c r="N3637">
        <f t="shared" si="168"/>
        <v>1.2586770182638762E-3</v>
      </c>
      <c r="O3637">
        <f>VLOOKUP(K3637,RatingLookup!$A$2:$C$8,3,FALSE)</f>
        <v>0.5</v>
      </c>
      <c r="P3637">
        <f t="shared" si="169"/>
        <v>1.0714425184120333</v>
      </c>
      <c r="Q3637" t="str">
        <f t="shared" ca="1" si="170"/>
        <v>No</v>
      </c>
    </row>
    <row r="3638" spans="1:17" x14ac:dyDescent="0.45">
      <c r="A3638" t="s">
        <v>156</v>
      </c>
      <c r="B3638" t="s">
        <v>157</v>
      </c>
      <c r="C3638" t="s">
        <v>26</v>
      </c>
      <c r="D3638" t="s">
        <v>20</v>
      </c>
      <c r="E3638" t="s">
        <v>21</v>
      </c>
      <c r="F3638" s="1">
        <v>44927</v>
      </c>
      <c r="G3638">
        <v>5.98</v>
      </c>
      <c r="H3638">
        <v>85.301699999999997</v>
      </c>
      <c r="I3638">
        <v>22.04</v>
      </c>
      <c r="J3638">
        <v>67.34</v>
      </c>
      <c r="K3638" t="s">
        <v>30</v>
      </c>
      <c r="L3638">
        <v>1963.21</v>
      </c>
      <c r="M3638">
        <f>VLOOKUP(K3638,RatingLookup!$A$2:$C$8,2,FALSE)</f>
        <v>1.4999999999999999E-2</v>
      </c>
      <c r="N3638">
        <f t="shared" si="168"/>
        <v>1.2586770182638762E-3</v>
      </c>
      <c r="O3638">
        <f>VLOOKUP(K3638,RatingLookup!$A$2:$C$8,3,FALSE)</f>
        <v>0.5</v>
      </c>
      <c r="P3638">
        <f t="shared" si="169"/>
        <v>1.2355236545129122</v>
      </c>
      <c r="Q3638" t="str">
        <f t="shared" ca="1" si="170"/>
        <v>No</v>
      </c>
    </row>
    <row r="3639" spans="1:17" x14ac:dyDescent="0.45">
      <c r="A3639" t="s">
        <v>156</v>
      </c>
      <c r="B3639" t="s">
        <v>157</v>
      </c>
      <c r="C3639" t="s">
        <v>26</v>
      </c>
      <c r="D3639" t="s">
        <v>20</v>
      </c>
      <c r="E3639" t="s">
        <v>21</v>
      </c>
      <c r="F3639" s="1">
        <v>44958</v>
      </c>
      <c r="G3639">
        <v>4.93</v>
      </c>
      <c r="H3639">
        <v>83.436800000000005</v>
      </c>
      <c r="I3639">
        <v>27.37</v>
      </c>
      <c r="J3639">
        <v>72.37</v>
      </c>
      <c r="K3639" t="s">
        <v>30</v>
      </c>
      <c r="L3639">
        <v>1850.72</v>
      </c>
      <c r="M3639">
        <f>VLOOKUP(K3639,RatingLookup!$A$2:$C$8,2,FALSE)</f>
        <v>1.4999999999999999E-2</v>
      </c>
      <c r="N3639">
        <f t="shared" si="168"/>
        <v>1.2586770182638762E-3</v>
      </c>
      <c r="O3639">
        <f>VLOOKUP(K3639,RatingLookup!$A$2:$C$8,3,FALSE)</f>
        <v>0.5</v>
      </c>
      <c r="P3639">
        <f t="shared" si="169"/>
        <v>1.1647293656206605</v>
      </c>
      <c r="Q3639" t="str">
        <f t="shared" ca="1" si="170"/>
        <v>No</v>
      </c>
    </row>
    <row r="3640" spans="1:17" x14ac:dyDescent="0.45">
      <c r="A3640" t="s">
        <v>156</v>
      </c>
      <c r="B3640" t="s">
        <v>157</v>
      </c>
      <c r="C3640" t="s">
        <v>26</v>
      </c>
      <c r="D3640" t="s">
        <v>20</v>
      </c>
      <c r="E3640" t="s">
        <v>21</v>
      </c>
      <c r="F3640" s="1">
        <v>44986</v>
      </c>
      <c r="G3640">
        <v>5.76</v>
      </c>
      <c r="H3640">
        <v>85.983199999999997</v>
      </c>
      <c r="I3640">
        <v>11.84</v>
      </c>
      <c r="J3640">
        <v>73.19</v>
      </c>
      <c r="K3640" t="s">
        <v>30</v>
      </c>
      <c r="L3640">
        <v>1842.78</v>
      </c>
      <c r="M3640">
        <f>VLOOKUP(K3640,RatingLookup!$A$2:$C$8,2,FALSE)</f>
        <v>1.4999999999999999E-2</v>
      </c>
      <c r="N3640">
        <f t="shared" si="168"/>
        <v>1.2586770182638762E-3</v>
      </c>
      <c r="O3640">
        <f>VLOOKUP(K3640,RatingLookup!$A$2:$C$8,3,FALSE)</f>
        <v>0.5</v>
      </c>
      <c r="P3640">
        <f t="shared" si="169"/>
        <v>1.159732417858153</v>
      </c>
      <c r="Q3640" t="str">
        <f t="shared" ca="1" si="170"/>
        <v>No</v>
      </c>
    </row>
    <row r="3641" spans="1:17" x14ac:dyDescent="0.45">
      <c r="A3641" t="s">
        <v>156</v>
      </c>
      <c r="B3641" t="s">
        <v>157</v>
      </c>
      <c r="C3641" t="s">
        <v>26</v>
      </c>
      <c r="D3641" t="s">
        <v>20</v>
      </c>
      <c r="E3641" t="s">
        <v>21</v>
      </c>
      <c r="F3641" s="1">
        <v>45017</v>
      </c>
      <c r="G3641">
        <v>6.28</v>
      </c>
      <c r="H3641">
        <v>85.2607</v>
      </c>
      <c r="I3641">
        <v>27.78</v>
      </c>
      <c r="J3641">
        <v>92.31</v>
      </c>
      <c r="K3641" t="s">
        <v>30</v>
      </c>
      <c r="L3641">
        <v>1896.59</v>
      </c>
      <c r="M3641">
        <f>VLOOKUP(K3641,RatingLookup!$A$2:$C$8,2,FALSE)</f>
        <v>1.4999999999999999E-2</v>
      </c>
      <c r="N3641">
        <f t="shared" si="168"/>
        <v>1.2586770182638762E-3</v>
      </c>
      <c r="O3641">
        <f>VLOOKUP(K3641,RatingLookup!$A$2:$C$8,3,FALSE)</f>
        <v>0.5</v>
      </c>
      <c r="P3641">
        <f t="shared" si="169"/>
        <v>1.1935971230345426</v>
      </c>
      <c r="Q3641" t="str">
        <f t="shared" ca="1" si="170"/>
        <v>No</v>
      </c>
    </row>
    <row r="3642" spans="1:17" x14ac:dyDescent="0.45">
      <c r="A3642" t="s">
        <v>156</v>
      </c>
      <c r="B3642" t="s">
        <v>157</v>
      </c>
      <c r="C3642" t="s">
        <v>26</v>
      </c>
      <c r="D3642" t="s">
        <v>20</v>
      </c>
      <c r="E3642" t="s">
        <v>21</v>
      </c>
      <c r="F3642" s="1">
        <v>45047</v>
      </c>
      <c r="G3642">
        <v>4.21</v>
      </c>
      <c r="H3642">
        <v>83.110799999999998</v>
      </c>
      <c r="I3642">
        <v>23.62</v>
      </c>
      <c r="J3642">
        <v>51.76</v>
      </c>
      <c r="K3642" t="s">
        <v>30</v>
      </c>
      <c r="L3642">
        <v>1724.08</v>
      </c>
      <c r="M3642">
        <f>VLOOKUP(K3642,RatingLookup!$A$2:$C$8,2,FALSE)</f>
        <v>1.4999999999999999E-2</v>
      </c>
      <c r="N3642">
        <f t="shared" si="168"/>
        <v>1.2586770182638762E-3</v>
      </c>
      <c r="O3642">
        <f>VLOOKUP(K3642,RatingLookup!$A$2:$C$8,3,FALSE)</f>
        <v>0.5</v>
      </c>
      <c r="P3642">
        <f t="shared" si="169"/>
        <v>1.0850299368241918</v>
      </c>
      <c r="Q3642" t="str">
        <f t="shared" ca="1" si="170"/>
        <v>No</v>
      </c>
    </row>
    <row r="3643" spans="1:17" x14ac:dyDescent="0.45">
      <c r="A3643" t="s">
        <v>156</v>
      </c>
      <c r="B3643" t="s">
        <v>157</v>
      </c>
      <c r="C3643" t="s">
        <v>26</v>
      </c>
      <c r="D3643" t="s">
        <v>20</v>
      </c>
      <c r="E3643" t="s">
        <v>21</v>
      </c>
      <c r="F3643" s="1">
        <v>45078</v>
      </c>
      <c r="G3643">
        <v>4.8899999999999997</v>
      </c>
      <c r="H3643">
        <v>85.523600000000002</v>
      </c>
      <c r="I3643">
        <v>10.92</v>
      </c>
      <c r="J3643">
        <v>82.54</v>
      </c>
      <c r="K3643" t="s">
        <v>30</v>
      </c>
      <c r="L3643">
        <v>1709.69</v>
      </c>
      <c r="M3643">
        <f>VLOOKUP(K3643,RatingLookup!$A$2:$C$8,2,FALSE)</f>
        <v>1.4999999999999999E-2</v>
      </c>
      <c r="N3643">
        <f t="shared" si="168"/>
        <v>1.2586770182638762E-3</v>
      </c>
      <c r="O3643">
        <f>VLOOKUP(K3643,RatingLookup!$A$2:$C$8,3,FALSE)</f>
        <v>0.5</v>
      </c>
      <c r="P3643">
        <f t="shared" si="169"/>
        <v>1.0759737556777833</v>
      </c>
      <c r="Q3643" t="str">
        <f t="shared" ca="1" si="170"/>
        <v>No</v>
      </c>
    </row>
    <row r="3644" spans="1:17" x14ac:dyDescent="0.45">
      <c r="A3644" t="s">
        <v>156</v>
      </c>
      <c r="B3644" t="s">
        <v>157</v>
      </c>
      <c r="C3644" t="s">
        <v>26</v>
      </c>
      <c r="D3644" t="s">
        <v>20</v>
      </c>
      <c r="E3644" t="s">
        <v>21</v>
      </c>
      <c r="F3644" s="1">
        <v>45108</v>
      </c>
      <c r="G3644">
        <v>4.7699999999999996</v>
      </c>
      <c r="H3644">
        <v>81.159400000000005</v>
      </c>
      <c r="I3644">
        <v>12.15</v>
      </c>
      <c r="J3644">
        <v>80.12</v>
      </c>
      <c r="K3644" t="s">
        <v>30</v>
      </c>
      <c r="L3644">
        <v>1894.84</v>
      </c>
      <c r="M3644">
        <f>VLOOKUP(K3644,RatingLookup!$A$2:$C$8,2,FALSE)</f>
        <v>1.4999999999999999E-2</v>
      </c>
      <c r="N3644">
        <f t="shared" si="168"/>
        <v>1.2586770182638762E-3</v>
      </c>
      <c r="O3644">
        <f>VLOOKUP(K3644,RatingLookup!$A$2:$C$8,3,FALSE)</f>
        <v>0.5</v>
      </c>
      <c r="P3644">
        <f t="shared" si="169"/>
        <v>1.1924957806435617</v>
      </c>
      <c r="Q3644" t="str">
        <f t="shared" ca="1" si="170"/>
        <v>No</v>
      </c>
    </row>
    <row r="3645" spans="1:17" x14ac:dyDescent="0.45">
      <c r="A3645" t="s">
        <v>156</v>
      </c>
      <c r="B3645" t="s">
        <v>157</v>
      </c>
      <c r="C3645" t="s">
        <v>26</v>
      </c>
      <c r="D3645" t="s">
        <v>20</v>
      </c>
      <c r="E3645" t="s">
        <v>21</v>
      </c>
      <c r="F3645" s="1">
        <v>45139</v>
      </c>
      <c r="G3645">
        <v>6.12</v>
      </c>
      <c r="H3645">
        <v>82.799099999999996</v>
      </c>
      <c r="I3645">
        <v>26.45</v>
      </c>
      <c r="J3645">
        <v>77.73</v>
      </c>
      <c r="K3645" t="s">
        <v>30</v>
      </c>
      <c r="L3645">
        <v>1819.65</v>
      </c>
      <c r="M3645">
        <f>VLOOKUP(K3645,RatingLookup!$A$2:$C$8,2,FALSE)</f>
        <v>1.4999999999999999E-2</v>
      </c>
      <c r="N3645">
        <f t="shared" si="168"/>
        <v>1.2586770182638762E-3</v>
      </c>
      <c r="O3645">
        <f>VLOOKUP(K3645,RatingLookup!$A$2:$C$8,3,FALSE)</f>
        <v>0.5</v>
      </c>
      <c r="P3645">
        <f t="shared" si="169"/>
        <v>1.1451758181419311</v>
      </c>
      <c r="Q3645" t="str">
        <f t="shared" ca="1" si="170"/>
        <v>No</v>
      </c>
    </row>
    <row r="3646" spans="1:17" x14ac:dyDescent="0.45">
      <c r="A3646" t="s">
        <v>156</v>
      </c>
      <c r="B3646" t="s">
        <v>157</v>
      </c>
      <c r="C3646" t="s">
        <v>26</v>
      </c>
      <c r="D3646" t="s">
        <v>20</v>
      </c>
      <c r="E3646" t="s">
        <v>21</v>
      </c>
      <c r="F3646" s="1">
        <v>45170</v>
      </c>
      <c r="G3646">
        <v>5.69</v>
      </c>
      <c r="H3646">
        <v>83.82</v>
      </c>
      <c r="I3646">
        <v>27.13</v>
      </c>
      <c r="J3646">
        <v>68.98</v>
      </c>
      <c r="K3646" t="s">
        <v>22</v>
      </c>
      <c r="L3646">
        <v>1890.93</v>
      </c>
      <c r="M3646">
        <f>VLOOKUP(K3646,RatingLookup!$A$2:$C$8,2,FALSE)</f>
        <v>5.0000000000000001E-3</v>
      </c>
      <c r="N3646">
        <f t="shared" si="168"/>
        <v>4.1762458919303302E-4</v>
      </c>
      <c r="O3646">
        <f>VLOOKUP(K3646,RatingLookup!$A$2:$C$8,3,FALSE)</f>
        <v>0.45</v>
      </c>
      <c r="P3646">
        <f t="shared" si="169"/>
        <v>0.35536448899925188</v>
      </c>
      <c r="Q3646" t="str">
        <f t="shared" ca="1" si="170"/>
        <v>No</v>
      </c>
    </row>
    <row r="3647" spans="1:17" x14ac:dyDescent="0.45">
      <c r="A3647" t="s">
        <v>156</v>
      </c>
      <c r="B3647" t="s">
        <v>157</v>
      </c>
      <c r="C3647" t="s">
        <v>26</v>
      </c>
      <c r="D3647" t="s">
        <v>20</v>
      </c>
      <c r="E3647" t="s">
        <v>21</v>
      </c>
      <c r="F3647" s="1">
        <v>45200</v>
      </c>
      <c r="G3647">
        <v>5.2</v>
      </c>
      <c r="H3647">
        <v>84.013300000000001</v>
      </c>
      <c r="I3647">
        <v>28.12</v>
      </c>
      <c r="J3647">
        <v>72.03</v>
      </c>
      <c r="K3647" t="s">
        <v>22</v>
      </c>
      <c r="L3647">
        <v>2010.79</v>
      </c>
      <c r="M3647">
        <f>VLOOKUP(K3647,RatingLookup!$A$2:$C$8,2,FALSE)</f>
        <v>5.0000000000000001E-3</v>
      </c>
      <c r="N3647">
        <f t="shared" si="168"/>
        <v>4.1762458919303302E-4</v>
      </c>
      <c r="O3647">
        <f>VLOOKUP(K3647,RatingLookup!$A$2:$C$8,3,FALSE)</f>
        <v>0.45</v>
      </c>
      <c r="P3647">
        <f t="shared" si="169"/>
        <v>0.37788990646655646</v>
      </c>
      <c r="Q3647" t="str">
        <f t="shared" ca="1" si="170"/>
        <v>No</v>
      </c>
    </row>
    <row r="3648" spans="1:17" x14ac:dyDescent="0.45">
      <c r="A3648" t="s">
        <v>156</v>
      </c>
      <c r="B3648" t="s">
        <v>157</v>
      </c>
      <c r="C3648" t="s">
        <v>26</v>
      </c>
      <c r="D3648" t="s">
        <v>20</v>
      </c>
      <c r="E3648" t="s">
        <v>21</v>
      </c>
      <c r="F3648" s="1">
        <v>45231</v>
      </c>
      <c r="G3648">
        <v>4.93</v>
      </c>
      <c r="H3648">
        <v>80.237700000000004</v>
      </c>
      <c r="I3648">
        <v>18.760000000000002</v>
      </c>
      <c r="J3648">
        <v>95.09</v>
      </c>
      <c r="K3648" t="s">
        <v>22</v>
      </c>
      <c r="L3648">
        <v>1974.14</v>
      </c>
      <c r="M3648">
        <f>VLOOKUP(K3648,RatingLookup!$A$2:$C$8,2,FALSE)</f>
        <v>5.0000000000000001E-3</v>
      </c>
      <c r="N3648">
        <f t="shared" si="168"/>
        <v>4.1762458919303302E-4</v>
      </c>
      <c r="O3648">
        <f>VLOOKUP(K3648,RatingLookup!$A$2:$C$8,3,FALSE)</f>
        <v>0.45</v>
      </c>
      <c r="P3648">
        <f t="shared" si="169"/>
        <v>0.37100223292929041</v>
      </c>
      <c r="Q3648" t="str">
        <f t="shared" ca="1" si="170"/>
        <v>No</v>
      </c>
    </row>
    <row r="3649" spans="1:17" x14ac:dyDescent="0.45">
      <c r="A3649" t="s">
        <v>156</v>
      </c>
      <c r="B3649" t="s">
        <v>157</v>
      </c>
      <c r="C3649" t="s">
        <v>26</v>
      </c>
      <c r="D3649" t="s">
        <v>20</v>
      </c>
      <c r="E3649" t="s">
        <v>21</v>
      </c>
      <c r="F3649" s="1">
        <v>45261</v>
      </c>
      <c r="G3649">
        <v>5.58</v>
      </c>
      <c r="H3649">
        <v>80.309799999999996</v>
      </c>
      <c r="I3649">
        <v>19.78</v>
      </c>
      <c r="J3649">
        <v>80.17</v>
      </c>
      <c r="K3649" t="s">
        <v>22</v>
      </c>
      <c r="L3649">
        <v>1862.22</v>
      </c>
      <c r="M3649">
        <f>VLOOKUP(K3649,RatingLookup!$A$2:$C$8,2,FALSE)</f>
        <v>5.0000000000000001E-3</v>
      </c>
      <c r="N3649">
        <f t="shared" si="168"/>
        <v>4.1762458919303302E-4</v>
      </c>
      <c r="O3649">
        <f>VLOOKUP(K3649,RatingLookup!$A$2:$C$8,3,FALSE)</f>
        <v>0.45</v>
      </c>
      <c r="P3649">
        <f t="shared" si="169"/>
        <v>0.34996898811917249</v>
      </c>
      <c r="Q3649" t="str">
        <f t="shared" ca="1" si="170"/>
        <v>No</v>
      </c>
    </row>
    <row r="3650" spans="1:17" x14ac:dyDescent="0.45">
      <c r="A3650" t="s">
        <v>156</v>
      </c>
      <c r="B3650" t="s">
        <v>157</v>
      </c>
      <c r="C3650" t="s">
        <v>26</v>
      </c>
      <c r="D3650" t="s">
        <v>20</v>
      </c>
      <c r="E3650" t="s">
        <v>21</v>
      </c>
      <c r="F3650" s="1">
        <v>45292</v>
      </c>
      <c r="G3650">
        <v>4.07</v>
      </c>
      <c r="H3650">
        <v>80.882800000000003</v>
      </c>
      <c r="I3650">
        <v>15.03</v>
      </c>
      <c r="J3650">
        <v>78.22</v>
      </c>
      <c r="K3650" t="s">
        <v>22</v>
      </c>
      <c r="L3650">
        <v>1855.04</v>
      </c>
      <c r="M3650">
        <f>VLOOKUP(K3650,RatingLookup!$A$2:$C$8,2,FALSE)</f>
        <v>5.0000000000000001E-3</v>
      </c>
      <c r="N3650">
        <f t="shared" ref="N3650:N3713" si="171">1-(1-M3650)^(1/12)</f>
        <v>4.1762458919303302E-4</v>
      </c>
      <c r="O3650">
        <f>VLOOKUP(K3650,RatingLookup!$A$2:$C$8,3,FALSE)</f>
        <v>0.45</v>
      </c>
      <c r="P3650">
        <f t="shared" ref="P3650:P3713" si="172">L3650*N3650*O3650</f>
        <v>0.34861964307148979</v>
      </c>
      <c r="Q3650" t="str">
        <f t="shared" ref="Q3650:Q3713" ca="1" si="173">IF(RAND()&lt;N3650,"Yes","No")</f>
        <v>No</v>
      </c>
    </row>
    <row r="3651" spans="1:17" x14ac:dyDescent="0.45">
      <c r="A3651" t="s">
        <v>156</v>
      </c>
      <c r="B3651" t="s">
        <v>157</v>
      </c>
      <c r="C3651" t="s">
        <v>26</v>
      </c>
      <c r="D3651" t="s">
        <v>20</v>
      </c>
      <c r="E3651" t="s">
        <v>21</v>
      </c>
      <c r="F3651" s="1">
        <v>45323</v>
      </c>
      <c r="G3651">
        <v>5.88</v>
      </c>
      <c r="H3651">
        <v>83.784999999999997</v>
      </c>
      <c r="I3651">
        <v>26.17</v>
      </c>
      <c r="J3651">
        <v>76.900000000000006</v>
      </c>
      <c r="K3651" t="s">
        <v>22</v>
      </c>
      <c r="L3651">
        <v>1803.43</v>
      </c>
      <c r="M3651">
        <f>VLOOKUP(K3651,RatingLookup!$A$2:$C$8,2,FALSE)</f>
        <v>5.0000000000000001E-3</v>
      </c>
      <c r="N3651">
        <f t="shared" si="171"/>
        <v>4.1762458919303302E-4</v>
      </c>
      <c r="O3651">
        <f>VLOOKUP(K3651,RatingLookup!$A$2:$C$8,3,FALSE)</f>
        <v>0.45</v>
      </c>
      <c r="P3651">
        <f t="shared" si="172"/>
        <v>0.33892052079977625</v>
      </c>
      <c r="Q3651" t="str">
        <f t="shared" ca="1" si="173"/>
        <v>No</v>
      </c>
    </row>
    <row r="3652" spans="1:17" x14ac:dyDescent="0.45">
      <c r="A3652" t="s">
        <v>156</v>
      </c>
      <c r="B3652" t="s">
        <v>157</v>
      </c>
      <c r="C3652" t="s">
        <v>26</v>
      </c>
      <c r="D3652" t="s">
        <v>20</v>
      </c>
      <c r="E3652" t="s">
        <v>21</v>
      </c>
      <c r="F3652" s="1">
        <v>45352</v>
      </c>
      <c r="G3652">
        <v>5.56</v>
      </c>
      <c r="H3652">
        <v>82.360100000000003</v>
      </c>
      <c r="I3652">
        <v>25.51</v>
      </c>
      <c r="J3652">
        <v>89.85</v>
      </c>
      <c r="K3652" t="s">
        <v>22</v>
      </c>
      <c r="L3652">
        <v>1974.37</v>
      </c>
      <c r="M3652">
        <f>VLOOKUP(K3652,RatingLookup!$A$2:$C$8,2,FALSE)</f>
        <v>5.0000000000000001E-3</v>
      </c>
      <c r="N3652">
        <f t="shared" si="171"/>
        <v>4.1762458919303302E-4</v>
      </c>
      <c r="O3652">
        <f>VLOOKUP(K3652,RatingLookup!$A$2:$C$8,3,FALSE)</f>
        <v>0.45</v>
      </c>
      <c r="P3652">
        <f t="shared" si="172"/>
        <v>0.37104545707427189</v>
      </c>
      <c r="Q3652" t="str">
        <f t="shared" ca="1" si="173"/>
        <v>No</v>
      </c>
    </row>
    <row r="3653" spans="1:17" x14ac:dyDescent="0.45">
      <c r="A3653" t="s">
        <v>156</v>
      </c>
      <c r="B3653" t="s">
        <v>157</v>
      </c>
      <c r="C3653" t="s">
        <v>26</v>
      </c>
      <c r="D3653" t="s">
        <v>20</v>
      </c>
      <c r="E3653" t="s">
        <v>21</v>
      </c>
      <c r="F3653" s="1">
        <v>45383</v>
      </c>
      <c r="G3653">
        <v>4.91</v>
      </c>
      <c r="H3653">
        <v>85.8185</v>
      </c>
      <c r="I3653">
        <v>15.94</v>
      </c>
      <c r="J3653">
        <v>76.78</v>
      </c>
      <c r="K3653" t="s">
        <v>22</v>
      </c>
      <c r="L3653">
        <v>1732.56</v>
      </c>
      <c r="M3653">
        <f>VLOOKUP(K3653,RatingLookup!$A$2:$C$8,2,FALSE)</f>
        <v>5.0000000000000001E-3</v>
      </c>
      <c r="N3653">
        <f t="shared" si="171"/>
        <v>4.1762458919303302E-4</v>
      </c>
      <c r="O3653">
        <f>VLOOKUP(K3653,RatingLookup!$A$2:$C$8,3,FALSE)</f>
        <v>0.45</v>
      </c>
      <c r="P3653">
        <f t="shared" si="172"/>
        <v>0.32560184621352661</v>
      </c>
      <c r="Q3653" t="str">
        <f t="shared" ca="1" si="173"/>
        <v>No</v>
      </c>
    </row>
    <row r="3654" spans="1:17" x14ac:dyDescent="0.45">
      <c r="A3654" t="s">
        <v>156</v>
      </c>
      <c r="B3654" t="s">
        <v>157</v>
      </c>
      <c r="C3654" t="s">
        <v>26</v>
      </c>
      <c r="D3654" t="s">
        <v>20</v>
      </c>
      <c r="E3654" t="s">
        <v>21</v>
      </c>
      <c r="F3654" s="1">
        <v>45413</v>
      </c>
      <c r="G3654">
        <v>5.21</v>
      </c>
      <c r="H3654">
        <v>84.437200000000004</v>
      </c>
      <c r="I3654">
        <v>19.91</v>
      </c>
      <c r="J3654">
        <v>83.85</v>
      </c>
      <c r="K3654" t="s">
        <v>22</v>
      </c>
      <c r="L3654">
        <v>1824.84</v>
      </c>
      <c r="M3654">
        <f>VLOOKUP(K3654,RatingLookup!$A$2:$C$8,2,FALSE)</f>
        <v>5.0000000000000001E-3</v>
      </c>
      <c r="N3654">
        <f t="shared" si="171"/>
        <v>4.1762458919303302E-4</v>
      </c>
      <c r="O3654">
        <f>VLOOKUP(K3654,RatingLookup!$A$2:$C$8,3,FALSE)</f>
        <v>0.45</v>
      </c>
      <c r="P3654">
        <f t="shared" si="172"/>
        <v>0.34294412490435644</v>
      </c>
      <c r="Q3654" t="str">
        <f t="shared" ca="1" si="173"/>
        <v>No</v>
      </c>
    </row>
    <row r="3655" spans="1:17" x14ac:dyDescent="0.45">
      <c r="A3655" t="s">
        <v>156</v>
      </c>
      <c r="B3655" t="s">
        <v>157</v>
      </c>
      <c r="C3655" t="s">
        <v>26</v>
      </c>
      <c r="D3655" t="s">
        <v>20</v>
      </c>
      <c r="E3655" t="s">
        <v>21</v>
      </c>
      <c r="F3655" s="1">
        <v>45444</v>
      </c>
      <c r="G3655">
        <v>4.74</v>
      </c>
      <c r="H3655">
        <v>84.361099999999993</v>
      </c>
      <c r="I3655">
        <v>13.71</v>
      </c>
      <c r="J3655">
        <v>78.81</v>
      </c>
      <c r="K3655" t="s">
        <v>22</v>
      </c>
      <c r="L3655">
        <v>2050.9699999999998</v>
      </c>
      <c r="M3655">
        <f>VLOOKUP(K3655,RatingLookup!$A$2:$C$8,2,FALSE)</f>
        <v>5.0000000000000001E-3</v>
      </c>
      <c r="N3655">
        <f t="shared" si="171"/>
        <v>4.1762458919303302E-4</v>
      </c>
      <c r="O3655">
        <f>VLOOKUP(K3655,RatingLookup!$A$2:$C$8,3,FALSE)</f>
        <v>0.45</v>
      </c>
      <c r="P3655">
        <f t="shared" si="172"/>
        <v>0.38544097666375571</v>
      </c>
      <c r="Q3655" t="str">
        <f t="shared" ca="1" si="173"/>
        <v>No</v>
      </c>
    </row>
    <row r="3656" spans="1:17" x14ac:dyDescent="0.45">
      <c r="A3656" t="s">
        <v>156</v>
      </c>
      <c r="B3656" t="s">
        <v>157</v>
      </c>
      <c r="C3656" t="s">
        <v>26</v>
      </c>
      <c r="D3656" t="s">
        <v>20</v>
      </c>
      <c r="E3656" t="s">
        <v>21</v>
      </c>
      <c r="F3656" s="1">
        <v>45474</v>
      </c>
      <c r="G3656">
        <v>5.8</v>
      </c>
      <c r="H3656">
        <v>82.725399999999993</v>
      </c>
      <c r="I3656">
        <v>14.35</v>
      </c>
      <c r="J3656">
        <v>80.64</v>
      </c>
      <c r="K3656" t="s">
        <v>22</v>
      </c>
      <c r="L3656">
        <v>2007.18</v>
      </c>
      <c r="M3656">
        <f>VLOOKUP(K3656,RatingLookup!$A$2:$C$8,2,FALSE)</f>
        <v>5.0000000000000001E-3</v>
      </c>
      <c r="N3656">
        <f t="shared" si="171"/>
        <v>4.1762458919303302E-4</v>
      </c>
      <c r="O3656">
        <f>VLOOKUP(K3656,RatingLookup!$A$2:$C$8,3,FALSE)</f>
        <v>0.45</v>
      </c>
      <c r="P3656">
        <f t="shared" si="172"/>
        <v>0.37721147532141247</v>
      </c>
      <c r="Q3656" t="str">
        <f t="shared" ca="1" si="173"/>
        <v>No</v>
      </c>
    </row>
    <row r="3657" spans="1:17" x14ac:dyDescent="0.45">
      <c r="A3657" t="s">
        <v>156</v>
      </c>
      <c r="B3657" t="s">
        <v>157</v>
      </c>
      <c r="C3657" t="s">
        <v>26</v>
      </c>
      <c r="D3657" t="s">
        <v>20</v>
      </c>
      <c r="E3657" t="s">
        <v>21</v>
      </c>
      <c r="F3657" s="1">
        <v>45505</v>
      </c>
      <c r="G3657">
        <v>5.86</v>
      </c>
      <c r="H3657">
        <v>84.9358</v>
      </c>
      <c r="I3657">
        <v>21.97</v>
      </c>
      <c r="J3657">
        <v>64.239999999999995</v>
      </c>
      <c r="K3657" t="s">
        <v>22</v>
      </c>
      <c r="L3657">
        <v>1755.66</v>
      </c>
      <c r="M3657">
        <f>VLOOKUP(K3657,RatingLookup!$A$2:$C$8,2,FALSE)</f>
        <v>5.0000000000000001E-3</v>
      </c>
      <c r="N3657">
        <f t="shared" si="171"/>
        <v>4.1762458919303302E-4</v>
      </c>
      <c r="O3657">
        <f>VLOOKUP(K3657,RatingLookup!$A$2:$C$8,3,FALSE)</f>
        <v>0.45</v>
      </c>
      <c r="P3657">
        <f t="shared" si="172"/>
        <v>0.32994305381818817</v>
      </c>
      <c r="Q3657" t="str">
        <f t="shared" ca="1" si="173"/>
        <v>No</v>
      </c>
    </row>
    <row r="3658" spans="1:17" x14ac:dyDescent="0.45">
      <c r="A3658" t="s">
        <v>156</v>
      </c>
      <c r="B3658" t="s">
        <v>157</v>
      </c>
      <c r="C3658" t="s">
        <v>26</v>
      </c>
      <c r="D3658" t="s">
        <v>20</v>
      </c>
      <c r="E3658" t="s">
        <v>21</v>
      </c>
      <c r="F3658" s="1">
        <v>45536</v>
      </c>
      <c r="G3658">
        <v>4.66</v>
      </c>
      <c r="H3658">
        <v>85.962199999999996</v>
      </c>
      <c r="I3658">
        <v>26.42</v>
      </c>
      <c r="J3658">
        <v>73.5</v>
      </c>
      <c r="K3658" t="s">
        <v>22</v>
      </c>
      <c r="L3658">
        <v>1809.38</v>
      </c>
      <c r="M3658">
        <f>VLOOKUP(K3658,RatingLookup!$A$2:$C$8,2,FALSE)</f>
        <v>5.0000000000000001E-3</v>
      </c>
      <c r="N3658">
        <f t="shared" si="171"/>
        <v>4.1762458919303302E-4</v>
      </c>
      <c r="O3658">
        <f>VLOOKUP(K3658,RatingLookup!$A$2:$C$8,3,FALSE)</f>
        <v>0.45</v>
      </c>
      <c r="P3658">
        <f t="shared" si="172"/>
        <v>0.34003871063734059</v>
      </c>
      <c r="Q3658" t="str">
        <f t="shared" ca="1" si="173"/>
        <v>No</v>
      </c>
    </row>
    <row r="3659" spans="1:17" x14ac:dyDescent="0.45">
      <c r="A3659" t="s">
        <v>156</v>
      </c>
      <c r="B3659" t="s">
        <v>157</v>
      </c>
      <c r="C3659" t="s">
        <v>26</v>
      </c>
      <c r="D3659" t="s">
        <v>20</v>
      </c>
      <c r="E3659" t="s">
        <v>21</v>
      </c>
      <c r="F3659" s="1">
        <v>45566</v>
      </c>
      <c r="G3659">
        <v>5.55</v>
      </c>
      <c r="H3659">
        <v>80.458600000000004</v>
      </c>
      <c r="I3659">
        <v>17.03</v>
      </c>
      <c r="J3659">
        <v>76.459999999999994</v>
      </c>
      <c r="K3659" t="s">
        <v>22</v>
      </c>
      <c r="L3659">
        <v>1762.81</v>
      </c>
      <c r="M3659">
        <f>VLOOKUP(K3659,RatingLookup!$A$2:$C$8,2,FALSE)</f>
        <v>5.0000000000000001E-3</v>
      </c>
      <c r="N3659">
        <f t="shared" si="171"/>
        <v>4.1762458919303302E-4</v>
      </c>
      <c r="O3659">
        <f>VLOOKUP(K3659,RatingLookup!$A$2:$C$8,3,FALSE)</f>
        <v>0.45</v>
      </c>
      <c r="P3659">
        <f t="shared" si="172"/>
        <v>0.33128676093391674</v>
      </c>
      <c r="Q3659" t="str">
        <f t="shared" ca="1" si="173"/>
        <v>No</v>
      </c>
    </row>
    <row r="3660" spans="1:17" x14ac:dyDescent="0.45">
      <c r="A3660" t="s">
        <v>156</v>
      </c>
      <c r="B3660" t="s">
        <v>157</v>
      </c>
      <c r="C3660" t="s">
        <v>26</v>
      </c>
      <c r="D3660" t="s">
        <v>20</v>
      </c>
      <c r="E3660" t="s">
        <v>21</v>
      </c>
      <c r="F3660" s="1">
        <v>45597</v>
      </c>
      <c r="G3660">
        <v>6.28</v>
      </c>
      <c r="H3660">
        <v>83.543400000000005</v>
      </c>
      <c r="I3660">
        <v>15.31</v>
      </c>
      <c r="J3660">
        <v>84.68</v>
      </c>
      <c r="K3660" t="s">
        <v>22</v>
      </c>
      <c r="L3660">
        <v>1890.51</v>
      </c>
      <c r="M3660">
        <f>VLOOKUP(K3660,RatingLookup!$A$2:$C$8,2,FALSE)</f>
        <v>5.0000000000000001E-3</v>
      </c>
      <c r="N3660">
        <f t="shared" si="171"/>
        <v>4.1762458919303302E-4</v>
      </c>
      <c r="O3660">
        <f>VLOOKUP(K3660,RatingLookup!$A$2:$C$8,3,FALSE)</f>
        <v>0.45</v>
      </c>
      <c r="P3660">
        <f t="shared" si="172"/>
        <v>0.35528555795189443</v>
      </c>
      <c r="Q3660" t="str">
        <f t="shared" ca="1" si="173"/>
        <v>No</v>
      </c>
    </row>
    <row r="3661" spans="1:17" x14ac:dyDescent="0.45">
      <c r="A3661" t="s">
        <v>156</v>
      </c>
      <c r="B3661" t="s">
        <v>157</v>
      </c>
      <c r="C3661" t="s">
        <v>26</v>
      </c>
      <c r="D3661" t="s">
        <v>20</v>
      </c>
      <c r="E3661" t="s">
        <v>21</v>
      </c>
      <c r="F3661" s="1">
        <v>45627</v>
      </c>
      <c r="G3661">
        <v>6.29</v>
      </c>
      <c r="H3661">
        <v>84.671899999999994</v>
      </c>
      <c r="I3661">
        <v>24.9</v>
      </c>
      <c r="J3661">
        <v>81.22</v>
      </c>
      <c r="K3661" t="s">
        <v>23</v>
      </c>
      <c r="L3661">
        <v>1858.05</v>
      </c>
      <c r="M3661">
        <f>VLOOKUP(K3661,RatingLookup!$A$2:$C$8,2,FALSE)</f>
        <v>1E-3</v>
      </c>
      <c r="N3661">
        <f t="shared" si="171"/>
        <v>8.3371552197619714E-5</v>
      </c>
      <c r="O3661">
        <f>VLOOKUP(K3661,RatingLookup!$A$2:$C$8,3,FALSE)</f>
        <v>0.3</v>
      </c>
      <c r="P3661">
        <f t="shared" si="172"/>
        <v>4.647255376823619E-2</v>
      </c>
      <c r="Q3661" t="str">
        <f t="shared" ca="1" si="173"/>
        <v>No</v>
      </c>
    </row>
    <row r="3662" spans="1:17" x14ac:dyDescent="0.45">
      <c r="A3662" t="s">
        <v>158</v>
      </c>
      <c r="B3662" t="s">
        <v>159</v>
      </c>
      <c r="C3662" t="s">
        <v>61</v>
      </c>
      <c r="D3662" t="s">
        <v>20</v>
      </c>
      <c r="E3662" t="s">
        <v>21</v>
      </c>
      <c r="F3662" s="1">
        <v>43831</v>
      </c>
      <c r="G3662">
        <v>5.87</v>
      </c>
      <c r="H3662">
        <v>81.901399999999995</v>
      </c>
      <c r="I3662">
        <v>25.3</v>
      </c>
      <c r="J3662">
        <v>62.43</v>
      </c>
      <c r="K3662" t="s">
        <v>31</v>
      </c>
      <c r="L3662">
        <v>440.65</v>
      </c>
      <c r="M3662">
        <f>VLOOKUP(K3662,RatingLookup!$A$2:$C$8,2,FALSE)</f>
        <v>0.04</v>
      </c>
      <c r="N3662">
        <f t="shared" si="171"/>
        <v>3.3960531989175591E-3</v>
      </c>
      <c r="O3662">
        <f>VLOOKUP(K3662,RatingLookup!$A$2:$C$8,3,FALSE)</f>
        <v>0.6</v>
      </c>
      <c r="P3662">
        <f t="shared" si="172"/>
        <v>0.89788250526181346</v>
      </c>
      <c r="Q3662" t="str">
        <f t="shared" ca="1" si="173"/>
        <v>No</v>
      </c>
    </row>
    <row r="3663" spans="1:17" x14ac:dyDescent="0.45">
      <c r="A3663" t="s">
        <v>158</v>
      </c>
      <c r="B3663" t="s">
        <v>159</v>
      </c>
      <c r="C3663" t="s">
        <v>61</v>
      </c>
      <c r="D3663" t="s">
        <v>20</v>
      </c>
      <c r="E3663" t="s">
        <v>21</v>
      </c>
      <c r="F3663" s="1">
        <v>43862</v>
      </c>
      <c r="G3663">
        <v>6.03</v>
      </c>
      <c r="H3663">
        <v>83.280900000000003</v>
      </c>
      <c r="I3663">
        <v>10.35</v>
      </c>
      <c r="J3663">
        <v>75.510000000000005</v>
      </c>
      <c r="K3663" t="s">
        <v>30</v>
      </c>
      <c r="L3663">
        <v>391.87</v>
      </c>
      <c r="M3663">
        <f>VLOOKUP(K3663,RatingLookup!$A$2:$C$8,2,FALSE)</f>
        <v>1.4999999999999999E-2</v>
      </c>
      <c r="N3663">
        <f t="shared" si="171"/>
        <v>1.2586770182638762E-3</v>
      </c>
      <c r="O3663">
        <f>VLOOKUP(K3663,RatingLookup!$A$2:$C$8,3,FALSE)</f>
        <v>0.5</v>
      </c>
      <c r="P3663">
        <f t="shared" si="172"/>
        <v>0.24661888157353259</v>
      </c>
      <c r="Q3663" t="str">
        <f t="shared" ca="1" si="173"/>
        <v>No</v>
      </c>
    </row>
    <row r="3664" spans="1:17" x14ac:dyDescent="0.45">
      <c r="A3664" t="s">
        <v>158</v>
      </c>
      <c r="B3664" t="s">
        <v>159</v>
      </c>
      <c r="C3664" t="s">
        <v>61</v>
      </c>
      <c r="D3664" t="s">
        <v>20</v>
      </c>
      <c r="E3664" t="s">
        <v>21</v>
      </c>
      <c r="F3664" s="1">
        <v>43891</v>
      </c>
      <c r="G3664">
        <v>5.14</v>
      </c>
      <c r="H3664">
        <v>77.765699999999995</v>
      </c>
      <c r="I3664">
        <v>10.92</v>
      </c>
      <c r="J3664">
        <v>59.79</v>
      </c>
      <c r="K3664" t="s">
        <v>30</v>
      </c>
      <c r="L3664">
        <v>407.3</v>
      </c>
      <c r="M3664">
        <f>VLOOKUP(K3664,RatingLookup!$A$2:$C$8,2,FALSE)</f>
        <v>1.4999999999999999E-2</v>
      </c>
      <c r="N3664">
        <f t="shared" si="171"/>
        <v>1.2586770182638762E-3</v>
      </c>
      <c r="O3664">
        <f>VLOOKUP(K3664,RatingLookup!$A$2:$C$8,3,FALSE)</f>
        <v>0.5</v>
      </c>
      <c r="P3664">
        <f t="shared" si="172"/>
        <v>0.25632957476943841</v>
      </c>
      <c r="Q3664" t="str">
        <f t="shared" ca="1" si="173"/>
        <v>No</v>
      </c>
    </row>
    <row r="3665" spans="1:17" x14ac:dyDescent="0.45">
      <c r="A3665" t="s">
        <v>158</v>
      </c>
      <c r="B3665" t="s">
        <v>159</v>
      </c>
      <c r="C3665" t="s">
        <v>61</v>
      </c>
      <c r="D3665" t="s">
        <v>20</v>
      </c>
      <c r="E3665" t="s">
        <v>21</v>
      </c>
      <c r="F3665" s="1">
        <v>43922</v>
      </c>
      <c r="G3665">
        <v>5.82</v>
      </c>
      <c r="H3665">
        <v>83.144900000000007</v>
      </c>
      <c r="I3665">
        <v>20.32</v>
      </c>
      <c r="J3665">
        <v>74.239999999999995</v>
      </c>
      <c r="K3665" t="s">
        <v>30</v>
      </c>
      <c r="L3665">
        <v>421.2</v>
      </c>
      <c r="M3665">
        <f>VLOOKUP(K3665,RatingLookup!$A$2:$C$8,2,FALSE)</f>
        <v>1.4999999999999999E-2</v>
      </c>
      <c r="N3665">
        <f t="shared" si="171"/>
        <v>1.2586770182638762E-3</v>
      </c>
      <c r="O3665">
        <f>VLOOKUP(K3665,RatingLookup!$A$2:$C$8,3,FALSE)</f>
        <v>0.5</v>
      </c>
      <c r="P3665">
        <f t="shared" si="172"/>
        <v>0.26507738004637232</v>
      </c>
      <c r="Q3665" t="str">
        <f t="shared" ca="1" si="173"/>
        <v>No</v>
      </c>
    </row>
    <row r="3666" spans="1:17" x14ac:dyDescent="0.45">
      <c r="A3666" t="s">
        <v>158</v>
      </c>
      <c r="B3666" t="s">
        <v>159</v>
      </c>
      <c r="C3666" t="s">
        <v>61</v>
      </c>
      <c r="D3666" t="s">
        <v>20</v>
      </c>
      <c r="E3666" t="s">
        <v>21</v>
      </c>
      <c r="F3666" s="1">
        <v>43952</v>
      </c>
      <c r="G3666">
        <v>5.62</v>
      </c>
      <c r="H3666">
        <v>77.691500000000005</v>
      </c>
      <c r="I3666">
        <v>22.45</v>
      </c>
      <c r="J3666">
        <v>82.81</v>
      </c>
      <c r="K3666" t="s">
        <v>30</v>
      </c>
      <c r="L3666">
        <v>411</v>
      </c>
      <c r="M3666">
        <f>VLOOKUP(K3666,RatingLookup!$A$2:$C$8,2,FALSE)</f>
        <v>1.4999999999999999E-2</v>
      </c>
      <c r="N3666">
        <f t="shared" si="171"/>
        <v>1.2586770182638762E-3</v>
      </c>
      <c r="O3666">
        <f>VLOOKUP(K3666,RatingLookup!$A$2:$C$8,3,FALSE)</f>
        <v>0.5</v>
      </c>
      <c r="P3666">
        <f t="shared" si="172"/>
        <v>0.25865812725322657</v>
      </c>
      <c r="Q3666" t="str">
        <f t="shared" ca="1" si="173"/>
        <v>No</v>
      </c>
    </row>
    <row r="3667" spans="1:17" x14ac:dyDescent="0.45">
      <c r="A3667" t="s">
        <v>158</v>
      </c>
      <c r="B3667" t="s">
        <v>159</v>
      </c>
      <c r="C3667" t="s">
        <v>61</v>
      </c>
      <c r="D3667" t="s">
        <v>20</v>
      </c>
      <c r="E3667" t="s">
        <v>21</v>
      </c>
      <c r="F3667" s="1">
        <v>43983</v>
      </c>
      <c r="G3667">
        <v>5.64</v>
      </c>
      <c r="H3667">
        <v>83.125600000000006</v>
      </c>
      <c r="I3667">
        <v>11.61</v>
      </c>
      <c r="J3667">
        <v>95.89</v>
      </c>
      <c r="K3667" t="s">
        <v>30</v>
      </c>
      <c r="L3667">
        <v>436</v>
      </c>
      <c r="M3667">
        <f>VLOOKUP(K3667,RatingLookup!$A$2:$C$8,2,FALSE)</f>
        <v>1.4999999999999999E-2</v>
      </c>
      <c r="N3667">
        <f t="shared" si="171"/>
        <v>1.2586770182638762E-3</v>
      </c>
      <c r="O3667">
        <f>VLOOKUP(K3667,RatingLookup!$A$2:$C$8,3,FALSE)</f>
        <v>0.5</v>
      </c>
      <c r="P3667">
        <f t="shared" si="172"/>
        <v>0.27439158998152502</v>
      </c>
      <c r="Q3667" t="str">
        <f t="shared" ca="1" si="173"/>
        <v>No</v>
      </c>
    </row>
    <row r="3668" spans="1:17" x14ac:dyDescent="0.45">
      <c r="A3668" t="s">
        <v>158</v>
      </c>
      <c r="B3668" t="s">
        <v>159</v>
      </c>
      <c r="C3668" t="s">
        <v>61</v>
      </c>
      <c r="D3668" t="s">
        <v>20</v>
      </c>
      <c r="E3668" t="s">
        <v>21</v>
      </c>
      <c r="F3668" s="1">
        <v>44013</v>
      </c>
      <c r="G3668">
        <v>5.97</v>
      </c>
      <c r="H3668">
        <v>80.257999999999996</v>
      </c>
      <c r="I3668">
        <v>15.09</v>
      </c>
      <c r="J3668">
        <v>52.73</v>
      </c>
      <c r="K3668" t="s">
        <v>30</v>
      </c>
      <c r="L3668">
        <v>403.01</v>
      </c>
      <c r="M3668">
        <f>VLOOKUP(K3668,RatingLookup!$A$2:$C$8,2,FALSE)</f>
        <v>1.4999999999999999E-2</v>
      </c>
      <c r="N3668">
        <f t="shared" si="171"/>
        <v>1.2586770182638762E-3</v>
      </c>
      <c r="O3668">
        <f>VLOOKUP(K3668,RatingLookup!$A$2:$C$8,3,FALSE)</f>
        <v>0.5</v>
      </c>
      <c r="P3668">
        <f t="shared" si="172"/>
        <v>0.2536297125652624</v>
      </c>
      <c r="Q3668" t="str">
        <f t="shared" ca="1" si="173"/>
        <v>No</v>
      </c>
    </row>
    <row r="3669" spans="1:17" x14ac:dyDescent="0.45">
      <c r="A3669" t="s">
        <v>158</v>
      </c>
      <c r="B3669" t="s">
        <v>159</v>
      </c>
      <c r="C3669" t="s">
        <v>61</v>
      </c>
      <c r="D3669" t="s">
        <v>20</v>
      </c>
      <c r="E3669" t="s">
        <v>21</v>
      </c>
      <c r="F3669" s="1">
        <v>44044</v>
      </c>
      <c r="G3669">
        <v>5.9</v>
      </c>
      <c r="H3669">
        <v>83.007599999999996</v>
      </c>
      <c r="I3669">
        <v>14.95</v>
      </c>
      <c r="J3669">
        <v>61.19</v>
      </c>
      <c r="K3669" t="s">
        <v>30</v>
      </c>
      <c r="L3669">
        <v>406.15</v>
      </c>
      <c r="M3669">
        <f>VLOOKUP(K3669,RatingLookup!$A$2:$C$8,2,FALSE)</f>
        <v>1.4999999999999999E-2</v>
      </c>
      <c r="N3669">
        <f t="shared" si="171"/>
        <v>1.2586770182638762E-3</v>
      </c>
      <c r="O3669">
        <f>VLOOKUP(K3669,RatingLookup!$A$2:$C$8,3,FALSE)</f>
        <v>0.5</v>
      </c>
      <c r="P3669">
        <f t="shared" si="172"/>
        <v>0.25560583548393667</v>
      </c>
      <c r="Q3669" t="str">
        <f t="shared" ca="1" si="173"/>
        <v>No</v>
      </c>
    </row>
    <row r="3670" spans="1:17" x14ac:dyDescent="0.45">
      <c r="A3670" t="s">
        <v>158</v>
      </c>
      <c r="B3670" t="s">
        <v>159</v>
      </c>
      <c r="C3670" t="s">
        <v>61</v>
      </c>
      <c r="D3670" t="s">
        <v>20</v>
      </c>
      <c r="E3670" t="s">
        <v>21</v>
      </c>
      <c r="F3670" s="1">
        <v>44075</v>
      </c>
      <c r="G3670">
        <v>5.44</v>
      </c>
      <c r="H3670">
        <v>83.468199999999996</v>
      </c>
      <c r="I3670">
        <v>24.03</v>
      </c>
      <c r="J3670">
        <v>73.540000000000006</v>
      </c>
      <c r="K3670" t="s">
        <v>30</v>
      </c>
      <c r="L3670">
        <v>450.79</v>
      </c>
      <c r="M3670">
        <f>VLOOKUP(K3670,RatingLookup!$A$2:$C$8,2,FALSE)</f>
        <v>1.4999999999999999E-2</v>
      </c>
      <c r="N3670">
        <f t="shared" si="171"/>
        <v>1.2586770182638762E-3</v>
      </c>
      <c r="O3670">
        <f>VLOOKUP(K3670,RatingLookup!$A$2:$C$8,3,FALSE)</f>
        <v>0.5</v>
      </c>
      <c r="P3670">
        <f t="shared" si="172"/>
        <v>0.28369950653158638</v>
      </c>
      <c r="Q3670" t="str">
        <f t="shared" ca="1" si="173"/>
        <v>No</v>
      </c>
    </row>
    <row r="3671" spans="1:17" x14ac:dyDescent="0.45">
      <c r="A3671" t="s">
        <v>158</v>
      </c>
      <c r="B3671" t="s">
        <v>159</v>
      </c>
      <c r="C3671" t="s">
        <v>61</v>
      </c>
      <c r="D3671" t="s">
        <v>20</v>
      </c>
      <c r="E3671" t="s">
        <v>21</v>
      </c>
      <c r="F3671" s="1">
        <v>44105</v>
      </c>
      <c r="G3671">
        <v>5.37</v>
      </c>
      <c r="H3671">
        <v>84.102099999999993</v>
      </c>
      <c r="I3671">
        <v>9.89</v>
      </c>
      <c r="J3671">
        <v>78.19</v>
      </c>
      <c r="K3671" t="s">
        <v>30</v>
      </c>
      <c r="L3671">
        <v>439.94</v>
      </c>
      <c r="M3671">
        <f>VLOOKUP(K3671,RatingLookup!$A$2:$C$8,2,FALSE)</f>
        <v>1.4999999999999999E-2</v>
      </c>
      <c r="N3671">
        <f t="shared" si="171"/>
        <v>1.2586770182638762E-3</v>
      </c>
      <c r="O3671">
        <f>VLOOKUP(K3671,RatingLookup!$A$2:$C$8,3,FALSE)</f>
        <v>0.5</v>
      </c>
      <c r="P3671">
        <f t="shared" si="172"/>
        <v>0.27687118370750485</v>
      </c>
      <c r="Q3671" t="str">
        <f t="shared" ca="1" si="173"/>
        <v>No</v>
      </c>
    </row>
    <row r="3672" spans="1:17" x14ac:dyDescent="0.45">
      <c r="A3672" t="s">
        <v>158</v>
      </c>
      <c r="B3672" t="s">
        <v>159</v>
      </c>
      <c r="C3672" t="s">
        <v>61</v>
      </c>
      <c r="D3672" t="s">
        <v>20</v>
      </c>
      <c r="E3672" t="s">
        <v>21</v>
      </c>
      <c r="F3672" s="1">
        <v>44136</v>
      </c>
      <c r="G3672">
        <v>6.12</v>
      </c>
      <c r="H3672">
        <v>83.565700000000007</v>
      </c>
      <c r="I3672">
        <v>12.68</v>
      </c>
      <c r="J3672">
        <v>81.77</v>
      </c>
      <c r="K3672" t="s">
        <v>30</v>
      </c>
      <c r="L3672">
        <v>443.86</v>
      </c>
      <c r="M3672">
        <f>VLOOKUP(K3672,RatingLookup!$A$2:$C$8,2,FALSE)</f>
        <v>1.4999999999999999E-2</v>
      </c>
      <c r="N3672">
        <f t="shared" si="171"/>
        <v>1.2586770182638762E-3</v>
      </c>
      <c r="O3672">
        <f>VLOOKUP(K3672,RatingLookup!$A$2:$C$8,3,FALSE)</f>
        <v>0.5</v>
      </c>
      <c r="P3672">
        <f t="shared" si="172"/>
        <v>0.27933819066330207</v>
      </c>
      <c r="Q3672" t="str">
        <f t="shared" ca="1" si="173"/>
        <v>No</v>
      </c>
    </row>
    <row r="3673" spans="1:17" x14ac:dyDescent="0.45">
      <c r="A3673" t="s">
        <v>158</v>
      </c>
      <c r="B3673" t="s">
        <v>159</v>
      </c>
      <c r="C3673" t="s">
        <v>61</v>
      </c>
      <c r="D3673" t="s">
        <v>20</v>
      </c>
      <c r="E3673" t="s">
        <v>21</v>
      </c>
      <c r="F3673" s="1">
        <v>44166</v>
      </c>
      <c r="G3673">
        <v>5.89</v>
      </c>
      <c r="H3673">
        <v>84.709500000000006</v>
      </c>
      <c r="I3673">
        <v>18.23</v>
      </c>
      <c r="J3673">
        <v>66.56</v>
      </c>
      <c r="K3673" t="s">
        <v>30</v>
      </c>
      <c r="L3673">
        <v>419.68</v>
      </c>
      <c r="M3673">
        <f>VLOOKUP(K3673,RatingLookup!$A$2:$C$8,2,FALSE)</f>
        <v>1.4999999999999999E-2</v>
      </c>
      <c r="N3673">
        <f t="shared" si="171"/>
        <v>1.2586770182638762E-3</v>
      </c>
      <c r="O3673">
        <f>VLOOKUP(K3673,RatingLookup!$A$2:$C$8,3,FALSE)</f>
        <v>0.5</v>
      </c>
      <c r="P3673">
        <f t="shared" si="172"/>
        <v>0.2641207855124918</v>
      </c>
      <c r="Q3673" t="str">
        <f t="shared" ca="1" si="173"/>
        <v>No</v>
      </c>
    </row>
    <row r="3674" spans="1:17" x14ac:dyDescent="0.45">
      <c r="A3674" t="s">
        <v>158</v>
      </c>
      <c r="B3674" t="s">
        <v>159</v>
      </c>
      <c r="C3674" t="s">
        <v>61</v>
      </c>
      <c r="D3674" t="s">
        <v>20</v>
      </c>
      <c r="E3674" t="s">
        <v>21</v>
      </c>
      <c r="F3674" s="1">
        <v>44197</v>
      </c>
      <c r="G3674">
        <v>6.28</v>
      </c>
      <c r="H3674">
        <v>82.300299999999993</v>
      </c>
      <c r="I3674">
        <v>10.29</v>
      </c>
      <c r="J3674">
        <v>84.12</v>
      </c>
      <c r="K3674" t="s">
        <v>30</v>
      </c>
      <c r="L3674">
        <v>414</v>
      </c>
      <c r="M3674">
        <f>VLOOKUP(K3674,RatingLookup!$A$2:$C$8,2,FALSE)</f>
        <v>1.4999999999999999E-2</v>
      </c>
      <c r="N3674">
        <f t="shared" si="171"/>
        <v>1.2586770182638762E-3</v>
      </c>
      <c r="O3674">
        <f>VLOOKUP(K3674,RatingLookup!$A$2:$C$8,3,FALSE)</f>
        <v>0.5</v>
      </c>
      <c r="P3674">
        <f t="shared" si="172"/>
        <v>0.26054614278062238</v>
      </c>
      <c r="Q3674" t="str">
        <f t="shared" ca="1" si="173"/>
        <v>No</v>
      </c>
    </row>
    <row r="3675" spans="1:17" x14ac:dyDescent="0.45">
      <c r="A3675" t="s">
        <v>158</v>
      </c>
      <c r="B3675" t="s">
        <v>159</v>
      </c>
      <c r="C3675" t="s">
        <v>61</v>
      </c>
      <c r="D3675" t="s">
        <v>20</v>
      </c>
      <c r="E3675" t="s">
        <v>21</v>
      </c>
      <c r="F3675" s="1">
        <v>44228</v>
      </c>
      <c r="G3675">
        <v>5.56</v>
      </c>
      <c r="H3675">
        <v>81.524699999999996</v>
      </c>
      <c r="I3675">
        <v>14.58</v>
      </c>
      <c r="J3675">
        <v>78.209999999999994</v>
      </c>
      <c r="K3675" t="s">
        <v>30</v>
      </c>
      <c r="L3675">
        <v>449.07</v>
      </c>
      <c r="M3675">
        <f>VLOOKUP(K3675,RatingLookup!$A$2:$C$8,2,FALSE)</f>
        <v>1.4999999999999999E-2</v>
      </c>
      <c r="N3675">
        <f t="shared" si="171"/>
        <v>1.2586770182638762E-3</v>
      </c>
      <c r="O3675">
        <f>VLOOKUP(K3675,RatingLookup!$A$2:$C$8,3,FALSE)</f>
        <v>0.5</v>
      </c>
      <c r="P3675">
        <f t="shared" si="172"/>
        <v>0.28261704429587947</v>
      </c>
      <c r="Q3675" t="str">
        <f t="shared" ca="1" si="173"/>
        <v>No</v>
      </c>
    </row>
    <row r="3676" spans="1:17" x14ac:dyDescent="0.45">
      <c r="A3676" t="s">
        <v>158</v>
      </c>
      <c r="B3676" t="s">
        <v>159</v>
      </c>
      <c r="C3676" t="s">
        <v>61</v>
      </c>
      <c r="D3676" t="s">
        <v>20</v>
      </c>
      <c r="E3676" t="s">
        <v>21</v>
      </c>
      <c r="F3676" s="1">
        <v>44256</v>
      </c>
      <c r="G3676">
        <v>5.48</v>
      </c>
      <c r="H3676">
        <v>82.500399999999999</v>
      </c>
      <c r="I3676">
        <v>13.48</v>
      </c>
      <c r="J3676">
        <v>86.97</v>
      </c>
      <c r="K3676" t="s">
        <v>30</v>
      </c>
      <c r="L3676">
        <v>444.93</v>
      </c>
      <c r="M3676">
        <f>VLOOKUP(K3676,RatingLookup!$A$2:$C$8,2,FALSE)</f>
        <v>1.4999999999999999E-2</v>
      </c>
      <c r="N3676">
        <f t="shared" si="171"/>
        <v>1.2586770182638762E-3</v>
      </c>
      <c r="O3676">
        <f>VLOOKUP(K3676,RatingLookup!$A$2:$C$8,3,FALSE)</f>
        <v>0.5</v>
      </c>
      <c r="P3676">
        <f t="shared" si="172"/>
        <v>0.28001158286807321</v>
      </c>
      <c r="Q3676" t="str">
        <f t="shared" ca="1" si="173"/>
        <v>No</v>
      </c>
    </row>
    <row r="3677" spans="1:17" x14ac:dyDescent="0.45">
      <c r="A3677" t="s">
        <v>158</v>
      </c>
      <c r="B3677" t="s">
        <v>159</v>
      </c>
      <c r="C3677" t="s">
        <v>61</v>
      </c>
      <c r="D3677" t="s">
        <v>20</v>
      </c>
      <c r="E3677" t="s">
        <v>21</v>
      </c>
      <c r="F3677" s="1">
        <v>44287</v>
      </c>
      <c r="G3677">
        <v>5.83</v>
      </c>
      <c r="H3677">
        <v>82.477900000000005</v>
      </c>
      <c r="I3677">
        <v>24.95</v>
      </c>
      <c r="J3677">
        <v>76.150000000000006</v>
      </c>
      <c r="K3677" t="s">
        <v>30</v>
      </c>
      <c r="L3677">
        <v>434.08</v>
      </c>
      <c r="M3677">
        <f>VLOOKUP(K3677,RatingLookup!$A$2:$C$8,2,FALSE)</f>
        <v>1.4999999999999999E-2</v>
      </c>
      <c r="N3677">
        <f t="shared" si="171"/>
        <v>1.2586770182638762E-3</v>
      </c>
      <c r="O3677">
        <f>VLOOKUP(K3677,RatingLookup!$A$2:$C$8,3,FALSE)</f>
        <v>0.5</v>
      </c>
      <c r="P3677">
        <f t="shared" si="172"/>
        <v>0.27318326004399168</v>
      </c>
      <c r="Q3677" t="str">
        <f t="shared" ca="1" si="173"/>
        <v>No</v>
      </c>
    </row>
    <row r="3678" spans="1:17" x14ac:dyDescent="0.45">
      <c r="A3678" t="s">
        <v>158</v>
      </c>
      <c r="B3678" t="s">
        <v>159</v>
      </c>
      <c r="C3678" t="s">
        <v>61</v>
      </c>
      <c r="D3678" t="s">
        <v>20</v>
      </c>
      <c r="E3678" t="s">
        <v>21</v>
      </c>
      <c r="F3678" s="1">
        <v>44317</v>
      </c>
      <c r="G3678">
        <v>4.3499999999999996</v>
      </c>
      <c r="H3678">
        <v>82.617599999999996</v>
      </c>
      <c r="I3678">
        <v>20.7</v>
      </c>
      <c r="J3678">
        <v>80.53</v>
      </c>
      <c r="K3678" t="s">
        <v>30</v>
      </c>
      <c r="L3678">
        <v>467.47</v>
      </c>
      <c r="M3678">
        <f>VLOOKUP(K3678,RatingLookup!$A$2:$C$8,2,FALSE)</f>
        <v>1.4999999999999999E-2</v>
      </c>
      <c r="N3678">
        <f t="shared" si="171"/>
        <v>1.2586770182638762E-3</v>
      </c>
      <c r="O3678">
        <f>VLOOKUP(K3678,RatingLookup!$A$2:$C$8,3,FALSE)</f>
        <v>0.5</v>
      </c>
      <c r="P3678">
        <f t="shared" si="172"/>
        <v>0.29419687286390711</v>
      </c>
      <c r="Q3678" t="str">
        <f t="shared" ca="1" si="173"/>
        <v>No</v>
      </c>
    </row>
    <row r="3679" spans="1:17" x14ac:dyDescent="0.45">
      <c r="A3679" t="s">
        <v>158</v>
      </c>
      <c r="B3679" t="s">
        <v>159</v>
      </c>
      <c r="C3679" t="s">
        <v>61</v>
      </c>
      <c r="D3679" t="s">
        <v>20</v>
      </c>
      <c r="E3679" t="s">
        <v>21</v>
      </c>
      <c r="F3679" s="1">
        <v>44348</v>
      </c>
      <c r="G3679">
        <v>5.15</v>
      </c>
      <c r="H3679">
        <v>78.967299999999994</v>
      </c>
      <c r="I3679">
        <v>27.37</v>
      </c>
      <c r="J3679">
        <v>87.23</v>
      </c>
      <c r="K3679" t="s">
        <v>30</v>
      </c>
      <c r="L3679">
        <v>435.11</v>
      </c>
      <c r="M3679">
        <f>VLOOKUP(K3679,RatingLookup!$A$2:$C$8,2,FALSE)</f>
        <v>1.4999999999999999E-2</v>
      </c>
      <c r="N3679">
        <f t="shared" si="171"/>
        <v>1.2586770182638762E-3</v>
      </c>
      <c r="O3679">
        <f>VLOOKUP(K3679,RatingLookup!$A$2:$C$8,3,FALSE)</f>
        <v>0.5</v>
      </c>
      <c r="P3679">
        <f t="shared" si="172"/>
        <v>0.27383147870839758</v>
      </c>
      <c r="Q3679" t="str">
        <f t="shared" ca="1" si="173"/>
        <v>No</v>
      </c>
    </row>
    <row r="3680" spans="1:17" x14ac:dyDescent="0.45">
      <c r="A3680" t="s">
        <v>158</v>
      </c>
      <c r="B3680" t="s">
        <v>159</v>
      </c>
      <c r="C3680" t="s">
        <v>61</v>
      </c>
      <c r="D3680" t="s">
        <v>20</v>
      </c>
      <c r="E3680" t="s">
        <v>21</v>
      </c>
      <c r="F3680" s="1">
        <v>44378</v>
      </c>
      <c r="G3680">
        <v>5.65</v>
      </c>
      <c r="H3680">
        <v>85.8292</v>
      </c>
      <c r="I3680">
        <v>10.46</v>
      </c>
      <c r="J3680">
        <v>74.7</v>
      </c>
      <c r="K3680" t="s">
        <v>30</v>
      </c>
      <c r="L3680">
        <v>427.13</v>
      </c>
      <c r="M3680">
        <f>VLOOKUP(K3680,RatingLookup!$A$2:$C$8,2,FALSE)</f>
        <v>1.4999999999999999E-2</v>
      </c>
      <c r="N3680">
        <f t="shared" si="171"/>
        <v>1.2586770182638762E-3</v>
      </c>
      <c r="O3680">
        <f>VLOOKUP(K3680,RatingLookup!$A$2:$C$8,3,FALSE)</f>
        <v>0.5</v>
      </c>
      <c r="P3680">
        <f t="shared" si="172"/>
        <v>0.26880935740552475</v>
      </c>
      <c r="Q3680" t="str">
        <f t="shared" ca="1" si="173"/>
        <v>No</v>
      </c>
    </row>
    <row r="3681" spans="1:17" x14ac:dyDescent="0.45">
      <c r="A3681" t="s">
        <v>158</v>
      </c>
      <c r="B3681" t="s">
        <v>159</v>
      </c>
      <c r="C3681" t="s">
        <v>61</v>
      </c>
      <c r="D3681" t="s">
        <v>20</v>
      </c>
      <c r="E3681" t="s">
        <v>21</v>
      </c>
      <c r="F3681" s="1">
        <v>44409</v>
      </c>
      <c r="G3681">
        <v>5.21</v>
      </c>
      <c r="H3681">
        <v>80.375200000000007</v>
      </c>
      <c r="I3681">
        <v>19.190000000000001</v>
      </c>
      <c r="J3681">
        <v>65.099999999999994</v>
      </c>
      <c r="K3681" t="s">
        <v>30</v>
      </c>
      <c r="L3681">
        <v>452.65</v>
      </c>
      <c r="M3681">
        <f>VLOOKUP(K3681,RatingLookup!$A$2:$C$8,2,FALSE)</f>
        <v>1.4999999999999999E-2</v>
      </c>
      <c r="N3681">
        <f t="shared" si="171"/>
        <v>1.2586770182638762E-3</v>
      </c>
      <c r="O3681">
        <f>VLOOKUP(K3681,RatingLookup!$A$2:$C$8,3,FALSE)</f>
        <v>0.5</v>
      </c>
      <c r="P3681">
        <f t="shared" si="172"/>
        <v>0.28487007615857179</v>
      </c>
      <c r="Q3681" t="str">
        <f t="shared" ca="1" si="173"/>
        <v>No</v>
      </c>
    </row>
    <row r="3682" spans="1:17" x14ac:dyDescent="0.45">
      <c r="A3682" t="s">
        <v>158</v>
      </c>
      <c r="B3682" t="s">
        <v>159</v>
      </c>
      <c r="C3682" t="s">
        <v>61</v>
      </c>
      <c r="D3682" t="s">
        <v>20</v>
      </c>
      <c r="E3682" t="s">
        <v>21</v>
      </c>
      <c r="F3682" s="1">
        <v>44440</v>
      </c>
      <c r="G3682">
        <v>5.2</v>
      </c>
      <c r="H3682">
        <v>76.891000000000005</v>
      </c>
      <c r="I3682">
        <v>24.24</v>
      </c>
      <c r="J3682">
        <v>71.45</v>
      </c>
      <c r="K3682" t="s">
        <v>30</v>
      </c>
      <c r="L3682">
        <v>463.44</v>
      </c>
      <c r="M3682">
        <f>VLOOKUP(K3682,RatingLookup!$A$2:$C$8,2,FALSE)</f>
        <v>1.4999999999999999E-2</v>
      </c>
      <c r="N3682">
        <f t="shared" si="171"/>
        <v>1.2586770182638762E-3</v>
      </c>
      <c r="O3682">
        <f>VLOOKUP(K3682,RatingLookup!$A$2:$C$8,3,FALSE)</f>
        <v>0.5</v>
      </c>
      <c r="P3682">
        <f t="shared" si="172"/>
        <v>0.2916606386721054</v>
      </c>
      <c r="Q3682" t="str">
        <f t="shared" ca="1" si="173"/>
        <v>No</v>
      </c>
    </row>
    <row r="3683" spans="1:17" x14ac:dyDescent="0.45">
      <c r="A3683" t="s">
        <v>158</v>
      </c>
      <c r="B3683" t="s">
        <v>159</v>
      </c>
      <c r="C3683" t="s">
        <v>61</v>
      </c>
      <c r="D3683" t="s">
        <v>20</v>
      </c>
      <c r="E3683" t="s">
        <v>21</v>
      </c>
      <c r="F3683" s="1">
        <v>44470</v>
      </c>
      <c r="G3683">
        <v>6.15</v>
      </c>
      <c r="H3683">
        <v>82.656599999999997</v>
      </c>
      <c r="I3683">
        <v>10.01</v>
      </c>
      <c r="J3683">
        <v>91.33</v>
      </c>
      <c r="K3683" t="s">
        <v>30</v>
      </c>
      <c r="L3683">
        <v>429.16</v>
      </c>
      <c r="M3683">
        <f>VLOOKUP(K3683,RatingLookup!$A$2:$C$8,2,FALSE)</f>
        <v>1.4999999999999999E-2</v>
      </c>
      <c r="N3683">
        <f t="shared" si="171"/>
        <v>1.2586770182638762E-3</v>
      </c>
      <c r="O3683">
        <f>VLOOKUP(K3683,RatingLookup!$A$2:$C$8,3,FALSE)</f>
        <v>0.5</v>
      </c>
      <c r="P3683">
        <f t="shared" si="172"/>
        <v>0.27008691457906259</v>
      </c>
      <c r="Q3683" t="str">
        <f t="shared" ca="1" si="173"/>
        <v>No</v>
      </c>
    </row>
    <row r="3684" spans="1:17" x14ac:dyDescent="0.45">
      <c r="A3684" t="s">
        <v>158</v>
      </c>
      <c r="B3684" t="s">
        <v>159</v>
      </c>
      <c r="C3684" t="s">
        <v>61</v>
      </c>
      <c r="D3684" t="s">
        <v>20</v>
      </c>
      <c r="E3684" t="s">
        <v>21</v>
      </c>
      <c r="F3684" s="1">
        <v>44501</v>
      </c>
      <c r="G3684">
        <v>5.51</v>
      </c>
      <c r="H3684">
        <v>82.534700000000001</v>
      </c>
      <c r="I3684">
        <v>17.079999999999998</v>
      </c>
      <c r="J3684">
        <v>83.6</v>
      </c>
      <c r="K3684" t="s">
        <v>30</v>
      </c>
      <c r="L3684">
        <v>433.2</v>
      </c>
      <c r="M3684">
        <f>VLOOKUP(K3684,RatingLookup!$A$2:$C$8,2,FALSE)</f>
        <v>1.4999999999999999E-2</v>
      </c>
      <c r="N3684">
        <f t="shared" si="171"/>
        <v>1.2586770182638762E-3</v>
      </c>
      <c r="O3684">
        <f>VLOOKUP(K3684,RatingLookup!$A$2:$C$8,3,FALSE)</f>
        <v>0.5</v>
      </c>
      <c r="P3684">
        <f t="shared" si="172"/>
        <v>0.27262944215595558</v>
      </c>
      <c r="Q3684" t="str">
        <f t="shared" ca="1" si="173"/>
        <v>No</v>
      </c>
    </row>
    <row r="3685" spans="1:17" x14ac:dyDescent="0.45">
      <c r="A3685" t="s">
        <v>158</v>
      </c>
      <c r="B3685" t="s">
        <v>159</v>
      </c>
      <c r="C3685" t="s">
        <v>61</v>
      </c>
      <c r="D3685" t="s">
        <v>20</v>
      </c>
      <c r="E3685" t="s">
        <v>21</v>
      </c>
      <c r="F3685" s="1">
        <v>44531</v>
      </c>
      <c r="G3685">
        <v>5.19</v>
      </c>
      <c r="H3685">
        <v>82.608099999999993</v>
      </c>
      <c r="I3685">
        <v>28.21</v>
      </c>
      <c r="J3685">
        <v>67.739999999999995</v>
      </c>
      <c r="K3685" t="s">
        <v>30</v>
      </c>
      <c r="L3685">
        <v>422.1</v>
      </c>
      <c r="M3685">
        <f>VLOOKUP(K3685,RatingLookup!$A$2:$C$8,2,FALSE)</f>
        <v>1.4999999999999999E-2</v>
      </c>
      <c r="N3685">
        <f t="shared" si="171"/>
        <v>1.2586770182638762E-3</v>
      </c>
      <c r="O3685">
        <f>VLOOKUP(K3685,RatingLookup!$A$2:$C$8,3,FALSE)</f>
        <v>0.5</v>
      </c>
      <c r="P3685">
        <f t="shared" si="172"/>
        <v>0.2656437847045911</v>
      </c>
      <c r="Q3685" t="str">
        <f t="shared" ca="1" si="173"/>
        <v>No</v>
      </c>
    </row>
    <row r="3686" spans="1:17" x14ac:dyDescent="0.45">
      <c r="A3686" t="s">
        <v>158</v>
      </c>
      <c r="B3686" t="s">
        <v>159</v>
      </c>
      <c r="C3686" t="s">
        <v>61</v>
      </c>
      <c r="D3686" t="s">
        <v>20</v>
      </c>
      <c r="E3686" t="s">
        <v>21</v>
      </c>
      <c r="F3686" s="1">
        <v>44562</v>
      </c>
      <c r="G3686">
        <v>5.07</v>
      </c>
      <c r="H3686">
        <v>82.159300000000002</v>
      </c>
      <c r="I3686">
        <v>19.690000000000001</v>
      </c>
      <c r="J3686">
        <v>87.45</v>
      </c>
      <c r="K3686" t="s">
        <v>30</v>
      </c>
      <c r="L3686">
        <v>408.23</v>
      </c>
      <c r="M3686">
        <f>VLOOKUP(K3686,RatingLookup!$A$2:$C$8,2,FALSE)</f>
        <v>1.4999999999999999E-2</v>
      </c>
      <c r="N3686">
        <f t="shared" si="171"/>
        <v>1.2586770182638762E-3</v>
      </c>
      <c r="O3686">
        <f>VLOOKUP(K3686,RatingLookup!$A$2:$C$8,3,FALSE)</f>
        <v>0.5</v>
      </c>
      <c r="P3686">
        <f t="shared" si="172"/>
        <v>0.25691485958293109</v>
      </c>
      <c r="Q3686" t="str">
        <f t="shared" ca="1" si="173"/>
        <v>No</v>
      </c>
    </row>
    <row r="3687" spans="1:17" x14ac:dyDescent="0.45">
      <c r="A3687" t="s">
        <v>158</v>
      </c>
      <c r="B3687" t="s">
        <v>159</v>
      </c>
      <c r="C3687" t="s">
        <v>61</v>
      </c>
      <c r="D3687" t="s">
        <v>20</v>
      </c>
      <c r="E3687" t="s">
        <v>21</v>
      </c>
      <c r="F3687" s="1">
        <v>44593</v>
      </c>
      <c r="G3687">
        <v>6.06</v>
      </c>
      <c r="H3687">
        <v>80.528899999999993</v>
      </c>
      <c r="I3687">
        <v>20.65</v>
      </c>
      <c r="J3687">
        <v>71.2</v>
      </c>
      <c r="K3687" t="s">
        <v>30</v>
      </c>
      <c r="L3687">
        <v>468.23</v>
      </c>
      <c r="M3687">
        <f>VLOOKUP(K3687,RatingLookup!$A$2:$C$8,2,FALSE)</f>
        <v>1.4999999999999999E-2</v>
      </c>
      <c r="N3687">
        <f t="shared" si="171"/>
        <v>1.2586770182638762E-3</v>
      </c>
      <c r="O3687">
        <f>VLOOKUP(K3687,RatingLookup!$A$2:$C$8,3,FALSE)</f>
        <v>0.5</v>
      </c>
      <c r="P3687">
        <f t="shared" si="172"/>
        <v>0.29467517013084737</v>
      </c>
      <c r="Q3687" t="str">
        <f t="shared" ca="1" si="173"/>
        <v>No</v>
      </c>
    </row>
    <row r="3688" spans="1:17" x14ac:dyDescent="0.45">
      <c r="A3688" t="s">
        <v>158</v>
      </c>
      <c r="B3688" t="s">
        <v>159</v>
      </c>
      <c r="C3688" t="s">
        <v>61</v>
      </c>
      <c r="D3688" t="s">
        <v>20</v>
      </c>
      <c r="E3688" t="s">
        <v>21</v>
      </c>
      <c r="F3688" s="1">
        <v>44621</v>
      </c>
      <c r="G3688">
        <v>4.83</v>
      </c>
      <c r="H3688">
        <v>78.795000000000002</v>
      </c>
      <c r="I3688">
        <v>17.89</v>
      </c>
      <c r="J3688">
        <v>77.03</v>
      </c>
      <c r="K3688" t="s">
        <v>30</v>
      </c>
      <c r="L3688">
        <v>449.22</v>
      </c>
      <c r="M3688">
        <f>VLOOKUP(K3688,RatingLookup!$A$2:$C$8,2,FALSE)</f>
        <v>1.4999999999999999E-2</v>
      </c>
      <c r="N3688">
        <f t="shared" si="171"/>
        <v>1.2586770182638762E-3</v>
      </c>
      <c r="O3688">
        <f>VLOOKUP(K3688,RatingLookup!$A$2:$C$8,3,FALSE)</f>
        <v>0.5</v>
      </c>
      <c r="P3688">
        <f t="shared" si="172"/>
        <v>0.28271144507224927</v>
      </c>
      <c r="Q3688" t="str">
        <f t="shared" ca="1" si="173"/>
        <v>No</v>
      </c>
    </row>
    <row r="3689" spans="1:17" x14ac:dyDescent="0.45">
      <c r="A3689" t="s">
        <v>158</v>
      </c>
      <c r="B3689" t="s">
        <v>159</v>
      </c>
      <c r="C3689" t="s">
        <v>61</v>
      </c>
      <c r="D3689" t="s">
        <v>20</v>
      </c>
      <c r="E3689" t="s">
        <v>21</v>
      </c>
      <c r="F3689" s="1">
        <v>44652</v>
      </c>
      <c r="G3689">
        <v>6.26</v>
      </c>
      <c r="H3689">
        <v>80.717399999999998</v>
      </c>
      <c r="I3689">
        <v>9.7100000000000009</v>
      </c>
      <c r="J3689">
        <v>85.63</v>
      </c>
      <c r="K3689" t="s">
        <v>30</v>
      </c>
      <c r="L3689">
        <v>454.66</v>
      </c>
      <c r="M3689">
        <f>VLOOKUP(K3689,RatingLookup!$A$2:$C$8,2,FALSE)</f>
        <v>1.4999999999999999E-2</v>
      </c>
      <c r="N3689">
        <f t="shared" si="171"/>
        <v>1.2586770182638762E-3</v>
      </c>
      <c r="O3689">
        <f>VLOOKUP(K3689,RatingLookup!$A$2:$C$8,3,FALSE)</f>
        <v>0.5</v>
      </c>
      <c r="P3689">
        <f t="shared" si="172"/>
        <v>0.28613504656192701</v>
      </c>
      <c r="Q3689" t="str">
        <f t="shared" ca="1" si="173"/>
        <v>No</v>
      </c>
    </row>
    <row r="3690" spans="1:17" x14ac:dyDescent="0.45">
      <c r="A3690" t="s">
        <v>158</v>
      </c>
      <c r="B3690" t="s">
        <v>159</v>
      </c>
      <c r="C3690" t="s">
        <v>61</v>
      </c>
      <c r="D3690" t="s">
        <v>20</v>
      </c>
      <c r="E3690" t="s">
        <v>21</v>
      </c>
      <c r="F3690" s="1">
        <v>44682</v>
      </c>
      <c r="G3690">
        <v>4.1100000000000003</v>
      </c>
      <c r="H3690">
        <v>81.386399999999995</v>
      </c>
      <c r="I3690">
        <v>25.27</v>
      </c>
      <c r="J3690">
        <v>75.22</v>
      </c>
      <c r="K3690" t="s">
        <v>30</v>
      </c>
      <c r="L3690">
        <v>453.62</v>
      </c>
      <c r="M3690">
        <f>VLOOKUP(K3690,RatingLookup!$A$2:$C$8,2,FALSE)</f>
        <v>1.4999999999999999E-2</v>
      </c>
      <c r="N3690">
        <f t="shared" si="171"/>
        <v>1.2586770182638762E-3</v>
      </c>
      <c r="O3690">
        <f>VLOOKUP(K3690,RatingLookup!$A$2:$C$8,3,FALSE)</f>
        <v>0.5</v>
      </c>
      <c r="P3690">
        <f t="shared" si="172"/>
        <v>0.28548053451242977</v>
      </c>
      <c r="Q3690" t="str">
        <f t="shared" ca="1" si="173"/>
        <v>No</v>
      </c>
    </row>
    <row r="3691" spans="1:17" x14ac:dyDescent="0.45">
      <c r="A3691" t="s">
        <v>158</v>
      </c>
      <c r="B3691" t="s">
        <v>159</v>
      </c>
      <c r="C3691" t="s">
        <v>61</v>
      </c>
      <c r="D3691" t="s">
        <v>20</v>
      </c>
      <c r="E3691" t="s">
        <v>21</v>
      </c>
      <c r="F3691" s="1">
        <v>44713</v>
      </c>
      <c r="G3691">
        <v>7.06</v>
      </c>
      <c r="H3691">
        <v>78.164199999999994</v>
      </c>
      <c r="I3691">
        <v>22.88</v>
      </c>
      <c r="J3691">
        <v>57.67</v>
      </c>
      <c r="K3691" t="s">
        <v>30</v>
      </c>
      <c r="L3691">
        <v>422.71</v>
      </c>
      <c r="M3691">
        <f>VLOOKUP(K3691,RatingLookup!$A$2:$C$8,2,FALSE)</f>
        <v>1.4999999999999999E-2</v>
      </c>
      <c r="N3691">
        <f t="shared" si="171"/>
        <v>1.2586770182638762E-3</v>
      </c>
      <c r="O3691">
        <f>VLOOKUP(K3691,RatingLookup!$A$2:$C$8,3,FALSE)</f>
        <v>0.5</v>
      </c>
      <c r="P3691">
        <f t="shared" si="172"/>
        <v>0.26602768119516157</v>
      </c>
      <c r="Q3691" t="str">
        <f t="shared" ca="1" si="173"/>
        <v>No</v>
      </c>
    </row>
    <row r="3692" spans="1:17" x14ac:dyDescent="0.45">
      <c r="A3692" t="s">
        <v>158</v>
      </c>
      <c r="B3692" t="s">
        <v>159</v>
      </c>
      <c r="C3692" t="s">
        <v>61</v>
      </c>
      <c r="D3692" t="s">
        <v>20</v>
      </c>
      <c r="E3692" t="s">
        <v>21</v>
      </c>
      <c r="F3692" s="1">
        <v>44743</v>
      </c>
      <c r="G3692">
        <v>5.66</v>
      </c>
      <c r="H3692">
        <v>80.442999999999998</v>
      </c>
      <c r="I3692">
        <v>24.92</v>
      </c>
      <c r="J3692">
        <v>92.18</v>
      </c>
      <c r="K3692" t="s">
        <v>30</v>
      </c>
      <c r="L3692">
        <v>435.07</v>
      </c>
      <c r="M3692">
        <f>VLOOKUP(K3692,RatingLookup!$A$2:$C$8,2,FALSE)</f>
        <v>1.4999999999999999E-2</v>
      </c>
      <c r="N3692">
        <f t="shared" si="171"/>
        <v>1.2586770182638762E-3</v>
      </c>
      <c r="O3692">
        <f>VLOOKUP(K3692,RatingLookup!$A$2:$C$8,3,FALSE)</f>
        <v>0.5</v>
      </c>
      <c r="P3692">
        <f t="shared" si="172"/>
        <v>0.27380630516803234</v>
      </c>
      <c r="Q3692" t="str">
        <f t="shared" ca="1" si="173"/>
        <v>No</v>
      </c>
    </row>
    <row r="3693" spans="1:17" x14ac:dyDescent="0.45">
      <c r="A3693" t="s">
        <v>158</v>
      </c>
      <c r="B3693" t="s">
        <v>159</v>
      </c>
      <c r="C3693" t="s">
        <v>61</v>
      </c>
      <c r="D3693" t="s">
        <v>20</v>
      </c>
      <c r="E3693" t="s">
        <v>21</v>
      </c>
      <c r="F3693" s="1">
        <v>44774</v>
      </c>
      <c r="G3693">
        <v>6.14</v>
      </c>
      <c r="H3693">
        <v>85.3215</v>
      </c>
      <c r="I3693">
        <v>20.22</v>
      </c>
      <c r="J3693">
        <v>82.02</v>
      </c>
      <c r="K3693" t="s">
        <v>30</v>
      </c>
      <c r="L3693">
        <v>483.52</v>
      </c>
      <c r="M3693">
        <f>VLOOKUP(K3693,RatingLookup!$A$2:$C$8,2,FALSE)</f>
        <v>1.4999999999999999E-2</v>
      </c>
      <c r="N3693">
        <f t="shared" si="171"/>
        <v>1.2586770182638762E-3</v>
      </c>
      <c r="O3693">
        <f>VLOOKUP(K3693,RatingLookup!$A$2:$C$8,3,FALSE)</f>
        <v>0.5</v>
      </c>
      <c r="P3693">
        <f t="shared" si="172"/>
        <v>0.3042977559354747</v>
      </c>
      <c r="Q3693" t="str">
        <f t="shared" ca="1" si="173"/>
        <v>No</v>
      </c>
    </row>
    <row r="3694" spans="1:17" x14ac:dyDescent="0.45">
      <c r="A3694" t="s">
        <v>158</v>
      </c>
      <c r="B3694" t="s">
        <v>159</v>
      </c>
      <c r="C3694" t="s">
        <v>61</v>
      </c>
      <c r="D3694" t="s">
        <v>20</v>
      </c>
      <c r="E3694" t="s">
        <v>21</v>
      </c>
      <c r="F3694" s="1">
        <v>44805</v>
      </c>
      <c r="G3694">
        <v>5.56</v>
      </c>
      <c r="H3694">
        <v>86.418899999999994</v>
      </c>
      <c r="I3694">
        <v>18.329999999999998</v>
      </c>
      <c r="J3694">
        <v>66.66</v>
      </c>
      <c r="K3694" t="s">
        <v>30</v>
      </c>
      <c r="L3694">
        <v>460.4</v>
      </c>
      <c r="M3694">
        <f>VLOOKUP(K3694,RatingLookup!$A$2:$C$8,2,FALSE)</f>
        <v>1.4999999999999999E-2</v>
      </c>
      <c r="N3694">
        <f t="shared" si="171"/>
        <v>1.2586770182638762E-3</v>
      </c>
      <c r="O3694">
        <f>VLOOKUP(K3694,RatingLookup!$A$2:$C$8,3,FALSE)</f>
        <v>0.5</v>
      </c>
      <c r="P3694">
        <f t="shared" si="172"/>
        <v>0.28974744960434429</v>
      </c>
      <c r="Q3694" t="str">
        <f t="shared" ca="1" si="173"/>
        <v>No</v>
      </c>
    </row>
    <row r="3695" spans="1:17" x14ac:dyDescent="0.45">
      <c r="A3695" t="s">
        <v>158</v>
      </c>
      <c r="B3695" t="s">
        <v>159</v>
      </c>
      <c r="C3695" t="s">
        <v>61</v>
      </c>
      <c r="D3695" t="s">
        <v>20</v>
      </c>
      <c r="E3695" t="s">
        <v>21</v>
      </c>
      <c r="F3695" s="1">
        <v>44835</v>
      </c>
      <c r="G3695">
        <v>5.48</v>
      </c>
      <c r="H3695">
        <v>82.765199999999993</v>
      </c>
      <c r="I3695">
        <v>21.53</v>
      </c>
      <c r="J3695">
        <v>65.040000000000006</v>
      </c>
      <c r="K3695" t="s">
        <v>31</v>
      </c>
      <c r="L3695">
        <v>437.76</v>
      </c>
      <c r="M3695">
        <f>VLOOKUP(K3695,RatingLookup!$A$2:$C$8,2,FALSE)</f>
        <v>0.04</v>
      </c>
      <c r="N3695">
        <f t="shared" si="171"/>
        <v>3.3960531989175591E-3</v>
      </c>
      <c r="O3695">
        <f>VLOOKUP(K3695,RatingLookup!$A$2:$C$8,3,FALSE)</f>
        <v>0.6</v>
      </c>
      <c r="P3695">
        <f t="shared" si="172"/>
        <v>0.89199374901489037</v>
      </c>
      <c r="Q3695" t="str">
        <f t="shared" ca="1" si="173"/>
        <v>No</v>
      </c>
    </row>
    <row r="3696" spans="1:17" x14ac:dyDescent="0.45">
      <c r="A3696" t="s">
        <v>158</v>
      </c>
      <c r="B3696" t="s">
        <v>159</v>
      </c>
      <c r="C3696" t="s">
        <v>61</v>
      </c>
      <c r="D3696" t="s">
        <v>20</v>
      </c>
      <c r="E3696" t="s">
        <v>21</v>
      </c>
      <c r="F3696" s="1">
        <v>44866</v>
      </c>
      <c r="G3696">
        <v>5.48</v>
      </c>
      <c r="H3696">
        <v>83.445599999999999</v>
      </c>
      <c r="I3696">
        <v>19.36</v>
      </c>
      <c r="J3696">
        <v>80.540000000000006</v>
      </c>
      <c r="K3696" t="s">
        <v>31</v>
      </c>
      <c r="L3696">
        <v>393.57</v>
      </c>
      <c r="M3696">
        <f>VLOOKUP(K3696,RatingLookup!$A$2:$C$8,2,FALSE)</f>
        <v>0.04</v>
      </c>
      <c r="N3696">
        <f t="shared" si="171"/>
        <v>3.3960531989175591E-3</v>
      </c>
      <c r="O3696">
        <f>VLOOKUP(K3696,RatingLookup!$A$2:$C$8,3,FALSE)</f>
        <v>0.6</v>
      </c>
      <c r="P3696">
        <f t="shared" si="172"/>
        <v>0.80195079449879014</v>
      </c>
      <c r="Q3696" t="str">
        <f t="shared" ca="1" si="173"/>
        <v>No</v>
      </c>
    </row>
    <row r="3697" spans="1:17" x14ac:dyDescent="0.45">
      <c r="A3697" t="s">
        <v>158</v>
      </c>
      <c r="B3697" t="s">
        <v>159</v>
      </c>
      <c r="C3697" t="s">
        <v>61</v>
      </c>
      <c r="D3697" t="s">
        <v>20</v>
      </c>
      <c r="E3697" t="s">
        <v>21</v>
      </c>
      <c r="F3697" s="1">
        <v>44896</v>
      </c>
      <c r="G3697">
        <v>5.28</v>
      </c>
      <c r="H3697">
        <v>84.173900000000003</v>
      </c>
      <c r="I3697">
        <v>12.71</v>
      </c>
      <c r="J3697">
        <v>76.77</v>
      </c>
      <c r="K3697" t="s">
        <v>31</v>
      </c>
      <c r="L3697">
        <v>408.52</v>
      </c>
      <c r="M3697">
        <f>VLOOKUP(K3697,RatingLookup!$A$2:$C$8,2,FALSE)</f>
        <v>0.04</v>
      </c>
      <c r="N3697">
        <f t="shared" si="171"/>
        <v>3.3960531989175591E-3</v>
      </c>
      <c r="O3697">
        <f>VLOOKUP(K3697,RatingLookup!$A$2:$C$8,3,FALSE)</f>
        <v>0.6</v>
      </c>
      <c r="P3697">
        <f t="shared" si="172"/>
        <v>0.83241339169308071</v>
      </c>
      <c r="Q3697" t="str">
        <f t="shared" ca="1" si="173"/>
        <v>No</v>
      </c>
    </row>
    <row r="3698" spans="1:17" x14ac:dyDescent="0.45">
      <c r="A3698" t="s">
        <v>158</v>
      </c>
      <c r="B3698" t="s">
        <v>159</v>
      </c>
      <c r="C3698" t="s">
        <v>61</v>
      </c>
      <c r="D3698" t="s">
        <v>20</v>
      </c>
      <c r="E3698" t="s">
        <v>21</v>
      </c>
      <c r="F3698" s="1">
        <v>44927</v>
      </c>
      <c r="G3698">
        <v>6.68</v>
      </c>
      <c r="H3698">
        <v>83.344399999999993</v>
      </c>
      <c r="I3698">
        <v>22.76</v>
      </c>
      <c r="J3698">
        <v>88.56</v>
      </c>
      <c r="K3698" t="s">
        <v>31</v>
      </c>
      <c r="L3698">
        <v>431.87</v>
      </c>
      <c r="M3698">
        <f>VLOOKUP(K3698,RatingLookup!$A$2:$C$8,2,FALSE)</f>
        <v>0.04</v>
      </c>
      <c r="N3698">
        <f t="shared" si="171"/>
        <v>3.3960531989175591E-3</v>
      </c>
      <c r="O3698">
        <f>VLOOKUP(K3698,RatingLookup!$A$2:$C$8,3,FALSE)</f>
        <v>0.6</v>
      </c>
      <c r="P3698">
        <f t="shared" si="172"/>
        <v>0.87999209700991565</v>
      </c>
      <c r="Q3698" t="str">
        <f t="shared" ca="1" si="173"/>
        <v>No</v>
      </c>
    </row>
    <row r="3699" spans="1:17" x14ac:dyDescent="0.45">
      <c r="A3699" t="s">
        <v>158</v>
      </c>
      <c r="B3699" t="s">
        <v>159</v>
      </c>
      <c r="C3699" t="s">
        <v>61</v>
      </c>
      <c r="D3699" t="s">
        <v>20</v>
      </c>
      <c r="E3699" t="s">
        <v>21</v>
      </c>
      <c r="F3699" s="1">
        <v>44958</v>
      </c>
      <c r="G3699">
        <v>4.28</v>
      </c>
      <c r="H3699">
        <v>83.065399999999997</v>
      </c>
      <c r="I3699">
        <v>8.73</v>
      </c>
      <c r="J3699">
        <v>68.27</v>
      </c>
      <c r="K3699" t="s">
        <v>31</v>
      </c>
      <c r="L3699">
        <v>395.65</v>
      </c>
      <c r="M3699">
        <f>VLOOKUP(K3699,RatingLookup!$A$2:$C$8,2,FALSE)</f>
        <v>0.04</v>
      </c>
      <c r="N3699">
        <f t="shared" si="171"/>
        <v>3.3960531989175591E-3</v>
      </c>
      <c r="O3699">
        <f>VLOOKUP(K3699,RatingLookup!$A$2:$C$8,3,FALSE)</f>
        <v>0.6</v>
      </c>
      <c r="P3699">
        <f t="shared" si="172"/>
        <v>0.80618906889103925</v>
      </c>
      <c r="Q3699" t="str">
        <f t="shared" ca="1" si="173"/>
        <v>No</v>
      </c>
    </row>
    <row r="3700" spans="1:17" x14ac:dyDescent="0.45">
      <c r="A3700" t="s">
        <v>158</v>
      </c>
      <c r="B3700" t="s">
        <v>159</v>
      </c>
      <c r="C3700" t="s">
        <v>61</v>
      </c>
      <c r="D3700" t="s">
        <v>20</v>
      </c>
      <c r="E3700" t="s">
        <v>21</v>
      </c>
      <c r="F3700" s="1">
        <v>44986</v>
      </c>
      <c r="G3700">
        <v>5.13</v>
      </c>
      <c r="H3700">
        <v>84.153999999999996</v>
      </c>
      <c r="I3700">
        <v>31.39</v>
      </c>
      <c r="J3700">
        <v>86.16</v>
      </c>
      <c r="K3700" t="s">
        <v>31</v>
      </c>
      <c r="L3700">
        <v>392.63</v>
      </c>
      <c r="M3700">
        <f>VLOOKUP(K3700,RatingLookup!$A$2:$C$8,2,FALSE)</f>
        <v>0.04</v>
      </c>
      <c r="N3700">
        <f t="shared" si="171"/>
        <v>3.3960531989175591E-3</v>
      </c>
      <c r="O3700">
        <f>VLOOKUP(K3700,RatingLookup!$A$2:$C$8,3,FALSE)</f>
        <v>0.6</v>
      </c>
      <c r="P3700">
        <f t="shared" si="172"/>
        <v>0.80003542049460064</v>
      </c>
      <c r="Q3700" t="str">
        <f t="shared" ca="1" si="173"/>
        <v>No</v>
      </c>
    </row>
    <row r="3701" spans="1:17" x14ac:dyDescent="0.45">
      <c r="A3701" t="s">
        <v>158</v>
      </c>
      <c r="B3701" t="s">
        <v>159</v>
      </c>
      <c r="C3701" t="s">
        <v>61</v>
      </c>
      <c r="D3701" t="s">
        <v>20</v>
      </c>
      <c r="E3701" t="s">
        <v>21</v>
      </c>
      <c r="F3701" s="1">
        <v>45017</v>
      </c>
      <c r="G3701">
        <v>5.48</v>
      </c>
      <c r="H3701">
        <v>80.098299999999995</v>
      </c>
      <c r="I3701">
        <v>21.41</v>
      </c>
      <c r="J3701">
        <v>76.78</v>
      </c>
      <c r="K3701" t="s">
        <v>31</v>
      </c>
      <c r="L3701">
        <v>403.89</v>
      </c>
      <c r="M3701">
        <f>VLOOKUP(K3701,RatingLookup!$A$2:$C$8,2,FALSE)</f>
        <v>0.04</v>
      </c>
      <c r="N3701">
        <f t="shared" si="171"/>
        <v>3.3960531989175591E-3</v>
      </c>
      <c r="O3701">
        <f>VLOOKUP(K3701,RatingLookup!$A$2:$C$8,3,FALSE)</f>
        <v>0.6</v>
      </c>
      <c r="P3701">
        <f t="shared" si="172"/>
        <v>0.82297915590648762</v>
      </c>
      <c r="Q3701" t="str">
        <f t="shared" ca="1" si="173"/>
        <v>No</v>
      </c>
    </row>
    <row r="3702" spans="1:17" x14ac:dyDescent="0.45">
      <c r="A3702" t="s">
        <v>158</v>
      </c>
      <c r="B3702" t="s">
        <v>159</v>
      </c>
      <c r="C3702" t="s">
        <v>61</v>
      </c>
      <c r="D3702" t="s">
        <v>20</v>
      </c>
      <c r="E3702" t="s">
        <v>21</v>
      </c>
      <c r="F3702" s="1">
        <v>45047</v>
      </c>
      <c r="G3702">
        <v>5.83</v>
      </c>
      <c r="H3702">
        <v>87.209299999999999</v>
      </c>
      <c r="I3702">
        <v>14.32</v>
      </c>
      <c r="J3702">
        <v>83.53</v>
      </c>
      <c r="K3702" t="s">
        <v>31</v>
      </c>
      <c r="L3702">
        <v>411.32</v>
      </c>
      <c r="M3702">
        <f>VLOOKUP(K3702,RatingLookup!$A$2:$C$8,2,FALSE)</f>
        <v>0.04</v>
      </c>
      <c r="N3702">
        <f t="shared" si="171"/>
        <v>3.3960531989175591E-3</v>
      </c>
      <c r="O3702">
        <f>VLOOKUP(K3702,RatingLookup!$A$2:$C$8,3,FALSE)</f>
        <v>0.6</v>
      </c>
      <c r="P3702">
        <f t="shared" si="172"/>
        <v>0.83811876106726224</v>
      </c>
      <c r="Q3702" t="str">
        <f t="shared" ca="1" si="173"/>
        <v>No</v>
      </c>
    </row>
    <row r="3703" spans="1:17" x14ac:dyDescent="0.45">
      <c r="A3703" t="s">
        <v>158</v>
      </c>
      <c r="B3703" t="s">
        <v>159</v>
      </c>
      <c r="C3703" t="s">
        <v>61</v>
      </c>
      <c r="D3703" t="s">
        <v>20</v>
      </c>
      <c r="E3703" t="s">
        <v>21</v>
      </c>
      <c r="F3703" s="1">
        <v>45078</v>
      </c>
      <c r="G3703">
        <v>5.87</v>
      </c>
      <c r="H3703">
        <v>81.279300000000006</v>
      </c>
      <c r="I3703">
        <v>21.59</v>
      </c>
      <c r="J3703">
        <v>80.400000000000006</v>
      </c>
      <c r="K3703" t="s">
        <v>31</v>
      </c>
      <c r="L3703">
        <v>425.79</v>
      </c>
      <c r="M3703">
        <f>VLOOKUP(K3703,RatingLookup!$A$2:$C$8,2,FALSE)</f>
        <v>0.04</v>
      </c>
      <c r="N3703">
        <f t="shared" si="171"/>
        <v>3.3960531989175591E-3</v>
      </c>
      <c r="O3703">
        <f>VLOOKUP(K3703,RatingLookup!$A$2:$C$8,3,FALSE)</f>
        <v>0.6</v>
      </c>
      <c r="P3703">
        <f t="shared" si="172"/>
        <v>0.86760329494026445</v>
      </c>
      <c r="Q3703" t="str">
        <f t="shared" ca="1" si="173"/>
        <v>No</v>
      </c>
    </row>
    <row r="3704" spans="1:17" x14ac:dyDescent="0.45">
      <c r="A3704" t="s">
        <v>158</v>
      </c>
      <c r="B3704" t="s">
        <v>159</v>
      </c>
      <c r="C3704" t="s">
        <v>61</v>
      </c>
      <c r="D3704" t="s">
        <v>20</v>
      </c>
      <c r="E3704" t="s">
        <v>21</v>
      </c>
      <c r="F3704" s="1">
        <v>45108</v>
      </c>
      <c r="G3704">
        <v>4.54</v>
      </c>
      <c r="H3704">
        <v>85.572199999999995</v>
      </c>
      <c r="I3704">
        <v>27.33</v>
      </c>
      <c r="J3704">
        <v>80.72</v>
      </c>
      <c r="K3704" t="s">
        <v>31</v>
      </c>
      <c r="L3704">
        <v>426.41</v>
      </c>
      <c r="M3704">
        <f>VLOOKUP(K3704,RatingLookup!$A$2:$C$8,2,FALSE)</f>
        <v>0.04</v>
      </c>
      <c r="N3704">
        <f t="shared" si="171"/>
        <v>3.3960531989175591E-3</v>
      </c>
      <c r="O3704">
        <f>VLOOKUP(K3704,RatingLookup!$A$2:$C$8,3,FALSE)</f>
        <v>0.6</v>
      </c>
      <c r="P3704">
        <f t="shared" si="172"/>
        <v>0.86886662673026183</v>
      </c>
      <c r="Q3704" t="str">
        <f t="shared" ca="1" si="173"/>
        <v>No</v>
      </c>
    </row>
    <row r="3705" spans="1:17" x14ac:dyDescent="0.45">
      <c r="A3705" t="s">
        <v>158</v>
      </c>
      <c r="B3705" t="s">
        <v>159</v>
      </c>
      <c r="C3705" t="s">
        <v>61</v>
      </c>
      <c r="D3705" t="s">
        <v>20</v>
      </c>
      <c r="E3705" t="s">
        <v>21</v>
      </c>
      <c r="F3705" s="1">
        <v>45139</v>
      </c>
      <c r="G3705">
        <v>6.09</v>
      </c>
      <c r="H3705">
        <v>84.073400000000007</v>
      </c>
      <c r="I3705">
        <v>15.72</v>
      </c>
      <c r="J3705">
        <v>80.67</v>
      </c>
      <c r="K3705" t="s">
        <v>31</v>
      </c>
      <c r="L3705">
        <v>372.75</v>
      </c>
      <c r="M3705">
        <f>VLOOKUP(K3705,RatingLookup!$A$2:$C$8,2,FALSE)</f>
        <v>0.04</v>
      </c>
      <c r="N3705">
        <f t="shared" si="171"/>
        <v>3.3960531989175591E-3</v>
      </c>
      <c r="O3705">
        <f>VLOOKUP(K3705,RatingLookup!$A$2:$C$8,3,FALSE)</f>
        <v>0.6</v>
      </c>
      <c r="P3705">
        <f t="shared" si="172"/>
        <v>0.75952729793791207</v>
      </c>
      <c r="Q3705" t="str">
        <f t="shared" ca="1" si="173"/>
        <v>No</v>
      </c>
    </row>
    <row r="3706" spans="1:17" x14ac:dyDescent="0.45">
      <c r="A3706" t="s">
        <v>158</v>
      </c>
      <c r="B3706" t="s">
        <v>159</v>
      </c>
      <c r="C3706" t="s">
        <v>61</v>
      </c>
      <c r="D3706" t="s">
        <v>20</v>
      </c>
      <c r="E3706" t="s">
        <v>21</v>
      </c>
      <c r="F3706" s="1">
        <v>45170</v>
      </c>
      <c r="G3706">
        <v>5.73</v>
      </c>
      <c r="H3706">
        <v>80.889399999999995</v>
      </c>
      <c r="I3706">
        <v>11.48</v>
      </c>
      <c r="J3706">
        <v>104.63</v>
      </c>
      <c r="K3706" t="s">
        <v>31</v>
      </c>
      <c r="L3706">
        <v>397.93</v>
      </c>
      <c r="M3706">
        <f>VLOOKUP(K3706,RatingLookup!$A$2:$C$8,2,FALSE)</f>
        <v>0.04</v>
      </c>
      <c r="N3706">
        <f t="shared" si="171"/>
        <v>3.3960531989175591E-3</v>
      </c>
      <c r="O3706">
        <f>VLOOKUP(K3706,RatingLookup!$A$2:$C$8,3,FALSE)</f>
        <v>0.6</v>
      </c>
      <c r="P3706">
        <f t="shared" si="172"/>
        <v>0.81083486966715856</v>
      </c>
      <c r="Q3706" t="str">
        <f t="shared" ca="1" si="173"/>
        <v>No</v>
      </c>
    </row>
    <row r="3707" spans="1:17" x14ac:dyDescent="0.45">
      <c r="A3707" t="s">
        <v>158</v>
      </c>
      <c r="B3707" t="s">
        <v>159</v>
      </c>
      <c r="C3707" t="s">
        <v>61</v>
      </c>
      <c r="D3707" t="s">
        <v>20</v>
      </c>
      <c r="E3707" t="s">
        <v>21</v>
      </c>
      <c r="F3707" s="1">
        <v>45200</v>
      </c>
      <c r="G3707">
        <v>5.2</v>
      </c>
      <c r="H3707">
        <v>83.840699999999998</v>
      </c>
      <c r="I3707">
        <v>19.07</v>
      </c>
      <c r="J3707">
        <v>67.77</v>
      </c>
      <c r="K3707" t="s">
        <v>31</v>
      </c>
      <c r="L3707">
        <v>412.96</v>
      </c>
      <c r="M3707">
        <f>VLOOKUP(K3707,RatingLookup!$A$2:$C$8,2,FALSE)</f>
        <v>0.04</v>
      </c>
      <c r="N3707">
        <f t="shared" si="171"/>
        <v>3.3960531989175591E-3</v>
      </c>
      <c r="O3707">
        <f>VLOOKUP(K3707,RatingLookup!$A$2:$C$8,3,FALSE)</f>
        <v>0.6</v>
      </c>
      <c r="P3707">
        <f t="shared" si="172"/>
        <v>0.84146047741499708</v>
      </c>
      <c r="Q3707" t="str">
        <f t="shared" ca="1" si="173"/>
        <v>No</v>
      </c>
    </row>
    <row r="3708" spans="1:17" x14ac:dyDescent="0.45">
      <c r="A3708" t="s">
        <v>158</v>
      </c>
      <c r="B3708" t="s">
        <v>159</v>
      </c>
      <c r="C3708" t="s">
        <v>61</v>
      </c>
      <c r="D3708" t="s">
        <v>20</v>
      </c>
      <c r="E3708" t="s">
        <v>21</v>
      </c>
      <c r="F3708" s="1">
        <v>45231</v>
      </c>
      <c r="G3708">
        <v>5.81</v>
      </c>
      <c r="H3708">
        <v>84.662499999999994</v>
      </c>
      <c r="I3708">
        <v>12.78</v>
      </c>
      <c r="J3708">
        <v>84.45</v>
      </c>
      <c r="K3708" t="s">
        <v>31</v>
      </c>
      <c r="L3708">
        <v>416.48</v>
      </c>
      <c r="M3708">
        <f>VLOOKUP(K3708,RatingLookup!$A$2:$C$8,2,FALSE)</f>
        <v>0.04</v>
      </c>
      <c r="N3708">
        <f t="shared" si="171"/>
        <v>3.3960531989175591E-3</v>
      </c>
      <c r="O3708">
        <f>VLOOKUP(K3708,RatingLookup!$A$2:$C$8,3,FALSE)</f>
        <v>0.6</v>
      </c>
      <c r="P3708">
        <f t="shared" si="172"/>
        <v>0.84863294177111104</v>
      </c>
      <c r="Q3708" t="str">
        <f t="shared" ca="1" si="173"/>
        <v>No</v>
      </c>
    </row>
    <row r="3709" spans="1:17" x14ac:dyDescent="0.45">
      <c r="A3709" t="s">
        <v>158</v>
      </c>
      <c r="B3709" t="s">
        <v>159</v>
      </c>
      <c r="C3709" t="s">
        <v>61</v>
      </c>
      <c r="D3709" t="s">
        <v>20</v>
      </c>
      <c r="E3709" t="s">
        <v>21</v>
      </c>
      <c r="F3709" s="1">
        <v>45261</v>
      </c>
      <c r="G3709">
        <v>5.29</v>
      </c>
      <c r="H3709">
        <v>81.463499999999996</v>
      </c>
      <c r="I3709">
        <v>22.41</v>
      </c>
      <c r="J3709">
        <v>71.680000000000007</v>
      </c>
      <c r="K3709" t="s">
        <v>31</v>
      </c>
      <c r="L3709">
        <v>396.78</v>
      </c>
      <c r="M3709">
        <f>VLOOKUP(K3709,RatingLookup!$A$2:$C$8,2,FALSE)</f>
        <v>0.04</v>
      </c>
      <c r="N3709">
        <f t="shared" si="171"/>
        <v>3.3960531989175591E-3</v>
      </c>
      <c r="O3709">
        <f>VLOOKUP(K3709,RatingLookup!$A$2:$C$8,3,FALSE)</f>
        <v>0.6</v>
      </c>
      <c r="P3709">
        <f t="shared" si="172"/>
        <v>0.80849159295990536</v>
      </c>
      <c r="Q3709" t="str">
        <f t="shared" ca="1" si="173"/>
        <v>No</v>
      </c>
    </row>
    <row r="3710" spans="1:17" x14ac:dyDescent="0.45">
      <c r="A3710" t="s">
        <v>158</v>
      </c>
      <c r="B3710" t="s">
        <v>159</v>
      </c>
      <c r="C3710" t="s">
        <v>61</v>
      </c>
      <c r="D3710" t="s">
        <v>20</v>
      </c>
      <c r="E3710" t="s">
        <v>21</v>
      </c>
      <c r="F3710" s="1">
        <v>45292</v>
      </c>
      <c r="G3710">
        <v>4.7300000000000004</v>
      </c>
      <c r="H3710">
        <v>78.660300000000007</v>
      </c>
      <c r="I3710">
        <v>19.87</v>
      </c>
      <c r="J3710">
        <v>60.24</v>
      </c>
      <c r="K3710" t="s">
        <v>31</v>
      </c>
      <c r="L3710">
        <v>418.08</v>
      </c>
      <c r="M3710">
        <f>VLOOKUP(K3710,RatingLookup!$A$2:$C$8,2,FALSE)</f>
        <v>0.04</v>
      </c>
      <c r="N3710">
        <f t="shared" si="171"/>
        <v>3.3960531989175591E-3</v>
      </c>
      <c r="O3710">
        <f>VLOOKUP(K3710,RatingLookup!$A$2:$C$8,3,FALSE)</f>
        <v>0.6</v>
      </c>
      <c r="P3710">
        <f t="shared" si="172"/>
        <v>0.85189315284207179</v>
      </c>
      <c r="Q3710" t="str">
        <f t="shared" ca="1" si="173"/>
        <v>No</v>
      </c>
    </row>
    <row r="3711" spans="1:17" x14ac:dyDescent="0.45">
      <c r="A3711" t="s">
        <v>158</v>
      </c>
      <c r="B3711" t="s">
        <v>159</v>
      </c>
      <c r="C3711" t="s">
        <v>61</v>
      </c>
      <c r="D3711" t="s">
        <v>20</v>
      </c>
      <c r="E3711" t="s">
        <v>21</v>
      </c>
      <c r="F3711" s="1">
        <v>45323</v>
      </c>
      <c r="G3711">
        <v>5.45</v>
      </c>
      <c r="H3711">
        <v>80.648700000000005</v>
      </c>
      <c r="I3711">
        <v>21.97</v>
      </c>
      <c r="J3711">
        <v>71.81</v>
      </c>
      <c r="K3711" t="s">
        <v>31</v>
      </c>
      <c r="L3711">
        <v>427.31</v>
      </c>
      <c r="M3711">
        <f>VLOOKUP(K3711,RatingLookup!$A$2:$C$8,2,FALSE)</f>
        <v>0.04</v>
      </c>
      <c r="N3711">
        <f t="shared" si="171"/>
        <v>3.3960531989175591E-3</v>
      </c>
      <c r="O3711">
        <f>VLOOKUP(K3711,RatingLookup!$A$2:$C$8,3,FALSE)</f>
        <v>0.6</v>
      </c>
      <c r="P3711">
        <f t="shared" si="172"/>
        <v>0.87070049545767725</v>
      </c>
      <c r="Q3711" t="str">
        <f t="shared" ca="1" si="173"/>
        <v>No</v>
      </c>
    </row>
    <row r="3712" spans="1:17" x14ac:dyDescent="0.45">
      <c r="A3712" t="s">
        <v>158</v>
      </c>
      <c r="B3712" t="s">
        <v>159</v>
      </c>
      <c r="C3712" t="s">
        <v>61</v>
      </c>
      <c r="D3712" t="s">
        <v>20</v>
      </c>
      <c r="E3712" t="s">
        <v>21</v>
      </c>
      <c r="F3712" s="1">
        <v>45352</v>
      </c>
      <c r="G3712">
        <v>4.41</v>
      </c>
      <c r="H3712">
        <v>82.406800000000004</v>
      </c>
      <c r="I3712">
        <v>16.61</v>
      </c>
      <c r="J3712">
        <v>87.97</v>
      </c>
      <c r="K3712" t="s">
        <v>31</v>
      </c>
      <c r="L3712">
        <v>427.26</v>
      </c>
      <c r="M3712">
        <f>VLOOKUP(K3712,RatingLookup!$A$2:$C$8,2,FALSE)</f>
        <v>0.04</v>
      </c>
      <c r="N3712">
        <f t="shared" si="171"/>
        <v>3.3960531989175591E-3</v>
      </c>
      <c r="O3712">
        <f>VLOOKUP(K3712,RatingLookup!$A$2:$C$8,3,FALSE)</f>
        <v>0.6</v>
      </c>
      <c r="P3712">
        <f t="shared" si="172"/>
        <v>0.87059861386170978</v>
      </c>
      <c r="Q3712" t="str">
        <f t="shared" ca="1" si="173"/>
        <v>No</v>
      </c>
    </row>
    <row r="3713" spans="1:17" x14ac:dyDescent="0.45">
      <c r="A3713" t="s">
        <v>158</v>
      </c>
      <c r="B3713" t="s">
        <v>159</v>
      </c>
      <c r="C3713" t="s">
        <v>61</v>
      </c>
      <c r="D3713" t="s">
        <v>20</v>
      </c>
      <c r="E3713" t="s">
        <v>21</v>
      </c>
      <c r="F3713" s="1">
        <v>45383</v>
      </c>
      <c r="G3713">
        <v>6.23</v>
      </c>
      <c r="H3713">
        <v>80.706000000000003</v>
      </c>
      <c r="I3713">
        <v>29.27</v>
      </c>
      <c r="J3713">
        <v>102.34</v>
      </c>
      <c r="K3713" t="s">
        <v>31</v>
      </c>
      <c r="L3713">
        <v>435.86</v>
      </c>
      <c r="M3713">
        <f>VLOOKUP(K3713,RatingLookup!$A$2:$C$8,2,FALSE)</f>
        <v>0.04</v>
      </c>
      <c r="N3713">
        <f t="shared" si="171"/>
        <v>3.3960531989175591E-3</v>
      </c>
      <c r="O3713">
        <f>VLOOKUP(K3713,RatingLookup!$A$2:$C$8,3,FALSE)</f>
        <v>0.6</v>
      </c>
      <c r="P3713">
        <f t="shared" si="172"/>
        <v>0.88812224836812448</v>
      </c>
      <c r="Q3713" t="str">
        <f t="shared" ca="1" si="173"/>
        <v>No</v>
      </c>
    </row>
    <row r="3714" spans="1:17" x14ac:dyDescent="0.45">
      <c r="A3714" t="s">
        <v>158</v>
      </c>
      <c r="B3714" t="s">
        <v>159</v>
      </c>
      <c r="C3714" t="s">
        <v>61</v>
      </c>
      <c r="D3714" t="s">
        <v>20</v>
      </c>
      <c r="E3714" t="s">
        <v>21</v>
      </c>
      <c r="F3714" s="1">
        <v>45413</v>
      </c>
      <c r="G3714">
        <v>5.08</v>
      </c>
      <c r="H3714">
        <v>84.466099999999997</v>
      </c>
      <c r="I3714">
        <v>12.66</v>
      </c>
      <c r="J3714">
        <v>61.62</v>
      </c>
      <c r="K3714" t="s">
        <v>31</v>
      </c>
      <c r="L3714">
        <v>433.25</v>
      </c>
      <c r="M3714">
        <f>VLOOKUP(K3714,RatingLookup!$A$2:$C$8,2,FALSE)</f>
        <v>0.04</v>
      </c>
      <c r="N3714">
        <f t="shared" ref="N3714:N3777" si="174">1-(1-M3714)^(1/12)</f>
        <v>3.3960531989175591E-3</v>
      </c>
      <c r="O3714">
        <f>VLOOKUP(K3714,RatingLookup!$A$2:$C$8,3,FALSE)</f>
        <v>0.6</v>
      </c>
      <c r="P3714">
        <f t="shared" ref="P3714:P3777" si="175">L3714*N3714*O3714</f>
        <v>0.88280402905861943</v>
      </c>
      <c r="Q3714" t="str">
        <f t="shared" ref="Q3714:Q3777" ca="1" si="176">IF(RAND()&lt;N3714,"Yes","No")</f>
        <v>No</v>
      </c>
    </row>
    <row r="3715" spans="1:17" x14ac:dyDescent="0.45">
      <c r="A3715" t="s">
        <v>158</v>
      </c>
      <c r="B3715" t="s">
        <v>159</v>
      </c>
      <c r="C3715" t="s">
        <v>61</v>
      </c>
      <c r="D3715" t="s">
        <v>20</v>
      </c>
      <c r="E3715" t="s">
        <v>21</v>
      </c>
      <c r="F3715" s="1">
        <v>45444</v>
      </c>
      <c r="G3715">
        <v>5.14</v>
      </c>
      <c r="H3715">
        <v>83.554100000000005</v>
      </c>
      <c r="I3715">
        <v>24.1</v>
      </c>
      <c r="J3715">
        <v>95.11</v>
      </c>
      <c r="K3715" t="s">
        <v>31</v>
      </c>
      <c r="L3715">
        <v>426.22</v>
      </c>
      <c r="M3715">
        <f>VLOOKUP(K3715,RatingLookup!$A$2:$C$8,2,FALSE)</f>
        <v>0.04</v>
      </c>
      <c r="N3715">
        <f t="shared" si="174"/>
        <v>3.3960531989175591E-3</v>
      </c>
      <c r="O3715">
        <f>VLOOKUP(K3715,RatingLookup!$A$2:$C$8,3,FALSE)</f>
        <v>0.6</v>
      </c>
      <c r="P3715">
        <f t="shared" si="175"/>
        <v>0.86847947666558523</v>
      </c>
      <c r="Q3715" t="str">
        <f t="shared" ca="1" si="176"/>
        <v>No</v>
      </c>
    </row>
    <row r="3716" spans="1:17" x14ac:dyDescent="0.45">
      <c r="A3716" t="s">
        <v>158</v>
      </c>
      <c r="B3716" t="s">
        <v>159</v>
      </c>
      <c r="C3716" t="s">
        <v>61</v>
      </c>
      <c r="D3716" t="s">
        <v>20</v>
      </c>
      <c r="E3716" t="s">
        <v>21</v>
      </c>
      <c r="F3716" s="1">
        <v>45474</v>
      </c>
      <c r="G3716">
        <v>5.24</v>
      </c>
      <c r="H3716">
        <v>83.850700000000003</v>
      </c>
      <c r="I3716">
        <v>20.329999999999998</v>
      </c>
      <c r="J3716">
        <v>85.29</v>
      </c>
      <c r="K3716" t="s">
        <v>31</v>
      </c>
      <c r="L3716">
        <v>416.93</v>
      </c>
      <c r="M3716">
        <f>VLOOKUP(K3716,RatingLookup!$A$2:$C$8,2,FALSE)</f>
        <v>0.04</v>
      </c>
      <c r="N3716">
        <f t="shared" si="174"/>
        <v>3.3960531989175591E-3</v>
      </c>
      <c r="O3716">
        <f>VLOOKUP(K3716,RatingLookup!$A$2:$C$8,3,FALSE)</f>
        <v>0.6</v>
      </c>
      <c r="P3716">
        <f t="shared" si="175"/>
        <v>0.84954987613481869</v>
      </c>
      <c r="Q3716" t="str">
        <f t="shared" ca="1" si="176"/>
        <v>No</v>
      </c>
    </row>
    <row r="3717" spans="1:17" x14ac:dyDescent="0.45">
      <c r="A3717" t="s">
        <v>158</v>
      </c>
      <c r="B3717" t="s">
        <v>159</v>
      </c>
      <c r="C3717" t="s">
        <v>61</v>
      </c>
      <c r="D3717" t="s">
        <v>20</v>
      </c>
      <c r="E3717" t="s">
        <v>21</v>
      </c>
      <c r="F3717" s="1">
        <v>45505</v>
      </c>
      <c r="G3717">
        <v>5.23</v>
      </c>
      <c r="H3717">
        <v>84.085499999999996</v>
      </c>
      <c r="I3717">
        <v>22.19</v>
      </c>
      <c r="J3717">
        <v>70</v>
      </c>
      <c r="K3717" t="s">
        <v>31</v>
      </c>
      <c r="L3717">
        <v>443.11</v>
      </c>
      <c r="M3717">
        <f>VLOOKUP(K3717,RatingLookup!$A$2:$C$8,2,FALSE)</f>
        <v>0.04</v>
      </c>
      <c r="N3717">
        <f t="shared" si="174"/>
        <v>3.3960531989175591E-3</v>
      </c>
      <c r="O3717">
        <f>VLOOKUP(K3717,RatingLookup!$A$2:$C$8,3,FALSE)</f>
        <v>0.6</v>
      </c>
      <c r="P3717">
        <f t="shared" si="175"/>
        <v>0.90289507978341577</v>
      </c>
      <c r="Q3717" t="str">
        <f t="shared" ca="1" si="176"/>
        <v>No</v>
      </c>
    </row>
    <row r="3718" spans="1:17" x14ac:dyDescent="0.45">
      <c r="A3718" t="s">
        <v>158</v>
      </c>
      <c r="B3718" t="s">
        <v>159</v>
      </c>
      <c r="C3718" t="s">
        <v>61</v>
      </c>
      <c r="D3718" t="s">
        <v>20</v>
      </c>
      <c r="E3718" t="s">
        <v>21</v>
      </c>
      <c r="F3718" s="1">
        <v>45536</v>
      </c>
      <c r="G3718">
        <v>5.5</v>
      </c>
      <c r="H3718">
        <v>80.683800000000005</v>
      </c>
      <c r="I3718">
        <v>15.64</v>
      </c>
      <c r="J3718">
        <v>74.599999999999994</v>
      </c>
      <c r="K3718" t="s">
        <v>31</v>
      </c>
      <c r="L3718">
        <v>406.84</v>
      </c>
      <c r="M3718">
        <f>VLOOKUP(K3718,RatingLookup!$A$2:$C$8,2,FALSE)</f>
        <v>0.04</v>
      </c>
      <c r="N3718">
        <f t="shared" si="174"/>
        <v>3.3960531989175591E-3</v>
      </c>
      <c r="O3718">
        <f>VLOOKUP(K3718,RatingLookup!$A$2:$C$8,3,FALSE)</f>
        <v>0.6</v>
      </c>
      <c r="P3718">
        <f t="shared" si="175"/>
        <v>0.82899017006857179</v>
      </c>
      <c r="Q3718" t="str">
        <f t="shared" ca="1" si="176"/>
        <v>No</v>
      </c>
    </row>
    <row r="3719" spans="1:17" x14ac:dyDescent="0.45">
      <c r="A3719" t="s">
        <v>158</v>
      </c>
      <c r="B3719" t="s">
        <v>159</v>
      </c>
      <c r="C3719" t="s">
        <v>61</v>
      </c>
      <c r="D3719" t="s">
        <v>20</v>
      </c>
      <c r="E3719" t="s">
        <v>21</v>
      </c>
      <c r="F3719" s="1">
        <v>45566</v>
      </c>
      <c r="G3719">
        <v>6.32</v>
      </c>
      <c r="H3719">
        <v>81.947500000000005</v>
      </c>
      <c r="I3719">
        <v>20.84</v>
      </c>
      <c r="J3719">
        <v>80.37</v>
      </c>
      <c r="K3719" t="s">
        <v>31</v>
      </c>
      <c r="L3719">
        <v>407.69</v>
      </c>
      <c r="M3719">
        <f>VLOOKUP(K3719,RatingLookup!$A$2:$C$8,2,FALSE)</f>
        <v>0.04</v>
      </c>
      <c r="N3719">
        <f t="shared" si="174"/>
        <v>3.3960531989175591E-3</v>
      </c>
      <c r="O3719">
        <f>VLOOKUP(K3719,RatingLookup!$A$2:$C$8,3,FALSE)</f>
        <v>0.6</v>
      </c>
      <c r="P3719">
        <f t="shared" si="175"/>
        <v>0.83072215720001985</v>
      </c>
      <c r="Q3719" t="str">
        <f t="shared" ca="1" si="176"/>
        <v>No</v>
      </c>
    </row>
    <row r="3720" spans="1:17" x14ac:dyDescent="0.45">
      <c r="A3720" t="s">
        <v>158</v>
      </c>
      <c r="B3720" t="s">
        <v>159</v>
      </c>
      <c r="C3720" t="s">
        <v>61</v>
      </c>
      <c r="D3720" t="s">
        <v>20</v>
      </c>
      <c r="E3720" t="s">
        <v>21</v>
      </c>
      <c r="F3720" s="1">
        <v>45597</v>
      </c>
      <c r="G3720">
        <v>6.26</v>
      </c>
      <c r="H3720">
        <v>76.4208</v>
      </c>
      <c r="I3720">
        <v>18.600000000000001</v>
      </c>
      <c r="J3720">
        <v>94.39</v>
      </c>
      <c r="K3720" t="s">
        <v>31</v>
      </c>
      <c r="L3720">
        <v>434.64</v>
      </c>
      <c r="M3720">
        <f>VLOOKUP(K3720,RatingLookup!$A$2:$C$8,2,FALSE)</f>
        <v>0.04</v>
      </c>
      <c r="N3720">
        <f t="shared" si="174"/>
        <v>3.3960531989175591E-3</v>
      </c>
      <c r="O3720">
        <f>VLOOKUP(K3720,RatingLookup!$A$2:$C$8,3,FALSE)</f>
        <v>0.6</v>
      </c>
      <c r="P3720">
        <f t="shared" si="175"/>
        <v>0.88563633742651671</v>
      </c>
      <c r="Q3720" t="str">
        <f t="shared" ca="1" si="176"/>
        <v>No</v>
      </c>
    </row>
    <row r="3721" spans="1:17" x14ac:dyDescent="0.45">
      <c r="A3721" t="s">
        <v>158</v>
      </c>
      <c r="B3721" t="s">
        <v>159</v>
      </c>
      <c r="C3721" t="s">
        <v>61</v>
      </c>
      <c r="D3721" t="s">
        <v>20</v>
      </c>
      <c r="E3721" t="s">
        <v>21</v>
      </c>
      <c r="F3721" s="1">
        <v>45627</v>
      </c>
      <c r="G3721">
        <v>5.6</v>
      </c>
      <c r="H3721">
        <v>89.658699999999996</v>
      </c>
      <c r="I3721">
        <v>23.43</v>
      </c>
      <c r="J3721">
        <v>63.89</v>
      </c>
      <c r="K3721" t="s">
        <v>31</v>
      </c>
      <c r="L3721">
        <v>410.68</v>
      </c>
      <c r="M3721">
        <f>VLOOKUP(K3721,RatingLookup!$A$2:$C$8,2,FALSE)</f>
        <v>0.04</v>
      </c>
      <c r="N3721">
        <f t="shared" si="174"/>
        <v>3.3960531989175591E-3</v>
      </c>
      <c r="O3721">
        <f>VLOOKUP(K3721,RatingLookup!$A$2:$C$8,3,FALSE)</f>
        <v>0.6</v>
      </c>
      <c r="P3721">
        <f t="shared" si="175"/>
        <v>0.83681467663887787</v>
      </c>
      <c r="Q3721" t="str">
        <f t="shared" ca="1" si="176"/>
        <v>No</v>
      </c>
    </row>
    <row r="3722" spans="1:17" x14ac:dyDescent="0.45">
      <c r="A3722" t="s">
        <v>160</v>
      </c>
      <c r="B3722" t="s">
        <v>161</v>
      </c>
      <c r="C3722" t="s">
        <v>66</v>
      </c>
      <c r="D3722" t="s">
        <v>20</v>
      </c>
      <c r="E3722" t="s">
        <v>21</v>
      </c>
      <c r="F3722" s="1">
        <v>43831</v>
      </c>
      <c r="G3722">
        <v>5.79</v>
      </c>
      <c r="H3722">
        <v>79.574200000000005</v>
      </c>
      <c r="I3722">
        <v>27.29</v>
      </c>
      <c r="J3722">
        <v>88.41</v>
      </c>
      <c r="K3722" t="s">
        <v>23</v>
      </c>
      <c r="L3722">
        <v>339.25</v>
      </c>
      <c r="M3722">
        <f>VLOOKUP(K3722,RatingLookup!$A$2:$C$8,2,FALSE)</f>
        <v>1E-3</v>
      </c>
      <c r="N3722">
        <f t="shared" si="174"/>
        <v>8.3371552197619714E-5</v>
      </c>
      <c r="O3722">
        <f>VLOOKUP(K3722,RatingLookup!$A$2:$C$8,3,FALSE)</f>
        <v>0.3</v>
      </c>
      <c r="P3722">
        <f t="shared" si="175"/>
        <v>8.4851397249127453E-3</v>
      </c>
      <c r="Q3722" t="str">
        <f t="shared" ca="1" si="176"/>
        <v>No</v>
      </c>
    </row>
    <row r="3723" spans="1:17" x14ac:dyDescent="0.45">
      <c r="A3723" t="s">
        <v>160</v>
      </c>
      <c r="B3723" t="s">
        <v>161</v>
      </c>
      <c r="C3723" t="s">
        <v>66</v>
      </c>
      <c r="D3723" t="s">
        <v>20</v>
      </c>
      <c r="E3723" t="s">
        <v>21</v>
      </c>
      <c r="F3723" s="1">
        <v>43862</v>
      </c>
      <c r="G3723">
        <v>5.0199999999999996</v>
      </c>
      <c r="H3723">
        <v>81.390900000000002</v>
      </c>
      <c r="I3723">
        <v>23.89</v>
      </c>
      <c r="J3723">
        <v>91.74</v>
      </c>
      <c r="K3723" t="s">
        <v>23</v>
      </c>
      <c r="L3723">
        <v>358.6</v>
      </c>
      <c r="M3723">
        <f>VLOOKUP(K3723,RatingLookup!$A$2:$C$8,2,FALSE)</f>
        <v>1E-3</v>
      </c>
      <c r="N3723">
        <f t="shared" si="174"/>
        <v>8.3371552197619714E-5</v>
      </c>
      <c r="O3723">
        <f>VLOOKUP(K3723,RatingLookup!$A$2:$C$8,3,FALSE)</f>
        <v>0.3</v>
      </c>
      <c r="P3723">
        <f t="shared" si="175"/>
        <v>8.9691115854199296E-3</v>
      </c>
      <c r="Q3723" t="str">
        <f t="shared" ca="1" si="176"/>
        <v>No</v>
      </c>
    </row>
    <row r="3724" spans="1:17" x14ac:dyDescent="0.45">
      <c r="A3724" t="s">
        <v>160</v>
      </c>
      <c r="B3724" t="s">
        <v>161</v>
      </c>
      <c r="C3724" t="s">
        <v>66</v>
      </c>
      <c r="D3724" t="s">
        <v>20</v>
      </c>
      <c r="E3724" t="s">
        <v>21</v>
      </c>
      <c r="F3724" s="1">
        <v>43891</v>
      </c>
      <c r="G3724">
        <v>5.67</v>
      </c>
      <c r="H3724">
        <v>84.075599999999994</v>
      </c>
      <c r="I3724">
        <v>24.32</v>
      </c>
      <c r="J3724">
        <v>83.26</v>
      </c>
      <c r="K3724" t="s">
        <v>23</v>
      </c>
      <c r="L3724">
        <v>332.9</v>
      </c>
      <c r="M3724">
        <f>VLOOKUP(K3724,RatingLookup!$A$2:$C$8,2,FALSE)</f>
        <v>1E-3</v>
      </c>
      <c r="N3724">
        <f t="shared" si="174"/>
        <v>8.3371552197619714E-5</v>
      </c>
      <c r="O3724">
        <f>VLOOKUP(K3724,RatingLookup!$A$2:$C$8,3,FALSE)</f>
        <v>0.3</v>
      </c>
      <c r="P3724">
        <f t="shared" si="175"/>
        <v>8.3263169179762803E-3</v>
      </c>
      <c r="Q3724" t="str">
        <f t="shared" ca="1" si="176"/>
        <v>No</v>
      </c>
    </row>
    <row r="3725" spans="1:17" x14ac:dyDescent="0.45">
      <c r="A3725" t="s">
        <v>160</v>
      </c>
      <c r="B3725" t="s">
        <v>161</v>
      </c>
      <c r="C3725" t="s">
        <v>66</v>
      </c>
      <c r="D3725" t="s">
        <v>20</v>
      </c>
      <c r="E3725" t="s">
        <v>21</v>
      </c>
      <c r="F3725" s="1">
        <v>43922</v>
      </c>
      <c r="G3725">
        <v>6.36</v>
      </c>
      <c r="H3725">
        <v>88.524799999999999</v>
      </c>
      <c r="I3725">
        <v>18.84</v>
      </c>
      <c r="J3725">
        <v>73.59</v>
      </c>
      <c r="K3725" t="s">
        <v>23</v>
      </c>
      <c r="L3725">
        <v>366.93</v>
      </c>
      <c r="M3725">
        <f>VLOOKUP(K3725,RatingLookup!$A$2:$C$8,2,FALSE)</f>
        <v>1E-3</v>
      </c>
      <c r="N3725">
        <f t="shared" si="174"/>
        <v>8.3371552197619714E-5</v>
      </c>
      <c r="O3725">
        <f>VLOOKUP(K3725,RatingLookup!$A$2:$C$8,3,FALSE)</f>
        <v>0.3</v>
      </c>
      <c r="P3725">
        <f t="shared" si="175"/>
        <v>9.1774570943617805E-3</v>
      </c>
      <c r="Q3725" t="str">
        <f t="shared" ca="1" si="176"/>
        <v>No</v>
      </c>
    </row>
    <row r="3726" spans="1:17" x14ac:dyDescent="0.45">
      <c r="A3726" t="s">
        <v>160</v>
      </c>
      <c r="B3726" t="s">
        <v>161</v>
      </c>
      <c r="C3726" t="s">
        <v>66</v>
      </c>
      <c r="D3726" t="s">
        <v>20</v>
      </c>
      <c r="E3726" t="s">
        <v>21</v>
      </c>
      <c r="F3726" s="1">
        <v>43952</v>
      </c>
      <c r="G3726">
        <v>4.54</v>
      </c>
      <c r="H3726">
        <v>80.591200000000001</v>
      </c>
      <c r="I3726">
        <v>6.63</v>
      </c>
      <c r="J3726">
        <v>78.23</v>
      </c>
      <c r="K3726" t="s">
        <v>23</v>
      </c>
      <c r="L3726">
        <v>359.22</v>
      </c>
      <c r="M3726">
        <f>VLOOKUP(K3726,RatingLookup!$A$2:$C$8,2,FALSE)</f>
        <v>1E-3</v>
      </c>
      <c r="N3726">
        <f t="shared" si="174"/>
        <v>8.3371552197619714E-5</v>
      </c>
      <c r="O3726">
        <f>VLOOKUP(K3726,RatingLookup!$A$2:$C$8,3,FALSE)</f>
        <v>0.3</v>
      </c>
      <c r="P3726">
        <f t="shared" si="175"/>
        <v>8.9846186941286866E-3</v>
      </c>
      <c r="Q3726" t="str">
        <f t="shared" ca="1" si="176"/>
        <v>No</v>
      </c>
    </row>
    <row r="3727" spans="1:17" x14ac:dyDescent="0.45">
      <c r="A3727" t="s">
        <v>160</v>
      </c>
      <c r="B3727" t="s">
        <v>161</v>
      </c>
      <c r="C3727" t="s">
        <v>66</v>
      </c>
      <c r="D3727" t="s">
        <v>20</v>
      </c>
      <c r="E3727" t="s">
        <v>21</v>
      </c>
      <c r="F3727" s="1">
        <v>43983</v>
      </c>
      <c r="G3727">
        <v>5.92</v>
      </c>
      <c r="H3727">
        <v>87.243700000000004</v>
      </c>
      <c r="I3727">
        <v>17.63</v>
      </c>
      <c r="J3727">
        <v>82.5</v>
      </c>
      <c r="K3727" t="s">
        <v>23</v>
      </c>
      <c r="L3727">
        <v>358.62</v>
      </c>
      <c r="M3727">
        <f>VLOOKUP(K3727,RatingLookup!$A$2:$C$8,2,FALSE)</f>
        <v>1E-3</v>
      </c>
      <c r="N3727">
        <f t="shared" si="174"/>
        <v>8.3371552197619714E-5</v>
      </c>
      <c r="O3727">
        <f>VLOOKUP(K3727,RatingLookup!$A$2:$C$8,3,FALSE)</f>
        <v>0.3</v>
      </c>
      <c r="P3727">
        <f t="shared" si="175"/>
        <v>8.9696118147331149E-3</v>
      </c>
      <c r="Q3727" t="str">
        <f t="shared" ca="1" si="176"/>
        <v>No</v>
      </c>
    </row>
    <row r="3728" spans="1:17" x14ac:dyDescent="0.45">
      <c r="A3728" t="s">
        <v>160</v>
      </c>
      <c r="B3728" t="s">
        <v>161</v>
      </c>
      <c r="C3728" t="s">
        <v>66</v>
      </c>
      <c r="D3728" t="s">
        <v>20</v>
      </c>
      <c r="E3728" t="s">
        <v>21</v>
      </c>
      <c r="F3728" s="1">
        <v>44013</v>
      </c>
      <c r="G3728">
        <v>5.69</v>
      </c>
      <c r="H3728">
        <v>83.546999999999997</v>
      </c>
      <c r="I3728">
        <v>14.88</v>
      </c>
      <c r="J3728">
        <v>68.14</v>
      </c>
      <c r="K3728" t="s">
        <v>48</v>
      </c>
      <c r="L3728">
        <v>338.8</v>
      </c>
      <c r="M3728">
        <f>VLOOKUP(K3728,RatingLookup!$A$2:$C$8,2,FALSE)</f>
        <v>5.0000000000000001E-4</v>
      </c>
      <c r="N3728">
        <f t="shared" si="174"/>
        <v>4.167621832917856E-5</v>
      </c>
      <c r="O3728">
        <f>VLOOKUP(K3728,RatingLookup!$A$2:$C$8,3,FALSE)</f>
        <v>0.25</v>
      </c>
      <c r="P3728">
        <f t="shared" si="175"/>
        <v>3.5299756924814241E-3</v>
      </c>
      <c r="Q3728" t="str">
        <f t="shared" ca="1" si="176"/>
        <v>No</v>
      </c>
    </row>
    <row r="3729" spans="1:17" x14ac:dyDescent="0.45">
      <c r="A3729" t="s">
        <v>160</v>
      </c>
      <c r="B3729" t="s">
        <v>161</v>
      </c>
      <c r="C3729" t="s">
        <v>66</v>
      </c>
      <c r="D3729" t="s">
        <v>20</v>
      </c>
      <c r="E3729" t="s">
        <v>21</v>
      </c>
      <c r="F3729" s="1">
        <v>44044</v>
      </c>
      <c r="G3729">
        <v>5.57</v>
      </c>
      <c r="H3729">
        <v>81.091399999999993</v>
      </c>
      <c r="I3729">
        <v>16.98</v>
      </c>
      <c r="J3729">
        <v>73.72</v>
      </c>
      <c r="K3729" t="s">
        <v>48</v>
      </c>
      <c r="L3729">
        <v>349.1</v>
      </c>
      <c r="M3729">
        <f>VLOOKUP(K3729,RatingLookup!$A$2:$C$8,2,FALSE)</f>
        <v>5.0000000000000001E-4</v>
      </c>
      <c r="N3729">
        <f t="shared" si="174"/>
        <v>4.167621832917856E-5</v>
      </c>
      <c r="O3729">
        <f>VLOOKUP(K3729,RatingLookup!$A$2:$C$8,3,FALSE)</f>
        <v>0.25</v>
      </c>
      <c r="P3729">
        <f t="shared" si="175"/>
        <v>3.6372919546790593E-3</v>
      </c>
      <c r="Q3729" t="str">
        <f t="shared" ca="1" si="176"/>
        <v>No</v>
      </c>
    </row>
    <row r="3730" spans="1:17" x14ac:dyDescent="0.45">
      <c r="A3730" t="s">
        <v>160</v>
      </c>
      <c r="B3730" t="s">
        <v>161</v>
      </c>
      <c r="C3730" t="s">
        <v>66</v>
      </c>
      <c r="D3730" t="s">
        <v>20</v>
      </c>
      <c r="E3730" t="s">
        <v>21</v>
      </c>
      <c r="F3730" s="1">
        <v>44075</v>
      </c>
      <c r="G3730">
        <v>4.34</v>
      </c>
      <c r="H3730">
        <v>81.673199999999994</v>
      </c>
      <c r="I3730">
        <v>16.37</v>
      </c>
      <c r="J3730">
        <v>75.33</v>
      </c>
      <c r="K3730" t="s">
        <v>48</v>
      </c>
      <c r="L3730">
        <v>349.46</v>
      </c>
      <c r="M3730">
        <f>VLOOKUP(K3730,RatingLookup!$A$2:$C$8,2,FALSE)</f>
        <v>5.0000000000000001E-4</v>
      </c>
      <c r="N3730">
        <f t="shared" si="174"/>
        <v>4.167621832917856E-5</v>
      </c>
      <c r="O3730">
        <f>VLOOKUP(K3730,RatingLookup!$A$2:$C$8,3,FALSE)</f>
        <v>0.25</v>
      </c>
      <c r="P3730">
        <f t="shared" si="175"/>
        <v>3.6410428143286849E-3</v>
      </c>
      <c r="Q3730" t="str">
        <f t="shared" ca="1" si="176"/>
        <v>No</v>
      </c>
    </row>
    <row r="3731" spans="1:17" x14ac:dyDescent="0.45">
      <c r="A3731" t="s">
        <v>160</v>
      </c>
      <c r="B3731" t="s">
        <v>161</v>
      </c>
      <c r="C3731" t="s">
        <v>66</v>
      </c>
      <c r="D3731" t="s">
        <v>20</v>
      </c>
      <c r="E3731" t="s">
        <v>21</v>
      </c>
      <c r="F3731" s="1">
        <v>44105</v>
      </c>
      <c r="G3731">
        <v>5.67</v>
      </c>
      <c r="H3731">
        <v>80.992699999999999</v>
      </c>
      <c r="I3731">
        <v>16.850000000000001</v>
      </c>
      <c r="J3731">
        <v>74.760000000000005</v>
      </c>
      <c r="K3731" t="s">
        <v>48</v>
      </c>
      <c r="L3731">
        <v>361.86</v>
      </c>
      <c r="M3731">
        <f>VLOOKUP(K3731,RatingLookup!$A$2:$C$8,2,FALSE)</f>
        <v>5.0000000000000001E-4</v>
      </c>
      <c r="N3731">
        <f t="shared" si="174"/>
        <v>4.167621832917856E-5</v>
      </c>
      <c r="O3731">
        <f>VLOOKUP(K3731,RatingLookup!$A$2:$C$8,3,FALSE)</f>
        <v>0.25</v>
      </c>
      <c r="P3731">
        <f t="shared" si="175"/>
        <v>3.7702390911491385E-3</v>
      </c>
      <c r="Q3731" t="str">
        <f t="shared" ca="1" si="176"/>
        <v>No</v>
      </c>
    </row>
    <row r="3732" spans="1:17" x14ac:dyDescent="0.45">
      <c r="A3732" t="s">
        <v>160</v>
      </c>
      <c r="B3732" t="s">
        <v>161</v>
      </c>
      <c r="C3732" t="s">
        <v>66</v>
      </c>
      <c r="D3732" t="s">
        <v>20</v>
      </c>
      <c r="E3732" t="s">
        <v>21</v>
      </c>
      <c r="F3732" s="1">
        <v>44136</v>
      </c>
      <c r="G3732">
        <v>5.2</v>
      </c>
      <c r="H3732">
        <v>83.813199999999995</v>
      </c>
      <c r="I3732">
        <v>16.63</v>
      </c>
      <c r="J3732">
        <v>81.72</v>
      </c>
      <c r="K3732" t="s">
        <v>48</v>
      </c>
      <c r="L3732">
        <v>356.74</v>
      </c>
      <c r="M3732">
        <f>VLOOKUP(K3732,RatingLookup!$A$2:$C$8,2,FALSE)</f>
        <v>5.0000000000000001E-4</v>
      </c>
      <c r="N3732">
        <f t="shared" si="174"/>
        <v>4.167621832917856E-5</v>
      </c>
      <c r="O3732">
        <f>VLOOKUP(K3732,RatingLookup!$A$2:$C$8,3,FALSE)</f>
        <v>0.25</v>
      </c>
      <c r="P3732">
        <f t="shared" si="175"/>
        <v>3.7168935316877899E-3</v>
      </c>
      <c r="Q3732" t="str">
        <f t="shared" ca="1" si="176"/>
        <v>No</v>
      </c>
    </row>
    <row r="3733" spans="1:17" x14ac:dyDescent="0.45">
      <c r="A3733" t="s">
        <v>160</v>
      </c>
      <c r="B3733" t="s">
        <v>161</v>
      </c>
      <c r="C3733" t="s">
        <v>66</v>
      </c>
      <c r="D3733" t="s">
        <v>20</v>
      </c>
      <c r="E3733" t="s">
        <v>21</v>
      </c>
      <c r="F3733" s="1">
        <v>44166</v>
      </c>
      <c r="G3733">
        <v>4.42</v>
      </c>
      <c r="H3733">
        <v>79.577699999999993</v>
      </c>
      <c r="I3733">
        <v>8.6199999999999992</v>
      </c>
      <c r="J3733">
        <v>78.17</v>
      </c>
      <c r="K3733" t="s">
        <v>48</v>
      </c>
      <c r="L3733">
        <v>332.08</v>
      </c>
      <c r="M3733">
        <f>VLOOKUP(K3733,RatingLookup!$A$2:$C$8,2,FALSE)</f>
        <v>5.0000000000000001E-4</v>
      </c>
      <c r="N3733">
        <f t="shared" si="174"/>
        <v>4.167621832917856E-5</v>
      </c>
      <c r="O3733">
        <f>VLOOKUP(K3733,RatingLookup!$A$2:$C$8,3,FALSE)</f>
        <v>0.25</v>
      </c>
      <c r="P3733">
        <f t="shared" si="175"/>
        <v>3.4599596456884041E-3</v>
      </c>
      <c r="Q3733" t="str">
        <f t="shared" ca="1" si="176"/>
        <v>No</v>
      </c>
    </row>
    <row r="3734" spans="1:17" x14ac:dyDescent="0.45">
      <c r="A3734" t="s">
        <v>160</v>
      </c>
      <c r="B3734" t="s">
        <v>161</v>
      </c>
      <c r="C3734" t="s">
        <v>66</v>
      </c>
      <c r="D3734" t="s">
        <v>20</v>
      </c>
      <c r="E3734" t="s">
        <v>21</v>
      </c>
      <c r="F3734" s="1">
        <v>44197</v>
      </c>
      <c r="G3734">
        <v>5.35</v>
      </c>
      <c r="H3734">
        <v>84.441199999999995</v>
      </c>
      <c r="I3734">
        <v>24.56</v>
      </c>
      <c r="J3734">
        <v>68.77</v>
      </c>
      <c r="K3734" t="s">
        <v>48</v>
      </c>
      <c r="L3734">
        <v>362.06</v>
      </c>
      <c r="M3734">
        <f>VLOOKUP(K3734,RatingLookup!$A$2:$C$8,2,FALSE)</f>
        <v>5.0000000000000001E-4</v>
      </c>
      <c r="N3734">
        <f t="shared" si="174"/>
        <v>4.167621832917856E-5</v>
      </c>
      <c r="O3734">
        <f>VLOOKUP(K3734,RatingLookup!$A$2:$C$8,3,FALSE)</f>
        <v>0.25</v>
      </c>
      <c r="P3734">
        <f t="shared" si="175"/>
        <v>3.7723229020655974E-3</v>
      </c>
      <c r="Q3734" t="str">
        <f t="shared" ca="1" si="176"/>
        <v>No</v>
      </c>
    </row>
    <row r="3735" spans="1:17" x14ac:dyDescent="0.45">
      <c r="A3735" t="s">
        <v>160</v>
      </c>
      <c r="B3735" t="s">
        <v>161</v>
      </c>
      <c r="C3735" t="s">
        <v>66</v>
      </c>
      <c r="D3735" t="s">
        <v>20</v>
      </c>
      <c r="E3735" t="s">
        <v>21</v>
      </c>
      <c r="F3735" s="1">
        <v>44228</v>
      </c>
      <c r="G3735">
        <v>5.25</v>
      </c>
      <c r="H3735">
        <v>79.234800000000007</v>
      </c>
      <c r="I3735">
        <v>21.38</v>
      </c>
      <c r="J3735">
        <v>97.11</v>
      </c>
      <c r="K3735" t="s">
        <v>23</v>
      </c>
      <c r="L3735">
        <v>398.09</v>
      </c>
      <c r="M3735">
        <f>VLOOKUP(K3735,RatingLookup!$A$2:$C$8,2,FALSE)</f>
        <v>1E-3</v>
      </c>
      <c r="N3735">
        <f t="shared" si="174"/>
        <v>8.3371552197619714E-5</v>
      </c>
      <c r="O3735">
        <f>VLOOKUP(K3735,RatingLookup!$A$2:$C$8,3,FALSE)</f>
        <v>0.3</v>
      </c>
      <c r="P3735">
        <f t="shared" si="175"/>
        <v>9.9568143643051291E-3</v>
      </c>
      <c r="Q3735" t="str">
        <f t="shared" ca="1" si="176"/>
        <v>No</v>
      </c>
    </row>
    <row r="3736" spans="1:17" x14ac:dyDescent="0.45">
      <c r="A3736" t="s">
        <v>160</v>
      </c>
      <c r="B3736" t="s">
        <v>161</v>
      </c>
      <c r="C3736" t="s">
        <v>66</v>
      </c>
      <c r="D3736" t="s">
        <v>20</v>
      </c>
      <c r="E3736" t="s">
        <v>21</v>
      </c>
      <c r="F3736" s="1">
        <v>44256</v>
      </c>
      <c r="G3736">
        <v>4.33</v>
      </c>
      <c r="H3736">
        <v>81.233099999999993</v>
      </c>
      <c r="I3736">
        <v>12.81</v>
      </c>
      <c r="J3736">
        <v>69.03</v>
      </c>
      <c r="K3736" t="s">
        <v>23</v>
      </c>
      <c r="L3736">
        <v>335.63</v>
      </c>
      <c r="M3736">
        <f>VLOOKUP(K3736,RatingLookup!$A$2:$C$8,2,FALSE)</f>
        <v>1E-3</v>
      </c>
      <c r="N3736">
        <f t="shared" si="174"/>
        <v>8.3371552197619714E-5</v>
      </c>
      <c r="O3736">
        <f>VLOOKUP(K3736,RatingLookup!$A$2:$C$8,3,FALSE)</f>
        <v>0.3</v>
      </c>
      <c r="P3736">
        <f t="shared" si="175"/>
        <v>8.3945982192261299E-3</v>
      </c>
      <c r="Q3736" t="str">
        <f t="shared" ca="1" si="176"/>
        <v>No</v>
      </c>
    </row>
    <row r="3737" spans="1:17" x14ac:dyDescent="0.45">
      <c r="A3737" t="s">
        <v>160</v>
      </c>
      <c r="B3737" t="s">
        <v>161</v>
      </c>
      <c r="C3737" t="s">
        <v>66</v>
      </c>
      <c r="D3737" t="s">
        <v>20</v>
      </c>
      <c r="E3737" t="s">
        <v>21</v>
      </c>
      <c r="F3737" s="1">
        <v>44287</v>
      </c>
      <c r="G3737">
        <v>5.92</v>
      </c>
      <c r="H3737">
        <v>84.439599999999999</v>
      </c>
      <c r="I3737">
        <v>18.66</v>
      </c>
      <c r="J3737">
        <v>81.8</v>
      </c>
      <c r="K3737" t="s">
        <v>23</v>
      </c>
      <c r="L3737">
        <v>379.45</v>
      </c>
      <c r="M3737">
        <f>VLOOKUP(K3737,RatingLookup!$A$2:$C$8,2,FALSE)</f>
        <v>1E-3</v>
      </c>
      <c r="N3737">
        <f t="shared" si="174"/>
        <v>8.3371552197619714E-5</v>
      </c>
      <c r="O3737">
        <f>VLOOKUP(K3737,RatingLookup!$A$2:$C$8,3,FALSE)</f>
        <v>0.3</v>
      </c>
      <c r="P3737">
        <f t="shared" si="175"/>
        <v>9.4906006444160397E-3</v>
      </c>
      <c r="Q3737" t="str">
        <f t="shared" ca="1" si="176"/>
        <v>No</v>
      </c>
    </row>
    <row r="3738" spans="1:17" x14ac:dyDescent="0.45">
      <c r="A3738" t="s">
        <v>160</v>
      </c>
      <c r="B3738" t="s">
        <v>161</v>
      </c>
      <c r="C3738" t="s">
        <v>66</v>
      </c>
      <c r="D3738" t="s">
        <v>20</v>
      </c>
      <c r="E3738" t="s">
        <v>21</v>
      </c>
      <c r="F3738" s="1">
        <v>44317</v>
      </c>
      <c r="G3738">
        <v>6.13</v>
      </c>
      <c r="H3738">
        <v>84.251900000000006</v>
      </c>
      <c r="I3738">
        <v>23.04</v>
      </c>
      <c r="J3738">
        <v>63.31</v>
      </c>
      <c r="K3738" t="s">
        <v>23</v>
      </c>
      <c r="L3738">
        <v>340.05</v>
      </c>
      <c r="M3738">
        <f>VLOOKUP(K3738,RatingLookup!$A$2:$C$8,2,FALSE)</f>
        <v>1E-3</v>
      </c>
      <c r="N3738">
        <f t="shared" si="174"/>
        <v>8.3371552197619714E-5</v>
      </c>
      <c r="O3738">
        <f>VLOOKUP(K3738,RatingLookup!$A$2:$C$8,3,FALSE)</f>
        <v>0.3</v>
      </c>
      <c r="P3738">
        <f t="shared" si="175"/>
        <v>8.5051488974401748E-3</v>
      </c>
      <c r="Q3738" t="str">
        <f t="shared" ca="1" si="176"/>
        <v>No</v>
      </c>
    </row>
    <row r="3739" spans="1:17" x14ac:dyDescent="0.45">
      <c r="A3739" t="s">
        <v>160</v>
      </c>
      <c r="B3739" t="s">
        <v>161</v>
      </c>
      <c r="C3739" t="s">
        <v>66</v>
      </c>
      <c r="D3739" t="s">
        <v>20</v>
      </c>
      <c r="E3739" t="s">
        <v>21</v>
      </c>
      <c r="F3739" s="1">
        <v>44348</v>
      </c>
      <c r="G3739">
        <v>6.41</v>
      </c>
      <c r="H3739">
        <v>85.355900000000005</v>
      </c>
      <c r="I3739">
        <v>28.14</v>
      </c>
      <c r="J3739">
        <v>82.44</v>
      </c>
      <c r="K3739" t="s">
        <v>23</v>
      </c>
      <c r="L3739">
        <v>357.35</v>
      </c>
      <c r="M3739">
        <f>VLOOKUP(K3739,RatingLookup!$A$2:$C$8,2,FALSE)</f>
        <v>1E-3</v>
      </c>
      <c r="N3739">
        <f t="shared" si="174"/>
        <v>8.3371552197619714E-5</v>
      </c>
      <c r="O3739">
        <f>VLOOKUP(K3739,RatingLookup!$A$2:$C$8,3,FALSE)</f>
        <v>0.3</v>
      </c>
      <c r="P3739">
        <f t="shared" si="175"/>
        <v>8.9378472533458223E-3</v>
      </c>
      <c r="Q3739" t="str">
        <f t="shared" ca="1" si="176"/>
        <v>No</v>
      </c>
    </row>
    <row r="3740" spans="1:17" x14ac:dyDescent="0.45">
      <c r="A3740" t="s">
        <v>160</v>
      </c>
      <c r="B3740" t="s">
        <v>161</v>
      </c>
      <c r="C3740" t="s">
        <v>66</v>
      </c>
      <c r="D3740" t="s">
        <v>20</v>
      </c>
      <c r="E3740" t="s">
        <v>21</v>
      </c>
      <c r="F3740" s="1">
        <v>44378</v>
      </c>
      <c r="G3740">
        <v>5.6</v>
      </c>
      <c r="H3740">
        <v>80.569999999999993</v>
      </c>
      <c r="I3740">
        <v>5</v>
      </c>
      <c r="J3740">
        <v>69.44</v>
      </c>
      <c r="K3740" t="s">
        <v>23</v>
      </c>
      <c r="L3740">
        <v>363.79</v>
      </c>
      <c r="M3740">
        <f>VLOOKUP(K3740,RatingLookup!$A$2:$C$8,2,FALSE)</f>
        <v>1E-3</v>
      </c>
      <c r="N3740">
        <f t="shared" si="174"/>
        <v>8.3371552197619714E-5</v>
      </c>
      <c r="O3740">
        <f>VLOOKUP(K3740,RatingLookup!$A$2:$C$8,3,FALSE)</f>
        <v>0.3</v>
      </c>
      <c r="P3740">
        <f t="shared" si="175"/>
        <v>9.0989210921916218E-3</v>
      </c>
      <c r="Q3740" t="str">
        <f t="shared" ca="1" si="176"/>
        <v>No</v>
      </c>
    </row>
    <row r="3741" spans="1:17" x14ac:dyDescent="0.45">
      <c r="A3741" t="s">
        <v>160</v>
      </c>
      <c r="B3741" t="s">
        <v>161</v>
      </c>
      <c r="C3741" t="s">
        <v>66</v>
      </c>
      <c r="D3741" t="s">
        <v>20</v>
      </c>
      <c r="E3741" t="s">
        <v>21</v>
      </c>
      <c r="F3741" s="1">
        <v>44409</v>
      </c>
      <c r="G3741">
        <v>5.49</v>
      </c>
      <c r="H3741">
        <v>81.225899999999996</v>
      </c>
      <c r="I3741">
        <v>21.4</v>
      </c>
      <c r="J3741">
        <v>50.25</v>
      </c>
      <c r="K3741" t="s">
        <v>23</v>
      </c>
      <c r="L3741">
        <v>391.86</v>
      </c>
      <c r="M3741">
        <f>VLOOKUP(K3741,RatingLookup!$A$2:$C$8,2,FALSE)</f>
        <v>1E-3</v>
      </c>
      <c r="N3741">
        <f t="shared" si="174"/>
        <v>8.3371552197619714E-5</v>
      </c>
      <c r="O3741">
        <f>VLOOKUP(K3741,RatingLookup!$A$2:$C$8,3,FALSE)</f>
        <v>0.3</v>
      </c>
      <c r="P3741">
        <f t="shared" si="175"/>
        <v>9.8009929332477774E-3</v>
      </c>
      <c r="Q3741" t="str">
        <f t="shared" ca="1" si="176"/>
        <v>No</v>
      </c>
    </row>
    <row r="3742" spans="1:17" x14ac:dyDescent="0.45">
      <c r="A3742" t="s">
        <v>160</v>
      </c>
      <c r="B3742" t="s">
        <v>161</v>
      </c>
      <c r="C3742" t="s">
        <v>66</v>
      </c>
      <c r="D3742" t="s">
        <v>20</v>
      </c>
      <c r="E3742" t="s">
        <v>21</v>
      </c>
      <c r="F3742" s="1">
        <v>44440</v>
      </c>
      <c r="G3742">
        <v>5.52</v>
      </c>
      <c r="H3742">
        <v>84.965599999999995</v>
      </c>
      <c r="I3742">
        <v>16.309999999999999</v>
      </c>
      <c r="J3742">
        <v>85.23</v>
      </c>
      <c r="K3742" t="s">
        <v>23</v>
      </c>
      <c r="L3742">
        <v>376.24</v>
      </c>
      <c r="M3742">
        <f>VLOOKUP(K3742,RatingLookup!$A$2:$C$8,2,FALSE)</f>
        <v>1E-3</v>
      </c>
      <c r="N3742">
        <f t="shared" si="174"/>
        <v>8.3371552197619714E-5</v>
      </c>
      <c r="O3742">
        <f>VLOOKUP(K3742,RatingLookup!$A$2:$C$8,3,FALSE)</f>
        <v>0.3</v>
      </c>
      <c r="P3742">
        <f t="shared" si="175"/>
        <v>9.4103138396497334E-3</v>
      </c>
      <c r="Q3742" t="str">
        <f t="shared" ca="1" si="176"/>
        <v>No</v>
      </c>
    </row>
    <row r="3743" spans="1:17" x14ac:dyDescent="0.45">
      <c r="A3743" t="s">
        <v>160</v>
      </c>
      <c r="B3743" t="s">
        <v>161</v>
      </c>
      <c r="C3743" t="s">
        <v>66</v>
      </c>
      <c r="D3743" t="s">
        <v>20</v>
      </c>
      <c r="E3743" t="s">
        <v>21</v>
      </c>
      <c r="F3743" s="1">
        <v>44470</v>
      </c>
      <c r="G3743">
        <v>5.57</v>
      </c>
      <c r="H3743">
        <v>80.831900000000005</v>
      </c>
      <c r="I3743">
        <v>17.579999999999998</v>
      </c>
      <c r="J3743">
        <v>67.930000000000007</v>
      </c>
      <c r="K3743" t="s">
        <v>22</v>
      </c>
      <c r="L3743">
        <v>360.52</v>
      </c>
      <c r="M3743">
        <f>VLOOKUP(K3743,RatingLookup!$A$2:$C$8,2,FALSE)</f>
        <v>5.0000000000000001E-3</v>
      </c>
      <c r="N3743">
        <f t="shared" si="174"/>
        <v>4.1762458919303302E-4</v>
      </c>
      <c r="O3743">
        <f>VLOOKUP(K3743,RatingLookup!$A$2:$C$8,3,FALSE)</f>
        <v>0.45</v>
      </c>
      <c r="P3743">
        <f t="shared" si="175"/>
        <v>6.7752907603142523E-2</v>
      </c>
      <c r="Q3743" t="str">
        <f t="shared" ca="1" si="176"/>
        <v>No</v>
      </c>
    </row>
    <row r="3744" spans="1:17" x14ac:dyDescent="0.45">
      <c r="A3744" t="s">
        <v>160</v>
      </c>
      <c r="B3744" t="s">
        <v>161</v>
      </c>
      <c r="C3744" t="s">
        <v>66</v>
      </c>
      <c r="D3744" t="s">
        <v>20</v>
      </c>
      <c r="E3744" t="s">
        <v>21</v>
      </c>
      <c r="F3744" s="1">
        <v>44501</v>
      </c>
      <c r="G3744">
        <v>6.37</v>
      </c>
      <c r="H3744">
        <v>82.603499999999997</v>
      </c>
      <c r="I3744">
        <v>17.489999999999998</v>
      </c>
      <c r="J3744">
        <v>64.12</v>
      </c>
      <c r="K3744" t="s">
        <v>22</v>
      </c>
      <c r="L3744">
        <v>391.17</v>
      </c>
      <c r="M3744">
        <f>VLOOKUP(K3744,RatingLookup!$A$2:$C$8,2,FALSE)</f>
        <v>5.0000000000000001E-3</v>
      </c>
      <c r="N3744">
        <f t="shared" si="174"/>
        <v>4.1762458919303302E-4</v>
      </c>
      <c r="O3744">
        <f>VLOOKUP(K3744,RatingLookup!$A$2:$C$8,3,FALSE)</f>
        <v>0.45</v>
      </c>
      <c r="P3744">
        <f t="shared" si="175"/>
        <v>7.3512994749587432E-2</v>
      </c>
      <c r="Q3744" t="str">
        <f t="shared" ca="1" si="176"/>
        <v>No</v>
      </c>
    </row>
    <row r="3745" spans="1:17" x14ac:dyDescent="0.45">
      <c r="A3745" t="s">
        <v>160</v>
      </c>
      <c r="B3745" t="s">
        <v>161</v>
      </c>
      <c r="C3745" t="s">
        <v>66</v>
      </c>
      <c r="D3745" t="s">
        <v>20</v>
      </c>
      <c r="E3745" t="s">
        <v>21</v>
      </c>
      <c r="F3745" s="1">
        <v>44531</v>
      </c>
      <c r="G3745">
        <v>5.4</v>
      </c>
      <c r="H3745">
        <v>82.946600000000004</v>
      </c>
      <c r="I3745">
        <v>15.1</v>
      </c>
      <c r="J3745">
        <v>105.76</v>
      </c>
      <c r="K3745" t="s">
        <v>22</v>
      </c>
      <c r="L3745">
        <v>374.38</v>
      </c>
      <c r="M3745">
        <f>VLOOKUP(K3745,RatingLookup!$A$2:$C$8,2,FALSE)</f>
        <v>5.0000000000000001E-3</v>
      </c>
      <c r="N3745">
        <f t="shared" si="174"/>
        <v>4.1762458919303302E-4</v>
      </c>
      <c r="O3745">
        <f>VLOOKUP(K3745,RatingLookup!$A$2:$C$8,3,FALSE)</f>
        <v>0.45</v>
      </c>
      <c r="P3745">
        <f t="shared" si="175"/>
        <v>7.035763216593946E-2</v>
      </c>
      <c r="Q3745" t="str">
        <f t="shared" ca="1" si="176"/>
        <v>No</v>
      </c>
    </row>
    <row r="3746" spans="1:17" x14ac:dyDescent="0.45">
      <c r="A3746" t="s">
        <v>160</v>
      </c>
      <c r="B3746" t="s">
        <v>161</v>
      </c>
      <c r="C3746" t="s">
        <v>66</v>
      </c>
      <c r="D3746" t="s">
        <v>20</v>
      </c>
      <c r="E3746" t="s">
        <v>21</v>
      </c>
      <c r="F3746" s="1">
        <v>44562</v>
      </c>
      <c r="G3746">
        <v>5.07</v>
      </c>
      <c r="H3746">
        <v>79.581800000000001</v>
      </c>
      <c r="I3746">
        <v>21.65</v>
      </c>
      <c r="J3746">
        <v>69.87</v>
      </c>
      <c r="K3746" t="s">
        <v>22</v>
      </c>
      <c r="L3746">
        <v>364.64</v>
      </c>
      <c r="M3746">
        <f>VLOOKUP(K3746,RatingLookup!$A$2:$C$8,2,FALSE)</f>
        <v>5.0000000000000001E-3</v>
      </c>
      <c r="N3746">
        <f t="shared" si="174"/>
        <v>4.1762458919303302E-4</v>
      </c>
      <c r="O3746">
        <f>VLOOKUP(K3746,RatingLookup!$A$2:$C$8,3,FALSE)</f>
        <v>0.45</v>
      </c>
      <c r="P3746">
        <f t="shared" si="175"/>
        <v>6.8527183591506405E-2</v>
      </c>
      <c r="Q3746" t="str">
        <f t="shared" ca="1" si="176"/>
        <v>No</v>
      </c>
    </row>
    <row r="3747" spans="1:17" x14ac:dyDescent="0.45">
      <c r="A3747" t="s">
        <v>160</v>
      </c>
      <c r="B3747" t="s">
        <v>161</v>
      </c>
      <c r="C3747" t="s">
        <v>66</v>
      </c>
      <c r="D3747" t="s">
        <v>20</v>
      </c>
      <c r="E3747" t="s">
        <v>21</v>
      </c>
      <c r="F3747" s="1">
        <v>44593</v>
      </c>
      <c r="G3747">
        <v>4.58</v>
      </c>
      <c r="H3747">
        <v>82.667699999999996</v>
      </c>
      <c r="I3747">
        <v>18.84</v>
      </c>
      <c r="J3747">
        <v>96.08</v>
      </c>
      <c r="K3747" t="s">
        <v>22</v>
      </c>
      <c r="L3747">
        <v>363.96</v>
      </c>
      <c r="M3747">
        <f>VLOOKUP(K3747,RatingLookup!$A$2:$C$8,2,FALSE)</f>
        <v>5.0000000000000001E-3</v>
      </c>
      <c r="N3747">
        <f t="shared" si="174"/>
        <v>4.1762458919303302E-4</v>
      </c>
      <c r="O3747">
        <f>VLOOKUP(K3747,RatingLookup!$A$2:$C$8,3,FALSE)</f>
        <v>0.45</v>
      </c>
      <c r="P3747">
        <f t="shared" si="175"/>
        <v>6.8399390467213328E-2</v>
      </c>
      <c r="Q3747" t="str">
        <f t="shared" ca="1" si="176"/>
        <v>No</v>
      </c>
    </row>
    <row r="3748" spans="1:17" x14ac:dyDescent="0.45">
      <c r="A3748" t="s">
        <v>160</v>
      </c>
      <c r="B3748" t="s">
        <v>161</v>
      </c>
      <c r="C3748" t="s">
        <v>66</v>
      </c>
      <c r="D3748" t="s">
        <v>20</v>
      </c>
      <c r="E3748" t="s">
        <v>21</v>
      </c>
      <c r="F3748" s="1">
        <v>44621</v>
      </c>
      <c r="G3748">
        <v>6.28</v>
      </c>
      <c r="H3748">
        <v>84.046199999999999</v>
      </c>
      <c r="I3748">
        <v>25.04</v>
      </c>
      <c r="J3748">
        <v>82.12</v>
      </c>
      <c r="K3748" t="s">
        <v>22</v>
      </c>
      <c r="L3748">
        <v>366.59</v>
      </c>
      <c r="M3748">
        <f>VLOOKUP(K3748,RatingLookup!$A$2:$C$8,2,FALSE)</f>
        <v>5.0000000000000001E-3</v>
      </c>
      <c r="N3748">
        <f t="shared" si="174"/>
        <v>4.1762458919303302E-4</v>
      </c>
      <c r="O3748">
        <f>VLOOKUP(K3748,RatingLookup!$A$2:$C$8,3,FALSE)</f>
        <v>0.45</v>
      </c>
      <c r="P3748">
        <f t="shared" si="175"/>
        <v>6.889364916852328E-2</v>
      </c>
      <c r="Q3748" t="str">
        <f t="shared" ca="1" si="176"/>
        <v>No</v>
      </c>
    </row>
    <row r="3749" spans="1:17" x14ac:dyDescent="0.45">
      <c r="A3749" t="s">
        <v>160</v>
      </c>
      <c r="B3749" t="s">
        <v>161</v>
      </c>
      <c r="C3749" t="s">
        <v>66</v>
      </c>
      <c r="D3749" t="s">
        <v>20</v>
      </c>
      <c r="E3749" t="s">
        <v>21</v>
      </c>
      <c r="F3749" s="1">
        <v>44652</v>
      </c>
      <c r="G3749">
        <v>4.83</v>
      </c>
      <c r="H3749">
        <v>84.125100000000003</v>
      </c>
      <c r="I3749">
        <v>18.059999999999999</v>
      </c>
      <c r="J3749">
        <v>59.71</v>
      </c>
      <c r="K3749" t="s">
        <v>22</v>
      </c>
      <c r="L3749">
        <v>381.66</v>
      </c>
      <c r="M3749">
        <f>VLOOKUP(K3749,RatingLookup!$A$2:$C$8,2,FALSE)</f>
        <v>5.0000000000000001E-3</v>
      </c>
      <c r="N3749">
        <f t="shared" si="174"/>
        <v>4.1762458919303302E-4</v>
      </c>
      <c r="O3749">
        <f>VLOOKUP(K3749,RatingLookup!$A$2:$C$8,3,FALSE)</f>
        <v>0.45</v>
      </c>
      <c r="P3749">
        <f t="shared" si="175"/>
        <v>7.1725770320135857E-2</v>
      </c>
      <c r="Q3749" t="str">
        <f t="shared" ca="1" si="176"/>
        <v>No</v>
      </c>
    </row>
    <row r="3750" spans="1:17" x14ac:dyDescent="0.45">
      <c r="A3750" t="s">
        <v>160</v>
      </c>
      <c r="B3750" t="s">
        <v>161</v>
      </c>
      <c r="C3750" t="s">
        <v>66</v>
      </c>
      <c r="D3750" t="s">
        <v>20</v>
      </c>
      <c r="E3750" t="s">
        <v>21</v>
      </c>
      <c r="F3750" s="1">
        <v>44682</v>
      </c>
      <c r="G3750">
        <v>5.83</v>
      </c>
      <c r="H3750">
        <v>77.282499999999999</v>
      </c>
      <c r="I3750">
        <v>13.31</v>
      </c>
      <c r="J3750">
        <v>64.959999999999994</v>
      </c>
      <c r="K3750" t="s">
        <v>22</v>
      </c>
      <c r="L3750">
        <v>389.59</v>
      </c>
      <c r="M3750">
        <f>VLOOKUP(K3750,RatingLookup!$A$2:$C$8,2,FALSE)</f>
        <v>5.0000000000000001E-3</v>
      </c>
      <c r="N3750">
        <f t="shared" si="174"/>
        <v>4.1762458919303302E-4</v>
      </c>
      <c r="O3750">
        <f>VLOOKUP(K3750,RatingLookup!$A$2:$C$8,3,FALSE)</f>
        <v>0.45</v>
      </c>
      <c r="P3750">
        <f t="shared" si="175"/>
        <v>7.3216063666671174E-2</v>
      </c>
      <c r="Q3750" t="str">
        <f t="shared" ca="1" si="176"/>
        <v>No</v>
      </c>
    </row>
    <row r="3751" spans="1:17" x14ac:dyDescent="0.45">
      <c r="A3751" t="s">
        <v>160</v>
      </c>
      <c r="B3751" t="s">
        <v>161</v>
      </c>
      <c r="C3751" t="s">
        <v>66</v>
      </c>
      <c r="D3751" t="s">
        <v>20</v>
      </c>
      <c r="E3751" t="s">
        <v>21</v>
      </c>
      <c r="F3751" s="1">
        <v>44713</v>
      </c>
      <c r="G3751">
        <v>6.5</v>
      </c>
      <c r="H3751">
        <v>83.181700000000006</v>
      </c>
      <c r="I3751">
        <v>15.59</v>
      </c>
      <c r="J3751">
        <v>74.930000000000007</v>
      </c>
      <c r="K3751" t="s">
        <v>30</v>
      </c>
      <c r="L3751">
        <v>379.08</v>
      </c>
      <c r="M3751">
        <f>VLOOKUP(K3751,RatingLookup!$A$2:$C$8,2,FALSE)</f>
        <v>1.4999999999999999E-2</v>
      </c>
      <c r="N3751">
        <f t="shared" si="174"/>
        <v>1.2586770182638762E-3</v>
      </c>
      <c r="O3751">
        <f>VLOOKUP(K3751,RatingLookup!$A$2:$C$8,3,FALSE)</f>
        <v>0.5</v>
      </c>
      <c r="P3751">
        <f t="shared" si="175"/>
        <v>0.23856964204173509</v>
      </c>
      <c r="Q3751" t="str">
        <f t="shared" ca="1" si="176"/>
        <v>No</v>
      </c>
    </row>
    <row r="3752" spans="1:17" x14ac:dyDescent="0.45">
      <c r="A3752" t="s">
        <v>160</v>
      </c>
      <c r="B3752" t="s">
        <v>161</v>
      </c>
      <c r="C3752" t="s">
        <v>66</v>
      </c>
      <c r="D3752" t="s">
        <v>20</v>
      </c>
      <c r="E3752" t="s">
        <v>21</v>
      </c>
      <c r="F3752" s="1">
        <v>44743</v>
      </c>
      <c r="G3752">
        <v>5.26</v>
      </c>
      <c r="H3752">
        <v>81.674000000000007</v>
      </c>
      <c r="I3752">
        <v>30.25</v>
      </c>
      <c r="J3752">
        <v>88.13</v>
      </c>
      <c r="K3752" t="s">
        <v>30</v>
      </c>
      <c r="L3752">
        <v>399.46</v>
      </c>
      <c r="M3752">
        <f>VLOOKUP(K3752,RatingLookup!$A$2:$C$8,2,FALSE)</f>
        <v>1.4999999999999999E-2</v>
      </c>
      <c r="N3752">
        <f t="shared" si="174"/>
        <v>1.2586770182638762E-3</v>
      </c>
      <c r="O3752">
        <f>VLOOKUP(K3752,RatingLookup!$A$2:$C$8,3,FALSE)</f>
        <v>0.5</v>
      </c>
      <c r="P3752">
        <f t="shared" si="175"/>
        <v>0.25139556085784398</v>
      </c>
      <c r="Q3752" t="str">
        <f t="shared" ca="1" si="176"/>
        <v>No</v>
      </c>
    </row>
    <row r="3753" spans="1:17" x14ac:dyDescent="0.45">
      <c r="A3753" t="s">
        <v>160</v>
      </c>
      <c r="B3753" t="s">
        <v>161</v>
      </c>
      <c r="C3753" t="s">
        <v>66</v>
      </c>
      <c r="D3753" t="s">
        <v>20</v>
      </c>
      <c r="E3753" t="s">
        <v>21</v>
      </c>
      <c r="F3753" s="1">
        <v>44774</v>
      </c>
      <c r="G3753">
        <v>5.3</v>
      </c>
      <c r="H3753">
        <v>81.078000000000003</v>
      </c>
      <c r="I3753">
        <v>20.48</v>
      </c>
      <c r="J3753">
        <v>85.94</v>
      </c>
      <c r="K3753" t="s">
        <v>30</v>
      </c>
      <c r="L3753">
        <v>368.27</v>
      </c>
      <c r="M3753">
        <f>VLOOKUP(K3753,RatingLookup!$A$2:$C$8,2,FALSE)</f>
        <v>1.4999999999999999E-2</v>
      </c>
      <c r="N3753">
        <f t="shared" si="174"/>
        <v>1.2586770182638762E-3</v>
      </c>
      <c r="O3753">
        <f>VLOOKUP(K3753,RatingLookup!$A$2:$C$8,3,FALSE)</f>
        <v>0.5</v>
      </c>
      <c r="P3753">
        <f t="shared" si="175"/>
        <v>0.23176649275801883</v>
      </c>
      <c r="Q3753" t="str">
        <f t="shared" ca="1" si="176"/>
        <v>No</v>
      </c>
    </row>
    <row r="3754" spans="1:17" x14ac:dyDescent="0.45">
      <c r="A3754" t="s">
        <v>160</v>
      </c>
      <c r="B3754" t="s">
        <v>161</v>
      </c>
      <c r="C3754" t="s">
        <v>66</v>
      </c>
      <c r="D3754" t="s">
        <v>20</v>
      </c>
      <c r="E3754" t="s">
        <v>21</v>
      </c>
      <c r="F3754" s="1">
        <v>44805</v>
      </c>
      <c r="G3754">
        <v>4.8600000000000003</v>
      </c>
      <c r="H3754">
        <v>79.213899999999995</v>
      </c>
      <c r="I3754">
        <v>20.059999999999999</v>
      </c>
      <c r="J3754">
        <v>77.83</v>
      </c>
      <c r="K3754" t="s">
        <v>22</v>
      </c>
      <c r="L3754">
        <v>383.68</v>
      </c>
      <c r="M3754">
        <f>VLOOKUP(K3754,RatingLookup!$A$2:$C$8,2,FALSE)</f>
        <v>5.0000000000000001E-3</v>
      </c>
      <c r="N3754">
        <f t="shared" si="174"/>
        <v>4.1762458919303302E-4</v>
      </c>
      <c r="O3754">
        <f>VLOOKUP(K3754,RatingLookup!$A$2:$C$8,3,FALSE)</f>
        <v>0.45</v>
      </c>
      <c r="P3754">
        <f t="shared" si="175"/>
        <v>7.2105391071712321E-2</v>
      </c>
      <c r="Q3754" t="str">
        <f t="shared" ca="1" si="176"/>
        <v>No</v>
      </c>
    </row>
    <row r="3755" spans="1:17" x14ac:dyDescent="0.45">
      <c r="A3755" t="s">
        <v>160</v>
      </c>
      <c r="B3755" t="s">
        <v>161</v>
      </c>
      <c r="C3755" t="s">
        <v>66</v>
      </c>
      <c r="D3755" t="s">
        <v>20</v>
      </c>
      <c r="E3755" t="s">
        <v>21</v>
      </c>
      <c r="F3755" s="1">
        <v>44835</v>
      </c>
      <c r="G3755">
        <v>4.33</v>
      </c>
      <c r="H3755">
        <v>88.777199999999993</v>
      </c>
      <c r="I3755">
        <v>21.14</v>
      </c>
      <c r="J3755">
        <v>74.290000000000006</v>
      </c>
      <c r="K3755" t="s">
        <v>22</v>
      </c>
      <c r="L3755">
        <v>385.76</v>
      </c>
      <c r="M3755">
        <f>VLOOKUP(K3755,RatingLookup!$A$2:$C$8,2,FALSE)</f>
        <v>5.0000000000000001E-3</v>
      </c>
      <c r="N3755">
        <f t="shared" si="174"/>
        <v>4.1762458919303302E-4</v>
      </c>
      <c r="O3755">
        <f>VLOOKUP(K3755,RatingLookup!$A$2:$C$8,3,FALSE)</f>
        <v>0.45</v>
      </c>
      <c r="P3755">
        <f t="shared" si="175"/>
        <v>7.2496287687197E-2</v>
      </c>
      <c r="Q3755" t="str">
        <f t="shared" ca="1" si="176"/>
        <v>No</v>
      </c>
    </row>
    <row r="3756" spans="1:17" x14ac:dyDescent="0.45">
      <c r="A3756" t="s">
        <v>160</v>
      </c>
      <c r="B3756" t="s">
        <v>161</v>
      </c>
      <c r="C3756" t="s">
        <v>66</v>
      </c>
      <c r="D3756" t="s">
        <v>20</v>
      </c>
      <c r="E3756" t="s">
        <v>21</v>
      </c>
      <c r="F3756" s="1">
        <v>44866</v>
      </c>
      <c r="G3756">
        <v>6.39</v>
      </c>
      <c r="H3756">
        <v>80.878799999999998</v>
      </c>
      <c r="I3756">
        <v>22.19</v>
      </c>
      <c r="J3756">
        <v>82.78</v>
      </c>
      <c r="K3756" t="s">
        <v>22</v>
      </c>
      <c r="L3756">
        <v>393.27</v>
      </c>
      <c r="M3756">
        <f>VLOOKUP(K3756,RatingLookup!$A$2:$C$8,2,FALSE)</f>
        <v>5.0000000000000001E-3</v>
      </c>
      <c r="N3756">
        <f t="shared" si="174"/>
        <v>4.1762458919303302E-4</v>
      </c>
      <c r="O3756">
        <f>VLOOKUP(K3756,RatingLookup!$A$2:$C$8,3,FALSE)</f>
        <v>0.45</v>
      </c>
      <c r="P3756">
        <f t="shared" si="175"/>
        <v>7.3907649986374849E-2</v>
      </c>
      <c r="Q3756" t="str">
        <f t="shared" ca="1" si="176"/>
        <v>No</v>
      </c>
    </row>
    <row r="3757" spans="1:17" x14ac:dyDescent="0.45">
      <c r="A3757" t="s">
        <v>160</v>
      </c>
      <c r="B3757" t="s">
        <v>161</v>
      </c>
      <c r="C3757" t="s">
        <v>66</v>
      </c>
      <c r="D3757" t="s">
        <v>20</v>
      </c>
      <c r="E3757" t="s">
        <v>21</v>
      </c>
      <c r="F3757" s="1">
        <v>44896</v>
      </c>
      <c r="G3757">
        <v>4.95</v>
      </c>
      <c r="H3757">
        <v>84.293899999999994</v>
      </c>
      <c r="I3757">
        <v>22.07</v>
      </c>
      <c r="J3757">
        <v>94.17</v>
      </c>
      <c r="K3757" t="s">
        <v>22</v>
      </c>
      <c r="L3757">
        <v>418.11</v>
      </c>
      <c r="M3757">
        <f>VLOOKUP(K3757,RatingLookup!$A$2:$C$8,2,FALSE)</f>
        <v>5.0000000000000001E-3</v>
      </c>
      <c r="N3757">
        <f t="shared" si="174"/>
        <v>4.1762458919303302E-4</v>
      </c>
      <c r="O3757">
        <f>VLOOKUP(K3757,RatingLookup!$A$2:$C$8,3,FALSE)</f>
        <v>0.45</v>
      </c>
      <c r="P3757">
        <f t="shared" si="175"/>
        <v>7.8575857644374567E-2</v>
      </c>
      <c r="Q3757" t="str">
        <f t="shared" ca="1" si="176"/>
        <v>No</v>
      </c>
    </row>
    <row r="3758" spans="1:17" x14ac:dyDescent="0.45">
      <c r="A3758" t="s">
        <v>160</v>
      </c>
      <c r="B3758" t="s">
        <v>161</v>
      </c>
      <c r="C3758" t="s">
        <v>66</v>
      </c>
      <c r="D3758" t="s">
        <v>20</v>
      </c>
      <c r="E3758" t="s">
        <v>21</v>
      </c>
      <c r="F3758" s="1">
        <v>44927</v>
      </c>
      <c r="G3758">
        <v>4.9800000000000004</v>
      </c>
      <c r="H3758">
        <v>81.777299999999997</v>
      </c>
      <c r="I3758">
        <v>26.37</v>
      </c>
      <c r="J3758">
        <v>97.32</v>
      </c>
      <c r="K3758" t="s">
        <v>23</v>
      </c>
      <c r="L3758">
        <v>406.01</v>
      </c>
      <c r="M3758">
        <f>VLOOKUP(K3758,RatingLookup!$A$2:$C$8,2,FALSE)</f>
        <v>1E-3</v>
      </c>
      <c r="N3758">
        <f t="shared" si="174"/>
        <v>8.3371552197619714E-5</v>
      </c>
      <c r="O3758">
        <f>VLOOKUP(K3758,RatingLookup!$A$2:$C$8,3,FALSE)</f>
        <v>0.3</v>
      </c>
      <c r="P3758">
        <f t="shared" si="175"/>
        <v>1.0154905172326673E-2</v>
      </c>
      <c r="Q3758" t="str">
        <f t="shared" ca="1" si="176"/>
        <v>No</v>
      </c>
    </row>
    <row r="3759" spans="1:17" x14ac:dyDescent="0.45">
      <c r="A3759" t="s">
        <v>160</v>
      </c>
      <c r="B3759" t="s">
        <v>161</v>
      </c>
      <c r="C3759" t="s">
        <v>66</v>
      </c>
      <c r="D3759" t="s">
        <v>20</v>
      </c>
      <c r="E3759" t="s">
        <v>21</v>
      </c>
      <c r="F3759" s="1">
        <v>44958</v>
      </c>
      <c r="G3759">
        <v>5.45</v>
      </c>
      <c r="H3759">
        <v>77.265799999999999</v>
      </c>
      <c r="I3759">
        <v>23.44</v>
      </c>
      <c r="J3759">
        <v>83.94</v>
      </c>
      <c r="K3759" t="s">
        <v>23</v>
      </c>
      <c r="L3759">
        <v>395.16</v>
      </c>
      <c r="M3759">
        <f>VLOOKUP(K3759,RatingLookup!$A$2:$C$8,2,FALSE)</f>
        <v>1E-3</v>
      </c>
      <c r="N3759">
        <f t="shared" si="174"/>
        <v>8.3371552197619714E-5</v>
      </c>
      <c r="O3759">
        <f>VLOOKUP(K3759,RatingLookup!$A$2:$C$8,3,FALSE)</f>
        <v>0.3</v>
      </c>
      <c r="P3759">
        <f t="shared" si="175"/>
        <v>9.8835307699234216E-3</v>
      </c>
      <c r="Q3759" t="str">
        <f t="shared" ca="1" si="176"/>
        <v>No</v>
      </c>
    </row>
    <row r="3760" spans="1:17" x14ac:dyDescent="0.45">
      <c r="A3760" t="s">
        <v>160</v>
      </c>
      <c r="B3760" t="s">
        <v>161</v>
      </c>
      <c r="C3760" t="s">
        <v>66</v>
      </c>
      <c r="D3760" t="s">
        <v>20</v>
      </c>
      <c r="E3760" t="s">
        <v>21</v>
      </c>
      <c r="F3760" s="1">
        <v>44986</v>
      </c>
      <c r="G3760">
        <v>6.62</v>
      </c>
      <c r="H3760">
        <v>80.200299999999999</v>
      </c>
      <c r="I3760">
        <v>22.23</v>
      </c>
      <c r="J3760">
        <v>72.239999999999995</v>
      </c>
      <c r="K3760" t="s">
        <v>23</v>
      </c>
      <c r="L3760">
        <v>395.18</v>
      </c>
      <c r="M3760">
        <f>VLOOKUP(K3760,RatingLookup!$A$2:$C$8,2,FALSE)</f>
        <v>1E-3</v>
      </c>
      <c r="N3760">
        <f t="shared" si="174"/>
        <v>8.3371552197619714E-5</v>
      </c>
      <c r="O3760">
        <f>VLOOKUP(K3760,RatingLookup!$A$2:$C$8,3,FALSE)</f>
        <v>0.3</v>
      </c>
      <c r="P3760">
        <f t="shared" si="175"/>
        <v>9.8840309992366086E-3</v>
      </c>
      <c r="Q3760" t="str">
        <f t="shared" ca="1" si="176"/>
        <v>No</v>
      </c>
    </row>
    <row r="3761" spans="1:17" x14ac:dyDescent="0.45">
      <c r="A3761" t="s">
        <v>160</v>
      </c>
      <c r="B3761" t="s">
        <v>161</v>
      </c>
      <c r="C3761" t="s">
        <v>66</v>
      </c>
      <c r="D3761" t="s">
        <v>20</v>
      </c>
      <c r="E3761" t="s">
        <v>21</v>
      </c>
      <c r="F3761" s="1">
        <v>45017</v>
      </c>
      <c r="G3761">
        <v>5.38</v>
      </c>
      <c r="H3761">
        <v>85.266800000000003</v>
      </c>
      <c r="I3761">
        <v>31.45</v>
      </c>
      <c r="J3761">
        <v>88.76</v>
      </c>
      <c r="K3761" t="s">
        <v>23</v>
      </c>
      <c r="L3761">
        <v>397.45</v>
      </c>
      <c r="M3761">
        <f>VLOOKUP(K3761,RatingLookup!$A$2:$C$8,2,FALSE)</f>
        <v>1E-3</v>
      </c>
      <c r="N3761">
        <f t="shared" si="174"/>
        <v>8.3371552197619714E-5</v>
      </c>
      <c r="O3761">
        <f>VLOOKUP(K3761,RatingLookup!$A$2:$C$8,3,FALSE)</f>
        <v>0.3</v>
      </c>
      <c r="P3761">
        <f t="shared" si="175"/>
        <v>9.9408070262831851E-3</v>
      </c>
      <c r="Q3761" t="str">
        <f t="shared" ca="1" si="176"/>
        <v>No</v>
      </c>
    </row>
    <row r="3762" spans="1:17" x14ac:dyDescent="0.45">
      <c r="A3762" t="s">
        <v>160</v>
      </c>
      <c r="B3762" t="s">
        <v>161</v>
      </c>
      <c r="C3762" t="s">
        <v>66</v>
      </c>
      <c r="D3762" t="s">
        <v>20</v>
      </c>
      <c r="E3762" t="s">
        <v>21</v>
      </c>
      <c r="F3762" s="1">
        <v>45047</v>
      </c>
      <c r="G3762">
        <v>5.14</v>
      </c>
      <c r="H3762">
        <v>80.685299999999998</v>
      </c>
      <c r="I3762">
        <v>22.94</v>
      </c>
      <c r="J3762">
        <v>72.75</v>
      </c>
      <c r="K3762" t="s">
        <v>23</v>
      </c>
      <c r="L3762">
        <v>373.31</v>
      </c>
      <c r="M3762">
        <f>VLOOKUP(K3762,RatingLookup!$A$2:$C$8,2,FALSE)</f>
        <v>1E-3</v>
      </c>
      <c r="N3762">
        <f t="shared" si="174"/>
        <v>8.3371552197619714E-5</v>
      </c>
      <c r="O3762">
        <f>VLOOKUP(K3762,RatingLookup!$A$2:$C$8,3,FALSE)</f>
        <v>0.3</v>
      </c>
      <c r="P3762">
        <f t="shared" si="175"/>
        <v>9.3370302452680243E-3</v>
      </c>
      <c r="Q3762" t="str">
        <f t="shared" ca="1" si="176"/>
        <v>No</v>
      </c>
    </row>
    <row r="3763" spans="1:17" x14ac:dyDescent="0.45">
      <c r="A3763" t="s">
        <v>160</v>
      </c>
      <c r="B3763" t="s">
        <v>161</v>
      </c>
      <c r="C3763" t="s">
        <v>66</v>
      </c>
      <c r="D3763" t="s">
        <v>20</v>
      </c>
      <c r="E3763" t="s">
        <v>21</v>
      </c>
      <c r="F3763" s="1">
        <v>45078</v>
      </c>
      <c r="G3763">
        <v>5.39</v>
      </c>
      <c r="H3763">
        <v>80.980999999999995</v>
      </c>
      <c r="I3763">
        <v>33.590000000000003</v>
      </c>
      <c r="J3763">
        <v>86.61</v>
      </c>
      <c r="K3763" t="s">
        <v>23</v>
      </c>
      <c r="L3763">
        <v>379.83</v>
      </c>
      <c r="M3763">
        <f>VLOOKUP(K3763,RatingLookup!$A$2:$C$8,2,FALSE)</f>
        <v>1E-3</v>
      </c>
      <c r="N3763">
        <f t="shared" si="174"/>
        <v>8.3371552197619714E-5</v>
      </c>
      <c r="O3763">
        <f>VLOOKUP(K3763,RatingLookup!$A$2:$C$8,3,FALSE)</f>
        <v>0.3</v>
      </c>
      <c r="P3763">
        <f t="shared" si="175"/>
        <v>9.5001050013665683E-3</v>
      </c>
      <c r="Q3763" t="str">
        <f t="shared" ca="1" si="176"/>
        <v>No</v>
      </c>
    </row>
    <row r="3764" spans="1:17" x14ac:dyDescent="0.45">
      <c r="A3764" t="s">
        <v>160</v>
      </c>
      <c r="B3764" t="s">
        <v>161</v>
      </c>
      <c r="C3764" t="s">
        <v>66</v>
      </c>
      <c r="D3764" t="s">
        <v>20</v>
      </c>
      <c r="E3764" t="s">
        <v>21</v>
      </c>
      <c r="F3764" s="1">
        <v>45108</v>
      </c>
      <c r="G3764">
        <v>4.62</v>
      </c>
      <c r="H3764">
        <v>78.689700000000002</v>
      </c>
      <c r="I3764">
        <v>12.98</v>
      </c>
      <c r="J3764">
        <v>79.099999999999994</v>
      </c>
      <c r="K3764" t="s">
        <v>23</v>
      </c>
      <c r="L3764">
        <v>385.16</v>
      </c>
      <c r="M3764">
        <f>VLOOKUP(K3764,RatingLookup!$A$2:$C$8,2,FALSE)</f>
        <v>1E-3</v>
      </c>
      <c r="N3764">
        <f t="shared" si="174"/>
        <v>8.3371552197619714E-5</v>
      </c>
      <c r="O3764">
        <f>VLOOKUP(K3764,RatingLookup!$A$2:$C$8,3,FALSE)</f>
        <v>0.3</v>
      </c>
      <c r="P3764">
        <f t="shared" si="175"/>
        <v>9.6334161133305625E-3</v>
      </c>
      <c r="Q3764" t="str">
        <f t="shared" ca="1" si="176"/>
        <v>No</v>
      </c>
    </row>
    <row r="3765" spans="1:17" x14ac:dyDescent="0.45">
      <c r="A3765" t="s">
        <v>160</v>
      </c>
      <c r="B3765" t="s">
        <v>161</v>
      </c>
      <c r="C3765" t="s">
        <v>66</v>
      </c>
      <c r="D3765" t="s">
        <v>20</v>
      </c>
      <c r="E3765" t="s">
        <v>21</v>
      </c>
      <c r="F3765" s="1">
        <v>45139</v>
      </c>
      <c r="G3765">
        <v>4.96</v>
      </c>
      <c r="H3765">
        <v>82.732699999999994</v>
      </c>
      <c r="I3765">
        <v>10.26</v>
      </c>
      <c r="J3765">
        <v>83.74</v>
      </c>
      <c r="K3765" t="s">
        <v>23</v>
      </c>
      <c r="L3765">
        <v>404.85</v>
      </c>
      <c r="M3765">
        <f>VLOOKUP(K3765,RatingLookup!$A$2:$C$8,2,FALSE)</f>
        <v>1E-3</v>
      </c>
      <c r="N3765">
        <f t="shared" si="174"/>
        <v>8.3371552197619714E-5</v>
      </c>
      <c r="O3765">
        <f>VLOOKUP(K3765,RatingLookup!$A$2:$C$8,3,FALSE)</f>
        <v>0.3</v>
      </c>
      <c r="P3765">
        <f t="shared" si="175"/>
        <v>1.0125891872161903E-2</v>
      </c>
      <c r="Q3765" t="str">
        <f t="shared" ca="1" si="176"/>
        <v>No</v>
      </c>
    </row>
    <row r="3766" spans="1:17" x14ac:dyDescent="0.45">
      <c r="A3766" t="s">
        <v>160</v>
      </c>
      <c r="B3766" t="s">
        <v>161</v>
      </c>
      <c r="C3766" t="s">
        <v>66</v>
      </c>
      <c r="D3766" t="s">
        <v>20</v>
      </c>
      <c r="E3766" t="s">
        <v>21</v>
      </c>
      <c r="F3766" s="1">
        <v>45170</v>
      </c>
      <c r="G3766">
        <v>4.59</v>
      </c>
      <c r="H3766">
        <v>82.979500000000002</v>
      </c>
      <c r="I3766">
        <v>13.16</v>
      </c>
      <c r="J3766">
        <v>67.88</v>
      </c>
      <c r="K3766" t="s">
        <v>23</v>
      </c>
      <c r="L3766">
        <v>363.88</v>
      </c>
      <c r="M3766">
        <f>VLOOKUP(K3766,RatingLookup!$A$2:$C$8,2,FALSE)</f>
        <v>1E-3</v>
      </c>
      <c r="N3766">
        <f t="shared" si="174"/>
        <v>8.3371552197619714E-5</v>
      </c>
      <c r="O3766">
        <f>VLOOKUP(K3766,RatingLookup!$A$2:$C$8,3,FALSE)</f>
        <v>0.3</v>
      </c>
      <c r="P3766">
        <f t="shared" si="175"/>
        <v>9.1011721241009581E-3</v>
      </c>
      <c r="Q3766" t="str">
        <f t="shared" ca="1" si="176"/>
        <v>No</v>
      </c>
    </row>
    <row r="3767" spans="1:17" x14ac:dyDescent="0.45">
      <c r="A3767" t="s">
        <v>160</v>
      </c>
      <c r="B3767" t="s">
        <v>161</v>
      </c>
      <c r="C3767" t="s">
        <v>66</v>
      </c>
      <c r="D3767" t="s">
        <v>20</v>
      </c>
      <c r="E3767" t="s">
        <v>21</v>
      </c>
      <c r="F3767" s="1">
        <v>45200</v>
      </c>
      <c r="G3767">
        <v>6.99</v>
      </c>
      <c r="H3767">
        <v>83.781899999999993</v>
      </c>
      <c r="I3767">
        <v>13.93</v>
      </c>
      <c r="J3767">
        <v>86.22</v>
      </c>
      <c r="K3767" t="s">
        <v>23</v>
      </c>
      <c r="L3767">
        <v>440.08</v>
      </c>
      <c r="M3767">
        <f>VLOOKUP(K3767,RatingLookup!$A$2:$C$8,2,FALSE)</f>
        <v>1E-3</v>
      </c>
      <c r="N3767">
        <f t="shared" si="174"/>
        <v>8.3371552197619714E-5</v>
      </c>
      <c r="O3767">
        <f>VLOOKUP(K3767,RatingLookup!$A$2:$C$8,3,FALSE)</f>
        <v>0.3</v>
      </c>
      <c r="P3767">
        <f t="shared" si="175"/>
        <v>1.1007045807338545E-2</v>
      </c>
      <c r="Q3767" t="str">
        <f t="shared" ca="1" si="176"/>
        <v>No</v>
      </c>
    </row>
    <row r="3768" spans="1:17" x14ac:dyDescent="0.45">
      <c r="A3768" t="s">
        <v>160</v>
      </c>
      <c r="B3768" t="s">
        <v>161</v>
      </c>
      <c r="C3768" t="s">
        <v>66</v>
      </c>
      <c r="D3768" t="s">
        <v>20</v>
      </c>
      <c r="E3768" t="s">
        <v>21</v>
      </c>
      <c r="F3768" s="1">
        <v>45231</v>
      </c>
      <c r="G3768">
        <v>6.55</v>
      </c>
      <c r="H3768">
        <v>81.431899999999999</v>
      </c>
      <c r="I3768">
        <v>17.53</v>
      </c>
      <c r="J3768">
        <v>70.11</v>
      </c>
      <c r="K3768" t="s">
        <v>23</v>
      </c>
      <c r="L3768">
        <v>381.49</v>
      </c>
      <c r="M3768">
        <f>VLOOKUP(K3768,RatingLookup!$A$2:$C$8,2,FALSE)</f>
        <v>1E-3</v>
      </c>
      <c r="N3768">
        <f t="shared" si="174"/>
        <v>8.3371552197619714E-5</v>
      </c>
      <c r="O3768">
        <f>VLOOKUP(K3768,RatingLookup!$A$2:$C$8,3,FALSE)</f>
        <v>0.3</v>
      </c>
      <c r="P3768">
        <f t="shared" si="175"/>
        <v>9.5416240343609831E-3</v>
      </c>
      <c r="Q3768" t="str">
        <f t="shared" ca="1" si="176"/>
        <v>No</v>
      </c>
    </row>
    <row r="3769" spans="1:17" x14ac:dyDescent="0.45">
      <c r="A3769" t="s">
        <v>160</v>
      </c>
      <c r="B3769" t="s">
        <v>161</v>
      </c>
      <c r="C3769" t="s">
        <v>66</v>
      </c>
      <c r="D3769" t="s">
        <v>20</v>
      </c>
      <c r="E3769" t="s">
        <v>21</v>
      </c>
      <c r="F3769" s="1">
        <v>45261</v>
      </c>
      <c r="G3769">
        <v>4.8600000000000003</v>
      </c>
      <c r="H3769">
        <v>85.276899999999998</v>
      </c>
      <c r="I3769">
        <v>18.3</v>
      </c>
      <c r="J3769">
        <v>49.66</v>
      </c>
      <c r="K3769" t="s">
        <v>23</v>
      </c>
      <c r="L3769">
        <v>381.52</v>
      </c>
      <c r="M3769">
        <f>VLOOKUP(K3769,RatingLookup!$A$2:$C$8,2,FALSE)</f>
        <v>1E-3</v>
      </c>
      <c r="N3769">
        <f t="shared" si="174"/>
        <v>8.3371552197619714E-5</v>
      </c>
      <c r="O3769">
        <f>VLOOKUP(K3769,RatingLookup!$A$2:$C$8,3,FALSE)</f>
        <v>0.3</v>
      </c>
      <c r="P3769">
        <f t="shared" si="175"/>
        <v>9.5423743783307619E-3</v>
      </c>
      <c r="Q3769" t="str">
        <f t="shared" ca="1" si="176"/>
        <v>No</v>
      </c>
    </row>
    <row r="3770" spans="1:17" x14ac:dyDescent="0.45">
      <c r="A3770" t="s">
        <v>160</v>
      </c>
      <c r="B3770" t="s">
        <v>161</v>
      </c>
      <c r="C3770" t="s">
        <v>66</v>
      </c>
      <c r="D3770" t="s">
        <v>20</v>
      </c>
      <c r="E3770" t="s">
        <v>21</v>
      </c>
      <c r="F3770" s="1">
        <v>45292</v>
      </c>
      <c r="G3770">
        <v>5.46</v>
      </c>
      <c r="H3770">
        <v>82.7239</v>
      </c>
      <c r="I3770">
        <v>22.82</v>
      </c>
      <c r="J3770">
        <v>90.38</v>
      </c>
      <c r="K3770" t="s">
        <v>23</v>
      </c>
      <c r="L3770">
        <v>399.38</v>
      </c>
      <c r="M3770">
        <f>VLOOKUP(K3770,RatingLookup!$A$2:$C$8,2,FALSE)</f>
        <v>1E-3</v>
      </c>
      <c r="N3770">
        <f t="shared" si="174"/>
        <v>8.3371552197619714E-5</v>
      </c>
      <c r="O3770">
        <f>VLOOKUP(K3770,RatingLookup!$A$2:$C$8,3,FALSE)</f>
        <v>0.3</v>
      </c>
      <c r="P3770">
        <f t="shared" si="175"/>
        <v>9.9890791550056087E-3</v>
      </c>
      <c r="Q3770" t="str">
        <f t="shared" ca="1" si="176"/>
        <v>No</v>
      </c>
    </row>
    <row r="3771" spans="1:17" x14ac:dyDescent="0.45">
      <c r="A3771" t="s">
        <v>160</v>
      </c>
      <c r="B3771" t="s">
        <v>161</v>
      </c>
      <c r="C3771" t="s">
        <v>66</v>
      </c>
      <c r="D3771" t="s">
        <v>20</v>
      </c>
      <c r="E3771" t="s">
        <v>21</v>
      </c>
      <c r="F3771" s="1">
        <v>45323</v>
      </c>
      <c r="G3771">
        <v>5.1100000000000003</v>
      </c>
      <c r="H3771">
        <v>79.217500000000001</v>
      </c>
      <c r="I3771">
        <v>27.68</v>
      </c>
      <c r="J3771">
        <v>113.79</v>
      </c>
      <c r="K3771" t="s">
        <v>23</v>
      </c>
      <c r="L3771">
        <v>397.41</v>
      </c>
      <c r="M3771">
        <f>VLOOKUP(K3771,RatingLookup!$A$2:$C$8,2,FALSE)</f>
        <v>1E-3</v>
      </c>
      <c r="N3771">
        <f t="shared" si="174"/>
        <v>8.3371552197619714E-5</v>
      </c>
      <c r="O3771">
        <f>VLOOKUP(K3771,RatingLookup!$A$2:$C$8,3,FALSE)</f>
        <v>0.3</v>
      </c>
      <c r="P3771">
        <f t="shared" si="175"/>
        <v>9.9398065676568146E-3</v>
      </c>
      <c r="Q3771" t="str">
        <f t="shared" ca="1" si="176"/>
        <v>No</v>
      </c>
    </row>
    <row r="3772" spans="1:17" x14ac:dyDescent="0.45">
      <c r="A3772" t="s">
        <v>160</v>
      </c>
      <c r="B3772" t="s">
        <v>161</v>
      </c>
      <c r="C3772" t="s">
        <v>66</v>
      </c>
      <c r="D3772" t="s">
        <v>20</v>
      </c>
      <c r="E3772" t="s">
        <v>21</v>
      </c>
      <c r="F3772" s="1">
        <v>45352</v>
      </c>
      <c r="G3772">
        <v>4.47</v>
      </c>
      <c r="H3772">
        <v>85.385400000000004</v>
      </c>
      <c r="I3772">
        <v>21.25</v>
      </c>
      <c r="J3772">
        <v>72.31</v>
      </c>
      <c r="K3772" t="s">
        <v>23</v>
      </c>
      <c r="L3772">
        <v>385.67</v>
      </c>
      <c r="M3772">
        <f>VLOOKUP(K3772,RatingLookup!$A$2:$C$8,2,FALSE)</f>
        <v>1E-3</v>
      </c>
      <c r="N3772">
        <f t="shared" si="174"/>
        <v>8.3371552197619714E-5</v>
      </c>
      <c r="O3772">
        <f>VLOOKUP(K3772,RatingLookup!$A$2:$C$8,3,FALSE)</f>
        <v>0.3</v>
      </c>
      <c r="P3772">
        <f t="shared" si="175"/>
        <v>9.6461719608167979E-3</v>
      </c>
      <c r="Q3772" t="str">
        <f t="shared" ca="1" si="176"/>
        <v>No</v>
      </c>
    </row>
    <row r="3773" spans="1:17" x14ac:dyDescent="0.45">
      <c r="A3773" t="s">
        <v>160</v>
      </c>
      <c r="B3773" t="s">
        <v>161</v>
      </c>
      <c r="C3773" t="s">
        <v>66</v>
      </c>
      <c r="D3773" t="s">
        <v>20</v>
      </c>
      <c r="E3773" t="s">
        <v>21</v>
      </c>
      <c r="F3773" s="1">
        <v>45383</v>
      </c>
      <c r="G3773">
        <v>4.71</v>
      </c>
      <c r="H3773">
        <v>84.0501</v>
      </c>
      <c r="I3773">
        <v>9.26</v>
      </c>
      <c r="J3773">
        <v>94.04</v>
      </c>
      <c r="K3773" t="s">
        <v>23</v>
      </c>
      <c r="L3773">
        <v>392.67</v>
      </c>
      <c r="M3773">
        <f>VLOOKUP(K3773,RatingLookup!$A$2:$C$8,2,FALSE)</f>
        <v>1E-3</v>
      </c>
      <c r="N3773">
        <f t="shared" si="174"/>
        <v>8.3371552197619714E-5</v>
      </c>
      <c r="O3773">
        <f>VLOOKUP(K3773,RatingLookup!$A$2:$C$8,3,FALSE)</f>
        <v>0.3</v>
      </c>
      <c r="P3773">
        <f t="shared" si="175"/>
        <v>9.8212522204317986E-3</v>
      </c>
      <c r="Q3773" t="str">
        <f t="shared" ca="1" si="176"/>
        <v>No</v>
      </c>
    </row>
    <row r="3774" spans="1:17" x14ac:dyDescent="0.45">
      <c r="A3774" t="s">
        <v>160</v>
      </c>
      <c r="B3774" t="s">
        <v>161</v>
      </c>
      <c r="C3774" t="s">
        <v>66</v>
      </c>
      <c r="D3774" t="s">
        <v>20</v>
      </c>
      <c r="E3774" t="s">
        <v>21</v>
      </c>
      <c r="F3774" s="1">
        <v>45413</v>
      </c>
      <c r="G3774">
        <v>5.14</v>
      </c>
      <c r="H3774">
        <v>79.688699999999997</v>
      </c>
      <c r="I3774">
        <v>25.36</v>
      </c>
      <c r="J3774">
        <v>76.56</v>
      </c>
      <c r="K3774" t="s">
        <v>23</v>
      </c>
      <c r="L3774">
        <v>403.54</v>
      </c>
      <c r="M3774">
        <f>VLOOKUP(K3774,RatingLookup!$A$2:$C$8,2,FALSE)</f>
        <v>1E-3</v>
      </c>
      <c r="N3774">
        <f t="shared" si="174"/>
        <v>8.3371552197619714E-5</v>
      </c>
      <c r="O3774">
        <f>VLOOKUP(K3774,RatingLookup!$A$2:$C$8,3,FALSE)</f>
        <v>0.3</v>
      </c>
      <c r="P3774">
        <f t="shared" si="175"/>
        <v>1.0093126852148238E-2</v>
      </c>
      <c r="Q3774" t="str">
        <f t="shared" ca="1" si="176"/>
        <v>No</v>
      </c>
    </row>
    <row r="3775" spans="1:17" x14ac:dyDescent="0.45">
      <c r="A3775" t="s">
        <v>160</v>
      </c>
      <c r="B3775" t="s">
        <v>161</v>
      </c>
      <c r="C3775" t="s">
        <v>66</v>
      </c>
      <c r="D3775" t="s">
        <v>20</v>
      </c>
      <c r="E3775" t="s">
        <v>21</v>
      </c>
      <c r="F3775" s="1">
        <v>45444</v>
      </c>
      <c r="G3775">
        <v>5.08</v>
      </c>
      <c r="H3775">
        <v>83.017399999999995</v>
      </c>
      <c r="I3775">
        <v>20.29</v>
      </c>
      <c r="J3775">
        <v>62.75</v>
      </c>
      <c r="K3775" t="s">
        <v>23</v>
      </c>
      <c r="L3775">
        <v>385.11</v>
      </c>
      <c r="M3775">
        <f>VLOOKUP(K3775,RatingLookup!$A$2:$C$8,2,FALSE)</f>
        <v>1E-3</v>
      </c>
      <c r="N3775">
        <f t="shared" si="174"/>
        <v>8.3371552197619714E-5</v>
      </c>
      <c r="O3775">
        <f>VLOOKUP(K3775,RatingLookup!$A$2:$C$8,3,FALSE)</f>
        <v>0.3</v>
      </c>
      <c r="P3775">
        <f t="shared" si="175"/>
        <v>9.6321655400475985E-3</v>
      </c>
      <c r="Q3775" t="str">
        <f t="shared" ca="1" si="176"/>
        <v>No</v>
      </c>
    </row>
    <row r="3776" spans="1:17" x14ac:dyDescent="0.45">
      <c r="A3776" t="s">
        <v>160</v>
      </c>
      <c r="B3776" t="s">
        <v>161</v>
      </c>
      <c r="C3776" t="s">
        <v>66</v>
      </c>
      <c r="D3776" t="s">
        <v>20</v>
      </c>
      <c r="E3776" t="s">
        <v>21</v>
      </c>
      <c r="F3776" s="1">
        <v>45474</v>
      </c>
      <c r="G3776">
        <v>6.04</v>
      </c>
      <c r="H3776">
        <v>83.895799999999994</v>
      </c>
      <c r="I3776">
        <v>22.15</v>
      </c>
      <c r="J3776">
        <v>86.74</v>
      </c>
      <c r="K3776" t="s">
        <v>23</v>
      </c>
      <c r="L3776">
        <v>399.76</v>
      </c>
      <c r="M3776">
        <f>VLOOKUP(K3776,RatingLookup!$A$2:$C$8,2,FALSE)</f>
        <v>1E-3</v>
      </c>
      <c r="N3776">
        <f t="shared" si="174"/>
        <v>8.3371552197619714E-5</v>
      </c>
      <c r="O3776">
        <f>VLOOKUP(K3776,RatingLookup!$A$2:$C$8,3,FALSE)</f>
        <v>0.3</v>
      </c>
      <c r="P3776">
        <f t="shared" si="175"/>
        <v>9.9985835119561356E-3</v>
      </c>
      <c r="Q3776" t="str">
        <f t="shared" ca="1" si="176"/>
        <v>No</v>
      </c>
    </row>
    <row r="3777" spans="1:17" x14ac:dyDescent="0.45">
      <c r="A3777" t="s">
        <v>160</v>
      </c>
      <c r="B3777" t="s">
        <v>161</v>
      </c>
      <c r="C3777" t="s">
        <v>66</v>
      </c>
      <c r="D3777" t="s">
        <v>20</v>
      </c>
      <c r="E3777" t="s">
        <v>21</v>
      </c>
      <c r="F3777" s="1">
        <v>45505</v>
      </c>
      <c r="G3777">
        <v>5.16</v>
      </c>
      <c r="H3777">
        <v>86.226200000000006</v>
      </c>
      <c r="I3777">
        <v>10.96</v>
      </c>
      <c r="J3777">
        <v>77.38</v>
      </c>
      <c r="K3777" t="s">
        <v>23</v>
      </c>
      <c r="L3777">
        <v>371.04</v>
      </c>
      <c r="M3777">
        <f>VLOOKUP(K3777,RatingLookup!$A$2:$C$8,2,FALSE)</f>
        <v>1E-3</v>
      </c>
      <c r="N3777">
        <f t="shared" si="174"/>
        <v>8.3371552197619714E-5</v>
      </c>
      <c r="O3777">
        <f>VLOOKUP(K3777,RatingLookup!$A$2:$C$8,3,FALSE)</f>
        <v>0.3</v>
      </c>
      <c r="P3777">
        <f t="shared" si="175"/>
        <v>9.2802542182214461E-3</v>
      </c>
      <c r="Q3777" t="str">
        <f t="shared" ca="1" si="176"/>
        <v>No</v>
      </c>
    </row>
    <row r="3778" spans="1:17" x14ac:dyDescent="0.45">
      <c r="A3778" t="s">
        <v>160</v>
      </c>
      <c r="B3778" t="s">
        <v>161</v>
      </c>
      <c r="C3778" t="s">
        <v>66</v>
      </c>
      <c r="D3778" t="s">
        <v>20</v>
      </c>
      <c r="E3778" t="s">
        <v>21</v>
      </c>
      <c r="F3778" s="1">
        <v>45536</v>
      </c>
      <c r="G3778">
        <v>6.34</v>
      </c>
      <c r="H3778">
        <v>86.878200000000007</v>
      </c>
      <c r="I3778">
        <v>8.34</v>
      </c>
      <c r="J3778">
        <v>65.48</v>
      </c>
      <c r="K3778" t="s">
        <v>23</v>
      </c>
      <c r="L3778">
        <v>397.8</v>
      </c>
      <c r="M3778">
        <f>VLOOKUP(K3778,RatingLookup!$A$2:$C$8,2,FALSE)</f>
        <v>1E-3</v>
      </c>
      <c r="N3778">
        <f t="shared" ref="N3778:N3841" si="177">1-(1-M3778)^(1/12)</f>
        <v>8.3371552197619714E-5</v>
      </c>
      <c r="O3778">
        <f>VLOOKUP(K3778,RatingLookup!$A$2:$C$8,3,FALSE)</f>
        <v>0.3</v>
      </c>
      <c r="P3778">
        <f t="shared" ref="P3778:P3841" si="178">L3778*N3778*O3778</f>
        <v>9.9495610392639367E-3</v>
      </c>
      <c r="Q3778" t="str">
        <f t="shared" ref="Q3778:Q3841" ca="1" si="179">IF(RAND()&lt;N3778,"Yes","No")</f>
        <v>No</v>
      </c>
    </row>
    <row r="3779" spans="1:17" x14ac:dyDescent="0.45">
      <c r="A3779" t="s">
        <v>160</v>
      </c>
      <c r="B3779" t="s">
        <v>161</v>
      </c>
      <c r="C3779" t="s">
        <v>66</v>
      </c>
      <c r="D3779" t="s">
        <v>20</v>
      </c>
      <c r="E3779" t="s">
        <v>21</v>
      </c>
      <c r="F3779" s="1">
        <v>45566</v>
      </c>
      <c r="G3779">
        <v>5.96</v>
      </c>
      <c r="H3779">
        <v>85.729100000000003</v>
      </c>
      <c r="I3779">
        <v>26.08</v>
      </c>
      <c r="J3779">
        <v>77.66</v>
      </c>
      <c r="K3779" t="s">
        <v>23</v>
      </c>
      <c r="L3779">
        <v>363.71</v>
      </c>
      <c r="M3779">
        <f>VLOOKUP(K3779,RatingLookup!$A$2:$C$8,2,FALSE)</f>
        <v>1E-3</v>
      </c>
      <c r="N3779">
        <f t="shared" si="177"/>
        <v>8.3371552197619714E-5</v>
      </c>
      <c r="O3779">
        <f>VLOOKUP(K3779,RatingLookup!$A$2:$C$8,3,FALSE)</f>
        <v>0.3</v>
      </c>
      <c r="P3779">
        <f t="shared" si="178"/>
        <v>9.096920174938879E-3</v>
      </c>
      <c r="Q3779" t="str">
        <f t="shared" ca="1" si="179"/>
        <v>No</v>
      </c>
    </row>
    <row r="3780" spans="1:17" x14ac:dyDescent="0.45">
      <c r="A3780" t="s">
        <v>160</v>
      </c>
      <c r="B3780" t="s">
        <v>161</v>
      </c>
      <c r="C3780" t="s">
        <v>66</v>
      </c>
      <c r="D3780" t="s">
        <v>20</v>
      </c>
      <c r="E3780" t="s">
        <v>21</v>
      </c>
      <c r="F3780" s="1">
        <v>45597</v>
      </c>
      <c r="G3780">
        <v>5.82</v>
      </c>
      <c r="H3780">
        <v>80.911799999999999</v>
      </c>
      <c r="I3780">
        <v>19.77</v>
      </c>
      <c r="J3780">
        <v>83.9</v>
      </c>
      <c r="K3780" t="s">
        <v>23</v>
      </c>
      <c r="L3780">
        <v>429.59</v>
      </c>
      <c r="M3780">
        <f>VLOOKUP(K3780,RatingLookup!$A$2:$C$8,2,FALSE)</f>
        <v>1E-3</v>
      </c>
      <c r="N3780">
        <f t="shared" si="177"/>
        <v>8.3371552197619714E-5</v>
      </c>
      <c r="O3780">
        <f>VLOOKUP(K3780,RatingLookup!$A$2:$C$8,3,FALSE)</f>
        <v>0.3</v>
      </c>
      <c r="P3780">
        <f t="shared" si="178"/>
        <v>1.0744675532572636E-2</v>
      </c>
      <c r="Q3780" t="str">
        <f t="shared" ca="1" si="179"/>
        <v>No</v>
      </c>
    </row>
    <row r="3781" spans="1:17" x14ac:dyDescent="0.45">
      <c r="A3781" t="s">
        <v>160</v>
      </c>
      <c r="B3781" t="s">
        <v>161</v>
      </c>
      <c r="C3781" t="s">
        <v>66</v>
      </c>
      <c r="D3781" t="s">
        <v>20</v>
      </c>
      <c r="E3781" t="s">
        <v>21</v>
      </c>
      <c r="F3781" s="1">
        <v>45627</v>
      </c>
      <c r="G3781">
        <v>4.66</v>
      </c>
      <c r="H3781">
        <v>83.758799999999994</v>
      </c>
      <c r="I3781">
        <v>14.02</v>
      </c>
      <c r="J3781">
        <v>88.13</v>
      </c>
      <c r="K3781" t="s">
        <v>23</v>
      </c>
      <c r="L3781">
        <v>384.07</v>
      </c>
      <c r="M3781">
        <f>VLOOKUP(K3781,RatingLookup!$A$2:$C$8,2,FALSE)</f>
        <v>1E-3</v>
      </c>
      <c r="N3781">
        <f t="shared" si="177"/>
        <v>8.3371552197619714E-5</v>
      </c>
      <c r="O3781">
        <f>VLOOKUP(K3781,RatingLookup!$A$2:$C$8,3,FALSE)</f>
        <v>0.3</v>
      </c>
      <c r="P3781">
        <f t="shared" si="178"/>
        <v>9.6061536157619389E-3</v>
      </c>
      <c r="Q3781" t="str">
        <f t="shared" ca="1" si="179"/>
        <v>No</v>
      </c>
    </row>
    <row r="3782" spans="1:17" x14ac:dyDescent="0.45">
      <c r="A3782" t="s">
        <v>162</v>
      </c>
      <c r="B3782" t="s">
        <v>163</v>
      </c>
      <c r="C3782" t="s">
        <v>40</v>
      </c>
      <c r="D3782" t="s">
        <v>20</v>
      </c>
      <c r="E3782" t="s">
        <v>21</v>
      </c>
      <c r="F3782" s="1">
        <v>43831</v>
      </c>
      <c r="G3782">
        <v>5.62</v>
      </c>
      <c r="H3782">
        <v>80.289199999999994</v>
      </c>
      <c r="I3782">
        <v>25.46</v>
      </c>
      <c r="J3782">
        <v>66.44</v>
      </c>
      <c r="K3782" t="s">
        <v>32</v>
      </c>
      <c r="L3782">
        <v>480.32</v>
      </c>
      <c r="M3782">
        <f>VLOOKUP(K3782,RatingLookup!$A$2:$C$8,2,FALSE)</f>
        <v>0.12</v>
      </c>
      <c r="N3782">
        <f t="shared" si="177"/>
        <v>1.0596241035318976E-2</v>
      </c>
      <c r="O3782">
        <f>VLOOKUP(K3782,RatingLookup!$A$2:$C$8,3,FALSE)</f>
        <v>0.7</v>
      </c>
      <c r="P3782">
        <f t="shared" si="178"/>
        <v>3.5627105458590869</v>
      </c>
      <c r="Q3782" t="str">
        <f t="shared" ca="1" si="179"/>
        <v>No</v>
      </c>
    </row>
    <row r="3783" spans="1:17" x14ac:dyDescent="0.45">
      <c r="A3783" t="s">
        <v>162</v>
      </c>
      <c r="B3783" t="s">
        <v>163</v>
      </c>
      <c r="C3783" t="s">
        <v>40</v>
      </c>
      <c r="D3783" t="s">
        <v>20</v>
      </c>
      <c r="E3783" t="s">
        <v>21</v>
      </c>
      <c r="F3783" s="1">
        <v>43862</v>
      </c>
      <c r="G3783">
        <v>5.23</v>
      </c>
      <c r="H3783">
        <v>83.412400000000005</v>
      </c>
      <c r="I3783">
        <v>10.93</v>
      </c>
      <c r="J3783">
        <v>67.33</v>
      </c>
      <c r="K3783" t="s">
        <v>32</v>
      </c>
      <c r="L3783">
        <v>548.04</v>
      </c>
      <c r="M3783">
        <f>VLOOKUP(K3783,RatingLookup!$A$2:$C$8,2,FALSE)</f>
        <v>0.12</v>
      </c>
      <c r="N3783">
        <f t="shared" si="177"/>
        <v>1.0596241035318976E-2</v>
      </c>
      <c r="O3783">
        <f>VLOOKUP(K3783,RatingLookup!$A$2:$C$8,3,FALSE)</f>
        <v>0.7</v>
      </c>
      <c r="P3783">
        <f t="shared" si="178"/>
        <v>4.065014755897348</v>
      </c>
      <c r="Q3783" t="str">
        <f t="shared" ca="1" si="179"/>
        <v>No</v>
      </c>
    </row>
    <row r="3784" spans="1:17" x14ac:dyDescent="0.45">
      <c r="A3784" t="s">
        <v>162</v>
      </c>
      <c r="B3784" t="s">
        <v>163</v>
      </c>
      <c r="C3784" t="s">
        <v>40</v>
      </c>
      <c r="D3784" t="s">
        <v>20</v>
      </c>
      <c r="E3784" t="s">
        <v>21</v>
      </c>
      <c r="F3784" s="1">
        <v>43891</v>
      </c>
      <c r="G3784">
        <v>5.82</v>
      </c>
      <c r="H3784">
        <v>82.073899999999995</v>
      </c>
      <c r="I3784">
        <v>24.64</v>
      </c>
      <c r="J3784">
        <v>65.72</v>
      </c>
      <c r="K3784" t="s">
        <v>32</v>
      </c>
      <c r="L3784">
        <v>532.30999999999995</v>
      </c>
      <c r="M3784">
        <f>VLOOKUP(K3784,RatingLookup!$A$2:$C$8,2,FALSE)</f>
        <v>0.12</v>
      </c>
      <c r="N3784">
        <f t="shared" si="177"/>
        <v>1.0596241035318976E-2</v>
      </c>
      <c r="O3784">
        <f>VLOOKUP(K3784,RatingLookup!$A$2:$C$8,3,FALSE)</f>
        <v>0.7</v>
      </c>
      <c r="P3784">
        <f t="shared" si="178"/>
        <v>3.9483395458574506</v>
      </c>
      <c r="Q3784" t="str">
        <f t="shared" ca="1" si="179"/>
        <v>No</v>
      </c>
    </row>
    <row r="3785" spans="1:17" x14ac:dyDescent="0.45">
      <c r="A3785" t="s">
        <v>162</v>
      </c>
      <c r="B3785" t="s">
        <v>163</v>
      </c>
      <c r="C3785" t="s">
        <v>40</v>
      </c>
      <c r="D3785" t="s">
        <v>20</v>
      </c>
      <c r="E3785" t="s">
        <v>21</v>
      </c>
      <c r="F3785" s="1">
        <v>43922</v>
      </c>
      <c r="G3785">
        <v>6.4</v>
      </c>
      <c r="H3785">
        <v>84.475800000000007</v>
      </c>
      <c r="I3785">
        <v>13.13</v>
      </c>
      <c r="J3785">
        <v>81.150000000000006</v>
      </c>
      <c r="K3785" t="s">
        <v>32</v>
      </c>
      <c r="L3785">
        <v>555.83000000000004</v>
      </c>
      <c r="M3785">
        <f>VLOOKUP(K3785,RatingLookup!$A$2:$C$8,2,FALSE)</f>
        <v>0.12</v>
      </c>
      <c r="N3785">
        <f t="shared" si="177"/>
        <v>1.0596241035318976E-2</v>
      </c>
      <c r="O3785">
        <f>VLOOKUP(K3785,RatingLookup!$A$2:$C$8,3,FALSE)</f>
        <v>0.7</v>
      </c>
      <c r="P3785">
        <f t="shared" si="178"/>
        <v>4.122796058262943</v>
      </c>
      <c r="Q3785" t="str">
        <f t="shared" ca="1" si="179"/>
        <v>No</v>
      </c>
    </row>
    <row r="3786" spans="1:17" x14ac:dyDescent="0.45">
      <c r="A3786" t="s">
        <v>162</v>
      </c>
      <c r="B3786" t="s">
        <v>163</v>
      </c>
      <c r="C3786" t="s">
        <v>40</v>
      </c>
      <c r="D3786" t="s">
        <v>20</v>
      </c>
      <c r="E3786" t="s">
        <v>21</v>
      </c>
      <c r="F3786" s="1">
        <v>43952</v>
      </c>
      <c r="G3786">
        <v>5.99</v>
      </c>
      <c r="H3786">
        <v>85.771699999999996</v>
      </c>
      <c r="I3786">
        <v>24.36</v>
      </c>
      <c r="J3786">
        <v>78.89</v>
      </c>
      <c r="K3786" t="s">
        <v>32</v>
      </c>
      <c r="L3786">
        <v>577.75</v>
      </c>
      <c r="M3786">
        <f>VLOOKUP(K3786,RatingLookup!$A$2:$C$8,2,FALSE)</f>
        <v>0.12</v>
      </c>
      <c r="N3786">
        <f t="shared" si="177"/>
        <v>1.0596241035318976E-2</v>
      </c>
      <c r="O3786">
        <f>VLOOKUP(K3786,RatingLookup!$A$2:$C$8,3,FALSE)</f>
        <v>0.7</v>
      </c>
      <c r="P3786">
        <f t="shared" si="178"/>
        <v>4.2853847807088767</v>
      </c>
      <c r="Q3786" t="str">
        <f t="shared" ca="1" si="179"/>
        <v>No</v>
      </c>
    </row>
    <row r="3787" spans="1:17" x14ac:dyDescent="0.45">
      <c r="A3787" t="s">
        <v>162</v>
      </c>
      <c r="B3787" t="s">
        <v>163</v>
      </c>
      <c r="C3787" t="s">
        <v>40</v>
      </c>
      <c r="D3787" t="s">
        <v>20</v>
      </c>
      <c r="E3787" t="s">
        <v>21</v>
      </c>
      <c r="F3787" s="1">
        <v>43983</v>
      </c>
      <c r="G3787">
        <v>4.7</v>
      </c>
      <c r="H3787">
        <v>77.216999999999999</v>
      </c>
      <c r="I3787">
        <v>9.1300000000000008</v>
      </c>
      <c r="J3787">
        <v>78.38</v>
      </c>
      <c r="K3787" t="s">
        <v>32</v>
      </c>
      <c r="L3787">
        <v>523.30999999999995</v>
      </c>
      <c r="M3787">
        <f>VLOOKUP(K3787,RatingLookup!$A$2:$C$8,2,FALSE)</f>
        <v>0.12</v>
      </c>
      <c r="N3787">
        <f t="shared" si="177"/>
        <v>1.0596241035318976E-2</v>
      </c>
      <c r="O3787">
        <f>VLOOKUP(K3787,RatingLookup!$A$2:$C$8,3,FALSE)</f>
        <v>0.7</v>
      </c>
      <c r="P3787">
        <f t="shared" si="178"/>
        <v>3.8815832273349407</v>
      </c>
      <c r="Q3787" t="str">
        <f t="shared" ca="1" si="179"/>
        <v>No</v>
      </c>
    </row>
    <row r="3788" spans="1:17" x14ac:dyDescent="0.45">
      <c r="A3788" t="s">
        <v>162</v>
      </c>
      <c r="B3788" t="s">
        <v>163</v>
      </c>
      <c r="C3788" t="s">
        <v>40</v>
      </c>
      <c r="D3788" t="s">
        <v>20</v>
      </c>
      <c r="E3788" t="s">
        <v>21</v>
      </c>
      <c r="F3788" s="1">
        <v>44013</v>
      </c>
      <c r="G3788">
        <v>4.74</v>
      </c>
      <c r="H3788">
        <v>80.769199999999998</v>
      </c>
      <c r="I3788">
        <v>37.729999999999997</v>
      </c>
      <c r="J3788">
        <v>64.650000000000006</v>
      </c>
      <c r="K3788" t="s">
        <v>32</v>
      </c>
      <c r="L3788">
        <v>582.29999999999995</v>
      </c>
      <c r="M3788">
        <f>VLOOKUP(K3788,RatingLookup!$A$2:$C$8,2,FALSE)</f>
        <v>0.12</v>
      </c>
      <c r="N3788">
        <f t="shared" si="177"/>
        <v>1.0596241035318976E-2</v>
      </c>
      <c r="O3788">
        <f>VLOOKUP(K3788,RatingLookup!$A$2:$C$8,3,FALSE)</f>
        <v>0.7</v>
      </c>
      <c r="P3788">
        <f t="shared" si="178"/>
        <v>4.3191338084063666</v>
      </c>
      <c r="Q3788" t="str">
        <f t="shared" ca="1" si="179"/>
        <v>No</v>
      </c>
    </row>
    <row r="3789" spans="1:17" x14ac:dyDescent="0.45">
      <c r="A3789" t="s">
        <v>162</v>
      </c>
      <c r="B3789" t="s">
        <v>163</v>
      </c>
      <c r="C3789" t="s">
        <v>40</v>
      </c>
      <c r="D3789" t="s">
        <v>20</v>
      </c>
      <c r="E3789" t="s">
        <v>21</v>
      </c>
      <c r="F3789" s="1">
        <v>44044</v>
      </c>
      <c r="G3789">
        <v>5.05</v>
      </c>
      <c r="H3789">
        <v>81.984700000000004</v>
      </c>
      <c r="I3789">
        <v>18.48</v>
      </c>
      <c r="J3789">
        <v>79.08</v>
      </c>
      <c r="K3789" t="s">
        <v>32</v>
      </c>
      <c r="L3789">
        <v>507.23</v>
      </c>
      <c r="M3789">
        <f>VLOOKUP(K3789,RatingLookup!$A$2:$C$8,2,FALSE)</f>
        <v>0.12</v>
      </c>
      <c r="N3789">
        <f t="shared" si="177"/>
        <v>1.0596241035318976E-2</v>
      </c>
      <c r="O3789">
        <f>VLOOKUP(K3789,RatingLookup!$A$2:$C$8,3,FALSE)</f>
        <v>0.7</v>
      </c>
      <c r="P3789">
        <f t="shared" si="178"/>
        <v>3.7623119382413908</v>
      </c>
      <c r="Q3789" t="str">
        <f t="shared" ca="1" si="179"/>
        <v>No</v>
      </c>
    </row>
    <row r="3790" spans="1:17" x14ac:dyDescent="0.45">
      <c r="A3790" t="s">
        <v>162</v>
      </c>
      <c r="B3790" t="s">
        <v>163</v>
      </c>
      <c r="C3790" t="s">
        <v>40</v>
      </c>
      <c r="D3790" t="s">
        <v>20</v>
      </c>
      <c r="E3790" t="s">
        <v>21</v>
      </c>
      <c r="F3790" s="1">
        <v>44075</v>
      </c>
      <c r="G3790">
        <v>5.83</v>
      </c>
      <c r="H3790">
        <v>81.456900000000005</v>
      </c>
      <c r="I3790">
        <v>21.33</v>
      </c>
      <c r="J3790">
        <v>69.27</v>
      </c>
      <c r="K3790" t="s">
        <v>32</v>
      </c>
      <c r="L3790">
        <v>531.41</v>
      </c>
      <c r="M3790">
        <f>VLOOKUP(K3790,RatingLookup!$A$2:$C$8,2,FALSE)</f>
        <v>0.12</v>
      </c>
      <c r="N3790">
        <f t="shared" si="177"/>
        <v>1.0596241035318976E-2</v>
      </c>
      <c r="O3790">
        <f>VLOOKUP(K3790,RatingLookup!$A$2:$C$8,3,FALSE)</f>
        <v>0.7</v>
      </c>
      <c r="P3790">
        <f t="shared" si="178"/>
        <v>3.9416639140051997</v>
      </c>
      <c r="Q3790" t="str">
        <f t="shared" ca="1" si="179"/>
        <v>No</v>
      </c>
    </row>
    <row r="3791" spans="1:17" x14ac:dyDescent="0.45">
      <c r="A3791" t="s">
        <v>162</v>
      </c>
      <c r="B3791" t="s">
        <v>163</v>
      </c>
      <c r="C3791" t="s">
        <v>40</v>
      </c>
      <c r="D3791" t="s">
        <v>20</v>
      </c>
      <c r="E3791" t="s">
        <v>21</v>
      </c>
      <c r="F3791" s="1">
        <v>44105</v>
      </c>
      <c r="G3791">
        <v>5.69</v>
      </c>
      <c r="H3791">
        <v>80.943299999999994</v>
      </c>
      <c r="I3791">
        <v>15.53</v>
      </c>
      <c r="J3791">
        <v>76.47</v>
      </c>
      <c r="K3791" t="s">
        <v>32</v>
      </c>
      <c r="L3791">
        <v>522.23</v>
      </c>
      <c r="M3791">
        <f>VLOOKUP(K3791,RatingLookup!$A$2:$C$8,2,FALSE)</f>
        <v>0.12</v>
      </c>
      <c r="N3791">
        <f t="shared" si="177"/>
        <v>1.0596241035318976E-2</v>
      </c>
      <c r="O3791">
        <f>VLOOKUP(K3791,RatingLookup!$A$2:$C$8,3,FALSE)</f>
        <v>0.7</v>
      </c>
      <c r="P3791">
        <f t="shared" si="178"/>
        <v>3.87357246911224</v>
      </c>
      <c r="Q3791" t="str">
        <f t="shared" ca="1" si="179"/>
        <v>No</v>
      </c>
    </row>
    <row r="3792" spans="1:17" x14ac:dyDescent="0.45">
      <c r="A3792" t="s">
        <v>162</v>
      </c>
      <c r="B3792" t="s">
        <v>163</v>
      </c>
      <c r="C3792" t="s">
        <v>40</v>
      </c>
      <c r="D3792" t="s">
        <v>20</v>
      </c>
      <c r="E3792" t="s">
        <v>21</v>
      </c>
      <c r="F3792" s="1">
        <v>44136</v>
      </c>
      <c r="G3792">
        <v>6.01</v>
      </c>
      <c r="H3792">
        <v>82.741500000000002</v>
      </c>
      <c r="I3792">
        <v>18.34</v>
      </c>
      <c r="J3792">
        <v>69.73</v>
      </c>
      <c r="K3792" t="s">
        <v>31</v>
      </c>
      <c r="L3792">
        <v>566.92999999999995</v>
      </c>
      <c r="M3792">
        <f>VLOOKUP(K3792,RatingLookup!$A$2:$C$8,2,FALSE)</f>
        <v>0.04</v>
      </c>
      <c r="N3792">
        <f t="shared" si="177"/>
        <v>3.3960531989175591E-3</v>
      </c>
      <c r="O3792">
        <f>VLOOKUP(K3792,RatingLookup!$A$2:$C$8,3,FALSE)</f>
        <v>0.6</v>
      </c>
      <c r="P3792">
        <f t="shared" si="178"/>
        <v>1.1551946640373989</v>
      </c>
      <c r="Q3792" t="str">
        <f t="shared" ca="1" si="179"/>
        <v>No</v>
      </c>
    </row>
    <row r="3793" spans="1:17" x14ac:dyDescent="0.45">
      <c r="A3793" t="s">
        <v>162</v>
      </c>
      <c r="B3793" t="s">
        <v>163</v>
      </c>
      <c r="C3793" t="s">
        <v>40</v>
      </c>
      <c r="D3793" t="s">
        <v>20</v>
      </c>
      <c r="E3793" t="s">
        <v>21</v>
      </c>
      <c r="F3793" s="1">
        <v>44166</v>
      </c>
      <c r="G3793">
        <v>5.45</v>
      </c>
      <c r="H3793">
        <v>83.836699999999993</v>
      </c>
      <c r="I3793">
        <v>28.15</v>
      </c>
      <c r="J3793">
        <v>87.73</v>
      </c>
      <c r="K3793" t="s">
        <v>31</v>
      </c>
      <c r="L3793">
        <v>528.73</v>
      </c>
      <c r="M3793">
        <f>VLOOKUP(K3793,RatingLookup!$A$2:$C$8,2,FALSE)</f>
        <v>0.04</v>
      </c>
      <c r="N3793">
        <f t="shared" si="177"/>
        <v>3.3960531989175591E-3</v>
      </c>
      <c r="O3793">
        <f>VLOOKUP(K3793,RatingLookup!$A$2:$C$8,3,FALSE)</f>
        <v>0.6</v>
      </c>
      <c r="P3793">
        <f t="shared" si="178"/>
        <v>1.0773571247182085</v>
      </c>
      <c r="Q3793" t="str">
        <f t="shared" ca="1" si="179"/>
        <v>No</v>
      </c>
    </row>
    <row r="3794" spans="1:17" x14ac:dyDescent="0.45">
      <c r="A3794" t="s">
        <v>162</v>
      </c>
      <c r="B3794" t="s">
        <v>163</v>
      </c>
      <c r="C3794" t="s">
        <v>40</v>
      </c>
      <c r="D3794" t="s">
        <v>20</v>
      </c>
      <c r="E3794" t="s">
        <v>21</v>
      </c>
      <c r="F3794" s="1">
        <v>44197</v>
      </c>
      <c r="G3794">
        <v>5.33</v>
      </c>
      <c r="H3794">
        <v>84.768900000000002</v>
      </c>
      <c r="I3794">
        <v>11.19</v>
      </c>
      <c r="J3794">
        <v>92.76</v>
      </c>
      <c r="K3794" t="s">
        <v>31</v>
      </c>
      <c r="L3794">
        <v>554.19000000000005</v>
      </c>
      <c r="M3794">
        <f>VLOOKUP(K3794,RatingLookup!$A$2:$C$8,2,FALSE)</f>
        <v>0.04</v>
      </c>
      <c r="N3794">
        <f t="shared" si="177"/>
        <v>3.3960531989175591E-3</v>
      </c>
      <c r="O3794">
        <f>VLOOKUP(K3794,RatingLookup!$A$2:$C$8,3,FALSE)</f>
        <v>0.6</v>
      </c>
      <c r="P3794">
        <f t="shared" si="178"/>
        <v>1.1292352333848732</v>
      </c>
      <c r="Q3794" t="str">
        <f t="shared" ca="1" si="179"/>
        <v>No</v>
      </c>
    </row>
    <row r="3795" spans="1:17" x14ac:dyDescent="0.45">
      <c r="A3795" t="s">
        <v>162</v>
      </c>
      <c r="B3795" t="s">
        <v>163</v>
      </c>
      <c r="C3795" t="s">
        <v>40</v>
      </c>
      <c r="D3795" t="s">
        <v>20</v>
      </c>
      <c r="E3795" t="s">
        <v>21</v>
      </c>
      <c r="F3795" s="1">
        <v>44228</v>
      </c>
      <c r="G3795">
        <v>6</v>
      </c>
      <c r="H3795">
        <v>82.328599999999994</v>
      </c>
      <c r="I3795">
        <v>13.79</v>
      </c>
      <c r="J3795">
        <v>62.74</v>
      </c>
      <c r="K3795" t="s">
        <v>32</v>
      </c>
      <c r="L3795">
        <v>486.84</v>
      </c>
      <c r="M3795">
        <f>VLOOKUP(K3795,RatingLookup!$A$2:$C$8,2,FALSE)</f>
        <v>0.12</v>
      </c>
      <c r="N3795">
        <f t="shared" si="177"/>
        <v>1.0596241035318976E-2</v>
      </c>
      <c r="O3795">
        <f>VLOOKUP(K3795,RatingLookup!$A$2:$C$8,3,FALSE)</f>
        <v>0.7</v>
      </c>
      <c r="P3795">
        <f t="shared" si="178"/>
        <v>3.6110717899442824</v>
      </c>
      <c r="Q3795" t="str">
        <f t="shared" ca="1" si="179"/>
        <v>No</v>
      </c>
    </row>
    <row r="3796" spans="1:17" x14ac:dyDescent="0.45">
      <c r="A3796" t="s">
        <v>162</v>
      </c>
      <c r="B3796" t="s">
        <v>163</v>
      </c>
      <c r="C3796" t="s">
        <v>40</v>
      </c>
      <c r="D3796" t="s">
        <v>20</v>
      </c>
      <c r="E3796" t="s">
        <v>21</v>
      </c>
      <c r="F3796" s="1">
        <v>44256</v>
      </c>
      <c r="G3796">
        <v>6.11</v>
      </c>
      <c r="H3796">
        <v>81.529300000000006</v>
      </c>
      <c r="I3796">
        <v>23</v>
      </c>
      <c r="J3796">
        <v>79.459999999999994</v>
      </c>
      <c r="K3796" t="s">
        <v>32</v>
      </c>
      <c r="L3796">
        <v>513.92999999999995</v>
      </c>
      <c r="M3796">
        <f>VLOOKUP(K3796,RatingLookup!$A$2:$C$8,2,FALSE)</f>
        <v>0.12</v>
      </c>
      <c r="N3796">
        <f t="shared" si="177"/>
        <v>1.0596241035318976E-2</v>
      </c>
      <c r="O3796">
        <f>VLOOKUP(K3796,RatingLookup!$A$2:$C$8,3,FALSE)</f>
        <v>0.7</v>
      </c>
      <c r="P3796">
        <f t="shared" si="178"/>
        <v>3.812008308697036</v>
      </c>
      <c r="Q3796" t="str">
        <f t="shared" ca="1" si="179"/>
        <v>No</v>
      </c>
    </row>
    <row r="3797" spans="1:17" x14ac:dyDescent="0.45">
      <c r="A3797" t="s">
        <v>162</v>
      </c>
      <c r="B3797" t="s">
        <v>163</v>
      </c>
      <c r="C3797" t="s">
        <v>40</v>
      </c>
      <c r="D3797" t="s">
        <v>20</v>
      </c>
      <c r="E3797" t="s">
        <v>21</v>
      </c>
      <c r="F3797" s="1">
        <v>44287</v>
      </c>
      <c r="G3797">
        <v>6.19</v>
      </c>
      <c r="H3797">
        <v>83.115799999999993</v>
      </c>
      <c r="I3797">
        <v>19.100000000000001</v>
      </c>
      <c r="J3797">
        <v>80.03</v>
      </c>
      <c r="K3797" t="s">
        <v>32</v>
      </c>
      <c r="L3797">
        <v>536.66999999999996</v>
      </c>
      <c r="M3797">
        <f>VLOOKUP(K3797,RatingLookup!$A$2:$C$8,2,FALSE)</f>
        <v>0.12</v>
      </c>
      <c r="N3797">
        <f t="shared" si="177"/>
        <v>1.0596241035318976E-2</v>
      </c>
      <c r="O3797">
        <f>VLOOKUP(K3797,RatingLookup!$A$2:$C$8,3,FALSE)</f>
        <v>0.7</v>
      </c>
      <c r="P3797">
        <f t="shared" si="178"/>
        <v>3.9806792734972438</v>
      </c>
      <c r="Q3797" t="str">
        <f t="shared" ca="1" si="179"/>
        <v>No</v>
      </c>
    </row>
    <row r="3798" spans="1:17" x14ac:dyDescent="0.45">
      <c r="A3798" t="s">
        <v>162</v>
      </c>
      <c r="B3798" t="s">
        <v>163</v>
      </c>
      <c r="C3798" t="s">
        <v>40</v>
      </c>
      <c r="D3798" t="s">
        <v>20</v>
      </c>
      <c r="E3798" t="s">
        <v>21</v>
      </c>
      <c r="F3798" s="1">
        <v>44317</v>
      </c>
      <c r="G3798">
        <v>5.78</v>
      </c>
      <c r="H3798">
        <v>85.111999999999995</v>
      </c>
      <c r="I3798">
        <v>11.23</v>
      </c>
      <c r="J3798">
        <v>84.73</v>
      </c>
      <c r="K3798" t="s">
        <v>32</v>
      </c>
      <c r="L3798">
        <v>558.14</v>
      </c>
      <c r="M3798">
        <f>VLOOKUP(K3798,RatingLookup!$A$2:$C$8,2,FALSE)</f>
        <v>0.12</v>
      </c>
      <c r="N3798">
        <f t="shared" si="177"/>
        <v>1.0596241035318976E-2</v>
      </c>
      <c r="O3798">
        <f>VLOOKUP(K3798,RatingLookup!$A$2:$C$8,3,FALSE)</f>
        <v>0.7</v>
      </c>
      <c r="P3798">
        <f t="shared" si="178"/>
        <v>4.1399301800170525</v>
      </c>
      <c r="Q3798" t="str">
        <f t="shared" ca="1" si="179"/>
        <v>No</v>
      </c>
    </row>
    <row r="3799" spans="1:17" x14ac:dyDescent="0.45">
      <c r="A3799" t="s">
        <v>162</v>
      </c>
      <c r="B3799" t="s">
        <v>163</v>
      </c>
      <c r="C3799" t="s">
        <v>40</v>
      </c>
      <c r="D3799" t="s">
        <v>20</v>
      </c>
      <c r="E3799" t="s">
        <v>21</v>
      </c>
      <c r="F3799" s="1">
        <v>44348</v>
      </c>
      <c r="G3799">
        <v>6.15</v>
      </c>
      <c r="H3799">
        <v>80.541799999999995</v>
      </c>
      <c r="I3799">
        <v>25.17</v>
      </c>
      <c r="J3799">
        <v>88.77</v>
      </c>
      <c r="K3799" t="s">
        <v>32</v>
      </c>
      <c r="L3799">
        <v>514.57000000000005</v>
      </c>
      <c r="M3799">
        <f>VLOOKUP(K3799,RatingLookup!$A$2:$C$8,2,FALSE)</f>
        <v>0.12</v>
      </c>
      <c r="N3799">
        <f t="shared" si="177"/>
        <v>1.0596241035318976E-2</v>
      </c>
      <c r="O3799">
        <f>VLOOKUP(K3799,RatingLookup!$A$2:$C$8,3,FALSE)</f>
        <v>0.7</v>
      </c>
      <c r="P3799">
        <f t="shared" si="178"/>
        <v>3.8167554246808599</v>
      </c>
      <c r="Q3799" t="str">
        <f t="shared" ca="1" si="179"/>
        <v>No</v>
      </c>
    </row>
    <row r="3800" spans="1:17" x14ac:dyDescent="0.45">
      <c r="A3800" t="s">
        <v>162</v>
      </c>
      <c r="B3800" t="s">
        <v>163</v>
      </c>
      <c r="C3800" t="s">
        <v>40</v>
      </c>
      <c r="D3800" t="s">
        <v>20</v>
      </c>
      <c r="E3800" t="s">
        <v>21</v>
      </c>
      <c r="F3800" s="1">
        <v>44378</v>
      </c>
      <c r="G3800">
        <v>4.83</v>
      </c>
      <c r="H3800">
        <v>78.505399999999995</v>
      </c>
      <c r="I3800">
        <v>13.18</v>
      </c>
      <c r="J3800">
        <v>83.73</v>
      </c>
      <c r="K3800" t="s">
        <v>32</v>
      </c>
      <c r="L3800">
        <v>564.26</v>
      </c>
      <c r="M3800">
        <f>VLOOKUP(K3800,RatingLookup!$A$2:$C$8,2,FALSE)</f>
        <v>0.12</v>
      </c>
      <c r="N3800">
        <f t="shared" si="177"/>
        <v>1.0596241035318976E-2</v>
      </c>
      <c r="O3800">
        <f>VLOOKUP(K3800,RatingLookup!$A$2:$C$8,3,FALSE)</f>
        <v>0.7</v>
      </c>
      <c r="P3800">
        <f t="shared" si="178"/>
        <v>4.1853244766123598</v>
      </c>
      <c r="Q3800" t="str">
        <f t="shared" ca="1" si="179"/>
        <v>No</v>
      </c>
    </row>
    <row r="3801" spans="1:17" x14ac:dyDescent="0.45">
      <c r="A3801" t="s">
        <v>162</v>
      </c>
      <c r="B3801" t="s">
        <v>163</v>
      </c>
      <c r="C3801" t="s">
        <v>40</v>
      </c>
      <c r="D3801" t="s">
        <v>20</v>
      </c>
      <c r="E3801" t="s">
        <v>21</v>
      </c>
      <c r="F3801" s="1">
        <v>44409</v>
      </c>
      <c r="G3801">
        <v>5.36</v>
      </c>
      <c r="H3801">
        <v>80.565899999999999</v>
      </c>
      <c r="I3801">
        <v>20.77</v>
      </c>
      <c r="J3801">
        <v>83.53</v>
      </c>
      <c r="K3801" t="s">
        <v>32</v>
      </c>
      <c r="L3801">
        <v>594.15</v>
      </c>
      <c r="M3801">
        <f>VLOOKUP(K3801,RatingLookup!$A$2:$C$8,2,FALSE)</f>
        <v>0.12</v>
      </c>
      <c r="N3801">
        <f t="shared" si="177"/>
        <v>1.0596241035318976E-2</v>
      </c>
      <c r="O3801">
        <f>VLOOKUP(K3801,RatingLookup!$A$2:$C$8,3,FALSE)</f>
        <v>0.7</v>
      </c>
      <c r="P3801">
        <f t="shared" si="178"/>
        <v>4.4070296277943379</v>
      </c>
      <c r="Q3801" t="str">
        <f t="shared" ca="1" si="179"/>
        <v>No</v>
      </c>
    </row>
    <row r="3802" spans="1:17" x14ac:dyDescent="0.45">
      <c r="A3802" t="s">
        <v>162</v>
      </c>
      <c r="B3802" t="s">
        <v>163</v>
      </c>
      <c r="C3802" t="s">
        <v>40</v>
      </c>
      <c r="D3802" t="s">
        <v>20</v>
      </c>
      <c r="E3802" t="s">
        <v>21</v>
      </c>
      <c r="F3802" s="1">
        <v>44440</v>
      </c>
      <c r="G3802">
        <v>5.2</v>
      </c>
      <c r="H3802">
        <v>83.933000000000007</v>
      </c>
      <c r="I3802">
        <v>30.45</v>
      </c>
      <c r="J3802">
        <v>78.42</v>
      </c>
      <c r="K3802" t="s">
        <v>32</v>
      </c>
      <c r="L3802">
        <v>520.09</v>
      </c>
      <c r="M3802">
        <f>VLOOKUP(K3802,RatingLookup!$A$2:$C$8,2,FALSE)</f>
        <v>0.12</v>
      </c>
      <c r="N3802">
        <f t="shared" si="177"/>
        <v>1.0596241035318976E-2</v>
      </c>
      <c r="O3802">
        <f>VLOOKUP(K3802,RatingLookup!$A$2:$C$8,3,FALSE)</f>
        <v>0.7</v>
      </c>
      <c r="P3802">
        <f t="shared" si="178"/>
        <v>3.8576993000413324</v>
      </c>
      <c r="Q3802" t="str">
        <f t="shared" ca="1" si="179"/>
        <v>No</v>
      </c>
    </row>
    <row r="3803" spans="1:17" x14ac:dyDescent="0.45">
      <c r="A3803" t="s">
        <v>162</v>
      </c>
      <c r="B3803" t="s">
        <v>163</v>
      </c>
      <c r="C3803" t="s">
        <v>40</v>
      </c>
      <c r="D3803" t="s">
        <v>20</v>
      </c>
      <c r="E3803" t="s">
        <v>21</v>
      </c>
      <c r="F3803" s="1">
        <v>44470</v>
      </c>
      <c r="G3803">
        <v>4.82</v>
      </c>
      <c r="H3803">
        <v>84.201499999999996</v>
      </c>
      <c r="I3803">
        <v>19.73</v>
      </c>
      <c r="J3803">
        <v>69.900000000000006</v>
      </c>
      <c r="K3803" t="s">
        <v>32</v>
      </c>
      <c r="L3803">
        <v>508.36</v>
      </c>
      <c r="M3803">
        <f>VLOOKUP(K3803,RatingLookup!$A$2:$C$8,2,FALSE)</f>
        <v>0.12</v>
      </c>
      <c r="N3803">
        <f t="shared" si="177"/>
        <v>1.0596241035318976E-2</v>
      </c>
      <c r="O3803">
        <f>VLOOKUP(K3803,RatingLookup!$A$2:$C$8,3,FALSE)</f>
        <v>0.7</v>
      </c>
      <c r="P3803">
        <f t="shared" si="178"/>
        <v>3.7706935649003284</v>
      </c>
      <c r="Q3803" t="str">
        <f t="shared" ca="1" si="179"/>
        <v>No</v>
      </c>
    </row>
    <row r="3804" spans="1:17" x14ac:dyDescent="0.45">
      <c r="A3804" t="s">
        <v>162</v>
      </c>
      <c r="B3804" t="s">
        <v>163</v>
      </c>
      <c r="C3804" t="s">
        <v>40</v>
      </c>
      <c r="D3804" t="s">
        <v>20</v>
      </c>
      <c r="E3804" t="s">
        <v>21</v>
      </c>
      <c r="F3804" s="1">
        <v>44501</v>
      </c>
      <c r="G3804">
        <v>5.22</v>
      </c>
      <c r="H3804">
        <v>79.905000000000001</v>
      </c>
      <c r="I3804">
        <v>9.1199999999999992</v>
      </c>
      <c r="J3804">
        <v>93.65</v>
      </c>
      <c r="K3804" t="s">
        <v>32</v>
      </c>
      <c r="L3804">
        <v>524.87</v>
      </c>
      <c r="M3804">
        <f>VLOOKUP(K3804,RatingLookup!$A$2:$C$8,2,FALSE)</f>
        <v>0.12</v>
      </c>
      <c r="N3804">
        <f t="shared" si="177"/>
        <v>1.0596241035318976E-2</v>
      </c>
      <c r="O3804">
        <f>VLOOKUP(K3804,RatingLookup!$A$2:$C$8,3,FALSE)</f>
        <v>0.7</v>
      </c>
      <c r="P3804">
        <f t="shared" si="178"/>
        <v>3.8931543225455094</v>
      </c>
      <c r="Q3804" t="str">
        <f t="shared" ca="1" si="179"/>
        <v>No</v>
      </c>
    </row>
    <row r="3805" spans="1:17" x14ac:dyDescent="0.45">
      <c r="A3805" t="s">
        <v>162</v>
      </c>
      <c r="B3805" t="s">
        <v>163</v>
      </c>
      <c r="C3805" t="s">
        <v>40</v>
      </c>
      <c r="D3805" t="s">
        <v>20</v>
      </c>
      <c r="E3805" t="s">
        <v>21</v>
      </c>
      <c r="F3805" s="1">
        <v>44531</v>
      </c>
      <c r="G3805">
        <v>4.32</v>
      </c>
      <c r="H3805">
        <v>77.778099999999995</v>
      </c>
      <c r="I3805">
        <v>25.3</v>
      </c>
      <c r="J3805">
        <v>83.92</v>
      </c>
      <c r="K3805" t="s">
        <v>32</v>
      </c>
      <c r="L3805">
        <v>565.5</v>
      </c>
      <c r="M3805">
        <f>VLOOKUP(K3805,RatingLookup!$A$2:$C$8,2,FALSE)</f>
        <v>0.12</v>
      </c>
      <c r="N3805">
        <f t="shared" si="177"/>
        <v>1.0596241035318976E-2</v>
      </c>
      <c r="O3805">
        <f>VLOOKUP(K3805,RatingLookup!$A$2:$C$8,3,FALSE)</f>
        <v>0.7</v>
      </c>
      <c r="P3805">
        <f t="shared" si="178"/>
        <v>4.1945220138310164</v>
      </c>
      <c r="Q3805" t="str">
        <f t="shared" ca="1" si="179"/>
        <v>No</v>
      </c>
    </row>
    <row r="3806" spans="1:17" x14ac:dyDescent="0.45">
      <c r="A3806" t="s">
        <v>162</v>
      </c>
      <c r="B3806" t="s">
        <v>163</v>
      </c>
      <c r="C3806" t="s">
        <v>40</v>
      </c>
      <c r="D3806" t="s">
        <v>20</v>
      </c>
      <c r="E3806" t="s">
        <v>21</v>
      </c>
      <c r="F3806" s="1">
        <v>44562</v>
      </c>
      <c r="G3806">
        <v>5.46</v>
      </c>
      <c r="H3806">
        <v>81.278000000000006</v>
      </c>
      <c r="I3806">
        <v>14.58</v>
      </c>
      <c r="J3806">
        <v>93.76</v>
      </c>
      <c r="K3806" t="s">
        <v>32</v>
      </c>
      <c r="L3806">
        <v>515.69000000000005</v>
      </c>
      <c r="M3806">
        <f>VLOOKUP(K3806,RatingLookup!$A$2:$C$8,2,FALSE)</f>
        <v>0.12</v>
      </c>
      <c r="N3806">
        <f t="shared" si="177"/>
        <v>1.0596241035318976E-2</v>
      </c>
      <c r="O3806">
        <f>VLOOKUP(K3806,RatingLookup!$A$2:$C$8,3,FALSE)</f>
        <v>0.7</v>
      </c>
      <c r="P3806">
        <f t="shared" si="178"/>
        <v>3.8250628776525497</v>
      </c>
      <c r="Q3806" t="str">
        <f t="shared" ca="1" si="179"/>
        <v>No</v>
      </c>
    </row>
    <row r="3807" spans="1:17" x14ac:dyDescent="0.45">
      <c r="A3807" t="s">
        <v>162</v>
      </c>
      <c r="B3807" t="s">
        <v>163</v>
      </c>
      <c r="C3807" t="s">
        <v>40</v>
      </c>
      <c r="D3807" t="s">
        <v>20</v>
      </c>
      <c r="E3807" t="s">
        <v>21</v>
      </c>
      <c r="F3807" s="1">
        <v>44593</v>
      </c>
      <c r="G3807">
        <v>5.22</v>
      </c>
      <c r="H3807">
        <v>86.730699999999999</v>
      </c>
      <c r="I3807">
        <v>17.52</v>
      </c>
      <c r="J3807">
        <v>80.41</v>
      </c>
      <c r="K3807" t="s">
        <v>32</v>
      </c>
      <c r="L3807">
        <v>509.97</v>
      </c>
      <c r="M3807">
        <f>VLOOKUP(K3807,RatingLookup!$A$2:$C$8,2,FALSE)</f>
        <v>0.12</v>
      </c>
      <c r="N3807">
        <f t="shared" si="177"/>
        <v>1.0596241035318976E-2</v>
      </c>
      <c r="O3807">
        <f>VLOOKUP(K3807,RatingLookup!$A$2:$C$8,3,FALSE)</f>
        <v>0.7</v>
      </c>
      <c r="P3807">
        <f t="shared" si="178"/>
        <v>3.7826355285471331</v>
      </c>
      <c r="Q3807" t="str">
        <f t="shared" ca="1" si="179"/>
        <v>No</v>
      </c>
    </row>
    <row r="3808" spans="1:17" x14ac:dyDescent="0.45">
      <c r="A3808" t="s">
        <v>162</v>
      </c>
      <c r="B3808" t="s">
        <v>163</v>
      </c>
      <c r="C3808" t="s">
        <v>40</v>
      </c>
      <c r="D3808" t="s">
        <v>20</v>
      </c>
      <c r="E3808" t="s">
        <v>21</v>
      </c>
      <c r="F3808" s="1">
        <v>44621</v>
      </c>
      <c r="G3808">
        <v>5.85</v>
      </c>
      <c r="H3808">
        <v>87.358599999999996</v>
      </c>
      <c r="I3808">
        <v>15.96</v>
      </c>
      <c r="J3808">
        <v>85.63</v>
      </c>
      <c r="K3808" t="s">
        <v>32</v>
      </c>
      <c r="L3808">
        <v>504.49</v>
      </c>
      <c r="M3808">
        <f>VLOOKUP(K3808,RatingLookup!$A$2:$C$8,2,FALSE)</f>
        <v>0.12</v>
      </c>
      <c r="N3808">
        <f t="shared" si="177"/>
        <v>1.0596241035318976E-2</v>
      </c>
      <c r="O3808">
        <f>VLOOKUP(K3808,RatingLookup!$A$2:$C$8,3,FALSE)</f>
        <v>0.7</v>
      </c>
      <c r="P3808">
        <f t="shared" si="178"/>
        <v>3.7419883479356488</v>
      </c>
      <c r="Q3808" t="str">
        <f t="shared" ca="1" si="179"/>
        <v>No</v>
      </c>
    </row>
    <row r="3809" spans="1:17" x14ac:dyDescent="0.45">
      <c r="A3809" t="s">
        <v>162</v>
      </c>
      <c r="B3809" t="s">
        <v>163</v>
      </c>
      <c r="C3809" t="s">
        <v>40</v>
      </c>
      <c r="D3809" t="s">
        <v>20</v>
      </c>
      <c r="E3809" t="s">
        <v>21</v>
      </c>
      <c r="F3809" s="1">
        <v>44652</v>
      </c>
      <c r="G3809">
        <v>5.29</v>
      </c>
      <c r="H3809">
        <v>82.191000000000003</v>
      </c>
      <c r="I3809">
        <v>25.32</v>
      </c>
      <c r="J3809">
        <v>72.56</v>
      </c>
      <c r="K3809" t="s">
        <v>32</v>
      </c>
      <c r="L3809">
        <v>561.21</v>
      </c>
      <c r="M3809">
        <f>VLOOKUP(K3809,RatingLookup!$A$2:$C$8,2,FALSE)</f>
        <v>0.12</v>
      </c>
      <c r="N3809">
        <f t="shared" si="177"/>
        <v>1.0596241035318976E-2</v>
      </c>
      <c r="O3809">
        <f>VLOOKUP(K3809,RatingLookup!$A$2:$C$8,3,FALSE)</f>
        <v>0.7</v>
      </c>
      <c r="P3809">
        <f t="shared" si="178"/>
        <v>4.162701502001954</v>
      </c>
      <c r="Q3809" t="str">
        <f t="shared" ca="1" si="179"/>
        <v>No</v>
      </c>
    </row>
    <row r="3810" spans="1:17" x14ac:dyDescent="0.45">
      <c r="A3810" t="s">
        <v>162</v>
      </c>
      <c r="B3810" t="s">
        <v>163</v>
      </c>
      <c r="C3810" t="s">
        <v>40</v>
      </c>
      <c r="D3810" t="s">
        <v>20</v>
      </c>
      <c r="E3810" t="s">
        <v>21</v>
      </c>
      <c r="F3810" s="1">
        <v>44682</v>
      </c>
      <c r="G3810">
        <v>4.16</v>
      </c>
      <c r="H3810">
        <v>82.926599999999993</v>
      </c>
      <c r="I3810">
        <v>14.45</v>
      </c>
      <c r="J3810">
        <v>80.55</v>
      </c>
      <c r="K3810" t="s">
        <v>32</v>
      </c>
      <c r="L3810">
        <v>507.77</v>
      </c>
      <c r="M3810">
        <f>VLOOKUP(K3810,RatingLookup!$A$2:$C$8,2,FALSE)</f>
        <v>0.12</v>
      </c>
      <c r="N3810">
        <f t="shared" si="177"/>
        <v>1.0596241035318976E-2</v>
      </c>
      <c r="O3810">
        <f>VLOOKUP(K3810,RatingLookup!$A$2:$C$8,3,FALSE)</f>
        <v>0.7</v>
      </c>
      <c r="P3810">
        <f t="shared" si="178"/>
        <v>3.7663173173527409</v>
      </c>
      <c r="Q3810" t="str">
        <f t="shared" ca="1" si="179"/>
        <v>No</v>
      </c>
    </row>
    <row r="3811" spans="1:17" x14ac:dyDescent="0.45">
      <c r="A3811" t="s">
        <v>162</v>
      </c>
      <c r="B3811" t="s">
        <v>163</v>
      </c>
      <c r="C3811" t="s">
        <v>40</v>
      </c>
      <c r="D3811" t="s">
        <v>20</v>
      </c>
      <c r="E3811" t="s">
        <v>21</v>
      </c>
      <c r="F3811" s="1">
        <v>44713</v>
      </c>
      <c r="G3811">
        <v>5.82</v>
      </c>
      <c r="H3811">
        <v>81.925899999999999</v>
      </c>
      <c r="I3811">
        <v>19.59</v>
      </c>
      <c r="J3811">
        <v>77.819999999999993</v>
      </c>
      <c r="K3811" t="s">
        <v>31</v>
      </c>
      <c r="L3811">
        <v>521.97</v>
      </c>
      <c r="M3811">
        <f>VLOOKUP(K3811,RatingLookup!$A$2:$C$8,2,FALSE)</f>
        <v>0.04</v>
      </c>
      <c r="N3811">
        <f t="shared" si="177"/>
        <v>3.3960531989175591E-3</v>
      </c>
      <c r="O3811">
        <f>VLOOKUP(K3811,RatingLookup!$A$2:$C$8,3,FALSE)</f>
        <v>0.6</v>
      </c>
      <c r="P3811">
        <f t="shared" si="178"/>
        <v>1.0635827329433989</v>
      </c>
      <c r="Q3811" t="str">
        <f t="shared" ca="1" si="179"/>
        <v>No</v>
      </c>
    </row>
    <row r="3812" spans="1:17" x14ac:dyDescent="0.45">
      <c r="A3812" t="s">
        <v>162</v>
      </c>
      <c r="B3812" t="s">
        <v>163</v>
      </c>
      <c r="C3812" t="s">
        <v>40</v>
      </c>
      <c r="D3812" t="s">
        <v>20</v>
      </c>
      <c r="E3812" t="s">
        <v>21</v>
      </c>
      <c r="F3812" s="1">
        <v>44743</v>
      </c>
      <c r="G3812">
        <v>5.18</v>
      </c>
      <c r="H3812">
        <v>81.076899999999995</v>
      </c>
      <c r="I3812">
        <v>22.58</v>
      </c>
      <c r="J3812">
        <v>74.28</v>
      </c>
      <c r="K3812" t="s">
        <v>31</v>
      </c>
      <c r="L3812">
        <v>590.21</v>
      </c>
      <c r="M3812">
        <f>VLOOKUP(K3812,RatingLookup!$A$2:$C$8,2,FALSE)</f>
        <v>0.04</v>
      </c>
      <c r="N3812">
        <f t="shared" si="177"/>
        <v>3.3960531989175591E-3</v>
      </c>
      <c r="O3812">
        <f>VLOOKUP(K3812,RatingLookup!$A$2:$C$8,3,FALSE)</f>
        <v>0.6</v>
      </c>
      <c r="P3812">
        <f t="shared" si="178"/>
        <v>1.2026307351198795</v>
      </c>
      <c r="Q3812" t="str">
        <f t="shared" ca="1" si="179"/>
        <v>No</v>
      </c>
    </row>
    <row r="3813" spans="1:17" x14ac:dyDescent="0.45">
      <c r="A3813" t="s">
        <v>162</v>
      </c>
      <c r="B3813" t="s">
        <v>163</v>
      </c>
      <c r="C3813" t="s">
        <v>40</v>
      </c>
      <c r="D3813" t="s">
        <v>20</v>
      </c>
      <c r="E3813" t="s">
        <v>21</v>
      </c>
      <c r="F3813" s="1">
        <v>44774</v>
      </c>
      <c r="G3813">
        <v>5.03</v>
      </c>
      <c r="H3813">
        <v>80.657200000000003</v>
      </c>
      <c r="I3813">
        <v>12.21</v>
      </c>
      <c r="J3813">
        <v>77.03</v>
      </c>
      <c r="K3813" t="s">
        <v>31</v>
      </c>
      <c r="L3813">
        <v>525.62</v>
      </c>
      <c r="M3813">
        <f>VLOOKUP(K3813,RatingLookup!$A$2:$C$8,2,FALSE)</f>
        <v>0.04</v>
      </c>
      <c r="N3813">
        <f t="shared" si="177"/>
        <v>3.3960531989175591E-3</v>
      </c>
      <c r="O3813">
        <f>VLOOKUP(K3813,RatingLookup!$A$2:$C$8,3,FALSE)</f>
        <v>0.6</v>
      </c>
      <c r="P3813">
        <f t="shared" si="178"/>
        <v>1.0710200894490283</v>
      </c>
      <c r="Q3813" t="str">
        <f t="shared" ca="1" si="179"/>
        <v>No</v>
      </c>
    </row>
    <row r="3814" spans="1:17" x14ac:dyDescent="0.45">
      <c r="A3814" t="s">
        <v>162</v>
      </c>
      <c r="B3814" t="s">
        <v>163</v>
      </c>
      <c r="C3814" t="s">
        <v>40</v>
      </c>
      <c r="D3814" t="s">
        <v>20</v>
      </c>
      <c r="E3814" t="s">
        <v>21</v>
      </c>
      <c r="F3814" s="1">
        <v>44805</v>
      </c>
      <c r="G3814">
        <v>5.4</v>
      </c>
      <c r="H3814">
        <v>81.702200000000005</v>
      </c>
      <c r="I3814">
        <v>20.350000000000001</v>
      </c>
      <c r="J3814">
        <v>80.069999999999993</v>
      </c>
      <c r="K3814" t="s">
        <v>31</v>
      </c>
      <c r="L3814">
        <v>560.44000000000005</v>
      </c>
      <c r="M3814">
        <f>VLOOKUP(K3814,RatingLookup!$A$2:$C$8,2,FALSE)</f>
        <v>0.04</v>
      </c>
      <c r="N3814">
        <f t="shared" si="177"/>
        <v>3.3960531989175591E-3</v>
      </c>
      <c r="O3814">
        <f>VLOOKUP(K3814,RatingLookup!$A$2:$C$8,3,FALSE)</f>
        <v>0.6</v>
      </c>
      <c r="P3814">
        <f t="shared" si="178"/>
        <v>1.1419704328808142</v>
      </c>
      <c r="Q3814" t="str">
        <f t="shared" ca="1" si="179"/>
        <v>No</v>
      </c>
    </row>
    <row r="3815" spans="1:17" x14ac:dyDescent="0.45">
      <c r="A3815" t="s">
        <v>162</v>
      </c>
      <c r="B3815" t="s">
        <v>163</v>
      </c>
      <c r="C3815" t="s">
        <v>40</v>
      </c>
      <c r="D3815" t="s">
        <v>20</v>
      </c>
      <c r="E3815" t="s">
        <v>21</v>
      </c>
      <c r="F3815" s="1">
        <v>44835</v>
      </c>
      <c r="G3815">
        <v>6</v>
      </c>
      <c r="H3815">
        <v>80.962100000000007</v>
      </c>
      <c r="I3815">
        <v>17.940000000000001</v>
      </c>
      <c r="J3815">
        <v>79.53</v>
      </c>
      <c r="K3815" t="s">
        <v>31</v>
      </c>
      <c r="L3815">
        <v>541.79999999999995</v>
      </c>
      <c r="M3815">
        <f>VLOOKUP(K3815,RatingLookup!$A$2:$C$8,2,FALSE)</f>
        <v>0.04</v>
      </c>
      <c r="N3815">
        <f t="shared" si="177"/>
        <v>3.3960531989175591E-3</v>
      </c>
      <c r="O3815">
        <f>VLOOKUP(K3815,RatingLookup!$A$2:$C$8,3,FALSE)</f>
        <v>0.6</v>
      </c>
      <c r="P3815">
        <f t="shared" si="178"/>
        <v>1.10398897390412</v>
      </c>
      <c r="Q3815" t="str">
        <f t="shared" ca="1" si="179"/>
        <v>No</v>
      </c>
    </row>
    <row r="3816" spans="1:17" x14ac:dyDescent="0.45">
      <c r="A3816" t="s">
        <v>162</v>
      </c>
      <c r="B3816" t="s">
        <v>163</v>
      </c>
      <c r="C3816" t="s">
        <v>40</v>
      </c>
      <c r="D3816" t="s">
        <v>20</v>
      </c>
      <c r="E3816" t="s">
        <v>21</v>
      </c>
      <c r="F3816" s="1">
        <v>44866</v>
      </c>
      <c r="G3816">
        <v>6.14</v>
      </c>
      <c r="H3816">
        <v>81.961600000000004</v>
      </c>
      <c r="I3816">
        <v>18.28</v>
      </c>
      <c r="J3816">
        <v>86.05</v>
      </c>
      <c r="K3816" t="s">
        <v>31</v>
      </c>
      <c r="L3816">
        <v>581.23</v>
      </c>
      <c r="M3816">
        <f>VLOOKUP(K3816,RatingLookup!$A$2:$C$8,2,FALSE)</f>
        <v>0.04</v>
      </c>
      <c r="N3816">
        <f t="shared" si="177"/>
        <v>3.3960531989175591E-3</v>
      </c>
      <c r="O3816">
        <f>VLOOKUP(K3816,RatingLookup!$A$2:$C$8,3,FALSE)</f>
        <v>0.6</v>
      </c>
      <c r="P3816">
        <f t="shared" si="178"/>
        <v>1.1843328004841116</v>
      </c>
      <c r="Q3816" t="str">
        <f t="shared" ca="1" si="179"/>
        <v>No</v>
      </c>
    </row>
    <row r="3817" spans="1:17" x14ac:dyDescent="0.45">
      <c r="A3817" t="s">
        <v>162</v>
      </c>
      <c r="B3817" t="s">
        <v>163</v>
      </c>
      <c r="C3817" t="s">
        <v>40</v>
      </c>
      <c r="D3817" t="s">
        <v>20</v>
      </c>
      <c r="E3817" t="s">
        <v>21</v>
      </c>
      <c r="F3817" s="1">
        <v>44896</v>
      </c>
      <c r="G3817">
        <v>4.99</v>
      </c>
      <c r="H3817">
        <v>83.349000000000004</v>
      </c>
      <c r="I3817">
        <v>23.34</v>
      </c>
      <c r="J3817">
        <v>85.67</v>
      </c>
      <c r="K3817" t="s">
        <v>31</v>
      </c>
      <c r="L3817">
        <v>551.26</v>
      </c>
      <c r="M3817">
        <f>VLOOKUP(K3817,RatingLookup!$A$2:$C$8,2,FALSE)</f>
        <v>0.04</v>
      </c>
      <c r="N3817">
        <f t="shared" si="177"/>
        <v>3.3960531989175591E-3</v>
      </c>
      <c r="O3817">
        <f>VLOOKUP(K3817,RatingLookup!$A$2:$C$8,3,FALSE)</f>
        <v>0.6</v>
      </c>
      <c r="P3817">
        <f t="shared" si="178"/>
        <v>1.123264971861176</v>
      </c>
      <c r="Q3817" t="str">
        <f t="shared" ca="1" si="179"/>
        <v>No</v>
      </c>
    </row>
    <row r="3818" spans="1:17" x14ac:dyDescent="0.45">
      <c r="A3818" t="s">
        <v>162</v>
      </c>
      <c r="B3818" t="s">
        <v>163</v>
      </c>
      <c r="C3818" t="s">
        <v>40</v>
      </c>
      <c r="D3818" t="s">
        <v>20</v>
      </c>
      <c r="E3818" t="s">
        <v>21</v>
      </c>
      <c r="F3818" s="1">
        <v>44927</v>
      </c>
      <c r="G3818">
        <v>4.7</v>
      </c>
      <c r="H3818">
        <v>85.166799999999995</v>
      </c>
      <c r="I3818">
        <v>18.920000000000002</v>
      </c>
      <c r="J3818">
        <v>66.959999999999994</v>
      </c>
      <c r="K3818" t="s">
        <v>31</v>
      </c>
      <c r="L3818">
        <v>605.86</v>
      </c>
      <c r="M3818">
        <f>VLOOKUP(K3818,RatingLookup!$A$2:$C$8,2,FALSE)</f>
        <v>0.04</v>
      </c>
      <c r="N3818">
        <f t="shared" si="177"/>
        <v>3.3960531989175591E-3</v>
      </c>
      <c r="O3818">
        <f>VLOOKUP(K3818,RatingLookup!$A$2:$C$8,3,FALSE)</f>
        <v>0.6</v>
      </c>
      <c r="P3818">
        <f t="shared" si="178"/>
        <v>1.2345196746577154</v>
      </c>
      <c r="Q3818" t="str">
        <f t="shared" ca="1" si="179"/>
        <v>No</v>
      </c>
    </row>
    <row r="3819" spans="1:17" x14ac:dyDescent="0.45">
      <c r="A3819" t="s">
        <v>162</v>
      </c>
      <c r="B3819" t="s">
        <v>163</v>
      </c>
      <c r="C3819" t="s">
        <v>40</v>
      </c>
      <c r="D3819" t="s">
        <v>20</v>
      </c>
      <c r="E3819" t="s">
        <v>21</v>
      </c>
      <c r="F3819" s="1">
        <v>44958</v>
      </c>
      <c r="G3819">
        <v>3.97</v>
      </c>
      <c r="H3819">
        <v>81.527000000000001</v>
      </c>
      <c r="I3819">
        <v>19.73</v>
      </c>
      <c r="J3819">
        <v>83.49</v>
      </c>
      <c r="K3819" t="s">
        <v>31</v>
      </c>
      <c r="L3819">
        <v>480.16</v>
      </c>
      <c r="M3819">
        <f>VLOOKUP(K3819,RatingLookup!$A$2:$C$8,2,FALSE)</f>
        <v>0.04</v>
      </c>
      <c r="N3819">
        <f t="shared" si="177"/>
        <v>3.3960531989175591E-3</v>
      </c>
      <c r="O3819">
        <f>VLOOKUP(K3819,RatingLookup!$A$2:$C$8,3,FALSE)</f>
        <v>0.6</v>
      </c>
      <c r="P3819">
        <f t="shared" si="178"/>
        <v>0.97838934239535302</v>
      </c>
      <c r="Q3819" t="str">
        <f t="shared" ca="1" si="179"/>
        <v>No</v>
      </c>
    </row>
    <row r="3820" spans="1:17" x14ac:dyDescent="0.45">
      <c r="A3820" t="s">
        <v>162</v>
      </c>
      <c r="B3820" t="s">
        <v>163</v>
      </c>
      <c r="C3820" t="s">
        <v>40</v>
      </c>
      <c r="D3820" t="s">
        <v>20</v>
      </c>
      <c r="E3820" t="s">
        <v>21</v>
      </c>
      <c r="F3820" s="1">
        <v>44986</v>
      </c>
      <c r="G3820">
        <v>4.8499999999999996</v>
      </c>
      <c r="H3820">
        <v>82.608900000000006</v>
      </c>
      <c r="I3820">
        <v>18.27</v>
      </c>
      <c r="J3820">
        <v>65.34</v>
      </c>
      <c r="K3820" t="s">
        <v>31</v>
      </c>
      <c r="L3820">
        <v>537.52</v>
      </c>
      <c r="M3820">
        <f>VLOOKUP(K3820,RatingLookup!$A$2:$C$8,2,FALSE)</f>
        <v>0.04</v>
      </c>
      <c r="N3820">
        <f t="shared" si="177"/>
        <v>3.3960531989175591E-3</v>
      </c>
      <c r="O3820">
        <f>VLOOKUP(K3820,RatingLookup!$A$2:$C$8,3,FALSE)</f>
        <v>0.6</v>
      </c>
      <c r="P3820">
        <f t="shared" si="178"/>
        <v>1.0952679092892996</v>
      </c>
      <c r="Q3820" t="str">
        <f t="shared" ca="1" si="179"/>
        <v>No</v>
      </c>
    </row>
    <row r="3821" spans="1:17" x14ac:dyDescent="0.45">
      <c r="A3821" t="s">
        <v>162</v>
      </c>
      <c r="B3821" t="s">
        <v>163</v>
      </c>
      <c r="C3821" t="s">
        <v>40</v>
      </c>
      <c r="D3821" t="s">
        <v>20</v>
      </c>
      <c r="E3821" t="s">
        <v>21</v>
      </c>
      <c r="F3821" s="1">
        <v>45017</v>
      </c>
      <c r="G3821">
        <v>5.82</v>
      </c>
      <c r="H3821">
        <v>80.508300000000006</v>
      </c>
      <c r="I3821">
        <v>22.21</v>
      </c>
      <c r="J3821">
        <v>85.79</v>
      </c>
      <c r="K3821" t="s">
        <v>31</v>
      </c>
      <c r="L3821">
        <v>533.41</v>
      </c>
      <c r="M3821">
        <f>VLOOKUP(K3821,RatingLookup!$A$2:$C$8,2,FALSE)</f>
        <v>0.04</v>
      </c>
      <c r="N3821">
        <f t="shared" si="177"/>
        <v>3.3960531989175591E-3</v>
      </c>
      <c r="O3821">
        <f>VLOOKUP(K3821,RatingLookup!$A$2:$C$8,3,FALSE)</f>
        <v>0.6</v>
      </c>
      <c r="P3821">
        <f t="shared" si="178"/>
        <v>1.0868932421007691</v>
      </c>
      <c r="Q3821" t="str">
        <f t="shared" ca="1" si="179"/>
        <v>No</v>
      </c>
    </row>
    <row r="3822" spans="1:17" x14ac:dyDescent="0.45">
      <c r="A3822" t="s">
        <v>162</v>
      </c>
      <c r="B3822" t="s">
        <v>163</v>
      </c>
      <c r="C3822" t="s">
        <v>40</v>
      </c>
      <c r="D3822" t="s">
        <v>20</v>
      </c>
      <c r="E3822" t="s">
        <v>21</v>
      </c>
      <c r="F3822" s="1">
        <v>45047</v>
      </c>
      <c r="G3822">
        <v>5.88</v>
      </c>
      <c r="H3822">
        <v>82.446100000000001</v>
      </c>
      <c r="I3822">
        <v>20.8</v>
      </c>
      <c r="J3822">
        <v>71.540000000000006</v>
      </c>
      <c r="K3822" t="s">
        <v>31</v>
      </c>
      <c r="L3822">
        <v>539.49</v>
      </c>
      <c r="M3822">
        <f>VLOOKUP(K3822,RatingLookup!$A$2:$C$8,2,FALSE)</f>
        <v>0.04</v>
      </c>
      <c r="N3822">
        <f t="shared" si="177"/>
        <v>3.3960531989175591E-3</v>
      </c>
      <c r="O3822">
        <f>VLOOKUP(K3822,RatingLookup!$A$2:$C$8,3,FALSE)</f>
        <v>0.6</v>
      </c>
      <c r="P3822">
        <f t="shared" si="178"/>
        <v>1.0992820441704203</v>
      </c>
      <c r="Q3822" t="str">
        <f t="shared" ca="1" si="179"/>
        <v>No</v>
      </c>
    </row>
    <row r="3823" spans="1:17" x14ac:dyDescent="0.45">
      <c r="A3823" t="s">
        <v>162</v>
      </c>
      <c r="B3823" t="s">
        <v>163</v>
      </c>
      <c r="C3823" t="s">
        <v>40</v>
      </c>
      <c r="D3823" t="s">
        <v>20</v>
      </c>
      <c r="E3823" t="s">
        <v>21</v>
      </c>
      <c r="F3823" s="1">
        <v>45078</v>
      </c>
      <c r="G3823">
        <v>4.84</v>
      </c>
      <c r="H3823">
        <v>80.961799999999997</v>
      </c>
      <c r="I3823">
        <v>16.440000000000001</v>
      </c>
      <c r="J3823">
        <v>86.69</v>
      </c>
      <c r="K3823" t="s">
        <v>31</v>
      </c>
      <c r="L3823">
        <v>529.30999999999995</v>
      </c>
      <c r="M3823">
        <f>VLOOKUP(K3823,RatingLookup!$A$2:$C$8,2,FALSE)</f>
        <v>0.04</v>
      </c>
      <c r="N3823">
        <f t="shared" si="177"/>
        <v>3.3960531989175591E-3</v>
      </c>
      <c r="O3823">
        <f>VLOOKUP(K3823,RatingLookup!$A$2:$C$8,3,FALSE)</f>
        <v>0.6</v>
      </c>
      <c r="P3823">
        <f t="shared" si="178"/>
        <v>1.0785389512314318</v>
      </c>
      <c r="Q3823" t="str">
        <f t="shared" ca="1" si="179"/>
        <v>No</v>
      </c>
    </row>
    <row r="3824" spans="1:17" x14ac:dyDescent="0.45">
      <c r="A3824" t="s">
        <v>162</v>
      </c>
      <c r="B3824" t="s">
        <v>163</v>
      </c>
      <c r="C3824" t="s">
        <v>40</v>
      </c>
      <c r="D3824" t="s">
        <v>20</v>
      </c>
      <c r="E3824" t="s">
        <v>21</v>
      </c>
      <c r="F3824" s="1">
        <v>45108</v>
      </c>
      <c r="G3824">
        <v>5.19</v>
      </c>
      <c r="H3824">
        <v>82.824100000000001</v>
      </c>
      <c r="I3824">
        <v>22.64</v>
      </c>
      <c r="J3824">
        <v>63.85</v>
      </c>
      <c r="K3824" t="s">
        <v>31</v>
      </c>
      <c r="L3824">
        <v>558.98</v>
      </c>
      <c r="M3824">
        <f>VLOOKUP(K3824,RatingLookup!$A$2:$C$8,2,FALSE)</f>
        <v>0.04</v>
      </c>
      <c r="N3824">
        <f t="shared" si="177"/>
        <v>3.3960531989175591E-3</v>
      </c>
      <c r="O3824">
        <f>VLOOKUP(K3824,RatingLookup!$A$2:$C$8,3,FALSE)</f>
        <v>0.6</v>
      </c>
      <c r="P3824">
        <f t="shared" si="178"/>
        <v>1.1389954902785622</v>
      </c>
      <c r="Q3824" t="str">
        <f t="shared" ca="1" si="179"/>
        <v>No</v>
      </c>
    </row>
    <row r="3825" spans="1:17" x14ac:dyDescent="0.45">
      <c r="A3825" t="s">
        <v>162</v>
      </c>
      <c r="B3825" t="s">
        <v>163</v>
      </c>
      <c r="C3825" t="s">
        <v>40</v>
      </c>
      <c r="D3825" t="s">
        <v>20</v>
      </c>
      <c r="E3825" t="s">
        <v>21</v>
      </c>
      <c r="F3825" s="1">
        <v>45139</v>
      </c>
      <c r="G3825">
        <v>5.27</v>
      </c>
      <c r="H3825">
        <v>88.422399999999996</v>
      </c>
      <c r="I3825">
        <v>22.13</v>
      </c>
      <c r="J3825">
        <v>74.39</v>
      </c>
      <c r="K3825" t="s">
        <v>31</v>
      </c>
      <c r="L3825">
        <v>541.67999999999995</v>
      </c>
      <c r="M3825">
        <f>VLOOKUP(K3825,RatingLookup!$A$2:$C$8,2,FALSE)</f>
        <v>0.04</v>
      </c>
      <c r="N3825">
        <f t="shared" si="177"/>
        <v>3.3960531989175591E-3</v>
      </c>
      <c r="O3825">
        <f>VLOOKUP(K3825,RatingLookup!$A$2:$C$8,3,FALSE)</f>
        <v>0.6</v>
      </c>
      <c r="P3825">
        <f t="shared" si="178"/>
        <v>1.1037444580737978</v>
      </c>
      <c r="Q3825" t="str">
        <f t="shared" ca="1" si="179"/>
        <v>No</v>
      </c>
    </row>
    <row r="3826" spans="1:17" x14ac:dyDescent="0.45">
      <c r="A3826" t="s">
        <v>162</v>
      </c>
      <c r="B3826" t="s">
        <v>163</v>
      </c>
      <c r="C3826" t="s">
        <v>40</v>
      </c>
      <c r="D3826" t="s">
        <v>20</v>
      </c>
      <c r="E3826" t="s">
        <v>21</v>
      </c>
      <c r="F3826" s="1">
        <v>45170</v>
      </c>
      <c r="G3826">
        <v>5.75</v>
      </c>
      <c r="H3826">
        <v>79.3733</v>
      </c>
      <c r="I3826">
        <v>12.38</v>
      </c>
      <c r="J3826">
        <v>83.43</v>
      </c>
      <c r="K3826" t="s">
        <v>31</v>
      </c>
      <c r="L3826">
        <v>550.79</v>
      </c>
      <c r="M3826">
        <f>VLOOKUP(K3826,RatingLookup!$A$2:$C$8,2,FALSE)</f>
        <v>0.04</v>
      </c>
      <c r="N3826">
        <f t="shared" si="177"/>
        <v>3.3960531989175591E-3</v>
      </c>
      <c r="O3826">
        <f>VLOOKUP(K3826,RatingLookup!$A$2:$C$8,3,FALSE)</f>
        <v>0.6</v>
      </c>
      <c r="P3826">
        <f t="shared" si="178"/>
        <v>1.1223072848590814</v>
      </c>
      <c r="Q3826" t="str">
        <f t="shared" ca="1" si="179"/>
        <v>No</v>
      </c>
    </row>
    <row r="3827" spans="1:17" x14ac:dyDescent="0.45">
      <c r="A3827" t="s">
        <v>162</v>
      </c>
      <c r="B3827" t="s">
        <v>163</v>
      </c>
      <c r="C3827" t="s">
        <v>40</v>
      </c>
      <c r="D3827" t="s">
        <v>20</v>
      </c>
      <c r="E3827" t="s">
        <v>21</v>
      </c>
      <c r="F3827" s="1">
        <v>45200</v>
      </c>
      <c r="G3827">
        <v>5.73</v>
      </c>
      <c r="H3827">
        <v>85.601299999999995</v>
      </c>
      <c r="I3827">
        <v>29.83</v>
      </c>
      <c r="J3827">
        <v>73.05</v>
      </c>
      <c r="K3827" t="s">
        <v>31</v>
      </c>
      <c r="L3827">
        <v>503.42</v>
      </c>
      <c r="M3827">
        <f>VLOOKUP(K3827,RatingLookup!$A$2:$C$8,2,FALSE)</f>
        <v>0.04</v>
      </c>
      <c r="N3827">
        <f t="shared" si="177"/>
        <v>3.3960531989175591E-3</v>
      </c>
      <c r="O3827">
        <f>VLOOKUP(K3827,RatingLookup!$A$2:$C$8,3,FALSE)</f>
        <v>0.6</v>
      </c>
      <c r="P3827">
        <f t="shared" si="178"/>
        <v>1.0257846608394465</v>
      </c>
      <c r="Q3827" t="str">
        <f t="shared" ca="1" si="179"/>
        <v>No</v>
      </c>
    </row>
    <row r="3828" spans="1:17" x14ac:dyDescent="0.45">
      <c r="A3828" t="s">
        <v>162</v>
      </c>
      <c r="B3828" t="s">
        <v>163</v>
      </c>
      <c r="C3828" t="s">
        <v>40</v>
      </c>
      <c r="D3828" t="s">
        <v>20</v>
      </c>
      <c r="E3828" t="s">
        <v>21</v>
      </c>
      <c r="F3828" s="1">
        <v>45231</v>
      </c>
      <c r="G3828">
        <v>5.9</v>
      </c>
      <c r="H3828">
        <v>83.277900000000002</v>
      </c>
      <c r="I3828">
        <v>5.05</v>
      </c>
      <c r="J3828">
        <v>72.67</v>
      </c>
      <c r="K3828" t="s">
        <v>31</v>
      </c>
      <c r="L3828">
        <v>566.29999999999995</v>
      </c>
      <c r="M3828">
        <f>VLOOKUP(K3828,RatingLookup!$A$2:$C$8,2,FALSE)</f>
        <v>0.04</v>
      </c>
      <c r="N3828">
        <f t="shared" si="177"/>
        <v>3.3960531989175591E-3</v>
      </c>
      <c r="O3828">
        <f>VLOOKUP(K3828,RatingLookup!$A$2:$C$8,3,FALSE)</f>
        <v>0.6</v>
      </c>
      <c r="P3828">
        <f t="shared" si="178"/>
        <v>1.1539109559282081</v>
      </c>
      <c r="Q3828" t="str">
        <f t="shared" ca="1" si="179"/>
        <v>No</v>
      </c>
    </row>
    <row r="3829" spans="1:17" x14ac:dyDescent="0.45">
      <c r="A3829" t="s">
        <v>162</v>
      </c>
      <c r="B3829" t="s">
        <v>163</v>
      </c>
      <c r="C3829" t="s">
        <v>40</v>
      </c>
      <c r="D3829" t="s">
        <v>20</v>
      </c>
      <c r="E3829" t="s">
        <v>21</v>
      </c>
      <c r="F3829" s="1">
        <v>45261</v>
      </c>
      <c r="G3829">
        <v>4.45</v>
      </c>
      <c r="H3829">
        <v>82.991600000000005</v>
      </c>
      <c r="I3829">
        <v>15.5</v>
      </c>
      <c r="J3829">
        <v>86.24</v>
      </c>
      <c r="K3829" t="s">
        <v>31</v>
      </c>
      <c r="L3829">
        <v>492.75</v>
      </c>
      <c r="M3829">
        <f>VLOOKUP(K3829,RatingLookup!$A$2:$C$8,2,FALSE)</f>
        <v>0.04</v>
      </c>
      <c r="N3829">
        <f t="shared" si="177"/>
        <v>3.3960531989175591E-3</v>
      </c>
      <c r="O3829">
        <f>VLOOKUP(K3829,RatingLookup!$A$2:$C$8,3,FALSE)</f>
        <v>0.6</v>
      </c>
      <c r="P3829">
        <f t="shared" si="178"/>
        <v>1.0040431282599764</v>
      </c>
      <c r="Q3829" t="str">
        <f t="shared" ca="1" si="179"/>
        <v>No</v>
      </c>
    </row>
    <row r="3830" spans="1:17" x14ac:dyDescent="0.45">
      <c r="A3830" t="s">
        <v>162</v>
      </c>
      <c r="B3830" t="s">
        <v>163</v>
      </c>
      <c r="C3830" t="s">
        <v>40</v>
      </c>
      <c r="D3830" t="s">
        <v>20</v>
      </c>
      <c r="E3830" t="s">
        <v>21</v>
      </c>
      <c r="F3830" s="1">
        <v>45292</v>
      </c>
      <c r="G3830">
        <v>5.29</v>
      </c>
      <c r="H3830">
        <v>84.4666</v>
      </c>
      <c r="I3830">
        <v>9.7100000000000009</v>
      </c>
      <c r="J3830">
        <v>68.58</v>
      </c>
      <c r="K3830" t="s">
        <v>31</v>
      </c>
      <c r="L3830">
        <v>526.65</v>
      </c>
      <c r="M3830">
        <f>VLOOKUP(K3830,RatingLookup!$A$2:$C$8,2,FALSE)</f>
        <v>0.04</v>
      </c>
      <c r="N3830">
        <f t="shared" si="177"/>
        <v>3.3960531989175591E-3</v>
      </c>
      <c r="O3830">
        <f>VLOOKUP(K3830,RatingLookup!$A$2:$C$8,3,FALSE)</f>
        <v>0.6</v>
      </c>
      <c r="P3830">
        <f t="shared" si="178"/>
        <v>1.0731188503259594</v>
      </c>
      <c r="Q3830" t="str">
        <f t="shared" ca="1" si="179"/>
        <v>No</v>
      </c>
    </row>
    <row r="3831" spans="1:17" x14ac:dyDescent="0.45">
      <c r="A3831" t="s">
        <v>162</v>
      </c>
      <c r="B3831" t="s">
        <v>163</v>
      </c>
      <c r="C3831" t="s">
        <v>40</v>
      </c>
      <c r="D3831" t="s">
        <v>20</v>
      </c>
      <c r="E3831" t="s">
        <v>21</v>
      </c>
      <c r="F3831" s="1">
        <v>45323</v>
      </c>
      <c r="G3831">
        <v>5.7</v>
      </c>
      <c r="H3831">
        <v>86.318100000000001</v>
      </c>
      <c r="I3831">
        <v>26.85</v>
      </c>
      <c r="J3831">
        <v>78.41</v>
      </c>
      <c r="K3831" t="s">
        <v>31</v>
      </c>
      <c r="L3831">
        <v>543.80999999999995</v>
      </c>
      <c r="M3831">
        <f>VLOOKUP(K3831,RatingLookup!$A$2:$C$8,2,FALSE)</f>
        <v>0.04</v>
      </c>
      <c r="N3831">
        <f t="shared" si="177"/>
        <v>3.3960531989175591E-3</v>
      </c>
      <c r="O3831">
        <f>VLOOKUP(K3831,RatingLookup!$A$2:$C$8,3,FALSE)</f>
        <v>0.6</v>
      </c>
      <c r="P3831">
        <f t="shared" si="178"/>
        <v>1.1080846140620146</v>
      </c>
      <c r="Q3831" t="str">
        <f t="shared" ca="1" si="179"/>
        <v>No</v>
      </c>
    </row>
    <row r="3832" spans="1:17" x14ac:dyDescent="0.45">
      <c r="A3832" t="s">
        <v>162</v>
      </c>
      <c r="B3832" t="s">
        <v>163</v>
      </c>
      <c r="C3832" t="s">
        <v>40</v>
      </c>
      <c r="D3832" t="s">
        <v>20</v>
      </c>
      <c r="E3832" t="s">
        <v>21</v>
      </c>
      <c r="F3832" s="1">
        <v>45352</v>
      </c>
      <c r="G3832">
        <v>6.52</v>
      </c>
      <c r="H3832">
        <v>84.247600000000006</v>
      </c>
      <c r="I3832">
        <v>19.920000000000002</v>
      </c>
      <c r="J3832">
        <v>89.86</v>
      </c>
      <c r="K3832" t="s">
        <v>31</v>
      </c>
      <c r="L3832">
        <v>542.99</v>
      </c>
      <c r="M3832">
        <f>VLOOKUP(K3832,RatingLookup!$A$2:$C$8,2,FALSE)</f>
        <v>0.04</v>
      </c>
      <c r="N3832">
        <f t="shared" si="177"/>
        <v>3.3960531989175591E-3</v>
      </c>
      <c r="O3832">
        <f>VLOOKUP(K3832,RatingLookup!$A$2:$C$8,3,FALSE)</f>
        <v>0.6</v>
      </c>
      <c r="P3832">
        <f t="shared" si="178"/>
        <v>1.1064137558881473</v>
      </c>
      <c r="Q3832" t="str">
        <f t="shared" ca="1" si="179"/>
        <v>No</v>
      </c>
    </row>
    <row r="3833" spans="1:17" x14ac:dyDescent="0.45">
      <c r="A3833" t="s">
        <v>162</v>
      </c>
      <c r="B3833" t="s">
        <v>163</v>
      </c>
      <c r="C3833" t="s">
        <v>40</v>
      </c>
      <c r="D3833" t="s">
        <v>20</v>
      </c>
      <c r="E3833" t="s">
        <v>21</v>
      </c>
      <c r="F3833" s="1">
        <v>45383</v>
      </c>
      <c r="G3833">
        <v>4.8499999999999996</v>
      </c>
      <c r="H3833">
        <v>83.185199999999995</v>
      </c>
      <c r="I3833">
        <v>22.33</v>
      </c>
      <c r="J3833">
        <v>78.23</v>
      </c>
      <c r="K3833" t="s">
        <v>31</v>
      </c>
      <c r="L3833">
        <v>504.48</v>
      </c>
      <c r="M3833">
        <f>VLOOKUP(K3833,RatingLookup!$A$2:$C$8,2,FALSE)</f>
        <v>0.04</v>
      </c>
      <c r="N3833">
        <f t="shared" si="177"/>
        <v>3.3960531989175591E-3</v>
      </c>
      <c r="O3833">
        <f>VLOOKUP(K3833,RatingLookup!$A$2:$C$8,3,FALSE)</f>
        <v>0.6</v>
      </c>
      <c r="P3833">
        <f t="shared" si="178"/>
        <v>1.0279445506739582</v>
      </c>
      <c r="Q3833" t="str">
        <f t="shared" ca="1" si="179"/>
        <v>No</v>
      </c>
    </row>
    <row r="3834" spans="1:17" x14ac:dyDescent="0.45">
      <c r="A3834" t="s">
        <v>162</v>
      </c>
      <c r="B3834" t="s">
        <v>163</v>
      </c>
      <c r="C3834" t="s">
        <v>40</v>
      </c>
      <c r="D3834" t="s">
        <v>20</v>
      </c>
      <c r="E3834" t="s">
        <v>21</v>
      </c>
      <c r="F3834" s="1">
        <v>45413</v>
      </c>
      <c r="G3834">
        <v>6.02</v>
      </c>
      <c r="H3834">
        <v>86.619600000000005</v>
      </c>
      <c r="I3834">
        <v>5</v>
      </c>
      <c r="J3834">
        <v>79.41</v>
      </c>
      <c r="K3834" t="s">
        <v>31</v>
      </c>
      <c r="L3834">
        <v>518.32000000000005</v>
      </c>
      <c r="M3834">
        <f>VLOOKUP(K3834,RatingLookup!$A$2:$C$8,2,FALSE)</f>
        <v>0.04</v>
      </c>
      <c r="N3834">
        <f t="shared" si="177"/>
        <v>3.3960531989175591E-3</v>
      </c>
      <c r="O3834">
        <f>VLOOKUP(K3834,RatingLookup!$A$2:$C$8,3,FALSE)</f>
        <v>0.6</v>
      </c>
      <c r="P3834">
        <f t="shared" si="178"/>
        <v>1.0561453764377695</v>
      </c>
      <c r="Q3834" t="str">
        <f t="shared" ca="1" si="179"/>
        <v>No</v>
      </c>
    </row>
    <row r="3835" spans="1:17" x14ac:dyDescent="0.45">
      <c r="A3835" t="s">
        <v>162</v>
      </c>
      <c r="B3835" t="s">
        <v>163</v>
      </c>
      <c r="C3835" t="s">
        <v>40</v>
      </c>
      <c r="D3835" t="s">
        <v>20</v>
      </c>
      <c r="E3835" t="s">
        <v>21</v>
      </c>
      <c r="F3835" s="1">
        <v>45444</v>
      </c>
      <c r="G3835">
        <v>5.34</v>
      </c>
      <c r="H3835">
        <v>84.771100000000004</v>
      </c>
      <c r="I3835">
        <v>31.01</v>
      </c>
      <c r="J3835">
        <v>75.8</v>
      </c>
      <c r="K3835" t="s">
        <v>31</v>
      </c>
      <c r="L3835">
        <v>528.17999999999995</v>
      </c>
      <c r="M3835">
        <f>VLOOKUP(K3835,RatingLookup!$A$2:$C$8,2,FALSE)</f>
        <v>0.04</v>
      </c>
      <c r="N3835">
        <f t="shared" si="177"/>
        <v>3.3960531989175591E-3</v>
      </c>
      <c r="O3835">
        <f>VLOOKUP(K3835,RatingLookup!$A$2:$C$8,3,FALSE)</f>
        <v>0.6</v>
      </c>
      <c r="P3835">
        <f t="shared" si="178"/>
        <v>1.0762364271625657</v>
      </c>
      <c r="Q3835" t="str">
        <f t="shared" ca="1" si="179"/>
        <v>No</v>
      </c>
    </row>
    <row r="3836" spans="1:17" x14ac:dyDescent="0.45">
      <c r="A3836" t="s">
        <v>162</v>
      </c>
      <c r="B3836" t="s">
        <v>163</v>
      </c>
      <c r="C3836" t="s">
        <v>40</v>
      </c>
      <c r="D3836" t="s">
        <v>20</v>
      </c>
      <c r="E3836" t="s">
        <v>21</v>
      </c>
      <c r="F3836" s="1">
        <v>45474</v>
      </c>
      <c r="G3836">
        <v>5.2</v>
      </c>
      <c r="H3836">
        <v>86.754900000000006</v>
      </c>
      <c r="I3836">
        <v>18.86</v>
      </c>
      <c r="J3836">
        <v>82.1</v>
      </c>
      <c r="K3836" t="s">
        <v>31</v>
      </c>
      <c r="L3836">
        <v>556.24</v>
      </c>
      <c r="M3836">
        <f>VLOOKUP(K3836,RatingLookup!$A$2:$C$8,2,FALSE)</f>
        <v>0.04</v>
      </c>
      <c r="N3836">
        <f t="shared" si="177"/>
        <v>3.3960531989175591E-3</v>
      </c>
      <c r="O3836">
        <f>VLOOKUP(K3836,RatingLookup!$A$2:$C$8,3,FALSE)</f>
        <v>0.6</v>
      </c>
      <c r="P3836">
        <f t="shared" si="178"/>
        <v>1.1334123788195418</v>
      </c>
      <c r="Q3836" t="str">
        <f t="shared" ca="1" si="179"/>
        <v>No</v>
      </c>
    </row>
    <row r="3837" spans="1:17" x14ac:dyDescent="0.45">
      <c r="A3837" t="s">
        <v>162</v>
      </c>
      <c r="B3837" t="s">
        <v>163</v>
      </c>
      <c r="C3837" t="s">
        <v>40</v>
      </c>
      <c r="D3837" t="s">
        <v>20</v>
      </c>
      <c r="E3837" t="s">
        <v>21</v>
      </c>
      <c r="F3837" s="1">
        <v>45505</v>
      </c>
      <c r="G3837">
        <v>5.28</v>
      </c>
      <c r="H3837">
        <v>80.428700000000006</v>
      </c>
      <c r="I3837">
        <v>25.2</v>
      </c>
      <c r="J3837">
        <v>86.6</v>
      </c>
      <c r="K3837" t="s">
        <v>31</v>
      </c>
      <c r="L3837">
        <v>517.99</v>
      </c>
      <c r="M3837">
        <f>VLOOKUP(K3837,RatingLookup!$A$2:$C$8,2,FALSE)</f>
        <v>0.04</v>
      </c>
      <c r="N3837">
        <f t="shared" si="177"/>
        <v>3.3960531989175591E-3</v>
      </c>
      <c r="O3837">
        <f>VLOOKUP(K3837,RatingLookup!$A$2:$C$8,3,FALSE)</f>
        <v>0.6</v>
      </c>
      <c r="P3837">
        <f t="shared" si="178"/>
        <v>1.0554729579043838</v>
      </c>
      <c r="Q3837" t="str">
        <f t="shared" ca="1" si="179"/>
        <v>No</v>
      </c>
    </row>
    <row r="3838" spans="1:17" x14ac:dyDescent="0.45">
      <c r="A3838" t="s">
        <v>162</v>
      </c>
      <c r="B3838" t="s">
        <v>163</v>
      </c>
      <c r="C3838" t="s">
        <v>40</v>
      </c>
      <c r="D3838" t="s">
        <v>20</v>
      </c>
      <c r="E3838" t="s">
        <v>21</v>
      </c>
      <c r="F3838" s="1">
        <v>45536</v>
      </c>
      <c r="G3838">
        <v>6.19</v>
      </c>
      <c r="H3838">
        <v>80.659099999999995</v>
      </c>
      <c r="I3838">
        <v>21.66</v>
      </c>
      <c r="J3838">
        <v>63.67</v>
      </c>
      <c r="K3838" t="s">
        <v>31</v>
      </c>
      <c r="L3838">
        <v>522.85</v>
      </c>
      <c r="M3838">
        <f>VLOOKUP(K3838,RatingLookup!$A$2:$C$8,2,FALSE)</f>
        <v>0.04</v>
      </c>
      <c r="N3838">
        <f t="shared" si="177"/>
        <v>3.3960531989175591E-3</v>
      </c>
      <c r="O3838">
        <f>VLOOKUP(K3838,RatingLookup!$A$2:$C$8,3,FALSE)</f>
        <v>0.6</v>
      </c>
      <c r="P3838">
        <f t="shared" si="178"/>
        <v>1.0653758490324274</v>
      </c>
      <c r="Q3838" t="str">
        <f t="shared" ca="1" si="179"/>
        <v>No</v>
      </c>
    </row>
    <row r="3839" spans="1:17" x14ac:dyDescent="0.45">
      <c r="A3839" t="s">
        <v>162</v>
      </c>
      <c r="B3839" t="s">
        <v>163</v>
      </c>
      <c r="C3839" t="s">
        <v>40</v>
      </c>
      <c r="D3839" t="s">
        <v>20</v>
      </c>
      <c r="E3839" t="s">
        <v>21</v>
      </c>
      <c r="F3839" s="1">
        <v>45566</v>
      </c>
      <c r="G3839">
        <v>4.99</v>
      </c>
      <c r="H3839">
        <v>79.991799999999998</v>
      </c>
      <c r="I3839">
        <v>19.29</v>
      </c>
      <c r="J3839">
        <v>84.02</v>
      </c>
      <c r="K3839" t="s">
        <v>31</v>
      </c>
      <c r="L3839">
        <v>549.48</v>
      </c>
      <c r="M3839">
        <f>VLOOKUP(K3839,RatingLookup!$A$2:$C$8,2,FALSE)</f>
        <v>0.04</v>
      </c>
      <c r="N3839">
        <f t="shared" si="177"/>
        <v>3.3960531989175591E-3</v>
      </c>
      <c r="O3839">
        <f>VLOOKUP(K3839,RatingLookup!$A$2:$C$8,3,FALSE)</f>
        <v>0.6</v>
      </c>
      <c r="P3839">
        <f t="shared" si="178"/>
        <v>1.1196379870447322</v>
      </c>
      <c r="Q3839" t="str">
        <f t="shared" ca="1" si="179"/>
        <v>No</v>
      </c>
    </row>
    <row r="3840" spans="1:17" x14ac:dyDescent="0.45">
      <c r="A3840" t="s">
        <v>162</v>
      </c>
      <c r="B3840" t="s">
        <v>163</v>
      </c>
      <c r="C3840" t="s">
        <v>40</v>
      </c>
      <c r="D3840" t="s">
        <v>20</v>
      </c>
      <c r="E3840" t="s">
        <v>21</v>
      </c>
      <c r="F3840" s="1">
        <v>45597</v>
      </c>
      <c r="G3840">
        <v>5.5</v>
      </c>
      <c r="H3840">
        <v>84.237200000000001</v>
      </c>
      <c r="I3840">
        <v>12.42</v>
      </c>
      <c r="J3840">
        <v>72</v>
      </c>
      <c r="K3840" t="s">
        <v>31</v>
      </c>
      <c r="L3840">
        <v>532.1</v>
      </c>
      <c r="M3840">
        <f>VLOOKUP(K3840,RatingLookup!$A$2:$C$8,2,FALSE)</f>
        <v>0.04</v>
      </c>
      <c r="N3840">
        <f t="shared" si="177"/>
        <v>3.3960531989175591E-3</v>
      </c>
      <c r="O3840">
        <f>VLOOKUP(K3840,RatingLookup!$A$2:$C$8,3,FALSE)</f>
        <v>0.6</v>
      </c>
      <c r="P3840">
        <f t="shared" si="178"/>
        <v>1.0842239442864199</v>
      </c>
      <c r="Q3840" t="str">
        <f t="shared" ca="1" si="179"/>
        <v>No</v>
      </c>
    </row>
    <row r="3841" spans="1:17" x14ac:dyDescent="0.45">
      <c r="A3841" t="s">
        <v>162</v>
      </c>
      <c r="B3841" t="s">
        <v>163</v>
      </c>
      <c r="C3841" t="s">
        <v>40</v>
      </c>
      <c r="D3841" t="s">
        <v>20</v>
      </c>
      <c r="E3841" t="s">
        <v>21</v>
      </c>
      <c r="F3841" s="1">
        <v>45627</v>
      </c>
      <c r="G3841">
        <v>4.97</v>
      </c>
      <c r="H3841">
        <v>82.783699999999996</v>
      </c>
      <c r="I3841">
        <v>9.19</v>
      </c>
      <c r="J3841">
        <v>63.78</v>
      </c>
      <c r="K3841" t="s">
        <v>31</v>
      </c>
      <c r="L3841">
        <v>513.54999999999995</v>
      </c>
      <c r="M3841">
        <f>VLOOKUP(K3841,RatingLookup!$A$2:$C$8,2,FALSE)</f>
        <v>0.04</v>
      </c>
      <c r="N3841">
        <f t="shared" si="177"/>
        <v>3.3960531989175591E-3</v>
      </c>
      <c r="O3841">
        <f>VLOOKUP(K3841,RatingLookup!$A$2:$C$8,3,FALSE)</f>
        <v>0.6</v>
      </c>
      <c r="P3841">
        <f t="shared" si="178"/>
        <v>1.0464258721824673</v>
      </c>
      <c r="Q3841" t="str">
        <f t="shared" ca="1" si="179"/>
        <v>No</v>
      </c>
    </row>
    <row r="3842" spans="1:17" x14ac:dyDescent="0.45">
      <c r="A3842" t="s">
        <v>164</v>
      </c>
      <c r="B3842" t="s">
        <v>165</v>
      </c>
      <c r="C3842" t="s">
        <v>66</v>
      </c>
      <c r="D3842" t="s">
        <v>20</v>
      </c>
      <c r="E3842" t="s">
        <v>21</v>
      </c>
      <c r="F3842" s="1">
        <v>43831</v>
      </c>
      <c r="G3842">
        <v>5.79</v>
      </c>
      <c r="H3842">
        <v>84.428299999999993</v>
      </c>
      <c r="I3842">
        <v>23.25</v>
      </c>
      <c r="J3842">
        <v>73.56</v>
      </c>
      <c r="K3842" t="s">
        <v>22</v>
      </c>
      <c r="L3842">
        <v>436.65</v>
      </c>
      <c r="M3842">
        <f>VLOOKUP(K3842,RatingLookup!$A$2:$C$8,2,FALSE)</f>
        <v>5.0000000000000001E-3</v>
      </c>
      <c r="N3842">
        <f t="shared" ref="N3842:N3905" si="180">1-(1-M3842)^(1/12)</f>
        <v>4.1762458919303302E-4</v>
      </c>
      <c r="O3842">
        <f>VLOOKUP(K3842,RatingLookup!$A$2:$C$8,3,FALSE)</f>
        <v>0.45</v>
      </c>
      <c r="P3842">
        <f t="shared" ref="P3842:P3905" si="181">L3842*N3842*O3842</f>
        <v>8.2060099592012034E-2</v>
      </c>
      <c r="Q3842" t="str">
        <f t="shared" ref="Q3842:Q3905" ca="1" si="182">IF(RAND()&lt;N3842,"Yes","No")</f>
        <v>No</v>
      </c>
    </row>
    <row r="3843" spans="1:17" x14ac:dyDescent="0.45">
      <c r="A3843" t="s">
        <v>164</v>
      </c>
      <c r="B3843" t="s">
        <v>165</v>
      </c>
      <c r="C3843" t="s">
        <v>66</v>
      </c>
      <c r="D3843" t="s">
        <v>20</v>
      </c>
      <c r="E3843" t="s">
        <v>21</v>
      </c>
      <c r="F3843" s="1">
        <v>43862</v>
      </c>
      <c r="G3843">
        <v>5.56</v>
      </c>
      <c r="H3843">
        <v>80.383399999999995</v>
      </c>
      <c r="I3843">
        <v>6.96</v>
      </c>
      <c r="J3843">
        <v>86.97</v>
      </c>
      <c r="K3843" t="s">
        <v>22</v>
      </c>
      <c r="L3843">
        <v>441.68</v>
      </c>
      <c r="M3843">
        <f>VLOOKUP(K3843,RatingLookup!$A$2:$C$8,2,FALSE)</f>
        <v>5.0000000000000001E-3</v>
      </c>
      <c r="N3843">
        <f t="shared" si="180"/>
        <v>4.1762458919303302E-4</v>
      </c>
      <c r="O3843">
        <f>VLOOKUP(K3843,RatingLookup!$A$2:$C$8,3,FALSE)</f>
        <v>0.45</v>
      </c>
      <c r="P3843">
        <f t="shared" si="181"/>
        <v>8.3005392849650486E-2</v>
      </c>
      <c r="Q3843" t="str">
        <f t="shared" ca="1" si="182"/>
        <v>No</v>
      </c>
    </row>
    <row r="3844" spans="1:17" x14ac:dyDescent="0.45">
      <c r="A3844" t="s">
        <v>164</v>
      </c>
      <c r="B3844" t="s">
        <v>165</v>
      </c>
      <c r="C3844" t="s">
        <v>66</v>
      </c>
      <c r="D3844" t="s">
        <v>20</v>
      </c>
      <c r="E3844" t="s">
        <v>21</v>
      </c>
      <c r="F3844" s="1">
        <v>43891</v>
      </c>
      <c r="G3844">
        <v>5.86</v>
      </c>
      <c r="H3844">
        <v>81.744799999999998</v>
      </c>
      <c r="I3844">
        <v>15.1</v>
      </c>
      <c r="J3844">
        <v>71.84</v>
      </c>
      <c r="K3844" t="s">
        <v>22</v>
      </c>
      <c r="L3844">
        <v>443.9</v>
      </c>
      <c r="M3844">
        <f>VLOOKUP(K3844,RatingLookup!$A$2:$C$8,2,FALSE)</f>
        <v>5.0000000000000001E-3</v>
      </c>
      <c r="N3844">
        <f t="shared" si="180"/>
        <v>4.1762458919303302E-4</v>
      </c>
      <c r="O3844">
        <f>VLOOKUP(K3844,RatingLookup!$A$2:$C$8,3,FALSE)</f>
        <v>0.45</v>
      </c>
      <c r="P3844">
        <f t="shared" si="181"/>
        <v>8.3422599814254303E-2</v>
      </c>
      <c r="Q3844" t="str">
        <f t="shared" ca="1" si="182"/>
        <v>No</v>
      </c>
    </row>
    <row r="3845" spans="1:17" x14ac:dyDescent="0.45">
      <c r="A3845" t="s">
        <v>164</v>
      </c>
      <c r="B3845" t="s">
        <v>165</v>
      </c>
      <c r="C3845" t="s">
        <v>66</v>
      </c>
      <c r="D3845" t="s">
        <v>20</v>
      </c>
      <c r="E3845" t="s">
        <v>21</v>
      </c>
      <c r="F3845" s="1">
        <v>43922</v>
      </c>
      <c r="G3845">
        <v>4.8099999999999996</v>
      </c>
      <c r="H3845">
        <v>80.072100000000006</v>
      </c>
      <c r="I3845">
        <v>15.79</v>
      </c>
      <c r="J3845">
        <v>84.39</v>
      </c>
      <c r="K3845" t="s">
        <v>22</v>
      </c>
      <c r="L3845">
        <v>437.65</v>
      </c>
      <c r="M3845">
        <f>VLOOKUP(K3845,RatingLookup!$A$2:$C$8,2,FALSE)</f>
        <v>5.0000000000000001E-3</v>
      </c>
      <c r="N3845">
        <f t="shared" si="180"/>
        <v>4.1762458919303302E-4</v>
      </c>
      <c r="O3845">
        <f>VLOOKUP(K3845,RatingLookup!$A$2:$C$8,3,FALSE)</f>
        <v>0.45</v>
      </c>
      <c r="P3845">
        <f t="shared" si="181"/>
        <v>8.2248030657148904E-2</v>
      </c>
      <c r="Q3845" t="str">
        <f t="shared" ca="1" si="182"/>
        <v>No</v>
      </c>
    </row>
    <row r="3846" spans="1:17" x14ac:dyDescent="0.45">
      <c r="A3846" t="s">
        <v>164</v>
      </c>
      <c r="B3846" t="s">
        <v>165</v>
      </c>
      <c r="C3846" t="s">
        <v>66</v>
      </c>
      <c r="D3846" t="s">
        <v>20</v>
      </c>
      <c r="E3846" t="s">
        <v>21</v>
      </c>
      <c r="F3846" s="1">
        <v>43952</v>
      </c>
      <c r="G3846">
        <v>4.6500000000000004</v>
      </c>
      <c r="H3846">
        <v>79.992599999999996</v>
      </c>
      <c r="I3846">
        <v>13.96</v>
      </c>
      <c r="J3846">
        <v>81.89</v>
      </c>
      <c r="K3846" t="s">
        <v>22</v>
      </c>
      <c r="L3846">
        <v>434.59</v>
      </c>
      <c r="M3846">
        <f>VLOOKUP(K3846,RatingLookup!$A$2:$C$8,2,FALSE)</f>
        <v>5.0000000000000001E-3</v>
      </c>
      <c r="N3846">
        <f t="shared" si="180"/>
        <v>4.1762458919303302E-4</v>
      </c>
      <c r="O3846">
        <f>VLOOKUP(K3846,RatingLookup!$A$2:$C$8,3,FALSE)</f>
        <v>0.45</v>
      </c>
      <c r="P3846">
        <f t="shared" si="181"/>
        <v>8.1672961597830093E-2</v>
      </c>
      <c r="Q3846" t="str">
        <f t="shared" ca="1" si="182"/>
        <v>No</v>
      </c>
    </row>
    <row r="3847" spans="1:17" x14ac:dyDescent="0.45">
      <c r="A3847" t="s">
        <v>164</v>
      </c>
      <c r="B3847" t="s">
        <v>165</v>
      </c>
      <c r="C3847" t="s">
        <v>66</v>
      </c>
      <c r="D3847" t="s">
        <v>20</v>
      </c>
      <c r="E3847" t="s">
        <v>21</v>
      </c>
      <c r="F3847" s="1">
        <v>43983</v>
      </c>
      <c r="G3847">
        <v>4.79</v>
      </c>
      <c r="H3847">
        <v>88.734099999999998</v>
      </c>
      <c r="I3847">
        <v>13.6</v>
      </c>
      <c r="J3847">
        <v>79.930000000000007</v>
      </c>
      <c r="K3847" t="s">
        <v>22</v>
      </c>
      <c r="L3847">
        <v>419.66</v>
      </c>
      <c r="M3847">
        <f>VLOOKUP(K3847,RatingLookup!$A$2:$C$8,2,FALSE)</f>
        <v>5.0000000000000001E-3</v>
      </c>
      <c r="N3847">
        <f t="shared" si="180"/>
        <v>4.1762458919303302E-4</v>
      </c>
      <c r="O3847">
        <f>VLOOKUP(K3847,RatingLookup!$A$2:$C$8,3,FALSE)</f>
        <v>0.45</v>
      </c>
      <c r="P3847">
        <f t="shared" si="181"/>
        <v>7.8867150795336724E-2</v>
      </c>
      <c r="Q3847" t="str">
        <f t="shared" ca="1" si="182"/>
        <v>No</v>
      </c>
    </row>
    <row r="3848" spans="1:17" x14ac:dyDescent="0.45">
      <c r="A3848" t="s">
        <v>164</v>
      </c>
      <c r="B3848" t="s">
        <v>165</v>
      </c>
      <c r="C3848" t="s">
        <v>66</v>
      </c>
      <c r="D3848" t="s">
        <v>20</v>
      </c>
      <c r="E3848" t="s">
        <v>21</v>
      </c>
      <c r="F3848" s="1">
        <v>44013</v>
      </c>
      <c r="G3848">
        <v>6.62</v>
      </c>
      <c r="H3848">
        <v>87.049899999999994</v>
      </c>
      <c r="I3848">
        <v>11.43</v>
      </c>
      <c r="J3848">
        <v>87.99</v>
      </c>
      <c r="K3848" t="s">
        <v>22</v>
      </c>
      <c r="L3848">
        <v>490.84</v>
      </c>
      <c r="M3848">
        <f>VLOOKUP(K3848,RatingLookup!$A$2:$C$8,2,FALSE)</f>
        <v>5.0000000000000001E-3</v>
      </c>
      <c r="N3848">
        <f t="shared" si="180"/>
        <v>4.1762458919303302E-4</v>
      </c>
      <c r="O3848">
        <f>VLOOKUP(K3848,RatingLookup!$A$2:$C$8,3,FALSE)</f>
        <v>0.45</v>
      </c>
      <c r="P3848">
        <f t="shared" si="181"/>
        <v>9.2244084011778735E-2</v>
      </c>
      <c r="Q3848" t="str">
        <f t="shared" ca="1" si="182"/>
        <v>No</v>
      </c>
    </row>
    <row r="3849" spans="1:17" x14ac:dyDescent="0.45">
      <c r="A3849" t="s">
        <v>164</v>
      </c>
      <c r="B3849" t="s">
        <v>165</v>
      </c>
      <c r="C3849" t="s">
        <v>66</v>
      </c>
      <c r="D3849" t="s">
        <v>20</v>
      </c>
      <c r="E3849" t="s">
        <v>21</v>
      </c>
      <c r="F3849" s="1">
        <v>44044</v>
      </c>
      <c r="G3849">
        <v>4.54</v>
      </c>
      <c r="H3849">
        <v>79.790700000000001</v>
      </c>
      <c r="I3849">
        <v>12.11</v>
      </c>
      <c r="J3849">
        <v>72.36</v>
      </c>
      <c r="K3849" t="s">
        <v>22</v>
      </c>
      <c r="L3849">
        <v>420.26</v>
      </c>
      <c r="M3849">
        <f>VLOOKUP(K3849,RatingLookup!$A$2:$C$8,2,FALSE)</f>
        <v>5.0000000000000001E-3</v>
      </c>
      <c r="N3849">
        <f t="shared" si="180"/>
        <v>4.1762458919303302E-4</v>
      </c>
      <c r="O3849">
        <f>VLOOKUP(K3849,RatingLookup!$A$2:$C$8,3,FALSE)</f>
        <v>0.45</v>
      </c>
      <c r="P3849">
        <f t="shared" si="181"/>
        <v>7.8979909434418835E-2</v>
      </c>
      <c r="Q3849" t="str">
        <f t="shared" ca="1" si="182"/>
        <v>No</v>
      </c>
    </row>
    <row r="3850" spans="1:17" x14ac:dyDescent="0.45">
      <c r="A3850" t="s">
        <v>164</v>
      </c>
      <c r="B3850" t="s">
        <v>165</v>
      </c>
      <c r="C3850" t="s">
        <v>66</v>
      </c>
      <c r="D3850" t="s">
        <v>20</v>
      </c>
      <c r="E3850" t="s">
        <v>21</v>
      </c>
      <c r="F3850" s="1">
        <v>44075</v>
      </c>
      <c r="G3850">
        <v>5.92</v>
      </c>
      <c r="H3850">
        <v>82.236199999999997</v>
      </c>
      <c r="I3850">
        <v>20.71</v>
      </c>
      <c r="J3850">
        <v>86.1</v>
      </c>
      <c r="K3850" t="s">
        <v>22</v>
      </c>
      <c r="L3850">
        <v>455.01</v>
      </c>
      <c r="M3850">
        <f>VLOOKUP(K3850,RatingLookup!$A$2:$C$8,2,FALSE)</f>
        <v>5.0000000000000001E-3</v>
      </c>
      <c r="N3850">
        <f t="shared" si="180"/>
        <v>4.1762458919303302E-4</v>
      </c>
      <c r="O3850">
        <f>VLOOKUP(K3850,RatingLookup!$A$2:$C$8,3,FALSE)</f>
        <v>0.45</v>
      </c>
      <c r="P3850">
        <f t="shared" si="181"/>
        <v>8.5510513947924888E-2</v>
      </c>
      <c r="Q3850" t="str">
        <f t="shared" ca="1" si="182"/>
        <v>No</v>
      </c>
    </row>
    <row r="3851" spans="1:17" x14ac:dyDescent="0.45">
      <c r="A3851" t="s">
        <v>164</v>
      </c>
      <c r="B3851" t="s">
        <v>165</v>
      </c>
      <c r="C3851" t="s">
        <v>66</v>
      </c>
      <c r="D3851" t="s">
        <v>20</v>
      </c>
      <c r="E3851" t="s">
        <v>21</v>
      </c>
      <c r="F3851" s="1">
        <v>44105</v>
      </c>
      <c r="G3851">
        <v>5.37</v>
      </c>
      <c r="H3851">
        <v>82.856099999999998</v>
      </c>
      <c r="I3851">
        <v>19.489999999999998</v>
      </c>
      <c r="J3851">
        <v>69.849999999999994</v>
      </c>
      <c r="K3851" t="s">
        <v>22</v>
      </c>
      <c r="L3851">
        <v>456.97</v>
      </c>
      <c r="M3851">
        <f>VLOOKUP(K3851,RatingLookup!$A$2:$C$8,2,FALSE)</f>
        <v>5.0000000000000001E-3</v>
      </c>
      <c r="N3851">
        <f t="shared" si="180"/>
        <v>4.1762458919303302E-4</v>
      </c>
      <c r="O3851">
        <f>VLOOKUP(K3851,RatingLookup!$A$2:$C$8,3,FALSE)</f>
        <v>0.45</v>
      </c>
      <c r="P3851">
        <f t="shared" si="181"/>
        <v>8.5878858835593139E-2</v>
      </c>
      <c r="Q3851" t="str">
        <f t="shared" ca="1" si="182"/>
        <v>No</v>
      </c>
    </row>
    <row r="3852" spans="1:17" x14ac:dyDescent="0.45">
      <c r="A3852" t="s">
        <v>164</v>
      </c>
      <c r="B3852" t="s">
        <v>165</v>
      </c>
      <c r="C3852" t="s">
        <v>66</v>
      </c>
      <c r="D3852" t="s">
        <v>20</v>
      </c>
      <c r="E3852" t="s">
        <v>21</v>
      </c>
      <c r="F3852" s="1">
        <v>44136</v>
      </c>
      <c r="G3852">
        <v>5.03</v>
      </c>
      <c r="H3852">
        <v>82.974999999999994</v>
      </c>
      <c r="I3852">
        <v>16.61</v>
      </c>
      <c r="J3852">
        <v>83.16</v>
      </c>
      <c r="K3852" t="s">
        <v>22</v>
      </c>
      <c r="L3852">
        <v>422.27</v>
      </c>
      <c r="M3852">
        <f>VLOOKUP(K3852,RatingLookup!$A$2:$C$8,2,FALSE)</f>
        <v>5.0000000000000001E-3</v>
      </c>
      <c r="N3852">
        <f t="shared" si="180"/>
        <v>4.1762458919303302E-4</v>
      </c>
      <c r="O3852">
        <f>VLOOKUP(K3852,RatingLookup!$A$2:$C$8,3,FALSE)</f>
        <v>0.45</v>
      </c>
      <c r="P3852">
        <f t="shared" si="181"/>
        <v>7.9357650875343924E-2</v>
      </c>
      <c r="Q3852" t="str">
        <f t="shared" ca="1" si="182"/>
        <v>No</v>
      </c>
    </row>
    <row r="3853" spans="1:17" x14ac:dyDescent="0.45">
      <c r="A3853" t="s">
        <v>164</v>
      </c>
      <c r="B3853" t="s">
        <v>165</v>
      </c>
      <c r="C3853" t="s">
        <v>66</v>
      </c>
      <c r="D3853" t="s">
        <v>20</v>
      </c>
      <c r="E3853" t="s">
        <v>21</v>
      </c>
      <c r="F3853" s="1">
        <v>44166</v>
      </c>
      <c r="G3853">
        <v>5.53</v>
      </c>
      <c r="H3853">
        <v>81.796599999999998</v>
      </c>
      <c r="I3853">
        <v>14.58</v>
      </c>
      <c r="J3853">
        <v>74.709999999999994</v>
      </c>
      <c r="K3853" t="s">
        <v>22</v>
      </c>
      <c r="L3853">
        <v>414.66</v>
      </c>
      <c r="M3853">
        <f>VLOOKUP(K3853,RatingLookup!$A$2:$C$8,2,FALSE)</f>
        <v>5.0000000000000001E-3</v>
      </c>
      <c r="N3853">
        <f t="shared" si="180"/>
        <v>4.1762458919303302E-4</v>
      </c>
      <c r="O3853">
        <f>VLOOKUP(K3853,RatingLookup!$A$2:$C$8,3,FALSE)</f>
        <v>0.45</v>
      </c>
      <c r="P3853">
        <f t="shared" si="181"/>
        <v>7.79274954696524E-2</v>
      </c>
      <c r="Q3853" t="str">
        <f t="shared" ca="1" si="182"/>
        <v>No</v>
      </c>
    </row>
    <row r="3854" spans="1:17" x14ac:dyDescent="0.45">
      <c r="A3854" t="s">
        <v>164</v>
      </c>
      <c r="B3854" t="s">
        <v>165</v>
      </c>
      <c r="C3854" t="s">
        <v>66</v>
      </c>
      <c r="D3854" t="s">
        <v>20</v>
      </c>
      <c r="E3854" t="s">
        <v>21</v>
      </c>
      <c r="F3854" s="1">
        <v>44197</v>
      </c>
      <c r="G3854">
        <v>4.8</v>
      </c>
      <c r="H3854">
        <v>78.364599999999996</v>
      </c>
      <c r="I3854">
        <v>11.65</v>
      </c>
      <c r="J3854">
        <v>81.739999999999995</v>
      </c>
      <c r="K3854" t="s">
        <v>22</v>
      </c>
      <c r="L3854">
        <v>447.74</v>
      </c>
      <c r="M3854">
        <f>VLOOKUP(K3854,RatingLookup!$A$2:$C$8,2,FALSE)</f>
        <v>5.0000000000000001E-3</v>
      </c>
      <c r="N3854">
        <f t="shared" si="180"/>
        <v>4.1762458919303302E-4</v>
      </c>
      <c r="O3854">
        <f>VLOOKUP(K3854,RatingLookup!$A$2:$C$8,3,FALSE)</f>
        <v>0.45</v>
      </c>
      <c r="P3854">
        <f t="shared" si="181"/>
        <v>8.4144255104379867E-2</v>
      </c>
      <c r="Q3854" t="str">
        <f t="shared" ca="1" si="182"/>
        <v>No</v>
      </c>
    </row>
    <row r="3855" spans="1:17" x14ac:dyDescent="0.45">
      <c r="A3855" t="s">
        <v>164</v>
      </c>
      <c r="B3855" t="s">
        <v>165</v>
      </c>
      <c r="C3855" t="s">
        <v>66</v>
      </c>
      <c r="D3855" t="s">
        <v>20</v>
      </c>
      <c r="E3855" t="s">
        <v>21</v>
      </c>
      <c r="F3855" s="1">
        <v>44228</v>
      </c>
      <c r="G3855">
        <v>5.26</v>
      </c>
      <c r="H3855">
        <v>82.621200000000002</v>
      </c>
      <c r="I3855">
        <v>26.22</v>
      </c>
      <c r="J3855">
        <v>65.47</v>
      </c>
      <c r="K3855" t="s">
        <v>22</v>
      </c>
      <c r="L3855">
        <v>464.59</v>
      </c>
      <c r="M3855">
        <f>VLOOKUP(K3855,RatingLookup!$A$2:$C$8,2,FALSE)</f>
        <v>5.0000000000000001E-3</v>
      </c>
      <c r="N3855">
        <f t="shared" si="180"/>
        <v>4.1762458919303302E-4</v>
      </c>
      <c r="O3855">
        <f>VLOOKUP(K3855,RatingLookup!$A$2:$C$8,3,FALSE)</f>
        <v>0.45</v>
      </c>
      <c r="P3855">
        <f t="shared" si="181"/>
        <v>8.7310893551936039E-2</v>
      </c>
      <c r="Q3855" t="str">
        <f t="shared" ca="1" si="182"/>
        <v>No</v>
      </c>
    </row>
    <row r="3856" spans="1:17" x14ac:dyDescent="0.45">
      <c r="A3856" t="s">
        <v>164</v>
      </c>
      <c r="B3856" t="s">
        <v>165</v>
      </c>
      <c r="C3856" t="s">
        <v>66</v>
      </c>
      <c r="D3856" t="s">
        <v>20</v>
      </c>
      <c r="E3856" t="s">
        <v>21</v>
      </c>
      <c r="F3856" s="1">
        <v>44256</v>
      </c>
      <c r="G3856">
        <v>6.21</v>
      </c>
      <c r="H3856">
        <v>84.285300000000007</v>
      </c>
      <c r="I3856">
        <v>17.2</v>
      </c>
      <c r="J3856">
        <v>83.81</v>
      </c>
      <c r="K3856" t="s">
        <v>22</v>
      </c>
      <c r="L3856">
        <v>414.25</v>
      </c>
      <c r="M3856">
        <f>VLOOKUP(K3856,RatingLookup!$A$2:$C$8,2,FALSE)</f>
        <v>5.0000000000000001E-3</v>
      </c>
      <c r="N3856">
        <f t="shared" si="180"/>
        <v>4.1762458919303302E-4</v>
      </c>
      <c r="O3856">
        <f>VLOOKUP(K3856,RatingLookup!$A$2:$C$8,3,FALSE)</f>
        <v>0.45</v>
      </c>
      <c r="P3856">
        <f t="shared" si="181"/>
        <v>7.7850443732946265E-2</v>
      </c>
      <c r="Q3856" t="str">
        <f t="shared" ca="1" si="182"/>
        <v>No</v>
      </c>
    </row>
    <row r="3857" spans="1:17" x14ac:dyDescent="0.45">
      <c r="A3857" t="s">
        <v>164</v>
      </c>
      <c r="B3857" t="s">
        <v>165</v>
      </c>
      <c r="C3857" t="s">
        <v>66</v>
      </c>
      <c r="D3857" t="s">
        <v>20</v>
      </c>
      <c r="E3857" t="s">
        <v>21</v>
      </c>
      <c r="F3857" s="1">
        <v>44287</v>
      </c>
      <c r="G3857">
        <v>4.07</v>
      </c>
      <c r="H3857">
        <v>81.225999999999999</v>
      </c>
      <c r="I3857">
        <v>24.02</v>
      </c>
      <c r="J3857">
        <v>72.53</v>
      </c>
      <c r="K3857" t="s">
        <v>22</v>
      </c>
      <c r="L3857">
        <v>474.27</v>
      </c>
      <c r="M3857">
        <f>VLOOKUP(K3857,RatingLookup!$A$2:$C$8,2,FALSE)</f>
        <v>5.0000000000000001E-3</v>
      </c>
      <c r="N3857">
        <f t="shared" si="180"/>
        <v>4.1762458919303302E-4</v>
      </c>
      <c r="O3857">
        <f>VLOOKUP(K3857,RatingLookup!$A$2:$C$8,3,FALSE)</f>
        <v>0.45</v>
      </c>
      <c r="P3857">
        <f t="shared" si="181"/>
        <v>8.9130066262460894E-2</v>
      </c>
      <c r="Q3857" t="str">
        <f t="shared" ca="1" si="182"/>
        <v>No</v>
      </c>
    </row>
    <row r="3858" spans="1:17" x14ac:dyDescent="0.45">
      <c r="A3858" t="s">
        <v>164</v>
      </c>
      <c r="B3858" t="s">
        <v>165</v>
      </c>
      <c r="C3858" t="s">
        <v>66</v>
      </c>
      <c r="D3858" t="s">
        <v>20</v>
      </c>
      <c r="E3858" t="s">
        <v>21</v>
      </c>
      <c r="F3858" s="1">
        <v>44317</v>
      </c>
      <c r="G3858">
        <v>5.82</v>
      </c>
      <c r="H3858">
        <v>84.818299999999994</v>
      </c>
      <c r="I3858">
        <v>24.73</v>
      </c>
      <c r="J3858">
        <v>73.95</v>
      </c>
      <c r="K3858" t="s">
        <v>22</v>
      </c>
      <c r="L3858">
        <v>456.14</v>
      </c>
      <c r="M3858">
        <f>VLOOKUP(K3858,RatingLookup!$A$2:$C$8,2,FALSE)</f>
        <v>5.0000000000000001E-3</v>
      </c>
      <c r="N3858">
        <f t="shared" si="180"/>
        <v>4.1762458919303302E-4</v>
      </c>
      <c r="O3858">
        <f>VLOOKUP(K3858,RatingLookup!$A$2:$C$8,3,FALSE)</f>
        <v>0.45</v>
      </c>
      <c r="P3858">
        <f t="shared" si="181"/>
        <v>8.5722876051529534E-2</v>
      </c>
      <c r="Q3858" t="str">
        <f t="shared" ca="1" si="182"/>
        <v>No</v>
      </c>
    </row>
    <row r="3859" spans="1:17" x14ac:dyDescent="0.45">
      <c r="A3859" t="s">
        <v>164</v>
      </c>
      <c r="B3859" t="s">
        <v>165</v>
      </c>
      <c r="C3859" t="s">
        <v>66</v>
      </c>
      <c r="D3859" t="s">
        <v>20</v>
      </c>
      <c r="E3859" t="s">
        <v>21</v>
      </c>
      <c r="F3859" s="1">
        <v>44348</v>
      </c>
      <c r="G3859">
        <v>5.49</v>
      </c>
      <c r="H3859">
        <v>79.959800000000001</v>
      </c>
      <c r="I3859">
        <v>21.18</v>
      </c>
      <c r="J3859">
        <v>73.87</v>
      </c>
      <c r="K3859" t="s">
        <v>22</v>
      </c>
      <c r="L3859">
        <v>458.28</v>
      </c>
      <c r="M3859">
        <f>VLOOKUP(K3859,RatingLookup!$A$2:$C$8,2,FALSE)</f>
        <v>5.0000000000000001E-3</v>
      </c>
      <c r="N3859">
        <f t="shared" si="180"/>
        <v>4.1762458919303302E-4</v>
      </c>
      <c r="O3859">
        <f>VLOOKUP(K3859,RatingLookup!$A$2:$C$8,3,FALSE)</f>
        <v>0.45</v>
      </c>
      <c r="P3859">
        <f t="shared" si="181"/>
        <v>8.6125048530922427E-2</v>
      </c>
      <c r="Q3859" t="str">
        <f t="shared" ca="1" si="182"/>
        <v>No</v>
      </c>
    </row>
    <row r="3860" spans="1:17" x14ac:dyDescent="0.45">
      <c r="A3860" t="s">
        <v>164</v>
      </c>
      <c r="B3860" t="s">
        <v>165</v>
      </c>
      <c r="C3860" t="s">
        <v>66</v>
      </c>
      <c r="D3860" t="s">
        <v>20</v>
      </c>
      <c r="E3860" t="s">
        <v>21</v>
      </c>
      <c r="F3860" s="1">
        <v>44378</v>
      </c>
      <c r="G3860">
        <v>4.7699999999999996</v>
      </c>
      <c r="H3860">
        <v>81.828599999999994</v>
      </c>
      <c r="I3860">
        <v>16.7</v>
      </c>
      <c r="J3860">
        <v>78.39</v>
      </c>
      <c r="K3860" t="s">
        <v>22</v>
      </c>
      <c r="L3860">
        <v>493.44</v>
      </c>
      <c r="M3860">
        <f>VLOOKUP(K3860,RatingLookup!$A$2:$C$8,2,FALSE)</f>
        <v>5.0000000000000001E-3</v>
      </c>
      <c r="N3860">
        <f t="shared" si="180"/>
        <v>4.1762458919303302E-4</v>
      </c>
      <c r="O3860">
        <f>VLOOKUP(K3860,RatingLookup!$A$2:$C$8,3,FALSE)</f>
        <v>0.45</v>
      </c>
      <c r="P3860">
        <f t="shared" si="181"/>
        <v>9.2732704781134601E-2</v>
      </c>
      <c r="Q3860" t="str">
        <f t="shared" ca="1" si="182"/>
        <v>No</v>
      </c>
    </row>
    <row r="3861" spans="1:17" x14ac:dyDescent="0.45">
      <c r="A3861" t="s">
        <v>164</v>
      </c>
      <c r="B3861" t="s">
        <v>165</v>
      </c>
      <c r="C3861" t="s">
        <v>66</v>
      </c>
      <c r="D3861" t="s">
        <v>20</v>
      </c>
      <c r="E3861" t="s">
        <v>21</v>
      </c>
      <c r="F3861" s="1">
        <v>44409</v>
      </c>
      <c r="G3861">
        <v>5.1100000000000003</v>
      </c>
      <c r="H3861">
        <v>80.265100000000004</v>
      </c>
      <c r="I3861">
        <v>19.260000000000002</v>
      </c>
      <c r="J3861">
        <v>78.290000000000006</v>
      </c>
      <c r="K3861" t="s">
        <v>22</v>
      </c>
      <c r="L3861">
        <v>432.23</v>
      </c>
      <c r="M3861">
        <f>VLOOKUP(K3861,RatingLookup!$A$2:$C$8,2,FALSE)</f>
        <v>5.0000000000000001E-3</v>
      </c>
      <c r="N3861">
        <f t="shared" si="180"/>
        <v>4.1762458919303302E-4</v>
      </c>
      <c r="O3861">
        <f>VLOOKUP(K3861,RatingLookup!$A$2:$C$8,3,FALSE)</f>
        <v>0.45</v>
      </c>
      <c r="P3861">
        <f t="shared" si="181"/>
        <v>8.1229444284107111E-2</v>
      </c>
      <c r="Q3861" t="str">
        <f t="shared" ca="1" si="182"/>
        <v>No</v>
      </c>
    </row>
    <row r="3862" spans="1:17" x14ac:dyDescent="0.45">
      <c r="A3862" t="s">
        <v>164</v>
      </c>
      <c r="B3862" t="s">
        <v>165</v>
      </c>
      <c r="C3862" t="s">
        <v>66</v>
      </c>
      <c r="D3862" t="s">
        <v>20</v>
      </c>
      <c r="E3862" t="s">
        <v>21</v>
      </c>
      <c r="F3862" s="1">
        <v>44440</v>
      </c>
      <c r="G3862">
        <v>5.85</v>
      </c>
      <c r="H3862">
        <v>85.206800000000001</v>
      </c>
      <c r="I3862">
        <v>14.39</v>
      </c>
      <c r="J3862">
        <v>74.099999999999994</v>
      </c>
      <c r="K3862" t="s">
        <v>22</v>
      </c>
      <c r="L3862">
        <v>423.61</v>
      </c>
      <c r="M3862">
        <f>VLOOKUP(K3862,RatingLookup!$A$2:$C$8,2,FALSE)</f>
        <v>5.0000000000000001E-3</v>
      </c>
      <c r="N3862">
        <f t="shared" si="180"/>
        <v>4.1762458919303302E-4</v>
      </c>
      <c r="O3862">
        <f>VLOOKUP(K3862,RatingLookup!$A$2:$C$8,3,FALSE)</f>
        <v>0.45</v>
      </c>
      <c r="P3862">
        <f t="shared" si="181"/>
        <v>7.9609478502627326E-2</v>
      </c>
      <c r="Q3862" t="str">
        <f t="shared" ca="1" si="182"/>
        <v>No</v>
      </c>
    </row>
    <row r="3863" spans="1:17" x14ac:dyDescent="0.45">
      <c r="A3863" t="s">
        <v>164</v>
      </c>
      <c r="B3863" t="s">
        <v>165</v>
      </c>
      <c r="C3863" t="s">
        <v>66</v>
      </c>
      <c r="D3863" t="s">
        <v>20</v>
      </c>
      <c r="E3863" t="s">
        <v>21</v>
      </c>
      <c r="F3863" s="1">
        <v>44470</v>
      </c>
      <c r="G3863">
        <v>6.13</v>
      </c>
      <c r="H3863">
        <v>80.313999999999993</v>
      </c>
      <c r="I3863">
        <v>16.03</v>
      </c>
      <c r="J3863">
        <v>90.02</v>
      </c>
      <c r="K3863" t="s">
        <v>22</v>
      </c>
      <c r="L3863">
        <v>461.7</v>
      </c>
      <c r="M3863">
        <f>VLOOKUP(K3863,RatingLookup!$A$2:$C$8,2,FALSE)</f>
        <v>5.0000000000000001E-3</v>
      </c>
      <c r="N3863">
        <f t="shared" si="180"/>
        <v>4.1762458919303302E-4</v>
      </c>
      <c r="O3863">
        <f>VLOOKUP(K3863,RatingLookup!$A$2:$C$8,3,FALSE)</f>
        <v>0.45</v>
      </c>
      <c r="P3863">
        <f t="shared" si="181"/>
        <v>8.6767772773690507E-2</v>
      </c>
      <c r="Q3863" t="str">
        <f t="shared" ca="1" si="182"/>
        <v>No</v>
      </c>
    </row>
    <row r="3864" spans="1:17" x14ac:dyDescent="0.45">
      <c r="A3864" t="s">
        <v>164</v>
      </c>
      <c r="B3864" t="s">
        <v>165</v>
      </c>
      <c r="C3864" t="s">
        <v>66</v>
      </c>
      <c r="D3864" t="s">
        <v>20</v>
      </c>
      <c r="E3864" t="s">
        <v>21</v>
      </c>
      <c r="F3864" s="1">
        <v>44501</v>
      </c>
      <c r="G3864">
        <v>6.32</v>
      </c>
      <c r="H3864">
        <v>81.507199999999997</v>
      </c>
      <c r="I3864">
        <v>17.63</v>
      </c>
      <c r="J3864">
        <v>88.94</v>
      </c>
      <c r="K3864" t="s">
        <v>22</v>
      </c>
      <c r="L3864">
        <v>492.3</v>
      </c>
      <c r="M3864">
        <f>VLOOKUP(K3864,RatingLookup!$A$2:$C$8,2,FALSE)</f>
        <v>5.0000000000000001E-3</v>
      </c>
      <c r="N3864">
        <f t="shared" si="180"/>
        <v>4.1762458919303302E-4</v>
      </c>
      <c r="O3864">
        <f>VLOOKUP(K3864,RatingLookup!$A$2:$C$8,3,FALSE)</f>
        <v>0.45</v>
      </c>
      <c r="P3864">
        <f t="shared" si="181"/>
        <v>9.2518463366878564E-2</v>
      </c>
      <c r="Q3864" t="str">
        <f t="shared" ca="1" si="182"/>
        <v>No</v>
      </c>
    </row>
    <row r="3865" spans="1:17" x14ac:dyDescent="0.45">
      <c r="A3865" t="s">
        <v>164</v>
      </c>
      <c r="B3865" t="s">
        <v>165</v>
      </c>
      <c r="C3865" t="s">
        <v>66</v>
      </c>
      <c r="D3865" t="s">
        <v>20</v>
      </c>
      <c r="E3865" t="s">
        <v>21</v>
      </c>
      <c r="F3865" s="1">
        <v>44531</v>
      </c>
      <c r="G3865">
        <v>4.87</v>
      </c>
      <c r="H3865">
        <v>82.457599999999999</v>
      </c>
      <c r="I3865">
        <v>22.09</v>
      </c>
      <c r="J3865">
        <v>80.989999999999995</v>
      </c>
      <c r="K3865" t="s">
        <v>30</v>
      </c>
      <c r="L3865">
        <v>482.73</v>
      </c>
      <c r="M3865">
        <f>VLOOKUP(K3865,RatingLookup!$A$2:$C$8,2,FALSE)</f>
        <v>1.4999999999999999E-2</v>
      </c>
      <c r="N3865">
        <f t="shared" si="180"/>
        <v>1.2586770182638762E-3</v>
      </c>
      <c r="O3865">
        <f>VLOOKUP(K3865,RatingLookup!$A$2:$C$8,3,FALSE)</f>
        <v>0.5</v>
      </c>
      <c r="P3865">
        <f t="shared" si="181"/>
        <v>0.30380057851326048</v>
      </c>
      <c r="Q3865" t="str">
        <f t="shared" ca="1" si="182"/>
        <v>No</v>
      </c>
    </row>
    <row r="3866" spans="1:17" x14ac:dyDescent="0.45">
      <c r="A3866" t="s">
        <v>164</v>
      </c>
      <c r="B3866" t="s">
        <v>165</v>
      </c>
      <c r="C3866" t="s">
        <v>66</v>
      </c>
      <c r="D3866" t="s">
        <v>20</v>
      </c>
      <c r="E3866" t="s">
        <v>21</v>
      </c>
      <c r="F3866" s="1">
        <v>44562</v>
      </c>
      <c r="G3866">
        <v>5.88</v>
      </c>
      <c r="H3866">
        <v>82.270600000000002</v>
      </c>
      <c r="I3866">
        <v>18.29</v>
      </c>
      <c r="J3866">
        <v>78.180000000000007</v>
      </c>
      <c r="K3866" t="s">
        <v>30</v>
      </c>
      <c r="L3866">
        <v>438.53</v>
      </c>
      <c r="M3866">
        <f>VLOOKUP(K3866,RatingLookup!$A$2:$C$8,2,FALSE)</f>
        <v>1.4999999999999999E-2</v>
      </c>
      <c r="N3866">
        <f t="shared" si="180"/>
        <v>1.2586770182638762E-3</v>
      </c>
      <c r="O3866">
        <f>VLOOKUP(K3866,RatingLookup!$A$2:$C$8,3,FALSE)</f>
        <v>0.5</v>
      </c>
      <c r="P3866">
        <f t="shared" si="181"/>
        <v>0.27598381640962882</v>
      </c>
      <c r="Q3866" t="str">
        <f t="shared" ca="1" si="182"/>
        <v>No</v>
      </c>
    </row>
    <row r="3867" spans="1:17" x14ac:dyDescent="0.45">
      <c r="A3867" t="s">
        <v>164</v>
      </c>
      <c r="B3867" t="s">
        <v>165</v>
      </c>
      <c r="C3867" t="s">
        <v>66</v>
      </c>
      <c r="D3867" t="s">
        <v>20</v>
      </c>
      <c r="E3867" t="s">
        <v>21</v>
      </c>
      <c r="F3867" s="1">
        <v>44593</v>
      </c>
      <c r="G3867">
        <v>4.57</v>
      </c>
      <c r="H3867">
        <v>82.436000000000007</v>
      </c>
      <c r="I3867">
        <v>20.63</v>
      </c>
      <c r="J3867">
        <v>84.06</v>
      </c>
      <c r="K3867" t="s">
        <v>30</v>
      </c>
      <c r="L3867">
        <v>478.08</v>
      </c>
      <c r="M3867">
        <f>VLOOKUP(K3867,RatingLookup!$A$2:$C$8,2,FALSE)</f>
        <v>1.4999999999999999E-2</v>
      </c>
      <c r="N3867">
        <f t="shared" si="180"/>
        <v>1.2586770182638762E-3</v>
      </c>
      <c r="O3867">
        <f>VLOOKUP(K3867,RatingLookup!$A$2:$C$8,3,FALSE)</f>
        <v>0.5</v>
      </c>
      <c r="P3867">
        <f t="shared" si="181"/>
        <v>0.30087415444579696</v>
      </c>
      <c r="Q3867" t="str">
        <f t="shared" ca="1" si="182"/>
        <v>No</v>
      </c>
    </row>
    <row r="3868" spans="1:17" x14ac:dyDescent="0.45">
      <c r="A3868" t="s">
        <v>164</v>
      </c>
      <c r="B3868" t="s">
        <v>165</v>
      </c>
      <c r="C3868" t="s">
        <v>66</v>
      </c>
      <c r="D3868" t="s">
        <v>20</v>
      </c>
      <c r="E3868" t="s">
        <v>21</v>
      </c>
      <c r="F3868" s="1">
        <v>44621</v>
      </c>
      <c r="G3868">
        <v>6.49</v>
      </c>
      <c r="H3868">
        <v>83.328400000000002</v>
      </c>
      <c r="I3868">
        <v>24.13</v>
      </c>
      <c r="J3868">
        <v>83.45</v>
      </c>
      <c r="K3868" t="s">
        <v>30</v>
      </c>
      <c r="L3868">
        <v>445.32</v>
      </c>
      <c r="M3868">
        <f>VLOOKUP(K3868,RatingLookup!$A$2:$C$8,2,FALSE)</f>
        <v>1.4999999999999999E-2</v>
      </c>
      <c r="N3868">
        <f t="shared" si="180"/>
        <v>1.2586770182638762E-3</v>
      </c>
      <c r="O3868">
        <f>VLOOKUP(K3868,RatingLookup!$A$2:$C$8,3,FALSE)</f>
        <v>0.5</v>
      </c>
      <c r="P3868">
        <f t="shared" si="181"/>
        <v>0.28025702488663468</v>
      </c>
      <c r="Q3868" t="str">
        <f t="shared" ca="1" si="182"/>
        <v>No</v>
      </c>
    </row>
    <row r="3869" spans="1:17" x14ac:dyDescent="0.45">
      <c r="A3869" t="s">
        <v>164</v>
      </c>
      <c r="B3869" t="s">
        <v>165</v>
      </c>
      <c r="C3869" t="s">
        <v>66</v>
      </c>
      <c r="D3869" t="s">
        <v>20</v>
      </c>
      <c r="E3869" t="s">
        <v>21</v>
      </c>
      <c r="F3869" s="1">
        <v>44652</v>
      </c>
      <c r="G3869">
        <v>5.09</v>
      </c>
      <c r="H3869">
        <v>80.133700000000005</v>
      </c>
      <c r="I3869">
        <v>11.02</v>
      </c>
      <c r="J3869">
        <v>81.99</v>
      </c>
      <c r="K3869" t="s">
        <v>30</v>
      </c>
      <c r="L3869">
        <v>513.02</v>
      </c>
      <c r="M3869">
        <f>VLOOKUP(K3869,RatingLookup!$A$2:$C$8,2,FALSE)</f>
        <v>1.4999999999999999E-2</v>
      </c>
      <c r="N3869">
        <f t="shared" si="180"/>
        <v>1.2586770182638762E-3</v>
      </c>
      <c r="O3869">
        <f>VLOOKUP(K3869,RatingLookup!$A$2:$C$8,3,FALSE)</f>
        <v>0.5</v>
      </c>
      <c r="P3869">
        <f t="shared" si="181"/>
        <v>0.32286324195486688</v>
      </c>
      <c r="Q3869" t="str">
        <f t="shared" ca="1" si="182"/>
        <v>No</v>
      </c>
    </row>
    <row r="3870" spans="1:17" x14ac:dyDescent="0.45">
      <c r="A3870" t="s">
        <v>164</v>
      </c>
      <c r="B3870" t="s">
        <v>165</v>
      </c>
      <c r="C3870" t="s">
        <v>66</v>
      </c>
      <c r="D3870" t="s">
        <v>20</v>
      </c>
      <c r="E3870" t="s">
        <v>21</v>
      </c>
      <c r="F3870" s="1">
        <v>44682</v>
      </c>
      <c r="G3870">
        <v>5.95</v>
      </c>
      <c r="H3870">
        <v>81.506100000000004</v>
      </c>
      <c r="I3870">
        <v>10.62</v>
      </c>
      <c r="J3870">
        <v>74.430000000000007</v>
      </c>
      <c r="K3870" t="s">
        <v>30</v>
      </c>
      <c r="L3870">
        <v>452.81</v>
      </c>
      <c r="M3870">
        <f>VLOOKUP(K3870,RatingLookup!$A$2:$C$8,2,FALSE)</f>
        <v>1.4999999999999999E-2</v>
      </c>
      <c r="N3870">
        <f t="shared" si="180"/>
        <v>1.2586770182638762E-3</v>
      </c>
      <c r="O3870">
        <f>VLOOKUP(K3870,RatingLookup!$A$2:$C$8,3,FALSE)</f>
        <v>0.5</v>
      </c>
      <c r="P3870">
        <f t="shared" si="181"/>
        <v>0.28497077032003287</v>
      </c>
      <c r="Q3870" t="str">
        <f t="shared" ca="1" si="182"/>
        <v>No</v>
      </c>
    </row>
    <row r="3871" spans="1:17" x14ac:dyDescent="0.45">
      <c r="A3871" t="s">
        <v>164</v>
      </c>
      <c r="B3871" t="s">
        <v>165</v>
      </c>
      <c r="C3871" t="s">
        <v>66</v>
      </c>
      <c r="D3871" t="s">
        <v>20</v>
      </c>
      <c r="E3871" t="s">
        <v>21</v>
      </c>
      <c r="F3871" s="1">
        <v>44713</v>
      </c>
      <c r="G3871">
        <v>6.22</v>
      </c>
      <c r="H3871">
        <v>82.496399999999994</v>
      </c>
      <c r="I3871">
        <v>21.47</v>
      </c>
      <c r="J3871">
        <v>82.78</v>
      </c>
      <c r="K3871" t="s">
        <v>30</v>
      </c>
      <c r="L3871">
        <v>457.31</v>
      </c>
      <c r="M3871">
        <f>VLOOKUP(K3871,RatingLookup!$A$2:$C$8,2,FALSE)</f>
        <v>1.4999999999999999E-2</v>
      </c>
      <c r="N3871">
        <f t="shared" si="180"/>
        <v>1.2586770182638762E-3</v>
      </c>
      <c r="O3871">
        <f>VLOOKUP(K3871,RatingLookup!$A$2:$C$8,3,FALSE)</f>
        <v>0.5</v>
      </c>
      <c r="P3871">
        <f t="shared" si="181"/>
        <v>0.28780279361112659</v>
      </c>
      <c r="Q3871" t="str">
        <f t="shared" ca="1" si="182"/>
        <v>No</v>
      </c>
    </row>
    <row r="3872" spans="1:17" x14ac:dyDescent="0.45">
      <c r="A3872" t="s">
        <v>164</v>
      </c>
      <c r="B3872" t="s">
        <v>165</v>
      </c>
      <c r="C3872" t="s">
        <v>66</v>
      </c>
      <c r="D3872" t="s">
        <v>20</v>
      </c>
      <c r="E3872" t="s">
        <v>21</v>
      </c>
      <c r="F3872" s="1">
        <v>44743</v>
      </c>
      <c r="G3872">
        <v>5.45</v>
      </c>
      <c r="H3872">
        <v>81.935699999999997</v>
      </c>
      <c r="I3872">
        <v>22.74</v>
      </c>
      <c r="J3872">
        <v>65</v>
      </c>
      <c r="K3872" t="s">
        <v>30</v>
      </c>
      <c r="L3872">
        <v>423.91</v>
      </c>
      <c r="M3872">
        <f>VLOOKUP(K3872,RatingLookup!$A$2:$C$8,2,FALSE)</f>
        <v>1.4999999999999999E-2</v>
      </c>
      <c r="N3872">
        <f t="shared" si="180"/>
        <v>1.2586770182638762E-3</v>
      </c>
      <c r="O3872">
        <f>VLOOKUP(K3872,RatingLookup!$A$2:$C$8,3,FALSE)</f>
        <v>0.5</v>
      </c>
      <c r="P3872">
        <f t="shared" si="181"/>
        <v>0.26678288740611988</v>
      </c>
      <c r="Q3872" t="str">
        <f t="shared" ca="1" si="182"/>
        <v>No</v>
      </c>
    </row>
    <row r="3873" spans="1:17" x14ac:dyDescent="0.45">
      <c r="A3873" t="s">
        <v>164</v>
      </c>
      <c r="B3873" t="s">
        <v>165</v>
      </c>
      <c r="C3873" t="s">
        <v>66</v>
      </c>
      <c r="D3873" t="s">
        <v>20</v>
      </c>
      <c r="E3873" t="s">
        <v>21</v>
      </c>
      <c r="F3873" s="1">
        <v>44774</v>
      </c>
      <c r="G3873">
        <v>5.67</v>
      </c>
      <c r="H3873">
        <v>83.110699999999994</v>
      </c>
      <c r="I3873">
        <v>23.57</v>
      </c>
      <c r="J3873">
        <v>91.28</v>
      </c>
      <c r="K3873" t="s">
        <v>30</v>
      </c>
      <c r="L3873">
        <v>475.13</v>
      </c>
      <c r="M3873">
        <f>VLOOKUP(K3873,RatingLookup!$A$2:$C$8,2,FALSE)</f>
        <v>1.4999999999999999E-2</v>
      </c>
      <c r="N3873">
        <f t="shared" si="180"/>
        <v>1.2586770182638762E-3</v>
      </c>
      <c r="O3873">
        <f>VLOOKUP(K3873,RatingLookup!$A$2:$C$8,3,FALSE)</f>
        <v>0.5</v>
      </c>
      <c r="P3873">
        <f t="shared" si="181"/>
        <v>0.29901760584385778</v>
      </c>
      <c r="Q3873" t="str">
        <f t="shared" ca="1" si="182"/>
        <v>No</v>
      </c>
    </row>
    <row r="3874" spans="1:17" x14ac:dyDescent="0.45">
      <c r="A3874" t="s">
        <v>164</v>
      </c>
      <c r="B3874" t="s">
        <v>165</v>
      </c>
      <c r="C3874" t="s">
        <v>66</v>
      </c>
      <c r="D3874" t="s">
        <v>20</v>
      </c>
      <c r="E3874" t="s">
        <v>21</v>
      </c>
      <c r="F3874" s="1">
        <v>44805</v>
      </c>
      <c r="G3874">
        <v>5.32</v>
      </c>
      <c r="H3874">
        <v>86.263499999999993</v>
      </c>
      <c r="I3874">
        <v>24.23</v>
      </c>
      <c r="J3874">
        <v>76.010000000000005</v>
      </c>
      <c r="K3874" t="s">
        <v>30</v>
      </c>
      <c r="L3874">
        <v>506.03</v>
      </c>
      <c r="M3874">
        <f>VLOOKUP(K3874,RatingLookup!$A$2:$C$8,2,FALSE)</f>
        <v>1.4999999999999999E-2</v>
      </c>
      <c r="N3874">
        <f t="shared" si="180"/>
        <v>1.2586770182638762E-3</v>
      </c>
      <c r="O3874">
        <f>VLOOKUP(K3874,RatingLookup!$A$2:$C$8,3,FALSE)</f>
        <v>0.5</v>
      </c>
      <c r="P3874">
        <f t="shared" si="181"/>
        <v>0.31846416577603465</v>
      </c>
      <c r="Q3874" t="str">
        <f t="shared" ca="1" si="182"/>
        <v>No</v>
      </c>
    </row>
    <row r="3875" spans="1:17" x14ac:dyDescent="0.45">
      <c r="A3875" t="s">
        <v>164</v>
      </c>
      <c r="B3875" t="s">
        <v>165</v>
      </c>
      <c r="C3875" t="s">
        <v>66</v>
      </c>
      <c r="D3875" t="s">
        <v>20</v>
      </c>
      <c r="E3875" t="s">
        <v>21</v>
      </c>
      <c r="F3875" s="1">
        <v>44835</v>
      </c>
      <c r="G3875">
        <v>5.77</v>
      </c>
      <c r="H3875">
        <v>83.666399999999996</v>
      </c>
      <c r="I3875">
        <v>19.48</v>
      </c>
      <c r="J3875">
        <v>95.71</v>
      </c>
      <c r="K3875" t="s">
        <v>30</v>
      </c>
      <c r="L3875">
        <v>473.03</v>
      </c>
      <c r="M3875">
        <f>VLOOKUP(K3875,RatingLookup!$A$2:$C$8,2,FALSE)</f>
        <v>1.4999999999999999E-2</v>
      </c>
      <c r="N3875">
        <f t="shared" si="180"/>
        <v>1.2586770182638762E-3</v>
      </c>
      <c r="O3875">
        <f>VLOOKUP(K3875,RatingLookup!$A$2:$C$8,3,FALSE)</f>
        <v>0.5</v>
      </c>
      <c r="P3875">
        <f t="shared" si="181"/>
        <v>0.29769599497468069</v>
      </c>
      <c r="Q3875" t="str">
        <f t="shared" ca="1" si="182"/>
        <v>No</v>
      </c>
    </row>
    <row r="3876" spans="1:17" x14ac:dyDescent="0.45">
      <c r="A3876" t="s">
        <v>164</v>
      </c>
      <c r="B3876" t="s">
        <v>165</v>
      </c>
      <c r="C3876" t="s">
        <v>66</v>
      </c>
      <c r="D3876" t="s">
        <v>20</v>
      </c>
      <c r="E3876" t="s">
        <v>21</v>
      </c>
      <c r="F3876" s="1">
        <v>44866</v>
      </c>
      <c r="G3876">
        <v>5.33</v>
      </c>
      <c r="H3876">
        <v>79.323400000000007</v>
      </c>
      <c r="I3876">
        <v>22.67</v>
      </c>
      <c r="J3876">
        <v>42.32</v>
      </c>
      <c r="K3876" t="s">
        <v>30</v>
      </c>
      <c r="L3876">
        <v>484.62</v>
      </c>
      <c r="M3876">
        <f>VLOOKUP(K3876,RatingLookup!$A$2:$C$8,2,FALSE)</f>
        <v>1.4999999999999999E-2</v>
      </c>
      <c r="N3876">
        <f t="shared" si="180"/>
        <v>1.2586770182638762E-3</v>
      </c>
      <c r="O3876">
        <f>VLOOKUP(K3876,RatingLookup!$A$2:$C$8,3,FALSE)</f>
        <v>0.5</v>
      </c>
      <c r="P3876">
        <f t="shared" si="181"/>
        <v>0.30499002829551985</v>
      </c>
      <c r="Q3876" t="str">
        <f t="shared" ca="1" si="182"/>
        <v>No</v>
      </c>
    </row>
    <row r="3877" spans="1:17" x14ac:dyDescent="0.45">
      <c r="A3877" t="s">
        <v>164</v>
      </c>
      <c r="B3877" t="s">
        <v>165</v>
      </c>
      <c r="C3877" t="s">
        <v>66</v>
      </c>
      <c r="D3877" t="s">
        <v>20</v>
      </c>
      <c r="E3877" t="s">
        <v>21</v>
      </c>
      <c r="F3877" s="1">
        <v>44896</v>
      </c>
      <c r="G3877">
        <v>4.08</v>
      </c>
      <c r="H3877">
        <v>84.530299999999997</v>
      </c>
      <c r="I3877">
        <v>23.55</v>
      </c>
      <c r="J3877">
        <v>67.95</v>
      </c>
      <c r="K3877" t="s">
        <v>30</v>
      </c>
      <c r="L3877">
        <v>483.35</v>
      </c>
      <c r="M3877">
        <f>VLOOKUP(K3877,RatingLookup!$A$2:$C$8,2,FALSE)</f>
        <v>1.4999999999999999E-2</v>
      </c>
      <c r="N3877">
        <f t="shared" si="180"/>
        <v>1.2586770182638762E-3</v>
      </c>
      <c r="O3877">
        <f>VLOOKUP(K3877,RatingLookup!$A$2:$C$8,3,FALSE)</f>
        <v>0.5</v>
      </c>
      <c r="P3877">
        <f t="shared" si="181"/>
        <v>0.30419076838892228</v>
      </c>
      <c r="Q3877" t="str">
        <f t="shared" ca="1" si="182"/>
        <v>No</v>
      </c>
    </row>
    <row r="3878" spans="1:17" x14ac:dyDescent="0.45">
      <c r="A3878" t="s">
        <v>164</v>
      </c>
      <c r="B3878" t="s">
        <v>165</v>
      </c>
      <c r="C3878" t="s">
        <v>66</v>
      </c>
      <c r="D3878" t="s">
        <v>20</v>
      </c>
      <c r="E3878" t="s">
        <v>21</v>
      </c>
      <c r="F3878" s="1">
        <v>44927</v>
      </c>
      <c r="G3878">
        <v>5.43</v>
      </c>
      <c r="H3878">
        <v>81.6678</v>
      </c>
      <c r="I3878">
        <v>12.5</v>
      </c>
      <c r="J3878">
        <v>81.819999999999993</v>
      </c>
      <c r="K3878" t="s">
        <v>30</v>
      </c>
      <c r="L3878">
        <v>493.23</v>
      </c>
      <c r="M3878">
        <f>VLOOKUP(K3878,RatingLookup!$A$2:$C$8,2,FALSE)</f>
        <v>1.4999999999999999E-2</v>
      </c>
      <c r="N3878">
        <f t="shared" si="180"/>
        <v>1.2586770182638762E-3</v>
      </c>
      <c r="O3878">
        <f>VLOOKUP(K3878,RatingLookup!$A$2:$C$8,3,FALSE)</f>
        <v>0.5</v>
      </c>
      <c r="P3878">
        <f t="shared" si="181"/>
        <v>0.31040863285914583</v>
      </c>
      <c r="Q3878" t="str">
        <f t="shared" ca="1" si="182"/>
        <v>No</v>
      </c>
    </row>
    <row r="3879" spans="1:17" x14ac:dyDescent="0.45">
      <c r="A3879" t="s">
        <v>164</v>
      </c>
      <c r="B3879" t="s">
        <v>165</v>
      </c>
      <c r="C3879" t="s">
        <v>66</v>
      </c>
      <c r="D3879" t="s">
        <v>20</v>
      </c>
      <c r="E3879" t="s">
        <v>21</v>
      </c>
      <c r="F3879" s="1">
        <v>44958</v>
      </c>
      <c r="G3879">
        <v>4.9800000000000004</v>
      </c>
      <c r="H3879">
        <v>82.362300000000005</v>
      </c>
      <c r="I3879">
        <v>18.399999999999999</v>
      </c>
      <c r="J3879">
        <v>81.59</v>
      </c>
      <c r="K3879" t="s">
        <v>30</v>
      </c>
      <c r="L3879">
        <v>509.91</v>
      </c>
      <c r="M3879">
        <f>VLOOKUP(K3879,RatingLookup!$A$2:$C$8,2,FALSE)</f>
        <v>1.4999999999999999E-2</v>
      </c>
      <c r="N3879">
        <f t="shared" si="180"/>
        <v>1.2586770182638762E-3</v>
      </c>
      <c r="O3879">
        <f>VLOOKUP(K3879,RatingLookup!$A$2:$C$8,3,FALSE)</f>
        <v>0.5</v>
      </c>
      <c r="P3879">
        <f t="shared" si="181"/>
        <v>0.32090599919146656</v>
      </c>
      <c r="Q3879" t="str">
        <f t="shared" ca="1" si="182"/>
        <v>No</v>
      </c>
    </row>
    <row r="3880" spans="1:17" x14ac:dyDescent="0.45">
      <c r="A3880" t="s">
        <v>164</v>
      </c>
      <c r="B3880" t="s">
        <v>165</v>
      </c>
      <c r="C3880" t="s">
        <v>66</v>
      </c>
      <c r="D3880" t="s">
        <v>20</v>
      </c>
      <c r="E3880" t="s">
        <v>21</v>
      </c>
      <c r="F3880" s="1">
        <v>44986</v>
      </c>
      <c r="G3880">
        <v>5.49</v>
      </c>
      <c r="H3880">
        <v>80.102400000000003</v>
      </c>
      <c r="I3880">
        <v>13.38</v>
      </c>
      <c r="J3880">
        <v>83.12</v>
      </c>
      <c r="K3880" t="s">
        <v>30</v>
      </c>
      <c r="L3880">
        <v>412.25</v>
      </c>
      <c r="M3880">
        <f>VLOOKUP(K3880,RatingLookup!$A$2:$C$8,2,FALSE)</f>
        <v>1.4999999999999999E-2</v>
      </c>
      <c r="N3880">
        <f t="shared" si="180"/>
        <v>1.2586770182638762E-3</v>
      </c>
      <c r="O3880">
        <f>VLOOKUP(K3880,RatingLookup!$A$2:$C$8,3,FALSE)</f>
        <v>0.5</v>
      </c>
      <c r="P3880">
        <f t="shared" si="181"/>
        <v>0.25944480038964146</v>
      </c>
      <c r="Q3880" t="str">
        <f t="shared" ca="1" si="182"/>
        <v>No</v>
      </c>
    </row>
    <row r="3881" spans="1:17" x14ac:dyDescent="0.45">
      <c r="A3881" t="s">
        <v>164</v>
      </c>
      <c r="B3881" t="s">
        <v>165</v>
      </c>
      <c r="C3881" t="s">
        <v>66</v>
      </c>
      <c r="D3881" t="s">
        <v>20</v>
      </c>
      <c r="E3881" t="s">
        <v>21</v>
      </c>
      <c r="F3881" s="1">
        <v>45017</v>
      </c>
      <c r="G3881">
        <v>5.37</v>
      </c>
      <c r="H3881">
        <v>83.762200000000007</v>
      </c>
      <c r="I3881">
        <v>24.48</v>
      </c>
      <c r="J3881">
        <v>77.09</v>
      </c>
      <c r="K3881" t="s">
        <v>30</v>
      </c>
      <c r="L3881">
        <v>508.49</v>
      </c>
      <c r="M3881">
        <f>VLOOKUP(K3881,RatingLookup!$A$2:$C$8,2,FALSE)</f>
        <v>1.4999999999999999E-2</v>
      </c>
      <c r="N3881">
        <f t="shared" si="180"/>
        <v>1.2586770182638762E-3</v>
      </c>
      <c r="O3881">
        <f>VLOOKUP(K3881,RatingLookup!$A$2:$C$8,3,FALSE)</f>
        <v>0.5</v>
      </c>
      <c r="P3881">
        <f t="shared" si="181"/>
        <v>0.32001233850849919</v>
      </c>
      <c r="Q3881" t="str">
        <f t="shared" ca="1" si="182"/>
        <v>No</v>
      </c>
    </row>
    <row r="3882" spans="1:17" x14ac:dyDescent="0.45">
      <c r="A3882" t="s">
        <v>164</v>
      </c>
      <c r="B3882" t="s">
        <v>165</v>
      </c>
      <c r="C3882" t="s">
        <v>66</v>
      </c>
      <c r="D3882" t="s">
        <v>20</v>
      </c>
      <c r="E3882" t="s">
        <v>21</v>
      </c>
      <c r="F3882" s="1">
        <v>45047</v>
      </c>
      <c r="G3882">
        <v>5.62</v>
      </c>
      <c r="H3882">
        <v>82.869699999999995</v>
      </c>
      <c r="I3882">
        <v>22.17</v>
      </c>
      <c r="J3882">
        <v>84.17</v>
      </c>
      <c r="K3882" t="s">
        <v>30</v>
      </c>
      <c r="L3882">
        <v>450.87</v>
      </c>
      <c r="M3882">
        <f>VLOOKUP(K3882,RatingLookup!$A$2:$C$8,2,FALSE)</f>
        <v>1.4999999999999999E-2</v>
      </c>
      <c r="N3882">
        <f t="shared" si="180"/>
        <v>1.2586770182638762E-3</v>
      </c>
      <c r="O3882">
        <f>VLOOKUP(K3882,RatingLookup!$A$2:$C$8,3,FALSE)</f>
        <v>0.5</v>
      </c>
      <c r="P3882">
        <f t="shared" si="181"/>
        <v>0.28374985361231692</v>
      </c>
      <c r="Q3882" t="str">
        <f t="shared" ca="1" si="182"/>
        <v>No</v>
      </c>
    </row>
    <row r="3883" spans="1:17" x14ac:dyDescent="0.45">
      <c r="A3883" t="s">
        <v>164</v>
      </c>
      <c r="B3883" t="s">
        <v>165</v>
      </c>
      <c r="C3883" t="s">
        <v>66</v>
      </c>
      <c r="D3883" t="s">
        <v>20</v>
      </c>
      <c r="E3883" t="s">
        <v>21</v>
      </c>
      <c r="F3883" s="1">
        <v>45078</v>
      </c>
      <c r="G3883">
        <v>5.0999999999999996</v>
      </c>
      <c r="H3883">
        <v>82.277000000000001</v>
      </c>
      <c r="I3883">
        <v>29.39</v>
      </c>
      <c r="J3883">
        <v>87.22</v>
      </c>
      <c r="K3883" t="s">
        <v>30</v>
      </c>
      <c r="L3883">
        <v>512.30999999999995</v>
      </c>
      <c r="M3883">
        <f>VLOOKUP(K3883,RatingLookup!$A$2:$C$8,2,FALSE)</f>
        <v>1.4999999999999999E-2</v>
      </c>
      <c r="N3883">
        <f t="shared" si="180"/>
        <v>1.2586770182638762E-3</v>
      </c>
      <c r="O3883">
        <f>VLOOKUP(K3883,RatingLookup!$A$2:$C$8,3,FALSE)</f>
        <v>0.5</v>
      </c>
      <c r="P3883">
        <f t="shared" si="181"/>
        <v>0.32241641161338319</v>
      </c>
      <c r="Q3883" t="str">
        <f t="shared" ca="1" si="182"/>
        <v>No</v>
      </c>
    </row>
    <row r="3884" spans="1:17" x14ac:dyDescent="0.45">
      <c r="A3884" t="s">
        <v>164</v>
      </c>
      <c r="B3884" t="s">
        <v>165</v>
      </c>
      <c r="C3884" t="s">
        <v>66</v>
      </c>
      <c r="D3884" t="s">
        <v>20</v>
      </c>
      <c r="E3884" t="s">
        <v>21</v>
      </c>
      <c r="F3884" s="1">
        <v>45108</v>
      </c>
      <c r="G3884">
        <v>5.45</v>
      </c>
      <c r="H3884">
        <v>80.252099999999999</v>
      </c>
      <c r="I3884">
        <v>20.02</v>
      </c>
      <c r="J3884">
        <v>78.62</v>
      </c>
      <c r="K3884" t="s">
        <v>30</v>
      </c>
      <c r="L3884">
        <v>484.68</v>
      </c>
      <c r="M3884">
        <f>VLOOKUP(K3884,RatingLookup!$A$2:$C$8,2,FALSE)</f>
        <v>1.4999999999999999E-2</v>
      </c>
      <c r="N3884">
        <f t="shared" si="180"/>
        <v>1.2586770182638762E-3</v>
      </c>
      <c r="O3884">
        <f>VLOOKUP(K3884,RatingLookup!$A$2:$C$8,3,FALSE)</f>
        <v>0.5</v>
      </c>
      <c r="P3884">
        <f t="shared" si="181"/>
        <v>0.30502778860606777</v>
      </c>
      <c r="Q3884" t="str">
        <f t="shared" ca="1" si="182"/>
        <v>No</v>
      </c>
    </row>
    <row r="3885" spans="1:17" x14ac:dyDescent="0.45">
      <c r="A3885" t="s">
        <v>164</v>
      </c>
      <c r="B3885" t="s">
        <v>165</v>
      </c>
      <c r="C3885" t="s">
        <v>66</v>
      </c>
      <c r="D3885" t="s">
        <v>20</v>
      </c>
      <c r="E3885" t="s">
        <v>21</v>
      </c>
      <c r="F3885" s="1">
        <v>45139</v>
      </c>
      <c r="G3885">
        <v>6.09</v>
      </c>
      <c r="H3885">
        <v>83.156899999999993</v>
      </c>
      <c r="I3885">
        <v>21.88</v>
      </c>
      <c r="J3885">
        <v>82.28</v>
      </c>
      <c r="K3885" t="s">
        <v>30</v>
      </c>
      <c r="L3885">
        <v>504.63</v>
      </c>
      <c r="M3885">
        <f>VLOOKUP(K3885,RatingLookup!$A$2:$C$8,2,FALSE)</f>
        <v>1.4999999999999999E-2</v>
      </c>
      <c r="N3885">
        <f t="shared" si="180"/>
        <v>1.2586770182638762E-3</v>
      </c>
      <c r="O3885">
        <f>VLOOKUP(K3885,RatingLookup!$A$2:$C$8,3,FALSE)</f>
        <v>0.5</v>
      </c>
      <c r="P3885">
        <f t="shared" si="181"/>
        <v>0.31758309186324996</v>
      </c>
      <c r="Q3885" t="str">
        <f t="shared" ca="1" si="182"/>
        <v>No</v>
      </c>
    </row>
    <row r="3886" spans="1:17" x14ac:dyDescent="0.45">
      <c r="A3886" t="s">
        <v>164</v>
      </c>
      <c r="B3886" t="s">
        <v>165</v>
      </c>
      <c r="C3886" t="s">
        <v>66</v>
      </c>
      <c r="D3886" t="s">
        <v>20</v>
      </c>
      <c r="E3886" t="s">
        <v>21</v>
      </c>
      <c r="F3886" s="1">
        <v>45170</v>
      </c>
      <c r="G3886">
        <v>5.43</v>
      </c>
      <c r="H3886">
        <v>79.589299999999994</v>
      </c>
      <c r="I3886">
        <v>10.220000000000001</v>
      </c>
      <c r="J3886">
        <v>73.12</v>
      </c>
      <c r="K3886" t="s">
        <v>30</v>
      </c>
      <c r="L3886">
        <v>473.02</v>
      </c>
      <c r="M3886">
        <f>VLOOKUP(K3886,RatingLookup!$A$2:$C$8,2,FALSE)</f>
        <v>1.4999999999999999E-2</v>
      </c>
      <c r="N3886">
        <f t="shared" si="180"/>
        <v>1.2586770182638762E-3</v>
      </c>
      <c r="O3886">
        <f>VLOOKUP(K3886,RatingLookup!$A$2:$C$8,3,FALSE)</f>
        <v>0.5</v>
      </c>
      <c r="P3886">
        <f t="shared" si="181"/>
        <v>0.29768970158958935</v>
      </c>
      <c r="Q3886" t="str">
        <f t="shared" ca="1" si="182"/>
        <v>No</v>
      </c>
    </row>
    <row r="3887" spans="1:17" x14ac:dyDescent="0.45">
      <c r="A3887" t="s">
        <v>164</v>
      </c>
      <c r="B3887" t="s">
        <v>165</v>
      </c>
      <c r="C3887" t="s">
        <v>66</v>
      </c>
      <c r="D3887" t="s">
        <v>20</v>
      </c>
      <c r="E3887" t="s">
        <v>21</v>
      </c>
      <c r="F3887" s="1">
        <v>45200</v>
      </c>
      <c r="G3887">
        <v>5.36</v>
      </c>
      <c r="H3887">
        <v>79.8048</v>
      </c>
      <c r="I3887">
        <v>13.48</v>
      </c>
      <c r="J3887">
        <v>70.8</v>
      </c>
      <c r="K3887" t="s">
        <v>30</v>
      </c>
      <c r="L3887">
        <v>486.88</v>
      </c>
      <c r="M3887">
        <f>VLOOKUP(K3887,RatingLookup!$A$2:$C$8,2,FALSE)</f>
        <v>1.4999999999999999E-2</v>
      </c>
      <c r="N3887">
        <f t="shared" si="180"/>
        <v>1.2586770182638762E-3</v>
      </c>
      <c r="O3887">
        <f>VLOOKUP(K3887,RatingLookup!$A$2:$C$8,3,FALSE)</f>
        <v>0.5</v>
      </c>
      <c r="P3887">
        <f t="shared" si="181"/>
        <v>0.30641233332615803</v>
      </c>
      <c r="Q3887" t="str">
        <f t="shared" ca="1" si="182"/>
        <v>No</v>
      </c>
    </row>
    <row r="3888" spans="1:17" x14ac:dyDescent="0.45">
      <c r="A3888" t="s">
        <v>164</v>
      </c>
      <c r="B3888" t="s">
        <v>165</v>
      </c>
      <c r="C3888" t="s">
        <v>66</v>
      </c>
      <c r="D3888" t="s">
        <v>20</v>
      </c>
      <c r="E3888" t="s">
        <v>21</v>
      </c>
      <c r="F3888" s="1">
        <v>45231</v>
      </c>
      <c r="G3888">
        <v>4.95</v>
      </c>
      <c r="H3888">
        <v>84.8583</v>
      </c>
      <c r="I3888">
        <v>10.029999999999999</v>
      </c>
      <c r="J3888">
        <v>79.790000000000006</v>
      </c>
      <c r="K3888" t="s">
        <v>30</v>
      </c>
      <c r="L3888">
        <v>504.62</v>
      </c>
      <c r="M3888">
        <f>VLOOKUP(K3888,RatingLookup!$A$2:$C$8,2,FALSE)</f>
        <v>1.4999999999999999E-2</v>
      </c>
      <c r="N3888">
        <f t="shared" si="180"/>
        <v>1.2586770182638762E-3</v>
      </c>
      <c r="O3888">
        <f>VLOOKUP(K3888,RatingLookup!$A$2:$C$8,3,FALSE)</f>
        <v>0.5</v>
      </c>
      <c r="P3888">
        <f t="shared" si="181"/>
        <v>0.31757679847815862</v>
      </c>
      <c r="Q3888" t="str">
        <f t="shared" ca="1" si="182"/>
        <v>No</v>
      </c>
    </row>
    <row r="3889" spans="1:17" x14ac:dyDescent="0.45">
      <c r="A3889" t="s">
        <v>164</v>
      </c>
      <c r="B3889" t="s">
        <v>165</v>
      </c>
      <c r="C3889" t="s">
        <v>66</v>
      </c>
      <c r="D3889" t="s">
        <v>20</v>
      </c>
      <c r="E3889" t="s">
        <v>21</v>
      </c>
      <c r="F3889" s="1">
        <v>45261</v>
      </c>
      <c r="G3889">
        <v>5.88</v>
      </c>
      <c r="H3889">
        <v>87.168400000000005</v>
      </c>
      <c r="I3889">
        <v>33.21</v>
      </c>
      <c r="J3889">
        <v>83.75</v>
      </c>
      <c r="K3889" t="s">
        <v>30</v>
      </c>
      <c r="L3889">
        <v>460.61</v>
      </c>
      <c r="M3889">
        <f>VLOOKUP(K3889,RatingLookup!$A$2:$C$8,2,FALSE)</f>
        <v>1.4999999999999999E-2</v>
      </c>
      <c r="N3889">
        <f t="shared" si="180"/>
        <v>1.2586770182638762E-3</v>
      </c>
      <c r="O3889">
        <f>VLOOKUP(K3889,RatingLookup!$A$2:$C$8,3,FALSE)</f>
        <v>0.5</v>
      </c>
      <c r="P3889">
        <f t="shared" si="181"/>
        <v>0.289879610691262</v>
      </c>
      <c r="Q3889" t="str">
        <f t="shared" ca="1" si="182"/>
        <v>No</v>
      </c>
    </row>
    <row r="3890" spans="1:17" x14ac:dyDescent="0.45">
      <c r="A3890" t="s">
        <v>164</v>
      </c>
      <c r="B3890" t="s">
        <v>165</v>
      </c>
      <c r="C3890" t="s">
        <v>66</v>
      </c>
      <c r="D3890" t="s">
        <v>20</v>
      </c>
      <c r="E3890" t="s">
        <v>21</v>
      </c>
      <c r="F3890" s="1">
        <v>45292</v>
      </c>
      <c r="G3890">
        <v>6.12</v>
      </c>
      <c r="H3890">
        <v>81.892200000000003</v>
      </c>
      <c r="I3890">
        <v>18.23</v>
      </c>
      <c r="J3890">
        <v>71.55</v>
      </c>
      <c r="K3890" t="s">
        <v>30</v>
      </c>
      <c r="L3890">
        <v>509.95</v>
      </c>
      <c r="M3890">
        <f>VLOOKUP(K3890,RatingLookup!$A$2:$C$8,2,FALSE)</f>
        <v>1.4999999999999999E-2</v>
      </c>
      <c r="N3890">
        <f t="shared" si="180"/>
        <v>1.2586770182638762E-3</v>
      </c>
      <c r="O3890">
        <f>VLOOKUP(K3890,RatingLookup!$A$2:$C$8,3,FALSE)</f>
        <v>0.5</v>
      </c>
      <c r="P3890">
        <f t="shared" si="181"/>
        <v>0.32093117273183186</v>
      </c>
      <c r="Q3890" t="str">
        <f t="shared" ca="1" si="182"/>
        <v>No</v>
      </c>
    </row>
    <row r="3891" spans="1:17" x14ac:dyDescent="0.45">
      <c r="A3891" t="s">
        <v>164</v>
      </c>
      <c r="B3891" t="s">
        <v>165</v>
      </c>
      <c r="C3891" t="s">
        <v>66</v>
      </c>
      <c r="D3891" t="s">
        <v>20</v>
      </c>
      <c r="E3891" t="s">
        <v>21</v>
      </c>
      <c r="F3891" s="1">
        <v>45323</v>
      </c>
      <c r="G3891">
        <v>5.22</v>
      </c>
      <c r="H3891">
        <v>85.356099999999998</v>
      </c>
      <c r="I3891">
        <v>20.68</v>
      </c>
      <c r="J3891">
        <v>92.62</v>
      </c>
      <c r="K3891" t="s">
        <v>30</v>
      </c>
      <c r="L3891">
        <v>549.22</v>
      </c>
      <c r="M3891">
        <f>VLOOKUP(K3891,RatingLookup!$A$2:$C$8,2,FALSE)</f>
        <v>1.4999999999999999E-2</v>
      </c>
      <c r="N3891">
        <f t="shared" si="180"/>
        <v>1.2586770182638762E-3</v>
      </c>
      <c r="O3891">
        <f>VLOOKUP(K3891,RatingLookup!$A$2:$C$8,3,FALSE)</f>
        <v>0.5</v>
      </c>
      <c r="P3891">
        <f t="shared" si="181"/>
        <v>0.34564529598544308</v>
      </c>
      <c r="Q3891" t="str">
        <f t="shared" ca="1" si="182"/>
        <v>No</v>
      </c>
    </row>
    <row r="3892" spans="1:17" x14ac:dyDescent="0.45">
      <c r="A3892" t="s">
        <v>164</v>
      </c>
      <c r="B3892" t="s">
        <v>165</v>
      </c>
      <c r="C3892" t="s">
        <v>66</v>
      </c>
      <c r="D3892" t="s">
        <v>20</v>
      </c>
      <c r="E3892" t="s">
        <v>21</v>
      </c>
      <c r="F3892" s="1">
        <v>45352</v>
      </c>
      <c r="G3892">
        <v>6.32</v>
      </c>
      <c r="H3892">
        <v>82.946899999999999</v>
      </c>
      <c r="I3892">
        <v>20.56</v>
      </c>
      <c r="J3892">
        <v>82.71</v>
      </c>
      <c r="K3892" t="s">
        <v>30</v>
      </c>
      <c r="L3892">
        <v>484.6</v>
      </c>
      <c r="M3892">
        <f>VLOOKUP(K3892,RatingLookup!$A$2:$C$8,2,FALSE)</f>
        <v>1.4999999999999999E-2</v>
      </c>
      <c r="N3892">
        <f t="shared" si="180"/>
        <v>1.2586770182638762E-3</v>
      </c>
      <c r="O3892">
        <f>VLOOKUP(K3892,RatingLookup!$A$2:$C$8,3,FALSE)</f>
        <v>0.5</v>
      </c>
      <c r="P3892">
        <f t="shared" si="181"/>
        <v>0.30497744152533723</v>
      </c>
      <c r="Q3892" t="str">
        <f t="shared" ca="1" si="182"/>
        <v>No</v>
      </c>
    </row>
    <row r="3893" spans="1:17" x14ac:dyDescent="0.45">
      <c r="A3893" t="s">
        <v>164</v>
      </c>
      <c r="B3893" t="s">
        <v>165</v>
      </c>
      <c r="C3893" t="s">
        <v>66</v>
      </c>
      <c r="D3893" t="s">
        <v>20</v>
      </c>
      <c r="E3893" t="s">
        <v>21</v>
      </c>
      <c r="F3893" s="1">
        <v>45383</v>
      </c>
      <c r="G3893">
        <v>5.24</v>
      </c>
      <c r="H3893">
        <v>85.287800000000004</v>
      </c>
      <c r="I3893">
        <v>10.17</v>
      </c>
      <c r="J3893">
        <v>65.55</v>
      </c>
      <c r="K3893" t="s">
        <v>31</v>
      </c>
      <c r="L3893">
        <v>454.28</v>
      </c>
      <c r="M3893">
        <f>VLOOKUP(K3893,RatingLookup!$A$2:$C$8,2,FALSE)</f>
        <v>0.04</v>
      </c>
      <c r="N3893">
        <f t="shared" si="180"/>
        <v>3.3960531989175591E-3</v>
      </c>
      <c r="O3893">
        <f>VLOOKUP(K3893,RatingLookup!$A$2:$C$8,3,FALSE)</f>
        <v>0.6</v>
      </c>
      <c r="P3893">
        <f t="shared" si="181"/>
        <v>0.9256554283225612</v>
      </c>
      <c r="Q3893" t="str">
        <f t="shared" ca="1" si="182"/>
        <v>No</v>
      </c>
    </row>
    <row r="3894" spans="1:17" x14ac:dyDescent="0.45">
      <c r="A3894" t="s">
        <v>164</v>
      </c>
      <c r="B3894" t="s">
        <v>165</v>
      </c>
      <c r="C3894" t="s">
        <v>66</v>
      </c>
      <c r="D3894" t="s">
        <v>20</v>
      </c>
      <c r="E3894" t="s">
        <v>21</v>
      </c>
      <c r="F3894" s="1">
        <v>45413</v>
      </c>
      <c r="G3894">
        <v>4.95</v>
      </c>
      <c r="H3894">
        <v>83.281400000000005</v>
      </c>
      <c r="I3894">
        <v>12.93</v>
      </c>
      <c r="J3894">
        <v>84.22</v>
      </c>
      <c r="K3894" t="s">
        <v>31</v>
      </c>
      <c r="L3894">
        <v>428.18</v>
      </c>
      <c r="M3894">
        <f>VLOOKUP(K3894,RatingLookup!$A$2:$C$8,2,FALSE)</f>
        <v>0.04</v>
      </c>
      <c r="N3894">
        <f t="shared" si="180"/>
        <v>3.3960531989175591E-3</v>
      </c>
      <c r="O3894">
        <f>VLOOKUP(K3894,RatingLookup!$A$2:$C$8,3,FALSE)</f>
        <v>0.6</v>
      </c>
      <c r="P3894">
        <f t="shared" si="181"/>
        <v>0.8724732352275123</v>
      </c>
      <c r="Q3894" t="str">
        <f t="shared" ca="1" si="182"/>
        <v>No</v>
      </c>
    </row>
    <row r="3895" spans="1:17" x14ac:dyDescent="0.45">
      <c r="A3895" t="s">
        <v>164</v>
      </c>
      <c r="B3895" t="s">
        <v>165</v>
      </c>
      <c r="C3895" t="s">
        <v>66</v>
      </c>
      <c r="D3895" t="s">
        <v>20</v>
      </c>
      <c r="E3895" t="s">
        <v>21</v>
      </c>
      <c r="F3895" s="1">
        <v>45444</v>
      </c>
      <c r="G3895">
        <v>5.58</v>
      </c>
      <c r="H3895">
        <v>84.8245</v>
      </c>
      <c r="I3895">
        <v>26.75</v>
      </c>
      <c r="J3895">
        <v>89.41</v>
      </c>
      <c r="K3895" t="s">
        <v>31</v>
      </c>
      <c r="L3895">
        <v>469.38</v>
      </c>
      <c r="M3895">
        <f>VLOOKUP(K3895,RatingLookup!$A$2:$C$8,2,FALSE)</f>
        <v>0.04</v>
      </c>
      <c r="N3895">
        <f t="shared" si="180"/>
        <v>3.3960531989175591E-3</v>
      </c>
      <c r="O3895">
        <f>VLOOKUP(K3895,RatingLookup!$A$2:$C$8,3,FALSE)</f>
        <v>0.6</v>
      </c>
      <c r="P3895">
        <f t="shared" si="181"/>
        <v>0.95642367030475428</v>
      </c>
      <c r="Q3895" t="str">
        <f t="shared" ca="1" si="182"/>
        <v>No</v>
      </c>
    </row>
    <row r="3896" spans="1:17" x14ac:dyDescent="0.45">
      <c r="A3896" t="s">
        <v>164</v>
      </c>
      <c r="B3896" t="s">
        <v>165</v>
      </c>
      <c r="C3896" t="s">
        <v>66</v>
      </c>
      <c r="D3896" t="s">
        <v>20</v>
      </c>
      <c r="E3896" t="s">
        <v>21</v>
      </c>
      <c r="F3896" s="1">
        <v>45474</v>
      </c>
      <c r="G3896">
        <v>4.58</v>
      </c>
      <c r="H3896">
        <v>85.463300000000004</v>
      </c>
      <c r="I3896">
        <v>24.71</v>
      </c>
      <c r="J3896">
        <v>61.67</v>
      </c>
      <c r="K3896" t="s">
        <v>31</v>
      </c>
      <c r="L3896">
        <v>437.18</v>
      </c>
      <c r="M3896">
        <f>VLOOKUP(K3896,RatingLookup!$A$2:$C$8,2,FALSE)</f>
        <v>0.04</v>
      </c>
      <c r="N3896">
        <f t="shared" si="180"/>
        <v>3.3960531989175591E-3</v>
      </c>
      <c r="O3896">
        <f>VLOOKUP(K3896,RatingLookup!$A$2:$C$8,3,FALSE)</f>
        <v>0.6</v>
      </c>
      <c r="P3896">
        <f t="shared" si="181"/>
        <v>0.89081192250166708</v>
      </c>
      <c r="Q3896" t="str">
        <f t="shared" ca="1" si="182"/>
        <v>No</v>
      </c>
    </row>
    <row r="3897" spans="1:17" x14ac:dyDescent="0.45">
      <c r="A3897" t="s">
        <v>164</v>
      </c>
      <c r="B3897" t="s">
        <v>165</v>
      </c>
      <c r="C3897" t="s">
        <v>66</v>
      </c>
      <c r="D3897" t="s">
        <v>20</v>
      </c>
      <c r="E3897" t="s">
        <v>21</v>
      </c>
      <c r="F3897" s="1">
        <v>45505</v>
      </c>
      <c r="G3897">
        <v>6.45</v>
      </c>
      <c r="H3897">
        <v>85.259</v>
      </c>
      <c r="I3897">
        <v>17.45</v>
      </c>
      <c r="J3897">
        <v>76.64</v>
      </c>
      <c r="K3897" t="s">
        <v>31</v>
      </c>
      <c r="L3897">
        <v>472.57</v>
      </c>
      <c r="M3897">
        <f>VLOOKUP(K3897,RatingLookup!$A$2:$C$8,2,FALSE)</f>
        <v>0.04</v>
      </c>
      <c r="N3897">
        <f t="shared" si="180"/>
        <v>3.3960531989175591E-3</v>
      </c>
      <c r="O3897">
        <f>VLOOKUP(K3897,RatingLookup!$A$2:$C$8,3,FALSE)</f>
        <v>0.6</v>
      </c>
      <c r="P3897">
        <f t="shared" si="181"/>
        <v>0.96292371612748251</v>
      </c>
      <c r="Q3897" t="str">
        <f t="shared" ca="1" si="182"/>
        <v>No</v>
      </c>
    </row>
    <row r="3898" spans="1:17" x14ac:dyDescent="0.45">
      <c r="A3898" t="s">
        <v>164</v>
      </c>
      <c r="B3898" t="s">
        <v>165</v>
      </c>
      <c r="C3898" t="s">
        <v>66</v>
      </c>
      <c r="D3898" t="s">
        <v>20</v>
      </c>
      <c r="E3898" t="s">
        <v>21</v>
      </c>
      <c r="F3898" s="1">
        <v>45536</v>
      </c>
      <c r="G3898">
        <v>5.74</v>
      </c>
      <c r="H3898">
        <v>82.824799999999996</v>
      </c>
      <c r="I3898">
        <v>21.11</v>
      </c>
      <c r="J3898">
        <v>78.849999999999994</v>
      </c>
      <c r="K3898" t="s">
        <v>31</v>
      </c>
      <c r="L3898">
        <v>473.75</v>
      </c>
      <c r="M3898">
        <f>VLOOKUP(K3898,RatingLookup!$A$2:$C$8,2,FALSE)</f>
        <v>0.04</v>
      </c>
      <c r="N3898">
        <f t="shared" si="180"/>
        <v>3.3960531989175591E-3</v>
      </c>
      <c r="O3898">
        <f>VLOOKUP(K3898,RatingLookup!$A$2:$C$8,3,FALSE)</f>
        <v>0.6</v>
      </c>
      <c r="P3898">
        <f t="shared" si="181"/>
        <v>0.96532812179231609</v>
      </c>
      <c r="Q3898" t="str">
        <f t="shared" ca="1" si="182"/>
        <v>No</v>
      </c>
    </row>
    <row r="3899" spans="1:17" x14ac:dyDescent="0.45">
      <c r="A3899" t="s">
        <v>164</v>
      </c>
      <c r="B3899" t="s">
        <v>165</v>
      </c>
      <c r="C3899" t="s">
        <v>66</v>
      </c>
      <c r="D3899" t="s">
        <v>20</v>
      </c>
      <c r="E3899" t="s">
        <v>21</v>
      </c>
      <c r="F3899" s="1">
        <v>45566</v>
      </c>
      <c r="G3899">
        <v>4.6500000000000004</v>
      </c>
      <c r="H3899">
        <v>83.9041</v>
      </c>
      <c r="I3899">
        <v>12.38</v>
      </c>
      <c r="J3899">
        <v>95.7</v>
      </c>
      <c r="K3899" t="s">
        <v>31</v>
      </c>
      <c r="L3899">
        <v>436.32</v>
      </c>
      <c r="M3899">
        <f>VLOOKUP(K3899,RatingLookup!$A$2:$C$8,2,FALSE)</f>
        <v>0.04</v>
      </c>
      <c r="N3899">
        <f t="shared" si="180"/>
        <v>3.3960531989175591E-3</v>
      </c>
      <c r="O3899">
        <f>VLOOKUP(K3899,RatingLookup!$A$2:$C$8,3,FALSE)</f>
        <v>0.6</v>
      </c>
      <c r="P3899">
        <f t="shared" si="181"/>
        <v>0.88905955905102563</v>
      </c>
      <c r="Q3899" t="str">
        <f t="shared" ca="1" si="182"/>
        <v>No</v>
      </c>
    </row>
    <row r="3900" spans="1:17" x14ac:dyDescent="0.45">
      <c r="A3900" t="s">
        <v>164</v>
      </c>
      <c r="B3900" t="s">
        <v>165</v>
      </c>
      <c r="C3900" t="s">
        <v>66</v>
      </c>
      <c r="D3900" t="s">
        <v>20</v>
      </c>
      <c r="E3900" t="s">
        <v>21</v>
      </c>
      <c r="F3900" s="1">
        <v>45597</v>
      </c>
      <c r="G3900">
        <v>5.63</v>
      </c>
      <c r="H3900">
        <v>83.7761</v>
      </c>
      <c r="I3900">
        <v>8.02</v>
      </c>
      <c r="J3900">
        <v>75.760000000000005</v>
      </c>
      <c r="K3900" t="s">
        <v>31</v>
      </c>
      <c r="L3900">
        <v>532.99</v>
      </c>
      <c r="M3900">
        <f>VLOOKUP(K3900,RatingLookup!$A$2:$C$8,2,FALSE)</f>
        <v>0.04</v>
      </c>
      <c r="N3900">
        <f t="shared" si="180"/>
        <v>3.3960531989175591E-3</v>
      </c>
      <c r="O3900">
        <f>VLOOKUP(K3900,RatingLookup!$A$2:$C$8,3,FALSE)</f>
        <v>0.6</v>
      </c>
      <c r="P3900">
        <f t="shared" si="181"/>
        <v>1.0860374366946419</v>
      </c>
      <c r="Q3900" t="str">
        <f t="shared" ca="1" si="182"/>
        <v>No</v>
      </c>
    </row>
    <row r="3901" spans="1:17" x14ac:dyDescent="0.45">
      <c r="A3901" t="s">
        <v>164</v>
      </c>
      <c r="B3901" t="s">
        <v>165</v>
      </c>
      <c r="C3901" t="s">
        <v>66</v>
      </c>
      <c r="D3901" t="s">
        <v>20</v>
      </c>
      <c r="E3901" t="s">
        <v>21</v>
      </c>
      <c r="F3901" s="1">
        <v>45627</v>
      </c>
      <c r="G3901">
        <v>5.63</v>
      </c>
      <c r="H3901">
        <v>82.571600000000004</v>
      </c>
      <c r="I3901">
        <v>17.04</v>
      </c>
      <c r="J3901">
        <v>73.489999999999995</v>
      </c>
      <c r="K3901" t="s">
        <v>31</v>
      </c>
      <c r="L3901">
        <v>466.46</v>
      </c>
      <c r="M3901">
        <f>VLOOKUP(K3901,RatingLookup!$A$2:$C$8,2,FALSE)</f>
        <v>0.04</v>
      </c>
      <c r="N3901">
        <f t="shared" si="180"/>
        <v>3.3960531989175591E-3</v>
      </c>
      <c r="O3901">
        <f>VLOOKUP(K3901,RatingLookup!$A$2:$C$8,3,FALSE)</f>
        <v>0.6</v>
      </c>
      <c r="P3901">
        <f t="shared" si="181"/>
        <v>0.9504737851002506</v>
      </c>
      <c r="Q3901" t="str">
        <f t="shared" ca="1" si="182"/>
        <v>No</v>
      </c>
    </row>
    <row r="3902" spans="1:17" x14ac:dyDescent="0.45">
      <c r="A3902" t="s">
        <v>166</v>
      </c>
      <c r="B3902" t="s">
        <v>167</v>
      </c>
      <c r="C3902" t="s">
        <v>40</v>
      </c>
      <c r="D3902" t="s">
        <v>20</v>
      </c>
      <c r="E3902" t="s">
        <v>21</v>
      </c>
      <c r="F3902" s="1">
        <v>43831</v>
      </c>
      <c r="G3902">
        <v>4.62</v>
      </c>
      <c r="H3902">
        <v>79.235399999999998</v>
      </c>
      <c r="I3902">
        <v>12.1</v>
      </c>
      <c r="J3902">
        <v>71.58</v>
      </c>
      <c r="K3902" t="s">
        <v>32</v>
      </c>
      <c r="L3902">
        <v>378.63</v>
      </c>
      <c r="M3902">
        <f>VLOOKUP(K3902,RatingLookup!$A$2:$C$8,2,FALSE)</f>
        <v>0.12</v>
      </c>
      <c r="N3902">
        <f t="shared" si="180"/>
        <v>1.0596241035318976E-2</v>
      </c>
      <c r="O3902">
        <f>VLOOKUP(K3902,RatingLookup!$A$2:$C$8,3,FALSE)</f>
        <v>0.7</v>
      </c>
      <c r="P3902">
        <f t="shared" si="181"/>
        <v>2.8084383202419763</v>
      </c>
      <c r="Q3902" t="str">
        <f t="shared" ca="1" si="182"/>
        <v>No</v>
      </c>
    </row>
    <row r="3903" spans="1:17" x14ac:dyDescent="0.45">
      <c r="A3903" t="s">
        <v>166</v>
      </c>
      <c r="B3903" t="s">
        <v>167</v>
      </c>
      <c r="C3903" t="s">
        <v>40</v>
      </c>
      <c r="D3903" t="s">
        <v>20</v>
      </c>
      <c r="E3903" t="s">
        <v>21</v>
      </c>
      <c r="F3903" s="1">
        <v>43862</v>
      </c>
      <c r="G3903">
        <v>5.12</v>
      </c>
      <c r="H3903">
        <v>82.339500000000001</v>
      </c>
      <c r="I3903">
        <v>26.77</v>
      </c>
      <c r="J3903">
        <v>91.11</v>
      </c>
      <c r="K3903" t="s">
        <v>32</v>
      </c>
      <c r="L3903">
        <v>428.72</v>
      </c>
      <c r="M3903">
        <f>VLOOKUP(K3903,RatingLookup!$A$2:$C$8,2,FALSE)</f>
        <v>0.12</v>
      </c>
      <c r="N3903">
        <f t="shared" si="180"/>
        <v>1.0596241035318976E-2</v>
      </c>
      <c r="O3903">
        <f>VLOOKUP(K3903,RatingLookup!$A$2:$C$8,3,FALSE)</f>
        <v>0.7</v>
      </c>
      <c r="P3903">
        <f t="shared" si="181"/>
        <v>3.1799743196633661</v>
      </c>
      <c r="Q3903" t="str">
        <f t="shared" ca="1" si="182"/>
        <v>No</v>
      </c>
    </row>
    <row r="3904" spans="1:17" x14ac:dyDescent="0.45">
      <c r="A3904" t="s">
        <v>166</v>
      </c>
      <c r="B3904" t="s">
        <v>167</v>
      </c>
      <c r="C3904" t="s">
        <v>40</v>
      </c>
      <c r="D3904" t="s">
        <v>20</v>
      </c>
      <c r="E3904" t="s">
        <v>21</v>
      </c>
      <c r="F3904" s="1">
        <v>43891</v>
      </c>
      <c r="G3904">
        <v>5.88</v>
      </c>
      <c r="H3904">
        <v>81.144599999999997</v>
      </c>
      <c r="I3904">
        <v>22.86</v>
      </c>
      <c r="J3904">
        <v>73.59</v>
      </c>
      <c r="K3904" t="s">
        <v>32</v>
      </c>
      <c r="L3904">
        <v>393.14</v>
      </c>
      <c r="M3904">
        <f>VLOOKUP(K3904,RatingLookup!$A$2:$C$8,2,FALSE)</f>
        <v>0.12</v>
      </c>
      <c r="N3904">
        <f t="shared" si="180"/>
        <v>1.0596241035318976E-2</v>
      </c>
      <c r="O3904">
        <f>VLOOKUP(K3904,RatingLookup!$A$2:$C$8,3,FALSE)</f>
        <v>0.7</v>
      </c>
      <c r="P3904">
        <f t="shared" si="181"/>
        <v>2.9160643404377113</v>
      </c>
      <c r="Q3904" t="str">
        <f t="shared" ca="1" si="182"/>
        <v>No</v>
      </c>
    </row>
    <row r="3905" spans="1:17" x14ac:dyDescent="0.45">
      <c r="A3905" t="s">
        <v>166</v>
      </c>
      <c r="B3905" t="s">
        <v>167</v>
      </c>
      <c r="C3905" t="s">
        <v>40</v>
      </c>
      <c r="D3905" t="s">
        <v>20</v>
      </c>
      <c r="E3905" t="s">
        <v>21</v>
      </c>
      <c r="F3905" s="1">
        <v>43922</v>
      </c>
      <c r="G3905">
        <v>5.0599999999999996</v>
      </c>
      <c r="H3905">
        <v>84.471400000000003</v>
      </c>
      <c r="I3905">
        <v>12.15</v>
      </c>
      <c r="J3905">
        <v>68.94</v>
      </c>
      <c r="K3905" t="s">
        <v>32</v>
      </c>
      <c r="L3905">
        <v>381.08</v>
      </c>
      <c r="M3905">
        <f>VLOOKUP(K3905,RatingLookup!$A$2:$C$8,2,FALSE)</f>
        <v>0.12</v>
      </c>
      <c r="N3905">
        <f t="shared" si="180"/>
        <v>1.0596241035318976E-2</v>
      </c>
      <c r="O3905">
        <f>VLOOKUP(K3905,RatingLookup!$A$2:$C$8,3,FALSE)</f>
        <v>0.7</v>
      </c>
      <c r="P3905">
        <f t="shared" si="181"/>
        <v>2.8266108736175486</v>
      </c>
      <c r="Q3905" t="str">
        <f t="shared" ca="1" si="182"/>
        <v>No</v>
      </c>
    </row>
    <row r="3906" spans="1:17" x14ac:dyDescent="0.45">
      <c r="A3906" t="s">
        <v>166</v>
      </c>
      <c r="B3906" t="s">
        <v>167</v>
      </c>
      <c r="C3906" t="s">
        <v>40</v>
      </c>
      <c r="D3906" t="s">
        <v>20</v>
      </c>
      <c r="E3906" t="s">
        <v>21</v>
      </c>
      <c r="F3906" s="1">
        <v>43952</v>
      </c>
      <c r="G3906">
        <v>5.58</v>
      </c>
      <c r="H3906">
        <v>79.639700000000005</v>
      </c>
      <c r="I3906">
        <v>14.95</v>
      </c>
      <c r="J3906">
        <v>76.8</v>
      </c>
      <c r="K3906" t="s">
        <v>32</v>
      </c>
      <c r="L3906">
        <v>391.4</v>
      </c>
      <c r="M3906">
        <f>VLOOKUP(K3906,RatingLookup!$A$2:$C$8,2,FALSE)</f>
        <v>0.12</v>
      </c>
      <c r="N3906">
        <f t="shared" ref="N3906:N3969" si="183">1-(1-M3906)^(1/12)</f>
        <v>1.0596241035318976E-2</v>
      </c>
      <c r="O3906">
        <f>VLOOKUP(K3906,RatingLookup!$A$2:$C$8,3,FALSE)</f>
        <v>0.7</v>
      </c>
      <c r="P3906">
        <f t="shared" ref="P3906:P3969" si="184">L3906*N3906*O3906</f>
        <v>2.9031581188566928</v>
      </c>
      <c r="Q3906" t="str">
        <f t="shared" ref="Q3906:Q3969" ca="1" si="185">IF(RAND()&lt;N3906,"Yes","No")</f>
        <v>No</v>
      </c>
    </row>
    <row r="3907" spans="1:17" x14ac:dyDescent="0.45">
      <c r="A3907" t="s">
        <v>166</v>
      </c>
      <c r="B3907" t="s">
        <v>167</v>
      </c>
      <c r="C3907" t="s">
        <v>40</v>
      </c>
      <c r="D3907" t="s">
        <v>20</v>
      </c>
      <c r="E3907" t="s">
        <v>21</v>
      </c>
      <c r="F3907" s="1">
        <v>43983</v>
      </c>
      <c r="G3907">
        <v>4.93</v>
      </c>
      <c r="H3907">
        <v>81.341700000000003</v>
      </c>
      <c r="I3907">
        <v>11.95</v>
      </c>
      <c r="J3907">
        <v>88.82</v>
      </c>
      <c r="K3907" t="s">
        <v>32</v>
      </c>
      <c r="L3907">
        <v>399.51</v>
      </c>
      <c r="M3907">
        <f>VLOOKUP(K3907,RatingLookup!$A$2:$C$8,2,FALSE)</f>
        <v>0.12</v>
      </c>
      <c r="N3907">
        <f t="shared" si="183"/>
        <v>1.0596241035318976E-2</v>
      </c>
      <c r="O3907">
        <f>VLOOKUP(K3907,RatingLookup!$A$2:$C$8,3,FALSE)</f>
        <v>0.7</v>
      </c>
      <c r="P3907">
        <f t="shared" si="184"/>
        <v>2.9633129792141988</v>
      </c>
      <c r="Q3907" t="str">
        <f t="shared" ca="1" si="185"/>
        <v>No</v>
      </c>
    </row>
    <row r="3908" spans="1:17" x14ac:dyDescent="0.45">
      <c r="A3908" t="s">
        <v>166</v>
      </c>
      <c r="B3908" t="s">
        <v>167</v>
      </c>
      <c r="C3908" t="s">
        <v>40</v>
      </c>
      <c r="D3908" t="s">
        <v>20</v>
      </c>
      <c r="E3908" t="s">
        <v>21</v>
      </c>
      <c r="F3908" s="1">
        <v>44013</v>
      </c>
      <c r="G3908">
        <v>5.29</v>
      </c>
      <c r="H3908">
        <v>79.645700000000005</v>
      </c>
      <c r="I3908">
        <v>22.22</v>
      </c>
      <c r="J3908">
        <v>92.26</v>
      </c>
      <c r="K3908" t="s">
        <v>32</v>
      </c>
      <c r="L3908">
        <v>404.88</v>
      </c>
      <c r="M3908">
        <f>VLOOKUP(K3908,RatingLookup!$A$2:$C$8,2,FALSE)</f>
        <v>0.12</v>
      </c>
      <c r="N3908">
        <f t="shared" si="183"/>
        <v>1.0596241035318976E-2</v>
      </c>
      <c r="O3908">
        <f>VLOOKUP(K3908,RatingLookup!$A$2:$C$8,3,FALSE)</f>
        <v>0.7</v>
      </c>
      <c r="P3908">
        <f t="shared" si="184"/>
        <v>3.0031442492659624</v>
      </c>
      <c r="Q3908" t="str">
        <f t="shared" ca="1" si="185"/>
        <v>No</v>
      </c>
    </row>
    <row r="3909" spans="1:17" x14ac:dyDescent="0.45">
      <c r="A3909" t="s">
        <v>166</v>
      </c>
      <c r="B3909" t="s">
        <v>167</v>
      </c>
      <c r="C3909" t="s">
        <v>40</v>
      </c>
      <c r="D3909" t="s">
        <v>20</v>
      </c>
      <c r="E3909" t="s">
        <v>21</v>
      </c>
      <c r="F3909" s="1">
        <v>44044</v>
      </c>
      <c r="G3909">
        <v>5.65</v>
      </c>
      <c r="H3909">
        <v>86.0642</v>
      </c>
      <c r="I3909">
        <v>14.14</v>
      </c>
      <c r="J3909">
        <v>84.04</v>
      </c>
      <c r="K3909" t="s">
        <v>32</v>
      </c>
      <c r="L3909">
        <v>405.4</v>
      </c>
      <c r="M3909">
        <f>VLOOKUP(K3909,RatingLookup!$A$2:$C$8,2,FALSE)</f>
        <v>0.12</v>
      </c>
      <c r="N3909">
        <f t="shared" si="183"/>
        <v>1.0596241035318976E-2</v>
      </c>
      <c r="O3909">
        <f>VLOOKUP(K3909,RatingLookup!$A$2:$C$8,3,FALSE)</f>
        <v>0.7</v>
      </c>
      <c r="P3909">
        <f t="shared" si="184"/>
        <v>3.0070012810028186</v>
      </c>
      <c r="Q3909" t="str">
        <f t="shared" ca="1" si="185"/>
        <v>No</v>
      </c>
    </row>
    <row r="3910" spans="1:17" x14ac:dyDescent="0.45">
      <c r="A3910" t="s">
        <v>166</v>
      </c>
      <c r="B3910" t="s">
        <v>167</v>
      </c>
      <c r="C3910" t="s">
        <v>40</v>
      </c>
      <c r="D3910" t="s">
        <v>20</v>
      </c>
      <c r="E3910" t="s">
        <v>21</v>
      </c>
      <c r="F3910" s="1">
        <v>44075</v>
      </c>
      <c r="G3910">
        <v>6.09</v>
      </c>
      <c r="H3910">
        <v>80.9726</v>
      </c>
      <c r="I3910">
        <v>17.62</v>
      </c>
      <c r="J3910">
        <v>74.599999999999994</v>
      </c>
      <c r="K3910" t="s">
        <v>32</v>
      </c>
      <c r="L3910">
        <v>374.84</v>
      </c>
      <c r="M3910">
        <f>VLOOKUP(K3910,RatingLookup!$A$2:$C$8,2,FALSE)</f>
        <v>0.12</v>
      </c>
      <c r="N3910">
        <f t="shared" si="183"/>
        <v>1.0596241035318976E-2</v>
      </c>
      <c r="O3910">
        <f>VLOOKUP(K3910,RatingLookup!$A$2:$C$8,3,FALSE)</f>
        <v>0.7</v>
      </c>
      <c r="P3910">
        <f t="shared" si="184"/>
        <v>2.7803264927752753</v>
      </c>
      <c r="Q3910" t="str">
        <f t="shared" ca="1" si="185"/>
        <v>No</v>
      </c>
    </row>
    <row r="3911" spans="1:17" x14ac:dyDescent="0.45">
      <c r="A3911" t="s">
        <v>166</v>
      </c>
      <c r="B3911" t="s">
        <v>167</v>
      </c>
      <c r="C3911" t="s">
        <v>40</v>
      </c>
      <c r="D3911" t="s">
        <v>20</v>
      </c>
      <c r="E3911" t="s">
        <v>21</v>
      </c>
      <c r="F3911" s="1">
        <v>44105</v>
      </c>
      <c r="G3911">
        <v>5.32</v>
      </c>
      <c r="H3911">
        <v>82.5321</v>
      </c>
      <c r="I3911">
        <v>12.54</v>
      </c>
      <c r="J3911">
        <v>59.57</v>
      </c>
      <c r="K3911" t="s">
        <v>32</v>
      </c>
      <c r="L3911">
        <v>404.03</v>
      </c>
      <c r="M3911">
        <f>VLOOKUP(K3911,RatingLookup!$A$2:$C$8,2,FALSE)</f>
        <v>0.12</v>
      </c>
      <c r="N3911">
        <f t="shared" si="183"/>
        <v>1.0596241035318976E-2</v>
      </c>
      <c r="O3911">
        <f>VLOOKUP(K3911,RatingLookup!$A$2:$C$8,3,FALSE)</f>
        <v>0.7</v>
      </c>
      <c r="P3911">
        <f t="shared" si="184"/>
        <v>2.9968394858499479</v>
      </c>
      <c r="Q3911" t="str">
        <f t="shared" ca="1" si="185"/>
        <v>No</v>
      </c>
    </row>
    <row r="3912" spans="1:17" x14ac:dyDescent="0.45">
      <c r="A3912" t="s">
        <v>166</v>
      </c>
      <c r="B3912" t="s">
        <v>167</v>
      </c>
      <c r="C3912" t="s">
        <v>40</v>
      </c>
      <c r="D3912" t="s">
        <v>20</v>
      </c>
      <c r="E3912" t="s">
        <v>21</v>
      </c>
      <c r="F3912" s="1">
        <v>44136</v>
      </c>
      <c r="G3912">
        <v>5.74</v>
      </c>
      <c r="H3912">
        <v>81.745400000000004</v>
      </c>
      <c r="I3912">
        <v>10.39</v>
      </c>
      <c r="J3912">
        <v>70.55</v>
      </c>
      <c r="K3912" t="s">
        <v>32</v>
      </c>
      <c r="L3912">
        <v>393.38</v>
      </c>
      <c r="M3912">
        <f>VLOOKUP(K3912,RatingLookup!$A$2:$C$8,2,FALSE)</f>
        <v>0.12</v>
      </c>
      <c r="N3912">
        <f t="shared" si="183"/>
        <v>1.0596241035318976E-2</v>
      </c>
      <c r="O3912">
        <f>VLOOKUP(K3912,RatingLookup!$A$2:$C$8,3,FALSE)</f>
        <v>0.7</v>
      </c>
      <c r="P3912">
        <f t="shared" si="184"/>
        <v>2.9178445089316454</v>
      </c>
      <c r="Q3912" t="str">
        <f t="shared" ca="1" si="185"/>
        <v>No</v>
      </c>
    </row>
    <row r="3913" spans="1:17" x14ac:dyDescent="0.45">
      <c r="A3913" t="s">
        <v>166</v>
      </c>
      <c r="B3913" t="s">
        <v>167</v>
      </c>
      <c r="C3913" t="s">
        <v>40</v>
      </c>
      <c r="D3913" t="s">
        <v>20</v>
      </c>
      <c r="E3913" t="s">
        <v>21</v>
      </c>
      <c r="F3913" s="1">
        <v>44166</v>
      </c>
      <c r="G3913">
        <v>4.9000000000000004</v>
      </c>
      <c r="H3913">
        <v>79.858500000000006</v>
      </c>
      <c r="I3913">
        <v>11.61</v>
      </c>
      <c r="J3913">
        <v>64.91</v>
      </c>
      <c r="K3913" t="s">
        <v>32</v>
      </c>
      <c r="L3913">
        <v>394.43</v>
      </c>
      <c r="M3913">
        <f>VLOOKUP(K3913,RatingLookup!$A$2:$C$8,2,FALSE)</f>
        <v>0.12</v>
      </c>
      <c r="N3913">
        <f t="shared" si="183"/>
        <v>1.0596241035318976E-2</v>
      </c>
      <c r="O3913">
        <f>VLOOKUP(K3913,RatingLookup!$A$2:$C$8,3,FALSE)</f>
        <v>0.7</v>
      </c>
      <c r="P3913">
        <f t="shared" si="184"/>
        <v>2.9256327460926048</v>
      </c>
      <c r="Q3913" t="str">
        <f t="shared" ca="1" si="185"/>
        <v>No</v>
      </c>
    </row>
    <row r="3914" spans="1:17" x14ac:dyDescent="0.45">
      <c r="A3914" t="s">
        <v>166</v>
      </c>
      <c r="B3914" t="s">
        <v>167</v>
      </c>
      <c r="C3914" t="s">
        <v>40</v>
      </c>
      <c r="D3914" t="s">
        <v>20</v>
      </c>
      <c r="E3914" t="s">
        <v>21</v>
      </c>
      <c r="F3914" s="1">
        <v>44197</v>
      </c>
      <c r="G3914">
        <v>6.79</v>
      </c>
      <c r="H3914">
        <v>81.832899999999995</v>
      </c>
      <c r="I3914">
        <v>30.34</v>
      </c>
      <c r="J3914">
        <v>81.62</v>
      </c>
      <c r="K3914" t="s">
        <v>32</v>
      </c>
      <c r="L3914">
        <v>388.93</v>
      </c>
      <c r="M3914">
        <f>VLOOKUP(K3914,RatingLookup!$A$2:$C$8,2,FALSE)</f>
        <v>0.12</v>
      </c>
      <c r="N3914">
        <f t="shared" si="183"/>
        <v>1.0596241035318976E-2</v>
      </c>
      <c r="O3914">
        <f>VLOOKUP(K3914,RatingLookup!$A$2:$C$8,3,FALSE)</f>
        <v>0.7</v>
      </c>
      <c r="P3914">
        <f t="shared" si="184"/>
        <v>2.8848372181066266</v>
      </c>
      <c r="Q3914" t="str">
        <f t="shared" ca="1" si="185"/>
        <v>No</v>
      </c>
    </row>
    <row r="3915" spans="1:17" x14ac:dyDescent="0.45">
      <c r="A3915" t="s">
        <v>166</v>
      </c>
      <c r="B3915" t="s">
        <v>167</v>
      </c>
      <c r="C3915" t="s">
        <v>40</v>
      </c>
      <c r="D3915" t="s">
        <v>20</v>
      </c>
      <c r="E3915" t="s">
        <v>21</v>
      </c>
      <c r="F3915" s="1">
        <v>44228</v>
      </c>
      <c r="G3915">
        <v>5.46</v>
      </c>
      <c r="H3915">
        <v>79.4482</v>
      </c>
      <c r="I3915">
        <v>23.51</v>
      </c>
      <c r="J3915">
        <v>93.43</v>
      </c>
      <c r="K3915" t="s">
        <v>32</v>
      </c>
      <c r="L3915">
        <v>389.76</v>
      </c>
      <c r="M3915">
        <f>VLOOKUP(K3915,RatingLookup!$A$2:$C$8,2,FALSE)</f>
        <v>0.12</v>
      </c>
      <c r="N3915">
        <f t="shared" si="183"/>
        <v>1.0596241035318976E-2</v>
      </c>
      <c r="O3915">
        <f>VLOOKUP(K3915,RatingLookup!$A$2:$C$8,3,FALSE)</f>
        <v>0.7</v>
      </c>
      <c r="P3915">
        <f t="shared" si="184"/>
        <v>2.8909936341481464</v>
      </c>
      <c r="Q3915" t="str">
        <f t="shared" ca="1" si="185"/>
        <v>No</v>
      </c>
    </row>
    <row r="3916" spans="1:17" x14ac:dyDescent="0.45">
      <c r="A3916" t="s">
        <v>166</v>
      </c>
      <c r="B3916" t="s">
        <v>167</v>
      </c>
      <c r="C3916" t="s">
        <v>40</v>
      </c>
      <c r="D3916" t="s">
        <v>20</v>
      </c>
      <c r="E3916" t="s">
        <v>21</v>
      </c>
      <c r="F3916" s="1">
        <v>44256</v>
      </c>
      <c r="G3916">
        <v>5.65</v>
      </c>
      <c r="H3916">
        <v>84.686300000000003</v>
      </c>
      <c r="I3916">
        <v>18.989999999999998</v>
      </c>
      <c r="J3916">
        <v>88.43</v>
      </c>
      <c r="K3916" t="s">
        <v>32</v>
      </c>
      <c r="L3916">
        <v>433.78</v>
      </c>
      <c r="M3916">
        <f>VLOOKUP(K3916,RatingLookup!$A$2:$C$8,2,FALSE)</f>
        <v>0.12</v>
      </c>
      <c r="N3916">
        <f t="shared" si="183"/>
        <v>1.0596241035318976E-2</v>
      </c>
      <c r="O3916">
        <f>VLOOKUP(K3916,RatingLookup!$A$2:$C$8,3,FALSE)</f>
        <v>0.7</v>
      </c>
      <c r="P3916">
        <f t="shared" si="184"/>
        <v>3.2175062054104653</v>
      </c>
      <c r="Q3916" t="str">
        <f t="shared" ca="1" si="185"/>
        <v>No</v>
      </c>
    </row>
    <row r="3917" spans="1:17" x14ac:dyDescent="0.45">
      <c r="A3917" t="s">
        <v>166</v>
      </c>
      <c r="B3917" t="s">
        <v>167</v>
      </c>
      <c r="C3917" t="s">
        <v>40</v>
      </c>
      <c r="D3917" t="s">
        <v>20</v>
      </c>
      <c r="E3917" t="s">
        <v>21</v>
      </c>
      <c r="F3917" s="1">
        <v>44287</v>
      </c>
      <c r="G3917">
        <v>6.37</v>
      </c>
      <c r="H3917">
        <v>80.743300000000005</v>
      </c>
      <c r="I3917">
        <v>23.34</v>
      </c>
      <c r="J3917">
        <v>69.819999999999993</v>
      </c>
      <c r="K3917" t="s">
        <v>32</v>
      </c>
      <c r="L3917">
        <v>380.98</v>
      </c>
      <c r="M3917">
        <f>VLOOKUP(K3917,RatingLookup!$A$2:$C$8,2,FALSE)</f>
        <v>0.12</v>
      </c>
      <c r="N3917">
        <f t="shared" si="183"/>
        <v>1.0596241035318976E-2</v>
      </c>
      <c r="O3917">
        <f>VLOOKUP(K3917,RatingLookup!$A$2:$C$8,3,FALSE)</f>
        <v>0.7</v>
      </c>
      <c r="P3917">
        <f t="shared" si="184"/>
        <v>2.8258691367450761</v>
      </c>
      <c r="Q3917" t="str">
        <f t="shared" ca="1" si="185"/>
        <v>No</v>
      </c>
    </row>
    <row r="3918" spans="1:17" x14ac:dyDescent="0.45">
      <c r="A3918" t="s">
        <v>166</v>
      </c>
      <c r="B3918" t="s">
        <v>167</v>
      </c>
      <c r="C3918" t="s">
        <v>40</v>
      </c>
      <c r="D3918" t="s">
        <v>20</v>
      </c>
      <c r="E3918" t="s">
        <v>21</v>
      </c>
      <c r="F3918" s="1">
        <v>44317</v>
      </c>
      <c r="G3918">
        <v>6.49</v>
      </c>
      <c r="H3918">
        <v>79.827299999999994</v>
      </c>
      <c r="I3918">
        <v>15.94</v>
      </c>
      <c r="J3918">
        <v>88.02</v>
      </c>
      <c r="K3918" t="s">
        <v>32</v>
      </c>
      <c r="L3918">
        <v>368.87</v>
      </c>
      <c r="M3918">
        <f>VLOOKUP(K3918,RatingLookup!$A$2:$C$8,2,FALSE)</f>
        <v>0.12</v>
      </c>
      <c r="N3918">
        <f t="shared" si="183"/>
        <v>1.0596241035318976E-2</v>
      </c>
      <c r="O3918">
        <f>VLOOKUP(K3918,RatingLookup!$A$2:$C$8,3,FALSE)</f>
        <v>0.7</v>
      </c>
      <c r="P3918">
        <f t="shared" si="184"/>
        <v>2.7360448014886773</v>
      </c>
      <c r="Q3918" t="str">
        <f t="shared" ca="1" si="185"/>
        <v>No</v>
      </c>
    </row>
    <row r="3919" spans="1:17" x14ac:dyDescent="0.45">
      <c r="A3919" t="s">
        <v>166</v>
      </c>
      <c r="B3919" t="s">
        <v>167</v>
      </c>
      <c r="C3919" t="s">
        <v>40</v>
      </c>
      <c r="D3919" t="s">
        <v>20</v>
      </c>
      <c r="E3919" t="s">
        <v>21</v>
      </c>
      <c r="F3919" s="1">
        <v>44348</v>
      </c>
      <c r="G3919">
        <v>4.3499999999999996</v>
      </c>
      <c r="H3919">
        <v>82.242699999999999</v>
      </c>
      <c r="I3919">
        <v>16.52</v>
      </c>
      <c r="J3919">
        <v>71.58</v>
      </c>
      <c r="K3919" t="s">
        <v>32</v>
      </c>
      <c r="L3919">
        <v>386.3</v>
      </c>
      <c r="M3919">
        <f>VLOOKUP(K3919,RatingLookup!$A$2:$C$8,2,FALSE)</f>
        <v>0.12</v>
      </c>
      <c r="N3919">
        <f t="shared" si="183"/>
        <v>1.0596241035318976E-2</v>
      </c>
      <c r="O3919">
        <f>VLOOKUP(K3919,RatingLookup!$A$2:$C$8,3,FALSE)</f>
        <v>0.7</v>
      </c>
      <c r="P3919">
        <f t="shared" si="184"/>
        <v>2.8653295383606046</v>
      </c>
      <c r="Q3919" t="str">
        <f t="shared" ca="1" si="185"/>
        <v>No</v>
      </c>
    </row>
    <row r="3920" spans="1:17" x14ac:dyDescent="0.45">
      <c r="A3920" t="s">
        <v>166</v>
      </c>
      <c r="B3920" t="s">
        <v>167</v>
      </c>
      <c r="C3920" t="s">
        <v>40</v>
      </c>
      <c r="D3920" t="s">
        <v>20</v>
      </c>
      <c r="E3920" t="s">
        <v>21</v>
      </c>
      <c r="F3920" s="1">
        <v>44378</v>
      </c>
      <c r="G3920">
        <v>5.64</v>
      </c>
      <c r="H3920">
        <v>82.647800000000004</v>
      </c>
      <c r="I3920">
        <v>24.46</v>
      </c>
      <c r="J3920">
        <v>96.99</v>
      </c>
      <c r="K3920" t="s">
        <v>32</v>
      </c>
      <c r="L3920">
        <v>346.14</v>
      </c>
      <c r="M3920">
        <f>VLOOKUP(K3920,RatingLookup!$A$2:$C$8,2,FALSE)</f>
        <v>0.12</v>
      </c>
      <c r="N3920">
        <f t="shared" si="183"/>
        <v>1.0596241035318976E-2</v>
      </c>
      <c r="O3920">
        <f>VLOOKUP(K3920,RatingLookup!$A$2:$C$8,3,FALSE)</f>
        <v>0.7</v>
      </c>
      <c r="P3920">
        <f t="shared" si="184"/>
        <v>2.5674480103757173</v>
      </c>
      <c r="Q3920" t="str">
        <f t="shared" ca="1" si="185"/>
        <v>No</v>
      </c>
    </row>
    <row r="3921" spans="1:17" x14ac:dyDescent="0.45">
      <c r="A3921" t="s">
        <v>166</v>
      </c>
      <c r="B3921" t="s">
        <v>167</v>
      </c>
      <c r="C3921" t="s">
        <v>40</v>
      </c>
      <c r="D3921" t="s">
        <v>20</v>
      </c>
      <c r="E3921" t="s">
        <v>21</v>
      </c>
      <c r="F3921" s="1">
        <v>44409</v>
      </c>
      <c r="G3921">
        <v>5.81</v>
      </c>
      <c r="H3921">
        <v>81.111800000000002</v>
      </c>
      <c r="I3921">
        <v>16.12</v>
      </c>
      <c r="J3921">
        <v>63.99</v>
      </c>
      <c r="K3921" t="s">
        <v>32</v>
      </c>
      <c r="L3921">
        <v>404.65</v>
      </c>
      <c r="M3921">
        <f>VLOOKUP(K3921,RatingLookup!$A$2:$C$8,2,FALSE)</f>
        <v>0.12</v>
      </c>
      <c r="N3921">
        <f t="shared" si="183"/>
        <v>1.0596241035318976E-2</v>
      </c>
      <c r="O3921">
        <f>VLOOKUP(K3921,RatingLookup!$A$2:$C$8,3,FALSE)</f>
        <v>0.7</v>
      </c>
      <c r="P3921">
        <f t="shared" si="184"/>
        <v>3.0014382544592761</v>
      </c>
      <c r="Q3921" t="str">
        <f t="shared" ca="1" si="185"/>
        <v>No</v>
      </c>
    </row>
    <row r="3922" spans="1:17" x14ac:dyDescent="0.45">
      <c r="A3922" t="s">
        <v>166</v>
      </c>
      <c r="B3922" t="s">
        <v>167</v>
      </c>
      <c r="C3922" t="s">
        <v>40</v>
      </c>
      <c r="D3922" t="s">
        <v>20</v>
      </c>
      <c r="E3922" t="s">
        <v>21</v>
      </c>
      <c r="F3922" s="1">
        <v>44440</v>
      </c>
      <c r="G3922">
        <v>5.24</v>
      </c>
      <c r="H3922">
        <v>80.720399999999998</v>
      </c>
      <c r="I3922">
        <v>22.76</v>
      </c>
      <c r="J3922">
        <v>73.61</v>
      </c>
      <c r="K3922" t="s">
        <v>32</v>
      </c>
      <c r="L3922">
        <v>396.56</v>
      </c>
      <c r="M3922">
        <f>VLOOKUP(K3922,RatingLookup!$A$2:$C$8,2,FALSE)</f>
        <v>0.12</v>
      </c>
      <c r="N3922">
        <f t="shared" si="183"/>
        <v>1.0596241035318976E-2</v>
      </c>
      <c r="O3922">
        <f>VLOOKUP(K3922,RatingLookup!$A$2:$C$8,3,FALSE)</f>
        <v>0.7</v>
      </c>
      <c r="P3922">
        <f t="shared" si="184"/>
        <v>2.941431741476265</v>
      </c>
      <c r="Q3922" t="str">
        <f t="shared" ca="1" si="185"/>
        <v>No</v>
      </c>
    </row>
    <row r="3923" spans="1:17" x14ac:dyDescent="0.45">
      <c r="A3923" t="s">
        <v>166</v>
      </c>
      <c r="B3923" t="s">
        <v>167</v>
      </c>
      <c r="C3923" t="s">
        <v>40</v>
      </c>
      <c r="D3923" t="s">
        <v>20</v>
      </c>
      <c r="E3923" t="s">
        <v>21</v>
      </c>
      <c r="F3923" s="1">
        <v>44470</v>
      </c>
      <c r="G3923">
        <v>5.81</v>
      </c>
      <c r="H3923">
        <v>83.314400000000006</v>
      </c>
      <c r="I3923">
        <v>13.87</v>
      </c>
      <c r="J3923">
        <v>78.08</v>
      </c>
      <c r="K3923" t="s">
        <v>32</v>
      </c>
      <c r="L3923">
        <v>417.76</v>
      </c>
      <c r="M3923">
        <f>VLOOKUP(K3923,RatingLookup!$A$2:$C$8,2,FALSE)</f>
        <v>0.12</v>
      </c>
      <c r="N3923">
        <f t="shared" si="183"/>
        <v>1.0596241035318976E-2</v>
      </c>
      <c r="O3923">
        <f>VLOOKUP(K3923,RatingLookup!$A$2:$C$8,3,FALSE)</f>
        <v>0.7</v>
      </c>
      <c r="P3923">
        <f t="shared" si="184"/>
        <v>3.0986799584403988</v>
      </c>
      <c r="Q3923" t="str">
        <f t="shared" ca="1" si="185"/>
        <v>No</v>
      </c>
    </row>
    <row r="3924" spans="1:17" x14ac:dyDescent="0.45">
      <c r="A3924" t="s">
        <v>166</v>
      </c>
      <c r="B3924" t="s">
        <v>167</v>
      </c>
      <c r="C3924" t="s">
        <v>40</v>
      </c>
      <c r="D3924" t="s">
        <v>20</v>
      </c>
      <c r="E3924" t="s">
        <v>21</v>
      </c>
      <c r="F3924" s="1">
        <v>44501</v>
      </c>
      <c r="G3924">
        <v>6.24</v>
      </c>
      <c r="H3924">
        <v>81.169300000000007</v>
      </c>
      <c r="I3924">
        <v>20.079999999999998</v>
      </c>
      <c r="J3924">
        <v>71.84</v>
      </c>
      <c r="K3924" t="s">
        <v>32</v>
      </c>
      <c r="L3924">
        <v>389.3</v>
      </c>
      <c r="M3924">
        <f>VLOOKUP(K3924,RatingLookup!$A$2:$C$8,2,FALSE)</f>
        <v>0.12</v>
      </c>
      <c r="N3924">
        <f t="shared" si="183"/>
        <v>1.0596241035318976E-2</v>
      </c>
      <c r="O3924">
        <f>VLOOKUP(K3924,RatingLookup!$A$2:$C$8,3,FALSE)</f>
        <v>0.7</v>
      </c>
      <c r="P3924">
        <f t="shared" si="184"/>
        <v>2.8875816445347744</v>
      </c>
      <c r="Q3924" t="str">
        <f t="shared" ca="1" si="185"/>
        <v>No</v>
      </c>
    </row>
    <row r="3925" spans="1:17" x14ac:dyDescent="0.45">
      <c r="A3925" t="s">
        <v>166</v>
      </c>
      <c r="B3925" t="s">
        <v>167</v>
      </c>
      <c r="C3925" t="s">
        <v>40</v>
      </c>
      <c r="D3925" t="s">
        <v>20</v>
      </c>
      <c r="E3925" t="s">
        <v>21</v>
      </c>
      <c r="F3925" s="1">
        <v>44531</v>
      </c>
      <c r="G3925">
        <v>4.95</v>
      </c>
      <c r="H3925">
        <v>82.791700000000006</v>
      </c>
      <c r="I3925">
        <v>15.76</v>
      </c>
      <c r="J3925">
        <v>56.02</v>
      </c>
      <c r="K3925" t="s">
        <v>32</v>
      </c>
      <c r="L3925">
        <v>386.89</v>
      </c>
      <c r="M3925">
        <f>VLOOKUP(K3925,RatingLookup!$A$2:$C$8,2,FALSE)</f>
        <v>0.12</v>
      </c>
      <c r="N3925">
        <f t="shared" si="183"/>
        <v>1.0596241035318976E-2</v>
      </c>
      <c r="O3925">
        <f>VLOOKUP(K3925,RatingLookup!$A$2:$C$8,3,FALSE)</f>
        <v>0.7</v>
      </c>
      <c r="P3925">
        <f t="shared" si="184"/>
        <v>2.8697057859081907</v>
      </c>
      <c r="Q3925" t="str">
        <f t="shared" ca="1" si="185"/>
        <v>No</v>
      </c>
    </row>
    <row r="3926" spans="1:17" x14ac:dyDescent="0.45">
      <c r="A3926" t="s">
        <v>166</v>
      </c>
      <c r="B3926" t="s">
        <v>167</v>
      </c>
      <c r="C3926" t="s">
        <v>40</v>
      </c>
      <c r="D3926" t="s">
        <v>20</v>
      </c>
      <c r="E3926" t="s">
        <v>21</v>
      </c>
      <c r="F3926" s="1">
        <v>44562</v>
      </c>
      <c r="G3926">
        <v>5.27</v>
      </c>
      <c r="H3926">
        <v>82.599599999999995</v>
      </c>
      <c r="I3926">
        <v>14.68</v>
      </c>
      <c r="J3926">
        <v>99.49</v>
      </c>
      <c r="K3926" t="s">
        <v>32</v>
      </c>
      <c r="L3926">
        <v>402.73</v>
      </c>
      <c r="M3926">
        <f>VLOOKUP(K3926,RatingLookup!$A$2:$C$8,2,FALSE)</f>
        <v>0.12</v>
      </c>
      <c r="N3926">
        <f t="shared" si="183"/>
        <v>1.0596241035318976E-2</v>
      </c>
      <c r="O3926">
        <f>VLOOKUP(K3926,RatingLookup!$A$2:$C$8,3,FALSE)</f>
        <v>0.7</v>
      </c>
      <c r="P3926">
        <f t="shared" si="184"/>
        <v>2.9871969065078079</v>
      </c>
      <c r="Q3926" t="str">
        <f t="shared" ca="1" si="185"/>
        <v>No</v>
      </c>
    </row>
    <row r="3927" spans="1:17" x14ac:dyDescent="0.45">
      <c r="A3927" t="s">
        <v>166</v>
      </c>
      <c r="B3927" t="s">
        <v>167</v>
      </c>
      <c r="C3927" t="s">
        <v>40</v>
      </c>
      <c r="D3927" t="s">
        <v>20</v>
      </c>
      <c r="E3927" t="s">
        <v>21</v>
      </c>
      <c r="F3927" s="1">
        <v>44593</v>
      </c>
      <c r="G3927">
        <v>5.92</v>
      </c>
      <c r="H3927">
        <v>87.785799999999995</v>
      </c>
      <c r="I3927">
        <v>28.73</v>
      </c>
      <c r="J3927">
        <v>78.290000000000006</v>
      </c>
      <c r="K3927" t="s">
        <v>32</v>
      </c>
      <c r="L3927">
        <v>377.96</v>
      </c>
      <c r="M3927">
        <f>VLOOKUP(K3927,RatingLookup!$A$2:$C$8,2,FALSE)</f>
        <v>0.12</v>
      </c>
      <c r="N3927">
        <f t="shared" si="183"/>
        <v>1.0596241035318976E-2</v>
      </c>
      <c r="O3927">
        <f>VLOOKUP(K3927,RatingLookup!$A$2:$C$8,3,FALSE)</f>
        <v>0.7</v>
      </c>
      <c r="P3927">
        <f t="shared" si="184"/>
        <v>2.803468683196412</v>
      </c>
      <c r="Q3927" t="str">
        <f t="shared" ca="1" si="185"/>
        <v>No</v>
      </c>
    </row>
    <row r="3928" spans="1:17" x14ac:dyDescent="0.45">
      <c r="A3928" t="s">
        <v>166</v>
      </c>
      <c r="B3928" t="s">
        <v>167</v>
      </c>
      <c r="C3928" t="s">
        <v>40</v>
      </c>
      <c r="D3928" t="s">
        <v>20</v>
      </c>
      <c r="E3928" t="s">
        <v>21</v>
      </c>
      <c r="F3928" s="1">
        <v>44621</v>
      </c>
      <c r="G3928">
        <v>5.37</v>
      </c>
      <c r="H3928">
        <v>81.240899999999996</v>
      </c>
      <c r="I3928">
        <v>11.76</v>
      </c>
      <c r="J3928">
        <v>53.4</v>
      </c>
      <c r="K3928" t="s">
        <v>32</v>
      </c>
      <c r="L3928">
        <v>403.64</v>
      </c>
      <c r="M3928">
        <f>VLOOKUP(K3928,RatingLookup!$A$2:$C$8,2,FALSE)</f>
        <v>0.12</v>
      </c>
      <c r="N3928">
        <f t="shared" si="183"/>
        <v>1.0596241035318976E-2</v>
      </c>
      <c r="O3928">
        <f>VLOOKUP(K3928,RatingLookup!$A$2:$C$8,3,FALSE)</f>
        <v>0.7</v>
      </c>
      <c r="P3928">
        <f t="shared" si="184"/>
        <v>2.9939467120473058</v>
      </c>
      <c r="Q3928" t="str">
        <f t="shared" ca="1" si="185"/>
        <v>No</v>
      </c>
    </row>
    <row r="3929" spans="1:17" x14ac:dyDescent="0.45">
      <c r="A3929" t="s">
        <v>166</v>
      </c>
      <c r="B3929" t="s">
        <v>167</v>
      </c>
      <c r="C3929" t="s">
        <v>40</v>
      </c>
      <c r="D3929" t="s">
        <v>20</v>
      </c>
      <c r="E3929" t="s">
        <v>21</v>
      </c>
      <c r="F3929" s="1">
        <v>44652</v>
      </c>
      <c r="G3929">
        <v>3.9</v>
      </c>
      <c r="H3929">
        <v>83.640100000000004</v>
      </c>
      <c r="I3929">
        <v>17.649999999999999</v>
      </c>
      <c r="J3929">
        <v>79.87</v>
      </c>
      <c r="K3929" t="s">
        <v>32</v>
      </c>
      <c r="L3929">
        <v>374.64</v>
      </c>
      <c r="M3929">
        <f>VLOOKUP(K3929,RatingLookup!$A$2:$C$8,2,FALSE)</f>
        <v>0.12</v>
      </c>
      <c r="N3929">
        <f t="shared" si="183"/>
        <v>1.0596241035318976E-2</v>
      </c>
      <c r="O3929">
        <f>VLOOKUP(K3929,RatingLookup!$A$2:$C$8,3,FALSE)</f>
        <v>0.7</v>
      </c>
      <c r="P3929">
        <f t="shared" si="184"/>
        <v>2.7788430190303304</v>
      </c>
      <c r="Q3929" t="str">
        <f t="shared" ca="1" si="185"/>
        <v>No</v>
      </c>
    </row>
    <row r="3930" spans="1:17" x14ac:dyDescent="0.45">
      <c r="A3930" t="s">
        <v>166</v>
      </c>
      <c r="B3930" t="s">
        <v>167</v>
      </c>
      <c r="C3930" t="s">
        <v>40</v>
      </c>
      <c r="D3930" t="s">
        <v>20</v>
      </c>
      <c r="E3930" t="s">
        <v>21</v>
      </c>
      <c r="F3930" s="1">
        <v>44682</v>
      </c>
      <c r="G3930">
        <v>5.09</v>
      </c>
      <c r="H3930">
        <v>85.533299999999997</v>
      </c>
      <c r="I3930">
        <v>23.79</v>
      </c>
      <c r="J3930">
        <v>76.3</v>
      </c>
      <c r="K3930" t="s">
        <v>32</v>
      </c>
      <c r="L3930">
        <v>383.6</v>
      </c>
      <c r="M3930">
        <f>VLOOKUP(K3930,RatingLookup!$A$2:$C$8,2,FALSE)</f>
        <v>0.12</v>
      </c>
      <c r="N3930">
        <f t="shared" si="183"/>
        <v>1.0596241035318976E-2</v>
      </c>
      <c r="O3930">
        <f>VLOOKUP(K3930,RatingLookup!$A$2:$C$8,3,FALSE)</f>
        <v>0.7</v>
      </c>
      <c r="P3930">
        <f t="shared" si="184"/>
        <v>2.8453026428038513</v>
      </c>
      <c r="Q3930" t="str">
        <f t="shared" ca="1" si="185"/>
        <v>No</v>
      </c>
    </row>
    <row r="3931" spans="1:17" x14ac:dyDescent="0.45">
      <c r="A3931" t="s">
        <v>166</v>
      </c>
      <c r="B3931" t="s">
        <v>167</v>
      </c>
      <c r="C3931" t="s">
        <v>40</v>
      </c>
      <c r="D3931" t="s">
        <v>20</v>
      </c>
      <c r="E3931" t="s">
        <v>21</v>
      </c>
      <c r="F3931" s="1">
        <v>44713</v>
      </c>
      <c r="G3931">
        <v>5.05</v>
      </c>
      <c r="H3931">
        <v>81.7547</v>
      </c>
      <c r="I3931">
        <v>20.12</v>
      </c>
      <c r="J3931">
        <v>78.75</v>
      </c>
      <c r="K3931" t="s">
        <v>32</v>
      </c>
      <c r="L3931">
        <v>366.64</v>
      </c>
      <c r="M3931">
        <f>VLOOKUP(K3931,RatingLookup!$A$2:$C$8,2,FALSE)</f>
        <v>0.12</v>
      </c>
      <c r="N3931">
        <f t="shared" si="183"/>
        <v>1.0596241035318976E-2</v>
      </c>
      <c r="O3931">
        <f>VLOOKUP(K3931,RatingLookup!$A$2:$C$8,3,FALSE)</f>
        <v>0.7</v>
      </c>
      <c r="P3931">
        <f t="shared" si="184"/>
        <v>2.7195040692325443</v>
      </c>
      <c r="Q3931" t="str">
        <f t="shared" ca="1" si="185"/>
        <v>No</v>
      </c>
    </row>
    <row r="3932" spans="1:17" x14ac:dyDescent="0.45">
      <c r="A3932" t="s">
        <v>166</v>
      </c>
      <c r="B3932" t="s">
        <v>167</v>
      </c>
      <c r="C3932" t="s">
        <v>40</v>
      </c>
      <c r="D3932" t="s">
        <v>20</v>
      </c>
      <c r="E3932" t="s">
        <v>21</v>
      </c>
      <c r="F3932" s="1">
        <v>44743</v>
      </c>
      <c r="G3932">
        <v>5.09</v>
      </c>
      <c r="H3932">
        <v>90.581999999999994</v>
      </c>
      <c r="I3932">
        <v>12.93</v>
      </c>
      <c r="J3932">
        <v>84.16</v>
      </c>
      <c r="K3932" t="s">
        <v>32</v>
      </c>
      <c r="L3932">
        <v>393.21</v>
      </c>
      <c r="M3932">
        <f>VLOOKUP(K3932,RatingLookup!$A$2:$C$8,2,FALSE)</f>
        <v>0.12</v>
      </c>
      <c r="N3932">
        <f t="shared" si="183"/>
        <v>1.0596241035318976E-2</v>
      </c>
      <c r="O3932">
        <f>VLOOKUP(K3932,RatingLookup!$A$2:$C$8,3,FALSE)</f>
        <v>0.7</v>
      </c>
      <c r="P3932">
        <f t="shared" si="184"/>
        <v>2.9165835562484417</v>
      </c>
      <c r="Q3932" t="str">
        <f t="shared" ca="1" si="185"/>
        <v>No</v>
      </c>
    </row>
    <row r="3933" spans="1:17" x14ac:dyDescent="0.45">
      <c r="A3933" t="s">
        <v>166</v>
      </c>
      <c r="B3933" t="s">
        <v>167</v>
      </c>
      <c r="C3933" t="s">
        <v>40</v>
      </c>
      <c r="D3933" t="s">
        <v>20</v>
      </c>
      <c r="E3933" t="s">
        <v>21</v>
      </c>
      <c r="F3933" s="1">
        <v>44774</v>
      </c>
      <c r="G3933">
        <v>5.93</v>
      </c>
      <c r="H3933">
        <v>86.893100000000004</v>
      </c>
      <c r="I3933">
        <v>16.98</v>
      </c>
      <c r="J3933">
        <v>78.52</v>
      </c>
      <c r="K3933" t="s">
        <v>32</v>
      </c>
      <c r="L3933">
        <v>390.31</v>
      </c>
      <c r="M3933">
        <f>VLOOKUP(K3933,RatingLookup!$A$2:$C$8,2,FALSE)</f>
        <v>0.12</v>
      </c>
      <c r="N3933">
        <f t="shared" si="183"/>
        <v>1.0596241035318976E-2</v>
      </c>
      <c r="O3933">
        <f>VLOOKUP(K3933,RatingLookup!$A$2:$C$8,3,FALSE)</f>
        <v>0.7</v>
      </c>
      <c r="P3933">
        <f t="shared" si="184"/>
        <v>2.8950731869467448</v>
      </c>
      <c r="Q3933" t="str">
        <f t="shared" ca="1" si="185"/>
        <v>No</v>
      </c>
    </row>
    <row r="3934" spans="1:17" x14ac:dyDescent="0.45">
      <c r="A3934" t="s">
        <v>166</v>
      </c>
      <c r="B3934" t="s">
        <v>167</v>
      </c>
      <c r="C3934" t="s">
        <v>40</v>
      </c>
      <c r="D3934" t="s">
        <v>20</v>
      </c>
      <c r="E3934" t="s">
        <v>21</v>
      </c>
      <c r="F3934" s="1">
        <v>44805</v>
      </c>
      <c r="G3934">
        <v>4.49</v>
      </c>
      <c r="H3934">
        <v>82.978999999999999</v>
      </c>
      <c r="I3934">
        <v>21.04</v>
      </c>
      <c r="J3934">
        <v>71.11</v>
      </c>
      <c r="K3934" t="s">
        <v>32</v>
      </c>
      <c r="L3934">
        <v>425.96</v>
      </c>
      <c r="M3934">
        <f>VLOOKUP(K3934,RatingLookup!$A$2:$C$8,2,FALSE)</f>
        <v>0.12</v>
      </c>
      <c r="N3934">
        <f t="shared" si="183"/>
        <v>1.0596241035318976E-2</v>
      </c>
      <c r="O3934">
        <f>VLOOKUP(K3934,RatingLookup!$A$2:$C$8,3,FALSE)</f>
        <v>0.7</v>
      </c>
      <c r="P3934">
        <f t="shared" si="184"/>
        <v>3.1595023819831294</v>
      </c>
      <c r="Q3934" t="str">
        <f t="shared" ca="1" si="185"/>
        <v>No</v>
      </c>
    </row>
    <row r="3935" spans="1:17" x14ac:dyDescent="0.45">
      <c r="A3935" t="s">
        <v>166</v>
      </c>
      <c r="B3935" t="s">
        <v>167</v>
      </c>
      <c r="C3935" t="s">
        <v>40</v>
      </c>
      <c r="D3935" t="s">
        <v>20</v>
      </c>
      <c r="E3935" t="s">
        <v>21</v>
      </c>
      <c r="F3935" s="1">
        <v>44835</v>
      </c>
      <c r="G3935">
        <v>5.66</v>
      </c>
      <c r="H3935">
        <v>80.683099999999996</v>
      </c>
      <c r="I3935">
        <v>14.12</v>
      </c>
      <c r="J3935">
        <v>81.680000000000007</v>
      </c>
      <c r="K3935" t="s">
        <v>32</v>
      </c>
      <c r="L3935">
        <v>389.98</v>
      </c>
      <c r="M3935">
        <f>VLOOKUP(K3935,RatingLookup!$A$2:$C$8,2,FALSE)</f>
        <v>0.12</v>
      </c>
      <c r="N3935">
        <f t="shared" si="183"/>
        <v>1.0596241035318976E-2</v>
      </c>
      <c r="O3935">
        <f>VLOOKUP(K3935,RatingLookup!$A$2:$C$8,3,FALSE)</f>
        <v>0.7</v>
      </c>
      <c r="P3935">
        <f t="shared" si="184"/>
        <v>2.8926254552675861</v>
      </c>
      <c r="Q3935" t="str">
        <f t="shared" ca="1" si="185"/>
        <v>No</v>
      </c>
    </row>
    <row r="3936" spans="1:17" x14ac:dyDescent="0.45">
      <c r="A3936" t="s">
        <v>166</v>
      </c>
      <c r="B3936" t="s">
        <v>167</v>
      </c>
      <c r="C3936" t="s">
        <v>40</v>
      </c>
      <c r="D3936" t="s">
        <v>20</v>
      </c>
      <c r="E3936" t="s">
        <v>21</v>
      </c>
      <c r="F3936" s="1">
        <v>44866</v>
      </c>
      <c r="G3936">
        <v>5.75</v>
      </c>
      <c r="H3936">
        <v>88.122299999999996</v>
      </c>
      <c r="I3936">
        <v>24.11</v>
      </c>
      <c r="J3936">
        <v>68.06</v>
      </c>
      <c r="K3936" t="s">
        <v>32</v>
      </c>
      <c r="L3936">
        <v>382.18</v>
      </c>
      <c r="M3936">
        <f>VLOOKUP(K3936,RatingLookup!$A$2:$C$8,2,FALSE)</f>
        <v>0.12</v>
      </c>
      <c r="N3936">
        <f t="shared" si="183"/>
        <v>1.0596241035318976E-2</v>
      </c>
      <c r="O3936">
        <f>VLOOKUP(K3936,RatingLookup!$A$2:$C$8,3,FALSE)</f>
        <v>0.7</v>
      </c>
      <c r="P3936">
        <f t="shared" si="184"/>
        <v>2.8347699792147441</v>
      </c>
      <c r="Q3936" t="str">
        <f t="shared" ca="1" si="185"/>
        <v>Yes</v>
      </c>
    </row>
    <row r="3937" spans="1:17" x14ac:dyDescent="0.45">
      <c r="A3937" t="s">
        <v>166</v>
      </c>
      <c r="B3937" t="s">
        <v>167</v>
      </c>
      <c r="C3937" t="s">
        <v>40</v>
      </c>
      <c r="D3937" t="s">
        <v>20</v>
      </c>
      <c r="E3937" t="s">
        <v>21</v>
      </c>
      <c r="F3937" s="1">
        <v>44896</v>
      </c>
      <c r="G3937">
        <v>4.82</v>
      </c>
      <c r="H3937">
        <v>82.115799999999993</v>
      </c>
      <c r="I3937">
        <v>18.05</v>
      </c>
      <c r="J3937">
        <v>65.06</v>
      </c>
      <c r="K3937" t="s">
        <v>32</v>
      </c>
      <c r="L3937">
        <v>381.63</v>
      </c>
      <c r="M3937">
        <f>VLOOKUP(K3937,RatingLookup!$A$2:$C$8,2,FALSE)</f>
        <v>0.12</v>
      </c>
      <c r="N3937">
        <f t="shared" si="183"/>
        <v>1.0596241035318976E-2</v>
      </c>
      <c r="O3937">
        <f>VLOOKUP(K3937,RatingLookup!$A$2:$C$8,3,FALSE)</f>
        <v>0.7</v>
      </c>
      <c r="P3937">
        <f t="shared" si="184"/>
        <v>2.8306904264161465</v>
      </c>
      <c r="Q3937" t="str">
        <f t="shared" ca="1" si="185"/>
        <v>No</v>
      </c>
    </row>
    <row r="3938" spans="1:17" x14ac:dyDescent="0.45">
      <c r="A3938" t="s">
        <v>166</v>
      </c>
      <c r="B3938" t="s">
        <v>167</v>
      </c>
      <c r="C3938" t="s">
        <v>40</v>
      </c>
      <c r="D3938" t="s">
        <v>20</v>
      </c>
      <c r="E3938" t="s">
        <v>21</v>
      </c>
      <c r="F3938" s="1">
        <v>44927</v>
      </c>
      <c r="G3938">
        <v>6.05</v>
      </c>
      <c r="H3938">
        <v>81.851200000000006</v>
      </c>
      <c r="I3938">
        <v>25.47</v>
      </c>
      <c r="J3938">
        <v>80.650000000000006</v>
      </c>
      <c r="K3938" t="s">
        <v>32</v>
      </c>
      <c r="L3938">
        <v>373.76</v>
      </c>
      <c r="M3938">
        <f>VLOOKUP(K3938,RatingLookup!$A$2:$C$8,2,FALSE)</f>
        <v>0.12</v>
      </c>
      <c r="N3938">
        <f t="shared" si="183"/>
        <v>1.0596241035318976E-2</v>
      </c>
      <c r="O3938">
        <f>VLOOKUP(K3938,RatingLookup!$A$2:$C$8,3,FALSE)</f>
        <v>0.7</v>
      </c>
      <c r="P3938">
        <f t="shared" si="184"/>
        <v>2.7723157345525742</v>
      </c>
      <c r="Q3938" t="str">
        <f t="shared" ca="1" si="185"/>
        <v>No</v>
      </c>
    </row>
    <row r="3939" spans="1:17" x14ac:dyDescent="0.45">
      <c r="A3939" t="s">
        <v>166</v>
      </c>
      <c r="B3939" t="s">
        <v>167</v>
      </c>
      <c r="C3939" t="s">
        <v>40</v>
      </c>
      <c r="D3939" t="s">
        <v>20</v>
      </c>
      <c r="E3939" t="s">
        <v>21</v>
      </c>
      <c r="F3939" s="1">
        <v>44958</v>
      </c>
      <c r="G3939">
        <v>4.92</v>
      </c>
      <c r="H3939">
        <v>83.651200000000003</v>
      </c>
      <c r="I3939">
        <v>13.7</v>
      </c>
      <c r="J3939">
        <v>66.62</v>
      </c>
      <c r="K3939" t="s">
        <v>32</v>
      </c>
      <c r="L3939">
        <v>394.49</v>
      </c>
      <c r="M3939">
        <f>VLOOKUP(K3939,RatingLookup!$A$2:$C$8,2,FALSE)</f>
        <v>0.12</v>
      </c>
      <c r="N3939">
        <f t="shared" si="183"/>
        <v>1.0596241035318976E-2</v>
      </c>
      <c r="O3939">
        <f>VLOOKUP(K3939,RatingLookup!$A$2:$C$8,3,FALSE)</f>
        <v>0.7</v>
      </c>
      <c r="P3939">
        <f t="shared" si="184"/>
        <v>2.9260777882160882</v>
      </c>
      <c r="Q3939" t="str">
        <f t="shared" ca="1" si="185"/>
        <v>No</v>
      </c>
    </row>
    <row r="3940" spans="1:17" x14ac:dyDescent="0.45">
      <c r="A3940" t="s">
        <v>166</v>
      </c>
      <c r="B3940" t="s">
        <v>167</v>
      </c>
      <c r="C3940" t="s">
        <v>40</v>
      </c>
      <c r="D3940" t="s">
        <v>20</v>
      </c>
      <c r="E3940" t="s">
        <v>21</v>
      </c>
      <c r="F3940" s="1">
        <v>44986</v>
      </c>
      <c r="G3940">
        <v>5.39</v>
      </c>
      <c r="H3940">
        <v>84.052099999999996</v>
      </c>
      <c r="I3940">
        <v>12.15</v>
      </c>
      <c r="J3940">
        <v>70.03</v>
      </c>
      <c r="K3940" t="s">
        <v>32</v>
      </c>
      <c r="L3940">
        <v>396.64</v>
      </c>
      <c r="M3940">
        <f>VLOOKUP(K3940,RatingLookup!$A$2:$C$8,2,FALSE)</f>
        <v>0.12</v>
      </c>
      <c r="N3940">
        <f t="shared" si="183"/>
        <v>1.0596241035318976E-2</v>
      </c>
      <c r="O3940">
        <f>VLOOKUP(K3940,RatingLookup!$A$2:$C$8,3,FALSE)</f>
        <v>0.7</v>
      </c>
      <c r="P3940">
        <f t="shared" si="184"/>
        <v>2.9420251309742431</v>
      </c>
      <c r="Q3940" t="str">
        <f t="shared" ca="1" si="185"/>
        <v>No</v>
      </c>
    </row>
    <row r="3941" spans="1:17" x14ac:dyDescent="0.45">
      <c r="A3941" t="s">
        <v>166</v>
      </c>
      <c r="B3941" t="s">
        <v>167</v>
      </c>
      <c r="C3941" t="s">
        <v>40</v>
      </c>
      <c r="D3941" t="s">
        <v>20</v>
      </c>
      <c r="E3941" t="s">
        <v>21</v>
      </c>
      <c r="F3941" s="1">
        <v>45017</v>
      </c>
      <c r="G3941">
        <v>4.97</v>
      </c>
      <c r="H3941">
        <v>79.786699999999996</v>
      </c>
      <c r="I3941">
        <v>24.67</v>
      </c>
      <c r="J3941">
        <v>63.31</v>
      </c>
      <c r="K3941" t="s">
        <v>32</v>
      </c>
      <c r="L3941">
        <v>385.88</v>
      </c>
      <c r="M3941">
        <f>VLOOKUP(K3941,RatingLookup!$A$2:$C$8,2,FALSE)</f>
        <v>0.12</v>
      </c>
      <c r="N3941">
        <f t="shared" si="183"/>
        <v>1.0596241035318976E-2</v>
      </c>
      <c r="O3941">
        <f>VLOOKUP(K3941,RatingLookup!$A$2:$C$8,3,FALSE)</f>
        <v>0.7</v>
      </c>
      <c r="P3941">
        <f t="shared" si="184"/>
        <v>2.8622142434962199</v>
      </c>
      <c r="Q3941" t="str">
        <f t="shared" ca="1" si="185"/>
        <v>No</v>
      </c>
    </row>
    <row r="3942" spans="1:17" x14ac:dyDescent="0.45">
      <c r="A3942" t="s">
        <v>166</v>
      </c>
      <c r="B3942" t="s">
        <v>167</v>
      </c>
      <c r="C3942" t="s">
        <v>40</v>
      </c>
      <c r="D3942" t="s">
        <v>20</v>
      </c>
      <c r="E3942" t="s">
        <v>21</v>
      </c>
      <c r="F3942" s="1">
        <v>45047</v>
      </c>
      <c r="G3942">
        <v>5.22</v>
      </c>
      <c r="H3942">
        <v>83.058199999999999</v>
      </c>
      <c r="I3942">
        <v>17.39</v>
      </c>
      <c r="J3942">
        <v>67.680000000000007</v>
      </c>
      <c r="K3942" t="s">
        <v>32</v>
      </c>
      <c r="L3942">
        <v>374.71</v>
      </c>
      <c r="M3942">
        <f>VLOOKUP(K3942,RatingLookup!$A$2:$C$8,2,FALSE)</f>
        <v>0.12</v>
      </c>
      <c r="N3942">
        <f t="shared" si="183"/>
        <v>1.0596241035318976E-2</v>
      </c>
      <c r="O3942">
        <f>VLOOKUP(K3942,RatingLookup!$A$2:$C$8,3,FALSE)</f>
        <v>0.7</v>
      </c>
      <c r="P3942">
        <f t="shared" si="184"/>
        <v>2.7793622348410612</v>
      </c>
      <c r="Q3942" t="str">
        <f t="shared" ca="1" si="185"/>
        <v>No</v>
      </c>
    </row>
    <row r="3943" spans="1:17" x14ac:dyDescent="0.45">
      <c r="A3943" t="s">
        <v>166</v>
      </c>
      <c r="B3943" t="s">
        <v>167</v>
      </c>
      <c r="C3943" t="s">
        <v>40</v>
      </c>
      <c r="D3943" t="s">
        <v>20</v>
      </c>
      <c r="E3943" t="s">
        <v>21</v>
      </c>
      <c r="F3943" s="1">
        <v>45078</v>
      </c>
      <c r="G3943">
        <v>5.79</v>
      </c>
      <c r="H3943">
        <v>77.8613</v>
      </c>
      <c r="I3943">
        <v>13.49</v>
      </c>
      <c r="J3943">
        <v>71.69</v>
      </c>
      <c r="K3943" t="s">
        <v>32</v>
      </c>
      <c r="L3943">
        <v>396.44</v>
      </c>
      <c r="M3943">
        <f>VLOOKUP(K3943,RatingLookup!$A$2:$C$8,2,FALSE)</f>
        <v>0.12</v>
      </c>
      <c r="N3943">
        <f t="shared" si="183"/>
        <v>1.0596241035318976E-2</v>
      </c>
      <c r="O3943">
        <f>VLOOKUP(K3943,RatingLookup!$A$2:$C$8,3,FALSE)</f>
        <v>0.7</v>
      </c>
      <c r="P3943">
        <f t="shared" si="184"/>
        <v>2.9405416572292982</v>
      </c>
      <c r="Q3943" t="str">
        <f t="shared" ca="1" si="185"/>
        <v>No</v>
      </c>
    </row>
    <row r="3944" spans="1:17" x14ac:dyDescent="0.45">
      <c r="A3944" t="s">
        <v>166</v>
      </c>
      <c r="B3944" t="s">
        <v>167</v>
      </c>
      <c r="C3944" t="s">
        <v>40</v>
      </c>
      <c r="D3944" t="s">
        <v>20</v>
      </c>
      <c r="E3944" t="s">
        <v>21</v>
      </c>
      <c r="F3944" s="1">
        <v>45108</v>
      </c>
      <c r="G3944">
        <v>5.03</v>
      </c>
      <c r="H3944">
        <v>77.679000000000002</v>
      </c>
      <c r="I3944">
        <v>24.74</v>
      </c>
      <c r="J3944">
        <v>71.489999999999995</v>
      </c>
      <c r="K3944" t="s">
        <v>32</v>
      </c>
      <c r="L3944">
        <v>398.12</v>
      </c>
      <c r="M3944">
        <f>VLOOKUP(K3944,RatingLookup!$A$2:$C$8,2,FALSE)</f>
        <v>0.12</v>
      </c>
      <c r="N3944">
        <f t="shared" si="183"/>
        <v>1.0596241035318976E-2</v>
      </c>
      <c r="O3944">
        <f>VLOOKUP(K3944,RatingLookup!$A$2:$C$8,3,FALSE)</f>
        <v>0.7</v>
      </c>
      <c r="P3944">
        <f t="shared" si="184"/>
        <v>2.9530028366868337</v>
      </c>
      <c r="Q3944" t="str">
        <f t="shared" ca="1" si="185"/>
        <v>No</v>
      </c>
    </row>
    <row r="3945" spans="1:17" x14ac:dyDescent="0.45">
      <c r="A3945" t="s">
        <v>166</v>
      </c>
      <c r="B3945" t="s">
        <v>167</v>
      </c>
      <c r="C3945" t="s">
        <v>40</v>
      </c>
      <c r="D3945" t="s">
        <v>20</v>
      </c>
      <c r="E3945" t="s">
        <v>21</v>
      </c>
      <c r="F3945" s="1">
        <v>45139</v>
      </c>
      <c r="G3945">
        <v>5.37</v>
      </c>
      <c r="H3945">
        <v>86.31</v>
      </c>
      <c r="I3945">
        <v>37.96</v>
      </c>
      <c r="J3945">
        <v>83.73</v>
      </c>
      <c r="K3945" t="s">
        <v>32</v>
      </c>
      <c r="L3945">
        <v>354.72</v>
      </c>
      <c r="M3945">
        <f>VLOOKUP(K3945,RatingLookup!$A$2:$C$8,2,FALSE)</f>
        <v>0.12</v>
      </c>
      <c r="N3945">
        <f t="shared" si="183"/>
        <v>1.0596241035318976E-2</v>
      </c>
      <c r="O3945">
        <f>VLOOKUP(K3945,RatingLookup!$A$2:$C$8,3,FALSE)</f>
        <v>0.7</v>
      </c>
      <c r="P3945">
        <f t="shared" si="184"/>
        <v>2.6310890340338431</v>
      </c>
      <c r="Q3945" t="str">
        <f t="shared" ca="1" si="185"/>
        <v>No</v>
      </c>
    </row>
    <row r="3946" spans="1:17" x14ac:dyDescent="0.45">
      <c r="A3946" t="s">
        <v>166</v>
      </c>
      <c r="B3946" t="s">
        <v>167</v>
      </c>
      <c r="C3946" t="s">
        <v>40</v>
      </c>
      <c r="D3946" t="s">
        <v>20</v>
      </c>
      <c r="E3946" t="s">
        <v>21</v>
      </c>
      <c r="F3946" s="1">
        <v>45170</v>
      </c>
      <c r="G3946">
        <v>5.83</v>
      </c>
      <c r="H3946">
        <v>83.819000000000003</v>
      </c>
      <c r="I3946">
        <v>11.47</v>
      </c>
      <c r="J3946">
        <v>72.8</v>
      </c>
      <c r="K3946" t="s">
        <v>32</v>
      </c>
      <c r="L3946">
        <v>371.31</v>
      </c>
      <c r="M3946">
        <f>VLOOKUP(K3946,RatingLookup!$A$2:$C$8,2,FALSE)</f>
        <v>0.12</v>
      </c>
      <c r="N3946">
        <f t="shared" si="183"/>
        <v>1.0596241035318976E-2</v>
      </c>
      <c r="O3946">
        <f>VLOOKUP(K3946,RatingLookup!$A$2:$C$8,3,FALSE)</f>
        <v>0.7</v>
      </c>
      <c r="P3946">
        <f t="shared" si="184"/>
        <v>2.7541431811770023</v>
      </c>
      <c r="Q3946" t="str">
        <f t="shared" ca="1" si="185"/>
        <v>No</v>
      </c>
    </row>
    <row r="3947" spans="1:17" x14ac:dyDescent="0.45">
      <c r="A3947" t="s">
        <v>166</v>
      </c>
      <c r="B3947" t="s">
        <v>167</v>
      </c>
      <c r="C3947" t="s">
        <v>40</v>
      </c>
      <c r="D3947" t="s">
        <v>20</v>
      </c>
      <c r="E3947" t="s">
        <v>21</v>
      </c>
      <c r="F3947" s="1">
        <v>45200</v>
      </c>
      <c r="G3947">
        <v>5.71</v>
      </c>
      <c r="H3947">
        <v>79.968199999999996</v>
      </c>
      <c r="I3947">
        <v>7.67</v>
      </c>
      <c r="J3947">
        <v>85.78</v>
      </c>
      <c r="K3947" t="s">
        <v>32</v>
      </c>
      <c r="L3947">
        <v>380.96</v>
      </c>
      <c r="M3947">
        <f>VLOOKUP(K3947,RatingLookup!$A$2:$C$8,2,FALSE)</f>
        <v>0.12</v>
      </c>
      <c r="N3947">
        <f t="shared" si="183"/>
        <v>1.0596241035318976E-2</v>
      </c>
      <c r="O3947">
        <f>VLOOKUP(K3947,RatingLookup!$A$2:$C$8,3,FALSE)</f>
        <v>0.7</v>
      </c>
      <c r="P3947">
        <f t="shared" si="184"/>
        <v>2.8257207893705818</v>
      </c>
      <c r="Q3947" t="str">
        <f t="shared" ca="1" si="185"/>
        <v>No</v>
      </c>
    </row>
    <row r="3948" spans="1:17" x14ac:dyDescent="0.45">
      <c r="A3948" t="s">
        <v>166</v>
      </c>
      <c r="B3948" t="s">
        <v>167</v>
      </c>
      <c r="C3948" t="s">
        <v>40</v>
      </c>
      <c r="D3948" t="s">
        <v>20</v>
      </c>
      <c r="E3948" t="s">
        <v>21</v>
      </c>
      <c r="F3948" s="1">
        <v>45231</v>
      </c>
      <c r="G3948">
        <v>5.05</v>
      </c>
      <c r="H3948">
        <v>83.776399999999995</v>
      </c>
      <c r="I3948">
        <v>24.26</v>
      </c>
      <c r="J3948">
        <v>89.45</v>
      </c>
      <c r="K3948" t="s">
        <v>32</v>
      </c>
      <c r="L3948">
        <v>358.62</v>
      </c>
      <c r="M3948">
        <f>VLOOKUP(K3948,RatingLookup!$A$2:$C$8,2,FALSE)</f>
        <v>0.12</v>
      </c>
      <c r="N3948">
        <f t="shared" si="183"/>
        <v>1.0596241035318976E-2</v>
      </c>
      <c r="O3948">
        <f>VLOOKUP(K3948,RatingLookup!$A$2:$C$8,3,FALSE)</f>
        <v>0.7</v>
      </c>
      <c r="P3948">
        <f t="shared" si="184"/>
        <v>2.6600167720602639</v>
      </c>
      <c r="Q3948" t="str">
        <f t="shared" ca="1" si="185"/>
        <v>No</v>
      </c>
    </row>
    <row r="3949" spans="1:17" x14ac:dyDescent="0.45">
      <c r="A3949" t="s">
        <v>166</v>
      </c>
      <c r="B3949" t="s">
        <v>167</v>
      </c>
      <c r="C3949" t="s">
        <v>40</v>
      </c>
      <c r="D3949" t="s">
        <v>20</v>
      </c>
      <c r="E3949" t="s">
        <v>21</v>
      </c>
      <c r="F3949" s="1">
        <v>45261</v>
      </c>
      <c r="G3949">
        <v>6.07</v>
      </c>
      <c r="H3949">
        <v>85.834199999999996</v>
      </c>
      <c r="I3949">
        <v>22.08</v>
      </c>
      <c r="J3949">
        <v>68.489999999999995</v>
      </c>
      <c r="K3949" t="s">
        <v>32</v>
      </c>
      <c r="L3949">
        <v>397.12</v>
      </c>
      <c r="M3949">
        <f>VLOOKUP(K3949,RatingLookup!$A$2:$C$8,2,FALSE)</f>
        <v>0.12</v>
      </c>
      <c r="N3949">
        <f t="shared" si="183"/>
        <v>1.0596241035318976E-2</v>
      </c>
      <c r="O3949">
        <f>VLOOKUP(K3949,RatingLookup!$A$2:$C$8,3,FALSE)</f>
        <v>0.7</v>
      </c>
      <c r="P3949">
        <f t="shared" si="184"/>
        <v>2.9455854679621103</v>
      </c>
      <c r="Q3949" t="str">
        <f t="shared" ca="1" si="185"/>
        <v>No</v>
      </c>
    </row>
    <row r="3950" spans="1:17" x14ac:dyDescent="0.45">
      <c r="A3950" t="s">
        <v>166</v>
      </c>
      <c r="B3950" t="s">
        <v>167</v>
      </c>
      <c r="C3950" t="s">
        <v>40</v>
      </c>
      <c r="D3950" t="s">
        <v>20</v>
      </c>
      <c r="E3950" t="s">
        <v>21</v>
      </c>
      <c r="F3950" s="1">
        <v>45292</v>
      </c>
      <c r="G3950">
        <v>5.16</v>
      </c>
      <c r="H3950">
        <v>83.991200000000006</v>
      </c>
      <c r="I3950">
        <v>33.340000000000003</v>
      </c>
      <c r="J3950">
        <v>97.8</v>
      </c>
      <c r="K3950" t="s">
        <v>32</v>
      </c>
      <c r="L3950">
        <v>342.76</v>
      </c>
      <c r="M3950">
        <f>VLOOKUP(K3950,RatingLookup!$A$2:$C$8,2,FALSE)</f>
        <v>0.12</v>
      </c>
      <c r="N3950">
        <f t="shared" si="183"/>
        <v>1.0596241035318976E-2</v>
      </c>
      <c r="O3950">
        <f>VLOOKUP(K3950,RatingLookup!$A$2:$C$8,3,FALSE)</f>
        <v>0.7</v>
      </c>
      <c r="P3950">
        <f t="shared" si="184"/>
        <v>2.5423773040861524</v>
      </c>
      <c r="Q3950" t="str">
        <f t="shared" ca="1" si="185"/>
        <v>No</v>
      </c>
    </row>
    <row r="3951" spans="1:17" x14ac:dyDescent="0.45">
      <c r="A3951" t="s">
        <v>166</v>
      </c>
      <c r="B3951" t="s">
        <v>167</v>
      </c>
      <c r="C3951" t="s">
        <v>40</v>
      </c>
      <c r="D3951" t="s">
        <v>20</v>
      </c>
      <c r="E3951" t="s">
        <v>21</v>
      </c>
      <c r="F3951" s="1">
        <v>45323</v>
      </c>
      <c r="G3951">
        <v>5.5</v>
      </c>
      <c r="H3951">
        <v>81.716899999999995</v>
      </c>
      <c r="I3951">
        <v>15.75</v>
      </c>
      <c r="J3951">
        <v>88.35</v>
      </c>
      <c r="K3951" t="s">
        <v>32</v>
      </c>
      <c r="L3951">
        <v>385.96</v>
      </c>
      <c r="M3951">
        <f>VLOOKUP(K3951,RatingLookup!$A$2:$C$8,2,FALSE)</f>
        <v>0.12</v>
      </c>
      <c r="N3951">
        <f t="shared" si="183"/>
        <v>1.0596241035318976E-2</v>
      </c>
      <c r="O3951">
        <f>VLOOKUP(K3951,RatingLookup!$A$2:$C$8,3,FALSE)</f>
        <v>0.7</v>
      </c>
      <c r="P3951">
        <f t="shared" si="184"/>
        <v>2.862807632994198</v>
      </c>
      <c r="Q3951" t="str">
        <f t="shared" ca="1" si="185"/>
        <v>No</v>
      </c>
    </row>
    <row r="3952" spans="1:17" x14ac:dyDescent="0.45">
      <c r="A3952" t="s">
        <v>166</v>
      </c>
      <c r="B3952" t="s">
        <v>167</v>
      </c>
      <c r="C3952" t="s">
        <v>40</v>
      </c>
      <c r="D3952" t="s">
        <v>20</v>
      </c>
      <c r="E3952" t="s">
        <v>21</v>
      </c>
      <c r="F3952" s="1">
        <v>45352</v>
      </c>
      <c r="G3952">
        <v>5.44</v>
      </c>
      <c r="H3952">
        <v>80.439800000000005</v>
      </c>
      <c r="I3952">
        <v>14.12</v>
      </c>
      <c r="J3952">
        <v>94.08</v>
      </c>
      <c r="K3952" t="s">
        <v>31</v>
      </c>
      <c r="L3952">
        <v>369.93</v>
      </c>
      <c r="M3952">
        <f>VLOOKUP(K3952,RatingLookup!$A$2:$C$8,2,FALSE)</f>
        <v>0.04</v>
      </c>
      <c r="N3952">
        <f t="shared" si="183"/>
        <v>3.3960531989175591E-3</v>
      </c>
      <c r="O3952">
        <f>VLOOKUP(K3952,RatingLookup!$A$2:$C$8,3,FALSE)</f>
        <v>0.6</v>
      </c>
      <c r="P3952">
        <f t="shared" si="184"/>
        <v>0.75378117592534355</v>
      </c>
      <c r="Q3952" t="str">
        <f t="shared" ca="1" si="185"/>
        <v>No</v>
      </c>
    </row>
    <row r="3953" spans="1:17" x14ac:dyDescent="0.45">
      <c r="A3953" t="s">
        <v>166</v>
      </c>
      <c r="B3953" t="s">
        <v>167</v>
      </c>
      <c r="C3953" t="s">
        <v>40</v>
      </c>
      <c r="D3953" t="s">
        <v>20</v>
      </c>
      <c r="E3953" t="s">
        <v>21</v>
      </c>
      <c r="F3953" s="1">
        <v>45383</v>
      </c>
      <c r="G3953">
        <v>5.53</v>
      </c>
      <c r="H3953">
        <v>90.079899999999995</v>
      </c>
      <c r="I3953">
        <v>29.76</v>
      </c>
      <c r="J3953">
        <v>82.64</v>
      </c>
      <c r="K3953" t="s">
        <v>31</v>
      </c>
      <c r="L3953">
        <v>410.04</v>
      </c>
      <c r="M3953">
        <f>VLOOKUP(K3953,RatingLookup!$A$2:$C$8,2,FALSE)</f>
        <v>0.04</v>
      </c>
      <c r="N3953">
        <f t="shared" si="183"/>
        <v>3.3960531989175591E-3</v>
      </c>
      <c r="O3953">
        <f>VLOOKUP(K3953,RatingLookup!$A$2:$C$8,3,FALSE)</f>
        <v>0.6</v>
      </c>
      <c r="P3953">
        <f t="shared" si="184"/>
        <v>0.83551059221049351</v>
      </c>
      <c r="Q3953" t="str">
        <f t="shared" ca="1" si="185"/>
        <v>No</v>
      </c>
    </row>
    <row r="3954" spans="1:17" x14ac:dyDescent="0.45">
      <c r="A3954" t="s">
        <v>166</v>
      </c>
      <c r="B3954" t="s">
        <v>167</v>
      </c>
      <c r="C3954" t="s">
        <v>40</v>
      </c>
      <c r="D3954" t="s">
        <v>20</v>
      </c>
      <c r="E3954" t="s">
        <v>21</v>
      </c>
      <c r="F3954" s="1">
        <v>45413</v>
      </c>
      <c r="G3954">
        <v>5.9</v>
      </c>
      <c r="H3954">
        <v>86.39</v>
      </c>
      <c r="I3954">
        <v>6.36</v>
      </c>
      <c r="J3954">
        <v>84.06</v>
      </c>
      <c r="K3954" t="s">
        <v>31</v>
      </c>
      <c r="L3954">
        <v>366.61</v>
      </c>
      <c r="M3954">
        <f>VLOOKUP(K3954,RatingLookup!$A$2:$C$8,2,FALSE)</f>
        <v>0.04</v>
      </c>
      <c r="N3954">
        <f t="shared" si="183"/>
        <v>3.3960531989175591E-3</v>
      </c>
      <c r="O3954">
        <f>VLOOKUP(K3954,RatingLookup!$A$2:$C$8,3,FALSE)</f>
        <v>0.6</v>
      </c>
      <c r="P3954">
        <f t="shared" si="184"/>
        <v>0.74701623795309979</v>
      </c>
      <c r="Q3954" t="str">
        <f t="shared" ca="1" si="185"/>
        <v>No</v>
      </c>
    </row>
    <row r="3955" spans="1:17" x14ac:dyDescent="0.45">
      <c r="A3955" t="s">
        <v>166</v>
      </c>
      <c r="B3955" t="s">
        <v>167</v>
      </c>
      <c r="C3955" t="s">
        <v>40</v>
      </c>
      <c r="D3955" t="s">
        <v>20</v>
      </c>
      <c r="E3955" t="s">
        <v>21</v>
      </c>
      <c r="F3955" s="1">
        <v>45444</v>
      </c>
      <c r="G3955">
        <v>5.84</v>
      </c>
      <c r="H3955">
        <v>84.366699999999994</v>
      </c>
      <c r="I3955">
        <v>27.36</v>
      </c>
      <c r="J3955">
        <v>90.75</v>
      </c>
      <c r="K3955" t="s">
        <v>31</v>
      </c>
      <c r="L3955">
        <v>352.13</v>
      </c>
      <c r="M3955">
        <f>VLOOKUP(K3955,RatingLookup!$A$2:$C$8,2,FALSE)</f>
        <v>0.04</v>
      </c>
      <c r="N3955">
        <f t="shared" si="183"/>
        <v>3.3960531989175591E-3</v>
      </c>
      <c r="O3955">
        <f>VLOOKUP(K3955,RatingLookup!$A$2:$C$8,3,FALSE)</f>
        <v>0.6</v>
      </c>
      <c r="P3955">
        <f t="shared" si="184"/>
        <v>0.71751132776090409</v>
      </c>
      <c r="Q3955" t="str">
        <f t="shared" ca="1" si="185"/>
        <v>No</v>
      </c>
    </row>
    <row r="3956" spans="1:17" x14ac:dyDescent="0.45">
      <c r="A3956" t="s">
        <v>166</v>
      </c>
      <c r="B3956" t="s">
        <v>167</v>
      </c>
      <c r="C3956" t="s">
        <v>40</v>
      </c>
      <c r="D3956" t="s">
        <v>20</v>
      </c>
      <c r="E3956" t="s">
        <v>21</v>
      </c>
      <c r="F3956" s="1">
        <v>45474</v>
      </c>
      <c r="G3956">
        <v>5.95</v>
      </c>
      <c r="H3956">
        <v>84.665400000000005</v>
      </c>
      <c r="I3956">
        <v>19.48</v>
      </c>
      <c r="J3956">
        <v>86.54</v>
      </c>
      <c r="K3956" t="s">
        <v>31</v>
      </c>
      <c r="L3956">
        <v>393.49</v>
      </c>
      <c r="M3956">
        <f>VLOOKUP(K3956,RatingLookup!$A$2:$C$8,2,FALSE)</f>
        <v>0.04</v>
      </c>
      <c r="N3956">
        <f t="shared" si="183"/>
        <v>3.3960531989175591E-3</v>
      </c>
      <c r="O3956">
        <f>VLOOKUP(K3956,RatingLookup!$A$2:$C$8,3,FALSE)</f>
        <v>0.6</v>
      </c>
      <c r="P3956">
        <f t="shared" si="184"/>
        <v>0.80178778394524219</v>
      </c>
      <c r="Q3956" t="str">
        <f t="shared" ca="1" si="185"/>
        <v>No</v>
      </c>
    </row>
    <row r="3957" spans="1:17" x14ac:dyDescent="0.45">
      <c r="A3957" t="s">
        <v>166</v>
      </c>
      <c r="B3957" t="s">
        <v>167</v>
      </c>
      <c r="C3957" t="s">
        <v>40</v>
      </c>
      <c r="D3957" t="s">
        <v>20</v>
      </c>
      <c r="E3957" t="s">
        <v>21</v>
      </c>
      <c r="F3957" s="1">
        <v>45505</v>
      </c>
      <c r="G3957">
        <v>5.54</v>
      </c>
      <c r="H3957">
        <v>83.012799999999999</v>
      </c>
      <c r="I3957">
        <v>27.98</v>
      </c>
      <c r="J3957">
        <v>68.52</v>
      </c>
      <c r="K3957" t="s">
        <v>31</v>
      </c>
      <c r="L3957">
        <v>409.92</v>
      </c>
      <c r="M3957">
        <f>VLOOKUP(K3957,RatingLookup!$A$2:$C$8,2,FALSE)</f>
        <v>0.04</v>
      </c>
      <c r="N3957">
        <f t="shared" si="183"/>
        <v>3.3960531989175591E-3</v>
      </c>
      <c r="O3957">
        <f>VLOOKUP(K3957,RatingLookup!$A$2:$C$8,3,FALSE)</f>
        <v>0.6</v>
      </c>
      <c r="P3957">
        <f t="shared" si="184"/>
        <v>0.83526607638017147</v>
      </c>
      <c r="Q3957" t="str">
        <f t="shared" ca="1" si="185"/>
        <v>No</v>
      </c>
    </row>
    <row r="3958" spans="1:17" x14ac:dyDescent="0.45">
      <c r="A3958" t="s">
        <v>166</v>
      </c>
      <c r="B3958" t="s">
        <v>167</v>
      </c>
      <c r="C3958" t="s">
        <v>40</v>
      </c>
      <c r="D3958" t="s">
        <v>20</v>
      </c>
      <c r="E3958" t="s">
        <v>21</v>
      </c>
      <c r="F3958" s="1">
        <v>45536</v>
      </c>
      <c r="G3958">
        <v>4.59</v>
      </c>
      <c r="H3958">
        <v>82.241799999999998</v>
      </c>
      <c r="I3958">
        <v>22.01</v>
      </c>
      <c r="J3958">
        <v>83.18</v>
      </c>
      <c r="K3958" t="s">
        <v>31</v>
      </c>
      <c r="L3958">
        <v>369.19</v>
      </c>
      <c r="M3958">
        <f>VLOOKUP(K3958,RatingLookup!$A$2:$C$8,2,FALSE)</f>
        <v>0.04</v>
      </c>
      <c r="N3958">
        <f t="shared" si="183"/>
        <v>3.3960531989175591E-3</v>
      </c>
      <c r="O3958">
        <f>VLOOKUP(K3958,RatingLookup!$A$2:$C$8,3,FALSE)</f>
        <v>0.6</v>
      </c>
      <c r="P3958">
        <f t="shared" si="184"/>
        <v>0.75227332830502414</v>
      </c>
      <c r="Q3958" t="str">
        <f t="shared" ca="1" si="185"/>
        <v>Yes</v>
      </c>
    </row>
    <row r="3959" spans="1:17" x14ac:dyDescent="0.45">
      <c r="A3959" t="s">
        <v>166</v>
      </c>
      <c r="B3959" t="s">
        <v>167</v>
      </c>
      <c r="C3959" t="s">
        <v>40</v>
      </c>
      <c r="D3959" t="s">
        <v>20</v>
      </c>
      <c r="E3959" t="s">
        <v>21</v>
      </c>
      <c r="F3959" s="1">
        <v>45566</v>
      </c>
      <c r="G3959">
        <v>5.68</v>
      </c>
      <c r="H3959">
        <v>79.727999999999994</v>
      </c>
      <c r="I3959">
        <v>31.47</v>
      </c>
      <c r="J3959">
        <v>71.11</v>
      </c>
      <c r="K3959" t="s">
        <v>31</v>
      </c>
      <c r="L3959">
        <v>354.78</v>
      </c>
      <c r="M3959">
        <f>VLOOKUP(K3959,RatingLookup!$A$2:$C$8,2,FALSE)</f>
        <v>0.04</v>
      </c>
      <c r="N3959">
        <f t="shared" si="183"/>
        <v>3.3960531989175591E-3</v>
      </c>
      <c r="O3959">
        <f>VLOOKUP(K3959,RatingLookup!$A$2:$C$8,3,FALSE)</f>
        <v>0.6</v>
      </c>
      <c r="P3959">
        <f t="shared" si="184"/>
        <v>0.72291105234718278</v>
      </c>
      <c r="Q3959" t="str">
        <f t="shared" ca="1" si="185"/>
        <v>No</v>
      </c>
    </row>
    <row r="3960" spans="1:17" x14ac:dyDescent="0.45">
      <c r="A3960" t="s">
        <v>166</v>
      </c>
      <c r="B3960" t="s">
        <v>167</v>
      </c>
      <c r="C3960" t="s">
        <v>40</v>
      </c>
      <c r="D3960" t="s">
        <v>20</v>
      </c>
      <c r="E3960" t="s">
        <v>21</v>
      </c>
      <c r="F3960" s="1">
        <v>45597</v>
      </c>
      <c r="G3960">
        <v>5.67</v>
      </c>
      <c r="H3960">
        <v>89.684899999999999</v>
      </c>
      <c r="I3960">
        <v>13.79</v>
      </c>
      <c r="J3960">
        <v>91.74</v>
      </c>
      <c r="K3960" t="s">
        <v>31</v>
      </c>
      <c r="L3960">
        <v>415.48</v>
      </c>
      <c r="M3960">
        <f>VLOOKUP(K3960,RatingLookup!$A$2:$C$8,2,FALSE)</f>
        <v>0.04</v>
      </c>
      <c r="N3960">
        <f t="shared" si="183"/>
        <v>3.3960531989175591E-3</v>
      </c>
      <c r="O3960">
        <f>VLOOKUP(K3960,RatingLookup!$A$2:$C$8,3,FALSE)</f>
        <v>0.6</v>
      </c>
      <c r="P3960">
        <f t="shared" si="184"/>
        <v>0.84659530985176046</v>
      </c>
      <c r="Q3960" t="str">
        <f t="shared" ca="1" si="185"/>
        <v>No</v>
      </c>
    </row>
    <row r="3961" spans="1:17" x14ac:dyDescent="0.45">
      <c r="A3961" t="s">
        <v>166</v>
      </c>
      <c r="B3961" t="s">
        <v>167</v>
      </c>
      <c r="C3961" t="s">
        <v>40</v>
      </c>
      <c r="D3961" t="s">
        <v>20</v>
      </c>
      <c r="E3961" t="s">
        <v>21</v>
      </c>
      <c r="F3961" s="1">
        <v>45627</v>
      </c>
      <c r="G3961">
        <v>5.25</v>
      </c>
      <c r="H3961">
        <v>82.038899999999998</v>
      </c>
      <c r="I3961">
        <v>8.2799999999999994</v>
      </c>
      <c r="J3961">
        <v>94.42</v>
      </c>
      <c r="K3961" t="s">
        <v>31</v>
      </c>
      <c r="L3961">
        <v>379.66</v>
      </c>
      <c r="M3961">
        <f>VLOOKUP(K3961,RatingLookup!$A$2:$C$8,2,FALSE)</f>
        <v>0.04</v>
      </c>
      <c r="N3961">
        <f t="shared" si="183"/>
        <v>3.3960531989175591E-3</v>
      </c>
      <c r="O3961">
        <f>VLOOKUP(K3961,RatingLookup!$A$2:$C$8,3,FALSE)</f>
        <v>0.6</v>
      </c>
      <c r="P3961">
        <f t="shared" si="184"/>
        <v>0.77360733450062436</v>
      </c>
      <c r="Q3961" t="str">
        <f t="shared" ca="1" si="185"/>
        <v>No</v>
      </c>
    </row>
    <row r="3962" spans="1:17" x14ac:dyDescent="0.45">
      <c r="A3962" t="s">
        <v>168</v>
      </c>
      <c r="B3962" t="s">
        <v>169</v>
      </c>
      <c r="C3962" t="s">
        <v>26</v>
      </c>
      <c r="D3962" t="s">
        <v>20</v>
      </c>
      <c r="E3962" t="s">
        <v>21</v>
      </c>
      <c r="F3962" s="1">
        <v>43831</v>
      </c>
      <c r="G3962">
        <v>5.31</v>
      </c>
      <c r="H3962">
        <v>83.481200000000001</v>
      </c>
      <c r="I3962">
        <v>12.6</v>
      </c>
      <c r="J3962">
        <v>71.22</v>
      </c>
      <c r="K3962" t="s">
        <v>22</v>
      </c>
      <c r="L3962">
        <v>1443.46</v>
      </c>
      <c r="M3962">
        <f>VLOOKUP(K3962,RatingLookup!$A$2:$C$8,2,FALSE)</f>
        <v>5.0000000000000001E-3</v>
      </c>
      <c r="N3962">
        <f t="shared" si="183"/>
        <v>4.1762458919303302E-4</v>
      </c>
      <c r="O3962">
        <f>VLOOKUP(K3962,RatingLookup!$A$2:$C$8,3,FALSE)</f>
        <v>0.45</v>
      </c>
      <c r="P3962">
        <f t="shared" si="184"/>
        <v>0.27127097528245897</v>
      </c>
      <c r="Q3962" t="str">
        <f t="shared" ca="1" si="185"/>
        <v>No</v>
      </c>
    </row>
    <row r="3963" spans="1:17" x14ac:dyDescent="0.45">
      <c r="A3963" t="s">
        <v>168</v>
      </c>
      <c r="B3963" t="s">
        <v>169</v>
      </c>
      <c r="C3963" t="s">
        <v>26</v>
      </c>
      <c r="D3963" t="s">
        <v>20</v>
      </c>
      <c r="E3963" t="s">
        <v>21</v>
      </c>
      <c r="F3963" s="1">
        <v>43862</v>
      </c>
      <c r="G3963">
        <v>4.32</v>
      </c>
      <c r="H3963">
        <v>83.5411</v>
      </c>
      <c r="I3963">
        <v>19.5</v>
      </c>
      <c r="J3963">
        <v>87.78</v>
      </c>
      <c r="K3963" t="s">
        <v>22</v>
      </c>
      <c r="L3963">
        <v>1298.97</v>
      </c>
      <c r="M3963">
        <f>VLOOKUP(K3963,RatingLookup!$A$2:$C$8,2,FALSE)</f>
        <v>5.0000000000000001E-3</v>
      </c>
      <c r="N3963">
        <f t="shared" si="183"/>
        <v>4.1762458919303302E-4</v>
      </c>
      <c r="O3963">
        <f>VLOOKUP(K3963,RatingLookup!$A$2:$C$8,3,FALSE)</f>
        <v>0.45</v>
      </c>
      <c r="P3963">
        <f t="shared" si="184"/>
        <v>0.24411681568083338</v>
      </c>
      <c r="Q3963" t="str">
        <f t="shared" ca="1" si="185"/>
        <v>No</v>
      </c>
    </row>
    <row r="3964" spans="1:17" x14ac:dyDescent="0.45">
      <c r="A3964" t="s">
        <v>168</v>
      </c>
      <c r="B3964" t="s">
        <v>169</v>
      </c>
      <c r="C3964" t="s">
        <v>26</v>
      </c>
      <c r="D3964" t="s">
        <v>20</v>
      </c>
      <c r="E3964" t="s">
        <v>21</v>
      </c>
      <c r="F3964" s="1">
        <v>43891</v>
      </c>
      <c r="G3964">
        <v>6.28</v>
      </c>
      <c r="H3964">
        <v>79.274199999999993</v>
      </c>
      <c r="I3964">
        <v>13.22</v>
      </c>
      <c r="J3964">
        <v>88.35</v>
      </c>
      <c r="K3964" t="s">
        <v>22</v>
      </c>
      <c r="L3964">
        <v>1616.09</v>
      </c>
      <c r="M3964">
        <f>VLOOKUP(K3964,RatingLookup!$A$2:$C$8,2,FALSE)</f>
        <v>5.0000000000000001E-3</v>
      </c>
      <c r="N3964">
        <f t="shared" si="183"/>
        <v>4.1762458919303302E-4</v>
      </c>
      <c r="O3964">
        <f>VLOOKUP(K3964,RatingLookup!$A$2:$C$8,3,FALSE)</f>
        <v>0.45</v>
      </c>
      <c r="P3964">
        <f t="shared" si="184"/>
        <v>0.30371351505703592</v>
      </c>
      <c r="Q3964" t="str">
        <f t="shared" ca="1" si="185"/>
        <v>No</v>
      </c>
    </row>
    <row r="3965" spans="1:17" x14ac:dyDescent="0.45">
      <c r="A3965" t="s">
        <v>168</v>
      </c>
      <c r="B3965" t="s">
        <v>169</v>
      </c>
      <c r="C3965" t="s">
        <v>26</v>
      </c>
      <c r="D3965" t="s">
        <v>20</v>
      </c>
      <c r="E3965" t="s">
        <v>21</v>
      </c>
      <c r="F3965" s="1">
        <v>43922</v>
      </c>
      <c r="G3965">
        <v>6.52</v>
      </c>
      <c r="H3965">
        <v>82.391000000000005</v>
      </c>
      <c r="I3965">
        <v>29.47</v>
      </c>
      <c r="J3965">
        <v>72.040000000000006</v>
      </c>
      <c r="K3965" t="s">
        <v>22</v>
      </c>
      <c r="L3965">
        <v>1372.69</v>
      </c>
      <c r="M3965">
        <f>VLOOKUP(K3965,RatingLookup!$A$2:$C$8,2,FALSE)</f>
        <v>5.0000000000000001E-3</v>
      </c>
      <c r="N3965">
        <f t="shared" si="183"/>
        <v>4.1762458919303302E-4</v>
      </c>
      <c r="O3965">
        <f>VLOOKUP(K3965,RatingLookup!$A$2:$C$8,3,FALSE)</f>
        <v>0.45</v>
      </c>
      <c r="P3965">
        <f t="shared" si="184"/>
        <v>0.25797109380272304</v>
      </c>
      <c r="Q3965" t="str">
        <f t="shared" ca="1" si="185"/>
        <v>No</v>
      </c>
    </row>
    <row r="3966" spans="1:17" x14ac:dyDescent="0.45">
      <c r="A3966" t="s">
        <v>168</v>
      </c>
      <c r="B3966" t="s">
        <v>169</v>
      </c>
      <c r="C3966" t="s">
        <v>26</v>
      </c>
      <c r="D3966" t="s">
        <v>20</v>
      </c>
      <c r="E3966" t="s">
        <v>21</v>
      </c>
      <c r="F3966" s="1">
        <v>43952</v>
      </c>
      <c r="G3966">
        <v>5.86</v>
      </c>
      <c r="H3966">
        <v>83.8005</v>
      </c>
      <c r="I3966">
        <v>22.23</v>
      </c>
      <c r="J3966">
        <v>68.87</v>
      </c>
      <c r="K3966" t="s">
        <v>30</v>
      </c>
      <c r="L3966">
        <v>1424.27</v>
      </c>
      <c r="M3966">
        <f>VLOOKUP(K3966,RatingLookup!$A$2:$C$8,2,FALSE)</f>
        <v>1.4999999999999999E-2</v>
      </c>
      <c r="N3966">
        <f t="shared" si="183"/>
        <v>1.2586770182638762E-3</v>
      </c>
      <c r="O3966">
        <f>VLOOKUP(K3966,RatingLookup!$A$2:$C$8,3,FALSE)</f>
        <v>0.5</v>
      </c>
      <c r="P3966">
        <f t="shared" si="184"/>
        <v>0.89634795840134551</v>
      </c>
      <c r="Q3966" t="str">
        <f t="shared" ca="1" si="185"/>
        <v>No</v>
      </c>
    </row>
    <row r="3967" spans="1:17" x14ac:dyDescent="0.45">
      <c r="A3967" t="s">
        <v>168</v>
      </c>
      <c r="B3967" t="s">
        <v>169</v>
      </c>
      <c r="C3967" t="s">
        <v>26</v>
      </c>
      <c r="D3967" t="s">
        <v>20</v>
      </c>
      <c r="E3967" t="s">
        <v>21</v>
      </c>
      <c r="F3967" s="1">
        <v>43983</v>
      </c>
      <c r="G3967">
        <v>5.13</v>
      </c>
      <c r="H3967">
        <v>83.031700000000001</v>
      </c>
      <c r="I3967">
        <v>18.3</v>
      </c>
      <c r="J3967">
        <v>75.42</v>
      </c>
      <c r="K3967" t="s">
        <v>30</v>
      </c>
      <c r="L3967">
        <v>1428.43</v>
      </c>
      <c r="M3967">
        <f>VLOOKUP(K3967,RatingLookup!$A$2:$C$8,2,FALSE)</f>
        <v>1.4999999999999999E-2</v>
      </c>
      <c r="N3967">
        <f t="shared" si="183"/>
        <v>1.2586770182638762E-3</v>
      </c>
      <c r="O3967">
        <f>VLOOKUP(K3967,RatingLookup!$A$2:$C$8,3,FALSE)</f>
        <v>0.5</v>
      </c>
      <c r="P3967">
        <f t="shared" si="184"/>
        <v>0.89896600659933446</v>
      </c>
      <c r="Q3967" t="str">
        <f t="shared" ca="1" si="185"/>
        <v>No</v>
      </c>
    </row>
    <row r="3968" spans="1:17" x14ac:dyDescent="0.45">
      <c r="A3968" t="s">
        <v>168</v>
      </c>
      <c r="B3968" t="s">
        <v>169</v>
      </c>
      <c r="C3968" t="s">
        <v>26</v>
      </c>
      <c r="D3968" t="s">
        <v>20</v>
      </c>
      <c r="E3968" t="s">
        <v>21</v>
      </c>
      <c r="F3968" s="1">
        <v>44013</v>
      </c>
      <c r="G3968">
        <v>6.72</v>
      </c>
      <c r="H3968">
        <v>82.853399999999993</v>
      </c>
      <c r="I3968">
        <v>14.41</v>
      </c>
      <c r="J3968">
        <v>78.19</v>
      </c>
      <c r="K3968" t="s">
        <v>30</v>
      </c>
      <c r="L3968">
        <v>1438.62</v>
      </c>
      <c r="M3968">
        <f>VLOOKUP(K3968,RatingLookup!$A$2:$C$8,2,FALSE)</f>
        <v>1.4999999999999999E-2</v>
      </c>
      <c r="N3968">
        <f t="shared" si="183"/>
        <v>1.2586770182638762E-3</v>
      </c>
      <c r="O3968">
        <f>VLOOKUP(K3968,RatingLookup!$A$2:$C$8,3,FALSE)</f>
        <v>0.5</v>
      </c>
      <c r="P3968">
        <f t="shared" si="184"/>
        <v>0.90537896600738876</v>
      </c>
      <c r="Q3968" t="str">
        <f t="shared" ca="1" si="185"/>
        <v>No</v>
      </c>
    </row>
    <row r="3969" spans="1:17" x14ac:dyDescent="0.45">
      <c r="A3969" t="s">
        <v>168</v>
      </c>
      <c r="B3969" t="s">
        <v>169</v>
      </c>
      <c r="C3969" t="s">
        <v>26</v>
      </c>
      <c r="D3969" t="s">
        <v>20</v>
      </c>
      <c r="E3969" t="s">
        <v>21</v>
      </c>
      <c r="F3969" s="1">
        <v>44044</v>
      </c>
      <c r="G3969">
        <v>4.9000000000000004</v>
      </c>
      <c r="H3969">
        <v>78.486900000000006</v>
      </c>
      <c r="I3969">
        <v>18.239999999999998</v>
      </c>
      <c r="J3969">
        <v>74.849999999999994</v>
      </c>
      <c r="K3969" t="s">
        <v>30</v>
      </c>
      <c r="L3969">
        <v>1511.61</v>
      </c>
      <c r="M3969">
        <f>VLOOKUP(K3969,RatingLookup!$A$2:$C$8,2,FALSE)</f>
        <v>1.4999999999999999E-2</v>
      </c>
      <c r="N3969">
        <f t="shared" si="183"/>
        <v>1.2586770182638762E-3</v>
      </c>
      <c r="O3969">
        <f>VLOOKUP(K3969,RatingLookup!$A$2:$C$8,3,FALSE)</f>
        <v>0.5</v>
      </c>
      <c r="P3969">
        <f t="shared" si="184"/>
        <v>0.95131438378892896</v>
      </c>
      <c r="Q3969" t="str">
        <f t="shared" ca="1" si="185"/>
        <v>No</v>
      </c>
    </row>
    <row r="3970" spans="1:17" x14ac:dyDescent="0.45">
      <c r="A3970" t="s">
        <v>168</v>
      </c>
      <c r="B3970" t="s">
        <v>169</v>
      </c>
      <c r="C3970" t="s">
        <v>26</v>
      </c>
      <c r="D3970" t="s">
        <v>20</v>
      </c>
      <c r="E3970" t="s">
        <v>21</v>
      </c>
      <c r="F3970" s="1">
        <v>44075</v>
      </c>
      <c r="G3970">
        <v>5.4</v>
      </c>
      <c r="H3970">
        <v>79.530100000000004</v>
      </c>
      <c r="I3970">
        <v>19.079999999999998</v>
      </c>
      <c r="J3970">
        <v>86.24</v>
      </c>
      <c r="K3970" t="s">
        <v>30</v>
      </c>
      <c r="L3970">
        <v>1423.61</v>
      </c>
      <c r="M3970">
        <f>VLOOKUP(K3970,RatingLookup!$A$2:$C$8,2,FALSE)</f>
        <v>1.4999999999999999E-2</v>
      </c>
      <c r="N3970">
        <f t="shared" ref="N3970:N4033" si="186">1-(1-M3970)^(1/12)</f>
        <v>1.2586770182638762E-3</v>
      </c>
      <c r="O3970">
        <f>VLOOKUP(K3970,RatingLookup!$A$2:$C$8,3,FALSE)</f>
        <v>0.5</v>
      </c>
      <c r="P3970">
        <f t="shared" ref="P3970:P4033" si="187">L3970*N3970*O3970</f>
        <v>0.89593259498531841</v>
      </c>
      <c r="Q3970" t="str">
        <f t="shared" ref="Q3970:Q4033" ca="1" si="188">IF(RAND()&lt;N3970,"Yes","No")</f>
        <v>No</v>
      </c>
    </row>
    <row r="3971" spans="1:17" x14ac:dyDescent="0.45">
      <c r="A3971" t="s">
        <v>168</v>
      </c>
      <c r="B3971" t="s">
        <v>169</v>
      </c>
      <c r="C3971" t="s">
        <v>26</v>
      </c>
      <c r="D3971" t="s">
        <v>20</v>
      </c>
      <c r="E3971" t="s">
        <v>21</v>
      </c>
      <c r="F3971" s="1">
        <v>44105</v>
      </c>
      <c r="G3971">
        <v>6.46</v>
      </c>
      <c r="H3971">
        <v>80.615200000000002</v>
      </c>
      <c r="I3971">
        <v>19.350000000000001</v>
      </c>
      <c r="J3971">
        <v>74.97</v>
      </c>
      <c r="K3971" t="s">
        <v>30</v>
      </c>
      <c r="L3971">
        <v>1374.06</v>
      </c>
      <c r="M3971">
        <f>VLOOKUP(K3971,RatingLookup!$A$2:$C$8,2,FALSE)</f>
        <v>1.4999999999999999E-2</v>
      </c>
      <c r="N3971">
        <f t="shared" si="186"/>
        <v>1.2586770182638762E-3</v>
      </c>
      <c r="O3971">
        <f>VLOOKUP(K3971,RatingLookup!$A$2:$C$8,3,FALSE)</f>
        <v>0.5</v>
      </c>
      <c r="P3971">
        <f t="shared" si="187"/>
        <v>0.86474887185783089</v>
      </c>
      <c r="Q3971" t="str">
        <f t="shared" ca="1" si="188"/>
        <v>No</v>
      </c>
    </row>
    <row r="3972" spans="1:17" x14ac:dyDescent="0.45">
      <c r="A3972" t="s">
        <v>168</v>
      </c>
      <c r="B3972" t="s">
        <v>169</v>
      </c>
      <c r="C3972" t="s">
        <v>26</v>
      </c>
      <c r="D3972" t="s">
        <v>20</v>
      </c>
      <c r="E3972" t="s">
        <v>21</v>
      </c>
      <c r="F3972" s="1">
        <v>44136</v>
      </c>
      <c r="G3972">
        <v>6.45</v>
      </c>
      <c r="H3972">
        <v>79.471000000000004</v>
      </c>
      <c r="I3972">
        <v>23.97</v>
      </c>
      <c r="J3972">
        <v>89.56</v>
      </c>
      <c r="K3972" t="s">
        <v>30</v>
      </c>
      <c r="L3972">
        <v>1565.4</v>
      </c>
      <c r="M3972">
        <f>VLOOKUP(K3972,RatingLookup!$A$2:$C$8,2,FALSE)</f>
        <v>1.4999999999999999E-2</v>
      </c>
      <c r="N3972">
        <f t="shared" si="186"/>
        <v>1.2586770182638762E-3</v>
      </c>
      <c r="O3972">
        <f>VLOOKUP(K3972,RatingLookup!$A$2:$C$8,3,FALSE)</f>
        <v>0.5</v>
      </c>
      <c r="P3972">
        <f t="shared" si="187"/>
        <v>0.98516650219513602</v>
      </c>
      <c r="Q3972" t="str">
        <f t="shared" ca="1" si="188"/>
        <v>No</v>
      </c>
    </row>
    <row r="3973" spans="1:17" x14ac:dyDescent="0.45">
      <c r="A3973" t="s">
        <v>168</v>
      </c>
      <c r="B3973" t="s">
        <v>169</v>
      </c>
      <c r="C3973" t="s">
        <v>26</v>
      </c>
      <c r="D3973" t="s">
        <v>20</v>
      </c>
      <c r="E3973" t="s">
        <v>21</v>
      </c>
      <c r="F3973" s="1">
        <v>44166</v>
      </c>
      <c r="G3973">
        <v>5.74</v>
      </c>
      <c r="H3973">
        <v>79.643600000000006</v>
      </c>
      <c r="I3973">
        <v>20.7</v>
      </c>
      <c r="J3973">
        <v>65.19</v>
      </c>
      <c r="K3973" t="s">
        <v>30</v>
      </c>
      <c r="L3973">
        <v>1384.97</v>
      </c>
      <c r="M3973">
        <f>VLOOKUP(K3973,RatingLookup!$A$2:$C$8,2,FALSE)</f>
        <v>1.4999999999999999E-2</v>
      </c>
      <c r="N3973">
        <f t="shared" si="186"/>
        <v>1.2586770182638762E-3</v>
      </c>
      <c r="O3973">
        <f>VLOOKUP(K3973,RatingLookup!$A$2:$C$8,3,FALSE)</f>
        <v>0.5</v>
      </c>
      <c r="P3973">
        <f t="shared" si="187"/>
        <v>0.87161495499246033</v>
      </c>
      <c r="Q3973" t="str">
        <f t="shared" ca="1" si="188"/>
        <v>No</v>
      </c>
    </row>
    <row r="3974" spans="1:17" x14ac:dyDescent="0.45">
      <c r="A3974" t="s">
        <v>168</v>
      </c>
      <c r="B3974" t="s">
        <v>169</v>
      </c>
      <c r="C3974" t="s">
        <v>26</v>
      </c>
      <c r="D3974" t="s">
        <v>20</v>
      </c>
      <c r="E3974" t="s">
        <v>21</v>
      </c>
      <c r="F3974" s="1">
        <v>44197</v>
      </c>
      <c r="G3974">
        <v>6.45</v>
      </c>
      <c r="H3974">
        <v>86.451300000000003</v>
      </c>
      <c r="I3974">
        <v>34.67</v>
      </c>
      <c r="J3974">
        <v>62.56</v>
      </c>
      <c r="K3974" t="s">
        <v>30</v>
      </c>
      <c r="L3974">
        <v>1394.97</v>
      </c>
      <c r="M3974">
        <f>VLOOKUP(K3974,RatingLookup!$A$2:$C$8,2,FALSE)</f>
        <v>1.4999999999999999E-2</v>
      </c>
      <c r="N3974">
        <f t="shared" si="186"/>
        <v>1.2586770182638762E-3</v>
      </c>
      <c r="O3974">
        <f>VLOOKUP(K3974,RatingLookup!$A$2:$C$8,3,FALSE)</f>
        <v>0.5</v>
      </c>
      <c r="P3974">
        <f t="shared" si="187"/>
        <v>0.87790834008377971</v>
      </c>
      <c r="Q3974" t="str">
        <f t="shared" ca="1" si="188"/>
        <v>No</v>
      </c>
    </row>
    <row r="3975" spans="1:17" x14ac:dyDescent="0.45">
      <c r="A3975" t="s">
        <v>168</v>
      </c>
      <c r="B3975" t="s">
        <v>169</v>
      </c>
      <c r="C3975" t="s">
        <v>26</v>
      </c>
      <c r="D3975" t="s">
        <v>20</v>
      </c>
      <c r="E3975" t="s">
        <v>21</v>
      </c>
      <c r="F3975" s="1">
        <v>44228</v>
      </c>
      <c r="G3975">
        <v>6.02</v>
      </c>
      <c r="H3975">
        <v>81.302199999999999</v>
      </c>
      <c r="I3975">
        <v>17.829999999999998</v>
      </c>
      <c r="J3975">
        <v>82.92</v>
      </c>
      <c r="K3975" t="s">
        <v>30</v>
      </c>
      <c r="L3975">
        <v>1351.41</v>
      </c>
      <c r="M3975">
        <f>VLOOKUP(K3975,RatingLookup!$A$2:$C$8,2,FALSE)</f>
        <v>1.4999999999999999E-2</v>
      </c>
      <c r="N3975">
        <f t="shared" si="186"/>
        <v>1.2586770182638762E-3</v>
      </c>
      <c r="O3975">
        <f>VLOOKUP(K3975,RatingLookup!$A$2:$C$8,3,FALSE)</f>
        <v>0.5</v>
      </c>
      <c r="P3975">
        <f t="shared" si="187"/>
        <v>0.85049435462599254</v>
      </c>
      <c r="Q3975" t="str">
        <f t="shared" ca="1" si="188"/>
        <v>No</v>
      </c>
    </row>
    <row r="3976" spans="1:17" x14ac:dyDescent="0.45">
      <c r="A3976" t="s">
        <v>168</v>
      </c>
      <c r="B3976" t="s">
        <v>169</v>
      </c>
      <c r="C3976" t="s">
        <v>26</v>
      </c>
      <c r="D3976" t="s">
        <v>20</v>
      </c>
      <c r="E3976" t="s">
        <v>21</v>
      </c>
      <c r="F3976" s="1">
        <v>44256</v>
      </c>
      <c r="G3976">
        <v>4.76</v>
      </c>
      <c r="H3976">
        <v>80.892300000000006</v>
      </c>
      <c r="I3976">
        <v>20.63</v>
      </c>
      <c r="J3976">
        <v>70.989999999999995</v>
      </c>
      <c r="K3976" t="s">
        <v>30</v>
      </c>
      <c r="L3976">
        <v>1373.54</v>
      </c>
      <c r="M3976">
        <f>VLOOKUP(K3976,RatingLookup!$A$2:$C$8,2,FALSE)</f>
        <v>1.4999999999999999E-2</v>
      </c>
      <c r="N3976">
        <f t="shared" si="186"/>
        <v>1.2586770182638762E-3</v>
      </c>
      <c r="O3976">
        <f>VLOOKUP(K3976,RatingLookup!$A$2:$C$8,3,FALSE)</f>
        <v>0.5</v>
      </c>
      <c r="P3976">
        <f t="shared" si="187"/>
        <v>0.8644216158330823</v>
      </c>
      <c r="Q3976" t="str">
        <f t="shared" ca="1" si="188"/>
        <v>No</v>
      </c>
    </row>
    <row r="3977" spans="1:17" x14ac:dyDescent="0.45">
      <c r="A3977" t="s">
        <v>168</v>
      </c>
      <c r="B3977" t="s">
        <v>169</v>
      </c>
      <c r="C3977" t="s">
        <v>26</v>
      </c>
      <c r="D3977" t="s">
        <v>20</v>
      </c>
      <c r="E3977" t="s">
        <v>21</v>
      </c>
      <c r="F3977" s="1">
        <v>44287</v>
      </c>
      <c r="G3977">
        <v>5.34</v>
      </c>
      <c r="H3977">
        <v>85.139600000000002</v>
      </c>
      <c r="I3977">
        <v>19.13</v>
      </c>
      <c r="J3977">
        <v>80.87</v>
      </c>
      <c r="K3977" t="s">
        <v>30</v>
      </c>
      <c r="L3977">
        <v>1567.4</v>
      </c>
      <c r="M3977">
        <f>VLOOKUP(K3977,RatingLookup!$A$2:$C$8,2,FALSE)</f>
        <v>1.4999999999999999E-2</v>
      </c>
      <c r="N3977">
        <f t="shared" si="186"/>
        <v>1.2586770182638762E-3</v>
      </c>
      <c r="O3977">
        <f>VLOOKUP(K3977,RatingLookup!$A$2:$C$8,3,FALSE)</f>
        <v>0.5</v>
      </c>
      <c r="P3977">
        <f t="shared" si="187"/>
        <v>0.98642517921339989</v>
      </c>
      <c r="Q3977" t="str">
        <f t="shared" ca="1" si="188"/>
        <v>No</v>
      </c>
    </row>
    <row r="3978" spans="1:17" x14ac:dyDescent="0.45">
      <c r="A3978" t="s">
        <v>168</v>
      </c>
      <c r="B3978" t="s">
        <v>169</v>
      </c>
      <c r="C3978" t="s">
        <v>26</v>
      </c>
      <c r="D3978" t="s">
        <v>20</v>
      </c>
      <c r="E3978" t="s">
        <v>21</v>
      </c>
      <c r="F3978" s="1">
        <v>44317</v>
      </c>
      <c r="G3978">
        <v>4.82</v>
      </c>
      <c r="H3978">
        <v>78.173199999999994</v>
      </c>
      <c r="I3978">
        <v>22.15</v>
      </c>
      <c r="J3978">
        <v>71.69</v>
      </c>
      <c r="K3978" t="s">
        <v>30</v>
      </c>
      <c r="L3978">
        <v>1466.11</v>
      </c>
      <c r="M3978">
        <f>VLOOKUP(K3978,RatingLookup!$A$2:$C$8,2,FALSE)</f>
        <v>1.4999999999999999E-2</v>
      </c>
      <c r="N3978">
        <f t="shared" si="186"/>
        <v>1.2586770182638762E-3</v>
      </c>
      <c r="O3978">
        <f>VLOOKUP(K3978,RatingLookup!$A$2:$C$8,3,FALSE)</f>
        <v>0.5</v>
      </c>
      <c r="P3978">
        <f t="shared" si="187"/>
        <v>0.92267948162342572</v>
      </c>
      <c r="Q3978" t="str">
        <f t="shared" ca="1" si="188"/>
        <v>No</v>
      </c>
    </row>
    <row r="3979" spans="1:17" x14ac:dyDescent="0.45">
      <c r="A3979" t="s">
        <v>168</v>
      </c>
      <c r="B3979" t="s">
        <v>169</v>
      </c>
      <c r="C3979" t="s">
        <v>26</v>
      </c>
      <c r="D3979" t="s">
        <v>20</v>
      </c>
      <c r="E3979" t="s">
        <v>21</v>
      </c>
      <c r="F3979" s="1">
        <v>44348</v>
      </c>
      <c r="G3979">
        <v>4.99</v>
      </c>
      <c r="H3979">
        <v>79.286199999999994</v>
      </c>
      <c r="I3979">
        <v>22.96</v>
      </c>
      <c r="J3979">
        <v>69.56</v>
      </c>
      <c r="K3979" t="s">
        <v>30</v>
      </c>
      <c r="L3979">
        <v>1604.41</v>
      </c>
      <c r="M3979">
        <f>VLOOKUP(K3979,RatingLookup!$A$2:$C$8,2,FALSE)</f>
        <v>1.4999999999999999E-2</v>
      </c>
      <c r="N3979">
        <f t="shared" si="186"/>
        <v>1.2586770182638762E-3</v>
      </c>
      <c r="O3979">
        <f>VLOOKUP(K3979,RatingLookup!$A$2:$C$8,3,FALSE)</f>
        <v>0.5</v>
      </c>
      <c r="P3979">
        <f t="shared" si="187"/>
        <v>1.0097169974363729</v>
      </c>
      <c r="Q3979" t="str">
        <f t="shared" ca="1" si="188"/>
        <v>No</v>
      </c>
    </row>
    <row r="3980" spans="1:17" x14ac:dyDescent="0.45">
      <c r="A3980" t="s">
        <v>168</v>
      </c>
      <c r="B3980" t="s">
        <v>169</v>
      </c>
      <c r="C3980" t="s">
        <v>26</v>
      </c>
      <c r="D3980" t="s">
        <v>20</v>
      </c>
      <c r="E3980" t="s">
        <v>21</v>
      </c>
      <c r="F3980" s="1">
        <v>44378</v>
      </c>
      <c r="G3980">
        <v>6.45</v>
      </c>
      <c r="H3980">
        <v>79.3476</v>
      </c>
      <c r="I3980">
        <v>14.96</v>
      </c>
      <c r="J3980">
        <v>93.13</v>
      </c>
      <c r="K3980" t="s">
        <v>31</v>
      </c>
      <c r="L3980">
        <v>1335.5</v>
      </c>
      <c r="M3980">
        <f>VLOOKUP(K3980,RatingLookup!$A$2:$C$8,2,FALSE)</f>
        <v>0.04</v>
      </c>
      <c r="N3980">
        <f t="shared" si="186"/>
        <v>3.3960531989175591E-3</v>
      </c>
      <c r="O3980">
        <f>VLOOKUP(K3980,RatingLookup!$A$2:$C$8,3,FALSE)</f>
        <v>0.6</v>
      </c>
      <c r="P3980">
        <f t="shared" si="187"/>
        <v>2.7212574282926401</v>
      </c>
      <c r="Q3980" t="str">
        <f t="shared" ca="1" si="188"/>
        <v>No</v>
      </c>
    </row>
    <row r="3981" spans="1:17" x14ac:dyDescent="0.45">
      <c r="A3981" t="s">
        <v>168</v>
      </c>
      <c r="B3981" t="s">
        <v>169</v>
      </c>
      <c r="C3981" t="s">
        <v>26</v>
      </c>
      <c r="D3981" t="s">
        <v>20</v>
      </c>
      <c r="E3981" t="s">
        <v>21</v>
      </c>
      <c r="F3981" s="1">
        <v>44409</v>
      </c>
      <c r="G3981">
        <v>5.63</v>
      </c>
      <c r="H3981">
        <v>87.295500000000004</v>
      </c>
      <c r="I3981">
        <v>21.68</v>
      </c>
      <c r="J3981">
        <v>90.15</v>
      </c>
      <c r="K3981" t="s">
        <v>31</v>
      </c>
      <c r="L3981">
        <v>1486.71</v>
      </c>
      <c r="M3981">
        <f>VLOOKUP(K3981,RatingLookup!$A$2:$C$8,2,FALSE)</f>
        <v>0.04</v>
      </c>
      <c r="N3981">
        <f t="shared" si="186"/>
        <v>3.3960531989175591E-3</v>
      </c>
      <c r="O3981">
        <f>VLOOKUP(K3981,RatingLookup!$A$2:$C$8,3,FALSE)</f>
        <v>0.6</v>
      </c>
      <c r="P3981">
        <f t="shared" si="187"/>
        <v>3.0293677508176344</v>
      </c>
      <c r="Q3981" t="str">
        <f t="shared" ca="1" si="188"/>
        <v>No</v>
      </c>
    </row>
    <row r="3982" spans="1:17" x14ac:dyDescent="0.45">
      <c r="A3982" t="s">
        <v>168</v>
      </c>
      <c r="B3982" t="s">
        <v>169</v>
      </c>
      <c r="C3982" t="s">
        <v>26</v>
      </c>
      <c r="D3982" t="s">
        <v>20</v>
      </c>
      <c r="E3982" t="s">
        <v>21</v>
      </c>
      <c r="F3982" s="1">
        <v>44440</v>
      </c>
      <c r="G3982">
        <v>5.82</v>
      </c>
      <c r="H3982">
        <v>78.320099999999996</v>
      </c>
      <c r="I3982">
        <v>30.79</v>
      </c>
      <c r="J3982">
        <v>93.3</v>
      </c>
      <c r="K3982" t="s">
        <v>31</v>
      </c>
      <c r="L3982">
        <v>1394.39</v>
      </c>
      <c r="M3982">
        <f>VLOOKUP(K3982,RatingLookup!$A$2:$C$8,2,FALSE)</f>
        <v>0.04</v>
      </c>
      <c r="N3982">
        <f t="shared" si="186"/>
        <v>3.3960531989175591E-3</v>
      </c>
      <c r="O3982">
        <f>VLOOKUP(K3982,RatingLookup!$A$2:$C$8,3,FALSE)</f>
        <v>0.6</v>
      </c>
      <c r="P3982">
        <f t="shared" si="187"/>
        <v>2.8412535720231933</v>
      </c>
      <c r="Q3982" t="str">
        <f t="shared" ca="1" si="188"/>
        <v>No</v>
      </c>
    </row>
    <row r="3983" spans="1:17" x14ac:dyDescent="0.45">
      <c r="A3983" t="s">
        <v>168</v>
      </c>
      <c r="B3983" t="s">
        <v>169</v>
      </c>
      <c r="C3983" t="s">
        <v>26</v>
      </c>
      <c r="D3983" t="s">
        <v>20</v>
      </c>
      <c r="E3983" t="s">
        <v>21</v>
      </c>
      <c r="F3983" s="1">
        <v>44470</v>
      </c>
      <c r="G3983">
        <v>6.42</v>
      </c>
      <c r="H3983">
        <v>82.951599999999999</v>
      </c>
      <c r="I3983">
        <v>17.82</v>
      </c>
      <c r="J3983">
        <v>94.5</v>
      </c>
      <c r="K3983" t="s">
        <v>31</v>
      </c>
      <c r="L3983">
        <v>1457.92</v>
      </c>
      <c r="M3983">
        <f>VLOOKUP(K3983,RatingLookup!$A$2:$C$8,2,FALSE)</f>
        <v>0.04</v>
      </c>
      <c r="N3983">
        <f t="shared" si="186"/>
        <v>3.3960531989175591E-3</v>
      </c>
      <c r="O3983">
        <f>VLOOKUP(K3983,RatingLookup!$A$2:$C$8,3,FALSE)</f>
        <v>0.6</v>
      </c>
      <c r="P3983">
        <f t="shared" si="187"/>
        <v>2.9707043278595329</v>
      </c>
      <c r="Q3983" t="str">
        <f t="shared" ca="1" si="188"/>
        <v>No</v>
      </c>
    </row>
    <row r="3984" spans="1:17" x14ac:dyDescent="0.45">
      <c r="A3984" t="s">
        <v>168</v>
      </c>
      <c r="B3984" t="s">
        <v>169</v>
      </c>
      <c r="C3984" t="s">
        <v>26</v>
      </c>
      <c r="D3984" t="s">
        <v>20</v>
      </c>
      <c r="E3984" t="s">
        <v>21</v>
      </c>
      <c r="F3984" s="1">
        <v>44501</v>
      </c>
      <c r="G3984">
        <v>6.2</v>
      </c>
      <c r="H3984">
        <v>79.352400000000003</v>
      </c>
      <c r="I3984">
        <v>14.93</v>
      </c>
      <c r="J3984">
        <v>68.98</v>
      </c>
      <c r="K3984" t="s">
        <v>31</v>
      </c>
      <c r="L3984">
        <v>1481.44</v>
      </c>
      <c r="M3984">
        <f>VLOOKUP(K3984,RatingLookup!$A$2:$C$8,2,FALSE)</f>
        <v>0.04</v>
      </c>
      <c r="N3984">
        <f t="shared" si="186"/>
        <v>3.3960531989175591E-3</v>
      </c>
      <c r="O3984">
        <f>VLOOKUP(K3984,RatingLookup!$A$2:$C$8,3,FALSE)</f>
        <v>0.6</v>
      </c>
      <c r="P3984">
        <f t="shared" si="187"/>
        <v>3.0186294306026569</v>
      </c>
      <c r="Q3984" t="str">
        <f t="shared" ca="1" si="188"/>
        <v>No</v>
      </c>
    </row>
    <row r="3985" spans="1:17" x14ac:dyDescent="0.45">
      <c r="A3985" t="s">
        <v>168</v>
      </c>
      <c r="B3985" t="s">
        <v>169</v>
      </c>
      <c r="C3985" t="s">
        <v>26</v>
      </c>
      <c r="D3985" t="s">
        <v>20</v>
      </c>
      <c r="E3985" t="s">
        <v>21</v>
      </c>
      <c r="F3985" s="1">
        <v>44531</v>
      </c>
      <c r="G3985">
        <v>5.21</v>
      </c>
      <c r="H3985">
        <v>83.3874</v>
      </c>
      <c r="I3985">
        <v>16.89</v>
      </c>
      <c r="J3985">
        <v>86.98</v>
      </c>
      <c r="K3985" t="s">
        <v>31</v>
      </c>
      <c r="L3985">
        <v>1372.62</v>
      </c>
      <c r="M3985">
        <f>VLOOKUP(K3985,RatingLookup!$A$2:$C$8,2,FALSE)</f>
        <v>0.04</v>
      </c>
      <c r="N3985">
        <f t="shared" si="186"/>
        <v>3.3960531989175591E-3</v>
      </c>
      <c r="O3985">
        <f>VLOOKUP(K3985,RatingLookup!$A$2:$C$8,3,FALSE)</f>
        <v>0.6</v>
      </c>
      <c r="P3985">
        <f t="shared" si="187"/>
        <v>2.7968943251389313</v>
      </c>
      <c r="Q3985" t="str">
        <f t="shared" ca="1" si="188"/>
        <v>No</v>
      </c>
    </row>
    <row r="3986" spans="1:17" x14ac:dyDescent="0.45">
      <c r="A3986" t="s">
        <v>168</v>
      </c>
      <c r="B3986" t="s">
        <v>169</v>
      </c>
      <c r="C3986" t="s">
        <v>26</v>
      </c>
      <c r="D3986" t="s">
        <v>20</v>
      </c>
      <c r="E3986" t="s">
        <v>21</v>
      </c>
      <c r="F3986" s="1">
        <v>44562</v>
      </c>
      <c r="G3986">
        <v>4.8899999999999997</v>
      </c>
      <c r="H3986">
        <v>82.619299999999996</v>
      </c>
      <c r="I3986">
        <v>16.079999999999998</v>
      </c>
      <c r="J3986">
        <v>64.41</v>
      </c>
      <c r="K3986" t="s">
        <v>31</v>
      </c>
      <c r="L3986">
        <v>1357.8</v>
      </c>
      <c r="M3986">
        <f>VLOOKUP(K3986,RatingLookup!$A$2:$C$8,2,FALSE)</f>
        <v>0.04</v>
      </c>
      <c r="N3986">
        <f t="shared" si="186"/>
        <v>3.3960531989175591E-3</v>
      </c>
      <c r="O3986">
        <f>VLOOKUP(K3986,RatingLookup!$A$2:$C$8,3,FALSE)</f>
        <v>0.6</v>
      </c>
      <c r="P3986">
        <f t="shared" si="187"/>
        <v>2.7666966200941565</v>
      </c>
      <c r="Q3986" t="str">
        <f t="shared" ca="1" si="188"/>
        <v>No</v>
      </c>
    </row>
    <row r="3987" spans="1:17" x14ac:dyDescent="0.45">
      <c r="A3987" t="s">
        <v>168</v>
      </c>
      <c r="B3987" t="s">
        <v>169</v>
      </c>
      <c r="C3987" t="s">
        <v>26</v>
      </c>
      <c r="D3987" t="s">
        <v>20</v>
      </c>
      <c r="E3987" t="s">
        <v>21</v>
      </c>
      <c r="F3987" s="1">
        <v>44593</v>
      </c>
      <c r="G3987">
        <v>5.61</v>
      </c>
      <c r="H3987">
        <v>82.281599999999997</v>
      </c>
      <c r="I3987">
        <v>14.65</v>
      </c>
      <c r="J3987">
        <v>75.98</v>
      </c>
      <c r="K3987" t="s">
        <v>31</v>
      </c>
      <c r="L3987">
        <v>1584.63</v>
      </c>
      <c r="M3987">
        <f>VLOOKUP(K3987,RatingLookup!$A$2:$C$8,2,FALSE)</f>
        <v>0.04</v>
      </c>
      <c r="N3987">
        <f t="shared" si="186"/>
        <v>3.3960531989175591E-3</v>
      </c>
      <c r="O3987">
        <f>VLOOKUP(K3987,RatingLookup!$A$2:$C$8,3,FALSE)</f>
        <v>0.6</v>
      </c>
      <c r="P3987">
        <f t="shared" si="187"/>
        <v>3.2288926683604395</v>
      </c>
      <c r="Q3987" t="str">
        <f t="shared" ca="1" si="188"/>
        <v>No</v>
      </c>
    </row>
    <row r="3988" spans="1:17" x14ac:dyDescent="0.45">
      <c r="A3988" t="s">
        <v>168</v>
      </c>
      <c r="B3988" t="s">
        <v>169</v>
      </c>
      <c r="C3988" t="s">
        <v>26</v>
      </c>
      <c r="D3988" t="s">
        <v>20</v>
      </c>
      <c r="E3988" t="s">
        <v>21</v>
      </c>
      <c r="F3988" s="1">
        <v>44621</v>
      </c>
      <c r="G3988">
        <v>5.19</v>
      </c>
      <c r="H3988">
        <v>83.600300000000004</v>
      </c>
      <c r="I3988">
        <v>19.239999999999998</v>
      </c>
      <c r="J3988">
        <v>84.41</v>
      </c>
      <c r="K3988" t="s">
        <v>31</v>
      </c>
      <c r="L3988">
        <v>1442.66</v>
      </c>
      <c r="M3988">
        <f>VLOOKUP(K3988,RatingLookup!$A$2:$C$8,2,FALSE)</f>
        <v>0.04</v>
      </c>
      <c r="N3988">
        <f t="shared" si="186"/>
        <v>3.3960531989175591E-3</v>
      </c>
      <c r="O3988">
        <f>VLOOKUP(K3988,RatingLookup!$A$2:$C$8,3,FALSE)</f>
        <v>0.6</v>
      </c>
      <c r="P3988">
        <f t="shared" si="187"/>
        <v>2.9396100647702434</v>
      </c>
      <c r="Q3988" t="str">
        <f t="shared" ca="1" si="188"/>
        <v>No</v>
      </c>
    </row>
    <row r="3989" spans="1:17" x14ac:dyDescent="0.45">
      <c r="A3989" t="s">
        <v>168</v>
      </c>
      <c r="B3989" t="s">
        <v>169</v>
      </c>
      <c r="C3989" t="s">
        <v>26</v>
      </c>
      <c r="D3989" t="s">
        <v>20</v>
      </c>
      <c r="E3989" t="s">
        <v>21</v>
      </c>
      <c r="F3989" s="1">
        <v>44652</v>
      </c>
      <c r="G3989">
        <v>5.39</v>
      </c>
      <c r="H3989">
        <v>83.643900000000002</v>
      </c>
      <c r="I3989">
        <v>19.989999999999998</v>
      </c>
      <c r="J3989">
        <v>72.88</v>
      </c>
      <c r="K3989" t="s">
        <v>31</v>
      </c>
      <c r="L3989">
        <v>1461.44</v>
      </c>
      <c r="M3989">
        <f>VLOOKUP(K3989,RatingLookup!$A$2:$C$8,2,FALSE)</f>
        <v>0.04</v>
      </c>
      <c r="N3989">
        <f t="shared" si="186"/>
        <v>3.3960531989175591E-3</v>
      </c>
      <c r="O3989">
        <f>VLOOKUP(K3989,RatingLookup!$A$2:$C$8,3,FALSE)</f>
        <v>0.6</v>
      </c>
      <c r="P3989">
        <f t="shared" si="187"/>
        <v>2.9778767922156466</v>
      </c>
      <c r="Q3989" t="str">
        <f t="shared" ca="1" si="188"/>
        <v>No</v>
      </c>
    </row>
    <row r="3990" spans="1:17" x14ac:dyDescent="0.45">
      <c r="A3990" t="s">
        <v>168</v>
      </c>
      <c r="B3990" t="s">
        <v>169</v>
      </c>
      <c r="C3990" t="s">
        <v>26</v>
      </c>
      <c r="D3990" t="s">
        <v>20</v>
      </c>
      <c r="E3990" t="s">
        <v>21</v>
      </c>
      <c r="F3990" s="1">
        <v>44682</v>
      </c>
      <c r="G3990">
        <v>5.47</v>
      </c>
      <c r="H3990">
        <v>84.817700000000002</v>
      </c>
      <c r="I3990">
        <v>15.93</v>
      </c>
      <c r="J3990">
        <v>70.36</v>
      </c>
      <c r="K3990" t="s">
        <v>31</v>
      </c>
      <c r="L3990">
        <v>1400.34</v>
      </c>
      <c r="M3990">
        <f>VLOOKUP(K3990,RatingLookup!$A$2:$C$8,2,FALSE)</f>
        <v>0.04</v>
      </c>
      <c r="N3990">
        <f t="shared" si="186"/>
        <v>3.3960531989175591E-3</v>
      </c>
      <c r="O3990">
        <f>VLOOKUP(K3990,RatingLookup!$A$2:$C$8,3,FALSE)</f>
        <v>0.6</v>
      </c>
      <c r="P3990">
        <f t="shared" si="187"/>
        <v>2.8533774819433289</v>
      </c>
      <c r="Q3990" t="str">
        <f t="shared" ca="1" si="188"/>
        <v>No</v>
      </c>
    </row>
    <row r="3991" spans="1:17" x14ac:dyDescent="0.45">
      <c r="A3991" t="s">
        <v>168</v>
      </c>
      <c r="B3991" t="s">
        <v>169</v>
      </c>
      <c r="C3991" t="s">
        <v>26</v>
      </c>
      <c r="D3991" t="s">
        <v>20</v>
      </c>
      <c r="E3991" t="s">
        <v>21</v>
      </c>
      <c r="F3991" s="1">
        <v>44713</v>
      </c>
      <c r="G3991">
        <v>5.7</v>
      </c>
      <c r="H3991">
        <v>83.104799999999997</v>
      </c>
      <c r="I3991">
        <v>17.309999999999999</v>
      </c>
      <c r="J3991">
        <v>81.56</v>
      </c>
      <c r="K3991" t="s">
        <v>32</v>
      </c>
      <c r="L3991">
        <v>1402.7</v>
      </c>
      <c r="M3991">
        <f>VLOOKUP(K3991,RatingLookup!$A$2:$C$8,2,FALSE)</f>
        <v>0.12</v>
      </c>
      <c r="N3991">
        <f t="shared" si="186"/>
        <v>1.0596241035318976E-2</v>
      </c>
      <c r="O3991">
        <f>VLOOKUP(K3991,RatingLookup!$A$2:$C$8,3,FALSE)</f>
        <v>0.7</v>
      </c>
      <c r="P3991">
        <f t="shared" si="187"/>
        <v>10.40434311016935</v>
      </c>
      <c r="Q3991" t="str">
        <f t="shared" ca="1" si="188"/>
        <v>No</v>
      </c>
    </row>
    <row r="3992" spans="1:17" x14ac:dyDescent="0.45">
      <c r="A3992" t="s">
        <v>168</v>
      </c>
      <c r="B3992" t="s">
        <v>169</v>
      </c>
      <c r="C3992" t="s">
        <v>26</v>
      </c>
      <c r="D3992" t="s">
        <v>20</v>
      </c>
      <c r="E3992" t="s">
        <v>21</v>
      </c>
      <c r="F3992" s="1">
        <v>44743</v>
      </c>
      <c r="G3992">
        <v>5.4</v>
      </c>
      <c r="H3992">
        <v>82.085999999999999</v>
      </c>
      <c r="I3992">
        <v>29.34</v>
      </c>
      <c r="J3992">
        <v>81.13</v>
      </c>
      <c r="K3992" t="s">
        <v>32</v>
      </c>
      <c r="L3992">
        <v>1517.31</v>
      </c>
      <c r="M3992">
        <f>VLOOKUP(K3992,RatingLookup!$A$2:$C$8,2,FALSE)</f>
        <v>0.12</v>
      </c>
      <c r="N3992">
        <f t="shared" si="186"/>
        <v>1.0596241035318976E-2</v>
      </c>
      <c r="O3992">
        <f>VLOOKUP(K3992,RatingLookup!$A$2:$C$8,3,FALSE)</f>
        <v>0.7</v>
      </c>
      <c r="P3992">
        <f t="shared" si="187"/>
        <v>11.254447739709883</v>
      </c>
      <c r="Q3992" t="str">
        <f t="shared" ca="1" si="188"/>
        <v>No</v>
      </c>
    </row>
    <row r="3993" spans="1:17" x14ac:dyDescent="0.45">
      <c r="A3993" t="s">
        <v>168</v>
      </c>
      <c r="B3993" t="s">
        <v>169</v>
      </c>
      <c r="C3993" t="s">
        <v>26</v>
      </c>
      <c r="D3993" t="s">
        <v>20</v>
      </c>
      <c r="E3993" t="s">
        <v>21</v>
      </c>
      <c r="F3993" s="1">
        <v>44774</v>
      </c>
      <c r="G3993">
        <v>6.6</v>
      </c>
      <c r="H3993">
        <v>83.249300000000005</v>
      </c>
      <c r="I3993">
        <v>17.239999999999998</v>
      </c>
      <c r="J3993">
        <v>68.23</v>
      </c>
      <c r="K3993" t="s">
        <v>32</v>
      </c>
      <c r="L3993">
        <v>1368.27</v>
      </c>
      <c r="M3993">
        <f>VLOOKUP(K3993,RatingLookup!$A$2:$C$8,2,FALSE)</f>
        <v>0.12</v>
      </c>
      <c r="N3993">
        <f t="shared" si="186"/>
        <v>1.0596241035318976E-2</v>
      </c>
      <c r="O3993">
        <f>VLOOKUP(K3993,RatingLookup!$A$2:$C$8,3,FALSE)</f>
        <v>0.7</v>
      </c>
      <c r="P3993">
        <f t="shared" si="187"/>
        <v>10.148963104977126</v>
      </c>
      <c r="Q3993" t="str">
        <f t="shared" ca="1" si="188"/>
        <v>No</v>
      </c>
    </row>
    <row r="3994" spans="1:17" x14ac:dyDescent="0.45">
      <c r="A3994" t="s">
        <v>168</v>
      </c>
      <c r="B3994" t="s">
        <v>169</v>
      </c>
      <c r="C3994" t="s">
        <v>26</v>
      </c>
      <c r="D3994" t="s">
        <v>20</v>
      </c>
      <c r="E3994" t="s">
        <v>21</v>
      </c>
      <c r="F3994" s="1">
        <v>44805</v>
      </c>
      <c r="G3994">
        <v>5.77</v>
      </c>
      <c r="H3994">
        <v>82.057699999999997</v>
      </c>
      <c r="I3994">
        <v>17.09</v>
      </c>
      <c r="J3994">
        <v>68.2</v>
      </c>
      <c r="K3994" t="s">
        <v>32</v>
      </c>
      <c r="L3994">
        <v>1492.53</v>
      </c>
      <c r="M3994">
        <f>VLOOKUP(K3994,RatingLookup!$A$2:$C$8,2,FALSE)</f>
        <v>0.12</v>
      </c>
      <c r="N3994">
        <f t="shared" si="186"/>
        <v>1.0596241035318976E-2</v>
      </c>
      <c r="O3994">
        <f>VLOOKUP(K3994,RatingLookup!$A$2:$C$8,3,FALSE)</f>
        <v>0.7</v>
      </c>
      <c r="P3994">
        <f t="shared" si="187"/>
        <v>11.070645342711241</v>
      </c>
      <c r="Q3994" t="str">
        <f t="shared" ca="1" si="188"/>
        <v>No</v>
      </c>
    </row>
    <row r="3995" spans="1:17" x14ac:dyDescent="0.45">
      <c r="A3995" t="s">
        <v>168</v>
      </c>
      <c r="B3995" t="s">
        <v>169</v>
      </c>
      <c r="C3995" t="s">
        <v>26</v>
      </c>
      <c r="D3995" t="s">
        <v>20</v>
      </c>
      <c r="E3995" t="s">
        <v>21</v>
      </c>
      <c r="F3995" s="1">
        <v>44835</v>
      </c>
      <c r="G3995">
        <v>5.14</v>
      </c>
      <c r="H3995">
        <v>80.321200000000005</v>
      </c>
      <c r="I3995">
        <v>24.25</v>
      </c>
      <c r="J3995">
        <v>89.43</v>
      </c>
      <c r="K3995" t="s">
        <v>32</v>
      </c>
      <c r="L3995">
        <v>1369.33</v>
      </c>
      <c r="M3995">
        <f>VLOOKUP(K3995,RatingLookup!$A$2:$C$8,2,FALSE)</f>
        <v>0.12</v>
      </c>
      <c r="N3995">
        <f t="shared" si="186"/>
        <v>1.0596241035318976E-2</v>
      </c>
      <c r="O3995">
        <f>VLOOKUP(K3995,RatingLookup!$A$2:$C$8,3,FALSE)</f>
        <v>0.7</v>
      </c>
      <c r="P3995">
        <f t="shared" si="187"/>
        <v>10.156825515825332</v>
      </c>
      <c r="Q3995" t="str">
        <f t="shared" ca="1" si="188"/>
        <v>No</v>
      </c>
    </row>
    <row r="3996" spans="1:17" x14ac:dyDescent="0.45">
      <c r="A3996" t="s">
        <v>168</v>
      </c>
      <c r="B3996" t="s">
        <v>169</v>
      </c>
      <c r="C3996" t="s">
        <v>26</v>
      </c>
      <c r="D3996" t="s">
        <v>20</v>
      </c>
      <c r="E3996" t="s">
        <v>21</v>
      </c>
      <c r="F3996" s="1">
        <v>44866</v>
      </c>
      <c r="G3996">
        <v>5.86</v>
      </c>
      <c r="H3996">
        <v>80.830299999999994</v>
      </c>
      <c r="I3996">
        <v>15.69</v>
      </c>
      <c r="J3996">
        <v>90.41</v>
      </c>
      <c r="K3996" t="s">
        <v>32</v>
      </c>
      <c r="L3996">
        <v>1436.73</v>
      </c>
      <c r="M3996">
        <f>VLOOKUP(K3996,RatingLookup!$A$2:$C$8,2,FALSE)</f>
        <v>0.12</v>
      </c>
      <c r="N3996">
        <f t="shared" si="186"/>
        <v>1.0596241035318976E-2</v>
      </c>
      <c r="O3996">
        <f>VLOOKUP(K3996,RatingLookup!$A$2:$C$8,3,FALSE)</f>
        <v>0.7</v>
      </c>
      <c r="P3996">
        <f t="shared" si="187"/>
        <v>10.656756167871682</v>
      </c>
      <c r="Q3996" t="str">
        <f t="shared" ca="1" si="188"/>
        <v>No</v>
      </c>
    </row>
    <row r="3997" spans="1:17" x14ac:dyDescent="0.45">
      <c r="A3997" t="s">
        <v>168</v>
      </c>
      <c r="B3997" t="s">
        <v>169</v>
      </c>
      <c r="C3997" t="s">
        <v>26</v>
      </c>
      <c r="D3997" t="s">
        <v>20</v>
      </c>
      <c r="E3997" t="s">
        <v>21</v>
      </c>
      <c r="F3997" s="1">
        <v>44896</v>
      </c>
      <c r="G3997">
        <v>5.32</v>
      </c>
      <c r="H3997">
        <v>78.596100000000007</v>
      </c>
      <c r="I3997">
        <v>16.670000000000002</v>
      </c>
      <c r="J3997">
        <v>72.239999999999995</v>
      </c>
      <c r="K3997" t="s">
        <v>32</v>
      </c>
      <c r="L3997">
        <v>1492.01</v>
      </c>
      <c r="M3997">
        <f>VLOOKUP(K3997,RatingLookup!$A$2:$C$8,2,FALSE)</f>
        <v>0.12</v>
      </c>
      <c r="N3997">
        <f t="shared" si="186"/>
        <v>1.0596241035318976E-2</v>
      </c>
      <c r="O3997">
        <f>VLOOKUP(K3997,RatingLookup!$A$2:$C$8,3,FALSE)</f>
        <v>0.7</v>
      </c>
      <c r="P3997">
        <f t="shared" si="187"/>
        <v>11.066788310974385</v>
      </c>
      <c r="Q3997" t="str">
        <f t="shared" ca="1" si="188"/>
        <v>No</v>
      </c>
    </row>
    <row r="3998" spans="1:17" x14ac:dyDescent="0.45">
      <c r="A3998" t="s">
        <v>168</v>
      </c>
      <c r="B3998" t="s">
        <v>169</v>
      </c>
      <c r="C3998" t="s">
        <v>26</v>
      </c>
      <c r="D3998" t="s">
        <v>20</v>
      </c>
      <c r="E3998" t="s">
        <v>21</v>
      </c>
      <c r="F3998" s="1">
        <v>44927</v>
      </c>
      <c r="G3998">
        <v>5.74</v>
      </c>
      <c r="H3998">
        <v>83.212699999999998</v>
      </c>
      <c r="I3998">
        <v>22.94</v>
      </c>
      <c r="J3998">
        <v>80.61</v>
      </c>
      <c r="K3998" t="s">
        <v>32</v>
      </c>
      <c r="L3998">
        <v>1512.89</v>
      </c>
      <c r="M3998">
        <f>VLOOKUP(K3998,RatingLookup!$A$2:$C$8,2,FALSE)</f>
        <v>0.12</v>
      </c>
      <c r="N3998">
        <f t="shared" si="186"/>
        <v>1.0596241035318976E-2</v>
      </c>
      <c r="O3998">
        <f>VLOOKUP(K3998,RatingLookup!$A$2:$C$8,3,FALSE)</f>
        <v>0.7</v>
      </c>
      <c r="P3998">
        <f t="shared" si="187"/>
        <v>11.221662969946607</v>
      </c>
      <c r="Q3998" t="str">
        <f t="shared" ca="1" si="188"/>
        <v>No</v>
      </c>
    </row>
    <row r="3999" spans="1:17" x14ac:dyDescent="0.45">
      <c r="A3999" t="s">
        <v>168</v>
      </c>
      <c r="B3999" t="s">
        <v>169</v>
      </c>
      <c r="C3999" t="s">
        <v>26</v>
      </c>
      <c r="D3999" t="s">
        <v>20</v>
      </c>
      <c r="E3999" t="s">
        <v>21</v>
      </c>
      <c r="F3999" s="1">
        <v>44958</v>
      </c>
      <c r="G3999">
        <v>5.41</v>
      </c>
      <c r="H3999">
        <v>80.955299999999994</v>
      </c>
      <c r="I3999">
        <v>26.54</v>
      </c>
      <c r="J3999">
        <v>83.37</v>
      </c>
      <c r="K3999" t="s">
        <v>32</v>
      </c>
      <c r="L3999">
        <v>1351.47</v>
      </c>
      <c r="M3999">
        <f>VLOOKUP(K3999,RatingLookup!$A$2:$C$8,2,FALSE)</f>
        <v>0.12</v>
      </c>
      <c r="N3999">
        <f t="shared" si="186"/>
        <v>1.0596241035318976E-2</v>
      </c>
      <c r="O3999">
        <f>VLOOKUP(K3999,RatingLookup!$A$2:$C$8,3,FALSE)</f>
        <v>0.7</v>
      </c>
      <c r="P3999">
        <f t="shared" si="187"/>
        <v>10.024351310401777</v>
      </c>
      <c r="Q3999" t="str">
        <f t="shared" ca="1" si="188"/>
        <v>No</v>
      </c>
    </row>
    <row r="4000" spans="1:17" x14ac:dyDescent="0.45">
      <c r="A4000" t="s">
        <v>168</v>
      </c>
      <c r="B4000" t="s">
        <v>169</v>
      </c>
      <c r="C4000" t="s">
        <v>26</v>
      </c>
      <c r="D4000" t="s">
        <v>20</v>
      </c>
      <c r="E4000" t="s">
        <v>21</v>
      </c>
      <c r="F4000" s="1">
        <v>44986</v>
      </c>
      <c r="G4000">
        <v>5.0199999999999996</v>
      </c>
      <c r="H4000">
        <v>87.2239</v>
      </c>
      <c r="I4000">
        <v>26.31</v>
      </c>
      <c r="J4000">
        <v>86.35</v>
      </c>
      <c r="K4000" t="s">
        <v>32</v>
      </c>
      <c r="L4000">
        <v>1471.95</v>
      </c>
      <c r="M4000">
        <f>VLOOKUP(K4000,RatingLookup!$A$2:$C$8,2,FALSE)</f>
        <v>0.12</v>
      </c>
      <c r="N4000">
        <f t="shared" si="186"/>
        <v>1.0596241035318976E-2</v>
      </c>
      <c r="O4000">
        <f>VLOOKUP(K4000,RatingLookup!$A$2:$C$8,3,FALSE)</f>
        <v>0.7</v>
      </c>
      <c r="P4000">
        <f t="shared" si="187"/>
        <v>10.917995894356437</v>
      </c>
      <c r="Q4000" t="str">
        <f t="shared" ca="1" si="188"/>
        <v>No</v>
      </c>
    </row>
    <row r="4001" spans="1:17" x14ac:dyDescent="0.45">
      <c r="A4001" t="s">
        <v>168</v>
      </c>
      <c r="B4001" t="s">
        <v>169</v>
      </c>
      <c r="C4001" t="s">
        <v>26</v>
      </c>
      <c r="D4001" t="s">
        <v>20</v>
      </c>
      <c r="E4001" t="s">
        <v>21</v>
      </c>
      <c r="F4001" s="1">
        <v>45017</v>
      </c>
      <c r="G4001">
        <v>5.7</v>
      </c>
      <c r="H4001">
        <v>83.232500000000002</v>
      </c>
      <c r="I4001">
        <v>20.23</v>
      </c>
      <c r="J4001">
        <v>81.11</v>
      </c>
      <c r="K4001" t="s">
        <v>32</v>
      </c>
      <c r="L4001">
        <v>1427.18</v>
      </c>
      <c r="M4001">
        <f>VLOOKUP(K4001,RatingLookup!$A$2:$C$8,2,FALSE)</f>
        <v>0.12</v>
      </c>
      <c r="N4001">
        <f t="shared" si="186"/>
        <v>1.0596241035318976E-2</v>
      </c>
      <c r="O4001">
        <f>VLOOKUP(K4001,RatingLookup!$A$2:$C$8,3,FALSE)</f>
        <v>0.7</v>
      </c>
      <c r="P4001">
        <f t="shared" si="187"/>
        <v>10.585920296550576</v>
      </c>
      <c r="Q4001" t="str">
        <f t="shared" ca="1" si="188"/>
        <v>No</v>
      </c>
    </row>
    <row r="4002" spans="1:17" x14ac:dyDescent="0.45">
      <c r="A4002" t="s">
        <v>168</v>
      </c>
      <c r="B4002" t="s">
        <v>169</v>
      </c>
      <c r="C4002" t="s">
        <v>26</v>
      </c>
      <c r="D4002" t="s">
        <v>20</v>
      </c>
      <c r="E4002" t="s">
        <v>21</v>
      </c>
      <c r="F4002" s="1">
        <v>45047</v>
      </c>
      <c r="G4002">
        <v>4.7</v>
      </c>
      <c r="H4002">
        <v>83.504199999999997</v>
      </c>
      <c r="I4002">
        <v>12.63</v>
      </c>
      <c r="J4002">
        <v>88.66</v>
      </c>
      <c r="K4002" t="s">
        <v>32</v>
      </c>
      <c r="L4002">
        <v>1361.11</v>
      </c>
      <c r="M4002">
        <f>VLOOKUP(K4002,RatingLookup!$A$2:$C$8,2,FALSE)</f>
        <v>0.12</v>
      </c>
      <c r="N4002">
        <f t="shared" si="186"/>
        <v>1.0596241035318976E-2</v>
      </c>
      <c r="O4002">
        <f>VLOOKUP(K4002,RatingLookup!$A$2:$C$8,3,FALSE)</f>
        <v>0.7</v>
      </c>
      <c r="P4002">
        <f t="shared" si="187"/>
        <v>10.095854744908106</v>
      </c>
      <c r="Q4002" t="str">
        <f t="shared" ca="1" si="188"/>
        <v>No</v>
      </c>
    </row>
    <row r="4003" spans="1:17" x14ac:dyDescent="0.45">
      <c r="A4003" t="s">
        <v>168</v>
      </c>
      <c r="B4003" t="s">
        <v>169</v>
      </c>
      <c r="C4003" t="s">
        <v>26</v>
      </c>
      <c r="D4003" t="s">
        <v>20</v>
      </c>
      <c r="E4003" t="s">
        <v>21</v>
      </c>
      <c r="F4003" s="1">
        <v>45078</v>
      </c>
      <c r="G4003">
        <v>5.47</v>
      </c>
      <c r="H4003">
        <v>83.007099999999994</v>
      </c>
      <c r="I4003">
        <v>26.14</v>
      </c>
      <c r="J4003">
        <v>81.66</v>
      </c>
      <c r="K4003" t="s">
        <v>32</v>
      </c>
      <c r="L4003">
        <v>1404.16</v>
      </c>
      <c r="M4003">
        <f>VLOOKUP(K4003,RatingLookup!$A$2:$C$8,2,FALSE)</f>
        <v>0.12</v>
      </c>
      <c r="N4003">
        <f t="shared" si="186"/>
        <v>1.0596241035318976E-2</v>
      </c>
      <c r="O4003">
        <f>VLOOKUP(K4003,RatingLookup!$A$2:$C$8,3,FALSE)</f>
        <v>0.7</v>
      </c>
      <c r="P4003">
        <f t="shared" si="187"/>
        <v>10.415172468507446</v>
      </c>
      <c r="Q4003" t="str">
        <f t="shared" ca="1" si="188"/>
        <v>No</v>
      </c>
    </row>
    <row r="4004" spans="1:17" x14ac:dyDescent="0.45">
      <c r="A4004" t="s">
        <v>168</v>
      </c>
      <c r="B4004" t="s">
        <v>169</v>
      </c>
      <c r="C4004" t="s">
        <v>26</v>
      </c>
      <c r="D4004" t="s">
        <v>20</v>
      </c>
      <c r="E4004" t="s">
        <v>21</v>
      </c>
      <c r="F4004" s="1">
        <v>45108</v>
      </c>
      <c r="G4004">
        <v>5.48</v>
      </c>
      <c r="H4004">
        <v>82.354600000000005</v>
      </c>
      <c r="I4004">
        <v>14.67</v>
      </c>
      <c r="J4004">
        <v>67.069999999999993</v>
      </c>
      <c r="K4004" t="s">
        <v>32</v>
      </c>
      <c r="L4004">
        <v>1609.03</v>
      </c>
      <c r="M4004">
        <f>VLOOKUP(K4004,RatingLookup!$A$2:$C$8,2,FALSE)</f>
        <v>0.12</v>
      </c>
      <c r="N4004">
        <f t="shared" si="186"/>
        <v>1.0596241035318976E-2</v>
      </c>
      <c r="O4004">
        <f>VLOOKUP(K4004,RatingLookup!$A$2:$C$8,3,FALSE)</f>
        <v>0.7</v>
      </c>
      <c r="P4004">
        <f t="shared" si="187"/>
        <v>11.934768799141503</v>
      </c>
      <c r="Q4004" t="str">
        <f t="shared" ca="1" si="188"/>
        <v>No</v>
      </c>
    </row>
    <row r="4005" spans="1:17" x14ac:dyDescent="0.45">
      <c r="A4005" t="s">
        <v>168</v>
      </c>
      <c r="B4005" t="s">
        <v>169</v>
      </c>
      <c r="C4005" t="s">
        <v>26</v>
      </c>
      <c r="D4005" t="s">
        <v>20</v>
      </c>
      <c r="E4005" t="s">
        <v>21</v>
      </c>
      <c r="F4005" s="1">
        <v>45139</v>
      </c>
      <c r="G4005">
        <v>5.54</v>
      </c>
      <c r="H4005">
        <v>80.107799999999997</v>
      </c>
      <c r="I4005">
        <v>23.31</v>
      </c>
      <c r="J4005">
        <v>85.27</v>
      </c>
      <c r="K4005" t="s">
        <v>32</v>
      </c>
      <c r="L4005">
        <v>1375.24</v>
      </c>
      <c r="M4005">
        <f>VLOOKUP(K4005,RatingLookup!$A$2:$C$8,2,FALSE)</f>
        <v>0.12</v>
      </c>
      <c r="N4005">
        <f t="shared" si="186"/>
        <v>1.0596241035318976E-2</v>
      </c>
      <c r="O4005">
        <f>VLOOKUP(K4005,RatingLookup!$A$2:$C$8,3,FALSE)</f>
        <v>0.7</v>
      </c>
      <c r="P4005">
        <f t="shared" si="187"/>
        <v>10.200662164988447</v>
      </c>
      <c r="Q4005" t="str">
        <f t="shared" ca="1" si="188"/>
        <v>No</v>
      </c>
    </row>
    <row r="4006" spans="1:17" x14ac:dyDescent="0.45">
      <c r="A4006" t="s">
        <v>168</v>
      </c>
      <c r="B4006" t="s">
        <v>169</v>
      </c>
      <c r="C4006" t="s">
        <v>26</v>
      </c>
      <c r="D4006" t="s">
        <v>20</v>
      </c>
      <c r="E4006" t="s">
        <v>21</v>
      </c>
      <c r="F4006" s="1">
        <v>45170</v>
      </c>
      <c r="G4006">
        <v>5.15</v>
      </c>
      <c r="H4006">
        <v>84.026399999999995</v>
      </c>
      <c r="I4006">
        <v>23.23</v>
      </c>
      <c r="J4006">
        <v>71.78</v>
      </c>
      <c r="K4006" t="s">
        <v>32</v>
      </c>
      <c r="L4006">
        <v>1334.18</v>
      </c>
      <c r="M4006">
        <f>VLOOKUP(K4006,RatingLookup!$A$2:$C$8,2,FALSE)</f>
        <v>0.12</v>
      </c>
      <c r="N4006">
        <f t="shared" si="186"/>
        <v>1.0596241035318976E-2</v>
      </c>
      <c r="O4006">
        <f>VLOOKUP(K4006,RatingLookup!$A$2:$C$8,3,FALSE)</f>
        <v>0.7</v>
      </c>
      <c r="P4006">
        <f t="shared" si="187"/>
        <v>9.8961050051513109</v>
      </c>
      <c r="Q4006" t="str">
        <f t="shared" ca="1" si="188"/>
        <v>No</v>
      </c>
    </row>
    <row r="4007" spans="1:17" x14ac:dyDescent="0.45">
      <c r="A4007" t="s">
        <v>168</v>
      </c>
      <c r="B4007" t="s">
        <v>169</v>
      </c>
      <c r="C4007" t="s">
        <v>26</v>
      </c>
      <c r="D4007" t="s">
        <v>20</v>
      </c>
      <c r="E4007" t="s">
        <v>21</v>
      </c>
      <c r="F4007" s="1">
        <v>45200</v>
      </c>
      <c r="G4007">
        <v>5.65</v>
      </c>
      <c r="H4007">
        <v>83.822999999999993</v>
      </c>
      <c r="I4007">
        <v>18.670000000000002</v>
      </c>
      <c r="J4007">
        <v>80.86</v>
      </c>
      <c r="K4007" t="s">
        <v>32</v>
      </c>
      <c r="L4007">
        <v>1395.22</v>
      </c>
      <c r="M4007">
        <f>VLOOKUP(K4007,RatingLookup!$A$2:$C$8,2,FALSE)</f>
        <v>0.12</v>
      </c>
      <c r="N4007">
        <f t="shared" si="186"/>
        <v>1.0596241035318976E-2</v>
      </c>
      <c r="O4007">
        <f>VLOOKUP(K4007,RatingLookup!$A$2:$C$8,3,FALSE)</f>
        <v>0.7</v>
      </c>
      <c r="P4007">
        <f t="shared" si="187"/>
        <v>10.348861192108419</v>
      </c>
      <c r="Q4007" t="str">
        <f t="shared" ca="1" si="188"/>
        <v>No</v>
      </c>
    </row>
    <row r="4008" spans="1:17" x14ac:dyDescent="0.45">
      <c r="A4008" t="s">
        <v>168</v>
      </c>
      <c r="B4008" t="s">
        <v>169</v>
      </c>
      <c r="C4008" t="s">
        <v>26</v>
      </c>
      <c r="D4008" t="s">
        <v>20</v>
      </c>
      <c r="E4008" t="s">
        <v>21</v>
      </c>
      <c r="F4008" s="1">
        <v>45231</v>
      </c>
      <c r="G4008">
        <v>5.35</v>
      </c>
      <c r="H4008">
        <v>83.903300000000002</v>
      </c>
      <c r="I4008">
        <v>20.190000000000001</v>
      </c>
      <c r="J4008">
        <v>95.36</v>
      </c>
      <c r="K4008" t="s">
        <v>32</v>
      </c>
      <c r="L4008">
        <v>1565.23</v>
      </c>
      <c r="M4008">
        <f>VLOOKUP(K4008,RatingLookup!$A$2:$C$8,2,FALSE)</f>
        <v>0.12</v>
      </c>
      <c r="N4008">
        <f t="shared" si="186"/>
        <v>1.0596241035318976E-2</v>
      </c>
      <c r="O4008">
        <f>VLOOKUP(K4008,RatingLookup!$A$2:$C$8,3,FALSE)</f>
        <v>0.7</v>
      </c>
      <c r="P4008">
        <f t="shared" si="187"/>
        <v>11.609888048998625</v>
      </c>
      <c r="Q4008" t="str">
        <f t="shared" ca="1" si="188"/>
        <v>No</v>
      </c>
    </row>
    <row r="4009" spans="1:17" x14ac:dyDescent="0.45">
      <c r="A4009" t="s">
        <v>168</v>
      </c>
      <c r="B4009" t="s">
        <v>169</v>
      </c>
      <c r="C4009" t="s">
        <v>26</v>
      </c>
      <c r="D4009" t="s">
        <v>20</v>
      </c>
      <c r="E4009" t="s">
        <v>21</v>
      </c>
      <c r="F4009" s="1">
        <v>45261</v>
      </c>
      <c r="G4009">
        <v>5.2</v>
      </c>
      <c r="H4009">
        <v>83.265100000000004</v>
      </c>
      <c r="I4009">
        <v>14.96</v>
      </c>
      <c r="J4009">
        <v>79.06</v>
      </c>
      <c r="K4009" t="s">
        <v>32</v>
      </c>
      <c r="L4009">
        <v>1332.72</v>
      </c>
      <c r="M4009">
        <f>VLOOKUP(K4009,RatingLookup!$A$2:$C$8,2,FALSE)</f>
        <v>0.12</v>
      </c>
      <c r="N4009">
        <f t="shared" si="186"/>
        <v>1.0596241035318976E-2</v>
      </c>
      <c r="O4009">
        <f>VLOOKUP(K4009,RatingLookup!$A$2:$C$8,3,FALSE)</f>
        <v>0.7</v>
      </c>
      <c r="P4009">
        <f t="shared" si="187"/>
        <v>9.8852756468132146</v>
      </c>
      <c r="Q4009" t="str">
        <f t="shared" ca="1" si="188"/>
        <v>No</v>
      </c>
    </row>
    <row r="4010" spans="1:17" x14ac:dyDescent="0.45">
      <c r="A4010" t="s">
        <v>168</v>
      </c>
      <c r="B4010" t="s">
        <v>169</v>
      </c>
      <c r="C4010" t="s">
        <v>26</v>
      </c>
      <c r="D4010" t="s">
        <v>20</v>
      </c>
      <c r="E4010" t="s">
        <v>21</v>
      </c>
      <c r="F4010" s="1">
        <v>45292</v>
      </c>
      <c r="G4010">
        <v>5.79</v>
      </c>
      <c r="H4010">
        <v>81.7624</v>
      </c>
      <c r="I4010">
        <v>19.73</v>
      </c>
      <c r="J4010">
        <v>73.64</v>
      </c>
      <c r="K4010" t="s">
        <v>32</v>
      </c>
      <c r="L4010">
        <v>1415.45</v>
      </c>
      <c r="M4010">
        <f>VLOOKUP(K4010,RatingLookup!$A$2:$C$8,2,FALSE)</f>
        <v>0.12</v>
      </c>
      <c r="N4010">
        <f t="shared" si="186"/>
        <v>1.0596241035318976E-2</v>
      </c>
      <c r="O4010">
        <f>VLOOKUP(K4010,RatingLookup!$A$2:$C$8,3,FALSE)</f>
        <v>0.7</v>
      </c>
      <c r="P4010">
        <f t="shared" si="187"/>
        <v>10.49891456140957</v>
      </c>
      <c r="Q4010" t="str">
        <f t="shared" ca="1" si="188"/>
        <v>No</v>
      </c>
    </row>
    <row r="4011" spans="1:17" x14ac:dyDescent="0.45">
      <c r="A4011" t="s">
        <v>168</v>
      </c>
      <c r="B4011" t="s">
        <v>169</v>
      </c>
      <c r="C4011" t="s">
        <v>26</v>
      </c>
      <c r="D4011" t="s">
        <v>20</v>
      </c>
      <c r="E4011" t="s">
        <v>21</v>
      </c>
      <c r="F4011" s="1">
        <v>45323</v>
      </c>
      <c r="G4011">
        <v>5.94</v>
      </c>
      <c r="H4011">
        <v>80.354900000000001</v>
      </c>
      <c r="I4011">
        <v>24.11</v>
      </c>
      <c r="J4011">
        <v>68.709999999999994</v>
      </c>
      <c r="K4011" t="s">
        <v>32</v>
      </c>
      <c r="L4011">
        <v>1468.58</v>
      </c>
      <c r="M4011">
        <f>VLOOKUP(K4011,RatingLookup!$A$2:$C$8,2,FALSE)</f>
        <v>0.12</v>
      </c>
      <c r="N4011">
        <f t="shared" si="186"/>
        <v>1.0596241035318976E-2</v>
      </c>
      <c r="O4011">
        <f>VLOOKUP(K4011,RatingLookup!$A$2:$C$8,3,FALSE)</f>
        <v>0.7</v>
      </c>
      <c r="P4011">
        <f t="shared" si="187"/>
        <v>10.892999361754118</v>
      </c>
      <c r="Q4011" t="str">
        <f t="shared" ca="1" si="188"/>
        <v>No</v>
      </c>
    </row>
    <row r="4012" spans="1:17" x14ac:dyDescent="0.45">
      <c r="A4012" t="s">
        <v>168</v>
      </c>
      <c r="B4012" t="s">
        <v>169</v>
      </c>
      <c r="C4012" t="s">
        <v>26</v>
      </c>
      <c r="D4012" t="s">
        <v>20</v>
      </c>
      <c r="E4012" t="s">
        <v>21</v>
      </c>
      <c r="F4012" s="1">
        <v>45352</v>
      </c>
      <c r="G4012">
        <v>5.03</v>
      </c>
      <c r="H4012">
        <v>85.716399999999993</v>
      </c>
      <c r="I4012">
        <v>11.88</v>
      </c>
      <c r="J4012">
        <v>90.85</v>
      </c>
      <c r="K4012" t="s">
        <v>32</v>
      </c>
      <c r="L4012">
        <v>1441.18</v>
      </c>
      <c r="M4012">
        <f>VLOOKUP(K4012,RatingLookup!$A$2:$C$8,2,FALSE)</f>
        <v>0.12</v>
      </c>
      <c r="N4012">
        <f t="shared" si="186"/>
        <v>1.0596241035318976E-2</v>
      </c>
      <c r="O4012">
        <f>VLOOKUP(K4012,RatingLookup!$A$2:$C$8,3,FALSE)</f>
        <v>0.7</v>
      </c>
      <c r="P4012">
        <f t="shared" si="187"/>
        <v>10.689763458696701</v>
      </c>
      <c r="Q4012" t="str">
        <f t="shared" ca="1" si="188"/>
        <v>No</v>
      </c>
    </row>
    <row r="4013" spans="1:17" x14ac:dyDescent="0.45">
      <c r="A4013" t="s">
        <v>168</v>
      </c>
      <c r="B4013" t="s">
        <v>169</v>
      </c>
      <c r="C4013" t="s">
        <v>26</v>
      </c>
      <c r="D4013" t="s">
        <v>20</v>
      </c>
      <c r="E4013" t="s">
        <v>21</v>
      </c>
      <c r="F4013" s="1">
        <v>45383</v>
      </c>
      <c r="G4013">
        <v>6.04</v>
      </c>
      <c r="H4013">
        <v>81.9131</v>
      </c>
      <c r="I4013">
        <v>16.670000000000002</v>
      </c>
      <c r="J4013">
        <v>74.89</v>
      </c>
      <c r="K4013" t="s">
        <v>32</v>
      </c>
      <c r="L4013">
        <v>1570.59</v>
      </c>
      <c r="M4013">
        <f>VLOOKUP(K4013,RatingLookup!$A$2:$C$8,2,FALSE)</f>
        <v>0.12</v>
      </c>
      <c r="N4013">
        <f t="shared" si="186"/>
        <v>1.0596241035318976E-2</v>
      </c>
      <c r="O4013">
        <f>VLOOKUP(K4013,RatingLookup!$A$2:$C$8,3,FALSE)</f>
        <v>0.7</v>
      </c>
      <c r="P4013">
        <f t="shared" si="187"/>
        <v>11.64964514536314</v>
      </c>
      <c r="Q4013" t="str">
        <f t="shared" ca="1" si="188"/>
        <v>Yes</v>
      </c>
    </row>
    <row r="4014" spans="1:17" x14ac:dyDescent="0.45">
      <c r="A4014" t="s">
        <v>168</v>
      </c>
      <c r="B4014" t="s">
        <v>169</v>
      </c>
      <c r="C4014" t="s">
        <v>26</v>
      </c>
      <c r="D4014" t="s">
        <v>20</v>
      </c>
      <c r="E4014" t="s">
        <v>21</v>
      </c>
      <c r="F4014" s="1">
        <v>45413</v>
      </c>
      <c r="G4014">
        <v>5.5</v>
      </c>
      <c r="H4014">
        <v>87.911900000000003</v>
      </c>
      <c r="I4014">
        <v>20.43</v>
      </c>
      <c r="J4014">
        <v>78.349999999999994</v>
      </c>
      <c r="K4014" t="s">
        <v>32</v>
      </c>
      <c r="L4014">
        <v>1454.52</v>
      </c>
      <c r="M4014">
        <f>VLOOKUP(K4014,RatingLookup!$A$2:$C$8,2,FALSE)</f>
        <v>0.12</v>
      </c>
      <c r="N4014">
        <f t="shared" si="186"/>
        <v>1.0596241035318976E-2</v>
      </c>
      <c r="O4014">
        <f>VLOOKUP(K4014,RatingLookup!$A$2:$C$8,3,FALSE)</f>
        <v>0.7</v>
      </c>
      <c r="P4014">
        <f t="shared" si="187"/>
        <v>10.78871115748451</v>
      </c>
      <c r="Q4014" t="str">
        <f t="shared" ca="1" si="188"/>
        <v>No</v>
      </c>
    </row>
    <row r="4015" spans="1:17" x14ac:dyDescent="0.45">
      <c r="A4015" t="s">
        <v>168</v>
      </c>
      <c r="B4015" t="s">
        <v>169</v>
      </c>
      <c r="C4015" t="s">
        <v>26</v>
      </c>
      <c r="D4015" t="s">
        <v>20</v>
      </c>
      <c r="E4015" t="s">
        <v>21</v>
      </c>
      <c r="F4015" s="1">
        <v>45444</v>
      </c>
      <c r="G4015">
        <v>5.08</v>
      </c>
      <c r="H4015">
        <v>81.524299999999997</v>
      </c>
      <c r="I4015">
        <v>18.71</v>
      </c>
      <c r="J4015">
        <v>75.3</v>
      </c>
      <c r="K4015" t="s">
        <v>32</v>
      </c>
      <c r="L4015">
        <v>1492.31</v>
      </c>
      <c r="M4015">
        <f>VLOOKUP(K4015,RatingLookup!$A$2:$C$8,2,FALSE)</f>
        <v>0.12</v>
      </c>
      <c r="N4015">
        <f t="shared" si="186"/>
        <v>1.0596241035318976E-2</v>
      </c>
      <c r="O4015">
        <f>VLOOKUP(K4015,RatingLookup!$A$2:$C$8,3,FALSE)</f>
        <v>0.7</v>
      </c>
      <c r="P4015">
        <f t="shared" si="187"/>
        <v>11.069013521591803</v>
      </c>
      <c r="Q4015" t="str">
        <f t="shared" ca="1" si="188"/>
        <v>No</v>
      </c>
    </row>
    <row r="4016" spans="1:17" x14ac:dyDescent="0.45">
      <c r="A4016" t="s">
        <v>168</v>
      </c>
      <c r="B4016" t="s">
        <v>169</v>
      </c>
      <c r="C4016" t="s">
        <v>26</v>
      </c>
      <c r="D4016" t="s">
        <v>20</v>
      </c>
      <c r="E4016" t="s">
        <v>21</v>
      </c>
      <c r="F4016" s="1">
        <v>45474</v>
      </c>
      <c r="G4016">
        <v>5.23</v>
      </c>
      <c r="H4016">
        <v>80.819999999999993</v>
      </c>
      <c r="I4016">
        <v>25.88</v>
      </c>
      <c r="J4016">
        <v>62.65</v>
      </c>
      <c r="K4016" t="s">
        <v>32</v>
      </c>
      <c r="L4016">
        <v>1424.1</v>
      </c>
      <c r="M4016">
        <f>VLOOKUP(K4016,RatingLookup!$A$2:$C$8,2,FALSE)</f>
        <v>0.12</v>
      </c>
      <c r="N4016">
        <f t="shared" si="186"/>
        <v>1.0596241035318976E-2</v>
      </c>
      <c r="O4016">
        <f>VLOOKUP(K4016,RatingLookup!$A$2:$C$8,3,FALSE)</f>
        <v>0.7</v>
      </c>
      <c r="P4016">
        <f t="shared" si="187"/>
        <v>10.563074800878427</v>
      </c>
      <c r="Q4016" t="str">
        <f t="shared" ca="1" si="188"/>
        <v>No</v>
      </c>
    </row>
    <row r="4017" spans="1:17" x14ac:dyDescent="0.45">
      <c r="A4017" t="s">
        <v>168</v>
      </c>
      <c r="B4017" t="s">
        <v>169</v>
      </c>
      <c r="C4017" t="s">
        <v>26</v>
      </c>
      <c r="D4017" t="s">
        <v>20</v>
      </c>
      <c r="E4017" t="s">
        <v>21</v>
      </c>
      <c r="F4017" s="1">
        <v>45505</v>
      </c>
      <c r="G4017">
        <v>5.93</v>
      </c>
      <c r="H4017">
        <v>84.780900000000003</v>
      </c>
      <c r="I4017">
        <v>5.49</v>
      </c>
      <c r="J4017">
        <v>80.790000000000006</v>
      </c>
      <c r="K4017" t="s">
        <v>32</v>
      </c>
      <c r="L4017">
        <v>1432.53</v>
      </c>
      <c r="M4017">
        <f>VLOOKUP(K4017,RatingLookup!$A$2:$C$8,2,FALSE)</f>
        <v>0.12</v>
      </c>
      <c r="N4017">
        <f t="shared" si="186"/>
        <v>1.0596241035318976E-2</v>
      </c>
      <c r="O4017">
        <f>VLOOKUP(K4017,RatingLookup!$A$2:$C$8,3,FALSE)</f>
        <v>0.7</v>
      </c>
      <c r="P4017">
        <f t="shared" si="187"/>
        <v>10.625603219227843</v>
      </c>
      <c r="Q4017" t="str">
        <f t="shared" ca="1" si="188"/>
        <v>No</v>
      </c>
    </row>
    <row r="4018" spans="1:17" x14ac:dyDescent="0.45">
      <c r="A4018" t="s">
        <v>168</v>
      </c>
      <c r="B4018" t="s">
        <v>169</v>
      </c>
      <c r="C4018" t="s">
        <v>26</v>
      </c>
      <c r="D4018" t="s">
        <v>20</v>
      </c>
      <c r="E4018" t="s">
        <v>21</v>
      </c>
      <c r="F4018" s="1">
        <v>45536</v>
      </c>
      <c r="G4018">
        <v>5.49</v>
      </c>
      <c r="H4018">
        <v>80.234700000000004</v>
      </c>
      <c r="I4018">
        <v>10.24</v>
      </c>
      <c r="J4018">
        <v>79.989999999999995</v>
      </c>
      <c r="K4018" t="s">
        <v>32</v>
      </c>
      <c r="L4018">
        <v>1375.16</v>
      </c>
      <c r="M4018">
        <f>VLOOKUP(K4018,RatingLookup!$A$2:$C$8,2,FALSE)</f>
        <v>0.12</v>
      </c>
      <c r="N4018">
        <f t="shared" si="186"/>
        <v>1.0596241035318976E-2</v>
      </c>
      <c r="O4018">
        <f>VLOOKUP(K4018,RatingLookup!$A$2:$C$8,3,FALSE)</f>
        <v>0.7</v>
      </c>
      <c r="P4018">
        <f t="shared" si="187"/>
        <v>10.20006877549047</v>
      </c>
      <c r="Q4018" t="str">
        <f t="shared" ca="1" si="188"/>
        <v>No</v>
      </c>
    </row>
    <row r="4019" spans="1:17" x14ac:dyDescent="0.45">
      <c r="A4019" t="s">
        <v>168</v>
      </c>
      <c r="B4019" t="s">
        <v>169</v>
      </c>
      <c r="C4019" t="s">
        <v>26</v>
      </c>
      <c r="D4019" t="s">
        <v>20</v>
      </c>
      <c r="E4019" t="s">
        <v>21</v>
      </c>
      <c r="F4019" s="1">
        <v>45566</v>
      </c>
      <c r="G4019">
        <v>6.22</v>
      </c>
      <c r="H4019">
        <v>78.277000000000001</v>
      </c>
      <c r="I4019">
        <v>7.77</v>
      </c>
      <c r="J4019">
        <v>78.599999999999994</v>
      </c>
      <c r="K4019" t="s">
        <v>32</v>
      </c>
      <c r="L4019">
        <v>1729.56</v>
      </c>
      <c r="M4019">
        <f>VLOOKUP(K4019,RatingLookup!$A$2:$C$8,2,FALSE)</f>
        <v>0.12</v>
      </c>
      <c r="N4019">
        <f t="shared" si="186"/>
        <v>1.0596241035318976E-2</v>
      </c>
      <c r="O4019">
        <f>VLOOKUP(K4019,RatingLookup!$A$2:$C$8,3,FALSE)</f>
        <v>0.7</v>
      </c>
      <c r="P4019">
        <f t="shared" si="187"/>
        <v>12.828784251532399</v>
      </c>
      <c r="Q4019" t="str">
        <f t="shared" ca="1" si="188"/>
        <v>No</v>
      </c>
    </row>
    <row r="4020" spans="1:17" x14ac:dyDescent="0.45">
      <c r="A4020" t="s">
        <v>168</v>
      </c>
      <c r="B4020" t="s">
        <v>169</v>
      </c>
      <c r="C4020" t="s">
        <v>26</v>
      </c>
      <c r="D4020" t="s">
        <v>20</v>
      </c>
      <c r="E4020" t="s">
        <v>21</v>
      </c>
      <c r="F4020" s="1">
        <v>45597</v>
      </c>
      <c r="G4020">
        <v>5.2</v>
      </c>
      <c r="H4020">
        <v>85.702100000000002</v>
      </c>
      <c r="I4020">
        <v>18.61</v>
      </c>
      <c r="J4020">
        <v>68.34</v>
      </c>
      <c r="K4020" t="s">
        <v>32</v>
      </c>
      <c r="L4020">
        <v>1456.36</v>
      </c>
      <c r="M4020">
        <f>VLOOKUP(K4020,RatingLookup!$A$2:$C$8,2,FALSE)</f>
        <v>0.12</v>
      </c>
      <c r="N4020">
        <f t="shared" si="186"/>
        <v>1.0596241035318976E-2</v>
      </c>
      <c r="O4020">
        <f>VLOOKUP(K4020,RatingLookup!$A$2:$C$8,3,FALSE)</f>
        <v>0.7</v>
      </c>
      <c r="P4020">
        <f t="shared" si="187"/>
        <v>10.802359115938</v>
      </c>
      <c r="Q4020" t="str">
        <f t="shared" ca="1" si="188"/>
        <v>No</v>
      </c>
    </row>
    <row r="4021" spans="1:17" x14ac:dyDescent="0.45">
      <c r="A4021" t="s">
        <v>168</v>
      </c>
      <c r="B4021" t="s">
        <v>169</v>
      </c>
      <c r="C4021" t="s">
        <v>26</v>
      </c>
      <c r="D4021" t="s">
        <v>20</v>
      </c>
      <c r="E4021" t="s">
        <v>21</v>
      </c>
      <c r="F4021" s="1">
        <v>45627</v>
      </c>
      <c r="G4021">
        <v>4.43</v>
      </c>
      <c r="H4021">
        <v>80.958200000000005</v>
      </c>
      <c r="I4021">
        <v>21.47</v>
      </c>
      <c r="J4021">
        <v>74.349999999999994</v>
      </c>
      <c r="K4021" t="s">
        <v>32</v>
      </c>
      <c r="L4021">
        <v>1443.58</v>
      </c>
      <c r="M4021">
        <f>VLOOKUP(K4021,RatingLookup!$A$2:$C$8,2,FALSE)</f>
        <v>0.12</v>
      </c>
      <c r="N4021">
        <f t="shared" si="186"/>
        <v>1.0596241035318976E-2</v>
      </c>
      <c r="O4021">
        <f>VLOOKUP(K4021,RatingLookup!$A$2:$C$8,3,FALSE)</f>
        <v>0.7</v>
      </c>
      <c r="P4021">
        <f t="shared" si="187"/>
        <v>10.707565143636037</v>
      </c>
      <c r="Q4021" t="str">
        <f t="shared" ca="1" si="188"/>
        <v>No</v>
      </c>
    </row>
    <row r="4022" spans="1:17" x14ac:dyDescent="0.45">
      <c r="A4022" t="s">
        <v>170</v>
      </c>
      <c r="B4022" t="s">
        <v>171</v>
      </c>
      <c r="C4022" t="s">
        <v>29</v>
      </c>
      <c r="D4022" t="s">
        <v>20</v>
      </c>
      <c r="E4022" t="s">
        <v>21</v>
      </c>
      <c r="F4022" s="1">
        <v>43831</v>
      </c>
      <c r="G4022">
        <v>5.81</v>
      </c>
      <c r="H4022">
        <v>80.510499999999993</v>
      </c>
      <c r="I4022">
        <v>23.5</v>
      </c>
      <c r="J4022">
        <v>88.1</v>
      </c>
      <c r="K4022" t="s">
        <v>30</v>
      </c>
      <c r="L4022">
        <v>3761.21</v>
      </c>
      <c r="M4022">
        <f>VLOOKUP(K4022,RatingLookup!$A$2:$C$8,2,FALSE)</f>
        <v>1.4999999999999999E-2</v>
      </c>
      <c r="N4022">
        <f t="shared" si="186"/>
        <v>1.2586770182638762E-3</v>
      </c>
      <c r="O4022">
        <f>VLOOKUP(K4022,RatingLookup!$A$2:$C$8,3,FALSE)</f>
        <v>0.5</v>
      </c>
      <c r="P4022">
        <f t="shared" si="187"/>
        <v>2.367074293932137</v>
      </c>
      <c r="Q4022" t="str">
        <f t="shared" ca="1" si="188"/>
        <v>No</v>
      </c>
    </row>
    <row r="4023" spans="1:17" x14ac:dyDescent="0.45">
      <c r="A4023" t="s">
        <v>170</v>
      </c>
      <c r="B4023" t="s">
        <v>171</v>
      </c>
      <c r="C4023" t="s">
        <v>29</v>
      </c>
      <c r="D4023" t="s">
        <v>20</v>
      </c>
      <c r="E4023" t="s">
        <v>21</v>
      </c>
      <c r="F4023" s="1">
        <v>43862</v>
      </c>
      <c r="G4023">
        <v>4.91</v>
      </c>
      <c r="H4023">
        <v>84.164299999999997</v>
      </c>
      <c r="I4023">
        <v>19.34</v>
      </c>
      <c r="J4023">
        <v>65.64</v>
      </c>
      <c r="K4023" t="s">
        <v>30</v>
      </c>
      <c r="L4023">
        <v>4461.6400000000003</v>
      </c>
      <c r="M4023">
        <f>VLOOKUP(K4023,RatingLookup!$A$2:$C$8,2,FALSE)</f>
        <v>1.4999999999999999E-2</v>
      </c>
      <c r="N4023">
        <f t="shared" si="186"/>
        <v>1.2586770182638762E-3</v>
      </c>
      <c r="O4023">
        <f>VLOOKUP(K4023,RatingLookup!$A$2:$C$8,3,FALSE)</f>
        <v>0.5</v>
      </c>
      <c r="P4023">
        <f t="shared" si="187"/>
        <v>2.8078818658834206</v>
      </c>
      <c r="Q4023" t="str">
        <f t="shared" ca="1" si="188"/>
        <v>No</v>
      </c>
    </row>
    <row r="4024" spans="1:17" x14ac:dyDescent="0.45">
      <c r="A4024" t="s">
        <v>170</v>
      </c>
      <c r="B4024" t="s">
        <v>171</v>
      </c>
      <c r="C4024" t="s">
        <v>29</v>
      </c>
      <c r="D4024" t="s">
        <v>20</v>
      </c>
      <c r="E4024" t="s">
        <v>21</v>
      </c>
      <c r="F4024" s="1">
        <v>43891</v>
      </c>
      <c r="G4024">
        <v>5.14</v>
      </c>
      <c r="H4024">
        <v>84.126000000000005</v>
      </c>
      <c r="I4024">
        <v>23.61</v>
      </c>
      <c r="J4024">
        <v>89.24</v>
      </c>
      <c r="K4024" t="s">
        <v>30</v>
      </c>
      <c r="L4024">
        <v>4710.22</v>
      </c>
      <c r="M4024">
        <f>VLOOKUP(K4024,RatingLookup!$A$2:$C$8,2,FALSE)</f>
        <v>1.4999999999999999E-2</v>
      </c>
      <c r="N4024">
        <f t="shared" si="186"/>
        <v>1.2586770182638762E-3</v>
      </c>
      <c r="O4024">
        <f>VLOOKUP(K4024,RatingLookup!$A$2:$C$8,3,FALSE)</f>
        <v>0.5</v>
      </c>
      <c r="P4024">
        <f t="shared" si="187"/>
        <v>2.9643228324834379</v>
      </c>
      <c r="Q4024" t="str">
        <f t="shared" ca="1" si="188"/>
        <v>No</v>
      </c>
    </row>
    <row r="4025" spans="1:17" x14ac:dyDescent="0.45">
      <c r="A4025" t="s">
        <v>170</v>
      </c>
      <c r="B4025" t="s">
        <v>171</v>
      </c>
      <c r="C4025" t="s">
        <v>29</v>
      </c>
      <c r="D4025" t="s">
        <v>20</v>
      </c>
      <c r="E4025" t="s">
        <v>21</v>
      </c>
      <c r="F4025" s="1">
        <v>43922</v>
      </c>
      <c r="G4025">
        <v>5.75</v>
      </c>
      <c r="H4025">
        <v>85.251599999999996</v>
      </c>
      <c r="I4025">
        <v>34.090000000000003</v>
      </c>
      <c r="J4025">
        <v>75.150000000000006</v>
      </c>
      <c r="K4025" t="s">
        <v>30</v>
      </c>
      <c r="L4025">
        <v>4008.53</v>
      </c>
      <c r="M4025">
        <f>VLOOKUP(K4025,RatingLookup!$A$2:$C$8,2,FALSE)</f>
        <v>1.4999999999999999E-2</v>
      </c>
      <c r="N4025">
        <f t="shared" si="186"/>
        <v>1.2586770182638762E-3</v>
      </c>
      <c r="O4025">
        <f>VLOOKUP(K4025,RatingLookup!$A$2:$C$8,3,FALSE)</f>
        <v>0.5</v>
      </c>
      <c r="P4025">
        <f t="shared" si="187"/>
        <v>2.5227222940106482</v>
      </c>
      <c r="Q4025" t="str">
        <f t="shared" ca="1" si="188"/>
        <v>No</v>
      </c>
    </row>
    <row r="4026" spans="1:17" x14ac:dyDescent="0.45">
      <c r="A4026" t="s">
        <v>170</v>
      </c>
      <c r="B4026" t="s">
        <v>171</v>
      </c>
      <c r="C4026" t="s">
        <v>29</v>
      </c>
      <c r="D4026" t="s">
        <v>20</v>
      </c>
      <c r="E4026" t="s">
        <v>21</v>
      </c>
      <c r="F4026" s="1">
        <v>43952</v>
      </c>
      <c r="G4026">
        <v>6.59</v>
      </c>
      <c r="H4026">
        <v>82.446399999999997</v>
      </c>
      <c r="I4026">
        <v>17.09</v>
      </c>
      <c r="J4026">
        <v>62.66</v>
      </c>
      <c r="K4026" t="s">
        <v>30</v>
      </c>
      <c r="L4026">
        <v>4191.7299999999996</v>
      </c>
      <c r="M4026">
        <f>VLOOKUP(K4026,RatingLookup!$A$2:$C$8,2,FALSE)</f>
        <v>1.4999999999999999E-2</v>
      </c>
      <c r="N4026">
        <f t="shared" si="186"/>
        <v>1.2586770182638762E-3</v>
      </c>
      <c r="O4026">
        <f>VLOOKUP(K4026,RatingLookup!$A$2:$C$8,3,FALSE)</f>
        <v>0.5</v>
      </c>
      <c r="P4026">
        <f t="shared" si="187"/>
        <v>2.6380171088836186</v>
      </c>
      <c r="Q4026" t="str">
        <f t="shared" ca="1" si="188"/>
        <v>No</v>
      </c>
    </row>
    <row r="4027" spans="1:17" x14ac:dyDescent="0.45">
      <c r="A4027" t="s">
        <v>170</v>
      </c>
      <c r="B4027" t="s">
        <v>171</v>
      </c>
      <c r="C4027" t="s">
        <v>29</v>
      </c>
      <c r="D4027" t="s">
        <v>20</v>
      </c>
      <c r="E4027" t="s">
        <v>21</v>
      </c>
      <c r="F4027" s="1">
        <v>43983</v>
      </c>
      <c r="G4027">
        <v>4.79</v>
      </c>
      <c r="H4027">
        <v>78.906400000000005</v>
      </c>
      <c r="I4027">
        <v>20.23</v>
      </c>
      <c r="J4027">
        <v>84.99</v>
      </c>
      <c r="K4027" t="s">
        <v>30</v>
      </c>
      <c r="L4027">
        <v>3966.8</v>
      </c>
      <c r="M4027">
        <f>VLOOKUP(K4027,RatingLookup!$A$2:$C$8,2,FALSE)</f>
        <v>1.4999999999999999E-2</v>
      </c>
      <c r="N4027">
        <f t="shared" si="186"/>
        <v>1.2586770182638762E-3</v>
      </c>
      <c r="O4027">
        <f>VLOOKUP(K4027,RatingLookup!$A$2:$C$8,3,FALSE)</f>
        <v>0.5</v>
      </c>
      <c r="P4027">
        <f t="shared" si="187"/>
        <v>2.4964599980245721</v>
      </c>
      <c r="Q4027" t="str">
        <f t="shared" ca="1" si="188"/>
        <v>No</v>
      </c>
    </row>
    <row r="4028" spans="1:17" x14ac:dyDescent="0.45">
      <c r="A4028" t="s">
        <v>170</v>
      </c>
      <c r="B4028" t="s">
        <v>171</v>
      </c>
      <c r="C4028" t="s">
        <v>29</v>
      </c>
      <c r="D4028" t="s">
        <v>20</v>
      </c>
      <c r="E4028" t="s">
        <v>21</v>
      </c>
      <c r="F4028" s="1">
        <v>44013</v>
      </c>
      <c r="G4028">
        <v>5.86</v>
      </c>
      <c r="H4028">
        <v>78.400800000000004</v>
      </c>
      <c r="I4028">
        <v>22.32</v>
      </c>
      <c r="J4028">
        <v>78.5</v>
      </c>
      <c r="K4028" t="s">
        <v>30</v>
      </c>
      <c r="L4028">
        <v>4664.78</v>
      </c>
      <c r="M4028">
        <f>VLOOKUP(K4028,RatingLookup!$A$2:$C$8,2,FALSE)</f>
        <v>1.4999999999999999E-2</v>
      </c>
      <c r="N4028">
        <f t="shared" si="186"/>
        <v>1.2586770182638762E-3</v>
      </c>
      <c r="O4028">
        <f>VLOOKUP(K4028,RatingLookup!$A$2:$C$8,3,FALSE)</f>
        <v>0.5</v>
      </c>
      <c r="P4028">
        <f t="shared" si="187"/>
        <v>2.9357256906284821</v>
      </c>
      <c r="Q4028" t="str">
        <f t="shared" ca="1" si="188"/>
        <v>No</v>
      </c>
    </row>
    <row r="4029" spans="1:17" x14ac:dyDescent="0.45">
      <c r="A4029" t="s">
        <v>170</v>
      </c>
      <c r="B4029" t="s">
        <v>171</v>
      </c>
      <c r="C4029" t="s">
        <v>29</v>
      </c>
      <c r="D4029" t="s">
        <v>20</v>
      </c>
      <c r="E4029" t="s">
        <v>21</v>
      </c>
      <c r="F4029" s="1">
        <v>44044</v>
      </c>
      <c r="G4029">
        <v>6.5</v>
      </c>
      <c r="H4029">
        <v>79.1721</v>
      </c>
      <c r="I4029">
        <v>29.09</v>
      </c>
      <c r="J4029">
        <v>70.349999999999994</v>
      </c>
      <c r="K4029" t="s">
        <v>30</v>
      </c>
      <c r="L4029">
        <v>4027.89</v>
      </c>
      <c r="M4029">
        <f>VLOOKUP(K4029,RatingLookup!$A$2:$C$8,2,FALSE)</f>
        <v>1.4999999999999999E-2</v>
      </c>
      <c r="N4029">
        <f t="shared" si="186"/>
        <v>1.2586770182638762E-3</v>
      </c>
      <c r="O4029">
        <f>VLOOKUP(K4029,RatingLookup!$A$2:$C$8,3,FALSE)</f>
        <v>0.5</v>
      </c>
      <c r="P4029">
        <f t="shared" si="187"/>
        <v>2.5349062875474422</v>
      </c>
      <c r="Q4029" t="str">
        <f t="shared" ca="1" si="188"/>
        <v>No</v>
      </c>
    </row>
    <row r="4030" spans="1:17" x14ac:dyDescent="0.45">
      <c r="A4030" t="s">
        <v>170</v>
      </c>
      <c r="B4030" t="s">
        <v>171</v>
      </c>
      <c r="C4030" t="s">
        <v>29</v>
      </c>
      <c r="D4030" t="s">
        <v>20</v>
      </c>
      <c r="E4030" t="s">
        <v>21</v>
      </c>
      <c r="F4030" s="1">
        <v>44075</v>
      </c>
      <c r="G4030">
        <v>6.8</v>
      </c>
      <c r="H4030">
        <v>75.122</v>
      </c>
      <c r="I4030">
        <v>29.27</v>
      </c>
      <c r="J4030">
        <v>84.09</v>
      </c>
      <c r="K4030" t="s">
        <v>30</v>
      </c>
      <c r="L4030">
        <v>4235.32</v>
      </c>
      <c r="M4030">
        <f>VLOOKUP(K4030,RatingLookup!$A$2:$C$8,2,FALSE)</f>
        <v>1.4999999999999999E-2</v>
      </c>
      <c r="N4030">
        <f t="shared" si="186"/>
        <v>1.2586770182638762E-3</v>
      </c>
      <c r="O4030">
        <f>VLOOKUP(K4030,RatingLookup!$A$2:$C$8,3,FALSE)</f>
        <v>0.5</v>
      </c>
      <c r="P4030">
        <f t="shared" si="187"/>
        <v>2.66544997449668</v>
      </c>
      <c r="Q4030" t="str">
        <f t="shared" ca="1" si="188"/>
        <v>No</v>
      </c>
    </row>
    <row r="4031" spans="1:17" x14ac:dyDescent="0.45">
      <c r="A4031" t="s">
        <v>170</v>
      </c>
      <c r="B4031" t="s">
        <v>171</v>
      </c>
      <c r="C4031" t="s">
        <v>29</v>
      </c>
      <c r="D4031" t="s">
        <v>20</v>
      </c>
      <c r="E4031" t="s">
        <v>21</v>
      </c>
      <c r="F4031" s="1">
        <v>44105</v>
      </c>
      <c r="G4031">
        <v>5.14</v>
      </c>
      <c r="H4031">
        <v>84.584999999999994</v>
      </c>
      <c r="I4031">
        <v>13.19</v>
      </c>
      <c r="J4031">
        <v>83.63</v>
      </c>
      <c r="K4031" t="s">
        <v>30</v>
      </c>
      <c r="L4031">
        <v>4084.27</v>
      </c>
      <c r="M4031">
        <f>VLOOKUP(K4031,RatingLookup!$A$2:$C$8,2,FALSE)</f>
        <v>1.4999999999999999E-2</v>
      </c>
      <c r="N4031">
        <f t="shared" si="186"/>
        <v>1.2586770182638762E-3</v>
      </c>
      <c r="O4031">
        <f>VLOOKUP(K4031,RatingLookup!$A$2:$C$8,3,FALSE)</f>
        <v>0.5</v>
      </c>
      <c r="P4031">
        <f t="shared" si="187"/>
        <v>2.5703883926923008</v>
      </c>
      <c r="Q4031" t="str">
        <f t="shared" ca="1" si="188"/>
        <v>No</v>
      </c>
    </row>
    <row r="4032" spans="1:17" x14ac:dyDescent="0.45">
      <c r="A4032" t="s">
        <v>170</v>
      </c>
      <c r="B4032" t="s">
        <v>171</v>
      </c>
      <c r="C4032" t="s">
        <v>29</v>
      </c>
      <c r="D4032" t="s">
        <v>20</v>
      </c>
      <c r="E4032" t="s">
        <v>21</v>
      </c>
      <c r="F4032" s="1">
        <v>44136</v>
      </c>
      <c r="G4032">
        <v>5.98</v>
      </c>
      <c r="H4032">
        <v>78.153099999999995</v>
      </c>
      <c r="I4032">
        <v>19.010000000000002</v>
      </c>
      <c r="J4032">
        <v>80.19</v>
      </c>
      <c r="K4032" t="s">
        <v>30</v>
      </c>
      <c r="L4032">
        <v>4243.83</v>
      </c>
      <c r="M4032">
        <f>VLOOKUP(K4032,RatingLookup!$A$2:$C$8,2,FALSE)</f>
        <v>1.4999999999999999E-2</v>
      </c>
      <c r="N4032">
        <f t="shared" si="186"/>
        <v>1.2586770182638762E-3</v>
      </c>
      <c r="O4032">
        <f>VLOOKUP(K4032,RatingLookup!$A$2:$C$8,3,FALSE)</f>
        <v>0.5</v>
      </c>
      <c r="P4032">
        <f t="shared" si="187"/>
        <v>2.6708056452093927</v>
      </c>
      <c r="Q4032" t="str">
        <f t="shared" ca="1" si="188"/>
        <v>No</v>
      </c>
    </row>
    <row r="4033" spans="1:17" x14ac:dyDescent="0.45">
      <c r="A4033" t="s">
        <v>170</v>
      </c>
      <c r="B4033" t="s">
        <v>171</v>
      </c>
      <c r="C4033" t="s">
        <v>29</v>
      </c>
      <c r="D4033" t="s">
        <v>20</v>
      </c>
      <c r="E4033" t="s">
        <v>21</v>
      </c>
      <c r="F4033" s="1">
        <v>44166</v>
      </c>
      <c r="G4033">
        <v>3.99</v>
      </c>
      <c r="H4033">
        <v>80.634699999999995</v>
      </c>
      <c r="I4033">
        <v>19.05</v>
      </c>
      <c r="J4033">
        <v>70.88</v>
      </c>
      <c r="K4033" t="s">
        <v>30</v>
      </c>
      <c r="L4033">
        <v>4089.64</v>
      </c>
      <c r="M4033">
        <f>VLOOKUP(K4033,RatingLookup!$A$2:$C$8,2,FALSE)</f>
        <v>1.4999999999999999E-2</v>
      </c>
      <c r="N4033">
        <f t="shared" si="186"/>
        <v>1.2586770182638762E-3</v>
      </c>
      <c r="O4033">
        <f>VLOOKUP(K4033,RatingLookup!$A$2:$C$8,3,FALSE)</f>
        <v>0.5</v>
      </c>
      <c r="P4033">
        <f t="shared" si="187"/>
        <v>2.5737679404863392</v>
      </c>
      <c r="Q4033" t="str">
        <f t="shared" ca="1" si="188"/>
        <v>No</v>
      </c>
    </row>
    <row r="4034" spans="1:17" x14ac:dyDescent="0.45">
      <c r="A4034" t="s">
        <v>170</v>
      </c>
      <c r="B4034" t="s">
        <v>171</v>
      </c>
      <c r="C4034" t="s">
        <v>29</v>
      </c>
      <c r="D4034" t="s">
        <v>20</v>
      </c>
      <c r="E4034" t="s">
        <v>21</v>
      </c>
      <c r="F4034" s="1">
        <v>44197</v>
      </c>
      <c r="G4034">
        <v>4.93</v>
      </c>
      <c r="H4034">
        <v>84.444199999999995</v>
      </c>
      <c r="I4034">
        <v>20.83</v>
      </c>
      <c r="J4034">
        <v>84.04</v>
      </c>
      <c r="K4034" t="s">
        <v>30</v>
      </c>
      <c r="L4034">
        <v>4323.55</v>
      </c>
      <c r="M4034">
        <f>VLOOKUP(K4034,RatingLookup!$A$2:$C$8,2,FALSE)</f>
        <v>1.4999999999999999E-2</v>
      </c>
      <c r="N4034">
        <f t="shared" ref="N4034:N4097" si="189">1-(1-M4034)^(1/12)</f>
        <v>1.2586770182638762E-3</v>
      </c>
      <c r="O4034">
        <f>VLOOKUP(K4034,RatingLookup!$A$2:$C$8,3,FALSE)</f>
        <v>0.5</v>
      </c>
      <c r="P4034">
        <f t="shared" ref="P4034:P4097" si="190">L4034*N4034*O4034</f>
        <v>2.7209765111573914</v>
      </c>
      <c r="Q4034" t="str">
        <f t="shared" ref="Q4034:Q4097" ca="1" si="191">IF(RAND()&lt;N4034,"Yes","No")</f>
        <v>No</v>
      </c>
    </row>
    <row r="4035" spans="1:17" x14ac:dyDescent="0.45">
      <c r="A4035" t="s">
        <v>170</v>
      </c>
      <c r="B4035" t="s">
        <v>171</v>
      </c>
      <c r="C4035" t="s">
        <v>29</v>
      </c>
      <c r="D4035" t="s">
        <v>20</v>
      </c>
      <c r="E4035" t="s">
        <v>21</v>
      </c>
      <c r="F4035" s="1">
        <v>44228</v>
      </c>
      <c r="G4035">
        <v>5.99</v>
      </c>
      <c r="H4035">
        <v>84.880099999999999</v>
      </c>
      <c r="I4035">
        <v>16.02</v>
      </c>
      <c r="J4035">
        <v>86</v>
      </c>
      <c r="K4035" t="s">
        <v>30</v>
      </c>
      <c r="L4035">
        <v>4496.25</v>
      </c>
      <c r="M4035">
        <f>VLOOKUP(K4035,RatingLookup!$A$2:$C$8,2,FALSE)</f>
        <v>1.4999999999999999E-2</v>
      </c>
      <c r="N4035">
        <f t="shared" si="189"/>
        <v>1.2586770182638762E-3</v>
      </c>
      <c r="O4035">
        <f>VLOOKUP(K4035,RatingLookup!$A$2:$C$8,3,FALSE)</f>
        <v>0.5</v>
      </c>
      <c r="P4035">
        <f t="shared" si="190"/>
        <v>2.8296632716844767</v>
      </c>
      <c r="Q4035" t="str">
        <f t="shared" ca="1" si="191"/>
        <v>No</v>
      </c>
    </row>
    <row r="4036" spans="1:17" x14ac:dyDescent="0.45">
      <c r="A4036" t="s">
        <v>170</v>
      </c>
      <c r="B4036" t="s">
        <v>171</v>
      </c>
      <c r="C4036" t="s">
        <v>29</v>
      </c>
      <c r="D4036" t="s">
        <v>20</v>
      </c>
      <c r="E4036" t="s">
        <v>21</v>
      </c>
      <c r="F4036" s="1">
        <v>44256</v>
      </c>
      <c r="G4036">
        <v>5.47</v>
      </c>
      <c r="H4036">
        <v>83.623000000000005</v>
      </c>
      <c r="I4036">
        <v>15.17</v>
      </c>
      <c r="J4036">
        <v>89.6</v>
      </c>
      <c r="K4036" t="s">
        <v>30</v>
      </c>
      <c r="L4036">
        <v>4142.57</v>
      </c>
      <c r="M4036">
        <f>VLOOKUP(K4036,RatingLookup!$A$2:$C$8,2,FALSE)</f>
        <v>1.4999999999999999E-2</v>
      </c>
      <c r="N4036">
        <f t="shared" si="189"/>
        <v>1.2586770182638762E-3</v>
      </c>
      <c r="O4036">
        <f>VLOOKUP(K4036,RatingLookup!$A$2:$C$8,3,FALSE)</f>
        <v>0.5</v>
      </c>
      <c r="P4036">
        <f t="shared" si="190"/>
        <v>2.6070788277746928</v>
      </c>
      <c r="Q4036" t="str">
        <f t="shared" ca="1" si="191"/>
        <v>No</v>
      </c>
    </row>
    <row r="4037" spans="1:17" x14ac:dyDescent="0.45">
      <c r="A4037" t="s">
        <v>170</v>
      </c>
      <c r="B4037" t="s">
        <v>171</v>
      </c>
      <c r="C4037" t="s">
        <v>29</v>
      </c>
      <c r="D4037" t="s">
        <v>20</v>
      </c>
      <c r="E4037" t="s">
        <v>21</v>
      </c>
      <c r="F4037" s="1">
        <v>44287</v>
      </c>
      <c r="G4037">
        <v>5.69</v>
      </c>
      <c r="H4037">
        <v>78.038200000000003</v>
      </c>
      <c r="I4037">
        <v>23.62</v>
      </c>
      <c r="J4037">
        <v>76.150000000000006</v>
      </c>
      <c r="K4037" t="s">
        <v>30</v>
      </c>
      <c r="L4037">
        <v>4650.51</v>
      </c>
      <c r="M4037">
        <f>VLOOKUP(K4037,RatingLookup!$A$2:$C$8,2,FALSE)</f>
        <v>1.4999999999999999E-2</v>
      </c>
      <c r="N4037">
        <f t="shared" si="189"/>
        <v>1.2586770182638762E-3</v>
      </c>
      <c r="O4037">
        <f>VLOOKUP(K4037,RatingLookup!$A$2:$C$8,3,FALSE)</f>
        <v>0.5</v>
      </c>
      <c r="P4037">
        <f t="shared" si="190"/>
        <v>2.9267450301031697</v>
      </c>
      <c r="Q4037" t="str">
        <f t="shared" ca="1" si="191"/>
        <v>No</v>
      </c>
    </row>
    <row r="4038" spans="1:17" x14ac:dyDescent="0.45">
      <c r="A4038" t="s">
        <v>170</v>
      </c>
      <c r="B4038" t="s">
        <v>171</v>
      </c>
      <c r="C4038" t="s">
        <v>29</v>
      </c>
      <c r="D4038" t="s">
        <v>20</v>
      </c>
      <c r="E4038" t="s">
        <v>21</v>
      </c>
      <c r="F4038" s="1">
        <v>44317</v>
      </c>
      <c r="G4038">
        <v>6.23</v>
      </c>
      <c r="H4038">
        <v>85.326099999999997</v>
      </c>
      <c r="I4038">
        <v>22.72</v>
      </c>
      <c r="J4038">
        <v>84.14</v>
      </c>
      <c r="K4038" t="s">
        <v>30</v>
      </c>
      <c r="L4038">
        <v>4283.1000000000004</v>
      </c>
      <c r="M4038">
        <f>VLOOKUP(K4038,RatingLookup!$A$2:$C$8,2,FALSE)</f>
        <v>1.4999999999999999E-2</v>
      </c>
      <c r="N4038">
        <f t="shared" si="189"/>
        <v>1.2586770182638762E-3</v>
      </c>
      <c r="O4038">
        <f>VLOOKUP(K4038,RatingLookup!$A$2:$C$8,3,FALSE)</f>
        <v>0.5</v>
      </c>
      <c r="P4038">
        <f t="shared" si="190"/>
        <v>2.6955197684630043</v>
      </c>
      <c r="Q4038" t="str">
        <f t="shared" ca="1" si="191"/>
        <v>No</v>
      </c>
    </row>
    <row r="4039" spans="1:17" x14ac:dyDescent="0.45">
      <c r="A4039" t="s">
        <v>170</v>
      </c>
      <c r="B4039" t="s">
        <v>171</v>
      </c>
      <c r="C4039" t="s">
        <v>29</v>
      </c>
      <c r="D4039" t="s">
        <v>20</v>
      </c>
      <c r="E4039" t="s">
        <v>21</v>
      </c>
      <c r="F4039" s="1">
        <v>44348</v>
      </c>
      <c r="G4039">
        <v>5.99</v>
      </c>
      <c r="H4039">
        <v>84.109300000000005</v>
      </c>
      <c r="I4039">
        <v>22.72</v>
      </c>
      <c r="J4039">
        <v>63.48</v>
      </c>
      <c r="K4039" t="s">
        <v>30</v>
      </c>
      <c r="L4039">
        <v>4366.6899999999996</v>
      </c>
      <c r="M4039">
        <f>VLOOKUP(K4039,RatingLookup!$A$2:$C$8,2,FALSE)</f>
        <v>1.4999999999999999E-2</v>
      </c>
      <c r="N4039">
        <f t="shared" si="189"/>
        <v>1.2586770182638762E-3</v>
      </c>
      <c r="O4039">
        <f>VLOOKUP(K4039,RatingLookup!$A$2:$C$8,3,FALSE)</f>
        <v>0.5</v>
      </c>
      <c r="P4039">
        <f t="shared" si="190"/>
        <v>2.7481261744413428</v>
      </c>
      <c r="Q4039" t="str">
        <f t="shared" ca="1" si="191"/>
        <v>No</v>
      </c>
    </row>
    <row r="4040" spans="1:17" x14ac:dyDescent="0.45">
      <c r="A4040" t="s">
        <v>170</v>
      </c>
      <c r="B4040" t="s">
        <v>171</v>
      </c>
      <c r="C4040" t="s">
        <v>29</v>
      </c>
      <c r="D4040" t="s">
        <v>20</v>
      </c>
      <c r="E4040" t="s">
        <v>21</v>
      </c>
      <c r="F4040" s="1">
        <v>44378</v>
      </c>
      <c r="G4040">
        <v>5.44</v>
      </c>
      <c r="H4040">
        <v>78.554900000000004</v>
      </c>
      <c r="I4040">
        <v>15.46</v>
      </c>
      <c r="J4040">
        <v>71.92</v>
      </c>
      <c r="K4040" t="s">
        <v>30</v>
      </c>
      <c r="L4040">
        <v>4237.2700000000004</v>
      </c>
      <c r="M4040">
        <f>VLOOKUP(K4040,RatingLookup!$A$2:$C$8,2,FALSE)</f>
        <v>1.4999999999999999E-2</v>
      </c>
      <c r="N4040">
        <f t="shared" si="189"/>
        <v>1.2586770182638762E-3</v>
      </c>
      <c r="O4040">
        <f>VLOOKUP(K4040,RatingLookup!$A$2:$C$8,3,FALSE)</f>
        <v>0.5</v>
      </c>
      <c r="P4040">
        <f t="shared" si="190"/>
        <v>2.6666771845894877</v>
      </c>
      <c r="Q4040" t="str">
        <f t="shared" ca="1" si="191"/>
        <v>No</v>
      </c>
    </row>
    <row r="4041" spans="1:17" x14ac:dyDescent="0.45">
      <c r="A4041" t="s">
        <v>170</v>
      </c>
      <c r="B4041" t="s">
        <v>171</v>
      </c>
      <c r="C4041" t="s">
        <v>29</v>
      </c>
      <c r="D4041" t="s">
        <v>20</v>
      </c>
      <c r="E4041" t="s">
        <v>21</v>
      </c>
      <c r="F4041" s="1">
        <v>44409</v>
      </c>
      <c r="G4041">
        <v>5.57</v>
      </c>
      <c r="H4041">
        <v>81.786699999999996</v>
      </c>
      <c r="I4041">
        <v>20.76</v>
      </c>
      <c r="J4041">
        <v>65.92</v>
      </c>
      <c r="K4041" t="s">
        <v>30</v>
      </c>
      <c r="L4041">
        <v>4345.8999999999996</v>
      </c>
      <c r="M4041">
        <f>VLOOKUP(K4041,RatingLookup!$A$2:$C$8,2,FALSE)</f>
        <v>1.4999999999999999E-2</v>
      </c>
      <c r="N4041">
        <f t="shared" si="189"/>
        <v>1.2586770182638762E-3</v>
      </c>
      <c r="O4041">
        <f>VLOOKUP(K4041,RatingLookup!$A$2:$C$8,3,FALSE)</f>
        <v>0.5</v>
      </c>
      <c r="P4041">
        <f t="shared" si="190"/>
        <v>2.7350422268364896</v>
      </c>
      <c r="Q4041" t="str">
        <f t="shared" ca="1" si="191"/>
        <v>No</v>
      </c>
    </row>
    <row r="4042" spans="1:17" x14ac:dyDescent="0.45">
      <c r="A4042" t="s">
        <v>170</v>
      </c>
      <c r="B4042" t="s">
        <v>171</v>
      </c>
      <c r="C4042" t="s">
        <v>29</v>
      </c>
      <c r="D4042" t="s">
        <v>20</v>
      </c>
      <c r="E4042" t="s">
        <v>21</v>
      </c>
      <c r="F4042" s="1">
        <v>44440</v>
      </c>
      <c r="G4042">
        <v>4.4000000000000004</v>
      </c>
      <c r="H4042">
        <v>84.759299999999996</v>
      </c>
      <c r="I4042">
        <v>16.559999999999999</v>
      </c>
      <c r="J4042">
        <v>80.39</v>
      </c>
      <c r="K4042" t="s">
        <v>30</v>
      </c>
      <c r="L4042">
        <v>4102.68</v>
      </c>
      <c r="M4042">
        <f>VLOOKUP(K4042,RatingLookup!$A$2:$C$8,2,FALSE)</f>
        <v>1.4999999999999999E-2</v>
      </c>
      <c r="N4042">
        <f t="shared" si="189"/>
        <v>1.2586770182638762E-3</v>
      </c>
      <c r="O4042">
        <f>VLOOKUP(K4042,RatingLookup!$A$2:$C$8,3,FALSE)</f>
        <v>0.5</v>
      </c>
      <c r="P4042">
        <f t="shared" si="190"/>
        <v>2.5819745146454203</v>
      </c>
      <c r="Q4042" t="str">
        <f t="shared" ca="1" si="191"/>
        <v>No</v>
      </c>
    </row>
    <row r="4043" spans="1:17" x14ac:dyDescent="0.45">
      <c r="A4043" t="s">
        <v>170</v>
      </c>
      <c r="B4043" t="s">
        <v>171</v>
      </c>
      <c r="C4043" t="s">
        <v>29</v>
      </c>
      <c r="D4043" t="s">
        <v>20</v>
      </c>
      <c r="E4043" t="s">
        <v>21</v>
      </c>
      <c r="F4043" s="1">
        <v>44470</v>
      </c>
      <c r="G4043">
        <v>5.16</v>
      </c>
      <c r="H4043">
        <v>83.858099999999993</v>
      </c>
      <c r="I4043">
        <v>12.41</v>
      </c>
      <c r="J4043">
        <v>78.5</v>
      </c>
      <c r="K4043" t="s">
        <v>30</v>
      </c>
      <c r="L4043">
        <v>4228.76</v>
      </c>
      <c r="M4043">
        <f>VLOOKUP(K4043,RatingLookup!$A$2:$C$8,2,FALSE)</f>
        <v>1.4999999999999999E-2</v>
      </c>
      <c r="N4043">
        <f t="shared" si="189"/>
        <v>1.2586770182638762E-3</v>
      </c>
      <c r="O4043">
        <f>VLOOKUP(K4043,RatingLookup!$A$2:$C$8,3,FALSE)</f>
        <v>0.5</v>
      </c>
      <c r="P4043">
        <f t="shared" si="190"/>
        <v>2.661321513876775</v>
      </c>
      <c r="Q4043" t="str">
        <f t="shared" ca="1" si="191"/>
        <v>No</v>
      </c>
    </row>
    <row r="4044" spans="1:17" x14ac:dyDescent="0.45">
      <c r="A4044" t="s">
        <v>170</v>
      </c>
      <c r="B4044" t="s">
        <v>171</v>
      </c>
      <c r="C4044" t="s">
        <v>29</v>
      </c>
      <c r="D4044" t="s">
        <v>20</v>
      </c>
      <c r="E4044" t="s">
        <v>21</v>
      </c>
      <c r="F4044" s="1">
        <v>44501</v>
      </c>
      <c r="G4044">
        <v>5.78</v>
      </c>
      <c r="H4044">
        <v>81.742900000000006</v>
      </c>
      <c r="I4044">
        <v>17.61</v>
      </c>
      <c r="J4044">
        <v>100.61</v>
      </c>
      <c r="K4044" t="s">
        <v>30</v>
      </c>
      <c r="L4044">
        <v>3925.56</v>
      </c>
      <c r="M4044">
        <f>VLOOKUP(K4044,RatingLookup!$A$2:$C$8,2,FALSE)</f>
        <v>1.4999999999999999E-2</v>
      </c>
      <c r="N4044">
        <f t="shared" si="189"/>
        <v>1.2586770182638762E-3</v>
      </c>
      <c r="O4044">
        <f>VLOOKUP(K4044,RatingLookup!$A$2:$C$8,3,FALSE)</f>
        <v>0.5</v>
      </c>
      <c r="P4044">
        <f t="shared" si="190"/>
        <v>2.4705060779079711</v>
      </c>
      <c r="Q4044" t="str">
        <f t="shared" ca="1" si="191"/>
        <v>No</v>
      </c>
    </row>
    <row r="4045" spans="1:17" x14ac:dyDescent="0.45">
      <c r="A4045" t="s">
        <v>170</v>
      </c>
      <c r="B4045" t="s">
        <v>171</v>
      </c>
      <c r="C4045" t="s">
        <v>29</v>
      </c>
      <c r="D4045" t="s">
        <v>20</v>
      </c>
      <c r="E4045" t="s">
        <v>21</v>
      </c>
      <c r="F4045" s="1">
        <v>44531</v>
      </c>
      <c r="G4045">
        <v>5.82</v>
      </c>
      <c r="H4045">
        <v>83.924300000000002</v>
      </c>
      <c r="I4045">
        <v>19.62</v>
      </c>
      <c r="J4045">
        <v>81.38</v>
      </c>
      <c r="K4045" t="s">
        <v>30</v>
      </c>
      <c r="L4045">
        <v>4910.3599999999997</v>
      </c>
      <c r="M4045">
        <f>VLOOKUP(K4045,RatingLookup!$A$2:$C$8,2,FALSE)</f>
        <v>1.4999999999999999E-2</v>
      </c>
      <c r="N4045">
        <f t="shared" si="189"/>
        <v>1.2586770182638762E-3</v>
      </c>
      <c r="O4045">
        <f>VLOOKUP(K4045,RatingLookup!$A$2:$C$8,3,FALSE)</f>
        <v>0.5</v>
      </c>
      <c r="P4045">
        <f t="shared" si="190"/>
        <v>3.0902786417011034</v>
      </c>
      <c r="Q4045" t="str">
        <f t="shared" ca="1" si="191"/>
        <v>No</v>
      </c>
    </row>
    <row r="4046" spans="1:17" x14ac:dyDescent="0.45">
      <c r="A4046" t="s">
        <v>170</v>
      </c>
      <c r="B4046" t="s">
        <v>171</v>
      </c>
      <c r="C4046" t="s">
        <v>29</v>
      </c>
      <c r="D4046" t="s">
        <v>20</v>
      </c>
      <c r="E4046" t="s">
        <v>21</v>
      </c>
      <c r="F4046" s="1">
        <v>44562</v>
      </c>
      <c r="G4046">
        <v>5.4</v>
      </c>
      <c r="H4046">
        <v>82.023300000000006</v>
      </c>
      <c r="I4046">
        <v>12.08</v>
      </c>
      <c r="J4046">
        <v>69.150000000000006</v>
      </c>
      <c r="K4046" t="s">
        <v>30</v>
      </c>
      <c r="L4046">
        <v>4347.87</v>
      </c>
      <c r="M4046">
        <f>VLOOKUP(K4046,RatingLookup!$A$2:$C$8,2,FALSE)</f>
        <v>1.4999999999999999E-2</v>
      </c>
      <c r="N4046">
        <f t="shared" si="189"/>
        <v>1.2586770182638762E-3</v>
      </c>
      <c r="O4046">
        <f>VLOOKUP(K4046,RatingLookup!$A$2:$C$8,3,FALSE)</f>
        <v>0.5</v>
      </c>
      <c r="P4046">
        <f t="shared" si="190"/>
        <v>2.7362820236994798</v>
      </c>
      <c r="Q4046" t="str">
        <f t="shared" ca="1" si="191"/>
        <v>No</v>
      </c>
    </row>
    <row r="4047" spans="1:17" x14ac:dyDescent="0.45">
      <c r="A4047" t="s">
        <v>170</v>
      </c>
      <c r="B4047" t="s">
        <v>171</v>
      </c>
      <c r="C4047" t="s">
        <v>29</v>
      </c>
      <c r="D4047" t="s">
        <v>20</v>
      </c>
      <c r="E4047" t="s">
        <v>21</v>
      </c>
      <c r="F4047" s="1">
        <v>44593</v>
      </c>
      <c r="G4047">
        <v>5.72</v>
      </c>
      <c r="H4047">
        <v>81.497900000000001</v>
      </c>
      <c r="I4047">
        <v>33.409999999999997</v>
      </c>
      <c r="J4047">
        <v>79.03</v>
      </c>
      <c r="K4047" t="s">
        <v>30</v>
      </c>
      <c r="L4047">
        <v>4453.3100000000004</v>
      </c>
      <c r="M4047">
        <f>VLOOKUP(K4047,RatingLookup!$A$2:$C$8,2,FALSE)</f>
        <v>1.4999999999999999E-2</v>
      </c>
      <c r="N4047">
        <f t="shared" si="189"/>
        <v>1.2586770182638762E-3</v>
      </c>
      <c r="O4047">
        <f>VLOOKUP(K4047,RatingLookup!$A$2:$C$8,3,FALSE)</f>
        <v>0.5</v>
      </c>
      <c r="P4047">
        <f t="shared" si="190"/>
        <v>2.8026394761023514</v>
      </c>
      <c r="Q4047" t="str">
        <f t="shared" ca="1" si="191"/>
        <v>No</v>
      </c>
    </row>
    <row r="4048" spans="1:17" x14ac:dyDescent="0.45">
      <c r="A4048" t="s">
        <v>170</v>
      </c>
      <c r="B4048" t="s">
        <v>171</v>
      </c>
      <c r="C4048" t="s">
        <v>29</v>
      </c>
      <c r="D4048" t="s">
        <v>20</v>
      </c>
      <c r="E4048" t="s">
        <v>21</v>
      </c>
      <c r="F4048" s="1">
        <v>44621</v>
      </c>
      <c r="G4048">
        <v>5.2</v>
      </c>
      <c r="H4048">
        <v>79.653099999999995</v>
      </c>
      <c r="I4048">
        <v>8.19</v>
      </c>
      <c r="J4048">
        <v>87.1</v>
      </c>
      <c r="K4048" t="s">
        <v>30</v>
      </c>
      <c r="L4048">
        <v>4182.6099999999997</v>
      </c>
      <c r="M4048">
        <f>VLOOKUP(K4048,RatingLookup!$A$2:$C$8,2,FALSE)</f>
        <v>1.4999999999999999E-2</v>
      </c>
      <c r="N4048">
        <f t="shared" si="189"/>
        <v>1.2586770182638762E-3</v>
      </c>
      <c r="O4048">
        <f>VLOOKUP(K4048,RatingLookup!$A$2:$C$8,3,FALSE)</f>
        <v>0.5</v>
      </c>
      <c r="P4048">
        <f t="shared" si="190"/>
        <v>2.6322775416803355</v>
      </c>
      <c r="Q4048" t="str">
        <f t="shared" ca="1" si="191"/>
        <v>No</v>
      </c>
    </row>
    <row r="4049" spans="1:17" x14ac:dyDescent="0.45">
      <c r="A4049" t="s">
        <v>170</v>
      </c>
      <c r="B4049" t="s">
        <v>171</v>
      </c>
      <c r="C4049" t="s">
        <v>29</v>
      </c>
      <c r="D4049" t="s">
        <v>20</v>
      </c>
      <c r="E4049" t="s">
        <v>21</v>
      </c>
      <c r="F4049" s="1">
        <v>44652</v>
      </c>
      <c r="G4049">
        <v>5.46</v>
      </c>
      <c r="H4049">
        <v>82.9148</v>
      </c>
      <c r="I4049">
        <v>17.28</v>
      </c>
      <c r="J4049">
        <v>76.17</v>
      </c>
      <c r="K4049" t="s">
        <v>30</v>
      </c>
      <c r="L4049">
        <v>4820.93</v>
      </c>
      <c r="M4049">
        <f>VLOOKUP(K4049,RatingLookup!$A$2:$C$8,2,FALSE)</f>
        <v>1.4999999999999999E-2</v>
      </c>
      <c r="N4049">
        <f t="shared" si="189"/>
        <v>1.2586770182638762E-3</v>
      </c>
      <c r="O4049">
        <f>VLOOKUP(K4049,RatingLookup!$A$2:$C$8,3,FALSE)</f>
        <v>0.5</v>
      </c>
      <c r="P4049">
        <f t="shared" si="190"/>
        <v>3.0339968988294346</v>
      </c>
      <c r="Q4049" t="str">
        <f t="shared" ca="1" si="191"/>
        <v>No</v>
      </c>
    </row>
    <row r="4050" spans="1:17" x14ac:dyDescent="0.45">
      <c r="A4050" t="s">
        <v>170</v>
      </c>
      <c r="B4050" t="s">
        <v>171</v>
      </c>
      <c r="C4050" t="s">
        <v>29</v>
      </c>
      <c r="D4050" t="s">
        <v>20</v>
      </c>
      <c r="E4050" t="s">
        <v>21</v>
      </c>
      <c r="F4050" s="1">
        <v>44682</v>
      </c>
      <c r="G4050">
        <v>4.72</v>
      </c>
      <c r="H4050">
        <v>82.677400000000006</v>
      </c>
      <c r="I4050">
        <v>25.55</v>
      </c>
      <c r="J4050">
        <v>88.6</v>
      </c>
      <c r="K4050" t="s">
        <v>30</v>
      </c>
      <c r="L4050">
        <v>4463.18</v>
      </c>
      <c r="M4050">
        <f>VLOOKUP(K4050,RatingLookup!$A$2:$C$8,2,FALSE)</f>
        <v>1.4999999999999999E-2</v>
      </c>
      <c r="N4050">
        <f t="shared" si="189"/>
        <v>1.2586770182638762E-3</v>
      </c>
      <c r="O4050">
        <f>VLOOKUP(K4050,RatingLookup!$A$2:$C$8,3,FALSE)</f>
        <v>0.5</v>
      </c>
      <c r="P4050">
        <f t="shared" si="190"/>
        <v>2.8088510471874839</v>
      </c>
      <c r="Q4050" t="str">
        <f t="shared" ca="1" si="191"/>
        <v>No</v>
      </c>
    </row>
    <row r="4051" spans="1:17" x14ac:dyDescent="0.45">
      <c r="A4051" t="s">
        <v>170</v>
      </c>
      <c r="B4051" t="s">
        <v>171</v>
      </c>
      <c r="C4051" t="s">
        <v>29</v>
      </c>
      <c r="D4051" t="s">
        <v>20</v>
      </c>
      <c r="E4051" t="s">
        <v>21</v>
      </c>
      <c r="F4051" s="1">
        <v>44713</v>
      </c>
      <c r="G4051">
        <v>5.13</v>
      </c>
      <c r="H4051">
        <v>85.188100000000006</v>
      </c>
      <c r="I4051">
        <v>28.78</v>
      </c>
      <c r="J4051">
        <v>79.010000000000005</v>
      </c>
      <c r="K4051" t="s">
        <v>30</v>
      </c>
      <c r="L4051">
        <v>4309.47</v>
      </c>
      <c r="M4051">
        <f>VLOOKUP(K4051,RatingLookup!$A$2:$C$8,2,FALSE)</f>
        <v>1.4999999999999999E-2</v>
      </c>
      <c r="N4051">
        <f t="shared" si="189"/>
        <v>1.2586770182638762E-3</v>
      </c>
      <c r="O4051">
        <f>VLOOKUP(K4051,RatingLookup!$A$2:$C$8,3,FALSE)</f>
        <v>0.5</v>
      </c>
      <c r="P4051">
        <f t="shared" si="190"/>
        <v>2.7121154249488133</v>
      </c>
      <c r="Q4051" t="str">
        <f t="shared" ca="1" si="191"/>
        <v>No</v>
      </c>
    </row>
    <row r="4052" spans="1:17" x14ac:dyDescent="0.45">
      <c r="A4052" t="s">
        <v>170</v>
      </c>
      <c r="B4052" t="s">
        <v>171</v>
      </c>
      <c r="C4052" t="s">
        <v>29</v>
      </c>
      <c r="D4052" t="s">
        <v>20</v>
      </c>
      <c r="E4052" t="s">
        <v>21</v>
      </c>
      <c r="F4052" s="1">
        <v>44743</v>
      </c>
      <c r="G4052">
        <v>6.21</v>
      </c>
      <c r="H4052">
        <v>81.679100000000005</v>
      </c>
      <c r="I4052">
        <v>17.89</v>
      </c>
      <c r="J4052">
        <v>82.62</v>
      </c>
      <c r="K4052" t="s">
        <v>30</v>
      </c>
      <c r="L4052">
        <v>4201.93</v>
      </c>
      <c r="M4052">
        <f>VLOOKUP(K4052,RatingLookup!$A$2:$C$8,2,FALSE)</f>
        <v>1.4999999999999999E-2</v>
      </c>
      <c r="N4052">
        <f t="shared" si="189"/>
        <v>1.2586770182638762E-3</v>
      </c>
      <c r="O4052">
        <f>VLOOKUP(K4052,RatingLookup!$A$2:$C$8,3,FALSE)</f>
        <v>0.5</v>
      </c>
      <c r="P4052">
        <f t="shared" si="190"/>
        <v>2.6444363616767648</v>
      </c>
      <c r="Q4052" t="str">
        <f t="shared" ca="1" si="191"/>
        <v>No</v>
      </c>
    </row>
    <row r="4053" spans="1:17" x14ac:dyDescent="0.45">
      <c r="A4053" t="s">
        <v>170</v>
      </c>
      <c r="B4053" t="s">
        <v>171</v>
      </c>
      <c r="C4053" t="s">
        <v>29</v>
      </c>
      <c r="D4053" t="s">
        <v>20</v>
      </c>
      <c r="E4053" t="s">
        <v>21</v>
      </c>
      <c r="F4053" s="1">
        <v>44774</v>
      </c>
      <c r="G4053">
        <v>4.95</v>
      </c>
      <c r="H4053">
        <v>84.846599999999995</v>
      </c>
      <c r="I4053">
        <v>22.76</v>
      </c>
      <c r="J4053">
        <v>64.349999999999994</v>
      </c>
      <c r="K4053" t="s">
        <v>30</v>
      </c>
      <c r="L4053">
        <v>4203.7</v>
      </c>
      <c r="M4053">
        <f>VLOOKUP(K4053,RatingLookup!$A$2:$C$8,2,FALSE)</f>
        <v>1.4999999999999999E-2</v>
      </c>
      <c r="N4053">
        <f t="shared" si="189"/>
        <v>1.2586770182638762E-3</v>
      </c>
      <c r="O4053">
        <f>VLOOKUP(K4053,RatingLookup!$A$2:$C$8,3,FALSE)</f>
        <v>0.5</v>
      </c>
      <c r="P4053">
        <f t="shared" si="190"/>
        <v>2.645550290837928</v>
      </c>
      <c r="Q4053" t="str">
        <f t="shared" ca="1" si="191"/>
        <v>No</v>
      </c>
    </row>
    <row r="4054" spans="1:17" x14ac:dyDescent="0.45">
      <c r="A4054" t="s">
        <v>170</v>
      </c>
      <c r="B4054" t="s">
        <v>171</v>
      </c>
      <c r="C4054" t="s">
        <v>29</v>
      </c>
      <c r="D4054" t="s">
        <v>20</v>
      </c>
      <c r="E4054" t="s">
        <v>21</v>
      </c>
      <c r="F4054" s="1">
        <v>44805</v>
      </c>
      <c r="G4054">
        <v>5.65</v>
      </c>
      <c r="H4054">
        <v>83.103999999999999</v>
      </c>
      <c r="I4054">
        <v>23.35</v>
      </c>
      <c r="J4054">
        <v>77.760000000000005</v>
      </c>
      <c r="K4054" t="s">
        <v>30</v>
      </c>
      <c r="L4054">
        <v>4364.47</v>
      </c>
      <c r="M4054">
        <f>VLOOKUP(K4054,RatingLookup!$A$2:$C$8,2,FALSE)</f>
        <v>1.4999999999999999E-2</v>
      </c>
      <c r="N4054">
        <f t="shared" si="189"/>
        <v>1.2586770182638762E-3</v>
      </c>
      <c r="O4054">
        <f>VLOOKUP(K4054,RatingLookup!$A$2:$C$8,3,FALSE)</f>
        <v>0.5</v>
      </c>
      <c r="P4054">
        <f t="shared" si="190"/>
        <v>2.74672904295107</v>
      </c>
      <c r="Q4054" t="str">
        <f t="shared" ca="1" si="191"/>
        <v>No</v>
      </c>
    </row>
    <row r="4055" spans="1:17" x14ac:dyDescent="0.45">
      <c r="A4055" t="s">
        <v>170</v>
      </c>
      <c r="B4055" t="s">
        <v>171</v>
      </c>
      <c r="C4055" t="s">
        <v>29</v>
      </c>
      <c r="D4055" t="s">
        <v>20</v>
      </c>
      <c r="E4055" t="s">
        <v>21</v>
      </c>
      <c r="F4055" s="1">
        <v>44835</v>
      </c>
      <c r="G4055">
        <v>4.6399999999999997</v>
      </c>
      <c r="H4055">
        <v>81.549899999999994</v>
      </c>
      <c r="I4055">
        <v>16.43</v>
      </c>
      <c r="J4055">
        <v>84.3</v>
      </c>
      <c r="K4055" t="s">
        <v>30</v>
      </c>
      <c r="L4055">
        <v>4759.09</v>
      </c>
      <c r="M4055">
        <f>VLOOKUP(K4055,RatingLookup!$A$2:$C$8,2,FALSE)</f>
        <v>1.4999999999999999E-2</v>
      </c>
      <c r="N4055">
        <f t="shared" si="189"/>
        <v>1.2586770182638762E-3</v>
      </c>
      <c r="O4055">
        <f>VLOOKUP(K4055,RatingLookup!$A$2:$C$8,3,FALSE)</f>
        <v>0.5</v>
      </c>
      <c r="P4055">
        <f t="shared" si="190"/>
        <v>2.9950786054247156</v>
      </c>
      <c r="Q4055" t="str">
        <f t="shared" ca="1" si="191"/>
        <v>No</v>
      </c>
    </row>
    <row r="4056" spans="1:17" x14ac:dyDescent="0.45">
      <c r="A4056" t="s">
        <v>170</v>
      </c>
      <c r="B4056" t="s">
        <v>171</v>
      </c>
      <c r="C4056" t="s">
        <v>29</v>
      </c>
      <c r="D4056" t="s">
        <v>20</v>
      </c>
      <c r="E4056" t="s">
        <v>21</v>
      </c>
      <c r="F4056" s="1">
        <v>44866</v>
      </c>
      <c r="G4056">
        <v>4.9800000000000004</v>
      </c>
      <c r="H4056">
        <v>79.334000000000003</v>
      </c>
      <c r="I4056">
        <v>15.51</v>
      </c>
      <c r="J4056">
        <v>67.87</v>
      </c>
      <c r="K4056" t="s">
        <v>30</v>
      </c>
      <c r="L4056">
        <v>4412.8100000000004</v>
      </c>
      <c r="M4056">
        <f>VLOOKUP(K4056,RatingLookup!$A$2:$C$8,2,FALSE)</f>
        <v>1.4999999999999999E-2</v>
      </c>
      <c r="N4056">
        <f t="shared" si="189"/>
        <v>1.2586770182638762E-3</v>
      </c>
      <c r="O4056">
        <f>VLOOKUP(K4056,RatingLookup!$A$2:$C$8,3,FALSE)</f>
        <v>0.5</v>
      </c>
      <c r="P4056">
        <f t="shared" si="190"/>
        <v>2.777151266482508</v>
      </c>
      <c r="Q4056" t="str">
        <f t="shared" ca="1" si="191"/>
        <v>No</v>
      </c>
    </row>
    <row r="4057" spans="1:17" x14ac:dyDescent="0.45">
      <c r="A4057" t="s">
        <v>170</v>
      </c>
      <c r="B4057" t="s">
        <v>171</v>
      </c>
      <c r="C4057" t="s">
        <v>29</v>
      </c>
      <c r="D4057" t="s">
        <v>20</v>
      </c>
      <c r="E4057" t="s">
        <v>21</v>
      </c>
      <c r="F4057" s="1">
        <v>44896</v>
      </c>
      <c r="G4057">
        <v>5.4</v>
      </c>
      <c r="H4057">
        <v>79.120599999999996</v>
      </c>
      <c r="I4057">
        <v>12.62</v>
      </c>
      <c r="J4057">
        <v>82.05</v>
      </c>
      <c r="K4057" t="s">
        <v>30</v>
      </c>
      <c r="L4057">
        <v>4150.1000000000004</v>
      </c>
      <c r="M4057">
        <f>VLOOKUP(K4057,RatingLookup!$A$2:$C$8,2,FALSE)</f>
        <v>1.4999999999999999E-2</v>
      </c>
      <c r="N4057">
        <f t="shared" si="189"/>
        <v>1.2586770182638762E-3</v>
      </c>
      <c r="O4057">
        <f>VLOOKUP(K4057,RatingLookup!$A$2:$C$8,3,FALSE)</f>
        <v>0.5</v>
      </c>
      <c r="P4057">
        <f t="shared" si="190"/>
        <v>2.6118177467484567</v>
      </c>
      <c r="Q4057" t="str">
        <f t="shared" ca="1" si="191"/>
        <v>No</v>
      </c>
    </row>
    <row r="4058" spans="1:17" x14ac:dyDescent="0.45">
      <c r="A4058" t="s">
        <v>170</v>
      </c>
      <c r="B4058" t="s">
        <v>171</v>
      </c>
      <c r="C4058" t="s">
        <v>29</v>
      </c>
      <c r="D4058" t="s">
        <v>20</v>
      </c>
      <c r="E4058" t="s">
        <v>21</v>
      </c>
      <c r="F4058" s="1">
        <v>44927</v>
      </c>
      <c r="G4058">
        <v>5.71</v>
      </c>
      <c r="H4058">
        <v>85.260199999999998</v>
      </c>
      <c r="I4058">
        <v>14.37</v>
      </c>
      <c r="J4058">
        <v>64.77</v>
      </c>
      <c r="K4058" t="s">
        <v>30</v>
      </c>
      <c r="L4058">
        <v>4437.62</v>
      </c>
      <c r="M4058">
        <f>VLOOKUP(K4058,RatingLookup!$A$2:$C$8,2,FALSE)</f>
        <v>1.4999999999999999E-2</v>
      </c>
      <c r="N4058">
        <f t="shared" si="189"/>
        <v>1.2586770182638762E-3</v>
      </c>
      <c r="O4058">
        <f>VLOOKUP(K4058,RatingLookup!$A$2:$C$8,3,FALSE)</f>
        <v>0.5</v>
      </c>
      <c r="P4058">
        <f t="shared" si="190"/>
        <v>2.7927651548940711</v>
      </c>
      <c r="Q4058" t="str">
        <f t="shared" ca="1" si="191"/>
        <v>No</v>
      </c>
    </row>
    <row r="4059" spans="1:17" x14ac:dyDescent="0.45">
      <c r="A4059" t="s">
        <v>170</v>
      </c>
      <c r="B4059" t="s">
        <v>171</v>
      </c>
      <c r="C4059" t="s">
        <v>29</v>
      </c>
      <c r="D4059" t="s">
        <v>20</v>
      </c>
      <c r="E4059" t="s">
        <v>21</v>
      </c>
      <c r="F4059" s="1">
        <v>44958</v>
      </c>
      <c r="G4059">
        <v>4.84</v>
      </c>
      <c r="H4059">
        <v>83.227800000000002</v>
      </c>
      <c r="I4059">
        <v>19.98</v>
      </c>
      <c r="J4059">
        <v>99.04</v>
      </c>
      <c r="K4059" t="s">
        <v>30</v>
      </c>
      <c r="L4059">
        <v>4526.2700000000004</v>
      </c>
      <c r="M4059">
        <f>VLOOKUP(K4059,RatingLookup!$A$2:$C$8,2,FALSE)</f>
        <v>1.4999999999999999E-2</v>
      </c>
      <c r="N4059">
        <f t="shared" si="189"/>
        <v>1.2586770182638762E-3</v>
      </c>
      <c r="O4059">
        <f>VLOOKUP(K4059,RatingLookup!$A$2:$C$8,3,FALSE)</f>
        <v>0.5</v>
      </c>
      <c r="P4059">
        <f t="shared" si="190"/>
        <v>2.8485560137286177</v>
      </c>
      <c r="Q4059" t="str">
        <f t="shared" ca="1" si="191"/>
        <v>No</v>
      </c>
    </row>
    <row r="4060" spans="1:17" x14ac:dyDescent="0.45">
      <c r="A4060" t="s">
        <v>170</v>
      </c>
      <c r="B4060" t="s">
        <v>171</v>
      </c>
      <c r="C4060" t="s">
        <v>29</v>
      </c>
      <c r="D4060" t="s">
        <v>20</v>
      </c>
      <c r="E4060" t="s">
        <v>21</v>
      </c>
      <c r="F4060" s="1">
        <v>44986</v>
      </c>
      <c r="G4060">
        <v>4.9800000000000004</v>
      </c>
      <c r="H4060">
        <v>81.4495</v>
      </c>
      <c r="I4060">
        <v>26.27</v>
      </c>
      <c r="J4060">
        <v>79.23</v>
      </c>
      <c r="K4060" t="s">
        <v>30</v>
      </c>
      <c r="L4060">
        <v>4557.21</v>
      </c>
      <c r="M4060">
        <f>VLOOKUP(K4060,RatingLookup!$A$2:$C$8,2,FALSE)</f>
        <v>1.4999999999999999E-2</v>
      </c>
      <c r="N4060">
        <f t="shared" si="189"/>
        <v>1.2586770182638762E-3</v>
      </c>
      <c r="O4060">
        <f>VLOOKUP(K4060,RatingLookup!$A$2:$C$8,3,FALSE)</f>
        <v>0.5</v>
      </c>
      <c r="P4060">
        <f t="shared" si="190"/>
        <v>2.8680277472011597</v>
      </c>
      <c r="Q4060" t="str">
        <f t="shared" ca="1" si="191"/>
        <v>No</v>
      </c>
    </row>
    <row r="4061" spans="1:17" x14ac:dyDescent="0.45">
      <c r="A4061" t="s">
        <v>170</v>
      </c>
      <c r="B4061" t="s">
        <v>171</v>
      </c>
      <c r="C4061" t="s">
        <v>29</v>
      </c>
      <c r="D4061" t="s">
        <v>20</v>
      </c>
      <c r="E4061" t="s">
        <v>21</v>
      </c>
      <c r="F4061" s="1">
        <v>45017</v>
      </c>
      <c r="G4061">
        <v>4.97</v>
      </c>
      <c r="H4061">
        <v>82.247399999999999</v>
      </c>
      <c r="I4061">
        <v>22.57</v>
      </c>
      <c r="J4061">
        <v>67.61</v>
      </c>
      <c r="K4061" t="s">
        <v>30</v>
      </c>
      <c r="L4061">
        <v>4486.8500000000004</v>
      </c>
      <c r="M4061">
        <f>VLOOKUP(K4061,RatingLookup!$A$2:$C$8,2,FALSE)</f>
        <v>1.4999999999999999E-2</v>
      </c>
      <c r="N4061">
        <f t="shared" si="189"/>
        <v>1.2586770182638762E-3</v>
      </c>
      <c r="O4061">
        <f>VLOOKUP(K4061,RatingLookup!$A$2:$C$8,3,FALSE)</f>
        <v>0.5</v>
      </c>
      <c r="P4061">
        <f t="shared" si="190"/>
        <v>2.8237474896986368</v>
      </c>
      <c r="Q4061" t="str">
        <f t="shared" ca="1" si="191"/>
        <v>No</v>
      </c>
    </row>
    <row r="4062" spans="1:17" x14ac:dyDescent="0.45">
      <c r="A4062" t="s">
        <v>170</v>
      </c>
      <c r="B4062" t="s">
        <v>171</v>
      </c>
      <c r="C4062" t="s">
        <v>29</v>
      </c>
      <c r="D4062" t="s">
        <v>20</v>
      </c>
      <c r="E4062" t="s">
        <v>21</v>
      </c>
      <c r="F4062" s="1">
        <v>45047</v>
      </c>
      <c r="G4062">
        <v>4.93</v>
      </c>
      <c r="H4062">
        <v>88.145600000000002</v>
      </c>
      <c r="I4062">
        <v>13.09</v>
      </c>
      <c r="J4062">
        <v>60.83</v>
      </c>
      <c r="K4062" t="s">
        <v>30</v>
      </c>
      <c r="L4062">
        <v>4614.49</v>
      </c>
      <c r="M4062">
        <f>VLOOKUP(K4062,RatingLookup!$A$2:$C$8,2,FALSE)</f>
        <v>1.4999999999999999E-2</v>
      </c>
      <c r="N4062">
        <f t="shared" si="189"/>
        <v>1.2586770182638762E-3</v>
      </c>
      <c r="O4062">
        <f>VLOOKUP(K4062,RatingLookup!$A$2:$C$8,3,FALSE)</f>
        <v>0.5</v>
      </c>
      <c r="P4062">
        <f t="shared" si="190"/>
        <v>2.9040762570042369</v>
      </c>
      <c r="Q4062" t="str">
        <f t="shared" ca="1" si="191"/>
        <v>No</v>
      </c>
    </row>
    <row r="4063" spans="1:17" x14ac:dyDescent="0.45">
      <c r="A4063" t="s">
        <v>170</v>
      </c>
      <c r="B4063" t="s">
        <v>171</v>
      </c>
      <c r="C4063" t="s">
        <v>29</v>
      </c>
      <c r="D4063" t="s">
        <v>20</v>
      </c>
      <c r="E4063" t="s">
        <v>21</v>
      </c>
      <c r="F4063" s="1">
        <v>45078</v>
      </c>
      <c r="G4063">
        <v>5.2</v>
      </c>
      <c r="H4063">
        <v>88.436999999999998</v>
      </c>
      <c r="I4063">
        <v>26.92</v>
      </c>
      <c r="J4063">
        <v>74.22</v>
      </c>
      <c r="K4063" t="s">
        <v>30</v>
      </c>
      <c r="L4063">
        <v>4567.0200000000004</v>
      </c>
      <c r="M4063">
        <f>VLOOKUP(K4063,RatingLookup!$A$2:$C$8,2,FALSE)</f>
        <v>1.4999999999999999E-2</v>
      </c>
      <c r="N4063">
        <f t="shared" si="189"/>
        <v>1.2586770182638762E-3</v>
      </c>
      <c r="O4063">
        <f>VLOOKUP(K4063,RatingLookup!$A$2:$C$8,3,FALSE)</f>
        <v>0.5</v>
      </c>
      <c r="P4063">
        <f t="shared" si="190"/>
        <v>2.8742015579757445</v>
      </c>
      <c r="Q4063" t="str">
        <f t="shared" ca="1" si="191"/>
        <v>No</v>
      </c>
    </row>
    <row r="4064" spans="1:17" x14ac:dyDescent="0.45">
      <c r="A4064" t="s">
        <v>170</v>
      </c>
      <c r="B4064" t="s">
        <v>171</v>
      </c>
      <c r="C4064" t="s">
        <v>29</v>
      </c>
      <c r="D4064" t="s">
        <v>20</v>
      </c>
      <c r="E4064" t="s">
        <v>21</v>
      </c>
      <c r="F4064" s="1">
        <v>45108</v>
      </c>
      <c r="G4064">
        <v>5.46</v>
      </c>
      <c r="H4064">
        <v>82.266099999999994</v>
      </c>
      <c r="I4064">
        <v>21.74</v>
      </c>
      <c r="J4064">
        <v>83.34</v>
      </c>
      <c r="K4064" t="s">
        <v>30</v>
      </c>
      <c r="L4064">
        <v>4443.04</v>
      </c>
      <c r="M4064">
        <f>VLOOKUP(K4064,RatingLookup!$A$2:$C$8,2,FALSE)</f>
        <v>1.4999999999999999E-2</v>
      </c>
      <c r="N4064">
        <f t="shared" si="189"/>
        <v>1.2586770182638762E-3</v>
      </c>
      <c r="O4064">
        <f>VLOOKUP(K4064,RatingLookup!$A$2:$C$8,3,FALSE)</f>
        <v>0.5</v>
      </c>
      <c r="P4064">
        <f t="shared" si="190"/>
        <v>2.7961761696135663</v>
      </c>
      <c r="Q4064" t="str">
        <f t="shared" ca="1" si="191"/>
        <v>No</v>
      </c>
    </row>
    <row r="4065" spans="1:17" x14ac:dyDescent="0.45">
      <c r="A4065" t="s">
        <v>170</v>
      </c>
      <c r="B4065" t="s">
        <v>171</v>
      </c>
      <c r="C4065" t="s">
        <v>29</v>
      </c>
      <c r="D4065" t="s">
        <v>20</v>
      </c>
      <c r="E4065" t="s">
        <v>21</v>
      </c>
      <c r="F4065" s="1">
        <v>45139</v>
      </c>
      <c r="G4065">
        <v>6.54</v>
      </c>
      <c r="H4065">
        <v>78.363600000000005</v>
      </c>
      <c r="I4065">
        <v>21.36</v>
      </c>
      <c r="J4065">
        <v>78.290000000000006</v>
      </c>
      <c r="K4065" t="s">
        <v>30</v>
      </c>
      <c r="L4065">
        <v>4047.69</v>
      </c>
      <c r="M4065">
        <f>VLOOKUP(K4065,RatingLookup!$A$2:$C$8,2,FALSE)</f>
        <v>1.4999999999999999E-2</v>
      </c>
      <c r="N4065">
        <f t="shared" si="189"/>
        <v>1.2586770182638762E-3</v>
      </c>
      <c r="O4065">
        <f>VLOOKUP(K4065,RatingLookup!$A$2:$C$8,3,FALSE)</f>
        <v>0.5</v>
      </c>
      <c r="P4065">
        <f t="shared" si="190"/>
        <v>2.5473671900282548</v>
      </c>
      <c r="Q4065" t="str">
        <f t="shared" ca="1" si="191"/>
        <v>No</v>
      </c>
    </row>
    <row r="4066" spans="1:17" x14ac:dyDescent="0.45">
      <c r="A4066" t="s">
        <v>170</v>
      </c>
      <c r="B4066" t="s">
        <v>171</v>
      </c>
      <c r="C4066" t="s">
        <v>29</v>
      </c>
      <c r="D4066" t="s">
        <v>20</v>
      </c>
      <c r="E4066" t="s">
        <v>21</v>
      </c>
      <c r="F4066" s="1">
        <v>45170</v>
      </c>
      <c r="G4066">
        <v>5.65</v>
      </c>
      <c r="H4066">
        <v>83.614699999999999</v>
      </c>
      <c r="I4066">
        <v>15.24</v>
      </c>
      <c r="J4066">
        <v>73.83</v>
      </c>
      <c r="K4066" t="s">
        <v>30</v>
      </c>
      <c r="L4066">
        <v>4314.24</v>
      </c>
      <c r="M4066">
        <f>VLOOKUP(K4066,RatingLookup!$A$2:$C$8,2,FALSE)</f>
        <v>1.4999999999999999E-2</v>
      </c>
      <c r="N4066">
        <f t="shared" si="189"/>
        <v>1.2586770182638762E-3</v>
      </c>
      <c r="O4066">
        <f>VLOOKUP(K4066,RatingLookup!$A$2:$C$8,3,FALSE)</f>
        <v>0.5</v>
      </c>
      <c r="P4066">
        <f t="shared" si="190"/>
        <v>2.7151173696373725</v>
      </c>
      <c r="Q4066" t="str">
        <f t="shared" ca="1" si="191"/>
        <v>No</v>
      </c>
    </row>
    <row r="4067" spans="1:17" x14ac:dyDescent="0.45">
      <c r="A4067" t="s">
        <v>170</v>
      </c>
      <c r="B4067" t="s">
        <v>171</v>
      </c>
      <c r="C4067" t="s">
        <v>29</v>
      </c>
      <c r="D4067" t="s">
        <v>20</v>
      </c>
      <c r="E4067" t="s">
        <v>21</v>
      </c>
      <c r="F4067" s="1">
        <v>45200</v>
      </c>
      <c r="G4067">
        <v>5.8</v>
      </c>
      <c r="H4067">
        <v>85.4482</v>
      </c>
      <c r="I4067">
        <v>16.79</v>
      </c>
      <c r="J4067">
        <v>81.099999999999994</v>
      </c>
      <c r="K4067" t="s">
        <v>30</v>
      </c>
      <c r="L4067">
        <v>4523.3100000000004</v>
      </c>
      <c r="M4067">
        <f>VLOOKUP(K4067,RatingLookup!$A$2:$C$8,2,FALSE)</f>
        <v>1.4999999999999999E-2</v>
      </c>
      <c r="N4067">
        <f t="shared" si="189"/>
        <v>1.2586770182638762E-3</v>
      </c>
      <c r="O4067">
        <f>VLOOKUP(K4067,RatingLookup!$A$2:$C$8,3,FALSE)</f>
        <v>0.5</v>
      </c>
      <c r="P4067">
        <f t="shared" si="190"/>
        <v>2.8466931717415873</v>
      </c>
      <c r="Q4067" t="str">
        <f t="shared" ca="1" si="191"/>
        <v>No</v>
      </c>
    </row>
    <row r="4068" spans="1:17" x14ac:dyDescent="0.45">
      <c r="A4068" t="s">
        <v>170</v>
      </c>
      <c r="B4068" t="s">
        <v>171</v>
      </c>
      <c r="C4068" t="s">
        <v>29</v>
      </c>
      <c r="D4068" t="s">
        <v>20</v>
      </c>
      <c r="E4068" t="s">
        <v>21</v>
      </c>
      <c r="F4068" s="1">
        <v>45231</v>
      </c>
      <c r="G4068">
        <v>4.72</v>
      </c>
      <c r="H4068">
        <v>84.135199999999998</v>
      </c>
      <c r="I4068">
        <v>19.899999999999999</v>
      </c>
      <c r="J4068">
        <v>91.26</v>
      </c>
      <c r="K4068" t="s">
        <v>30</v>
      </c>
      <c r="L4068">
        <v>4635.55</v>
      </c>
      <c r="M4068">
        <f>VLOOKUP(K4068,RatingLookup!$A$2:$C$8,2,FALSE)</f>
        <v>1.4999999999999999E-2</v>
      </c>
      <c r="N4068">
        <f t="shared" si="189"/>
        <v>1.2586770182638762E-3</v>
      </c>
      <c r="O4068">
        <f>VLOOKUP(K4068,RatingLookup!$A$2:$C$8,3,FALSE)</f>
        <v>0.5</v>
      </c>
      <c r="P4068">
        <f t="shared" si="190"/>
        <v>2.9173301260065561</v>
      </c>
      <c r="Q4068" t="str">
        <f t="shared" ca="1" si="191"/>
        <v>No</v>
      </c>
    </row>
    <row r="4069" spans="1:17" x14ac:dyDescent="0.45">
      <c r="A4069" t="s">
        <v>170</v>
      </c>
      <c r="B4069" t="s">
        <v>171</v>
      </c>
      <c r="C4069" t="s">
        <v>29</v>
      </c>
      <c r="D4069" t="s">
        <v>20</v>
      </c>
      <c r="E4069" t="s">
        <v>21</v>
      </c>
      <c r="F4069" s="1">
        <v>45261</v>
      </c>
      <c r="G4069">
        <v>6.21</v>
      </c>
      <c r="H4069">
        <v>84.138900000000007</v>
      </c>
      <c r="I4069">
        <v>22.99</v>
      </c>
      <c r="J4069">
        <v>73.459999999999994</v>
      </c>
      <c r="K4069" t="s">
        <v>30</v>
      </c>
      <c r="L4069">
        <v>4725.2700000000004</v>
      </c>
      <c r="M4069">
        <f>VLOOKUP(K4069,RatingLookup!$A$2:$C$8,2,FALSE)</f>
        <v>1.4999999999999999E-2</v>
      </c>
      <c r="N4069">
        <f t="shared" si="189"/>
        <v>1.2586770182638762E-3</v>
      </c>
      <c r="O4069">
        <f>VLOOKUP(K4069,RatingLookup!$A$2:$C$8,3,FALSE)</f>
        <v>0.5</v>
      </c>
      <c r="P4069">
        <f t="shared" si="190"/>
        <v>2.9737943770458735</v>
      </c>
      <c r="Q4069" t="str">
        <f t="shared" ca="1" si="191"/>
        <v>No</v>
      </c>
    </row>
    <row r="4070" spans="1:17" x14ac:dyDescent="0.45">
      <c r="A4070" t="s">
        <v>170</v>
      </c>
      <c r="B4070" t="s">
        <v>171</v>
      </c>
      <c r="C4070" t="s">
        <v>29</v>
      </c>
      <c r="D4070" t="s">
        <v>20</v>
      </c>
      <c r="E4070" t="s">
        <v>21</v>
      </c>
      <c r="F4070" s="1">
        <v>45292</v>
      </c>
      <c r="G4070">
        <v>6.16</v>
      </c>
      <c r="H4070">
        <v>84.029700000000005</v>
      </c>
      <c r="I4070">
        <v>29.84</v>
      </c>
      <c r="J4070">
        <v>103.98</v>
      </c>
      <c r="K4070" t="s">
        <v>30</v>
      </c>
      <c r="L4070">
        <v>4452.9399999999996</v>
      </c>
      <c r="M4070">
        <f>VLOOKUP(K4070,RatingLookup!$A$2:$C$8,2,FALSE)</f>
        <v>1.4999999999999999E-2</v>
      </c>
      <c r="N4070">
        <f t="shared" si="189"/>
        <v>1.2586770182638762E-3</v>
      </c>
      <c r="O4070">
        <f>VLOOKUP(K4070,RatingLookup!$A$2:$C$8,3,FALSE)</f>
        <v>0.5</v>
      </c>
      <c r="P4070">
        <f t="shared" si="190"/>
        <v>2.8024066208539722</v>
      </c>
      <c r="Q4070" t="str">
        <f t="shared" ca="1" si="191"/>
        <v>No</v>
      </c>
    </row>
    <row r="4071" spans="1:17" x14ac:dyDescent="0.45">
      <c r="A4071" t="s">
        <v>170</v>
      </c>
      <c r="B4071" t="s">
        <v>171</v>
      </c>
      <c r="C4071" t="s">
        <v>29</v>
      </c>
      <c r="D4071" t="s">
        <v>20</v>
      </c>
      <c r="E4071" t="s">
        <v>21</v>
      </c>
      <c r="F4071" s="1">
        <v>45323</v>
      </c>
      <c r="G4071">
        <v>6.07</v>
      </c>
      <c r="H4071">
        <v>76.011600000000001</v>
      </c>
      <c r="I4071">
        <v>24.76</v>
      </c>
      <c r="J4071">
        <v>76.040000000000006</v>
      </c>
      <c r="K4071" t="s">
        <v>30</v>
      </c>
      <c r="L4071">
        <v>4195.17</v>
      </c>
      <c r="M4071">
        <f>VLOOKUP(K4071,RatingLookup!$A$2:$C$8,2,FALSE)</f>
        <v>1.4999999999999999E-2</v>
      </c>
      <c r="N4071">
        <f t="shared" si="189"/>
        <v>1.2586770182638762E-3</v>
      </c>
      <c r="O4071">
        <f>VLOOKUP(K4071,RatingLookup!$A$2:$C$8,3,FALSE)</f>
        <v>0.5</v>
      </c>
      <c r="P4071">
        <f t="shared" si="190"/>
        <v>2.6401820333550328</v>
      </c>
      <c r="Q4071" t="str">
        <f t="shared" ca="1" si="191"/>
        <v>No</v>
      </c>
    </row>
    <row r="4072" spans="1:17" x14ac:dyDescent="0.45">
      <c r="A4072" t="s">
        <v>170</v>
      </c>
      <c r="B4072" t="s">
        <v>171</v>
      </c>
      <c r="C4072" t="s">
        <v>29</v>
      </c>
      <c r="D4072" t="s">
        <v>20</v>
      </c>
      <c r="E4072" t="s">
        <v>21</v>
      </c>
      <c r="F4072" s="1">
        <v>45352</v>
      </c>
      <c r="G4072">
        <v>6.52</v>
      </c>
      <c r="H4072">
        <v>86.634600000000006</v>
      </c>
      <c r="I4072">
        <v>17.62</v>
      </c>
      <c r="J4072">
        <v>78.55</v>
      </c>
      <c r="K4072" t="s">
        <v>30</v>
      </c>
      <c r="L4072">
        <v>4505.21</v>
      </c>
      <c r="M4072">
        <f>VLOOKUP(K4072,RatingLookup!$A$2:$C$8,2,FALSE)</f>
        <v>1.4999999999999999E-2</v>
      </c>
      <c r="N4072">
        <f t="shared" si="189"/>
        <v>1.2586770182638762E-3</v>
      </c>
      <c r="O4072">
        <f>VLOOKUP(K4072,RatingLookup!$A$2:$C$8,3,FALSE)</f>
        <v>0.5</v>
      </c>
      <c r="P4072">
        <f t="shared" si="190"/>
        <v>2.8353021447262989</v>
      </c>
      <c r="Q4072" t="str">
        <f t="shared" ca="1" si="191"/>
        <v>No</v>
      </c>
    </row>
    <row r="4073" spans="1:17" x14ac:dyDescent="0.45">
      <c r="A4073" t="s">
        <v>170</v>
      </c>
      <c r="B4073" t="s">
        <v>171</v>
      </c>
      <c r="C4073" t="s">
        <v>29</v>
      </c>
      <c r="D4073" t="s">
        <v>20</v>
      </c>
      <c r="E4073" t="s">
        <v>21</v>
      </c>
      <c r="F4073" s="1">
        <v>45383</v>
      </c>
      <c r="G4073">
        <v>6.5</v>
      </c>
      <c r="H4073">
        <v>86.139600000000002</v>
      </c>
      <c r="I4073">
        <v>17.010000000000002</v>
      </c>
      <c r="J4073">
        <v>71.75</v>
      </c>
      <c r="K4073" t="s">
        <v>30</v>
      </c>
      <c r="L4073">
        <v>4504.92</v>
      </c>
      <c r="M4073">
        <f>VLOOKUP(K4073,RatingLookup!$A$2:$C$8,2,FALSE)</f>
        <v>1.4999999999999999E-2</v>
      </c>
      <c r="N4073">
        <f t="shared" si="189"/>
        <v>1.2586770182638762E-3</v>
      </c>
      <c r="O4073">
        <f>VLOOKUP(K4073,RatingLookup!$A$2:$C$8,3,FALSE)</f>
        <v>0.5</v>
      </c>
      <c r="P4073">
        <f t="shared" si="190"/>
        <v>2.8351196365586508</v>
      </c>
      <c r="Q4073" t="str">
        <f t="shared" ca="1" si="191"/>
        <v>No</v>
      </c>
    </row>
    <row r="4074" spans="1:17" x14ac:dyDescent="0.45">
      <c r="A4074" t="s">
        <v>170</v>
      </c>
      <c r="B4074" t="s">
        <v>171</v>
      </c>
      <c r="C4074" t="s">
        <v>29</v>
      </c>
      <c r="D4074" t="s">
        <v>20</v>
      </c>
      <c r="E4074" t="s">
        <v>21</v>
      </c>
      <c r="F4074" s="1">
        <v>45413</v>
      </c>
      <c r="G4074">
        <v>5.79</v>
      </c>
      <c r="H4074">
        <v>82.4251</v>
      </c>
      <c r="I4074">
        <v>26.42</v>
      </c>
      <c r="J4074">
        <v>71.42</v>
      </c>
      <c r="K4074" t="s">
        <v>22</v>
      </c>
      <c r="L4074">
        <v>4435.3599999999997</v>
      </c>
      <c r="M4074">
        <f>VLOOKUP(K4074,RatingLookup!$A$2:$C$8,2,FALSE)</f>
        <v>5.0000000000000001E-3</v>
      </c>
      <c r="N4074">
        <f t="shared" si="189"/>
        <v>4.1762458919303302E-4</v>
      </c>
      <c r="O4074">
        <f>VLOOKUP(K4074,RatingLookup!$A$2:$C$8,3,FALSE)</f>
        <v>0.45</v>
      </c>
      <c r="P4074">
        <f t="shared" si="190"/>
        <v>0.83354192906544489</v>
      </c>
      <c r="Q4074" t="str">
        <f t="shared" ca="1" si="191"/>
        <v>No</v>
      </c>
    </row>
    <row r="4075" spans="1:17" x14ac:dyDescent="0.45">
      <c r="A4075" t="s">
        <v>170</v>
      </c>
      <c r="B4075" t="s">
        <v>171</v>
      </c>
      <c r="C4075" t="s">
        <v>29</v>
      </c>
      <c r="D4075" t="s">
        <v>20</v>
      </c>
      <c r="E4075" t="s">
        <v>21</v>
      </c>
      <c r="F4075" s="1">
        <v>45444</v>
      </c>
      <c r="G4075">
        <v>5.39</v>
      </c>
      <c r="H4075">
        <v>83.293499999999995</v>
      </c>
      <c r="I4075">
        <v>17.920000000000002</v>
      </c>
      <c r="J4075">
        <v>85.36</v>
      </c>
      <c r="K4075" t="s">
        <v>22</v>
      </c>
      <c r="L4075">
        <v>4436.6099999999997</v>
      </c>
      <c r="M4075">
        <f>VLOOKUP(K4075,RatingLookup!$A$2:$C$8,2,FALSE)</f>
        <v>5.0000000000000001E-3</v>
      </c>
      <c r="N4075">
        <f t="shared" si="189"/>
        <v>4.1762458919303302E-4</v>
      </c>
      <c r="O4075">
        <f>VLOOKUP(K4075,RatingLookup!$A$2:$C$8,3,FALSE)</f>
        <v>0.45</v>
      </c>
      <c r="P4075">
        <f t="shared" si="190"/>
        <v>0.83377684289686593</v>
      </c>
      <c r="Q4075" t="str">
        <f t="shared" ca="1" si="191"/>
        <v>No</v>
      </c>
    </row>
    <row r="4076" spans="1:17" x14ac:dyDescent="0.45">
      <c r="A4076" t="s">
        <v>170</v>
      </c>
      <c r="B4076" t="s">
        <v>171</v>
      </c>
      <c r="C4076" t="s">
        <v>29</v>
      </c>
      <c r="D4076" t="s">
        <v>20</v>
      </c>
      <c r="E4076" t="s">
        <v>21</v>
      </c>
      <c r="F4076" s="1">
        <v>45474</v>
      </c>
      <c r="G4076">
        <v>6.35</v>
      </c>
      <c r="H4076">
        <v>84.256399999999999</v>
      </c>
      <c r="I4076">
        <v>21.33</v>
      </c>
      <c r="J4076">
        <v>73.66</v>
      </c>
      <c r="K4076" t="s">
        <v>22</v>
      </c>
      <c r="L4076">
        <v>4082.14</v>
      </c>
      <c r="M4076">
        <f>VLOOKUP(K4076,RatingLookup!$A$2:$C$8,2,FALSE)</f>
        <v>5.0000000000000001E-3</v>
      </c>
      <c r="N4076">
        <f t="shared" si="189"/>
        <v>4.1762458919303302E-4</v>
      </c>
      <c r="O4076">
        <f>VLOOKUP(K4076,RatingLookup!$A$2:$C$8,3,FALSE)</f>
        <v>0.45</v>
      </c>
      <c r="P4076">
        <f t="shared" si="190"/>
        <v>0.76716091823780153</v>
      </c>
      <c r="Q4076" t="str">
        <f t="shared" ca="1" si="191"/>
        <v>No</v>
      </c>
    </row>
    <row r="4077" spans="1:17" x14ac:dyDescent="0.45">
      <c r="A4077" t="s">
        <v>170</v>
      </c>
      <c r="B4077" t="s">
        <v>171</v>
      </c>
      <c r="C4077" t="s">
        <v>29</v>
      </c>
      <c r="D4077" t="s">
        <v>20</v>
      </c>
      <c r="E4077" t="s">
        <v>21</v>
      </c>
      <c r="F4077" s="1">
        <v>45505</v>
      </c>
      <c r="G4077">
        <v>5.98</v>
      </c>
      <c r="H4077">
        <v>85.301699999999997</v>
      </c>
      <c r="I4077">
        <v>13.9</v>
      </c>
      <c r="J4077">
        <v>75.89</v>
      </c>
      <c r="K4077" t="s">
        <v>22</v>
      </c>
      <c r="L4077">
        <v>4190.0200000000004</v>
      </c>
      <c r="M4077">
        <f>VLOOKUP(K4077,RatingLookup!$A$2:$C$8,2,FALSE)</f>
        <v>5.0000000000000001E-3</v>
      </c>
      <c r="N4077">
        <f t="shared" si="189"/>
        <v>4.1762458919303302E-4</v>
      </c>
      <c r="O4077">
        <f>VLOOKUP(K4077,RatingLookup!$A$2:$C$8,3,FALSE)</f>
        <v>0.45</v>
      </c>
      <c r="P4077">
        <f t="shared" si="190"/>
        <v>0.78743492154476658</v>
      </c>
      <c r="Q4077" t="str">
        <f t="shared" ca="1" si="191"/>
        <v>No</v>
      </c>
    </row>
    <row r="4078" spans="1:17" x14ac:dyDescent="0.45">
      <c r="A4078" t="s">
        <v>170</v>
      </c>
      <c r="B4078" t="s">
        <v>171</v>
      </c>
      <c r="C4078" t="s">
        <v>29</v>
      </c>
      <c r="D4078" t="s">
        <v>20</v>
      </c>
      <c r="E4078" t="s">
        <v>21</v>
      </c>
      <c r="F4078" s="1">
        <v>45536</v>
      </c>
      <c r="G4078">
        <v>5.22</v>
      </c>
      <c r="H4078">
        <v>83.443200000000004</v>
      </c>
      <c r="I4078">
        <v>20.51</v>
      </c>
      <c r="J4078">
        <v>95.06</v>
      </c>
      <c r="K4078" t="s">
        <v>22</v>
      </c>
      <c r="L4078">
        <v>4390.6499999999996</v>
      </c>
      <c r="M4078">
        <f>VLOOKUP(K4078,RatingLookup!$A$2:$C$8,2,FALSE)</f>
        <v>5.0000000000000001E-3</v>
      </c>
      <c r="N4078">
        <f t="shared" si="189"/>
        <v>4.1762458919303302E-4</v>
      </c>
      <c r="O4078">
        <f>VLOOKUP(K4078,RatingLookup!$A$2:$C$8,3,FALSE)</f>
        <v>0.45</v>
      </c>
      <c r="P4078">
        <f t="shared" si="190"/>
        <v>0.82513953114317562</v>
      </c>
      <c r="Q4078" t="str">
        <f t="shared" ca="1" si="191"/>
        <v>No</v>
      </c>
    </row>
    <row r="4079" spans="1:17" x14ac:dyDescent="0.45">
      <c r="A4079" t="s">
        <v>170</v>
      </c>
      <c r="B4079" t="s">
        <v>171</v>
      </c>
      <c r="C4079" t="s">
        <v>29</v>
      </c>
      <c r="D4079" t="s">
        <v>20</v>
      </c>
      <c r="E4079" t="s">
        <v>21</v>
      </c>
      <c r="F4079" s="1">
        <v>45566</v>
      </c>
      <c r="G4079">
        <v>5.83</v>
      </c>
      <c r="H4079">
        <v>83.448800000000006</v>
      </c>
      <c r="I4079">
        <v>17.899999999999999</v>
      </c>
      <c r="J4079">
        <v>72.78</v>
      </c>
      <c r="K4079" t="s">
        <v>22</v>
      </c>
      <c r="L4079">
        <v>4713.75</v>
      </c>
      <c r="M4079">
        <f>VLOOKUP(K4079,RatingLookup!$A$2:$C$8,2,FALSE)</f>
        <v>5.0000000000000001E-3</v>
      </c>
      <c r="N4079">
        <f t="shared" si="189"/>
        <v>4.1762458919303302E-4</v>
      </c>
      <c r="O4079">
        <f>VLOOKUP(K4079,RatingLookup!$A$2:$C$8,3,FALSE)</f>
        <v>0.45</v>
      </c>
      <c r="P4079">
        <f t="shared" si="190"/>
        <v>0.88586005828889669</v>
      </c>
      <c r="Q4079" t="str">
        <f t="shared" ca="1" si="191"/>
        <v>No</v>
      </c>
    </row>
    <row r="4080" spans="1:17" x14ac:dyDescent="0.45">
      <c r="A4080" t="s">
        <v>170</v>
      </c>
      <c r="B4080" t="s">
        <v>171</v>
      </c>
      <c r="C4080" t="s">
        <v>29</v>
      </c>
      <c r="D4080" t="s">
        <v>20</v>
      </c>
      <c r="E4080" t="s">
        <v>21</v>
      </c>
      <c r="F4080" s="1">
        <v>45597</v>
      </c>
      <c r="G4080">
        <v>4.87</v>
      </c>
      <c r="H4080">
        <v>81.204400000000007</v>
      </c>
      <c r="I4080">
        <v>8.59</v>
      </c>
      <c r="J4080">
        <v>75.709999999999994</v>
      </c>
      <c r="K4080" t="s">
        <v>22</v>
      </c>
      <c r="L4080">
        <v>4404.34</v>
      </c>
      <c r="M4080">
        <f>VLOOKUP(K4080,RatingLookup!$A$2:$C$8,2,FALSE)</f>
        <v>5.0000000000000001E-3</v>
      </c>
      <c r="N4080">
        <f t="shared" si="189"/>
        <v>4.1762458919303302E-4</v>
      </c>
      <c r="O4080">
        <f>VLOOKUP(K4080,RatingLookup!$A$2:$C$8,3,FALSE)</f>
        <v>0.45</v>
      </c>
      <c r="P4080">
        <f t="shared" si="190"/>
        <v>0.82771230742489943</v>
      </c>
      <c r="Q4080" t="str">
        <f t="shared" ca="1" si="191"/>
        <v>No</v>
      </c>
    </row>
    <row r="4081" spans="1:17" x14ac:dyDescent="0.45">
      <c r="A4081" t="s">
        <v>170</v>
      </c>
      <c r="B4081" t="s">
        <v>171</v>
      </c>
      <c r="C4081" t="s">
        <v>29</v>
      </c>
      <c r="D4081" t="s">
        <v>20</v>
      </c>
      <c r="E4081" t="s">
        <v>21</v>
      </c>
      <c r="F4081" s="1">
        <v>45627</v>
      </c>
      <c r="G4081">
        <v>4.6900000000000004</v>
      </c>
      <c r="H4081">
        <v>81.365200000000002</v>
      </c>
      <c r="I4081">
        <v>14.04</v>
      </c>
      <c r="J4081">
        <v>82.56</v>
      </c>
      <c r="K4081" t="s">
        <v>22</v>
      </c>
      <c r="L4081">
        <v>4345.03</v>
      </c>
      <c r="M4081">
        <f>VLOOKUP(K4081,RatingLookup!$A$2:$C$8,2,FALSE)</f>
        <v>5.0000000000000001E-3</v>
      </c>
      <c r="N4081">
        <f t="shared" si="189"/>
        <v>4.1762458919303302E-4</v>
      </c>
      <c r="O4081">
        <f>VLOOKUP(K4081,RatingLookup!$A$2:$C$8,3,FALSE)</f>
        <v>0.45</v>
      </c>
      <c r="P4081">
        <f t="shared" si="190"/>
        <v>0.81656611595163187</v>
      </c>
      <c r="Q4081" t="str">
        <f t="shared" ca="1" si="191"/>
        <v>No</v>
      </c>
    </row>
    <row r="4082" spans="1:17" x14ac:dyDescent="0.45">
      <c r="A4082" t="s">
        <v>172</v>
      </c>
      <c r="B4082" t="s">
        <v>173</v>
      </c>
      <c r="C4082" t="s">
        <v>19</v>
      </c>
      <c r="D4082" t="s">
        <v>20</v>
      </c>
      <c r="E4082" t="s">
        <v>21</v>
      </c>
      <c r="F4082" s="1">
        <v>43831</v>
      </c>
      <c r="G4082">
        <v>6.05</v>
      </c>
      <c r="H4082">
        <v>79.136200000000002</v>
      </c>
      <c r="I4082">
        <v>17.03</v>
      </c>
      <c r="J4082">
        <v>65.47</v>
      </c>
      <c r="K4082" t="s">
        <v>22</v>
      </c>
      <c r="L4082">
        <v>599.15</v>
      </c>
      <c r="M4082">
        <f>VLOOKUP(K4082,RatingLookup!$A$2:$C$8,2,FALSE)</f>
        <v>5.0000000000000001E-3</v>
      </c>
      <c r="N4082">
        <f t="shared" si="189"/>
        <v>4.1762458919303302E-4</v>
      </c>
      <c r="O4082">
        <f>VLOOKUP(K4082,RatingLookup!$A$2:$C$8,3,FALSE)</f>
        <v>0.45</v>
      </c>
      <c r="P4082">
        <f t="shared" si="190"/>
        <v>0.11259889767675257</v>
      </c>
      <c r="Q4082" t="str">
        <f t="shared" ca="1" si="191"/>
        <v>No</v>
      </c>
    </row>
    <row r="4083" spans="1:17" x14ac:dyDescent="0.45">
      <c r="A4083" t="s">
        <v>172</v>
      </c>
      <c r="B4083" t="s">
        <v>173</v>
      </c>
      <c r="C4083" t="s">
        <v>19</v>
      </c>
      <c r="D4083" t="s">
        <v>20</v>
      </c>
      <c r="E4083" t="s">
        <v>21</v>
      </c>
      <c r="F4083" s="1">
        <v>43862</v>
      </c>
      <c r="G4083">
        <v>5.46</v>
      </c>
      <c r="H4083">
        <v>77.619100000000003</v>
      </c>
      <c r="I4083">
        <v>17.66</v>
      </c>
      <c r="J4083">
        <v>77.08</v>
      </c>
      <c r="K4083" t="s">
        <v>22</v>
      </c>
      <c r="L4083">
        <v>569.29</v>
      </c>
      <c r="M4083">
        <f>VLOOKUP(K4083,RatingLookup!$A$2:$C$8,2,FALSE)</f>
        <v>5.0000000000000001E-3</v>
      </c>
      <c r="N4083">
        <f t="shared" si="189"/>
        <v>4.1762458919303302E-4</v>
      </c>
      <c r="O4083">
        <f>VLOOKUP(K4083,RatingLookup!$A$2:$C$8,3,FALSE)</f>
        <v>0.45</v>
      </c>
      <c r="P4083">
        <f t="shared" si="190"/>
        <v>0.10698727607176579</v>
      </c>
      <c r="Q4083" t="str">
        <f t="shared" ca="1" si="191"/>
        <v>No</v>
      </c>
    </row>
    <row r="4084" spans="1:17" x14ac:dyDescent="0.45">
      <c r="A4084" t="s">
        <v>172</v>
      </c>
      <c r="B4084" t="s">
        <v>173</v>
      </c>
      <c r="C4084" t="s">
        <v>19</v>
      </c>
      <c r="D4084" t="s">
        <v>20</v>
      </c>
      <c r="E4084" t="s">
        <v>21</v>
      </c>
      <c r="F4084" s="1">
        <v>43891</v>
      </c>
      <c r="G4084">
        <v>5.79</v>
      </c>
      <c r="H4084">
        <v>83.518900000000002</v>
      </c>
      <c r="I4084">
        <v>32.630000000000003</v>
      </c>
      <c r="J4084">
        <v>73.53</v>
      </c>
      <c r="K4084" t="s">
        <v>22</v>
      </c>
      <c r="L4084">
        <v>592.79</v>
      </c>
      <c r="M4084">
        <f>VLOOKUP(K4084,RatingLookup!$A$2:$C$8,2,FALSE)</f>
        <v>5.0000000000000001E-3</v>
      </c>
      <c r="N4084">
        <f t="shared" si="189"/>
        <v>4.1762458919303302E-4</v>
      </c>
      <c r="O4084">
        <f>VLOOKUP(K4084,RatingLookup!$A$2:$C$8,3,FALSE)</f>
        <v>0.45</v>
      </c>
      <c r="P4084">
        <f t="shared" si="190"/>
        <v>0.11140365610248211</v>
      </c>
      <c r="Q4084" t="str">
        <f t="shared" ca="1" si="191"/>
        <v>No</v>
      </c>
    </row>
    <row r="4085" spans="1:17" x14ac:dyDescent="0.45">
      <c r="A4085" t="s">
        <v>172</v>
      </c>
      <c r="B4085" t="s">
        <v>173</v>
      </c>
      <c r="C4085" t="s">
        <v>19</v>
      </c>
      <c r="D4085" t="s">
        <v>20</v>
      </c>
      <c r="E4085" t="s">
        <v>21</v>
      </c>
      <c r="F4085" s="1">
        <v>43922</v>
      </c>
      <c r="G4085">
        <v>5.35</v>
      </c>
      <c r="H4085">
        <v>82.065600000000003</v>
      </c>
      <c r="I4085">
        <v>30.68</v>
      </c>
      <c r="J4085">
        <v>74.7</v>
      </c>
      <c r="K4085" t="s">
        <v>22</v>
      </c>
      <c r="L4085">
        <v>703.31</v>
      </c>
      <c r="M4085">
        <f>VLOOKUP(K4085,RatingLookup!$A$2:$C$8,2,FALSE)</f>
        <v>5.0000000000000001E-3</v>
      </c>
      <c r="N4085">
        <f t="shared" si="189"/>
        <v>4.1762458919303302E-4</v>
      </c>
      <c r="O4085">
        <f>VLOOKUP(K4085,RatingLookup!$A$2:$C$8,3,FALSE)</f>
        <v>0.45</v>
      </c>
      <c r="P4085">
        <f t="shared" si="190"/>
        <v>0.13217379742140842</v>
      </c>
      <c r="Q4085" t="str">
        <f t="shared" ca="1" si="191"/>
        <v>No</v>
      </c>
    </row>
    <row r="4086" spans="1:17" x14ac:dyDescent="0.45">
      <c r="A4086" t="s">
        <v>172</v>
      </c>
      <c r="B4086" t="s">
        <v>173</v>
      </c>
      <c r="C4086" t="s">
        <v>19</v>
      </c>
      <c r="D4086" t="s">
        <v>20</v>
      </c>
      <c r="E4086" t="s">
        <v>21</v>
      </c>
      <c r="F4086" s="1">
        <v>43952</v>
      </c>
      <c r="G4086">
        <v>5.81</v>
      </c>
      <c r="H4086">
        <v>82.397300000000001</v>
      </c>
      <c r="I4086">
        <v>22.6</v>
      </c>
      <c r="J4086">
        <v>69.599999999999994</v>
      </c>
      <c r="K4086" t="s">
        <v>22</v>
      </c>
      <c r="L4086">
        <v>655.26</v>
      </c>
      <c r="M4086">
        <f>VLOOKUP(K4086,RatingLookup!$A$2:$C$8,2,FALSE)</f>
        <v>5.0000000000000001E-3</v>
      </c>
      <c r="N4086">
        <f t="shared" si="189"/>
        <v>4.1762458919303302E-4</v>
      </c>
      <c r="O4086">
        <f>VLOOKUP(K4086,RatingLookup!$A$2:$C$8,3,FALSE)</f>
        <v>0.45</v>
      </c>
      <c r="P4086">
        <f t="shared" si="190"/>
        <v>0.12314370974158206</v>
      </c>
      <c r="Q4086" t="str">
        <f t="shared" ca="1" si="191"/>
        <v>No</v>
      </c>
    </row>
    <row r="4087" spans="1:17" x14ac:dyDescent="0.45">
      <c r="A4087" t="s">
        <v>172</v>
      </c>
      <c r="B4087" t="s">
        <v>173</v>
      </c>
      <c r="C4087" t="s">
        <v>19</v>
      </c>
      <c r="D4087" t="s">
        <v>20</v>
      </c>
      <c r="E4087" t="s">
        <v>21</v>
      </c>
      <c r="F4087" s="1">
        <v>43983</v>
      </c>
      <c r="G4087">
        <v>5.1100000000000003</v>
      </c>
      <c r="H4087">
        <v>81.311499999999995</v>
      </c>
      <c r="I4087">
        <v>10.37</v>
      </c>
      <c r="J4087">
        <v>77.91</v>
      </c>
      <c r="K4087" t="s">
        <v>22</v>
      </c>
      <c r="L4087">
        <v>598.28</v>
      </c>
      <c r="M4087">
        <f>VLOOKUP(K4087,RatingLookup!$A$2:$C$8,2,FALSE)</f>
        <v>5.0000000000000001E-3</v>
      </c>
      <c r="N4087">
        <f t="shared" si="189"/>
        <v>4.1762458919303302E-4</v>
      </c>
      <c r="O4087">
        <f>VLOOKUP(K4087,RatingLookup!$A$2:$C$8,3,FALSE)</f>
        <v>0.45</v>
      </c>
      <c r="P4087">
        <f t="shared" si="190"/>
        <v>0.11243539765008351</v>
      </c>
      <c r="Q4087" t="str">
        <f t="shared" ca="1" si="191"/>
        <v>No</v>
      </c>
    </row>
    <row r="4088" spans="1:17" x14ac:dyDescent="0.45">
      <c r="A4088" t="s">
        <v>172</v>
      </c>
      <c r="B4088" t="s">
        <v>173</v>
      </c>
      <c r="C4088" t="s">
        <v>19</v>
      </c>
      <c r="D4088" t="s">
        <v>20</v>
      </c>
      <c r="E4088" t="s">
        <v>21</v>
      </c>
      <c r="F4088" s="1">
        <v>44013</v>
      </c>
      <c r="G4088">
        <v>5.59</v>
      </c>
      <c r="H4088">
        <v>85.233800000000002</v>
      </c>
      <c r="I4088">
        <v>25.17</v>
      </c>
      <c r="J4088">
        <v>80.42</v>
      </c>
      <c r="K4088" t="s">
        <v>22</v>
      </c>
      <c r="L4088">
        <v>579.25</v>
      </c>
      <c r="M4088">
        <f>VLOOKUP(K4088,RatingLookup!$A$2:$C$8,2,FALSE)</f>
        <v>5.0000000000000001E-3</v>
      </c>
      <c r="N4088">
        <f t="shared" si="189"/>
        <v>4.1762458919303302E-4</v>
      </c>
      <c r="O4088">
        <f>VLOOKUP(K4088,RatingLookup!$A$2:$C$8,3,FALSE)</f>
        <v>0.45</v>
      </c>
      <c r="P4088">
        <f t="shared" si="190"/>
        <v>0.10885906948052897</v>
      </c>
      <c r="Q4088" t="str">
        <f t="shared" ca="1" si="191"/>
        <v>No</v>
      </c>
    </row>
    <row r="4089" spans="1:17" x14ac:dyDescent="0.45">
      <c r="A4089" t="s">
        <v>172</v>
      </c>
      <c r="B4089" t="s">
        <v>173</v>
      </c>
      <c r="C4089" t="s">
        <v>19</v>
      </c>
      <c r="D4089" t="s">
        <v>20</v>
      </c>
      <c r="E4089" t="s">
        <v>21</v>
      </c>
      <c r="F4089" s="1">
        <v>44044</v>
      </c>
      <c r="G4089">
        <v>5.3</v>
      </c>
      <c r="H4089">
        <v>81.530699999999996</v>
      </c>
      <c r="I4089">
        <v>15.44</v>
      </c>
      <c r="J4089">
        <v>64.680000000000007</v>
      </c>
      <c r="K4089" t="s">
        <v>22</v>
      </c>
      <c r="L4089">
        <v>570.02</v>
      </c>
      <c r="M4089">
        <f>VLOOKUP(K4089,RatingLookup!$A$2:$C$8,2,FALSE)</f>
        <v>5.0000000000000001E-3</v>
      </c>
      <c r="N4089">
        <f t="shared" si="189"/>
        <v>4.1762458919303302E-4</v>
      </c>
      <c r="O4089">
        <f>VLOOKUP(K4089,RatingLookup!$A$2:$C$8,3,FALSE)</f>
        <v>0.45</v>
      </c>
      <c r="P4089">
        <f t="shared" si="190"/>
        <v>0.10712446574931571</v>
      </c>
      <c r="Q4089" t="str">
        <f t="shared" ca="1" si="191"/>
        <v>No</v>
      </c>
    </row>
    <row r="4090" spans="1:17" x14ac:dyDescent="0.45">
      <c r="A4090" t="s">
        <v>172</v>
      </c>
      <c r="B4090" t="s">
        <v>173</v>
      </c>
      <c r="C4090" t="s">
        <v>19</v>
      </c>
      <c r="D4090" t="s">
        <v>20</v>
      </c>
      <c r="E4090" t="s">
        <v>21</v>
      </c>
      <c r="F4090" s="1">
        <v>44075</v>
      </c>
      <c r="G4090">
        <v>5.52</v>
      </c>
      <c r="H4090">
        <v>79.560299999999998</v>
      </c>
      <c r="I4090">
        <v>16.420000000000002</v>
      </c>
      <c r="J4090">
        <v>71.48</v>
      </c>
      <c r="K4090" t="s">
        <v>30</v>
      </c>
      <c r="L4090">
        <v>590.76</v>
      </c>
      <c r="M4090">
        <f>VLOOKUP(K4090,RatingLookup!$A$2:$C$8,2,FALSE)</f>
        <v>1.4999999999999999E-2</v>
      </c>
      <c r="N4090">
        <f t="shared" si="189"/>
        <v>1.2586770182638762E-3</v>
      </c>
      <c r="O4090">
        <f>VLOOKUP(K4090,RatingLookup!$A$2:$C$8,3,FALSE)</f>
        <v>0.5</v>
      </c>
      <c r="P4090">
        <f t="shared" si="190"/>
        <v>0.37178801765478375</v>
      </c>
      <c r="Q4090" t="str">
        <f t="shared" ca="1" si="191"/>
        <v>No</v>
      </c>
    </row>
    <row r="4091" spans="1:17" x14ac:dyDescent="0.45">
      <c r="A4091" t="s">
        <v>172</v>
      </c>
      <c r="B4091" t="s">
        <v>173</v>
      </c>
      <c r="C4091" t="s">
        <v>19</v>
      </c>
      <c r="D4091" t="s">
        <v>20</v>
      </c>
      <c r="E4091" t="s">
        <v>21</v>
      </c>
      <c r="F4091" s="1">
        <v>44105</v>
      </c>
      <c r="G4091">
        <v>6.88</v>
      </c>
      <c r="H4091">
        <v>81.664100000000005</v>
      </c>
      <c r="I4091">
        <v>13.95</v>
      </c>
      <c r="J4091">
        <v>65.53</v>
      </c>
      <c r="K4091" t="s">
        <v>30</v>
      </c>
      <c r="L4091">
        <v>590.03</v>
      </c>
      <c r="M4091">
        <f>VLOOKUP(K4091,RatingLookup!$A$2:$C$8,2,FALSE)</f>
        <v>1.4999999999999999E-2</v>
      </c>
      <c r="N4091">
        <f t="shared" si="189"/>
        <v>1.2586770182638762E-3</v>
      </c>
      <c r="O4091">
        <f>VLOOKUP(K4091,RatingLookup!$A$2:$C$8,3,FALSE)</f>
        <v>0.5</v>
      </c>
      <c r="P4091">
        <f t="shared" si="190"/>
        <v>0.37132860054311745</v>
      </c>
      <c r="Q4091" t="str">
        <f t="shared" ca="1" si="191"/>
        <v>No</v>
      </c>
    </row>
    <row r="4092" spans="1:17" x14ac:dyDescent="0.45">
      <c r="A4092" t="s">
        <v>172</v>
      </c>
      <c r="B4092" t="s">
        <v>173</v>
      </c>
      <c r="C4092" t="s">
        <v>19</v>
      </c>
      <c r="D4092" t="s">
        <v>20</v>
      </c>
      <c r="E4092" t="s">
        <v>21</v>
      </c>
      <c r="F4092" s="1">
        <v>44136</v>
      </c>
      <c r="G4092">
        <v>6.3</v>
      </c>
      <c r="H4092">
        <v>74.302899999999994</v>
      </c>
      <c r="I4092">
        <v>24.33</v>
      </c>
      <c r="J4092">
        <v>87.48</v>
      </c>
      <c r="K4092" t="s">
        <v>30</v>
      </c>
      <c r="L4092">
        <v>535.08000000000004</v>
      </c>
      <c r="M4092">
        <f>VLOOKUP(K4092,RatingLookup!$A$2:$C$8,2,FALSE)</f>
        <v>1.4999999999999999E-2</v>
      </c>
      <c r="N4092">
        <f t="shared" si="189"/>
        <v>1.2586770182638762E-3</v>
      </c>
      <c r="O4092">
        <f>VLOOKUP(K4092,RatingLookup!$A$2:$C$8,3,FALSE)</f>
        <v>0.5</v>
      </c>
      <c r="P4092">
        <f t="shared" si="190"/>
        <v>0.33674644946631749</v>
      </c>
      <c r="Q4092" t="str">
        <f t="shared" ca="1" si="191"/>
        <v>No</v>
      </c>
    </row>
    <row r="4093" spans="1:17" x14ac:dyDescent="0.45">
      <c r="A4093" t="s">
        <v>172</v>
      </c>
      <c r="B4093" t="s">
        <v>173</v>
      </c>
      <c r="C4093" t="s">
        <v>19</v>
      </c>
      <c r="D4093" t="s">
        <v>20</v>
      </c>
      <c r="E4093" t="s">
        <v>21</v>
      </c>
      <c r="F4093" s="1">
        <v>44166</v>
      </c>
      <c r="G4093">
        <v>5.52</v>
      </c>
      <c r="H4093">
        <v>82.755899999999997</v>
      </c>
      <c r="I4093">
        <v>20.13</v>
      </c>
      <c r="J4093">
        <v>62.39</v>
      </c>
      <c r="K4093" t="s">
        <v>30</v>
      </c>
      <c r="L4093">
        <v>646.72</v>
      </c>
      <c r="M4093">
        <f>VLOOKUP(K4093,RatingLookup!$A$2:$C$8,2,FALSE)</f>
        <v>1.4999999999999999E-2</v>
      </c>
      <c r="N4093">
        <f t="shared" si="189"/>
        <v>1.2586770182638762E-3</v>
      </c>
      <c r="O4093">
        <f>VLOOKUP(K4093,RatingLookup!$A$2:$C$8,3,FALSE)</f>
        <v>0.5</v>
      </c>
      <c r="P4093">
        <f t="shared" si="190"/>
        <v>0.40700580062580705</v>
      </c>
      <c r="Q4093" t="str">
        <f t="shared" ca="1" si="191"/>
        <v>No</v>
      </c>
    </row>
    <row r="4094" spans="1:17" x14ac:dyDescent="0.45">
      <c r="A4094" t="s">
        <v>172</v>
      </c>
      <c r="B4094" t="s">
        <v>173</v>
      </c>
      <c r="C4094" t="s">
        <v>19</v>
      </c>
      <c r="D4094" t="s">
        <v>20</v>
      </c>
      <c r="E4094" t="s">
        <v>21</v>
      </c>
      <c r="F4094" s="1">
        <v>44197</v>
      </c>
      <c r="G4094">
        <v>4.93</v>
      </c>
      <c r="H4094">
        <v>79.596100000000007</v>
      </c>
      <c r="I4094">
        <v>20.18</v>
      </c>
      <c r="J4094">
        <v>85.19</v>
      </c>
      <c r="K4094" t="s">
        <v>30</v>
      </c>
      <c r="L4094">
        <v>636.34</v>
      </c>
      <c r="M4094">
        <f>VLOOKUP(K4094,RatingLookup!$A$2:$C$8,2,FALSE)</f>
        <v>1.4999999999999999E-2</v>
      </c>
      <c r="N4094">
        <f t="shared" si="189"/>
        <v>1.2586770182638762E-3</v>
      </c>
      <c r="O4094">
        <f>VLOOKUP(K4094,RatingLookup!$A$2:$C$8,3,FALSE)</f>
        <v>0.5</v>
      </c>
      <c r="P4094">
        <f t="shared" si="190"/>
        <v>0.40047326690101753</v>
      </c>
      <c r="Q4094" t="str">
        <f t="shared" ca="1" si="191"/>
        <v>No</v>
      </c>
    </row>
    <row r="4095" spans="1:17" x14ac:dyDescent="0.45">
      <c r="A4095" t="s">
        <v>172</v>
      </c>
      <c r="B4095" t="s">
        <v>173</v>
      </c>
      <c r="C4095" t="s">
        <v>19</v>
      </c>
      <c r="D4095" t="s">
        <v>20</v>
      </c>
      <c r="E4095" t="s">
        <v>21</v>
      </c>
      <c r="F4095" s="1">
        <v>44228</v>
      </c>
      <c r="G4095">
        <v>4.91</v>
      </c>
      <c r="H4095">
        <v>81.337800000000001</v>
      </c>
      <c r="I4095">
        <v>23.6</v>
      </c>
      <c r="J4095">
        <v>57.36</v>
      </c>
      <c r="K4095" t="s">
        <v>30</v>
      </c>
      <c r="L4095">
        <v>551.63</v>
      </c>
      <c r="M4095">
        <f>VLOOKUP(K4095,RatingLookup!$A$2:$C$8,2,FALSE)</f>
        <v>1.4999999999999999E-2</v>
      </c>
      <c r="N4095">
        <f t="shared" si="189"/>
        <v>1.2586770182638762E-3</v>
      </c>
      <c r="O4095">
        <f>VLOOKUP(K4095,RatingLookup!$A$2:$C$8,3,FALSE)</f>
        <v>0.5</v>
      </c>
      <c r="P4095">
        <f t="shared" si="190"/>
        <v>0.34716200179245105</v>
      </c>
      <c r="Q4095" t="str">
        <f t="shared" ca="1" si="191"/>
        <v>No</v>
      </c>
    </row>
    <row r="4096" spans="1:17" x14ac:dyDescent="0.45">
      <c r="A4096" t="s">
        <v>172</v>
      </c>
      <c r="B4096" t="s">
        <v>173</v>
      </c>
      <c r="C4096" t="s">
        <v>19</v>
      </c>
      <c r="D4096" t="s">
        <v>20</v>
      </c>
      <c r="E4096" t="s">
        <v>21</v>
      </c>
      <c r="F4096" s="1">
        <v>44256</v>
      </c>
      <c r="G4096">
        <v>5.54</v>
      </c>
      <c r="H4096">
        <v>85.820400000000006</v>
      </c>
      <c r="I4096">
        <v>19.350000000000001</v>
      </c>
      <c r="J4096">
        <v>59.96</v>
      </c>
      <c r="K4096" t="s">
        <v>22</v>
      </c>
      <c r="L4096">
        <v>594.76</v>
      </c>
      <c r="M4096">
        <f>VLOOKUP(K4096,RatingLookup!$A$2:$C$8,2,FALSE)</f>
        <v>5.0000000000000001E-3</v>
      </c>
      <c r="N4096">
        <f t="shared" si="189"/>
        <v>4.1762458919303302E-4</v>
      </c>
      <c r="O4096">
        <f>VLOOKUP(K4096,RatingLookup!$A$2:$C$8,3,FALSE)</f>
        <v>0.45</v>
      </c>
      <c r="P4096">
        <f t="shared" si="190"/>
        <v>0.11177388030080175</v>
      </c>
      <c r="Q4096" t="str">
        <f t="shared" ca="1" si="191"/>
        <v>No</v>
      </c>
    </row>
    <row r="4097" spans="1:17" x14ac:dyDescent="0.45">
      <c r="A4097" t="s">
        <v>172</v>
      </c>
      <c r="B4097" t="s">
        <v>173</v>
      </c>
      <c r="C4097" t="s">
        <v>19</v>
      </c>
      <c r="D4097" t="s">
        <v>20</v>
      </c>
      <c r="E4097" t="s">
        <v>21</v>
      </c>
      <c r="F4097" s="1">
        <v>44287</v>
      </c>
      <c r="G4097">
        <v>5.44</v>
      </c>
      <c r="H4097">
        <v>83.4803</v>
      </c>
      <c r="I4097">
        <v>15.38</v>
      </c>
      <c r="J4097">
        <v>90.3</v>
      </c>
      <c r="K4097" t="s">
        <v>22</v>
      </c>
      <c r="L4097">
        <v>625.34</v>
      </c>
      <c r="M4097">
        <f>VLOOKUP(K4097,RatingLookup!$A$2:$C$8,2,FALSE)</f>
        <v>5.0000000000000001E-3</v>
      </c>
      <c r="N4097">
        <f t="shared" si="189"/>
        <v>4.1762458919303302E-4</v>
      </c>
      <c r="O4097">
        <f>VLOOKUP(K4097,RatingLookup!$A$2:$C$8,3,FALSE)</f>
        <v>0.45</v>
      </c>
      <c r="P4097">
        <f t="shared" si="190"/>
        <v>0.11752081227268708</v>
      </c>
      <c r="Q4097" t="str">
        <f t="shared" ca="1" si="191"/>
        <v>No</v>
      </c>
    </row>
    <row r="4098" spans="1:17" x14ac:dyDescent="0.45">
      <c r="A4098" t="s">
        <v>172</v>
      </c>
      <c r="B4098" t="s">
        <v>173</v>
      </c>
      <c r="C4098" t="s">
        <v>19</v>
      </c>
      <c r="D4098" t="s">
        <v>20</v>
      </c>
      <c r="E4098" t="s">
        <v>21</v>
      </c>
      <c r="F4098" s="1">
        <v>44317</v>
      </c>
      <c r="G4098">
        <v>4.97</v>
      </c>
      <c r="H4098">
        <v>77.933199999999999</v>
      </c>
      <c r="I4098">
        <v>19.829999999999998</v>
      </c>
      <c r="J4098">
        <v>99.83</v>
      </c>
      <c r="K4098" t="s">
        <v>22</v>
      </c>
      <c r="L4098">
        <v>599</v>
      </c>
      <c r="M4098">
        <f>VLOOKUP(K4098,RatingLookup!$A$2:$C$8,2,FALSE)</f>
        <v>5.0000000000000001E-3</v>
      </c>
      <c r="N4098">
        <f t="shared" ref="N4098:N4161" si="192">1-(1-M4098)^(1/12)</f>
        <v>4.1762458919303302E-4</v>
      </c>
      <c r="O4098">
        <f>VLOOKUP(K4098,RatingLookup!$A$2:$C$8,3,FALSE)</f>
        <v>0.45</v>
      </c>
      <c r="P4098">
        <f t="shared" ref="P4098:P4161" si="193">L4098*N4098*O4098</f>
        <v>0.11257070801698206</v>
      </c>
      <c r="Q4098" t="str">
        <f t="shared" ref="Q4098:Q4161" ca="1" si="194">IF(RAND()&lt;N4098,"Yes","No")</f>
        <v>No</v>
      </c>
    </row>
    <row r="4099" spans="1:17" x14ac:dyDescent="0.45">
      <c r="A4099" t="s">
        <v>172</v>
      </c>
      <c r="B4099" t="s">
        <v>173</v>
      </c>
      <c r="C4099" t="s">
        <v>19</v>
      </c>
      <c r="D4099" t="s">
        <v>20</v>
      </c>
      <c r="E4099" t="s">
        <v>21</v>
      </c>
      <c r="F4099" s="1">
        <v>44348</v>
      </c>
      <c r="G4099">
        <v>5.33</v>
      </c>
      <c r="H4099">
        <v>81.67</v>
      </c>
      <c r="I4099">
        <v>24.24</v>
      </c>
      <c r="J4099">
        <v>72.72</v>
      </c>
      <c r="K4099" t="s">
        <v>22</v>
      </c>
      <c r="L4099">
        <v>584.26</v>
      </c>
      <c r="M4099">
        <f>VLOOKUP(K4099,RatingLookup!$A$2:$C$8,2,FALSE)</f>
        <v>5.0000000000000001E-3</v>
      </c>
      <c r="N4099">
        <f t="shared" si="192"/>
        <v>4.1762458919303302E-4</v>
      </c>
      <c r="O4099">
        <f>VLOOKUP(K4099,RatingLookup!$A$2:$C$8,3,FALSE)</f>
        <v>0.45</v>
      </c>
      <c r="P4099">
        <f t="shared" si="193"/>
        <v>0.10980060411686467</v>
      </c>
      <c r="Q4099" t="str">
        <f t="shared" ca="1" si="194"/>
        <v>No</v>
      </c>
    </row>
    <row r="4100" spans="1:17" x14ac:dyDescent="0.45">
      <c r="A4100" t="s">
        <v>172</v>
      </c>
      <c r="B4100" t="s">
        <v>173</v>
      </c>
      <c r="C4100" t="s">
        <v>19</v>
      </c>
      <c r="D4100" t="s">
        <v>20</v>
      </c>
      <c r="E4100" t="s">
        <v>21</v>
      </c>
      <c r="F4100" s="1">
        <v>44378</v>
      </c>
      <c r="G4100">
        <v>5.95</v>
      </c>
      <c r="H4100">
        <v>81.505600000000001</v>
      </c>
      <c r="I4100">
        <v>13.82</v>
      </c>
      <c r="J4100">
        <v>72.62</v>
      </c>
      <c r="K4100" t="s">
        <v>22</v>
      </c>
      <c r="L4100">
        <v>538.23</v>
      </c>
      <c r="M4100">
        <f>VLOOKUP(K4100,RatingLookup!$A$2:$C$8,2,FALSE)</f>
        <v>5.0000000000000001E-3</v>
      </c>
      <c r="N4100">
        <f t="shared" si="192"/>
        <v>4.1762458919303302E-4</v>
      </c>
      <c r="O4100">
        <f>VLOOKUP(K4100,RatingLookup!$A$2:$C$8,3,FALSE)</f>
        <v>0.45</v>
      </c>
      <c r="P4100">
        <f t="shared" si="193"/>
        <v>0.10115013718861478</v>
      </c>
      <c r="Q4100" t="str">
        <f t="shared" ca="1" si="194"/>
        <v>No</v>
      </c>
    </row>
    <row r="4101" spans="1:17" x14ac:dyDescent="0.45">
      <c r="A4101" t="s">
        <v>172</v>
      </c>
      <c r="B4101" t="s">
        <v>173</v>
      </c>
      <c r="C4101" t="s">
        <v>19</v>
      </c>
      <c r="D4101" t="s">
        <v>20</v>
      </c>
      <c r="E4101" t="s">
        <v>21</v>
      </c>
      <c r="F4101" s="1">
        <v>44409</v>
      </c>
      <c r="G4101">
        <v>4.87</v>
      </c>
      <c r="H4101">
        <v>80.0154</v>
      </c>
      <c r="I4101">
        <v>27.27</v>
      </c>
      <c r="J4101">
        <v>66.97</v>
      </c>
      <c r="K4101" t="s">
        <v>22</v>
      </c>
      <c r="L4101">
        <v>648.17999999999995</v>
      </c>
      <c r="M4101">
        <f>VLOOKUP(K4101,RatingLookup!$A$2:$C$8,2,FALSE)</f>
        <v>5.0000000000000001E-3</v>
      </c>
      <c r="N4101">
        <f t="shared" si="192"/>
        <v>4.1762458919303302E-4</v>
      </c>
      <c r="O4101">
        <f>VLOOKUP(K4101,RatingLookup!$A$2:$C$8,3,FALSE)</f>
        <v>0.45</v>
      </c>
      <c r="P4101">
        <f t="shared" si="193"/>
        <v>0.12181315780041305</v>
      </c>
      <c r="Q4101" t="str">
        <f t="shared" ca="1" si="194"/>
        <v>No</v>
      </c>
    </row>
    <row r="4102" spans="1:17" x14ac:dyDescent="0.45">
      <c r="A4102" t="s">
        <v>172</v>
      </c>
      <c r="B4102" t="s">
        <v>173</v>
      </c>
      <c r="C4102" t="s">
        <v>19</v>
      </c>
      <c r="D4102" t="s">
        <v>20</v>
      </c>
      <c r="E4102" t="s">
        <v>21</v>
      </c>
      <c r="F4102" s="1">
        <v>44440</v>
      </c>
      <c r="G4102">
        <v>5.56</v>
      </c>
      <c r="H4102">
        <v>83.134200000000007</v>
      </c>
      <c r="I4102">
        <v>12.67</v>
      </c>
      <c r="J4102">
        <v>67.72</v>
      </c>
      <c r="K4102" t="s">
        <v>22</v>
      </c>
      <c r="L4102">
        <v>598.09</v>
      </c>
      <c r="M4102">
        <f>VLOOKUP(K4102,RatingLookup!$A$2:$C$8,2,FALSE)</f>
        <v>5.0000000000000001E-3</v>
      </c>
      <c r="N4102">
        <f t="shared" si="192"/>
        <v>4.1762458919303302E-4</v>
      </c>
      <c r="O4102">
        <f>VLOOKUP(K4102,RatingLookup!$A$2:$C$8,3,FALSE)</f>
        <v>0.45</v>
      </c>
      <c r="P4102">
        <f t="shared" si="193"/>
        <v>0.1123996907477075</v>
      </c>
      <c r="Q4102" t="str">
        <f t="shared" ca="1" si="194"/>
        <v>No</v>
      </c>
    </row>
    <row r="4103" spans="1:17" x14ac:dyDescent="0.45">
      <c r="A4103" t="s">
        <v>172</v>
      </c>
      <c r="B4103" t="s">
        <v>173</v>
      </c>
      <c r="C4103" t="s">
        <v>19</v>
      </c>
      <c r="D4103" t="s">
        <v>20</v>
      </c>
      <c r="E4103" t="s">
        <v>21</v>
      </c>
      <c r="F4103" s="1">
        <v>44470</v>
      </c>
      <c r="G4103">
        <v>5.76</v>
      </c>
      <c r="H4103">
        <v>79.348500000000001</v>
      </c>
      <c r="I4103">
        <v>20.56</v>
      </c>
      <c r="J4103">
        <v>76.97</v>
      </c>
      <c r="K4103" t="s">
        <v>22</v>
      </c>
      <c r="L4103">
        <v>589.09</v>
      </c>
      <c r="M4103">
        <f>VLOOKUP(K4103,RatingLookup!$A$2:$C$8,2,FALSE)</f>
        <v>5.0000000000000001E-3</v>
      </c>
      <c r="N4103">
        <f t="shared" si="192"/>
        <v>4.1762458919303302E-4</v>
      </c>
      <c r="O4103">
        <f>VLOOKUP(K4103,RatingLookup!$A$2:$C$8,3,FALSE)</f>
        <v>0.45</v>
      </c>
      <c r="P4103">
        <f t="shared" si="193"/>
        <v>0.11070831116147573</v>
      </c>
      <c r="Q4103" t="str">
        <f t="shared" ca="1" si="194"/>
        <v>No</v>
      </c>
    </row>
    <row r="4104" spans="1:17" x14ac:dyDescent="0.45">
      <c r="A4104" t="s">
        <v>172</v>
      </c>
      <c r="B4104" t="s">
        <v>173</v>
      </c>
      <c r="C4104" t="s">
        <v>19</v>
      </c>
      <c r="D4104" t="s">
        <v>20</v>
      </c>
      <c r="E4104" t="s">
        <v>21</v>
      </c>
      <c r="F4104" s="1">
        <v>44501</v>
      </c>
      <c r="G4104">
        <v>6.7</v>
      </c>
      <c r="H4104">
        <v>83.520200000000003</v>
      </c>
      <c r="I4104">
        <v>27.01</v>
      </c>
      <c r="J4104">
        <v>43.56</v>
      </c>
      <c r="K4104" t="s">
        <v>22</v>
      </c>
      <c r="L4104">
        <v>638.44000000000005</v>
      </c>
      <c r="M4104">
        <f>VLOOKUP(K4104,RatingLookup!$A$2:$C$8,2,FALSE)</f>
        <v>5.0000000000000001E-3</v>
      </c>
      <c r="N4104">
        <f t="shared" si="192"/>
        <v>4.1762458919303302E-4</v>
      </c>
      <c r="O4104">
        <f>VLOOKUP(K4104,RatingLookup!$A$2:$C$8,3,FALSE)</f>
        <v>0.45</v>
      </c>
      <c r="P4104">
        <f t="shared" si="193"/>
        <v>0.11998270922598001</v>
      </c>
      <c r="Q4104" t="str">
        <f t="shared" ca="1" si="194"/>
        <v>No</v>
      </c>
    </row>
    <row r="4105" spans="1:17" x14ac:dyDescent="0.45">
      <c r="A4105" t="s">
        <v>172</v>
      </c>
      <c r="B4105" t="s">
        <v>173</v>
      </c>
      <c r="C4105" t="s">
        <v>19</v>
      </c>
      <c r="D4105" t="s">
        <v>20</v>
      </c>
      <c r="E4105" t="s">
        <v>21</v>
      </c>
      <c r="F4105" s="1">
        <v>44531</v>
      </c>
      <c r="G4105">
        <v>5.82</v>
      </c>
      <c r="H4105">
        <v>80.602400000000003</v>
      </c>
      <c r="I4105">
        <v>20.29</v>
      </c>
      <c r="J4105">
        <v>73.69</v>
      </c>
      <c r="K4105" t="s">
        <v>23</v>
      </c>
      <c r="L4105">
        <v>606.58000000000004</v>
      </c>
      <c r="M4105">
        <f>VLOOKUP(K4105,RatingLookup!$A$2:$C$8,2,FALSE)</f>
        <v>1E-3</v>
      </c>
      <c r="N4105">
        <f t="shared" si="192"/>
        <v>8.3371552197619714E-5</v>
      </c>
      <c r="O4105">
        <f>VLOOKUP(K4105,RatingLookup!$A$2:$C$8,3,FALSE)</f>
        <v>0.3</v>
      </c>
      <c r="P4105">
        <f t="shared" si="193"/>
        <v>1.517145483960965E-2</v>
      </c>
      <c r="Q4105" t="str">
        <f t="shared" ca="1" si="194"/>
        <v>No</v>
      </c>
    </row>
    <row r="4106" spans="1:17" x14ac:dyDescent="0.45">
      <c r="A4106" t="s">
        <v>172</v>
      </c>
      <c r="B4106" t="s">
        <v>173</v>
      </c>
      <c r="C4106" t="s">
        <v>19</v>
      </c>
      <c r="D4106" t="s">
        <v>20</v>
      </c>
      <c r="E4106" t="s">
        <v>21</v>
      </c>
      <c r="F4106" s="1">
        <v>44562</v>
      </c>
      <c r="G4106">
        <v>5.68</v>
      </c>
      <c r="H4106">
        <v>84.219399999999993</v>
      </c>
      <c r="I4106">
        <v>17.52</v>
      </c>
      <c r="J4106">
        <v>91.9</v>
      </c>
      <c r="K4106" t="s">
        <v>23</v>
      </c>
      <c r="L4106">
        <v>569.77</v>
      </c>
      <c r="M4106">
        <f>VLOOKUP(K4106,RatingLookup!$A$2:$C$8,2,FALSE)</f>
        <v>1E-3</v>
      </c>
      <c r="N4106">
        <f t="shared" si="192"/>
        <v>8.3371552197619714E-5</v>
      </c>
      <c r="O4106">
        <f>VLOOKUP(K4106,RatingLookup!$A$2:$C$8,3,FALSE)</f>
        <v>0.3</v>
      </c>
      <c r="P4106">
        <f t="shared" si="193"/>
        <v>1.4250782788691334E-2</v>
      </c>
      <c r="Q4106" t="str">
        <f t="shared" ca="1" si="194"/>
        <v>No</v>
      </c>
    </row>
    <row r="4107" spans="1:17" x14ac:dyDescent="0.45">
      <c r="A4107" t="s">
        <v>172</v>
      </c>
      <c r="B4107" t="s">
        <v>173</v>
      </c>
      <c r="C4107" t="s">
        <v>19</v>
      </c>
      <c r="D4107" t="s">
        <v>20</v>
      </c>
      <c r="E4107" t="s">
        <v>21</v>
      </c>
      <c r="F4107" s="1">
        <v>44593</v>
      </c>
      <c r="G4107">
        <v>4.5999999999999996</v>
      </c>
      <c r="H4107">
        <v>86.559399999999997</v>
      </c>
      <c r="I4107">
        <v>17.38</v>
      </c>
      <c r="J4107">
        <v>68.040000000000006</v>
      </c>
      <c r="K4107" t="s">
        <v>23</v>
      </c>
      <c r="L4107">
        <v>589.29</v>
      </c>
      <c r="M4107">
        <f>VLOOKUP(K4107,RatingLookup!$A$2:$C$8,2,FALSE)</f>
        <v>1E-3</v>
      </c>
      <c r="N4107">
        <f t="shared" si="192"/>
        <v>8.3371552197619714E-5</v>
      </c>
      <c r="O4107">
        <f>VLOOKUP(K4107,RatingLookup!$A$2:$C$8,3,FALSE)</f>
        <v>0.3</v>
      </c>
      <c r="P4107">
        <f t="shared" si="193"/>
        <v>1.4739006598360594E-2</v>
      </c>
      <c r="Q4107" t="str">
        <f t="shared" ca="1" si="194"/>
        <v>No</v>
      </c>
    </row>
    <row r="4108" spans="1:17" x14ac:dyDescent="0.45">
      <c r="A4108" t="s">
        <v>172</v>
      </c>
      <c r="B4108" t="s">
        <v>173</v>
      </c>
      <c r="C4108" t="s">
        <v>19</v>
      </c>
      <c r="D4108" t="s">
        <v>20</v>
      </c>
      <c r="E4108" t="s">
        <v>21</v>
      </c>
      <c r="F4108" s="1">
        <v>44621</v>
      </c>
      <c r="G4108">
        <v>6.66</v>
      </c>
      <c r="H4108">
        <v>76.6661</v>
      </c>
      <c r="I4108">
        <v>13.94</v>
      </c>
      <c r="J4108">
        <v>71.98</v>
      </c>
      <c r="K4108" t="s">
        <v>23</v>
      </c>
      <c r="L4108">
        <v>580.4</v>
      </c>
      <c r="M4108">
        <f>VLOOKUP(K4108,RatingLookup!$A$2:$C$8,2,FALSE)</f>
        <v>1E-3</v>
      </c>
      <c r="N4108">
        <f t="shared" si="192"/>
        <v>8.3371552197619714E-5</v>
      </c>
      <c r="O4108">
        <f>VLOOKUP(K4108,RatingLookup!$A$2:$C$8,3,FALSE)</f>
        <v>0.3</v>
      </c>
      <c r="P4108">
        <f t="shared" si="193"/>
        <v>1.4516654668649542E-2</v>
      </c>
      <c r="Q4108" t="str">
        <f t="shared" ca="1" si="194"/>
        <v>No</v>
      </c>
    </row>
    <row r="4109" spans="1:17" x14ac:dyDescent="0.45">
      <c r="A4109" t="s">
        <v>172</v>
      </c>
      <c r="B4109" t="s">
        <v>173</v>
      </c>
      <c r="C4109" t="s">
        <v>19</v>
      </c>
      <c r="D4109" t="s">
        <v>20</v>
      </c>
      <c r="E4109" t="s">
        <v>21</v>
      </c>
      <c r="F4109" s="1">
        <v>44652</v>
      </c>
      <c r="G4109">
        <v>5.9</v>
      </c>
      <c r="H4109">
        <v>86.489099999999993</v>
      </c>
      <c r="I4109">
        <v>25.96</v>
      </c>
      <c r="J4109">
        <v>79.3</v>
      </c>
      <c r="K4109" t="s">
        <v>23</v>
      </c>
      <c r="L4109">
        <v>610.33000000000004</v>
      </c>
      <c r="M4109">
        <f>VLOOKUP(K4109,RatingLookup!$A$2:$C$8,2,FALSE)</f>
        <v>1E-3</v>
      </c>
      <c r="N4109">
        <f t="shared" si="192"/>
        <v>8.3371552197619714E-5</v>
      </c>
      <c r="O4109">
        <f>VLOOKUP(K4109,RatingLookup!$A$2:$C$8,3,FALSE)</f>
        <v>0.3</v>
      </c>
      <c r="P4109">
        <f t="shared" si="193"/>
        <v>1.5265247835831972E-2</v>
      </c>
      <c r="Q4109" t="str">
        <f t="shared" ca="1" si="194"/>
        <v>No</v>
      </c>
    </row>
    <row r="4110" spans="1:17" x14ac:dyDescent="0.45">
      <c r="A4110" t="s">
        <v>172</v>
      </c>
      <c r="B4110" t="s">
        <v>173</v>
      </c>
      <c r="C4110" t="s">
        <v>19</v>
      </c>
      <c r="D4110" t="s">
        <v>20</v>
      </c>
      <c r="E4110" t="s">
        <v>21</v>
      </c>
      <c r="F4110" s="1">
        <v>44682</v>
      </c>
      <c r="G4110">
        <v>4.96</v>
      </c>
      <c r="H4110">
        <v>81.5214</v>
      </c>
      <c r="I4110">
        <v>28.46</v>
      </c>
      <c r="J4110">
        <v>90.16</v>
      </c>
      <c r="K4110" t="s">
        <v>48</v>
      </c>
      <c r="L4110">
        <v>666.99</v>
      </c>
      <c r="M4110">
        <f>VLOOKUP(K4110,RatingLookup!$A$2:$C$8,2,FALSE)</f>
        <v>5.0000000000000001E-4</v>
      </c>
      <c r="N4110">
        <f t="shared" si="192"/>
        <v>4.167621832917856E-5</v>
      </c>
      <c r="O4110">
        <f>VLOOKUP(K4110,RatingLookup!$A$2:$C$8,3,FALSE)</f>
        <v>0.25</v>
      </c>
      <c r="P4110">
        <f t="shared" si="193"/>
        <v>6.949405215844702E-3</v>
      </c>
      <c r="Q4110" t="str">
        <f t="shared" ca="1" si="194"/>
        <v>No</v>
      </c>
    </row>
    <row r="4111" spans="1:17" x14ac:dyDescent="0.45">
      <c r="A4111" t="s">
        <v>172</v>
      </c>
      <c r="B4111" t="s">
        <v>173</v>
      </c>
      <c r="C4111" t="s">
        <v>19</v>
      </c>
      <c r="D4111" t="s">
        <v>20</v>
      </c>
      <c r="E4111" t="s">
        <v>21</v>
      </c>
      <c r="F4111" s="1">
        <v>44713</v>
      </c>
      <c r="G4111">
        <v>5.28</v>
      </c>
      <c r="H4111">
        <v>80.637500000000003</v>
      </c>
      <c r="I4111">
        <v>11.87</v>
      </c>
      <c r="J4111">
        <v>65.489999999999995</v>
      </c>
      <c r="K4111" t="s">
        <v>48</v>
      </c>
      <c r="L4111">
        <v>596.88</v>
      </c>
      <c r="M4111">
        <f>VLOOKUP(K4111,RatingLookup!$A$2:$C$8,2,FALSE)</f>
        <v>5.0000000000000001E-4</v>
      </c>
      <c r="N4111">
        <f t="shared" si="192"/>
        <v>4.167621832917856E-5</v>
      </c>
      <c r="O4111">
        <f>VLOOKUP(K4111,RatingLookup!$A$2:$C$8,3,FALSE)</f>
        <v>0.25</v>
      </c>
      <c r="P4111">
        <f t="shared" si="193"/>
        <v>6.2189252990800248E-3</v>
      </c>
      <c r="Q4111" t="str">
        <f t="shared" ca="1" si="194"/>
        <v>No</v>
      </c>
    </row>
    <row r="4112" spans="1:17" x14ac:dyDescent="0.45">
      <c r="A4112" t="s">
        <v>172</v>
      </c>
      <c r="B4112" t="s">
        <v>173</v>
      </c>
      <c r="C4112" t="s">
        <v>19</v>
      </c>
      <c r="D4112" t="s">
        <v>20</v>
      </c>
      <c r="E4112" t="s">
        <v>21</v>
      </c>
      <c r="F4112" s="1">
        <v>44743</v>
      </c>
      <c r="G4112">
        <v>4.9000000000000004</v>
      </c>
      <c r="H4112">
        <v>83.880499999999998</v>
      </c>
      <c r="I4112">
        <v>20.97</v>
      </c>
      <c r="J4112">
        <v>72.290000000000006</v>
      </c>
      <c r="K4112" t="s">
        <v>48</v>
      </c>
      <c r="L4112">
        <v>602.53</v>
      </c>
      <c r="M4112">
        <f>VLOOKUP(K4112,RatingLookup!$A$2:$C$8,2,FALSE)</f>
        <v>5.0000000000000001E-4</v>
      </c>
      <c r="N4112">
        <f t="shared" si="192"/>
        <v>4.167621832917856E-5</v>
      </c>
      <c r="O4112">
        <f>VLOOKUP(K4112,RatingLookup!$A$2:$C$8,3,FALSE)</f>
        <v>0.25</v>
      </c>
      <c r="P4112">
        <f t="shared" si="193"/>
        <v>6.2777929574699895E-3</v>
      </c>
      <c r="Q4112" t="str">
        <f t="shared" ca="1" si="194"/>
        <v>No</v>
      </c>
    </row>
    <row r="4113" spans="1:17" x14ac:dyDescent="0.45">
      <c r="A4113" t="s">
        <v>172</v>
      </c>
      <c r="B4113" t="s">
        <v>173</v>
      </c>
      <c r="C4113" t="s">
        <v>19</v>
      </c>
      <c r="D4113" t="s">
        <v>20</v>
      </c>
      <c r="E4113" t="s">
        <v>21</v>
      </c>
      <c r="F4113" s="1">
        <v>44774</v>
      </c>
      <c r="G4113">
        <v>5.86</v>
      </c>
      <c r="H4113">
        <v>79.296999999999997</v>
      </c>
      <c r="I4113">
        <v>26.45</v>
      </c>
      <c r="J4113">
        <v>61.89</v>
      </c>
      <c r="K4113" t="s">
        <v>48</v>
      </c>
      <c r="L4113">
        <v>604.19000000000005</v>
      </c>
      <c r="M4113">
        <f>VLOOKUP(K4113,RatingLookup!$A$2:$C$8,2,FALSE)</f>
        <v>5.0000000000000001E-4</v>
      </c>
      <c r="N4113">
        <f t="shared" si="192"/>
        <v>4.167621832917856E-5</v>
      </c>
      <c r="O4113">
        <f>VLOOKUP(K4113,RatingLookup!$A$2:$C$8,3,FALSE)</f>
        <v>0.25</v>
      </c>
      <c r="P4113">
        <f t="shared" si="193"/>
        <v>6.2950885880765995E-3</v>
      </c>
      <c r="Q4113" t="str">
        <f t="shared" ca="1" si="194"/>
        <v>No</v>
      </c>
    </row>
    <row r="4114" spans="1:17" x14ac:dyDescent="0.45">
      <c r="A4114" t="s">
        <v>172</v>
      </c>
      <c r="B4114" t="s">
        <v>173</v>
      </c>
      <c r="C4114" t="s">
        <v>19</v>
      </c>
      <c r="D4114" t="s">
        <v>20</v>
      </c>
      <c r="E4114" t="s">
        <v>21</v>
      </c>
      <c r="F4114" s="1">
        <v>44805</v>
      </c>
      <c r="G4114">
        <v>5.23</v>
      </c>
      <c r="H4114">
        <v>82.849400000000003</v>
      </c>
      <c r="I4114">
        <v>13.6</v>
      </c>
      <c r="J4114">
        <v>73.66</v>
      </c>
      <c r="K4114" t="s">
        <v>48</v>
      </c>
      <c r="L4114">
        <v>574.63</v>
      </c>
      <c r="M4114">
        <f>VLOOKUP(K4114,RatingLookup!$A$2:$C$8,2,FALSE)</f>
        <v>5.0000000000000001E-4</v>
      </c>
      <c r="N4114">
        <f t="shared" si="192"/>
        <v>4.167621832917856E-5</v>
      </c>
      <c r="O4114">
        <f>VLOOKUP(K4114,RatingLookup!$A$2:$C$8,3,FALSE)</f>
        <v>0.25</v>
      </c>
      <c r="P4114">
        <f t="shared" si="193"/>
        <v>5.987101334623969E-3</v>
      </c>
      <c r="Q4114" t="str">
        <f t="shared" ca="1" si="194"/>
        <v>No</v>
      </c>
    </row>
    <row r="4115" spans="1:17" x14ac:dyDescent="0.45">
      <c r="A4115" t="s">
        <v>172</v>
      </c>
      <c r="B4115" t="s">
        <v>173</v>
      </c>
      <c r="C4115" t="s">
        <v>19</v>
      </c>
      <c r="D4115" t="s">
        <v>20</v>
      </c>
      <c r="E4115" t="s">
        <v>21</v>
      </c>
      <c r="F4115" s="1">
        <v>44835</v>
      </c>
      <c r="G4115">
        <v>4.9000000000000004</v>
      </c>
      <c r="H4115">
        <v>82.292599999999993</v>
      </c>
      <c r="I4115">
        <v>26.84</v>
      </c>
      <c r="J4115">
        <v>63.17</v>
      </c>
      <c r="K4115" t="s">
        <v>48</v>
      </c>
      <c r="L4115">
        <v>607.54999999999995</v>
      </c>
      <c r="M4115">
        <f>VLOOKUP(K4115,RatingLookup!$A$2:$C$8,2,FALSE)</f>
        <v>5.0000000000000001E-4</v>
      </c>
      <c r="N4115">
        <f t="shared" si="192"/>
        <v>4.167621832917856E-5</v>
      </c>
      <c r="O4115">
        <f>VLOOKUP(K4115,RatingLookup!$A$2:$C$8,3,FALSE)</f>
        <v>0.25</v>
      </c>
      <c r="P4115">
        <f t="shared" si="193"/>
        <v>6.3300966114731077E-3</v>
      </c>
      <c r="Q4115" t="str">
        <f t="shared" ca="1" si="194"/>
        <v>No</v>
      </c>
    </row>
    <row r="4116" spans="1:17" x14ac:dyDescent="0.45">
      <c r="A4116" t="s">
        <v>172</v>
      </c>
      <c r="B4116" t="s">
        <v>173</v>
      </c>
      <c r="C4116" t="s">
        <v>19</v>
      </c>
      <c r="D4116" t="s">
        <v>20</v>
      </c>
      <c r="E4116" t="s">
        <v>21</v>
      </c>
      <c r="F4116" s="1">
        <v>44866</v>
      </c>
      <c r="G4116">
        <v>5.0999999999999996</v>
      </c>
      <c r="H4116">
        <v>81.389899999999997</v>
      </c>
      <c r="I4116">
        <v>14.59</v>
      </c>
      <c r="J4116">
        <v>82.75</v>
      </c>
      <c r="K4116" t="s">
        <v>48</v>
      </c>
      <c r="L4116">
        <v>625.12</v>
      </c>
      <c r="M4116">
        <f>VLOOKUP(K4116,RatingLookup!$A$2:$C$8,2,FALSE)</f>
        <v>5.0000000000000001E-4</v>
      </c>
      <c r="N4116">
        <f t="shared" si="192"/>
        <v>4.167621832917856E-5</v>
      </c>
      <c r="O4116">
        <f>VLOOKUP(K4116,RatingLookup!$A$2:$C$8,3,FALSE)</f>
        <v>0.25</v>
      </c>
      <c r="P4116">
        <f t="shared" si="193"/>
        <v>6.5131594004840254E-3</v>
      </c>
      <c r="Q4116" t="str">
        <f t="shared" ca="1" si="194"/>
        <v>No</v>
      </c>
    </row>
    <row r="4117" spans="1:17" x14ac:dyDescent="0.45">
      <c r="A4117" t="s">
        <v>172</v>
      </c>
      <c r="B4117" t="s">
        <v>173</v>
      </c>
      <c r="C4117" t="s">
        <v>19</v>
      </c>
      <c r="D4117" t="s">
        <v>20</v>
      </c>
      <c r="E4117" t="s">
        <v>21</v>
      </c>
      <c r="F4117" s="1">
        <v>44896</v>
      </c>
      <c r="G4117">
        <v>4.78</v>
      </c>
      <c r="H4117">
        <v>78.430700000000002</v>
      </c>
      <c r="I4117">
        <v>21.1</v>
      </c>
      <c r="J4117">
        <v>67.13</v>
      </c>
      <c r="K4117" t="s">
        <v>48</v>
      </c>
      <c r="L4117">
        <v>598.65</v>
      </c>
      <c r="M4117">
        <f>VLOOKUP(K4117,RatingLookup!$A$2:$C$8,2,FALSE)</f>
        <v>5.0000000000000001E-4</v>
      </c>
      <c r="N4117">
        <f t="shared" si="192"/>
        <v>4.167621832917856E-5</v>
      </c>
      <c r="O4117">
        <f>VLOOKUP(K4117,RatingLookup!$A$2:$C$8,3,FALSE)</f>
        <v>0.25</v>
      </c>
      <c r="P4117">
        <f t="shared" si="193"/>
        <v>6.2373670256906863E-3</v>
      </c>
      <c r="Q4117" t="str">
        <f t="shared" ca="1" si="194"/>
        <v>No</v>
      </c>
    </row>
    <row r="4118" spans="1:17" x14ac:dyDescent="0.45">
      <c r="A4118" t="s">
        <v>172</v>
      </c>
      <c r="B4118" t="s">
        <v>173</v>
      </c>
      <c r="C4118" t="s">
        <v>19</v>
      </c>
      <c r="D4118" t="s">
        <v>20</v>
      </c>
      <c r="E4118" t="s">
        <v>21</v>
      </c>
      <c r="F4118" s="1">
        <v>44927</v>
      </c>
      <c r="G4118">
        <v>6.25</v>
      </c>
      <c r="H4118">
        <v>86.254400000000004</v>
      </c>
      <c r="I4118">
        <v>22.87</v>
      </c>
      <c r="J4118">
        <v>87.96</v>
      </c>
      <c r="K4118" t="s">
        <v>23</v>
      </c>
      <c r="L4118">
        <v>621.77</v>
      </c>
      <c r="M4118">
        <f>VLOOKUP(K4118,RatingLookup!$A$2:$C$8,2,FALSE)</f>
        <v>1E-3</v>
      </c>
      <c r="N4118">
        <f t="shared" si="192"/>
        <v>8.3371552197619714E-5</v>
      </c>
      <c r="O4118">
        <f>VLOOKUP(K4118,RatingLookup!$A$2:$C$8,3,FALSE)</f>
        <v>0.3</v>
      </c>
      <c r="P4118">
        <f t="shared" si="193"/>
        <v>1.5551379002974203E-2</v>
      </c>
      <c r="Q4118" t="str">
        <f t="shared" ca="1" si="194"/>
        <v>No</v>
      </c>
    </row>
    <row r="4119" spans="1:17" x14ac:dyDescent="0.45">
      <c r="A4119" t="s">
        <v>172</v>
      </c>
      <c r="B4119" t="s">
        <v>173</v>
      </c>
      <c r="C4119" t="s">
        <v>19</v>
      </c>
      <c r="D4119" t="s">
        <v>20</v>
      </c>
      <c r="E4119" t="s">
        <v>21</v>
      </c>
      <c r="F4119" s="1">
        <v>44958</v>
      </c>
      <c r="G4119">
        <v>6.15</v>
      </c>
      <c r="H4119">
        <v>84.4</v>
      </c>
      <c r="I4119">
        <v>16.43</v>
      </c>
      <c r="J4119">
        <v>100.08</v>
      </c>
      <c r="K4119" t="s">
        <v>23</v>
      </c>
      <c r="L4119">
        <v>652.57000000000005</v>
      </c>
      <c r="M4119">
        <f>VLOOKUP(K4119,RatingLookup!$A$2:$C$8,2,FALSE)</f>
        <v>1E-3</v>
      </c>
      <c r="N4119">
        <f t="shared" si="192"/>
        <v>8.3371552197619714E-5</v>
      </c>
      <c r="O4119">
        <f>VLOOKUP(K4119,RatingLookup!$A$2:$C$8,3,FALSE)</f>
        <v>0.3</v>
      </c>
      <c r="P4119">
        <f t="shared" si="193"/>
        <v>1.632173214528021E-2</v>
      </c>
      <c r="Q4119" t="str">
        <f t="shared" ca="1" si="194"/>
        <v>No</v>
      </c>
    </row>
    <row r="4120" spans="1:17" x14ac:dyDescent="0.45">
      <c r="A4120" t="s">
        <v>172</v>
      </c>
      <c r="B4120" t="s">
        <v>173</v>
      </c>
      <c r="C4120" t="s">
        <v>19</v>
      </c>
      <c r="D4120" t="s">
        <v>20</v>
      </c>
      <c r="E4120" t="s">
        <v>21</v>
      </c>
      <c r="F4120" s="1">
        <v>44986</v>
      </c>
      <c r="G4120">
        <v>5.42</v>
      </c>
      <c r="H4120">
        <v>80.883300000000006</v>
      </c>
      <c r="I4120">
        <v>24.09</v>
      </c>
      <c r="J4120">
        <v>70.069999999999993</v>
      </c>
      <c r="K4120" t="s">
        <v>23</v>
      </c>
      <c r="L4120">
        <v>617.05999999999995</v>
      </c>
      <c r="M4120">
        <f>VLOOKUP(K4120,RatingLookup!$A$2:$C$8,2,FALSE)</f>
        <v>1E-3</v>
      </c>
      <c r="N4120">
        <f t="shared" si="192"/>
        <v>8.3371552197619714E-5</v>
      </c>
      <c r="O4120">
        <f>VLOOKUP(K4120,RatingLookup!$A$2:$C$8,3,FALSE)</f>
        <v>0.3</v>
      </c>
      <c r="P4120">
        <f t="shared" si="193"/>
        <v>1.5433574999718966E-2</v>
      </c>
      <c r="Q4120" t="str">
        <f t="shared" ca="1" si="194"/>
        <v>No</v>
      </c>
    </row>
    <row r="4121" spans="1:17" x14ac:dyDescent="0.45">
      <c r="A4121" t="s">
        <v>172</v>
      </c>
      <c r="B4121" t="s">
        <v>173</v>
      </c>
      <c r="C4121" t="s">
        <v>19</v>
      </c>
      <c r="D4121" t="s">
        <v>20</v>
      </c>
      <c r="E4121" t="s">
        <v>21</v>
      </c>
      <c r="F4121" s="1">
        <v>45017</v>
      </c>
      <c r="G4121">
        <v>5.04</v>
      </c>
      <c r="H4121">
        <v>84.475300000000004</v>
      </c>
      <c r="I4121">
        <v>16.68</v>
      </c>
      <c r="J4121">
        <v>90.27</v>
      </c>
      <c r="K4121" t="s">
        <v>23</v>
      </c>
      <c r="L4121">
        <v>638.87</v>
      </c>
      <c r="M4121">
        <f>VLOOKUP(K4121,RatingLookup!$A$2:$C$8,2,FALSE)</f>
        <v>1E-3</v>
      </c>
      <c r="N4121">
        <f t="shared" si="192"/>
        <v>8.3371552197619714E-5</v>
      </c>
      <c r="O4121">
        <f>VLOOKUP(K4121,RatingLookup!$A$2:$C$8,3,FALSE)</f>
        <v>0.3</v>
      </c>
      <c r="P4121">
        <f t="shared" si="193"/>
        <v>1.5979075065747989E-2</v>
      </c>
      <c r="Q4121" t="str">
        <f t="shared" ca="1" si="194"/>
        <v>No</v>
      </c>
    </row>
    <row r="4122" spans="1:17" x14ac:dyDescent="0.45">
      <c r="A4122" t="s">
        <v>172</v>
      </c>
      <c r="B4122" t="s">
        <v>173</v>
      </c>
      <c r="C4122" t="s">
        <v>19</v>
      </c>
      <c r="D4122" t="s">
        <v>20</v>
      </c>
      <c r="E4122" t="s">
        <v>21</v>
      </c>
      <c r="F4122" s="1">
        <v>45047</v>
      </c>
      <c r="G4122">
        <v>6.8</v>
      </c>
      <c r="H4122">
        <v>86.098600000000005</v>
      </c>
      <c r="I4122">
        <v>14.45</v>
      </c>
      <c r="J4122">
        <v>89.31</v>
      </c>
      <c r="K4122" t="s">
        <v>22</v>
      </c>
      <c r="L4122">
        <v>651.14</v>
      </c>
      <c r="M4122">
        <f>VLOOKUP(K4122,RatingLookup!$A$2:$C$8,2,FALSE)</f>
        <v>5.0000000000000001E-3</v>
      </c>
      <c r="N4122">
        <f t="shared" si="192"/>
        <v>4.1762458919303302E-4</v>
      </c>
      <c r="O4122">
        <f>VLOOKUP(K4122,RatingLookup!$A$2:$C$8,3,FALSE)</f>
        <v>0.45</v>
      </c>
      <c r="P4122">
        <f t="shared" si="193"/>
        <v>0.12236943375321818</v>
      </c>
      <c r="Q4122" t="str">
        <f t="shared" ca="1" si="194"/>
        <v>No</v>
      </c>
    </row>
    <row r="4123" spans="1:17" x14ac:dyDescent="0.45">
      <c r="A4123" t="s">
        <v>172</v>
      </c>
      <c r="B4123" t="s">
        <v>173</v>
      </c>
      <c r="C4123" t="s">
        <v>19</v>
      </c>
      <c r="D4123" t="s">
        <v>20</v>
      </c>
      <c r="E4123" t="s">
        <v>21</v>
      </c>
      <c r="F4123" s="1">
        <v>45078</v>
      </c>
      <c r="G4123">
        <v>5.54</v>
      </c>
      <c r="H4123">
        <v>83.606099999999998</v>
      </c>
      <c r="I4123">
        <v>13.41</v>
      </c>
      <c r="J4123">
        <v>72.23</v>
      </c>
      <c r="K4123" t="s">
        <v>22</v>
      </c>
      <c r="L4123">
        <v>645.49</v>
      </c>
      <c r="M4123">
        <f>VLOOKUP(K4123,RatingLookup!$A$2:$C$8,2,FALSE)</f>
        <v>5.0000000000000001E-3</v>
      </c>
      <c r="N4123">
        <f t="shared" si="192"/>
        <v>4.1762458919303302E-4</v>
      </c>
      <c r="O4123">
        <f>VLOOKUP(K4123,RatingLookup!$A$2:$C$8,3,FALSE)</f>
        <v>0.45</v>
      </c>
      <c r="P4123">
        <f t="shared" si="193"/>
        <v>0.12130762323519489</v>
      </c>
      <c r="Q4123" t="str">
        <f t="shared" ca="1" si="194"/>
        <v>No</v>
      </c>
    </row>
    <row r="4124" spans="1:17" x14ac:dyDescent="0.45">
      <c r="A4124" t="s">
        <v>172</v>
      </c>
      <c r="B4124" t="s">
        <v>173</v>
      </c>
      <c r="C4124" t="s">
        <v>19</v>
      </c>
      <c r="D4124" t="s">
        <v>20</v>
      </c>
      <c r="E4124" t="s">
        <v>21</v>
      </c>
      <c r="F4124" s="1">
        <v>45108</v>
      </c>
      <c r="G4124">
        <v>4.24</v>
      </c>
      <c r="H4124">
        <v>82.800899999999999</v>
      </c>
      <c r="I4124">
        <v>23.68</v>
      </c>
      <c r="J4124">
        <v>82.22</v>
      </c>
      <c r="K4124" t="s">
        <v>22</v>
      </c>
      <c r="L4124">
        <v>619.14</v>
      </c>
      <c r="M4124">
        <f>VLOOKUP(K4124,RatingLookup!$A$2:$C$8,2,FALSE)</f>
        <v>5.0000000000000001E-3</v>
      </c>
      <c r="N4124">
        <f t="shared" si="192"/>
        <v>4.1762458919303302E-4</v>
      </c>
      <c r="O4124">
        <f>VLOOKUP(K4124,RatingLookup!$A$2:$C$8,3,FALSE)</f>
        <v>0.45</v>
      </c>
      <c r="P4124">
        <f t="shared" si="193"/>
        <v>0.1163556396688385</v>
      </c>
      <c r="Q4124" t="str">
        <f t="shared" ca="1" si="194"/>
        <v>No</v>
      </c>
    </row>
    <row r="4125" spans="1:17" x14ac:dyDescent="0.45">
      <c r="A4125" t="s">
        <v>172</v>
      </c>
      <c r="B4125" t="s">
        <v>173</v>
      </c>
      <c r="C4125" t="s">
        <v>19</v>
      </c>
      <c r="D4125" t="s">
        <v>20</v>
      </c>
      <c r="E4125" t="s">
        <v>21</v>
      </c>
      <c r="F4125" s="1">
        <v>45139</v>
      </c>
      <c r="G4125">
        <v>4.87</v>
      </c>
      <c r="H4125">
        <v>85.4602</v>
      </c>
      <c r="I4125">
        <v>18.53</v>
      </c>
      <c r="J4125">
        <v>86.21</v>
      </c>
      <c r="K4125" t="s">
        <v>22</v>
      </c>
      <c r="L4125">
        <v>670.78</v>
      </c>
      <c r="M4125">
        <f>VLOOKUP(K4125,RatingLookup!$A$2:$C$8,2,FALSE)</f>
        <v>5.0000000000000001E-3</v>
      </c>
      <c r="N4125">
        <f t="shared" si="192"/>
        <v>4.1762458919303302E-4</v>
      </c>
      <c r="O4125">
        <f>VLOOKUP(K4125,RatingLookup!$A$2:$C$8,3,FALSE)</f>
        <v>0.45</v>
      </c>
      <c r="P4125">
        <f t="shared" si="193"/>
        <v>0.12606039987250622</v>
      </c>
      <c r="Q4125" t="str">
        <f t="shared" ca="1" si="194"/>
        <v>No</v>
      </c>
    </row>
    <row r="4126" spans="1:17" x14ac:dyDescent="0.45">
      <c r="A4126" t="s">
        <v>172</v>
      </c>
      <c r="B4126" t="s">
        <v>173</v>
      </c>
      <c r="C4126" t="s">
        <v>19</v>
      </c>
      <c r="D4126" t="s">
        <v>20</v>
      </c>
      <c r="E4126" t="s">
        <v>21</v>
      </c>
      <c r="F4126" s="1">
        <v>45170</v>
      </c>
      <c r="G4126">
        <v>5.57</v>
      </c>
      <c r="H4126">
        <v>84.994</v>
      </c>
      <c r="I4126">
        <v>25.69</v>
      </c>
      <c r="J4126">
        <v>65.41</v>
      </c>
      <c r="K4126" t="s">
        <v>22</v>
      </c>
      <c r="L4126">
        <v>601.86</v>
      </c>
      <c r="M4126">
        <f>VLOOKUP(K4126,RatingLookup!$A$2:$C$8,2,FALSE)</f>
        <v>5.0000000000000001E-3</v>
      </c>
      <c r="N4126">
        <f t="shared" si="192"/>
        <v>4.1762458919303302E-4</v>
      </c>
      <c r="O4126">
        <f>VLOOKUP(K4126,RatingLookup!$A$2:$C$8,3,FALSE)</f>
        <v>0.45</v>
      </c>
      <c r="P4126">
        <f t="shared" si="193"/>
        <v>0.11310819086327351</v>
      </c>
      <c r="Q4126" t="str">
        <f t="shared" ca="1" si="194"/>
        <v>No</v>
      </c>
    </row>
    <row r="4127" spans="1:17" x14ac:dyDescent="0.45">
      <c r="A4127" t="s">
        <v>172</v>
      </c>
      <c r="B4127" t="s">
        <v>173</v>
      </c>
      <c r="C4127" t="s">
        <v>19</v>
      </c>
      <c r="D4127" t="s">
        <v>20</v>
      </c>
      <c r="E4127" t="s">
        <v>21</v>
      </c>
      <c r="F4127" s="1">
        <v>45200</v>
      </c>
      <c r="G4127">
        <v>4.49</v>
      </c>
      <c r="H4127">
        <v>82.261200000000002</v>
      </c>
      <c r="I4127">
        <v>7.67</v>
      </c>
      <c r="J4127">
        <v>84.05</v>
      </c>
      <c r="K4127" t="s">
        <v>22</v>
      </c>
      <c r="L4127">
        <v>611.07000000000005</v>
      </c>
      <c r="M4127">
        <f>VLOOKUP(K4127,RatingLookup!$A$2:$C$8,2,FALSE)</f>
        <v>5.0000000000000001E-3</v>
      </c>
      <c r="N4127">
        <f t="shared" si="192"/>
        <v>4.1762458919303302E-4</v>
      </c>
      <c r="O4127">
        <f>VLOOKUP(K4127,RatingLookup!$A$2:$C$8,3,FALSE)</f>
        <v>0.45</v>
      </c>
      <c r="P4127">
        <f t="shared" si="193"/>
        <v>0.11483903597318403</v>
      </c>
      <c r="Q4127" t="str">
        <f t="shared" ca="1" si="194"/>
        <v>No</v>
      </c>
    </row>
    <row r="4128" spans="1:17" x14ac:dyDescent="0.45">
      <c r="A4128" t="s">
        <v>172</v>
      </c>
      <c r="B4128" t="s">
        <v>173</v>
      </c>
      <c r="C4128" t="s">
        <v>19</v>
      </c>
      <c r="D4128" t="s">
        <v>20</v>
      </c>
      <c r="E4128" t="s">
        <v>21</v>
      </c>
      <c r="F4128" s="1">
        <v>45231</v>
      </c>
      <c r="G4128">
        <v>5.61</v>
      </c>
      <c r="H4128">
        <v>82.408199999999994</v>
      </c>
      <c r="I4128">
        <v>18.2</v>
      </c>
      <c r="J4128">
        <v>83.3</v>
      </c>
      <c r="K4128" t="s">
        <v>22</v>
      </c>
      <c r="L4128">
        <v>656.04</v>
      </c>
      <c r="M4128">
        <f>VLOOKUP(K4128,RatingLookup!$A$2:$C$8,2,FALSE)</f>
        <v>5.0000000000000001E-3</v>
      </c>
      <c r="N4128">
        <f t="shared" si="192"/>
        <v>4.1762458919303302E-4</v>
      </c>
      <c r="O4128">
        <f>VLOOKUP(K4128,RatingLookup!$A$2:$C$8,3,FALSE)</f>
        <v>0.45</v>
      </c>
      <c r="P4128">
        <f t="shared" si="193"/>
        <v>0.12329029597238882</v>
      </c>
      <c r="Q4128" t="str">
        <f t="shared" ca="1" si="194"/>
        <v>No</v>
      </c>
    </row>
    <row r="4129" spans="1:17" x14ac:dyDescent="0.45">
      <c r="A4129" t="s">
        <v>172</v>
      </c>
      <c r="B4129" t="s">
        <v>173</v>
      </c>
      <c r="C4129" t="s">
        <v>19</v>
      </c>
      <c r="D4129" t="s">
        <v>20</v>
      </c>
      <c r="E4129" t="s">
        <v>21</v>
      </c>
      <c r="F4129" s="1">
        <v>45261</v>
      </c>
      <c r="G4129">
        <v>4.7</v>
      </c>
      <c r="H4129">
        <v>82.842799999999997</v>
      </c>
      <c r="I4129">
        <v>23.69</v>
      </c>
      <c r="J4129">
        <v>72.98</v>
      </c>
      <c r="K4129" t="s">
        <v>22</v>
      </c>
      <c r="L4129">
        <v>668.83</v>
      </c>
      <c r="M4129">
        <f>VLOOKUP(K4129,RatingLookup!$A$2:$C$8,2,FALSE)</f>
        <v>5.0000000000000001E-3</v>
      </c>
      <c r="N4129">
        <f t="shared" si="192"/>
        <v>4.1762458919303302E-4</v>
      </c>
      <c r="O4129">
        <f>VLOOKUP(K4129,RatingLookup!$A$2:$C$8,3,FALSE)</f>
        <v>0.45</v>
      </c>
      <c r="P4129">
        <f t="shared" si="193"/>
        <v>0.12569393429548933</v>
      </c>
      <c r="Q4129" t="str">
        <f t="shared" ca="1" si="194"/>
        <v>No</v>
      </c>
    </row>
    <row r="4130" spans="1:17" x14ac:dyDescent="0.45">
      <c r="A4130" t="s">
        <v>172</v>
      </c>
      <c r="B4130" t="s">
        <v>173</v>
      </c>
      <c r="C4130" t="s">
        <v>19</v>
      </c>
      <c r="D4130" t="s">
        <v>20</v>
      </c>
      <c r="E4130" t="s">
        <v>21</v>
      </c>
      <c r="F4130" s="1">
        <v>45292</v>
      </c>
      <c r="G4130">
        <v>6.16</v>
      </c>
      <c r="H4130">
        <v>84.387900000000002</v>
      </c>
      <c r="I4130">
        <v>30.85</v>
      </c>
      <c r="J4130">
        <v>89.29</v>
      </c>
      <c r="K4130" t="s">
        <v>22</v>
      </c>
      <c r="L4130">
        <v>670.64</v>
      </c>
      <c r="M4130">
        <f>VLOOKUP(K4130,RatingLookup!$A$2:$C$8,2,FALSE)</f>
        <v>5.0000000000000001E-3</v>
      </c>
      <c r="N4130">
        <f t="shared" si="192"/>
        <v>4.1762458919303302E-4</v>
      </c>
      <c r="O4130">
        <f>VLOOKUP(K4130,RatingLookup!$A$2:$C$8,3,FALSE)</f>
        <v>0.45</v>
      </c>
      <c r="P4130">
        <f t="shared" si="193"/>
        <v>0.12603408952338704</v>
      </c>
      <c r="Q4130" t="str">
        <f t="shared" ca="1" si="194"/>
        <v>No</v>
      </c>
    </row>
    <row r="4131" spans="1:17" x14ac:dyDescent="0.45">
      <c r="A4131" t="s">
        <v>172</v>
      </c>
      <c r="B4131" t="s">
        <v>173</v>
      </c>
      <c r="C4131" t="s">
        <v>19</v>
      </c>
      <c r="D4131" t="s">
        <v>20</v>
      </c>
      <c r="E4131" t="s">
        <v>21</v>
      </c>
      <c r="F4131" s="1">
        <v>45323</v>
      </c>
      <c r="G4131">
        <v>5.32</v>
      </c>
      <c r="H4131">
        <v>77.430400000000006</v>
      </c>
      <c r="I4131">
        <v>21.83</v>
      </c>
      <c r="J4131">
        <v>85.5</v>
      </c>
      <c r="K4131" t="s">
        <v>22</v>
      </c>
      <c r="L4131">
        <v>596.17999999999995</v>
      </c>
      <c r="M4131">
        <f>VLOOKUP(K4131,RatingLookup!$A$2:$C$8,2,FALSE)</f>
        <v>5.0000000000000001E-3</v>
      </c>
      <c r="N4131">
        <f t="shared" si="192"/>
        <v>4.1762458919303302E-4</v>
      </c>
      <c r="O4131">
        <f>VLOOKUP(K4131,RatingLookup!$A$2:$C$8,3,FALSE)</f>
        <v>0.45</v>
      </c>
      <c r="P4131">
        <f t="shared" si="193"/>
        <v>0.11204074241329609</v>
      </c>
      <c r="Q4131" t="str">
        <f t="shared" ca="1" si="194"/>
        <v>No</v>
      </c>
    </row>
    <row r="4132" spans="1:17" x14ac:dyDescent="0.45">
      <c r="A4132" t="s">
        <v>172</v>
      </c>
      <c r="B4132" t="s">
        <v>173</v>
      </c>
      <c r="C4132" t="s">
        <v>19</v>
      </c>
      <c r="D4132" t="s">
        <v>20</v>
      </c>
      <c r="E4132" t="s">
        <v>21</v>
      </c>
      <c r="F4132" s="1">
        <v>45352</v>
      </c>
      <c r="G4132">
        <v>5.58</v>
      </c>
      <c r="H4132">
        <v>84.3934</v>
      </c>
      <c r="I4132">
        <v>16.100000000000001</v>
      </c>
      <c r="J4132">
        <v>84.68</v>
      </c>
      <c r="K4132" t="s">
        <v>22</v>
      </c>
      <c r="L4132">
        <v>725.8</v>
      </c>
      <c r="M4132">
        <f>VLOOKUP(K4132,RatingLookup!$A$2:$C$8,2,FALSE)</f>
        <v>5.0000000000000001E-3</v>
      </c>
      <c r="N4132">
        <f t="shared" si="192"/>
        <v>4.1762458919303302E-4</v>
      </c>
      <c r="O4132">
        <f>VLOOKUP(K4132,RatingLookup!$A$2:$C$8,3,FALSE)</f>
        <v>0.45</v>
      </c>
      <c r="P4132">
        <f t="shared" si="193"/>
        <v>0.13640036707633652</v>
      </c>
      <c r="Q4132" t="str">
        <f t="shared" ca="1" si="194"/>
        <v>No</v>
      </c>
    </row>
    <row r="4133" spans="1:17" x14ac:dyDescent="0.45">
      <c r="A4133" t="s">
        <v>172</v>
      </c>
      <c r="B4133" t="s">
        <v>173</v>
      </c>
      <c r="C4133" t="s">
        <v>19</v>
      </c>
      <c r="D4133" t="s">
        <v>20</v>
      </c>
      <c r="E4133" t="s">
        <v>21</v>
      </c>
      <c r="F4133" s="1">
        <v>45383</v>
      </c>
      <c r="G4133">
        <v>5.5</v>
      </c>
      <c r="H4133">
        <v>81.871200000000002</v>
      </c>
      <c r="I4133">
        <v>13.7</v>
      </c>
      <c r="J4133">
        <v>81.319999999999993</v>
      </c>
      <c r="K4133" t="s">
        <v>22</v>
      </c>
      <c r="L4133">
        <v>657.12</v>
      </c>
      <c r="M4133">
        <f>VLOOKUP(K4133,RatingLookup!$A$2:$C$8,2,FALSE)</f>
        <v>5.0000000000000001E-3</v>
      </c>
      <c r="N4133">
        <f t="shared" si="192"/>
        <v>4.1762458919303302E-4</v>
      </c>
      <c r="O4133">
        <f>VLOOKUP(K4133,RatingLookup!$A$2:$C$8,3,FALSE)</f>
        <v>0.45</v>
      </c>
      <c r="P4133">
        <f t="shared" si="193"/>
        <v>0.12349326152273664</v>
      </c>
      <c r="Q4133" t="str">
        <f t="shared" ca="1" si="194"/>
        <v>No</v>
      </c>
    </row>
    <row r="4134" spans="1:17" x14ac:dyDescent="0.45">
      <c r="A4134" t="s">
        <v>172</v>
      </c>
      <c r="B4134" t="s">
        <v>173</v>
      </c>
      <c r="C4134" t="s">
        <v>19</v>
      </c>
      <c r="D4134" t="s">
        <v>20</v>
      </c>
      <c r="E4134" t="s">
        <v>21</v>
      </c>
      <c r="F4134" s="1">
        <v>45413</v>
      </c>
      <c r="G4134">
        <v>6.98</v>
      </c>
      <c r="H4134">
        <v>80.695800000000006</v>
      </c>
      <c r="I4134">
        <v>27.52</v>
      </c>
      <c r="J4134">
        <v>87.81</v>
      </c>
      <c r="K4134" t="s">
        <v>22</v>
      </c>
      <c r="L4134">
        <v>613.47</v>
      </c>
      <c r="M4134">
        <f>VLOOKUP(K4134,RatingLookup!$A$2:$C$8,2,FALSE)</f>
        <v>5.0000000000000001E-3</v>
      </c>
      <c r="N4134">
        <f t="shared" si="192"/>
        <v>4.1762458919303302E-4</v>
      </c>
      <c r="O4134">
        <f>VLOOKUP(K4134,RatingLookup!$A$2:$C$8,3,FALSE)</f>
        <v>0.45</v>
      </c>
      <c r="P4134">
        <f t="shared" si="193"/>
        <v>0.1152900705295125</v>
      </c>
      <c r="Q4134" t="str">
        <f t="shared" ca="1" si="194"/>
        <v>No</v>
      </c>
    </row>
    <row r="4135" spans="1:17" x14ac:dyDescent="0.45">
      <c r="A4135" t="s">
        <v>172</v>
      </c>
      <c r="B4135" t="s">
        <v>173</v>
      </c>
      <c r="C4135" t="s">
        <v>19</v>
      </c>
      <c r="D4135" t="s">
        <v>20</v>
      </c>
      <c r="E4135" t="s">
        <v>21</v>
      </c>
      <c r="F4135" s="1">
        <v>45444</v>
      </c>
      <c r="G4135">
        <v>5.03</v>
      </c>
      <c r="H4135">
        <v>84.608099999999993</v>
      </c>
      <c r="I4135">
        <v>10.7</v>
      </c>
      <c r="J4135">
        <v>93.12</v>
      </c>
      <c r="K4135" t="s">
        <v>22</v>
      </c>
      <c r="L4135">
        <v>613.23</v>
      </c>
      <c r="M4135">
        <f>VLOOKUP(K4135,RatingLookup!$A$2:$C$8,2,FALSE)</f>
        <v>5.0000000000000001E-3</v>
      </c>
      <c r="N4135">
        <f t="shared" si="192"/>
        <v>4.1762458919303302E-4</v>
      </c>
      <c r="O4135">
        <f>VLOOKUP(K4135,RatingLookup!$A$2:$C$8,3,FALSE)</f>
        <v>0.45</v>
      </c>
      <c r="P4135">
        <f t="shared" si="193"/>
        <v>0.11524496707387964</v>
      </c>
      <c r="Q4135" t="str">
        <f t="shared" ca="1" si="194"/>
        <v>No</v>
      </c>
    </row>
    <row r="4136" spans="1:17" x14ac:dyDescent="0.45">
      <c r="A4136" t="s">
        <v>172</v>
      </c>
      <c r="B4136" t="s">
        <v>173</v>
      </c>
      <c r="C4136" t="s">
        <v>19</v>
      </c>
      <c r="D4136" t="s">
        <v>20</v>
      </c>
      <c r="E4136" t="s">
        <v>21</v>
      </c>
      <c r="F4136" s="1">
        <v>45474</v>
      </c>
      <c r="G4136">
        <v>6.94</v>
      </c>
      <c r="H4136">
        <v>80.980900000000005</v>
      </c>
      <c r="I4136">
        <v>19.850000000000001</v>
      </c>
      <c r="J4136">
        <v>81.81</v>
      </c>
      <c r="K4136" t="s">
        <v>22</v>
      </c>
      <c r="L4136">
        <v>696.7</v>
      </c>
      <c r="M4136">
        <f>VLOOKUP(K4136,RatingLookup!$A$2:$C$8,2,FALSE)</f>
        <v>5.0000000000000001E-3</v>
      </c>
      <c r="N4136">
        <f t="shared" si="192"/>
        <v>4.1762458919303302E-4</v>
      </c>
      <c r="O4136">
        <f>VLOOKUP(K4136,RatingLookup!$A$2:$C$8,3,FALSE)</f>
        <v>0.45</v>
      </c>
      <c r="P4136">
        <f t="shared" si="193"/>
        <v>0.13093157308085376</v>
      </c>
      <c r="Q4136" t="str">
        <f t="shared" ca="1" si="194"/>
        <v>No</v>
      </c>
    </row>
    <row r="4137" spans="1:17" x14ac:dyDescent="0.45">
      <c r="A4137" t="s">
        <v>172</v>
      </c>
      <c r="B4137" t="s">
        <v>173</v>
      </c>
      <c r="C4137" t="s">
        <v>19</v>
      </c>
      <c r="D4137" t="s">
        <v>20</v>
      </c>
      <c r="E4137" t="s">
        <v>21</v>
      </c>
      <c r="F4137" s="1">
        <v>45505</v>
      </c>
      <c r="G4137">
        <v>4.9400000000000004</v>
      </c>
      <c r="H4137">
        <v>83.655799999999999</v>
      </c>
      <c r="I4137">
        <v>23.52</v>
      </c>
      <c r="J4137">
        <v>90.54</v>
      </c>
      <c r="K4137" t="s">
        <v>22</v>
      </c>
      <c r="L4137">
        <v>592.92999999999995</v>
      </c>
      <c r="M4137">
        <f>VLOOKUP(K4137,RatingLookup!$A$2:$C$8,2,FALSE)</f>
        <v>5.0000000000000001E-3</v>
      </c>
      <c r="N4137">
        <f t="shared" si="192"/>
        <v>4.1762458919303302E-4</v>
      </c>
      <c r="O4137">
        <f>VLOOKUP(K4137,RatingLookup!$A$2:$C$8,3,FALSE)</f>
        <v>0.45</v>
      </c>
      <c r="P4137">
        <f t="shared" si="193"/>
        <v>0.11142996645160128</v>
      </c>
      <c r="Q4137" t="str">
        <f t="shared" ca="1" si="194"/>
        <v>No</v>
      </c>
    </row>
    <row r="4138" spans="1:17" x14ac:dyDescent="0.45">
      <c r="A4138" t="s">
        <v>172</v>
      </c>
      <c r="B4138" t="s">
        <v>173</v>
      </c>
      <c r="C4138" t="s">
        <v>19</v>
      </c>
      <c r="D4138" t="s">
        <v>20</v>
      </c>
      <c r="E4138" t="s">
        <v>21</v>
      </c>
      <c r="F4138" s="1">
        <v>45536</v>
      </c>
      <c r="G4138">
        <v>4.29</v>
      </c>
      <c r="H4138">
        <v>82.626400000000004</v>
      </c>
      <c r="I4138">
        <v>15.7</v>
      </c>
      <c r="J4138">
        <v>66.41</v>
      </c>
      <c r="K4138" t="s">
        <v>22</v>
      </c>
      <c r="L4138">
        <v>595.61</v>
      </c>
      <c r="M4138">
        <f>VLOOKUP(K4138,RatingLookup!$A$2:$C$8,2,FALSE)</f>
        <v>5.0000000000000001E-3</v>
      </c>
      <c r="N4138">
        <f t="shared" si="192"/>
        <v>4.1762458919303302E-4</v>
      </c>
      <c r="O4138">
        <f>VLOOKUP(K4138,RatingLookup!$A$2:$C$8,3,FALSE)</f>
        <v>0.45</v>
      </c>
      <c r="P4138">
        <f t="shared" si="193"/>
        <v>0.11193362170616808</v>
      </c>
      <c r="Q4138" t="str">
        <f t="shared" ca="1" si="194"/>
        <v>No</v>
      </c>
    </row>
    <row r="4139" spans="1:17" x14ac:dyDescent="0.45">
      <c r="A4139" t="s">
        <v>172</v>
      </c>
      <c r="B4139" t="s">
        <v>173</v>
      </c>
      <c r="C4139" t="s">
        <v>19</v>
      </c>
      <c r="D4139" t="s">
        <v>20</v>
      </c>
      <c r="E4139" t="s">
        <v>21</v>
      </c>
      <c r="F4139" s="1">
        <v>45566</v>
      </c>
      <c r="G4139">
        <v>5.21</v>
      </c>
      <c r="H4139">
        <v>85.368700000000004</v>
      </c>
      <c r="I4139">
        <v>10.31</v>
      </c>
      <c r="J4139">
        <v>73.16</v>
      </c>
      <c r="K4139" t="s">
        <v>22</v>
      </c>
      <c r="L4139">
        <v>589.71</v>
      </c>
      <c r="M4139">
        <f>VLOOKUP(K4139,RatingLookup!$A$2:$C$8,2,FALSE)</f>
        <v>5.0000000000000001E-3</v>
      </c>
      <c r="N4139">
        <f t="shared" si="192"/>
        <v>4.1762458919303302E-4</v>
      </c>
      <c r="O4139">
        <f>VLOOKUP(K4139,RatingLookup!$A$2:$C$8,3,FALSE)</f>
        <v>0.45</v>
      </c>
      <c r="P4139">
        <f t="shared" si="193"/>
        <v>0.11082482842186059</v>
      </c>
      <c r="Q4139" t="str">
        <f t="shared" ca="1" si="194"/>
        <v>No</v>
      </c>
    </row>
    <row r="4140" spans="1:17" x14ac:dyDescent="0.45">
      <c r="A4140" t="s">
        <v>172</v>
      </c>
      <c r="B4140" t="s">
        <v>173</v>
      </c>
      <c r="C4140" t="s">
        <v>19</v>
      </c>
      <c r="D4140" t="s">
        <v>20</v>
      </c>
      <c r="E4140" t="s">
        <v>21</v>
      </c>
      <c r="F4140" s="1">
        <v>45597</v>
      </c>
      <c r="G4140">
        <v>5.92</v>
      </c>
      <c r="H4140">
        <v>84.785799999999995</v>
      </c>
      <c r="I4140">
        <v>14.32</v>
      </c>
      <c r="J4140">
        <v>81.16</v>
      </c>
      <c r="K4140" t="s">
        <v>22</v>
      </c>
      <c r="L4140">
        <v>605.08000000000004</v>
      </c>
      <c r="M4140">
        <f>VLOOKUP(K4140,RatingLookup!$A$2:$C$8,2,FALSE)</f>
        <v>5.0000000000000001E-3</v>
      </c>
      <c r="N4140">
        <f t="shared" si="192"/>
        <v>4.1762458919303302E-4</v>
      </c>
      <c r="O4140">
        <f>VLOOKUP(K4140,RatingLookup!$A$2:$C$8,3,FALSE)</f>
        <v>0.45</v>
      </c>
      <c r="P4140">
        <f t="shared" si="193"/>
        <v>0.11371332889301421</v>
      </c>
      <c r="Q4140" t="str">
        <f t="shared" ca="1" si="194"/>
        <v>No</v>
      </c>
    </row>
    <row r="4141" spans="1:17" x14ac:dyDescent="0.45">
      <c r="A4141" t="s">
        <v>172</v>
      </c>
      <c r="B4141" t="s">
        <v>173</v>
      </c>
      <c r="C4141" t="s">
        <v>19</v>
      </c>
      <c r="D4141" t="s">
        <v>20</v>
      </c>
      <c r="E4141" t="s">
        <v>21</v>
      </c>
      <c r="F4141" s="1">
        <v>45627</v>
      </c>
      <c r="G4141">
        <v>7.12</v>
      </c>
      <c r="H4141">
        <v>80.368300000000005</v>
      </c>
      <c r="I4141">
        <v>14.02</v>
      </c>
      <c r="J4141">
        <v>96.94</v>
      </c>
      <c r="K4141" t="s">
        <v>22</v>
      </c>
      <c r="L4141">
        <v>635.09</v>
      </c>
      <c r="M4141">
        <f>VLOOKUP(K4141,RatingLookup!$A$2:$C$8,2,FALSE)</f>
        <v>5.0000000000000001E-3</v>
      </c>
      <c r="N4141">
        <f t="shared" si="192"/>
        <v>4.1762458919303302E-4</v>
      </c>
      <c r="O4141">
        <f>VLOOKUP(K4141,RatingLookup!$A$2:$C$8,3,FALSE)</f>
        <v>0.45</v>
      </c>
      <c r="P4141">
        <f t="shared" si="193"/>
        <v>0.11935314015777153</v>
      </c>
      <c r="Q4141" t="str">
        <f t="shared" ca="1" si="194"/>
        <v>No</v>
      </c>
    </row>
    <row r="4142" spans="1:17" x14ac:dyDescent="0.45">
      <c r="A4142" t="s">
        <v>174</v>
      </c>
      <c r="B4142" t="s">
        <v>175</v>
      </c>
      <c r="C4142" t="s">
        <v>85</v>
      </c>
      <c r="D4142" t="s">
        <v>20</v>
      </c>
      <c r="E4142" t="s">
        <v>21</v>
      </c>
      <c r="F4142" s="1">
        <v>43831</v>
      </c>
      <c r="G4142">
        <v>5.8</v>
      </c>
      <c r="H4142">
        <v>78.630799999999994</v>
      </c>
      <c r="I4142">
        <v>19.829999999999998</v>
      </c>
      <c r="J4142">
        <v>82.02</v>
      </c>
      <c r="K4142" t="s">
        <v>31</v>
      </c>
      <c r="L4142">
        <v>272.01</v>
      </c>
      <c r="M4142">
        <f>VLOOKUP(K4142,RatingLookup!$A$2:$C$8,2,FALSE)</f>
        <v>0.04</v>
      </c>
      <c r="N4142">
        <f t="shared" si="192"/>
        <v>3.3960531989175591E-3</v>
      </c>
      <c r="O4142">
        <f>VLOOKUP(K4142,RatingLookup!$A$2:$C$8,3,FALSE)</f>
        <v>0.6</v>
      </c>
      <c r="P4142">
        <f t="shared" si="193"/>
        <v>0.55425625838253911</v>
      </c>
      <c r="Q4142" t="str">
        <f t="shared" ca="1" si="194"/>
        <v>No</v>
      </c>
    </row>
    <row r="4143" spans="1:17" x14ac:dyDescent="0.45">
      <c r="A4143" t="s">
        <v>174</v>
      </c>
      <c r="B4143" t="s">
        <v>175</v>
      </c>
      <c r="C4143" t="s">
        <v>85</v>
      </c>
      <c r="D4143" t="s">
        <v>20</v>
      </c>
      <c r="E4143" t="s">
        <v>21</v>
      </c>
      <c r="F4143" s="1">
        <v>43862</v>
      </c>
      <c r="G4143">
        <v>5.85</v>
      </c>
      <c r="H4143">
        <v>81.4101</v>
      </c>
      <c r="I4143">
        <v>20</v>
      </c>
      <c r="J4143">
        <v>72.81</v>
      </c>
      <c r="K4143" t="s">
        <v>31</v>
      </c>
      <c r="L4143">
        <v>263.48</v>
      </c>
      <c r="M4143">
        <f>VLOOKUP(K4143,RatingLookup!$A$2:$C$8,2,FALSE)</f>
        <v>0.04</v>
      </c>
      <c r="N4143">
        <f t="shared" si="192"/>
        <v>3.3960531989175591E-3</v>
      </c>
      <c r="O4143">
        <f>VLOOKUP(K4143,RatingLookup!$A$2:$C$8,3,FALSE)</f>
        <v>0.6</v>
      </c>
      <c r="P4143">
        <f t="shared" si="193"/>
        <v>0.53687525811047909</v>
      </c>
      <c r="Q4143" t="str">
        <f t="shared" ca="1" si="194"/>
        <v>No</v>
      </c>
    </row>
    <row r="4144" spans="1:17" x14ac:dyDescent="0.45">
      <c r="A4144" t="s">
        <v>174</v>
      </c>
      <c r="B4144" t="s">
        <v>175</v>
      </c>
      <c r="C4144" t="s">
        <v>85</v>
      </c>
      <c r="D4144" t="s">
        <v>20</v>
      </c>
      <c r="E4144" t="s">
        <v>21</v>
      </c>
      <c r="F4144" s="1">
        <v>43891</v>
      </c>
      <c r="G4144">
        <v>5.12</v>
      </c>
      <c r="H4144">
        <v>85.658000000000001</v>
      </c>
      <c r="I4144">
        <v>19.77</v>
      </c>
      <c r="J4144">
        <v>71.180000000000007</v>
      </c>
      <c r="K4144" t="s">
        <v>30</v>
      </c>
      <c r="L4144">
        <v>275.17</v>
      </c>
      <c r="M4144">
        <f>VLOOKUP(K4144,RatingLookup!$A$2:$C$8,2,FALSE)</f>
        <v>1.4999999999999999E-2</v>
      </c>
      <c r="N4144">
        <f t="shared" si="192"/>
        <v>1.2586770182638762E-3</v>
      </c>
      <c r="O4144">
        <f>VLOOKUP(K4144,RatingLookup!$A$2:$C$8,3,FALSE)</f>
        <v>0.5</v>
      </c>
      <c r="P4144">
        <f t="shared" si="193"/>
        <v>0.17317507755783543</v>
      </c>
      <c r="Q4144" t="str">
        <f t="shared" ca="1" si="194"/>
        <v>No</v>
      </c>
    </row>
    <row r="4145" spans="1:17" x14ac:dyDescent="0.45">
      <c r="A4145" t="s">
        <v>174</v>
      </c>
      <c r="B4145" t="s">
        <v>175</v>
      </c>
      <c r="C4145" t="s">
        <v>85</v>
      </c>
      <c r="D4145" t="s">
        <v>20</v>
      </c>
      <c r="E4145" t="s">
        <v>21</v>
      </c>
      <c r="F4145" s="1">
        <v>43922</v>
      </c>
      <c r="G4145">
        <v>5.23</v>
      </c>
      <c r="H4145">
        <v>83.578299999999999</v>
      </c>
      <c r="I4145">
        <v>24.43</v>
      </c>
      <c r="J4145">
        <v>80.03</v>
      </c>
      <c r="K4145" t="s">
        <v>30</v>
      </c>
      <c r="L4145">
        <v>235.94</v>
      </c>
      <c r="M4145">
        <f>VLOOKUP(K4145,RatingLookup!$A$2:$C$8,2,FALSE)</f>
        <v>1.4999999999999999E-2</v>
      </c>
      <c r="N4145">
        <f t="shared" si="192"/>
        <v>1.2586770182638762E-3</v>
      </c>
      <c r="O4145">
        <f>VLOOKUP(K4145,RatingLookup!$A$2:$C$8,3,FALSE)</f>
        <v>0.5</v>
      </c>
      <c r="P4145">
        <f t="shared" si="193"/>
        <v>0.14848612784458948</v>
      </c>
      <c r="Q4145" t="str">
        <f t="shared" ca="1" si="194"/>
        <v>No</v>
      </c>
    </row>
    <row r="4146" spans="1:17" x14ac:dyDescent="0.45">
      <c r="A4146" t="s">
        <v>174</v>
      </c>
      <c r="B4146" t="s">
        <v>175</v>
      </c>
      <c r="C4146" t="s">
        <v>85</v>
      </c>
      <c r="D4146" t="s">
        <v>20</v>
      </c>
      <c r="E4146" t="s">
        <v>21</v>
      </c>
      <c r="F4146" s="1">
        <v>43952</v>
      </c>
      <c r="G4146">
        <v>5.32</v>
      </c>
      <c r="H4146">
        <v>80.611199999999997</v>
      </c>
      <c r="I4146">
        <v>18.82</v>
      </c>
      <c r="J4146">
        <v>63.41</v>
      </c>
      <c r="K4146" t="s">
        <v>30</v>
      </c>
      <c r="L4146">
        <v>272.45</v>
      </c>
      <c r="M4146">
        <f>VLOOKUP(K4146,RatingLookup!$A$2:$C$8,2,FALSE)</f>
        <v>1.4999999999999999E-2</v>
      </c>
      <c r="N4146">
        <f t="shared" si="192"/>
        <v>1.2586770182638762E-3</v>
      </c>
      <c r="O4146">
        <f>VLOOKUP(K4146,RatingLookup!$A$2:$C$8,3,FALSE)</f>
        <v>0.5</v>
      </c>
      <c r="P4146">
        <f t="shared" si="193"/>
        <v>0.17146327681299653</v>
      </c>
      <c r="Q4146" t="str">
        <f t="shared" ca="1" si="194"/>
        <v>No</v>
      </c>
    </row>
    <row r="4147" spans="1:17" x14ac:dyDescent="0.45">
      <c r="A4147" t="s">
        <v>174</v>
      </c>
      <c r="B4147" t="s">
        <v>175</v>
      </c>
      <c r="C4147" t="s">
        <v>85</v>
      </c>
      <c r="D4147" t="s">
        <v>20</v>
      </c>
      <c r="E4147" t="s">
        <v>21</v>
      </c>
      <c r="F4147" s="1">
        <v>43983</v>
      </c>
      <c r="G4147">
        <v>5.41</v>
      </c>
      <c r="H4147">
        <v>83.286900000000003</v>
      </c>
      <c r="I4147">
        <v>23</v>
      </c>
      <c r="J4147">
        <v>62.66</v>
      </c>
      <c r="K4147" t="s">
        <v>30</v>
      </c>
      <c r="L4147">
        <v>270.06</v>
      </c>
      <c r="M4147">
        <f>VLOOKUP(K4147,RatingLookup!$A$2:$C$8,2,FALSE)</f>
        <v>1.4999999999999999E-2</v>
      </c>
      <c r="N4147">
        <f t="shared" si="192"/>
        <v>1.2586770182638762E-3</v>
      </c>
      <c r="O4147">
        <f>VLOOKUP(K4147,RatingLookup!$A$2:$C$8,3,FALSE)</f>
        <v>0.5</v>
      </c>
      <c r="P4147">
        <f t="shared" si="193"/>
        <v>0.16995915777617121</v>
      </c>
      <c r="Q4147" t="str">
        <f t="shared" ca="1" si="194"/>
        <v>No</v>
      </c>
    </row>
    <row r="4148" spans="1:17" x14ac:dyDescent="0.45">
      <c r="A4148" t="s">
        <v>174</v>
      </c>
      <c r="B4148" t="s">
        <v>175</v>
      </c>
      <c r="C4148" t="s">
        <v>85</v>
      </c>
      <c r="D4148" t="s">
        <v>20</v>
      </c>
      <c r="E4148" t="s">
        <v>21</v>
      </c>
      <c r="F4148" s="1">
        <v>44013</v>
      </c>
      <c r="G4148">
        <v>5.44</v>
      </c>
      <c r="H4148">
        <v>78.644199999999998</v>
      </c>
      <c r="I4148">
        <v>18.61</v>
      </c>
      <c r="J4148">
        <v>65.37</v>
      </c>
      <c r="K4148" t="s">
        <v>30</v>
      </c>
      <c r="L4148">
        <v>276.35000000000002</v>
      </c>
      <c r="M4148">
        <f>VLOOKUP(K4148,RatingLookup!$A$2:$C$8,2,FALSE)</f>
        <v>1.4999999999999999E-2</v>
      </c>
      <c r="N4148">
        <f t="shared" si="192"/>
        <v>1.2586770182638762E-3</v>
      </c>
      <c r="O4148">
        <f>VLOOKUP(K4148,RatingLookup!$A$2:$C$8,3,FALSE)</f>
        <v>0.5</v>
      </c>
      <c r="P4148">
        <f t="shared" si="193"/>
        <v>0.17391769699861112</v>
      </c>
      <c r="Q4148" t="str">
        <f t="shared" ca="1" si="194"/>
        <v>No</v>
      </c>
    </row>
    <row r="4149" spans="1:17" x14ac:dyDescent="0.45">
      <c r="A4149" t="s">
        <v>174</v>
      </c>
      <c r="B4149" t="s">
        <v>175</v>
      </c>
      <c r="C4149" t="s">
        <v>85</v>
      </c>
      <c r="D4149" t="s">
        <v>20</v>
      </c>
      <c r="E4149" t="s">
        <v>21</v>
      </c>
      <c r="F4149" s="1">
        <v>44044</v>
      </c>
      <c r="G4149">
        <v>6.96</v>
      </c>
      <c r="H4149">
        <v>80.2958</v>
      </c>
      <c r="I4149">
        <v>21.77</v>
      </c>
      <c r="J4149">
        <v>73.400000000000006</v>
      </c>
      <c r="K4149" t="s">
        <v>30</v>
      </c>
      <c r="L4149">
        <v>261.25</v>
      </c>
      <c r="M4149">
        <f>VLOOKUP(K4149,RatingLookup!$A$2:$C$8,2,FALSE)</f>
        <v>1.4999999999999999E-2</v>
      </c>
      <c r="N4149">
        <f t="shared" si="192"/>
        <v>1.2586770182638762E-3</v>
      </c>
      <c r="O4149">
        <f>VLOOKUP(K4149,RatingLookup!$A$2:$C$8,3,FALSE)</f>
        <v>0.5</v>
      </c>
      <c r="P4149">
        <f t="shared" si="193"/>
        <v>0.16441468551071883</v>
      </c>
      <c r="Q4149" t="str">
        <f t="shared" ca="1" si="194"/>
        <v>No</v>
      </c>
    </row>
    <row r="4150" spans="1:17" x14ac:dyDescent="0.45">
      <c r="A4150" t="s">
        <v>174</v>
      </c>
      <c r="B4150" t="s">
        <v>175</v>
      </c>
      <c r="C4150" t="s">
        <v>85</v>
      </c>
      <c r="D4150" t="s">
        <v>20</v>
      </c>
      <c r="E4150" t="s">
        <v>21</v>
      </c>
      <c r="F4150" s="1">
        <v>44075</v>
      </c>
      <c r="G4150">
        <v>6.97</v>
      </c>
      <c r="H4150">
        <v>79.450500000000005</v>
      </c>
      <c r="I4150">
        <v>19.760000000000002</v>
      </c>
      <c r="J4150">
        <v>79.61</v>
      </c>
      <c r="K4150" t="s">
        <v>30</v>
      </c>
      <c r="L4150">
        <v>275.54000000000002</v>
      </c>
      <c r="M4150">
        <f>VLOOKUP(K4150,RatingLookup!$A$2:$C$8,2,FALSE)</f>
        <v>1.4999999999999999E-2</v>
      </c>
      <c r="N4150">
        <f t="shared" si="192"/>
        <v>1.2586770182638762E-3</v>
      </c>
      <c r="O4150">
        <f>VLOOKUP(K4150,RatingLookup!$A$2:$C$8,3,FALSE)</f>
        <v>0.5</v>
      </c>
      <c r="P4150">
        <f t="shared" si="193"/>
        <v>0.17340793280621425</v>
      </c>
      <c r="Q4150" t="str">
        <f t="shared" ca="1" si="194"/>
        <v>No</v>
      </c>
    </row>
    <row r="4151" spans="1:17" x14ac:dyDescent="0.45">
      <c r="A4151" t="s">
        <v>174</v>
      </c>
      <c r="B4151" t="s">
        <v>175</v>
      </c>
      <c r="C4151" t="s">
        <v>85</v>
      </c>
      <c r="D4151" t="s">
        <v>20</v>
      </c>
      <c r="E4151" t="s">
        <v>21</v>
      </c>
      <c r="F4151" s="1">
        <v>44105</v>
      </c>
      <c r="G4151">
        <v>4.9800000000000004</v>
      </c>
      <c r="H4151">
        <v>80.108099999999993</v>
      </c>
      <c r="I4151">
        <v>17.100000000000001</v>
      </c>
      <c r="J4151">
        <v>85.93</v>
      </c>
      <c r="K4151" t="s">
        <v>30</v>
      </c>
      <c r="L4151">
        <v>290.57</v>
      </c>
      <c r="M4151">
        <f>VLOOKUP(K4151,RatingLookup!$A$2:$C$8,2,FALSE)</f>
        <v>1.4999999999999999E-2</v>
      </c>
      <c r="N4151">
        <f t="shared" si="192"/>
        <v>1.2586770182638762E-3</v>
      </c>
      <c r="O4151">
        <f>VLOOKUP(K4151,RatingLookup!$A$2:$C$8,3,FALSE)</f>
        <v>0.5</v>
      </c>
      <c r="P4151">
        <f t="shared" si="193"/>
        <v>0.18286689059846725</v>
      </c>
      <c r="Q4151" t="str">
        <f t="shared" ca="1" si="194"/>
        <v>No</v>
      </c>
    </row>
    <row r="4152" spans="1:17" x14ac:dyDescent="0.45">
      <c r="A4152" t="s">
        <v>174</v>
      </c>
      <c r="B4152" t="s">
        <v>175</v>
      </c>
      <c r="C4152" t="s">
        <v>85</v>
      </c>
      <c r="D4152" t="s">
        <v>20</v>
      </c>
      <c r="E4152" t="s">
        <v>21</v>
      </c>
      <c r="F4152" s="1">
        <v>44136</v>
      </c>
      <c r="G4152">
        <v>5.29</v>
      </c>
      <c r="H4152">
        <v>87.490200000000002</v>
      </c>
      <c r="I4152">
        <v>25.65</v>
      </c>
      <c r="J4152">
        <v>70.89</v>
      </c>
      <c r="K4152" t="s">
        <v>30</v>
      </c>
      <c r="L4152">
        <v>270.24</v>
      </c>
      <c r="M4152">
        <f>VLOOKUP(K4152,RatingLookup!$A$2:$C$8,2,FALSE)</f>
        <v>1.4999999999999999E-2</v>
      </c>
      <c r="N4152">
        <f t="shared" si="192"/>
        <v>1.2586770182638762E-3</v>
      </c>
      <c r="O4152">
        <f>VLOOKUP(K4152,RatingLookup!$A$2:$C$8,3,FALSE)</f>
        <v>0.5</v>
      </c>
      <c r="P4152">
        <f t="shared" si="193"/>
        <v>0.17007243870781497</v>
      </c>
      <c r="Q4152" t="str">
        <f t="shared" ca="1" si="194"/>
        <v>No</v>
      </c>
    </row>
    <row r="4153" spans="1:17" x14ac:dyDescent="0.45">
      <c r="A4153" t="s">
        <v>174</v>
      </c>
      <c r="B4153" t="s">
        <v>175</v>
      </c>
      <c r="C4153" t="s">
        <v>85</v>
      </c>
      <c r="D4153" t="s">
        <v>20</v>
      </c>
      <c r="E4153" t="s">
        <v>21</v>
      </c>
      <c r="F4153" s="1">
        <v>44166</v>
      </c>
      <c r="G4153">
        <v>6.02</v>
      </c>
      <c r="H4153">
        <v>81.885999999999996</v>
      </c>
      <c r="I4153">
        <v>15.9</v>
      </c>
      <c r="J4153">
        <v>78.86</v>
      </c>
      <c r="K4153" t="s">
        <v>30</v>
      </c>
      <c r="L4153">
        <v>292.89</v>
      </c>
      <c r="M4153">
        <f>VLOOKUP(K4153,RatingLookup!$A$2:$C$8,2,FALSE)</f>
        <v>1.4999999999999999E-2</v>
      </c>
      <c r="N4153">
        <f t="shared" si="192"/>
        <v>1.2586770182638762E-3</v>
      </c>
      <c r="O4153">
        <f>VLOOKUP(K4153,RatingLookup!$A$2:$C$8,3,FALSE)</f>
        <v>0.5</v>
      </c>
      <c r="P4153">
        <f t="shared" si="193"/>
        <v>0.18432695593965334</v>
      </c>
      <c r="Q4153" t="str">
        <f t="shared" ca="1" si="194"/>
        <v>No</v>
      </c>
    </row>
    <row r="4154" spans="1:17" x14ac:dyDescent="0.45">
      <c r="A4154" t="s">
        <v>174</v>
      </c>
      <c r="B4154" t="s">
        <v>175</v>
      </c>
      <c r="C4154" t="s">
        <v>85</v>
      </c>
      <c r="D4154" t="s">
        <v>20</v>
      </c>
      <c r="E4154" t="s">
        <v>21</v>
      </c>
      <c r="F4154" s="1">
        <v>44197</v>
      </c>
      <c r="G4154">
        <v>5.84</v>
      </c>
      <c r="H4154">
        <v>89.473399999999998</v>
      </c>
      <c r="I4154">
        <v>13.36</v>
      </c>
      <c r="J4154">
        <v>55.54</v>
      </c>
      <c r="K4154" t="s">
        <v>30</v>
      </c>
      <c r="L4154">
        <v>266.62</v>
      </c>
      <c r="M4154">
        <f>VLOOKUP(K4154,RatingLookup!$A$2:$C$8,2,FALSE)</f>
        <v>1.4999999999999999E-2</v>
      </c>
      <c r="N4154">
        <f t="shared" si="192"/>
        <v>1.2586770182638762E-3</v>
      </c>
      <c r="O4154">
        <f>VLOOKUP(K4154,RatingLookup!$A$2:$C$8,3,FALSE)</f>
        <v>0.5</v>
      </c>
      <c r="P4154">
        <f t="shared" si="193"/>
        <v>0.16779423330475735</v>
      </c>
      <c r="Q4154" t="str">
        <f t="shared" ca="1" si="194"/>
        <v>No</v>
      </c>
    </row>
    <row r="4155" spans="1:17" x14ac:dyDescent="0.45">
      <c r="A4155" t="s">
        <v>174</v>
      </c>
      <c r="B4155" t="s">
        <v>175</v>
      </c>
      <c r="C4155" t="s">
        <v>85</v>
      </c>
      <c r="D4155" t="s">
        <v>20</v>
      </c>
      <c r="E4155" t="s">
        <v>21</v>
      </c>
      <c r="F4155" s="1">
        <v>44228</v>
      </c>
      <c r="G4155">
        <v>5.74</v>
      </c>
      <c r="H4155">
        <v>78.362200000000001</v>
      </c>
      <c r="I4155">
        <v>17.23</v>
      </c>
      <c r="J4155">
        <v>77.69</v>
      </c>
      <c r="K4155" t="s">
        <v>30</v>
      </c>
      <c r="L4155">
        <v>248.63</v>
      </c>
      <c r="M4155">
        <f>VLOOKUP(K4155,RatingLookup!$A$2:$C$8,2,FALSE)</f>
        <v>1.4999999999999999E-2</v>
      </c>
      <c r="N4155">
        <f t="shared" si="192"/>
        <v>1.2586770182638762E-3</v>
      </c>
      <c r="O4155">
        <f>VLOOKUP(K4155,RatingLookup!$A$2:$C$8,3,FALSE)</f>
        <v>0.5</v>
      </c>
      <c r="P4155">
        <f t="shared" si="193"/>
        <v>0.15647243352547377</v>
      </c>
      <c r="Q4155" t="str">
        <f t="shared" ca="1" si="194"/>
        <v>No</v>
      </c>
    </row>
    <row r="4156" spans="1:17" x14ac:dyDescent="0.45">
      <c r="A4156" t="s">
        <v>174</v>
      </c>
      <c r="B4156" t="s">
        <v>175</v>
      </c>
      <c r="C4156" t="s">
        <v>85</v>
      </c>
      <c r="D4156" t="s">
        <v>20</v>
      </c>
      <c r="E4156" t="s">
        <v>21</v>
      </c>
      <c r="F4156" s="1">
        <v>44256</v>
      </c>
      <c r="G4156">
        <v>6.2</v>
      </c>
      <c r="H4156">
        <v>83.216300000000004</v>
      </c>
      <c r="I4156">
        <v>28.46</v>
      </c>
      <c r="J4156">
        <v>79.88</v>
      </c>
      <c r="K4156" t="s">
        <v>30</v>
      </c>
      <c r="L4156">
        <v>281.2</v>
      </c>
      <c r="M4156">
        <f>VLOOKUP(K4156,RatingLookup!$A$2:$C$8,2,FALSE)</f>
        <v>1.4999999999999999E-2</v>
      </c>
      <c r="N4156">
        <f t="shared" si="192"/>
        <v>1.2586770182638762E-3</v>
      </c>
      <c r="O4156">
        <f>VLOOKUP(K4156,RatingLookup!$A$2:$C$8,3,FALSE)</f>
        <v>0.5</v>
      </c>
      <c r="P4156">
        <f t="shared" si="193"/>
        <v>0.17696998876790099</v>
      </c>
      <c r="Q4156" t="str">
        <f t="shared" ca="1" si="194"/>
        <v>No</v>
      </c>
    </row>
    <row r="4157" spans="1:17" x14ac:dyDescent="0.45">
      <c r="A4157" t="s">
        <v>174</v>
      </c>
      <c r="B4157" t="s">
        <v>175</v>
      </c>
      <c r="C4157" t="s">
        <v>85</v>
      </c>
      <c r="D4157" t="s">
        <v>20</v>
      </c>
      <c r="E4157" t="s">
        <v>21</v>
      </c>
      <c r="F4157" s="1">
        <v>44287</v>
      </c>
      <c r="G4157">
        <v>5</v>
      </c>
      <c r="H4157">
        <v>80.369299999999996</v>
      </c>
      <c r="I4157">
        <v>30.76</v>
      </c>
      <c r="J4157">
        <v>71.62</v>
      </c>
      <c r="K4157" t="s">
        <v>30</v>
      </c>
      <c r="L4157">
        <v>277.89999999999998</v>
      </c>
      <c r="M4157">
        <f>VLOOKUP(K4157,RatingLookup!$A$2:$C$8,2,FALSE)</f>
        <v>1.4999999999999999E-2</v>
      </c>
      <c r="N4157">
        <f t="shared" si="192"/>
        <v>1.2586770182638762E-3</v>
      </c>
      <c r="O4157">
        <f>VLOOKUP(K4157,RatingLookup!$A$2:$C$8,3,FALSE)</f>
        <v>0.5</v>
      </c>
      <c r="P4157">
        <f t="shared" si="193"/>
        <v>0.17489317168776558</v>
      </c>
      <c r="Q4157" t="str">
        <f t="shared" ca="1" si="194"/>
        <v>No</v>
      </c>
    </row>
    <row r="4158" spans="1:17" x14ac:dyDescent="0.45">
      <c r="A4158" t="s">
        <v>174</v>
      </c>
      <c r="B4158" t="s">
        <v>175</v>
      </c>
      <c r="C4158" t="s">
        <v>85</v>
      </c>
      <c r="D4158" t="s">
        <v>20</v>
      </c>
      <c r="E4158" t="s">
        <v>21</v>
      </c>
      <c r="F4158" s="1">
        <v>44317</v>
      </c>
      <c r="G4158">
        <v>5.42</v>
      </c>
      <c r="H4158">
        <v>84.110299999999995</v>
      </c>
      <c r="I4158">
        <v>22.59</v>
      </c>
      <c r="J4158">
        <v>69.98</v>
      </c>
      <c r="K4158" t="s">
        <v>30</v>
      </c>
      <c r="L4158">
        <v>274.66000000000003</v>
      </c>
      <c r="M4158">
        <f>VLOOKUP(K4158,RatingLookup!$A$2:$C$8,2,FALSE)</f>
        <v>1.4999999999999999E-2</v>
      </c>
      <c r="N4158">
        <f t="shared" si="192"/>
        <v>1.2586770182638762E-3</v>
      </c>
      <c r="O4158">
        <f>VLOOKUP(K4158,RatingLookup!$A$2:$C$8,3,FALSE)</f>
        <v>0.5</v>
      </c>
      <c r="P4158">
        <f t="shared" si="193"/>
        <v>0.17285411491817815</v>
      </c>
      <c r="Q4158" t="str">
        <f t="shared" ca="1" si="194"/>
        <v>No</v>
      </c>
    </row>
    <row r="4159" spans="1:17" x14ac:dyDescent="0.45">
      <c r="A4159" t="s">
        <v>174</v>
      </c>
      <c r="B4159" t="s">
        <v>175</v>
      </c>
      <c r="C4159" t="s">
        <v>85</v>
      </c>
      <c r="D4159" t="s">
        <v>20</v>
      </c>
      <c r="E4159" t="s">
        <v>21</v>
      </c>
      <c r="F4159" s="1">
        <v>44348</v>
      </c>
      <c r="G4159">
        <v>4.8099999999999996</v>
      </c>
      <c r="H4159">
        <v>74.770499999999998</v>
      </c>
      <c r="I4159">
        <v>10.49</v>
      </c>
      <c r="J4159">
        <v>83.54</v>
      </c>
      <c r="K4159" t="s">
        <v>30</v>
      </c>
      <c r="L4159">
        <v>277.97000000000003</v>
      </c>
      <c r="M4159">
        <f>VLOOKUP(K4159,RatingLookup!$A$2:$C$8,2,FALSE)</f>
        <v>1.4999999999999999E-2</v>
      </c>
      <c r="N4159">
        <f t="shared" si="192"/>
        <v>1.2586770182638762E-3</v>
      </c>
      <c r="O4159">
        <f>VLOOKUP(K4159,RatingLookup!$A$2:$C$8,3,FALSE)</f>
        <v>0.5</v>
      </c>
      <c r="P4159">
        <f t="shared" si="193"/>
        <v>0.17493722538340487</v>
      </c>
      <c r="Q4159" t="str">
        <f t="shared" ca="1" si="194"/>
        <v>No</v>
      </c>
    </row>
    <row r="4160" spans="1:17" x14ac:dyDescent="0.45">
      <c r="A4160" t="s">
        <v>174</v>
      </c>
      <c r="B4160" t="s">
        <v>175</v>
      </c>
      <c r="C4160" t="s">
        <v>85</v>
      </c>
      <c r="D4160" t="s">
        <v>20</v>
      </c>
      <c r="E4160" t="s">
        <v>21</v>
      </c>
      <c r="F4160" s="1">
        <v>44378</v>
      </c>
      <c r="G4160">
        <v>5.94</v>
      </c>
      <c r="H4160">
        <v>85.637799999999999</v>
      </c>
      <c r="I4160">
        <v>23.81</v>
      </c>
      <c r="J4160">
        <v>71.2</v>
      </c>
      <c r="K4160" t="s">
        <v>30</v>
      </c>
      <c r="L4160">
        <v>284.06</v>
      </c>
      <c r="M4160">
        <f>VLOOKUP(K4160,RatingLookup!$A$2:$C$8,2,FALSE)</f>
        <v>1.4999999999999999E-2</v>
      </c>
      <c r="N4160">
        <f t="shared" si="192"/>
        <v>1.2586770182638762E-3</v>
      </c>
      <c r="O4160">
        <f>VLOOKUP(K4160,RatingLookup!$A$2:$C$8,3,FALSE)</f>
        <v>0.5</v>
      </c>
      <c r="P4160">
        <f t="shared" si="193"/>
        <v>0.17876989690401834</v>
      </c>
      <c r="Q4160" t="str">
        <f t="shared" ca="1" si="194"/>
        <v>No</v>
      </c>
    </row>
    <row r="4161" spans="1:17" x14ac:dyDescent="0.45">
      <c r="A4161" t="s">
        <v>174</v>
      </c>
      <c r="B4161" t="s">
        <v>175</v>
      </c>
      <c r="C4161" t="s">
        <v>85</v>
      </c>
      <c r="D4161" t="s">
        <v>20</v>
      </c>
      <c r="E4161" t="s">
        <v>21</v>
      </c>
      <c r="F4161" s="1">
        <v>44409</v>
      </c>
      <c r="G4161">
        <v>4.2</v>
      </c>
      <c r="H4161">
        <v>79.364900000000006</v>
      </c>
      <c r="I4161">
        <v>18.71</v>
      </c>
      <c r="J4161">
        <v>82.43</v>
      </c>
      <c r="K4161" t="s">
        <v>30</v>
      </c>
      <c r="L4161">
        <v>255.6</v>
      </c>
      <c r="M4161">
        <f>VLOOKUP(K4161,RatingLookup!$A$2:$C$8,2,FALSE)</f>
        <v>1.4999999999999999E-2</v>
      </c>
      <c r="N4161">
        <f t="shared" si="192"/>
        <v>1.2586770182638762E-3</v>
      </c>
      <c r="O4161">
        <f>VLOOKUP(K4161,RatingLookup!$A$2:$C$8,3,FALSE)</f>
        <v>0.5</v>
      </c>
      <c r="P4161">
        <f t="shared" si="193"/>
        <v>0.16085892293412338</v>
      </c>
      <c r="Q4161" t="str">
        <f t="shared" ca="1" si="194"/>
        <v>No</v>
      </c>
    </row>
    <row r="4162" spans="1:17" x14ac:dyDescent="0.45">
      <c r="A4162" t="s">
        <v>174</v>
      </c>
      <c r="B4162" t="s">
        <v>175</v>
      </c>
      <c r="C4162" t="s">
        <v>85</v>
      </c>
      <c r="D4162" t="s">
        <v>20</v>
      </c>
      <c r="E4162" t="s">
        <v>21</v>
      </c>
      <c r="F4162" s="1">
        <v>44440</v>
      </c>
      <c r="G4162">
        <v>5.61</v>
      </c>
      <c r="H4162">
        <v>79.342799999999997</v>
      </c>
      <c r="I4162">
        <v>24.43</v>
      </c>
      <c r="J4162">
        <v>82.33</v>
      </c>
      <c r="K4162" t="s">
        <v>30</v>
      </c>
      <c r="L4162">
        <v>276.11</v>
      </c>
      <c r="M4162">
        <f>VLOOKUP(K4162,RatingLookup!$A$2:$C$8,2,FALSE)</f>
        <v>1.4999999999999999E-2</v>
      </c>
      <c r="N4162">
        <f t="shared" ref="N4162:N4225" si="195">1-(1-M4162)^(1/12)</f>
        <v>1.2586770182638762E-3</v>
      </c>
      <c r="O4162">
        <f>VLOOKUP(K4162,RatingLookup!$A$2:$C$8,3,FALSE)</f>
        <v>0.5</v>
      </c>
      <c r="P4162">
        <f t="shared" ref="P4162:P4225" si="196">L4162*N4162*O4162</f>
        <v>0.17376665575641945</v>
      </c>
      <c r="Q4162" t="str">
        <f t="shared" ref="Q4162:Q4225" ca="1" si="197">IF(RAND()&lt;N4162,"Yes","No")</f>
        <v>No</v>
      </c>
    </row>
    <row r="4163" spans="1:17" x14ac:dyDescent="0.45">
      <c r="A4163" t="s">
        <v>174</v>
      </c>
      <c r="B4163" t="s">
        <v>175</v>
      </c>
      <c r="C4163" t="s">
        <v>85</v>
      </c>
      <c r="D4163" t="s">
        <v>20</v>
      </c>
      <c r="E4163" t="s">
        <v>21</v>
      </c>
      <c r="F4163" s="1">
        <v>44470</v>
      </c>
      <c r="G4163">
        <v>5.46</v>
      </c>
      <c r="H4163">
        <v>86.735399999999998</v>
      </c>
      <c r="I4163">
        <v>24.52</v>
      </c>
      <c r="J4163">
        <v>94.55</v>
      </c>
      <c r="K4163" t="s">
        <v>30</v>
      </c>
      <c r="L4163">
        <v>267.23</v>
      </c>
      <c r="M4163">
        <f>VLOOKUP(K4163,RatingLookup!$A$2:$C$8,2,FALSE)</f>
        <v>1.4999999999999999E-2</v>
      </c>
      <c r="N4163">
        <f t="shared" si="195"/>
        <v>1.2586770182638762E-3</v>
      </c>
      <c r="O4163">
        <f>VLOOKUP(K4163,RatingLookup!$A$2:$C$8,3,FALSE)</f>
        <v>0.5</v>
      </c>
      <c r="P4163">
        <f t="shared" si="196"/>
        <v>0.16817812979532784</v>
      </c>
      <c r="Q4163" t="str">
        <f t="shared" ca="1" si="197"/>
        <v>No</v>
      </c>
    </row>
    <row r="4164" spans="1:17" x14ac:dyDescent="0.45">
      <c r="A4164" t="s">
        <v>174</v>
      </c>
      <c r="B4164" t="s">
        <v>175</v>
      </c>
      <c r="C4164" t="s">
        <v>85</v>
      </c>
      <c r="D4164" t="s">
        <v>20</v>
      </c>
      <c r="E4164" t="s">
        <v>21</v>
      </c>
      <c r="F4164" s="1">
        <v>44501</v>
      </c>
      <c r="G4164">
        <v>5.08</v>
      </c>
      <c r="H4164">
        <v>83.906599999999997</v>
      </c>
      <c r="I4164">
        <v>17.29</v>
      </c>
      <c r="J4164">
        <v>71.62</v>
      </c>
      <c r="K4164" t="s">
        <v>30</v>
      </c>
      <c r="L4164">
        <v>244.7</v>
      </c>
      <c r="M4164">
        <f>VLOOKUP(K4164,RatingLookup!$A$2:$C$8,2,FALSE)</f>
        <v>1.4999999999999999E-2</v>
      </c>
      <c r="N4164">
        <f t="shared" si="195"/>
        <v>1.2586770182638762E-3</v>
      </c>
      <c r="O4164">
        <f>VLOOKUP(K4164,RatingLookup!$A$2:$C$8,3,FALSE)</f>
        <v>0.5</v>
      </c>
      <c r="P4164">
        <f t="shared" si="196"/>
        <v>0.15399913318458525</v>
      </c>
      <c r="Q4164" t="str">
        <f t="shared" ca="1" si="197"/>
        <v>No</v>
      </c>
    </row>
    <row r="4165" spans="1:17" x14ac:dyDescent="0.45">
      <c r="A4165" t="s">
        <v>174</v>
      </c>
      <c r="B4165" t="s">
        <v>175</v>
      </c>
      <c r="C4165" t="s">
        <v>85</v>
      </c>
      <c r="D4165" t="s">
        <v>20</v>
      </c>
      <c r="E4165" t="s">
        <v>21</v>
      </c>
      <c r="F4165" s="1">
        <v>44531</v>
      </c>
      <c r="G4165">
        <v>5.7</v>
      </c>
      <c r="H4165">
        <v>84.802599999999998</v>
      </c>
      <c r="I4165">
        <v>11.47</v>
      </c>
      <c r="J4165">
        <v>92.19</v>
      </c>
      <c r="K4165" t="s">
        <v>30</v>
      </c>
      <c r="L4165">
        <v>270.62</v>
      </c>
      <c r="M4165">
        <f>VLOOKUP(K4165,RatingLookup!$A$2:$C$8,2,FALSE)</f>
        <v>1.4999999999999999E-2</v>
      </c>
      <c r="N4165">
        <f t="shared" si="195"/>
        <v>1.2586770182638762E-3</v>
      </c>
      <c r="O4165">
        <f>VLOOKUP(K4165,RatingLookup!$A$2:$C$8,3,FALSE)</f>
        <v>0.5</v>
      </c>
      <c r="P4165">
        <f t="shared" si="196"/>
        <v>0.1703115873412851</v>
      </c>
      <c r="Q4165" t="str">
        <f t="shared" ca="1" si="197"/>
        <v>No</v>
      </c>
    </row>
    <row r="4166" spans="1:17" x14ac:dyDescent="0.45">
      <c r="A4166" t="s">
        <v>174</v>
      </c>
      <c r="B4166" t="s">
        <v>175</v>
      </c>
      <c r="C4166" t="s">
        <v>85</v>
      </c>
      <c r="D4166" t="s">
        <v>20</v>
      </c>
      <c r="E4166" t="s">
        <v>21</v>
      </c>
      <c r="F4166" s="1">
        <v>44562</v>
      </c>
      <c r="G4166">
        <v>5.82</v>
      </c>
      <c r="H4166">
        <v>79.598200000000006</v>
      </c>
      <c r="I4166">
        <v>12.75</v>
      </c>
      <c r="J4166">
        <v>60.68</v>
      </c>
      <c r="K4166" t="s">
        <v>30</v>
      </c>
      <c r="L4166">
        <v>306.33999999999997</v>
      </c>
      <c r="M4166">
        <f>VLOOKUP(K4166,RatingLookup!$A$2:$C$8,2,FALSE)</f>
        <v>1.4999999999999999E-2</v>
      </c>
      <c r="N4166">
        <f t="shared" si="195"/>
        <v>1.2586770182638762E-3</v>
      </c>
      <c r="O4166">
        <f>VLOOKUP(K4166,RatingLookup!$A$2:$C$8,3,FALSE)</f>
        <v>0.5</v>
      </c>
      <c r="P4166">
        <f t="shared" si="196"/>
        <v>0.1927915588874779</v>
      </c>
      <c r="Q4166" t="str">
        <f t="shared" ca="1" si="197"/>
        <v>No</v>
      </c>
    </row>
    <row r="4167" spans="1:17" x14ac:dyDescent="0.45">
      <c r="A4167" t="s">
        <v>174</v>
      </c>
      <c r="B4167" t="s">
        <v>175</v>
      </c>
      <c r="C4167" t="s">
        <v>85</v>
      </c>
      <c r="D4167" t="s">
        <v>20</v>
      </c>
      <c r="E4167" t="s">
        <v>21</v>
      </c>
      <c r="F4167" s="1">
        <v>44593</v>
      </c>
      <c r="G4167">
        <v>5.47</v>
      </c>
      <c r="H4167">
        <v>81.244900000000001</v>
      </c>
      <c r="I4167">
        <v>17.420000000000002</v>
      </c>
      <c r="J4167">
        <v>81.22</v>
      </c>
      <c r="K4167" t="s">
        <v>30</v>
      </c>
      <c r="L4167">
        <v>262.64999999999998</v>
      </c>
      <c r="M4167">
        <f>VLOOKUP(K4167,RatingLookup!$A$2:$C$8,2,FALSE)</f>
        <v>1.4999999999999999E-2</v>
      </c>
      <c r="N4167">
        <f t="shared" si="195"/>
        <v>1.2586770182638762E-3</v>
      </c>
      <c r="O4167">
        <f>VLOOKUP(K4167,RatingLookup!$A$2:$C$8,3,FALSE)</f>
        <v>0.5</v>
      </c>
      <c r="P4167">
        <f t="shared" si="196"/>
        <v>0.16529575942350352</v>
      </c>
      <c r="Q4167" t="str">
        <f t="shared" ca="1" si="197"/>
        <v>No</v>
      </c>
    </row>
    <row r="4168" spans="1:17" x14ac:dyDescent="0.45">
      <c r="A4168" t="s">
        <v>174</v>
      </c>
      <c r="B4168" t="s">
        <v>175</v>
      </c>
      <c r="C4168" t="s">
        <v>85</v>
      </c>
      <c r="D4168" t="s">
        <v>20</v>
      </c>
      <c r="E4168" t="s">
        <v>21</v>
      </c>
      <c r="F4168" s="1">
        <v>44621</v>
      </c>
      <c r="G4168">
        <v>4.4000000000000004</v>
      </c>
      <c r="H4168">
        <v>79.674099999999996</v>
      </c>
      <c r="I4168">
        <v>21.48</v>
      </c>
      <c r="J4168">
        <v>91.28</v>
      </c>
      <c r="K4168" t="s">
        <v>30</v>
      </c>
      <c r="L4168">
        <v>311.74</v>
      </c>
      <c r="M4168">
        <f>VLOOKUP(K4168,RatingLookup!$A$2:$C$8,2,FALSE)</f>
        <v>1.4999999999999999E-2</v>
      </c>
      <c r="N4168">
        <f t="shared" si="195"/>
        <v>1.2586770182638762E-3</v>
      </c>
      <c r="O4168">
        <f>VLOOKUP(K4168,RatingLookup!$A$2:$C$8,3,FALSE)</f>
        <v>0.5</v>
      </c>
      <c r="P4168">
        <f t="shared" si="196"/>
        <v>0.1961899868367904</v>
      </c>
      <c r="Q4168" t="str">
        <f t="shared" ca="1" si="197"/>
        <v>No</v>
      </c>
    </row>
    <row r="4169" spans="1:17" x14ac:dyDescent="0.45">
      <c r="A4169" t="s">
        <v>174</v>
      </c>
      <c r="B4169" t="s">
        <v>175</v>
      </c>
      <c r="C4169" t="s">
        <v>85</v>
      </c>
      <c r="D4169" t="s">
        <v>20</v>
      </c>
      <c r="E4169" t="s">
        <v>21</v>
      </c>
      <c r="F4169" s="1">
        <v>44652</v>
      </c>
      <c r="G4169">
        <v>5.75</v>
      </c>
      <c r="H4169">
        <v>82.851500000000001</v>
      </c>
      <c r="I4169">
        <v>19.059999999999999</v>
      </c>
      <c r="J4169">
        <v>58.27</v>
      </c>
      <c r="K4169" t="s">
        <v>30</v>
      </c>
      <c r="L4169">
        <v>284.99</v>
      </c>
      <c r="M4169">
        <f>VLOOKUP(K4169,RatingLookup!$A$2:$C$8,2,FALSE)</f>
        <v>1.4999999999999999E-2</v>
      </c>
      <c r="N4169">
        <f t="shared" si="195"/>
        <v>1.2586770182638762E-3</v>
      </c>
      <c r="O4169">
        <f>VLOOKUP(K4169,RatingLookup!$A$2:$C$8,3,FALSE)</f>
        <v>0.5</v>
      </c>
      <c r="P4169">
        <f t="shared" si="196"/>
        <v>0.17935518171751105</v>
      </c>
      <c r="Q4169" t="str">
        <f t="shared" ca="1" si="197"/>
        <v>No</v>
      </c>
    </row>
    <row r="4170" spans="1:17" x14ac:dyDescent="0.45">
      <c r="A4170" t="s">
        <v>174</v>
      </c>
      <c r="B4170" t="s">
        <v>175</v>
      </c>
      <c r="C4170" t="s">
        <v>85</v>
      </c>
      <c r="D4170" t="s">
        <v>20</v>
      </c>
      <c r="E4170" t="s">
        <v>21</v>
      </c>
      <c r="F4170" s="1">
        <v>44682</v>
      </c>
      <c r="G4170">
        <v>5.54</v>
      </c>
      <c r="H4170">
        <v>83.058800000000005</v>
      </c>
      <c r="I4170">
        <v>18.87</v>
      </c>
      <c r="J4170">
        <v>70.260000000000005</v>
      </c>
      <c r="K4170" t="s">
        <v>30</v>
      </c>
      <c r="L4170">
        <v>258.12</v>
      </c>
      <c r="M4170">
        <f>VLOOKUP(K4170,RatingLookup!$A$2:$C$8,2,FALSE)</f>
        <v>1.4999999999999999E-2</v>
      </c>
      <c r="N4170">
        <f t="shared" si="195"/>
        <v>1.2586770182638762E-3</v>
      </c>
      <c r="O4170">
        <f>VLOOKUP(K4170,RatingLookup!$A$2:$C$8,3,FALSE)</f>
        <v>0.5</v>
      </c>
      <c r="P4170">
        <f t="shared" si="196"/>
        <v>0.16244485597713587</v>
      </c>
      <c r="Q4170" t="str">
        <f t="shared" ca="1" si="197"/>
        <v>No</v>
      </c>
    </row>
    <row r="4171" spans="1:17" x14ac:dyDescent="0.45">
      <c r="A4171" t="s">
        <v>174</v>
      </c>
      <c r="B4171" t="s">
        <v>175</v>
      </c>
      <c r="C4171" t="s">
        <v>85</v>
      </c>
      <c r="D4171" t="s">
        <v>20</v>
      </c>
      <c r="E4171" t="s">
        <v>21</v>
      </c>
      <c r="F4171" s="1">
        <v>44713</v>
      </c>
      <c r="G4171">
        <v>6.07</v>
      </c>
      <c r="H4171">
        <v>81.299000000000007</v>
      </c>
      <c r="I4171">
        <v>22.71</v>
      </c>
      <c r="J4171">
        <v>71.12</v>
      </c>
      <c r="K4171" t="s">
        <v>30</v>
      </c>
      <c r="L4171">
        <v>291.98</v>
      </c>
      <c r="M4171">
        <f>VLOOKUP(K4171,RatingLookup!$A$2:$C$8,2,FALSE)</f>
        <v>1.4999999999999999E-2</v>
      </c>
      <c r="N4171">
        <f t="shared" si="195"/>
        <v>1.2586770182638762E-3</v>
      </c>
      <c r="O4171">
        <f>VLOOKUP(K4171,RatingLookup!$A$2:$C$8,3,FALSE)</f>
        <v>0.5</v>
      </c>
      <c r="P4171">
        <f t="shared" si="196"/>
        <v>0.18375425789634331</v>
      </c>
      <c r="Q4171" t="str">
        <f t="shared" ca="1" si="197"/>
        <v>No</v>
      </c>
    </row>
    <row r="4172" spans="1:17" x14ac:dyDescent="0.45">
      <c r="A4172" t="s">
        <v>174</v>
      </c>
      <c r="B4172" t="s">
        <v>175</v>
      </c>
      <c r="C4172" t="s">
        <v>85</v>
      </c>
      <c r="D4172" t="s">
        <v>20</v>
      </c>
      <c r="E4172" t="s">
        <v>21</v>
      </c>
      <c r="F4172" s="1">
        <v>44743</v>
      </c>
      <c r="G4172">
        <v>5.87</v>
      </c>
      <c r="H4172">
        <v>81.889600000000002</v>
      </c>
      <c r="I4172">
        <v>20.89</v>
      </c>
      <c r="J4172">
        <v>77.44</v>
      </c>
      <c r="K4172" t="s">
        <v>30</v>
      </c>
      <c r="L4172">
        <v>247.53</v>
      </c>
      <c r="M4172">
        <f>VLOOKUP(K4172,RatingLookup!$A$2:$C$8,2,FALSE)</f>
        <v>1.4999999999999999E-2</v>
      </c>
      <c r="N4172">
        <f t="shared" si="195"/>
        <v>1.2586770182638762E-3</v>
      </c>
      <c r="O4172">
        <f>VLOOKUP(K4172,RatingLookup!$A$2:$C$8,3,FALSE)</f>
        <v>0.5</v>
      </c>
      <c r="P4172">
        <f t="shared" si="196"/>
        <v>0.15578016116542864</v>
      </c>
      <c r="Q4172" t="str">
        <f t="shared" ca="1" si="197"/>
        <v>No</v>
      </c>
    </row>
    <row r="4173" spans="1:17" x14ac:dyDescent="0.45">
      <c r="A4173" t="s">
        <v>174</v>
      </c>
      <c r="B4173" t="s">
        <v>175</v>
      </c>
      <c r="C4173" t="s">
        <v>85</v>
      </c>
      <c r="D4173" t="s">
        <v>20</v>
      </c>
      <c r="E4173" t="s">
        <v>21</v>
      </c>
      <c r="F4173" s="1">
        <v>44774</v>
      </c>
      <c r="G4173">
        <v>4.8600000000000003</v>
      </c>
      <c r="H4173">
        <v>87.766900000000007</v>
      </c>
      <c r="I4173">
        <v>13.9</v>
      </c>
      <c r="J4173">
        <v>65.010000000000005</v>
      </c>
      <c r="K4173" t="s">
        <v>30</v>
      </c>
      <c r="L4173">
        <v>270.89999999999998</v>
      </c>
      <c r="M4173">
        <f>VLOOKUP(K4173,RatingLookup!$A$2:$C$8,2,FALSE)</f>
        <v>1.4999999999999999E-2</v>
      </c>
      <c r="N4173">
        <f t="shared" si="195"/>
        <v>1.2586770182638762E-3</v>
      </c>
      <c r="O4173">
        <f>VLOOKUP(K4173,RatingLookup!$A$2:$C$8,3,FALSE)</f>
        <v>0.5</v>
      </c>
      <c r="P4173">
        <f t="shared" si="196"/>
        <v>0.17048780212384201</v>
      </c>
      <c r="Q4173" t="str">
        <f t="shared" ca="1" si="197"/>
        <v>No</v>
      </c>
    </row>
    <row r="4174" spans="1:17" x14ac:dyDescent="0.45">
      <c r="A4174" t="s">
        <v>174</v>
      </c>
      <c r="B4174" t="s">
        <v>175</v>
      </c>
      <c r="C4174" t="s">
        <v>85</v>
      </c>
      <c r="D4174" t="s">
        <v>20</v>
      </c>
      <c r="E4174" t="s">
        <v>21</v>
      </c>
      <c r="F4174" s="1">
        <v>44805</v>
      </c>
      <c r="G4174">
        <v>6.19</v>
      </c>
      <c r="H4174">
        <v>76.3369</v>
      </c>
      <c r="I4174">
        <v>23.32</v>
      </c>
      <c r="J4174">
        <v>77.27</v>
      </c>
      <c r="K4174" t="s">
        <v>30</v>
      </c>
      <c r="L4174">
        <v>272.29000000000002</v>
      </c>
      <c r="M4174">
        <f>VLOOKUP(K4174,RatingLookup!$A$2:$C$8,2,FALSE)</f>
        <v>1.4999999999999999E-2</v>
      </c>
      <c r="N4174">
        <f t="shared" si="195"/>
        <v>1.2586770182638762E-3</v>
      </c>
      <c r="O4174">
        <f>VLOOKUP(K4174,RatingLookup!$A$2:$C$8,3,FALSE)</f>
        <v>0.5</v>
      </c>
      <c r="P4174">
        <f t="shared" si="196"/>
        <v>0.17136258265153545</v>
      </c>
      <c r="Q4174" t="str">
        <f t="shared" ca="1" si="197"/>
        <v>No</v>
      </c>
    </row>
    <row r="4175" spans="1:17" x14ac:dyDescent="0.45">
      <c r="A4175" t="s">
        <v>174</v>
      </c>
      <c r="B4175" t="s">
        <v>175</v>
      </c>
      <c r="C4175" t="s">
        <v>85</v>
      </c>
      <c r="D4175" t="s">
        <v>20</v>
      </c>
      <c r="E4175" t="s">
        <v>21</v>
      </c>
      <c r="F4175" s="1">
        <v>44835</v>
      </c>
      <c r="G4175">
        <v>5.3</v>
      </c>
      <c r="H4175">
        <v>80.800799999999995</v>
      </c>
      <c r="I4175">
        <v>30.42</v>
      </c>
      <c r="J4175">
        <v>78.94</v>
      </c>
      <c r="K4175" t="s">
        <v>30</v>
      </c>
      <c r="L4175">
        <v>255.57</v>
      </c>
      <c r="M4175">
        <f>VLOOKUP(K4175,RatingLookup!$A$2:$C$8,2,FALSE)</f>
        <v>1.4999999999999999E-2</v>
      </c>
      <c r="N4175">
        <f t="shared" si="195"/>
        <v>1.2586770182638762E-3</v>
      </c>
      <c r="O4175">
        <f>VLOOKUP(K4175,RatingLookup!$A$2:$C$8,3,FALSE)</f>
        <v>0.5</v>
      </c>
      <c r="P4175">
        <f t="shared" si="196"/>
        <v>0.16084004277884942</v>
      </c>
      <c r="Q4175" t="str">
        <f t="shared" ca="1" si="197"/>
        <v>No</v>
      </c>
    </row>
    <row r="4176" spans="1:17" x14ac:dyDescent="0.45">
      <c r="A4176" t="s">
        <v>174</v>
      </c>
      <c r="B4176" t="s">
        <v>175</v>
      </c>
      <c r="C4176" t="s">
        <v>85</v>
      </c>
      <c r="D4176" t="s">
        <v>20</v>
      </c>
      <c r="E4176" t="s">
        <v>21</v>
      </c>
      <c r="F4176" s="1">
        <v>44866</v>
      </c>
      <c r="G4176">
        <v>5.56</v>
      </c>
      <c r="H4176">
        <v>82.398399999999995</v>
      </c>
      <c r="I4176">
        <v>15.14</v>
      </c>
      <c r="J4176">
        <v>65.739999999999995</v>
      </c>
      <c r="K4176" t="s">
        <v>30</v>
      </c>
      <c r="L4176">
        <v>247.28</v>
      </c>
      <c r="M4176">
        <f>VLOOKUP(K4176,RatingLookup!$A$2:$C$8,2,FALSE)</f>
        <v>1.4999999999999999E-2</v>
      </c>
      <c r="N4176">
        <f t="shared" si="195"/>
        <v>1.2586770182638762E-3</v>
      </c>
      <c r="O4176">
        <f>VLOOKUP(K4176,RatingLookup!$A$2:$C$8,3,FALSE)</f>
        <v>0.5</v>
      </c>
      <c r="P4176">
        <f t="shared" si="196"/>
        <v>0.15562282653814566</v>
      </c>
      <c r="Q4176" t="str">
        <f t="shared" ca="1" si="197"/>
        <v>No</v>
      </c>
    </row>
    <row r="4177" spans="1:17" x14ac:dyDescent="0.45">
      <c r="A4177" t="s">
        <v>174</v>
      </c>
      <c r="B4177" t="s">
        <v>175</v>
      </c>
      <c r="C4177" t="s">
        <v>85</v>
      </c>
      <c r="D4177" t="s">
        <v>20</v>
      </c>
      <c r="E4177" t="s">
        <v>21</v>
      </c>
      <c r="F4177" s="1">
        <v>44896</v>
      </c>
      <c r="G4177">
        <v>5</v>
      </c>
      <c r="H4177">
        <v>82.293000000000006</v>
      </c>
      <c r="I4177">
        <v>9.56</v>
      </c>
      <c r="J4177">
        <v>78.56</v>
      </c>
      <c r="K4177" t="s">
        <v>30</v>
      </c>
      <c r="L4177">
        <v>266.48</v>
      </c>
      <c r="M4177">
        <f>VLOOKUP(K4177,RatingLookup!$A$2:$C$8,2,FALSE)</f>
        <v>1.4999999999999999E-2</v>
      </c>
      <c r="N4177">
        <f t="shared" si="195"/>
        <v>1.2586770182638762E-3</v>
      </c>
      <c r="O4177">
        <f>VLOOKUP(K4177,RatingLookup!$A$2:$C$8,3,FALSE)</f>
        <v>0.5</v>
      </c>
      <c r="P4177">
        <f t="shared" si="196"/>
        <v>0.16770612591347889</v>
      </c>
      <c r="Q4177" t="str">
        <f t="shared" ca="1" si="197"/>
        <v>No</v>
      </c>
    </row>
    <row r="4178" spans="1:17" x14ac:dyDescent="0.45">
      <c r="A4178" t="s">
        <v>174</v>
      </c>
      <c r="B4178" t="s">
        <v>175</v>
      </c>
      <c r="C4178" t="s">
        <v>85</v>
      </c>
      <c r="D4178" t="s">
        <v>20</v>
      </c>
      <c r="E4178" t="s">
        <v>21</v>
      </c>
      <c r="F4178" s="1">
        <v>44927</v>
      </c>
      <c r="G4178">
        <v>5.15</v>
      </c>
      <c r="H4178">
        <v>82.111699999999999</v>
      </c>
      <c r="I4178">
        <v>18.53</v>
      </c>
      <c r="J4178">
        <v>56</v>
      </c>
      <c r="K4178" t="s">
        <v>30</v>
      </c>
      <c r="L4178">
        <v>250.35</v>
      </c>
      <c r="M4178">
        <f>VLOOKUP(K4178,RatingLookup!$A$2:$C$8,2,FALSE)</f>
        <v>1.4999999999999999E-2</v>
      </c>
      <c r="N4178">
        <f t="shared" si="195"/>
        <v>1.2586770182638762E-3</v>
      </c>
      <c r="O4178">
        <f>VLOOKUP(K4178,RatingLookup!$A$2:$C$8,3,FALSE)</f>
        <v>0.5</v>
      </c>
      <c r="P4178">
        <f t="shared" si="196"/>
        <v>0.1575548957611807</v>
      </c>
      <c r="Q4178" t="str">
        <f t="shared" ca="1" si="197"/>
        <v>No</v>
      </c>
    </row>
    <row r="4179" spans="1:17" x14ac:dyDescent="0.45">
      <c r="A4179" t="s">
        <v>174</v>
      </c>
      <c r="B4179" t="s">
        <v>175</v>
      </c>
      <c r="C4179" t="s">
        <v>85</v>
      </c>
      <c r="D4179" t="s">
        <v>20</v>
      </c>
      <c r="E4179" t="s">
        <v>21</v>
      </c>
      <c r="F4179" s="1">
        <v>44958</v>
      </c>
      <c r="G4179">
        <v>5.18</v>
      </c>
      <c r="H4179">
        <v>84.191299999999998</v>
      </c>
      <c r="I4179">
        <v>28.68</v>
      </c>
      <c r="J4179">
        <v>76.03</v>
      </c>
      <c r="K4179" t="s">
        <v>30</v>
      </c>
      <c r="L4179">
        <v>266.64</v>
      </c>
      <c r="M4179">
        <f>VLOOKUP(K4179,RatingLookup!$A$2:$C$8,2,FALSE)</f>
        <v>1.4999999999999999E-2</v>
      </c>
      <c r="N4179">
        <f t="shared" si="195"/>
        <v>1.2586770182638762E-3</v>
      </c>
      <c r="O4179">
        <f>VLOOKUP(K4179,RatingLookup!$A$2:$C$8,3,FALSE)</f>
        <v>0.5</v>
      </c>
      <c r="P4179">
        <f t="shared" si="196"/>
        <v>0.16780682007493997</v>
      </c>
      <c r="Q4179" t="str">
        <f t="shared" ca="1" si="197"/>
        <v>No</v>
      </c>
    </row>
    <row r="4180" spans="1:17" x14ac:dyDescent="0.45">
      <c r="A4180" t="s">
        <v>174</v>
      </c>
      <c r="B4180" t="s">
        <v>175</v>
      </c>
      <c r="C4180" t="s">
        <v>85</v>
      </c>
      <c r="D4180" t="s">
        <v>20</v>
      </c>
      <c r="E4180" t="s">
        <v>21</v>
      </c>
      <c r="F4180" s="1">
        <v>44986</v>
      </c>
      <c r="G4180">
        <v>5.82</v>
      </c>
      <c r="H4180">
        <v>83.032700000000006</v>
      </c>
      <c r="I4180">
        <v>15.03</v>
      </c>
      <c r="J4180">
        <v>81.53</v>
      </c>
      <c r="K4180" t="s">
        <v>30</v>
      </c>
      <c r="L4180">
        <v>263.87</v>
      </c>
      <c r="M4180">
        <f>VLOOKUP(K4180,RatingLookup!$A$2:$C$8,2,FALSE)</f>
        <v>1.4999999999999999E-2</v>
      </c>
      <c r="N4180">
        <f t="shared" si="195"/>
        <v>1.2586770182638762E-3</v>
      </c>
      <c r="O4180">
        <f>VLOOKUP(K4180,RatingLookup!$A$2:$C$8,3,FALSE)</f>
        <v>0.5</v>
      </c>
      <c r="P4180">
        <f t="shared" si="196"/>
        <v>0.16606355240464452</v>
      </c>
      <c r="Q4180" t="str">
        <f t="shared" ca="1" si="197"/>
        <v>No</v>
      </c>
    </row>
    <row r="4181" spans="1:17" x14ac:dyDescent="0.45">
      <c r="A4181" t="s">
        <v>174</v>
      </c>
      <c r="B4181" t="s">
        <v>175</v>
      </c>
      <c r="C4181" t="s">
        <v>85</v>
      </c>
      <c r="D4181" t="s">
        <v>20</v>
      </c>
      <c r="E4181" t="s">
        <v>21</v>
      </c>
      <c r="F4181" s="1">
        <v>45017</v>
      </c>
      <c r="G4181">
        <v>6.33</v>
      </c>
      <c r="H4181">
        <v>86.941699999999997</v>
      </c>
      <c r="I4181">
        <v>17.7</v>
      </c>
      <c r="J4181">
        <v>71.39</v>
      </c>
      <c r="K4181" t="s">
        <v>30</v>
      </c>
      <c r="L4181">
        <v>265.75</v>
      </c>
      <c r="M4181">
        <f>VLOOKUP(K4181,RatingLookup!$A$2:$C$8,2,FALSE)</f>
        <v>1.4999999999999999E-2</v>
      </c>
      <c r="N4181">
        <f t="shared" si="195"/>
        <v>1.2586770182638762E-3</v>
      </c>
      <c r="O4181">
        <f>VLOOKUP(K4181,RatingLookup!$A$2:$C$8,3,FALSE)</f>
        <v>0.5</v>
      </c>
      <c r="P4181">
        <f t="shared" si="196"/>
        <v>0.16724670880181255</v>
      </c>
      <c r="Q4181" t="str">
        <f t="shared" ca="1" si="197"/>
        <v>No</v>
      </c>
    </row>
    <row r="4182" spans="1:17" x14ac:dyDescent="0.45">
      <c r="A4182" t="s">
        <v>174</v>
      </c>
      <c r="B4182" t="s">
        <v>175</v>
      </c>
      <c r="C4182" t="s">
        <v>85</v>
      </c>
      <c r="D4182" t="s">
        <v>20</v>
      </c>
      <c r="E4182" t="s">
        <v>21</v>
      </c>
      <c r="F4182" s="1">
        <v>45047</v>
      </c>
      <c r="G4182">
        <v>5.39</v>
      </c>
      <c r="H4182">
        <v>83.674300000000002</v>
      </c>
      <c r="I4182">
        <v>19.53</v>
      </c>
      <c r="J4182">
        <v>74.38</v>
      </c>
      <c r="K4182" t="s">
        <v>30</v>
      </c>
      <c r="L4182">
        <v>274</v>
      </c>
      <c r="M4182">
        <f>VLOOKUP(K4182,RatingLookup!$A$2:$C$8,2,FALSE)</f>
        <v>1.4999999999999999E-2</v>
      </c>
      <c r="N4182">
        <f t="shared" si="195"/>
        <v>1.2586770182638762E-3</v>
      </c>
      <c r="O4182">
        <f>VLOOKUP(K4182,RatingLookup!$A$2:$C$8,3,FALSE)</f>
        <v>0.5</v>
      </c>
      <c r="P4182">
        <f t="shared" si="196"/>
        <v>0.17243875150215104</v>
      </c>
      <c r="Q4182" t="str">
        <f t="shared" ca="1" si="197"/>
        <v>No</v>
      </c>
    </row>
    <row r="4183" spans="1:17" x14ac:dyDescent="0.45">
      <c r="A4183" t="s">
        <v>174</v>
      </c>
      <c r="B4183" t="s">
        <v>175</v>
      </c>
      <c r="C4183" t="s">
        <v>85</v>
      </c>
      <c r="D4183" t="s">
        <v>20</v>
      </c>
      <c r="E4183" t="s">
        <v>21</v>
      </c>
      <c r="F4183" s="1">
        <v>45078</v>
      </c>
      <c r="G4183">
        <v>5.09</v>
      </c>
      <c r="H4183">
        <v>80.736999999999995</v>
      </c>
      <c r="I4183">
        <v>23.71</v>
      </c>
      <c r="J4183">
        <v>85.39</v>
      </c>
      <c r="K4183" t="s">
        <v>30</v>
      </c>
      <c r="L4183">
        <v>284.45</v>
      </c>
      <c r="M4183">
        <f>VLOOKUP(K4183,RatingLookup!$A$2:$C$8,2,FALSE)</f>
        <v>1.4999999999999999E-2</v>
      </c>
      <c r="N4183">
        <f t="shared" si="195"/>
        <v>1.2586770182638762E-3</v>
      </c>
      <c r="O4183">
        <f>VLOOKUP(K4183,RatingLookup!$A$2:$C$8,3,FALSE)</f>
        <v>0.5</v>
      </c>
      <c r="P4183">
        <f t="shared" si="196"/>
        <v>0.17901533892257979</v>
      </c>
      <c r="Q4183" t="str">
        <f t="shared" ca="1" si="197"/>
        <v>No</v>
      </c>
    </row>
    <row r="4184" spans="1:17" x14ac:dyDescent="0.45">
      <c r="A4184" t="s">
        <v>174</v>
      </c>
      <c r="B4184" t="s">
        <v>175</v>
      </c>
      <c r="C4184" t="s">
        <v>85</v>
      </c>
      <c r="D4184" t="s">
        <v>20</v>
      </c>
      <c r="E4184" t="s">
        <v>21</v>
      </c>
      <c r="F4184" s="1">
        <v>45108</v>
      </c>
      <c r="G4184">
        <v>5.28</v>
      </c>
      <c r="H4184">
        <v>86.206800000000001</v>
      </c>
      <c r="I4184">
        <v>18.920000000000002</v>
      </c>
      <c r="J4184">
        <v>84.71</v>
      </c>
      <c r="K4184" t="s">
        <v>22</v>
      </c>
      <c r="L4184">
        <v>287.72000000000003</v>
      </c>
      <c r="M4184">
        <f>VLOOKUP(K4184,RatingLookup!$A$2:$C$8,2,FALSE)</f>
        <v>5.0000000000000001E-3</v>
      </c>
      <c r="N4184">
        <f t="shared" si="195"/>
        <v>4.1762458919303302E-4</v>
      </c>
      <c r="O4184">
        <f>VLOOKUP(K4184,RatingLookup!$A$2:$C$8,3,FALSE)</f>
        <v>0.45</v>
      </c>
      <c r="P4184">
        <f t="shared" si="196"/>
        <v>5.4071526061178765E-2</v>
      </c>
      <c r="Q4184" t="str">
        <f t="shared" ca="1" si="197"/>
        <v>No</v>
      </c>
    </row>
    <row r="4185" spans="1:17" x14ac:dyDescent="0.45">
      <c r="A4185" t="s">
        <v>174</v>
      </c>
      <c r="B4185" t="s">
        <v>175</v>
      </c>
      <c r="C4185" t="s">
        <v>85</v>
      </c>
      <c r="D4185" t="s">
        <v>20</v>
      </c>
      <c r="E4185" t="s">
        <v>21</v>
      </c>
      <c r="F4185" s="1">
        <v>45139</v>
      </c>
      <c r="G4185">
        <v>5.46</v>
      </c>
      <c r="H4185">
        <v>85.842100000000002</v>
      </c>
      <c r="I4185">
        <v>17.27</v>
      </c>
      <c r="J4185">
        <v>89.23</v>
      </c>
      <c r="K4185" t="s">
        <v>22</v>
      </c>
      <c r="L4185">
        <v>259.41000000000003</v>
      </c>
      <c r="M4185">
        <f>VLOOKUP(K4185,RatingLookup!$A$2:$C$8,2,FALSE)</f>
        <v>5.0000000000000001E-3</v>
      </c>
      <c r="N4185">
        <f t="shared" si="195"/>
        <v>4.1762458919303302E-4</v>
      </c>
      <c r="O4185">
        <f>VLOOKUP(K4185,RatingLookup!$A$2:$C$8,3,FALSE)</f>
        <v>0.45</v>
      </c>
      <c r="P4185">
        <f t="shared" si="196"/>
        <v>4.8751197607154115E-2</v>
      </c>
      <c r="Q4185" t="str">
        <f t="shared" ca="1" si="197"/>
        <v>No</v>
      </c>
    </row>
    <row r="4186" spans="1:17" x14ac:dyDescent="0.45">
      <c r="A4186" t="s">
        <v>174</v>
      </c>
      <c r="B4186" t="s">
        <v>175</v>
      </c>
      <c r="C4186" t="s">
        <v>85</v>
      </c>
      <c r="D4186" t="s">
        <v>20</v>
      </c>
      <c r="E4186" t="s">
        <v>21</v>
      </c>
      <c r="F4186" s="1">
        <v>45170</v>
      </c>
      <c r="G4186">
        <v>4.55</v>
      </c>
      <c r="H4186">
        <v>83.875699999999995</v>
      </c>
      <c r="I4186">
        <v>13.55</v>
      </c>
      <c r="J4186">
        <v>83.16</v>
      </c>
      <c r="K4186" t="s">
        <v>22</v>
      </c>
      <c r="L4186">
        <v>262</v>
      </c>
      <c r="M4186">
        <f>VLOOKUP(K4186,RatingLookup!$A$2:$C$8,2,FALSE)</f>
        <v>5.0000000000000001E-3</v>
      </c>
      <c r="N4186">
        <f t="shared" si="195"/>
        <v>4.1762458919303302E-4</v>
      </c>
      <c r="O4186">
        <f>VLOOKUP(K4186,RatingLookup!$A$2:$C$8,3,FALSE)</f>
        <v>0.45</v>
      </c>
      <c r="P4186">
        <f t="shared" si="196"/>
        <v>4.9237939065858598E-2</v>
      </c>
      <c r="Q4186" t="str">
        <f t="shared" ca="1" si="197"/>
        <v>No</v>
      </c>
    </row>
    <row r="4187" spans="1:17" x14ac:dyDescent="0.45">
      <c r="A4187" t="s">
        <v>174</v>
      </c>
      <c r="B4187" t="s">
        <v>175</v>
      </c>
      <c r="C4187" t="s">
        <v>85</v>
      </c>
      <c r="D4187" t="s">
        <v>20</v>
      </c>
      <c r="E4187" t="s">
        <v>21</v>
      </c>
      <c r="F4187" s="1">
        <v>45200</v>
      </c>
      <c r="G4187">
        <v>4.5</v>
      </c>
      <c r="H4187">
        <v>82.500200000000007</v>
      </c>
      <c r="I4187">
        <v>19.11</v>
      </c>
      <c r="J4187">
        <v>80.900000000000006</v>
      </c>
      <c r="K4187" t="s">
        <v>22</v>
      </c>
      <c r="L4187">
        <v>277.19</v>
      </c>
      <c r="M4187">
        <f>VLOOKUP(K4187,RatingLookup!$A$2:$C$8,2,FALSE)</f>
        <v>5.0000000000000001E-3</v>
      </c>
      <c r="N4187">
        <f t="shared" si="195"/>
        <v>4.1762458919303302E-4</v>
      </c>
      <c r="O4187">
        <f>VLOOKUP(K4187,RatingLookup!$A$2:$C$8,3,FALSE)</f>
        <v>0.45</v>
      </c>
      <c r="P4187">
        <f t="shared" si="196"/>
        <v>5.2092611945287567E-2</v>
      </c>
      <c r="Q4187" t="str">
        <f t="shared" ca="1" si="197"/>
        <v>No</v>
      </c>
    </row>
    <row r="4188" spans="1:17" x14ac:dyDescent="0.45">
      <c r="A4188" t="s">
        <v>174</v>
      </c>
      <c r="B4188" t="s">
        <v>175</v>
      </c>
      <c r="C4188" t="s">
        <v>85</v>
      </c>
      <c r="D4188" t="s">
        <v>20</v>
      </c>
      <c r="E4188" t="s">
        <v>21</v>
      </c>
      <c r="F4188" s="1">
        <v>45231</v>
      </c>
      <c r="G4188">
        <v>4.3600000000000003</v>
      </c>
      <c r="H4188">
        <v>81.990200000000002</v>
      </c>
      <c r="I4188">
        <v>19.329999999999998</v>
      </c>
      <c r="J4188">
        <v>66.989999999999995</v>
      </c>
      <c r="K4188" t="s">
        <v>22</v>
      </c>
      <c r="L4188">
        <v>272.91000000000003</v>
      </c>
      <c r="M4188">
        <f>VLOOKUP(K4188,RatingLookup!$A$2:$C$8,2,FALSE)</f>
        <v>5.0000000000000001E-3</v>
      </c>
      <c r="N4188">
        <f t="shared" si="195"/>
        <v>4.1762458919303302E-4</v>
      </c>
      <c r="O4188">
        <f>VLOOKUP(K4188,RatingLookup!$A$2:$C$8,3,FALSE)</f>
        <v>0.45</v>
      </c>
      <c r="P4188">
        <f t="shared" si="196"/>
        <v>5.1288266986501796E-2</v>
      </c>
      <c r="Q4188" t="str">
        <f t="shared" ca="1" si="197"/>
        <v>No</v>
      </c>
    </row>
    <row r="4189" spans="1:17" x14ac:dyDescent="0.45">
      <c r="A4189" t="s">
        <v>174</v>
      </c>
      <c r="B4189" t="s">
        <v>175</v>
      </c>
      <c r="C4189" t="s">
        <v>85</v>
      </c>
      <c r="D4189" t="s">
        <v>20</v>
      </c>
      <c r="E4189" t="s">
        <v>21</v>
      </c>
      <c r="F4189" s="1">
        <v>45261</v>
      </c>
      <c r="G4189">
        <v>5.36</v>
      </c>
      <c r="H4189">
        <v>85.313999999999993</v>
      </c>
      <c r="I4189">
        <v>18.059999999999999</v>
      </c>
      <c r="J4189">
        <v>88.3</v>
      </c>
      <c r="K4189" t="s">
        <v>22</v>
      </c>
      <c r="L4189">
        <v>296.55</v>
      </c>
      <c r="M4189">
        <f>VLOOKUP(K4189,RatingLookup!$A$2:$C$8,2,FALSE)</f>
        <v>5.0000000000000001E-3</v>
      </c>
      <c r="N4189">
        <f t="shared" si="195"/>
        <v>4.1762458919303302E-4</v>
      </c>
      <c r="O4189">
        <f>VLOOKUP(K4189,RatingLookup!$A$2:$C$8,3,FALSE)</f>
        <v>0.45</v>
      </c>
      <c r="P4189">
        <f t="shared" si="196"/>
        <v>5.5730957366337278E-2</v>
      </c>
      <c r="Q4189" t="str">
        <f t="shared" ca="1" si="197"/>
        <v>No</v>
      </c>
    </row>
    <row r="4190" spans="1:17" x14ac:dyDescent="0.45">
      <c r="A4190" t="s">
        <v>174</v>
      </c>
      <c r="B4190" t="s">
        <v>175</v>
      </c>
      <c r="C4190" t="s">
        <v>85</v>
      </c>
      <c r="D4190" t="s">
        <v>20</v>
      </c>
      <c r="E4190" t="s">
        <v>21</v>
      </c>
      <c r="F4190" s="1">
        <v>45292</v>
      </c>
      <c r="G4190">
        <v>5.73</v>
      </c>
      <c r="H4190">
        <v>82.816299999999998</v>
      </c>
      <c r="I4190">
        <v>25.85</v>
      </c>
      <c r="J4190">
        <v>65.17</v>
      </c>
      <c r="K4190" t="s">
        <v>22</v>
      </c>
      <c r="L4190">
        <v>279.36</v>
      </c>
      <c r="M4190">
        <f>VLOOKUP(K4190,RatingLookup!$A$2:$C$8,2,FALSE)</f>
        <v>5.0000000000000001E-3</v>
      </c>
      <c r="N4190">
        <f t="shared" si="195"/>
        <v>4.1762458919303302E-4</v>
      </c>
      <c r="O4190">
        <f>VLOOKUP(K4190,RatingLookup!$A$2:$C$8,3,FALSE)</f>
        <v>0.45</v>
      </c>
      <c r="P4190">
        <f t="shared" si="196"/>
        <v>5.2500422356634567E-2</v>
      </c>
      <c r="Q4190" t="str">
        <f t="shared" ca="1" si="197"/>
        <v>No</v>
      </c>
    </row>
    <row r="4191" spans="1:17" x14ac:dyDescent="0.45">
      <c r="A4191" t="s">
        <v>174</v>
      </c>
      <c r="B4191" t="s">
        <v>175</v>
      </c>
      <c r="C4191" t="s">
        <v>85</v>
      </c>
      <c r="D4191" t="s">
        <v>20</v>
      </c>
      <c r="E4191" t="s">
        <v>21</v>
      </c>
      <c r="F4191" s="1">
        <v>45323</v>
      </c>
      <c r="G4191">
        <v>4.75</v>
      </c>
      <c r="H4191">
        <v>78.795599999999993</v>
      </c>
      <c r="I4191">
        <v>14.02</v>
      </c>
      <c r="J4191">
        <v>78.08</v>
      </c>
      <c r="K4191" t="s">
        <v>23</v>
      </c>
      <c r="L4191">
        <v>277.7</v>
      </c>
      <c r="M4191">
        <f>VLOOKUP(K4191,RatingLookup!$A$2:$C$8,2,FALSE)</f>
        <v>1E-3</v>
      </c>
      <c r="N4191">
        <f t="shared" si="195"/>
        <v>8.3371552197619714E-5</v>
      </c>
      <c r="O4191">
        <f>VLOOKUP(K4191,RatingLookup!$A$2:$C$8,3,FALSE)</f>
        <v>0.3</v>
      </c>
      <c r="P4191">
        <f t="shared" si="196"/>
        <v>6.9456840135836981E-3</v>
      </c>
      <c r="Q4191" t="str">
        <f t="shared" ca="1" si="197"/>
        <v>No</v>
      </c>
    </row>
    <row r="4192" spans="1:17" x14ac:dyDescent="0.45">
      <c r="A4192" t="s">
        <v>174</v>
      </c>
      <c r="B4192" t="s">
        <v>175</v>
      </c>
      <c r="C4192" t="s">
        <v>85</v>
      </c>
      <c r="D4192" t="s">
        <v>20</v>
      </c>
      <c r="E4192" t="s">
        <v>21</v>
      </c>
      <c r="F4192" s="1">
        <v>45352</v>
      </c>
      <c r="G4192">
        <v>5.22</v>
      </c>
      <c r="H4192">
        <v>87.539699999999996</v>
      </c>
      <c r="I4192">
        <v>24.77</v>
      </c>
      <c r="J4192">
        <v>79.37</v>
      </c>
      <c r="K4192" t="s">
        <v>23</v>
      </c>
      <c r="L4192">
        <v>268.92</v>
      </c>
      <c r="M4192">
        <f>VLOOKUP(K4192,RatingLookup!$A$2:$C$8,2,FALSE)</f>
        <v>1E-3</v>
      </c>
      <c r="N4192">
        <f t="shared" si="195"/>
        <v>8.3371552197619714E-5</v>
      </c>
      <c r="O4192">
        <f>VLOOKUP(K4192,RatingLookup!$A$2:$C$8,3,FALSE)</f>
        <v>0.3</v>
      </c>
      <c r="P4192">
        <f t="shared" si="196"/>
        <v>6.7260833450951685E-3</v>
      </c>
      <c r="Q4192" t="str">
        <f t="shared" ca="1" si="197"/>
        <v>No</v>
      </c>
    </row>
    <row r="4193" spans="1:17" x14ac:dyDescent="0.45">
      <c r="A4193" t="s">
        <v>174</v>
      </c>
      <c r="B4193" t="s">
        <v>175</v>
      </c>
      <c r="C4193" t="s">
        <v>85</v>
      </c>
      <c r="D4193" t="s">
        <v>20</v>
      </c>
      <c r="E4193" t="s">
        <v>21</v>
      </c>
      <c r="F4193" s="1">
        <v>45383</v>
      </c>
      <c r="G4193">
        <v>5.0999999999999996</v>
      </c>
      <c r="H4193">
        <v>83.757000000000005</v>
      </c>
      <c r="I4193">
        <v>5.85</v>
      </c>
      <c r="J4193">
        <v>75.16</v>
      </c>
      <c r="K4193" t="s">
        <v>23</v>
      </c>
      <c r="L4193">
        <v>273.02</v>
      </c>
      <c r="M4193">
        <f>VLOOKUP(K4193,RatingLookup!$A$2:$C$8,2,FALSE)</f>
        <v>1E-3</v>
      </c>
      <c r="N4193">
        <f t="shared" si="195"/>
        <v>8.3371552197619714E-5</v>
      </c>
      <c r="O4193">
        <f>VLOOKUP(K4193,RatingLookup!$A$2:$C$8,3,FALSE)</f>
        <v>0.3</v>
      </c>
      <c r="P4193">
        <f t="shared" si="196"/>
        <v>6.8286303542982396E-3</v>
      </c>
      <c r="Q4193" t="str">
        <f t="shared" ca="1" si="197"/>
        <v>No</v>
      </c>
    </row>
    <row r="4194" spans="1:17" x14ac:dyDescent="0.45">
      <c r="A4194" t="s">
        <v>174</v>
      </c>
      <c r="B4194" t="s">
        <v>175</v>
      </c>
      <c r="C4194" t="s">
        <v>85</v>
      </c>
      <c r="D4194" t="s">
        <v>20</v>
      </c>
      <c r="E4194" t="s">
        <v>21</v>
      </c>
      <c r="F4194" s="1">
        <v>45413</v>
      </c>
      <c r="G4194">
        <v>5.34</v>
      </c>
      <c r="H4194">
        <v>81.691000000000003</v>
      </c>
      <c r="I4194">
        <v>15.6</v>
      </c>
      <c r="J4194">
        <v>90.19</v>
      </c>
      <c r="K4194" t="s">
        <v>23</v>
      </c>
      <c r="L4194">
        <v>272.93</v>
      </c>
      <c r="M4194">
        <f>VLOOKUP(K4194,RatingLookup!$A$2:$C$8,2,FALSE)</f>
        <v>1E-3</v>
      </c>
      <c r="N4194">
        <f t="shared" si="195"/>
        <v>8.3371552197619714E-5</v>
      </c>
      <c r="O4194">
        <f>VLOOKUP(K4194,RatingLookup!$A$2:$C$8,3,FALSE)</f>
        <v>0.3</v>
      </c>
      <c r="P4194">
        <f t="shared" si="196"/>
        <v>6.8263793223889042E-3</v>
      </c>
      <c r="Q4194" t="str">
        <f t="shared" ca="1" si="197"/>
        <v>No</v>
      </c>
    </row>
    <row r="4195" spans="1:17" x14ac:dyDescent="0.45">
      <c r="A4195" t="s">
        <v>174</v>
      </c>
      <c r="B4195" t="s">
        <v>175</v>
      </c>
      <c r="C4195" t="s">
        <v>85</v>
      </c>
      <c r="D4195" t="s">
        <v>20</v>
      </c>
      <c r="E4195" t="s">
        <v>21</v>
      </c>
      <c r="F4195" s="1">
        <v>45444</v>
      </c>
      <c r="G4195">
        <v>4.7699999999999996</v>
      </c>
      <c r="H4195">
        <v>80.342100000000002</v>
      </c>
      <c r="I4195">
        <v>27.79</v>
      </c>
      <c r="J4195">
        <v>78.47</v>
      </c>
      <c r="K4195" t="s">
        <v>23</v>
      </c>
      <c r="L4195">
        <v>261.63</v>
      </c>
      <c r="M4195">
        <f>VLOOKUP(K4195,RatingLookup!$A$2:$C$8,2,FALSE)</f>
        <v>1E-3</v>
      </c>
      <c r="N4195">
        <f t="shared" si="195"/>
        <v>8.3371552197619714E-5</v>
      </c>
      <c r="O4195">
        <f>VLOOKUP(K4195,RatingLookup!$A$2:$C$8,3,FALSE)</f>
        <v>0.3</v>
      </c>
      <c r="P4195">
        <f t="shared" si="196"/>
        <v>6.5437497604389728E-3</v>
      </c>
      <c r="Q4195" t="str">
        <f t="shared" ca="1" si="197"/>
        <v>No</v>
      </c>
    </row>
    <row r="4196" spans="1:17" x14ac:dyDescent="0.45">
      <c r="A4196" t="s">
        <v>174</v>
      </c>
      <c r="B4196" t="s">
        <v>175</v>
      </c>
      <c r="C4196" t="s">
        <v>85</v>
      </c>
      <c r="D4196" t="s">
        <v>20</v>
      </c>
      <c r="E4196" t="s">
        <v>21</v>
      </c>
      <c r="F4196" s="1">
        <v>45474</v>
      </c>
      <c r="G4196">
        <v>5.38</v>
      </c>
      <c r="H4196">
        <v>81.858800000000002</v>
      </c>
      <c r="I4196">
        <v>10.76</v>
      </c>
      <c r="J4196">
        <v>76.239999999999995</v>
      </c>
      <c r="K4196" t="s">
        <v>23</v>
      </c>
      <c r="L4196">
        <v>268.41000000000003</v>
      </c>
      <c r="M4196">
        <f>VLOOKUP(K4196,RatingLookup!$A$2:$C$8,2,FALSE)</f>
        <v>1E-3</v>
      </c>
      <c r="N4196">
        <f t="shared" si="195"/>
        <v>8.3371552197619714E-5</v>
      </c>
      <c r="O4196">
        <f>VLOOKUP(K4196,RatingLookup!$A$2:$C$8,3,FALSE)</f>
        <v>0.3</v>
      </c>
      <c r="P4196">
        <f t="shared" si="196"/>
        <v>6.7133274976089322E-3</v>
      </c>
      <c r="Q4196" t="str">
        <f t="shared" ca="1" si="197"/>
        <v>No</v>
      </c>
    </row>
    <row r="4197" spans="1:17" x14ac:dyDescent="0.45">
      <c r="A4197" t="s">
        <v>174</v>
      </c>
      <c r="B4197" t="s">
        <v>175</v>
      </c>
      <c r="C4197" t="s">
        <v>85</v>
      </c>
      <c r="D4197" t="s">
        <v>20</v>
      </c>
      <c r="E4197" t="s">
        <v>21</v>
      </c>
      <c r="F4197" s="1">
        <v>45505</v>
      </c>
      <c r="G4197">
        <v>5.43</v>
      </c>
      <c r="H4197">
        <v>85.037099999999995</v>
      </c>
      <c r="I4197">
        <v>5</v>
      </c>
      <c r="J4197">
        <v>82.72</v>
      </c>
      <c r="K4197" t="s">
        <v>23</v>
      </c>
      <c r="L4197">
        <v>301.68</v>
      </c>
      <c r="M4197">
        <f>VLOOKUP(K4197,RatingLookup!$A$2:$C$8,2,FALSE)</f>
        <v>1E-3</v>
      </c>
      <c r="N4197">
        <f t="shared" si="195"/>
        <v>8.3371552197619714E-5</v>
      </c>
      <c r="O4197">
        <f>VLOOKUP(K4197,RatingLookup!$A$2:$C$8,3,FALSE)</f>
        <v>0.3</v>
      </c>
      <c r="P4197">
        <f t="shared" si="196"/>
        <v>7.5454589600933743E-3</v>
      </c>
      <c r="Q4197" t="str">
        <f t="shared" ca="1" si="197"/>
        <v>No</v>
      </c>
    </row>
    <row r="4198" spans="1:17" x14ac:dyDescent="0.45">
      <c r="A4198" t="s">
        <v>174</v>
      </c>
      <c r="B4198" t="s">
        <v>175</v>
      </c>
      <c r="C4198" t="s">
        <v>85</v>
      </c>
      <c r="D4198" t="s">
        <v>20</v>
      </c>
      <c r="E4198" t="s">
        <v>21</v>
      </c>
      <c r="F4198" s="1">
        <v>45536</v>
      </c>
      <c r="G4198">
        <v>4.84</v>
      </c>
      <c r="H4198">
        <v>80.926199999999994</v>
      </c>
      <c r="I4198">
        <v>18.11</v>
      </c>
      <c r="J4198">
        <v>79.14</v>
      </c>
      <c r="K4198" t="s">
        <v>23</v>
      </c>
      <c r="L4198">
        <v>292.02</v>
      </c>
      <c r="M4198">
        <f>VLOOKUP(K4198,RatingLookup!$A$2:$C$8,2,FALSE)</f>
        <v>1E-3</v>
      </c>
      <c r="N4198">
        <f t="shared" si="195"/>
        <v>8.3371552197619714E-5</v>
      </c>
      <c r="O4198">
        <f>VLOOKUP(K4198,RatingLookup!$A$2:$C$8,3,FALSE)</f>
        <v>0.3</v>
      </c>
      <c r="P4198">
        <f t="shared" si="196"/>
        <v>7.3038482018246715E-3</v>
      </c>
      <c r="Q4198" t="str">
        <f t="shared" ca="1" si="197"/>
        <v>No</v>
      </c>
    </row>
    <row r="4199" spans="1:17" x14ac:dyDescent="0.45">
      <c r="A4199" t="s">
        <v>174</v>
      </c>
      <c r="B4199" t="s">
        <v>175</v>
      </c>
      <c r="C4199" t="s">
        <v>85</v>
      </c>
      <c r="D4199" t="s">
        <v>20</v>
      </c>
      <c r="E4199" t="s">
        <v>21</v>
      </c>
      <c r="F4199" s="1">
        <v>45566</v>
      </c>
      <c r="G4199">
        <v>5.5</v>
      </c>
      <c r="H4199">
        <v>81.195999999999998</v>
      </c>
      <c r="I4199">
        <v>26.87</v>
      </c>
      <c r="J4199">
        <v>84.86</v>
      </c>
      <c r="K4199" t="s">
        <v>23</v>
      </c>
      <c r="L4199">
        <v>275.35000000000002</v>
      </c>
      <c r="M4199">
        <f>VLOOKUP(K4199,RatingLookup!$A$2:$C$8,2,FALSE)</f>
        <v>1E-3</v>
      </c>
      <c r="N4199">
        <f t="shared" si="195"/>
        <v>8.3371552197619714E-5</v>
      </c>
      <c r="O4199">
        <f>VLOOKUP(K4199,RatingLookup!$A$2:$C$8,3,FALSE)</f>
        <v>0.3</v>
      </c>
      <c r="P4199">
        <f t="shared" si="196"/>
        <v>6.8869070692843771E-3</v>
      </c>
      <c r="Q4199" t="str">
        <f t="shared" ca="1" si="197"/>
        <v>No</v>
      </c>
    </row>
    <row r="4200" spans="1:17" x14ac:dyDescent="0.45">
      <c r="A4200" t="s">
        <v>174</v>
      </c>
      <c r="B4200" t="s">
        <v>175</v>
      </c>
      <c r="C4200" t="s">
        <v>85</v>
      </c>
      <c r="D4200" t="s">
        <v>20</v>
      </c>
      <c r="E4200" t="s">
        <v>21</v>
      </c>
      <c r="F4200" s="1">
        <v>45597</v>
      </c>
      <c r="G4200">
        <v>5.66</v>
      </c>
      <c r="H4200">
        <v>81.116200000000006</v>
      </c>
      <c r="I4200">
        <v>19.68</v>
      </c>
      <c r="J4200">
        <v>80.760000000000005</v>
      </c>
      <c r="K4200" t="s">
        <v>23</v>
      </c>
      <c r="L4200">
        <v>287.58999999999997</v>
      </c>
      <c r="M4200">
        <f>VLOOKUP(K4200,RatingLookup!$A$2:$C$8,2,FALSE)</f>
        <v>1E-3</v>
      </c>
      <c r="N4200">
        <f t="shared" si="195"/>
        <v>8.3371552197619714E-5</v>
      </c>
      <c r="O4200">
        <f>VLOOKUP(K4200,RatingLookup!$A$2:$C$8,3,FALSE)</f>
        <v>0.3</v>
      </c>
      <c r="P4200">
        <f t="shared" si="196"/>
        <v>7.1930474089540349E-3</v>
      </c>
      <c r="Q4200" t="str">
        <f t="shared" ca="1" si="197"/>
        <v>No</v>
      </c>
    </row>
    <row r="4201" spans="1:17" x14ac:dyDescent="0.45">
      <c r="A4201" t="s">
        <v>174</v>
      </c>
      <c r="B4201" t="s">
        <v>175</v>
      </c>
      <c r="C4201" t="s">
        <v>85</v>
      </c>
      <c r="D4201" t="s">
        <v>20</v>
      </c>
      <c r="E4201" t="s">
        <v>21</v>
      </c>
      <c r="F4201" s="1">
        <v>45627</v>
      </c>
      <c r="G4201">
        <v>5.43</v>
      </c>
      <c r="H4201">
        <v>81.458399999999997</v>
      </c>
      <c r="I4201">
        <v>20.62</v>
      </c>
      <c r="J4201">
        <v>72.84</v>
      </c>
      <c r="K4201" t="s">
        <v>23</v>
      </c>
      <c r="L4201">
        <v>290.83999999999997</v>
      </c>
      <c r="M4201">
        <f>VLOOKUP(K4201,RatingLookup!$A$2:$C$8,2,FALSE)</f>
        <v>1E-3</v>
      </c>
      <c r="N4201">
        <f t="shared" si="195"/>
        <v>8.3371552197619714E-5</v>
      </c>
      <c r="O4201">
        <f>VLOOKUP(K4201,RatingLookup!$A$2:$C$8,3,FALSE)</f>
        <v>0.3</v>
      </c>
      <c r="P4201">
        <f t="shared" si="196"/>
        <v>7.2743346723467142E-3</v>
      </c>
      <c r="Q4201" t="str">
        <f t="shared" ca="1" si="197"/>
        <v>No</v>
      </c>
    </row>
    <row r="4202" spans="1:17" x14ac:dyDescent="0.45">
      <c r="A4202" t="s">
        <v>176</v>
      </c>
      <c r="B4202" t="s">
        <v>177</v>
      </c>
      <c r="C4202" t="s">
        <v>29</v>
      </c>
      <c r="D4202" t="s">
        <v>20</v>
      </c>
      <c r="E4202" t="s">
        <v>21</v>
      </c>
      <c r="F4202" s="1">
        <v>43831</v>
      </c>
      <c r="G4202">
        <v>5.55</v>
      </c>
      <c r="H4202">
        <v>83.636799999999994</v>
      </c>
      <c r="I4202">
        <v>23.3</v>
      </c>
      <c r="J4202">
        <v>109.78</v>
      </c>
      <c r="K4202" t="s">
        <v>30</v>
      </c>
      <c r="L4202">
        <v>1580.21</v>
      </c>
      <c r="M4202">
        <f>VLOOKUP(K4202,RatingLookup!$A$2:$C$8,2,FALSE)</f>
        <v>1.4999999999999999E-2</v>
      </c>
      <c r="N4202">
        <f t="shared" si="195"/>
        <v>1.2586770182638762E-3</v>
      </c>
      <c r="O4202">
        <f>VLOOKUP(K4202,RatingLookup!$A$2:$C$8,3,FALSE)</f>
        <v>0.5</v>
      </c>
      <c r="P4202">
        <f t="shared" si="196"/>
        <v>0.99448700551537994</v>
      </c>
      <c r="Q4202" t="str">
        <f t="shared" ca="1" si="197"/>
        <v>No</v>
      </c>
    </row>
    <row r="4203" spans="1:17" x14ac:dyDescent="0.45">
      <c r="A4203" t="s">
        <v>176</v>
      </c>
      <c r="B4203" t="s">
        <v>177</v>
      </c>
      <c r="C4203" t="s">
        <v>29</v>
      </c>
      <c r="D4203" t="s">
        <v>20</v>
      </c>
      <c r="E4203" t="s">
        <v>21</v>
      </c>
      <c r="F4203" s="1">
        <v>43862</v>
      </c>
      <c r="G4203">
        <v>6.4</v>
      </c>
      <c r="H4203">
        <v>82.377499999999998</v>
      </c>
      <c r="I4203">
        <v>18.39</v>
      </c>
      <c r="J4203">
        <v>87.61</v>
      </c>
      <c r="K4203" t="s">
        <v>30</v>
      </c>
      <c r="L4203">
        <v>1573.67</v>
      </c>
      <c r="M4203">
        <f>VLOOKUP(K4203,RatingLookup!$A$2:$C$8,2,FALSE)</f>
        <v>1.4999999999999999E-2</v>
      </c>
      <c r="N4203">
        <f t="shared" si="195"/>
        <v>1.2586770182638762E-3</v>
      </c>
      <c r="O4203">
        <f>VLOOKUP(K4203,RatingLookup!$A$2:$C$8,3,FALSE)</f>
        <v>0.5</v>
      </c>
      <c r="P4203">
        <f t="shared" si="196"/>
        <v>0.99037113166565716</v>
      </c>
      <c r="Q4203" t="str">
        <f t="shared" ca="1" si="197"/>
        <v>No</v>
      </c>
    </row>
    <row r="4204" spans="1:17" x14ac:dyDescent="0.45">
      <c r="A4204" t="s">
        <v>176</v>
      </c>
      <c r="B4204" t="s">
        <v>177</v>
      </c>
      <c r="C4204" t="s">
        <v>29</v>
      </c>
      <c r="D4204" t="s">
        <v>20</v>
      </c>
      <c r="E4204" t="s">
        <v>21</v>
      </c>
      <c r="F4204" s="1">
        <v>43891</v>
      </c>
      <c r="G4204">
        <v>4.6399999999999997</v>
      </c>
      <c r="H4204">
        <v>84.552599999999998</v>
      </c>
      <c r="I4204">
        <v>26.41</v>
      </c>
      <c r="J4204">
        <v>86.55</v>
      </c>
      <c r="K4204" t="s">
        <v>30</v>
      </c>
      <c r="L4204">
        <v>1740.21</v>
      </c>
      <c r="M4204">
        <f>VLOOKUP(K4204,RatingLookup!$A$2:$C$8,2,FALSE)</f>
        <v>1.4999999999999999E-2</v>
      </c>
      <c r="N4204">
        <f t="shared" si="195"/>
        <v>1.2586770182638762E-3</v>
      </c>
      <c r="O4204">
        <f>VLOOKUP(K4204,RatingLookup!$A$2:$C$8,3,FALSE)</f>
        <v>0.5</v>
      </c>
      <c r="P4204">
        <f t="shared" si="196"/>
        <v>1.0951811669764902</v>
      </c>
      <c r="Q4204" t="str">
        <f t="shared" ca="1" si="197"/>
        <v>No</v>
      </c>
    </row>
    <row r="4205" spans="1:17" x14ac:dyDescent="0.45">
      <c r="A4205" t="s">
        <v>176</v>
      </c>
      <c r="B4205" t="s">
        <v>177</v>
      </c>
      <c r="C4205" t="s">
        <v>29</v>
      </c>
      <c r="D4205" t="s">
        <v>20</v>
      </c>
      <c r="E4205" t="s">
        <v>21</v>
      </c>
      <c r="F4205" s="1">
        <v>43922</v>
      </c>
      <c r="G4205">
        <v>5.95</v>
      </c>
      <c r="H4205">
        <v>81.191100000000006</v>
      </c>
      <c r="I4205">
        <v>14.8</v>
      </c>
      <c r="J4205">
        <v>65.849999999999994</v>
      </c>
      <c r="K4205" t="s">
        <v>30</v>
      </c>
      <c r="L4205">
        <v>1703.02</v>
      </c>
      <c r="M4205">
        <f>VLOOKUP(K4205,RatingLookup!$A$2:$C$8,2,FALSE)</f>
        <v>1.4999999999999999E-2</v>
      </c>
      <c r="N4205">
        <f t="shared" si="195"/>
        <v>1.2586770182638762E-3</v>
      </c>
      <c r="O4205">
        <f>VLOOKUP(K4205,RatingLookup!$A$2:$C$8,3,FALSE)</f>
        <v>0.5</v>
      </c>
      <c r="P4205">
        <f t="shared" si="196"/>
        <v>1.0717760678218733</v>
      </c>
      <c r="Q4205" t="str">
        <f t="shared" ca="1" si="197"/>
        <v>No</v>
      </c>
    </row>
    <row r="4206" spans="1:17" x14ac:dyDescent="0.45">
      <c r="A4206" t="s">
        <v>176</v>
      </c>
      <c r="B4206" t="s">
        <v>177</v>
      </c>
      <c r="C4206" t="s">
        <v>29</v>
      </c>
      <c r="D4206" t="s">
        <v>20</v>
      </c>
      <c r="E4206" t="s">
        <v>21</v>
      </c>
      <c r="F4206" s="1">
        <v>43952</v>
      </c>
      <c r="G4206">
        <v>5.46</v>
      </c>
      <c r="H4206">
        <v>80.844800000000006</v>
      </c>
      <c r="I4206">
        <v>16.22</v>
      </c>
      <c r="J4206">
        <v>73.84</v>
      </c>
      <c r="K4206" t="s">
        <v>30</v>
      </c>
      <c r="L4206">
        <v>1615.44</v>
      </c>
      <c r="M4206">
        <f>VLOOKUP(K4206,RatingLookup!$A$2:$C$8,2,FALSE)</f>
        <v>1.4999999999999999E-2</v>
      </c>
      <c r="N4206">
        <f t="shared" si="195"/>
        <v>1.2586770182638762E-3</v>
      </c>
      <c r="O4206">
        <f>VLOOKUP(K4206,RatingLookup!$A$2:$C$8,3,FALSE)</f>
        <v>0.5</v>
      </c>
      <c r="P4206">
        <f t="shared" si="196"/>
        <v>1.0166586011920982</v>
      </c>
      <c r="Q4206" t="str">
        <f t="shared" ca="1" si="197"/>
        <v>No</v>
      </c>
    </row>
    <row r="4207" spans="1:17" x14ac:dyDescent="0.45">
      <c r="A4207" t="s">
        <v>176</v>
      </c>
      <c r="B4207" t="s">
        <v>177</v>
      </c>
      <c r="C4207" t="s">
        <v>29</v>
      </c>
      <c r="D4207" t="s">
        <v>20</v>
      </c>
      <c r="E4207" t="s">
        <v>21</v>
      </c>
      <c r="F4207" s="1">
        <v>43983</v>
      </c>
      <c r="G4207">
        <v>4.88</v>
      </c>
      <c r="H4207">
        <v>79.959800000000001</v>
      </c>
      <c r="I4207">
        <v>17.22</v>
      </c>
      <c r="J4207">
        <v>86.51</v>
      </c>
      <c r="K4207" t="s">
        <v>30</v>
      </c>
      <c r="L4207">
        <v>1574.74</v>
      </c>
      <c r="M4207">
        <f>VLOOKUP(K4207,RatingLookup!$A$2:$C$8,2,FALSE)</f>
        <v>1.4999999999999999E-2</v>
      </c>
      <c r="N4207">
        <f t="shared" si="195"/>
        <v>1.2586770182638762E-3</v>
      </c>
      <c r="O4207">
        <f>VLOOKUP(K4207,RatingLookup!$A$2:$C$8,3,FALSE)</f>
        <v>0.5</v>
      </c>
      <c r="P4207">
        <f t="shared" si="196"/>
        <v>0.99104452387042818</v>
      </c>
      <c r="Q4207" t="str">
        <f t="shared" ca="1" si="197"/>
        <v>No</v>
      </c>
    </row>
    <row r="4208" spans="1:17" x14ac:dyDescent="0.45">
      <c r="A4208" t="s">
        <v>176</v>
      </c>
      <c r="B4208" t="s">
        <v>177</v>
      </c>
      <c r="C4208" t="s">
        <v>29</v>
      </c>
      <c r="D4208" t="s">
        <v>20</v>
      </c>
      <c r="E4208" t="s">
        <v>21</v>
      </c>
      <c r="F4208" s="1">
        <v>44013</v>
      </c>
      <c r="G4208">
        <v>4.6900000000000004</v>
      </c>
      <c r="H4208">
        <v>83.378900000000002</v>
      </c>
      <c r="I4208">
        <v>33.9</v>
      </c>
      <c r="J4208">
        <v>81.5</v>
      </c>
      <c r="K4208" t="s">
        <v>31</v>
      </c>
      <c r="L4208">
        <v>1670.01</v>
      </c>
      <c r="M4208">
        <f>VLOOKUP(K4208,RatingLookup!$A$2:$C$8,2,FALSE)</f>
        <v>0.04</v>
      </c>
      <c r="N4208">
        <f t="shared" si="195"/>
        <v>3.3960531989175591E-3</v>
      </c>
      <c r="O4208">
        <f>VLOOKUP(K4208,RatingLookup!$A$2:$C$8,3,FALSE)</f>
        <v>0.6</v>
      </c>
      <c r="P4208">
        <f t="shared" si="196"/>
        <v>3.4028656816345877</v>
      </c>
      <c r="Q4208" t="str">
        <f t="shared" ca="1" si="197"/>
        <v>No</v>
      </c>
    </row>
    <row r="4209" spans="1:17" x14ac:dyDescent="0.45">
      <c r="A4209" t="s">
        <v>176</v>
      </c>
      <c r="B4209" t="s">
        <v>177</v>
      </c>
      <c r="C4209" t="s">
        <v>29</v>
      </c>
      <c r="D4209" t="s">
        <v>20</v>
      </c>
      <c r="E4209" t="s">
        <v>21</v>
      </c>
      <c r="F4209" s="1">
        <v>44044</v>
      </c>
      <c r="G4209">
        <v>5.4</v>
      </c>
      <c r="H4209">
        <v>79.811000000000007</v>
      </c>
      <c r="I4209">
        <v>24.12</v>
      </c>
      <c r="J4209">
        <v>91.33</v>
      </c>
      <c r="K4209" t="s">
        <v>31</v>
      </c>
      <c r="L4209">
        <v>1705.04</v>
      </c>
      <c r="M4209">
        <f>VLOOKUP(K4209,RatingLookup!$A$2:$C$8,2,FALSE)</f>
        <v>0.04</v>
      </c>
      <c r="N4209">
        <f t="shared" si="195"/>
        <v>3.3960531989175591E-3</v>
      </c>
      <c r="O4209">
        <f>VLOOKUP(K4209,RatingLookup!$A$2:$C$8,3,FALSE)</f>
        <v>0.6</v>
      </c>
      <c r="P4209">
        <f t="shared" si="196"/>
        <v>3.4742439277694364</v>
      </c>
      <c r="Q4209" t="str">
        <f t="shared" ca="1" si="197"/>
        <v>No</v>
      </c>
    </row>
    <row r="4210" spans="1:17" x14ac:dyDescent="0.45">
      <c r="A4210" t="s">
        <v>176</v>
      </c>
      <c r="B4210" t="s">
        <v>177</v>
      </c>
      <c r="C4210" t="s">
        <v>29</v>
      </c>
      <c r="D4210" t="s">
        <v>20</v>
      </c>
      <c r="E4210" t="s">
        <v>21</v>
      </c>
      <c r="F4210" s="1">
        <v>44075</v>
      </c>
      <c r="G4210">
        <v>4.43</v>
      </c>
      <c r="H4210">
        <v>77.337299999999999</v>
      </c>
      <c r="I4210">
        <v>19.079999999999998</v>
      </c>
      <c r="J4210">
        <v>70.08</v>
      </c>
      <c r="K4210" t="s">
        <v>31</v>
      </c>
      <c r="L4210">
        <v>1602.63</v>
      </c>
      <c r="M4210">
        <f>VLOOKUP(K4210,RatingLookup!$A$2:$C$8,2,FALSE)</f>
        <v>0.04</v>
      </c>
      <c r="N4210">
        <f t="shared" si="195"/>
        <v>3.3960531989175591E-3</v>
      </c>
      <c r="O4210">
        <f>VLOOKUP(K4210,RatingLookup!$A$2:$C$8,3,FALSE)</f>
        <v>0.6</v>
      </c>
      <c r="P4210">
        <f t="shared" si="196"/>
        <v>3.2655700429087484</v>
      </c>
      <c r="Q4210" t="str">
        <f t="shared" ca="1" si="197"/>
        <v>No</v>
      </c>
    </row>
    <row r="4211" spans="1:17" x14ac:dyDescent="0.45">
      <c r="A4211" t="s">
        <v>176</v>
      </c>
      <c r="B4211" t="s">
        <v>177</v>
      </c>
      <c r="C4211" t="s">
        <v>29</v>
      </c>
      <c r="D4211" t="s">
        <v>20</v>
      </c>
      <c r="E4211" t="s">
        <v>21</v>
      </c>
      <c r="F4211" s="1">
        <v>44105</v>
      </c>
      <c r="G4211">
        <v>5.4</v>
      </c>
      <c r="H4211">
        <v>81.284899999999993</v>
      </c>
      <c r="I4211">
        <v>17.22</v>
      </c>
      <c r="J4211">
        <v>67.099999999999994</v>
      </c>
      <c r="K4211" t="s">
        <v>31</v>
      </c>
      <c r="L4211">
        <v>1858.75</v>
      </c>
      <c r="M4211">
        <f>VLOOKUP(K4211,RatingLookup!$A$2:$C$8,2,FALSE)</f>
        <v>0.04</v>
      </c>
      <c r="N4211">
        <f t="shared" si="195"/>
        <v>3.3960531989175591E-3</v>
      </c>
      <c r="O4211">
        <f>VLOOKUP(K4211,RatingLookup!$A$2:$C$8,3,FALSE)</f>
        <v>0.6</v>
      </c>
      <c r="P4211">
        <f t="shared" si="196"/>
        <v>3.7874483300928077</v>
      </c>
      <c r="Q4211" t="str">
        <f t="shared" ca="1" si="197"/>
        <v>No</v>
      </c>
    </row>
    <row r="4212" spans="1:17" x14ac:dyDescent="0.45">
      <c r="A4212" t="s">
        <v>176</v>
      </c>
      <c r="B4212" t="s">
        <v>177</v>
      </c>
      <c r="C4212" t="s">
        <v>29</v>
      </c>
      <c r="D4212" t="s">
        <v>20</v>
      </c>
      <c r="E4212" t="s">
        <v>21</v>
      </c>
      <c r="F4212" s="1">
        <v>44136</v>
      </c>
      <c r="G4212">
        <v>4.2699999999999996</v>
      </c>
      <c r="H4212">
        <v>79.308899999999994</v>
      </c>
      <c r="I4212">
        <v>10.39</v>
      </c>
      <c r="J4212">
        <v>70.62</v>
      </c>
      <c r="K4212" t="s">
        <v>31</v>
      </c>
      <c r="L4212">
        <v>1661.93</v>
      </c>
      <c r="M4212">
        <f>VLOOKUP(K4212,RatingLookup!$A$2:$C$8,2,FALSE)</f>
        <v>0.04</v>
      </c>
      <c r="N4212">
        <f t="shared" si="195"/>
        <v>3.3960531989175591E-3</v>
      </c>
      <c r="O4212">
        <f>VLOOKUP(K4212,RatingLookup!$A$2:$C$8,3,FALSE)</f>
        <v>0.6</v>
      </c>
      <c r="P4212">
        <f t="shared" si="196"/>
        <v>3.3864016157262355</v>
      </c>
      <c r="Q4212" t="str">
        <f t="shared" ca="1" si="197"/>
        <v>No</v>
      </c>
    </row>
    <row r="4213" spans="1:17" x14ac:dyDescent="0.45">
      <c r="A4213" t="s">
        <v>176</v>
      </c>
      <c r="B4213" t="s">
        <v>177</v>
      </c>
      <c r="C4213" t="s">
        <v>29</v>
      </c>
      <c r="D4213" t="s">
        <v>20</v>
      </c>
      <c r="E4213" t="s">
        <v>21</v>
      </c>
      <c r="F4213" s="1">
        <v>44166</v>
      </c>
      <c r="G4213">
        <v>5.25</v>
      </c>
      <c r="H4213">
        <v>82.947400000000002</v>
      </c>
      <c r="I4213">
        <v>5</v>
      </c>
      <c r="J4213">
        <v>86.68</v>
      </c>
      <c r="K4213" t="s">
        <v>31</v>
      </c>
      <c r="L4213">
        <v>1704.01</v>
      </c>
      <c r="M4213">
        <f>VLOOKUP(K4213,RatingLookup!$A$2:$C$8,2,FALSE)</f>
        <v>0.04</v>
      </c>
      <c r="N4213">
        <f t="shared" si="195"/>
        <v>3.3960531989175591E-3</v>
      </c>
      <c r="O4213">
        <f>VLOOKUP(K4213,RatingLookup!$A$2:$C$8,3,FALSE)</f>
        <v>0.6</v>
      </c>
      <c r="P4213">
        <f t="shared" si="196"/>
        <v>3.4721451668925059</v>
      </c>
      <c r="Q4213" t="str">
        <f t="shared" ca="1" si="197"/>
        <v>No</v>
      </c>
    </row>
    <row r="4214" spans="1:17" x14ac:dyDescent="0.45">
      <c r="A4214" t="s">
        <v>176</v>
      </c>
      <c r="B4214" t="s">
        <v>177</v>
      </c>
      <c r="C4214" t="s">
        <v>29</v>
      </c>
      <c r="D4214" t="s">
        <v>20</v>
      </c>
      <c r="E4214" t="s">
        <v>21</v>
      </c>
      <c r="F4214" s="1">
        <v>44197</v>
      </c>
      <c r="G4214">
        <v>6.11</v>
      </c>
      <c r="H4214">
        <v>77.268600000000006</v>
      </c>
      <c r="I4214">
        <v>16.37</v>
      </c>
      <c r="J4214">
        <v>78.84</v>
      </c>
      <c r="K4214" t="s">
        <v>31</v>
      </c>
      <c r="L4214">
        <v>1773.42</v>
      </c>
      <c r="M4214">
        <f>VLOOKUP(K4214,RatingLookup!$A$2:$C$8,2,FALSE)</f>
        <v>0.04</v>
      </c>
      <c r="N4214">
        <f t="shared" si="195"/>
        <v>3.3960531989175591E-3</v>
      </c>
      <c r="O4214">
        <f>VLOOKUP(K4214,RatingLookup!$A$2:$C$8,3,FALSE)</f>
        <v>0.6</v>
      </c>
      <c r="P4214">
        <f t="shared" si="196"/>
        <v>3.6135771984146263</v>
      </c>
      <c r="Q4214" t="str">
        <f t="shared" ca="1" si="197"/>
        <v>No</v>
      </c>
    </row>
    <row r="4215" spans="1:17" x14ac:dyDescent="0.45">
      <c r="A4215" t="s">
        <v>176</v>
      </c>
      <c r="B4215" t="s">
        <v>177</v>
      </c>
      <c r="C4215" t="s">
        <v>29</v>
      </c>
      <c r="D4215" t="s">
        <v>20</v>
      </c>
      <c r="E4215" t="s">
        <v>21</v>
      </c>
      <c r="F4215" s="1">
        <v>44228</v>
      </c>
      <c r="G4215">
        <v>5.79</v>
      </c>
      <c r="H4215">
        <v>80.852199999999996</v>
      </c>
      <c r="I4215">
        <v>11.76</v>
      </c>
      <c r="J4215">
        <v>61.51</v>
      </c>
      <c r="K4215" t="s">
        <v>31</v>
      </c>
      <c r="L4215">
        <v>1604.01</v>
      </c>
      <c r="M4215">
        <f>VLOOKUP(K4215,RatingLookup!$A$2:$C$8,2,FALSE)</f>
        <v>0.04</v>
      </c>
      <c r="N4215">
        <f t="shared" si="195"/>
        <v>3.3960531989175591E-3</v>
      </c>
      <c r="O4215">
        <f>VLOOKUP(K4215,RatingLookup!$A$2:$C$8,3,FALSE)</f>
        <v>0.6</v>
      </c>
      <c r="P4215">
        <f t="shared" si="196"/>
        <v>3.2683819749574519</v>
      </c>
      <c r="Q4215" t="str">
        <f t="shared" ca="1" si="197"/>
        <v>No</v>
      </c>
    </row>
    <row r="4216" spans="1:17" x14ac:dyDescent="0.45">
      <c r="A4216" t="s">
        <v>176</v>
      </c>
      <c r="B4216" t="s">
        <v>177</v>
      </c>
      <c r="C4216" t="s">
        <v>29</v>
      </c>
      <c r="D4216" t="s">
        <v>20</v>
      </c>
      <c r="E4216" t="s">
        <v>21</v>
      </c>
      <c r="F4216" s="1">
        <v>44256</v>
      </c>
      <c r="G4216">
        <v>5.27</v>
      </c>
      <c r="H4216">
        <v>85.021000000000001</v>
      </c>
      <c r="I4216">
        <v>20.73</v>
      </c>
      <c r="J4216">
        <v>101.68</v>
      </c>
      <c r="K4216" t="s">
        <v>31</v>
      </c>
      <c r="L4216">
        <v>1532.33</v>
      </c>
      <c r="M4216">
        <f>VLOOKUP(K4216,RatingLookup!$A$2:$C$8,2,FALSE)</f>
        <v>0.04</v>
      </c>
      <c r="N4216">
        <f t="shared" si="195"/>
        <v>3.3960531989175591E-3</v>
      </c>
      <c r="O4216">
        <f>VLOOKUP(K4216,RatingLookup!$A$2:$C$8,3,FALSE)</f>
        <v>0.6</v>
      </c>
      <c r="P4216">
        <f t="shared" si="196"/>
        <v>3.1223245189784055</v>
      </c>
      <c r="Q4216" t="str">
        <f t="shared" ca="1" si="197"/>
        <v>No</v>
      </c>
    </row>
    <row r="4217" spans="1:17" x14ac:dyDescent="0.45">
      <c r="A4217" t="s">
        <v>176</v>
      </c>
      <c r="B4217" t="s">
        <v>177</v>
      </c>
      <c r="C4217" t="s">
        <v>29</v>
      </c>
      <c r="D4217" t="s">
        <v>20</v>
      </c>
      <c r="E4217" t="s">
        <v>21</v>
      </c>
      <c r="F4217" s="1">
        <v>44287</v>
      </c>
      <c r="G4217">
        <v>5.37</v>
      </c>
      <c r="H4217">
        <v>78.6631</v>
      </c>
      <c r="I4217">
        <v>12.5</v>
      </c>
      <c r="J4217">
        <v>77.05</v>
      </c>
      <c r="K4217" t="s">
        <v>31</v>
      </c>
      <c r="L4217">
        <v>1578.93</v>
      </c>
      <c r="M4217">
        <f>VLOOKUP(K4217,RatingLookup!$A$2:$C$8,2,FALSE)</f>
        <v>0.04</v>
      </c>
      <c r="N4217">
        <f t="shared" si="195"/>
        <v>3.3960531989175591E-3</v>
      </c>
      <c r="O4217">
        <f>VLOOKUP(K4217,RatingLookup!$A$2:$C$8,3,FALSE)</f>
        <v>0.6</v>
      </c>
      <c r="P4217">
        <f t="shared" si="196"/>
        <v>3.2172781664201406</v>
      </c>
      <c r="Q4217" t="str">
        <f t="shared" ca="1" si="197"/>
        <v>No</v>
      </c>
    </row>
    <row r="4218" spans="1:17" x14ac:dyDescent="0.45">
      <c r="A4218" t="s">
        <v>176</v>
      </c>
      <c r="B4218" t="s">
        <v>177</v>
      </c>
      <c r="C4218" t="s">
        <v>29</v>
      </c>
      <c r="D4218" t="s">
        <v>20</v>
      </c>
      <c r="E4218" t="s">
        <v>21</v>
      </c>
      <c r="F4218" s="1">
        <v>44317</v>
      </c>
      <c r="G4218">
        <v>5.35</v>
      </c>
      <c r="H4218">
        <v>78.231399999999994</v>
      </c>
      <c r="I4218">
        <v>25.49</v>
      </c>
      <c r="J4218">
        <v>93.39</v>
      </c>
      <c r="K4218" t="s">
        <v>31</v>
      </c>
      <c r="L4218">
        <v>1827.91</v>
      </c>
      <c r="M4218">
        <f>VLOOKUP(K4218,RatingLookup!$A$2:$C$8,2,FALSE)</f>
        <v>0.04</v>
      </c>
      <c r="N4218">
        <f t="shared" si="195"/>
        <v>3.3960531989175591E-3</v>
      </c>
      <c r="O4218">
        <f>VLOOKUP(K4218,RatingLookup!$A$2:$C$8,3,FALSE)</f>
        <v>0.6</v>
      </c>
      <c r="P4218">
        <f t="shared" si="196"/>
        <v>3.724607761700037</v>
      </c>
      <c r="Q4218" t="str">
        <f t="shared" ca="1" si="197"/>
        <v>No</v>
      </c>
    </row>
    <row r="4219" spans="1:17" x14ac:dyDescent="0.45">
      <c r="A4219" t="s">
        <v>176</v>
      </c>
      <c r="B4219" t="s">
        <v>177</v>
      </c>
      <c r="C4219" t="s">
        <v>29</v>
      </c>
      <c r="D4219" t="s">
        <v>20</v>
      </c>
      <c r="E4219" t="s">
        <v>21</v>
      </c>
      <c r="F4219" s="1">
        <v>44348</v>
      </c>
      <c r="G4219">
        <v>5.59</v>
      </c>
      <c r="H4219">
        <v>85.428399999999996</v>
      </c>
      <c r="I4219">
        <v>26.69</v>
      </c>
      <c r="J4219">
        <v>76.430000000000007</v>
      </c>
      <c r="K4219" t="s">
        <v>32</v>
      </c>
      <c r="L4219">
        <v>1569.06</v>
      </c>
      <c r="M4219">
        <f>VLOOKUP(K4219,RatingLookup!$A$2:$C$8,2,FALSE)</f>
        <v>0.12</v>
      </c>
      <c r="N4219">
        <f t="shared" si="195"/>
        <v>1.0596241035318976E-2</v>
      </c>
      <c r="O4219">
        <f>VLOOKUP(K4219,RatingLookup!$A$2:$C$8,3,FALSE)</f>
        <v>0.7</v>
      </c>
      <c r="P4219">
        <f t="shared" si="196"/>
        <v>11.638296571214314</v>
      </c>
      <c r="Q4219" t="str">
        <f t="shared" ca="1" si="197"/>
        <v>No</v>
      </c>
    </row>
    <row r="4220" spans="1:17" x14ac:dyDescent="0.45">
      <c r="A4220" t="s">
        <v>176</v>
      </c>
      <c r="B4220" t="s">
        <v>177</v>
      </c>
      <c r="C4220" t="s">
        <v>29</v>
      </c>
      <c r="D4220" t="s">
        <v>20</v>
      </c>
      <c r="E4220" t="s">
        <v>21</v>
      </c>
      <c r="F4220" s="1">
        <v>44378</v>
      </c>
      <c r="G4220">
        <v>5.29</v>
      </c>
      <c r="H4220">
        <v>81.780500000000004</v>
      </c>
      <c r="I4220">
        <v>28.07</v>
      </c>
      <c r="J4220">
        <v>84.66</v>
      </c>
      <c r="K4220" t="s">
        <v>32</v>
      </c>
      <c r="L4220">
        <v>1726.21</v>
      </c>
      <c r="M4220">
        <f>VLOOKUP(K4220,RatingLookup!$A$2:$C$8,2,FALSE)</f>
        <v>0.12</v>
      </c>
      <c r="N4220">
        <f t="shared" si="195"/>
        <v>1.0596241035318976E-2</v>
      </c>
      <c r="O4220">
        <f>VLOOKUP(K4220,RatingLookup!$A$2:$C$8,3,FALSE)</f>
        <v>0.7</v>
      </c>
      <c r="P4220">
        <f t="shared" si="196"/>
        <v>12.803936066304578</v>
      </c>
      <c r="Q4220" t="str">
        <f t="shared" ca="1" si="197"/>
        <v>No</v>
      </c>
    </row>
    <row r="4221" spans="1:17" x14ac:dyDescent="0.45">
      <c r="A4221" t="s">
        <v>176</v>
      </c>
      <c r="B4221" t="s">
        <v>177</v>
      </c>
      <c r="C4221" t="s">
        <v>29</v>
      </c>
      <c r="D4221" t="s">
        <v>20</v>
      </c>
      <c r="E4221" t="s">
        <v>21</v>
      </c>
      <c r="F4221" s="1">
        <v>44409</v>
      </c>
      <c r="G4221">
        <v>4.88</v>
      </c>
      <c r="H4221">
        <v>84.010499999999993</v>
      </c>
      <c r="I4221">
        <v>27.91</v>
      </c>
      <c r="J4221">
        <v>83.59</v>
      </c>
      <c r="K4221" t="s">
        <v>32</v>
      </c>
      <c r="L4221">
        <v>1630.56</v>
      </c>
      <c r="M4221">
        <f>VLOOKUP(K4221,RatingLookup!$A$2:$C$8,2,FALSE)</f>
        <v>0.12</v>
      </c>
      <c r="N4221">
        <f t="shared" si="195"/>
        <v>1.0596241035318976E-2</v>
      </c>
      <c r="O4221">
        <f>VLOOKUP(K4221,RatingLookup!$A$2:$C$8,3,FALSE)</f>
        <v>0.7</v>
      </c>
      <c r="P4221">
        <f t="shared" si="196"/>
        <v>12.094464747784796</v>
      </c>
      <c r="Q4221" t="str">
        <f t="shared" ca="1" si="197"/>
        <v>No</v>
      </c>
    </row>
    <row r="4222" spans="1:17" x14ac:dyDescent="0.45">
      <c r="A4222" t="s">
        <v>176</v>
      </c>
      <c r="B4222" t="s">
        <v>177</v>
      </c>
      <c r="C4222" t="s">
        <v>29</v>
      </c>
      <c r="D4222" t="s">
        <v>20</v>
      </c>
      <c r="E4222" t="s">
        <v>21</v>
      </c>
      <c r="F4222" s="1">
        <v>44440</v>
      </c>
      <c r="G4222">
        <v>6.05</v>
      </c>
      <c r="H4222">
        <v>80.959400000000002</v>
      </c>
      <c r="I4222">
        <v>13.74</v>
      </c>
      <c r="J4222">
        <v>63.45</v>
      </c>
      <c r="K4222" t="s">
        <v>32</v>
      </c>
      <c r="L4222">
        <v>1570.18</v>
      </c>
      <c r="M4222">
        <f>VLOOKUP(K4222,RatingLookup!$A$2:$C$8,2,FALSE)</f>
        <v>0.12</v>
      </c>
      <c r="N4222">
        <f t="shared" si="195"/>
        <v>1.0596241035318976E-2</v>
      </c>
      <c r="O4222">
        <f>VLOOKUP(K4222,RatingLookup!$A$2:$C$8,3,FALSE)</f>
        <v>0.7</v>
      </c>
      <c r="P4222">
        <f t="shared" si="196"/>
        <v>11.646604024186006</v>
      </c>
      <c r="Q4222" t="str">
        <f t="shared" ca="1" si="197"/>
        <v>No</v>
      </c>
    </row>
    <row r="4223" spans="1:17" x14ac:dyDescent="0.45">
      <c r="A4223" t="s">
        <v>176</v>
      </c>
      <c r="B4223" t="s">
        <v>177</v>
      </c>
      <c r="C4223" t="s">
        <v>29</v>
      </c>
      <c r="D4223" t="s">
        <v>20</v>
      </c>
      <c r="E4223" t="s">
        <v>21</v>
      </c>
      <c r="F4223" s="1">
        <v>44470</v>
      </c>
      <c r="G4223">
        <v>5.22</v>
      </c>
      <c r="H4223">
        <v>85.689800000000005</v>
      </c>
      <c r="I4223">
        <v>20</v>
      </c>
      <c r="J4223">
        <v>59.33</v>
      </c>
      <c r="K4223" t="s">
        <v>32</v>
      </c>
      <c r="L4223">
        <v>1744.4</v>
      </c>
      <c r="M4223">
        <f>VLOOKUP(K4223,RatingLookup!$A$2:$C$8,2,FALSE)</f>
        <v>0.12</v>
      </c>
      <c r="N4223">
        <f t="shared" si="195"/>
        <v>1.0596241035318976E-2</v>
      </c>
      <c r="O4223">
        <f>VLOOKUP(K4223,RatingLookup!$A$2:$C$8,3,FALSE)</f>
        <v>0.7</v>
      </c>
      <c r="P4223">
        <f t="shared" si="196"/>
        <v>12.938858003407297</v>
      </c>
      <c r="Q4223" t="str">
        <f t="shared" ca="1" si="197"/>
        <v>No</v>
      </c>
    </row>
    <row r="4224" spans="1:17" x14ac:dyDescent="0.45">
      <c r="A4224" t="s">
        <v>176</v>
      </c>
      <c r="B4224" t="s">
        <v>177</v>
      </c>
      <c r="C4224" t="s">
        <v>29</v>
      </c>
      <c r="D4224" t="s">
        <v>20</v>
      </c>
      <c r="E4224" t="s">
        <v>21</v>
      </c>
      <c r="F4224" s="1">
        <v>44501</v>
      </c>
      <c r="G4224">
        <v>5.2</v>
      </c>
      <c r="H4224">
        <v>80.177700000000002</v>
      </c>
      <c r="I4224">
        <v>28.84</v>
      </c>
      <c r="J4224">
        <v>87.23</v>
      </c>
      <c r="K4224" t="s">
        <v>32</v>
      </c>
      <c r="L4224">
        <v>1535.54</v>
      </c>
      <c r="M4224">
        <f>VLOOKUP(K4224,RatingLookup!$A$2:$C$8,2,FALSE)</f>
        <v>0.12</v>
      </c>
      <c r="N4224">
        <f t="shared" si="195"/>
        <v>1.0596241035318976E-2</v>
      </c>
      <c r="O4224">
        <f>VLOOKUP(K4224,RatingLookup!$A$2:$C$8,3,FALSE)</f>
        <v>0.7</v>
      </c>
      <c r="P4224">
        <f t="shared" si="196"/>
        <v>11.38966637156159</v>
      </c>
      <c r="Q4224" t="str">
        <f t="shared" ca="1" si="197"/>
        <v>No</v>
      </c>
    </row>
    <row r="4225" spans="1:17" x14ac:dyDescent="0.45">
      <c r="A4225" t="s">
        <v>176</v>
      </c>
      <c r="B4225" t="s">
        <v>177</v>
      </c>
      <c r="C4225" t="s">
        <v>29</v>
      </c>
      <c r="D4225" t="s">
        <v>20</v>
      </c>
      <c r="E4225" t="s">
        <v>21</v>
      </c>
      <c r="F4225" s="1">
        <v>44531</v>
      </c>
      <c r="G4225">
        <v>5.72</v>
      </c>
      <c r="H4225">
        <v>79.676699999999997</v>
      </c>
      <c r="I4225">
        <v>10.94</v>
      </c>
      <c r="J4225">
        <v>91.17</v>
      </c>
      <c r="K4225" t="s">
        <v>32</v>
      </c>
      <c r="L4225">
        <v>1706.69</v>
      </c>
      <c r="M4225">
        <f>VLOOKUP(K4225,RatingLookup!$A$2:$C$8,2,FALSE)</f>
        <v>0.12</v>
      </c>
      <c r="N4225">
        <f t="shared" si="195"/>
        <v>1.0596241035318976E-2</v>
      </c>
      <c r="O4225">
        <f>VLOOKUP(K4225,RatingLookup!$A$2:$C$8,3,FALSE)</f>
        <v>0.7</v>
      </c>
      <c r="P4225">
        <f t="shared" si="196"/>
        <v>12.65914902879798</v>
      </c>
      <c r="Q4225" t="str">
        <f t="shared" ca="1" si="197"/>
        <v>No</v>
      </c>
    </row>
    <row r="4226" spans="1:17" x14ac:dyDescent="0.45">
      <c r="A4226" t="s">
        <v>176</v>
      </c>
      <c r="B4226" t="s">
        <v>177</v>
      </c>
      <c r="C4226" t="s">
        <v>29</v>
      </c>
      <c r="D4226" t="s">
        <v>20</v>
      </c>
      <c r="E4226" t="s">
        <v>21</v>
      </c>
      <c r="F4226" s="1">
        <v>44562</v>
      </c>
      <c r="G4226">
        <v>5.45</v>
      </c>
      <c r="H4226">
        <v>86.399600000000007</v>
      </c>
      <c r="I4226">
        <v>20.399999999999999</v>
      </c>
      <c r="J4226">
        <v>100.7</v>
      </c>
      <c r="K4226" t="s">
        <v>32</v>
      </c>
      <c r="L4226">
        <v>1654.63</v>
      </c>
      <c r="M4226">
        <f>VLOOKUP(K4226,RatingLookup!$A$2:$C$8,2,FALSE)</f>
        <v>0.12</v>
      </c>
      <c r="N4226">
        <f t="shared" ref="N4226:N4289" si="198">1-(1-M4226)^(1/12)</f>
        <v>1.0596241035318976E-2</v>
      </c>
      <c r="O4226">
        <f>VLOOKUP(K4226,RatingLookup!$A$2:$C$8,3,FALSE)</f>
        <v>0.7</v>
      </c>
      <c r="P4226">
        <f t="shared" ref="P4226:P4289" si="199">L4226*N4226*O4226</f>
        <v>12.273000812988888</v>
      </c>
      <c r="Q4226" t="str">
        <f t="shared" ref="Q4226:Q4289" ca="1" si="200">IF(RAND()&lt;N4226,"Yes","No")</f>
        <v>No</v>
      </c>
    </row>
    <row r="4227" spans="1:17" x14ac:dyDescent="0.45">
      <c r="A4227" t="s">
        <v>176</v>
      </c>
      <c r="B4227" t="s">
        <v>177</v>
      </c>
      <c r="C4227" t="s">
        <v>29</v>
      </c>
      <c r="D4227" t="s">
        <v>20</v>
      </c>
      <c r="E4227" t="s">
        <v>21</v>
      </c>
      <c r="F4227" s="1">
        <v>44593</v>
      </c>
      <c r="G4227">
        <v>6.08</v>
      </c>
      <c r="H4227">
        <v>85.905699999999996</v>
      </c>
      <c r="I4227">
        <v>15.29</v>
      </c>
      <c r="J4227">
        <v>86.13</v>
      </c>
      <c r="K4227" t="s">
        <v>32</v>
      </c>
      <c r="L4227">
        <v>1585.49</v>
      </c>
      <c r="M4227">
        <f>VLOOKUP(K4227,RatingLookup!$A$2:$C$8,2,FALSE)</f>
        <v>0.12</v>
      </c>
      <c r="N4227">
        <f t="shared" si="198"/>
        <v>1.0596241035318976E-2</v>
      </c>
      <c r="O4227">
        <f>VLOOKUP(K4227,RatingLookup!$A$2:$C$8,3,FALSE)</f>
        <v>0.7</v>
      </c>
      <c r="P4227">
        <f t="shared" si="199"/>
        <v>11.760163939361519</v>
      </c>
      <c r="Q4227" t="str">
        <f t="shared" ca="1" si="200"/>
        <v>No</v>
      </c>
    </row>
    <row r="4228" spans="1:17" x14ac:dyDescent="0.45">
      <c r="A4228" t="s">
        <v>176</v>
      </c>
      <c r="B4228" t="s">
        <v>177</v>
      </c>
      <c r="C4228" t="s">
        <v>29</v>
      </c>
      <c r="D4228" t="s">
        <v>20</v>
      </c>
      <c r="E4228" t="s">
        <v>21</v>
      </c>
      <c r="F4228" s="1">
        <v>44621</v>
      </c>
      <c r="G4228">
        <v>5.42</v>
      </c>
      <c r="H4228">
        <v>79.751300000000001</v>
      </c>
      <c r="I4228">
        <v>23.11</v>
      </c>
      <c r="J4228">
        <v>93.22</v>
      </c>
      <c r="K4228" t="s">
        <v>32</v>
      </c>
      <c r="L4228">
        <v>1642.41</v>
      </c>
      <c r="M4228">
        <f>VLOOKUP(K4228,RatingLookup!$A$2:$C$8,2,FALSE)</f>
        <v>0.12</v>
      </c>
      <c r="N4228">
        <f t="shared" si="198"/>
        <v>1.0596241035318976E-2</v>
      </c>
      <c r="O4228">
        <f>VLOOKUP(K4228,RatingLookup!$A$2:$C$8,3,FALSE)</f>
        <v>0.7</v>
      </c>
      <c r="P4228">
        <f t="shared" si="199"/>
        <v>12.182360567172767</v>
      </c>
      <c r="Q4228" t="str">
        <f t="shared" ca="1" si="200"/>
        <v>No</v>
      </c>
    </row>
    <row r="4229" spans="1:17" x14ac:dyDescent="0.45">
      <c r="A4229" t="s">
        <v>176</v>
      </c>
      <c r="B4229" t="s">
        <v>177</v>
      </c>
      <c r="C4229" t="s">
        <v>29</v>
      </c>
      <c r="D4229" t="s">
        <v>20</v>
      </c>
      <c r="E4229" t="s">
        <v>21</v>
      </c>
      <c r="F4229" s="1">
        <v>44652</v>
      </c>
      <c r="G4229">
        <v>6.12</v>
      </c>
      <c r="H4229">
        <v>80.953000000000003</v>
      </c>
      <c r="I4229">
        <v>17.34</v>
      </c>
      <c r="J4229">
        <v>77.209999999999994</v>
      </c>
      <c r="K4229" t="s">
        <v>32</v>
      </c>
      <c r="L4229">
        <v>1739.4</v>
      </c>
      <c r="M4229">
        <f>VLOOKUP(K4229,RatingLookup!$A$2:$C$8,2,FALSE)</f>
        <v>0.12</v>
      </c>
      <c r="N4229">
        <f t="shared" si="198"/>
        <v>1.0596241035318976E-2</v>
      </c>
      <c r="O4229">
        <f>VLOOKUP(K4229,RatingLookup!$A$2:$C$8,3,FALSE)</f>
        <v>0.7</v>
      </c>
      <c r="P4229">
        <f t="shared" si="199"/>
        <v>12.90177115978368</v>
      </c>
      <c r="Q4229" t="str">
        <f t="shared" ca="1" si="200"/>
        <v>No</v>
      </c>
    </row>
    <row r="4230" spans="1:17" x14ac:dyDescent="0.45">
      <c r="A4230" t="s">
        <v>176</v>
      </c>
      <c r="B4230" t="s">
        <v>177</v>
      </c>
      <c r="C4230" t="s">
        <v>29</v>
      </c>
      <c r="D4230" t="s">
        <v>20</v>
      </c>
      <c r="E4230" t="s">
        <v>21</v>
      </c>
      <c r="F4230" s="1">
        <v>44682</v>
      </c>
      <c r="G4230">
        <v>6.22</v>
      </c>
      <c r="H4230">
        <v>82.844499999999996</v>
      </c>
      <c r="I4230">
        <v>5</v>
      </c>
      <c r="J4230">
        <v>92.01</v>
      </c>
      <c r="K4230" t="s">
        <v>32</v>
      </c>
      <c r="L4230">
        <v>1795.06</v>
      </c>
      <c r="M4230">
        <f>VLOOKUP(K4230,RatingLookup!$A$2:$C$8,2,FALSE)</f>
        <v>0.12</v>
      </c>
      <c r="N4230">
        <f t="shared" si="198"/>
        <v>1.0596241035318976E-2</v>
      </c>
      <c r="O4230">
        <f>VLOOKUP(K4230,RatingLookup!$A$2:$C$8,3,FALSE)</f>
        <v>0.7</v>
      </c>
      <c r="P4230">
        <f t="shared" si="199"/>
        <v>13.314621903001777</v>
      </c>
      <c r="Q4230" t="str">
        <f t="shared" ca="1" si="200"/>
        <v>No</v>
      </c>
    </row>
    <row r="4231" spans="1:17" x14ac:dyDescent="0.45">
      <c r="A4231" t="s">
        <v>176</v>
      </c>
      <c r="B4231" t="s">
        <v>177</v>
      </c>
      <c r="C4231" t="s">
        <v>29</v>
      </c>
      <c r="D4231" t="s">
        <v>20</v>
      </c>
      <c r="E4231" t="s">
        <v>21</v>
      </c>
      <c r="F4231" s="1">
        <v>44713</v>
      </c>
      <c r="G4231">
        <v>4.8499999999999996</v>
      </c>
      <c r="H4231">
        <v>85.441199999999995</v>
      </c>
      <c r="I4231">
        <v>21.47</v>
      </c>
      <c r="J4231">
        <v>73.45</v>
      </c>
      <c r="K4231" t="s">
        <v>32</v>
      </c>
      <c r="L4231">
        <v>1601.98</v>
      </c>
      <c r="M4231">
        <f>VLOOKUP(K4231,RatingLookup!$A$2:$C$8,2,FALSE)</f>
        <v>0.12</v>
      </c>
      <c r="N4231">
        <f t="shared" si="198"/>
        <v>1.0596241035318976E-2</v>
      </c>
      <c r="O4231">
        <f>VLOOKUP(K4231,RatingLookup!$A$2:$C$8,3,FALSE)</f>
        <v>0.7</v>
      </c>
      <c r="P4231">
        <f t="shared" si="199"/>
        <v>11.882476349632205</v>
      </c>
      <c r="Q4231" t="str">
        <f t="shared" ca="1" si="200"/>
        <v>No</v>
      </c>
    </row>
    <row r="4232" spans="1:17" x14ac:dyDescent="0.45">
      <c r="A4232" t="s">
        <v>176</v>
      </c>
      <c r="B4232" t="s">
        <v>177</v>
      </c>
      <c r="C4232" t="s">
        <v>29</v>
      </c>
      <c r="D4232" t="s">
        <v>20</v>
      </c>
      <c r="E4232" t="s">
        <v>21</v>
      </c>
      <c r="F4232" s="1">
        <v>44743</v>
      </c>
      <c r="G4232">
        <v>5.12</v>
      </c>
      <c r="H4232">
        <v>84.559600000000003</v>
      </c>
      <c r="I4232">
        <v>24.49</v>
      </c>
      <c r="J4232">
        <v>93.01</v>
      </c>
      <c r="K4232" t="s">
        <v>32</v>
      </c>
      <c r="L4232">
        <v>1520.98</v>
      </c>
      <c r="M4232">
        <f>VLOOKUP(K4232,RatingLookup!$A$2:$C$8,2,FALSE)</f>
        <v>0.12</v>
      </c>
      <c r="N4232">
        <f t="shared" si="198"/>
        <v>1.0596241035318976E-2</v>
      </c>
      <c r="O4232">
        <f>VLOOKUP(K4232,RatingLookup!$A$2:$C$8,3,FALSE)</f>
        <v>0.7</v>
      </c>
      <c r="P4232">
        <f t="shared" si="199"/>
        <v>11.281669482929619</v>
      </c>
      <c r="Q4232" t="str">
        <f t="shared" ca="1" si="200"/>
        <v>No</v>
      </c>
    </row>
    <row r="4233" spans="1:17" x14ac:dyDescent="0.45">
      <c r="A4233" t="s">
        <v>176</v>
      </c>
      <c r="B4233" t="s">
        <v>177</v>
      </c>
      <c r="C4233" t="s">
        <v>29</v>
      </c>
      <c r="D4233" t="s">
        <v>20</v>
      </c>
      <c r="E4233" t="s">
        <v>21</v>
      </c>
      <c r="F4233" s="1">
        <v>44774</v>
      </c>
      <c r="G4233">
        <v>5.2</v>
      </c>
      <c r="H4233">
        <v>79.440299999999993</v>
      </c>
      <c r="I4233">
        <v>22.02</v>
      </c>
      <c r="J4233">
        <v>96.99</v>
      </c>
      <c r="K4233" t="s">
        <v>32</v>
      </c>
      <c r="L4233">
        <v>1568.63</v>
      </c>
      <c r="M4233">
        <f>VLOOKUP(K4233,RatingLookup!$A$2:$C$8,2,FALSE)</f>
        <v>0.12</v>
      </c>
      <c r="N4233">
        <f t="shared" si="198"/>
        <v>1.0596241035318976E-2</v>
      </c>
      <c r="O4233">
        <f>VLOOKUP(K4233,RatingLookup!$A$2:$C$8,3,FALSE)</f>
        <v>0.7</v>
      </c>
      <c r="P4233">
        <f t="shared" si="199"/>
        <v>11.635107102662685</v>
      </c>
      <c r="Q4233" t="str">
        <f t="shared" ca="1" si="200"/>
        <v>No</v>
      </c>
    </row>
    <row r="4234" spans="1:17" x14ac:dyDescent="0.45">
      <c r="A4234" t="s">
        <v>176</v>
      </c>
      <c r="B4234" t="s">
        <v>177</v>
      </c>
      <c r="C4234" t="s">
        <v>29</v>
      </c>
      <c r="D4234" t="s">
        <v>20</v>
      </c>
      <c r="E4234" t="s">
        <v>21</v>
      </c>
      <c r="F4234" s="1">
        <v>44805</v>
      </c>
      <c r="G4234">
        <v>5.36</v>
      </c>
      <c r="H4234">
        <v>80.806799999999996</v>
      </c>
      <c r="I4234">
        <v>19.71</v>
      </c>
      <c r="J4234">
        <v>85.54</v>
      </c>
      <c r="K4234" t="s">
        <v>32</v>
      </c>
      <c r="L4234">
        <v>1562.26</v>
      </c>
      <c r="M4234">
        <f>VLOOKUP(K4234,RatingLookup!$A$2:$C$8,2,FALSE)</f>
        <v>0.12</v>
      </c>
      <c r="N4234">
        <f t="shared" si="198"/>
        <v>1.0596241035318976E-2</v>
      </c>
      <c r="O4234">
        <f>VLOOKUP(K4234,RatingLookup!$A$2:$C$8,3,FALSE)</f>
        <v>0.7</v>
      </c>
      <c r="P4234">
        <f t="shared" si="199"/>
        <v>11.587858463886196</v>
      </c>
      <c r="Q4234" t="str">
        <f t="shared" ca="1" si="200"/>
        <v>No</v>
      </c>
    </row>
    <row r="4235" spans="1:17" x14ac:dyDescent="0.45">
      <c r="A4235" t="s">
        <v>176</v>
      </c>
      <c r="B4235" t="s">
        <v>177</v>
      </c>
      <c r="C4235" t="s">
        <v>29</v>
      </c>
      <c r="D4235" t="s">
        <v>20</v>
      </c>
      <c r="E4235" t="s">
        <v>21</v>
      </c>
      <c r="F4235" s="1">
        <v>44835</v>
      </c>
      <c r="G4235">
        <v>6.12</v>
      </c>
      <c r="H4235">
        <v>78.826800000000006</v>
      </c>
      <c r="I4235">
        <v>14.74</v>
      </c>
      <c r="J4235">
        <v>72.23</v>
      </c>
      <c r="K4235" t="s">
        <v>32</v>
      </c>
      <c r="L4235">
        <v>1566.82</v>
      </c>
      <c r="M4235">
        <f>VLOOKUP(K4235,RatingLookup!$A$2:$C$8,2,FALSE)</f>
        <v>0.12</v>
      </c>
      <c r="N4235">
        <f t="shared" si="198"/>
        <v>1.0596241035318976E-2</v>
      </c>
      <c r="O4235">
        <f>VLOOKUP(K4235,RatingLookup!$A$2:$C$8,3,FALSE)</f>
        <v>0.7</v>
      </c>
      <c r="P4235">
        <f t="shared" si="199"/>
        <v>11.621681665270932</v>
      </c>
      <c r="Q4235" t="str">
        <f t="shared" ca="1" si="200"/>
        <v>No</v>
      </c>
    </row>
    <row r="4236" spans="1:17" x14ac:dyDescent="0.45">
      <c r="A4236" t="s">
        <v>176</v>
      </c>
      <c r="B4236" t="s">
        <v>177</v>
      </c>
      <c r="C4236" t="s">
        <v>29</v>
      </c>
      <c r="D4236" t="s">
        <v>20</v>
      </c>
      <c r="E4236" t="s">
        <v>21</v>
      </c>
      <c r="F4236" s="1">
        <v>44866</v>
      </c>
      <c r="G4236">
        <v>6.09</v>
      </c>
      <c r="H4236">
        <v>84.466999999999999</v>
      </c>
      <c r="I4236">
        <v>14.84</v>
      </c>
      <c r="J4236">
        <v>75.260000000000005</v>
      </c>
      <c r="K4236" t="s">
        <v>32</v>
      </c>
      <c r="L4236">
        <v>1601.63</v>
      </c>
      <c r="M4236">
        <f>VLOOKUP(K4236,RatingLookup!$A$2:$C$8,2,FALSE)</f>
        <v>0.12</v>
      </c>
      <c r="N4236">
        <f t="shared" si="198"/>
        <v>1.0596241035318976E-2</v>
      </c>
      <c r="O4236">
        <f>VLOOKUP(K4236,RatingLookup!$A$2:$C$8,3,FALSE)</f>
        <v>0.7</v>
      </c>
      <c r="P4236">
        <f t="shared" si="199"/>
        <v>11.879880270578552</v>
      </c>
      <c r="Q4236" t="str">
        <f t="shared" ca="1" si="200"/>
        <v>No</v>
      </c>
    </row>
    <row r="4237" spans="1:17" x14ac:dyDescent="0.45">
      <c r="A4237" t="s">
        <v>176</v>
      </c>
      <c r="B4237" t="s">
        <v>177</v>
      </c>
      <c r="C4237" t="s">
        <v>29</v>
      </c>
      <c r="D4237" t="s">
        <v>20</v>
      </c>
      <c r="E4237" t="s">
        <v>21</v>
      </c>
      <c r="F4237" s="1">
        <v>44896</v>
      </c>
      <c r="G4237">
        <v>4.54</v>
      </c>
      <c r="H4237">
        <v>84.646199999999993</v>
      </c>
      <c r="I4237">
        <v>15.29</v>
      </c>
      <c r="J4237">
        <v>66.349999999999994</v>
      </c>
      <c r="K4237" t="s">
        <v>32</v>
      </c>
      <c r="L4237">
        <v>1634.38</v>
      </c>
      <c r="M4237">
        <f>VLOOKUP(K4237,RatingLookup!$A$2:$C$8,2,FALSE)</f>
        <v>0.12</v>
      </c>
      <c r="N4237">
        <f t="shared" si="198"/>
        <v>1.0596241035318976E-2</v>
      </c>
      <c r="O4237">
        <f>VLOOKUP(K4237,RatingLookup!$A$2:$C$8,3,FALSE)</f>
        <v>0.7</v>
      </c>
      <c r="P4237">
        <f t="shared" si="199"/>
        <v>12.122799096313239</v>
      </c>
      <c r="Q4237" t="str">
        <f t="shared" ca="1" si="200"/>
        <v>No</v>
      </c>
    </row>
    <row r="4238" spans="1:17" x14ac:dyDescent="0.45">
      <c r="A4238" t="s">
        <v>176</v>
      </c>
      <c r="B4238" t="s">
        <v>177</v>
      </c>
      <c r="C4238" t="s">
        <v>29</v>
      </c>
      <c r="D4238" t="s">
        <v>20</v>
      </c>
      <c r="E4238" t="s">
        <v>21</v>
      </c>
      <c r="F4238" s="1">
        <v>44927</v>
      </c>
      <c r="G4238">
        <v>5.08</v>
      </c>
      <c r="H4238">
        <v>85.792699999999996</v>
      </c>
      <c r="I4238">
        <v>13.08</v>
      </c>
      <c r="J4238">
        <v>72.58</v>
      </c>
      <c r="K4238" t="s">
        <v>32</v>
      </c>
      <c r="L4238">
        <v>1671.98</v>
      </c>
      <c r="M4238">
        <f>VLOOKUP(K4238,RatingLookup!$A$2:$C$8,2,FALSE)</f>
        <v>0.12</v>
      </c>
      <c r="N4238">
        <f t="shared" si="198"/>
        <v>1.0596241035318976E-2</v>
      </c>
      <c r="O4238">
        <f>VLOOKUP(K4238,RatingLookup!$A$2:$C$8,3,FALSE)</f>
        <v>0.7</v>
      </c>
      <c r="P4238">
        <f t="shared" si="199"/>
        <v>12.401692160362837</v>
      </c>
      <c r="Q4238" t="str">
        <f t="shared" ca="1" si="200"/>
        <v>No</v>
      </c>
    </row>
    <row r="4239" spans="1:17" x14ac:dyDescent="0.45">
      <c r="A4239" t="s">
        <v>176</v>
      </c>
      <c r="B4239" t="s">
        <v>177</v>
      </c>
      <c r="C4239" t="s">
        <v>29</v>
      </c>
      <c r="D4239" t="s">
        <v>20</v>
      </c>
      <c r="E4239" t="s">
        <v>21</v>
      </c>
      <c r="F4239" s="1">
        <v>44958</v>
      </c>
      <c r="G4239">
        <v>5.37</v>
      </c>
      <c r="H4239">
        <v>77.534499999999994</v>
      </c>
      <c r="I4239">
        <v>20.41</v>
      </c>
      <c r="J4239">
        <v>61.52</v>
      </c>
      <c r="K4239" t="s">
        <v>31</v>
      </c>
      <c r="L4239">
        <v>1510.59</v>
      </c>
      <c r="M4239">
        <f>VLOOKUP(K4239,RatingLookup!$A$2:$C$8,2,FALSE)</f>
        <v>0.04</v>
      </c>
      <c r="N4239">
        <f t="shared" si="198"/>
        <v>3.3960531989175591E-3</v>
      </c>
      <c r="O4239">
        <f>VLOOKUP(K4239,RatingLookup!$A$2:$C$8,3,FALSE)</f>
        <v>0.6</v>
      </c>
      <c r="P4239">
        <f t="shared" si="199"/>
        <v>3.0780264010517251</v>
      </c>
      <c r="Q4239" t="str">
        <f t="shared" ca="1" si="200"/>
        <v>No</v>
      </c>
    </row>
    <row r="4240" spans="1:17" x14ac:dyDescent="0.45">
      <c r="A4240" t="s">
        <v>176</v>
      </c>
      <c r="B4240" t="s">
        <v>177</v>
      </c>
      <c r="C4240" t="s">
        <v>29</v>
      </c>
      <c r="D4240" t="s">
        <v>20</v>
      </c>
      <c r="E4240" t="s">
        <v>21</v>
      </c>
      <c r="F4240" s="1">
        <v>44986</v>
      </c>
      <c r="G4240">
        <v>5.75</v>
      </c>
      <c r="H4240">
        <v>79.733699999999999</v>
      </c>
      <c r="I4240">
        <v>22.94</v>
      </c>
      <c r="J4240">
        <v>88.44</v>
      </c>
      <c r="K4240" t="s">
        <v>31</v>
      </c>
      <c r="L4240">
        <v>1622.39</v>
      </c>
      <c r="M4240">
        <f>VLOOKUP(K4240,RatingLookup!$A$2:$C$8,2,FALSE)</f>
        <v>0.04</v>
      </c>
      <c r="N4240">
        <f t="shared" si="198"/>
        <v>3.3960531989175591E-3</v>
      </c>
      <c r="O4240">
        <f>VLOOKUP(K4240,RatingLookup!$A$2:$C$8,3,FALSE)</f>
        <v>0.6</v>
      </c>
      <c r="P4240">
        <f t="shared" si="199"/>
        <v>3.3058336496351153</v>
      </c>
      <c r="Q4240" t="str">
        <f t="shared" ca="1" si="200"/>
        <v>No</v>
      </c>
    </row>
    <row r="4241" spans="1:17" x14ac:dyDescent="0.45">
      <c r="A4241" t="s">
        <v>176</v>
      </c>
      <c r="B4241" t="s">
        <v>177</v>
      </c>
      <c r="C4241" t="s">
        <v>29</v>
      </c>
      <c r="D4241" t="s">
        <v>20</v>
      </c>
      <c r="E4241" t="s">
        <v>21</v>
      </c>
      <c r="F4241" s="1">
        <v>45017</v>
      </c>
      <c r="G4241">
        <v>5.79</v>
      </c>
      <c r="H4241">
        <v>84.934100000000001</v>
      </c>
      <c r="I4241">
        <v>14.11</v>
      </c>
      <c r="J4241">
        <v>78.930000000000007</v>
      </c>
      <c r="K4241" t="s">
        <v>31</v>
      </c>
      <c r="L4241">
        <v>1607.4</v>
      </c>
      <c r="M4241">
        <f>VLOOKUP(K4241,RatingLookup!$A$2:$C$8,2,FALSE)</f>
        <v>0.04</v>
      </c>
      <c r="N4241">
        <f t="shared" si="198"/>
        <v>3.3960531989175591E-3</v>
      </c>
      <c r="O4241">
        <f>VLOOKUP(K4241,RatingLookup!$A$2:$C$8,3,FALSE)</f>
        <v>0.6</v>
      </c>
      <c r="P4241">
        <f t="shared" si="199"/>
        <v>3.2752895471640509</v>
      </c>
      <c r="Q4241" t="str">
        <f t="shared" ca="1" si="200"/>
        <v>No</v>
      </c>
    </row>
    <row r="4242" spans="1:17" x14ac:dyDescent="0.45">
      <c r="A4242" t="s">
        <v>176</v>
      </c>
      <c r="B4242" t="s">
        <v>177</v>
      </c>
      <c r="C4242" t="s">
        <v>29</v>
      </c>
      <c r="D4242" t="s">
        <v>20</v>
      </c>
      <c r="E4242" t="s">
        <v>21</v>
      </c>
      <c r="F4242" s="1">
        <v>45047</v>
      </c>
      <c r="G4242">
        <v>5.35</v>
      </c>
      <c r="H4242">
        <v>80.398399999999995</v>
      </c>
      <c r="I4242">
        <v>17.850000000000001</v>
      </c>
      <c r="J4242">
        <v>74.81</v>
      </c>
      <c r="K4242" t="s">
        <v>32</v>
      </c>
      <c r="L4242">
        <v>1572.88</v>
      </c>
      <c r="M4242">
        <f>VLOOKUP(K4242,RatingLookup!$A$2:$C$8,2,FALSE)</f>
        <v>0.12</v>
      </c>
      <c r="N4242">
        <f t="shared" si="198"/>
        <v>1.0596241035318976E-2</v>
      </c>
      <c r="O4242">
        <f>VLOOKUP(K4242,RatingLookup!$A$2:$C$8,3,FALSE)</f>
        <v>0.7</v>
      </c>
      <c r="P4242">
        <f t="shared" si="199"/>
        <v>11.666630919742756</v>
      </c>
      <c r="Q4242" t="str">
        <f t="shared" ca="1" si="200"/>
        <v>No</v>
      </c>
    </row>
    <row r="4243" spans="1:17" x14ac:dyDescent="0.45">
      <c r="A4243" t="s">
        <v>176</v>
      </c>
      <c r="B4243" t="s">
        <v>177</v>
      </c>
      <c r="C4243" t="s">
        <v>29</v>
      </c>
      <c r="D4243" t="s">
        <v>20</v>
      </c>
      <c r="E4243" t="s">
        <v>21</v>
      </c>
      <c r="F4243" s="1">
        <v>45078</v>
      </c>
      <c r="G4243">
        <v>5.77</v>
      </c>
      <c r="H4243">
        <v>81.914500000000004</v>
      </c>
      <c r="I4243">
        <v>24.35</v>
      </c>
      <c r="J4243">
        <v>61.6</v>
      </c>
      <c r="K4243" t="s">
        <v>32</v>
      </c>
      <c r="L4243">
        <v>1521.31</v>
      </c>
      <c r="M4243">
        <f>VLOOKUP(K4243,RatingLookup!$A$2:$C$8,2,FALSE)</f>
        <v>0.12</v>
      </c>
      <c r="N4243">
        <f t="shared" si="198"/>
        <v>1.0596241035318976E-2</v>
      </c>
      <c r="O4243">
        <f>VLOOKUP(K4243,RatingLookup!$A$2:$C$8,3,FALSE)</f>
        <v>0.7</v>
      </c>
      <c r="P4243">
        <f t="shared" si="199"/>
        <v>11.284117214608777</v>
      </c>
      <c r="Q4243" t="str">
        <f t="shared" ca="1" si="200"/>
        <v>No</v>
      </c>
    </row>
    <row r="4244" spans="1:17" x14ac:dyDescent="0.45">
      <c r="A4244" t="s">
        <v>176</v>
      </c>
      <c r="B4244" t="s">
        <v>177</v>
      </c>
      <c r="C4244" t="s">
        <v>29</v>
      </c>
      <c r="D4244" t="s">
        <v>20</v>
      </c>
      <c r="E4244" t="s">
        <v>21</v>
      </c>
      <c r="F4244" s="1">
        <v>45108</v>
      </c>
      <c r="G4244">
        <v>5.64</v>
      </c>
      <c r="H4244">
        <v>86.001000000000005</v>
      </c>
      <c r="I4244">
        <v>19.559999999999999</v>
      </c>
      <c r="J4244">
        <v>80.47</v>
      </c>
      <c r="K4244" t="s">
        <v>32</v>
      </c>
      <c r="L4244">
        <v>1571.22</v>
      </c>
      <c r="M4244">
        <f>VLOOKUP(K4244,RatingLookup!$A$2:$C$8,2,FALSE)</f>
        <v>0.12</v>
      </c>
      <c r="N4244">
        <f t="shared" si="198"/>
        <v>1.0596241035318976E-2</v>
      </c>
      <c r="O4244">
        <f>VLOOKUP(K4244,RatingLookup!$A$2:$C$8,3,FALSE)</f>
        <v>0.7</v>
      </c>
      <c r="P4244">
        <f t="shared" si="199"/>
        <v>11.654318087659718</v>
      </c>
      <c r="Q4244" t="str">
        <f t="shared" ca="1" si="200"/>
        <v>No</v>
      </c>
    </row>
    <row r="4245" spans="1:17" x14ac:dyDescent="0.45">
      <c r="A4245" t="s">
        <v>176</v>
      </c>
      <c r="B4245" t="s">
        <v>177</v>
      </c>
      <c r="C4245" t="s">
        <v>29</v>
      </c>
      <c r="D4245" t="s">
        <v>20</v>
      </c>
      <c r="E4245" t="s">
        <v>21</v>
      </c>
      <c r="F4245" s="1">
        <v>45139</v>
      </c>
      <c r="G4245">
        <v>4.21</v>
      </c>
      <c r="H4245">
        <v>84.986099999999993</v>
      </c>
      <c r="I4245">
        <v>12.47</v>
      </c>
      <c r="J4245">
        <v>74.69</v>
      </c>
      <c r="K4245" t="s">
        <v>32</v>
      </c>
      <c r="L4245">
        <v>1552.43</v>
      </c>
      <c r="M4245">
        <f>VLOOKUP(K4245,RatingLookup!$A$2:$C$8,2,FALSE)</f>
        <v>0.12</v>
      </c>
      <c r="N4245">
        <f t="shared" si="198"/>
        <v>1.0596241035318976E-2</v>
      </c>
      <c r="O4245">
        <f>VLOOKUP(K4245,RatingLookup!$A$2:$C$8,3,FALSE)</f>
        <v>0.7</v>
      </c>
      <c r="P4245">
        <f t="shared" si="199"/>
        <v>11.514945729322168</v>
      </c>
      <c r="Q4245" t="str">
        <f t="shared" ca="1" si="200"/>
        <v>No</v>
      </c>
    </row>
    <row r="4246" spans="1:17" x14ac:dyDescent="0.45">
      <c r="A4246" t="s">
        <v>176</v>
      </c>
      <c r="B4246" t="s">
        <v>177</v>
      </c>
      <c r="C4246" t="s">
        <v>29</v>
      </c>
      <c r="D4246" t="s">
        <v>20</v>
      </c>
      <c r="E4246" t="s">
        <v>21</v>
      </c>
      <c r="F4246" s="1">
        <v>45170</v>
      </c>
      <c r="G4246">
        <v>4.8600000000000003</v>
      </c>
      <c r="H4246">
        <v>79.605900000000005</v>
      </c>
      <c r="I4246">
        <v>14.87</v>
      </c>
      <c r="J4246">
        <v>89.12</v>
      </c>
      <c r="K4246" t="s">
        <v>32</v>
      </c>
      <c r="L4246">
        <v>1677.31</v>
      </c>
      <c r="M4246">
        <f>VLOOKUP(K4246,RatingLookup!$A$2:$C$8,2,FALSE)</f>
        <v>0.12</v>
      </c>
      <c r="N4246">
        <f t="shared" si="198"/>
        <v>1.0596241035318976E-2</v>
      </c>
      <c r="O4246">
        <f>VLOOKUP(K4246,RatingLookup!$A$2:$C$8,3,FALSE)</f>
        <v>0.7</v>
      </c>
      <c r="P4246">
        <f t="shared" si="199"/>
        <v>12.441226735665609</v>
      </c>
      <c r="Q4246" t="str">
        <f t="shared" ca="1" si="200"/>
        <v>No</v>
      </c>
    </row>
    <row r="4247" spans="1:17" x14ac:dyDescent="0.45">
      <c r="A4247" t="s">
        <v>176</v>
      </c>
      <c r="B4247" t="s">
        <v>177</v>
      </c>
      <c r="C4247" t="s">
        <v>29</v>
      </c>
      <c r="D4247" t="s">
        <v>20</v>
      </c>
      <c r="E4247" t="s">
        <v>21</v>
      </c>
      <c r="F4247" s="1">
        <v>45200</v>
      </c>
      <c r="G4247">
        <v>6.28</v>
      </c>
      <c r="H4247">
        <v>81.748099999999994</v>
      </c>
      <c r="I4247">
        <v>17.93</v>
      </c>
      <c r="J4247">
        <v>65.08</v>
      </c>
      <c r="K4247" t="s">
        <v>31</v>
      </c>
      <c r="L4247">
        <v>1611.44</v>
      </c>
      <c r="M4247">
        <f>VLOOKUP(K4247,RatingLookup!$A$2:$C$8,2,FALSE)</f>
        <v>0.04</v>
      </c>
      <c r="N4247">
        <f t="shared" si="198"/>
        <v>3.3960531989175591E-3</v>
      </c>
      <c r="O4247">
        <f>VLOOKUP(K4247,RatingLookup!$A$2:$C$8,3,FALSE)</f>
        <v>0.6</v>
      </c>
      <c r="P4247">
        <f t="shared" si="199"/>
        <v>3.2835215801182267</v>
      </c>
      <c r="Q4247" t="str">
        <f t="shared" ca="1" si="200"/>
        <v>No</v>
      </c>
    </row>
    <row r="4248" spans="1:17" x14ac:dyDescent="0.45">
      <c r="A4248" t="s">
        <v>176</v>
      </c>
      <c r="B4248" t="s">
        <v>177</v>
      </c>
      <c r="C4248" t="s">
        <v>29</v>
      </c>
      <c r="D4248" t="s">
        <v>20</v>
      </c>
      <c r="E4248" t="s">
        <v>21</v>
      </c>
      <c r="F4248" s="1">
        <v>45231</v>
      </c>
      <c r="G4248">
        <v>4.25</v>
      </c>
      <c r="H4248">
        <v>82.4923</v>
      </c>
      <c r="I4248">
        <v>19.93</v>
      </c>
      <c r="J4248">
        <v>87.11</v>
      </c>
      <c r="K4248" t="s">
        <v>31</v>
      </c>
      <c r="L4248">
        <v>1621.62</v>
      </c>
      <c r="M4248">
        <f>VLOOKUP(K4248,RatingLookup!$A$2:$C$8,2,FALSE)</f>
        <v>0.04</v>
      </c>
      <c r="N4248">
        <f t="shared" si="198"/>
        <v>3.3960531989175591E-3</v>
      </c>
      <c r="O4248">
        <f>VLOOKUP(K4248,RatingLookup!$A$2:$C$8,3,FALSE)</f>
        <v>0.6</v>
      </c>
      <c r="P4248">
        <f t="shared" si="199"/>
        <v>3.3042646730572147</v>
      </c>
      <c r="Q4248" t="str">
        <f t="shared" ca="1" si="200"/>
        <v>No</v>
      </c>
    </row>
    <row r="4249" spans="1:17" x14ac:dyDescent="0.45">
      <c r="A4249" t="s">
        <v>176</v>
      </c>
      <c r="B4249" t="s">
        <v>177</v>
      </c>
      <c r="C4249" t="s">
        <v>29</v>
      </c>
      <c r="D4249" t="s">
        <v>20</v>
      </c>
      <c r="E4249" t="s">
        <v>21</v>
      </c>
      <c r="F4249" s="1">
        <v>45261</v>
      </c>
      <c r="G4249">
        <v>5.43</v>
      </c>
      <c r="H4249">
        <v>81.118300000000005</v>
      </c>
      <c r="I4249">
        <v>23.95</v>
      </c>
      <c r="J4249">
        <v>88.24</v>
      </c>
      <c r="K4249" t="s">
        <v>31</v>
      </c>
      <c r="L4249">
        <v>1482.33</v>
      </c>
      <c r="M4249">
        <f>VLOOKUP(K4249,RatingLookup!$A$2:$C$8,2,FALSE)</f>
        <v>0.04</v>
      </c>
      <c r="N4249">
        <f t="shared" si="198"/>
        <v>3.3960531989175591E-3</v>
      </c>
      <c r="O4249">
        <f>VLOOKUP(K4249,RatingLookup!$A$2:$C$8,3,FALSE)</f>
        <v>0.6</v>
      </c>
      <c r="P4249">
        <f t="shared" si="199"/>
        <v>3.0204429230108789</v>
      </c>
      <c r="Q4249" t="str">
        <f t="shared" ca="1" si="200"/>
        <v>No</v>
      </c>
    </row>
    <row r="4250" spans="1:17" x14ac:dyDescent="0.45">
      <c r="A4250" t="s">
        <v>176</v>
      </c>
      <c r="B4250" t="s">
        <v>177</v>
      </c>
      <c r="C4250" t="s">
        <v>29</v>
      </c>
      <c r="D4250" t="s">
        <v>20</v>
      </c>
      <c r="E4250" t="s">
        <v>21</v>
      </c>
      <c r="F4250" s="1">
        <v>45292</v>
      </c>
      <c r="G4250">
        <v>5.66</v>
      </c>
      <c r="H4250">
        <v>80.441599999999994</v>
      </c>
      <c r="I4250">
        <v>21.36</v>
      </c>
      <c r="J4250">
        <v>89.33</v>
      </c>
      <c r="K4250" t="s">
        <v>31</v>
      </c>
      <c r="L4250">
        <v>1702.52</v>
      </c>
      <c r="M4250">
        <f>VLOOKUP(K4250,RatingLookup!$A$2:$C$8,2,FALSE)</f>
        <v>0.04</v>
      </c>
      <c r="N4250">
        <f t="shared" si="198"/>
        <v>3.3960531989175591E-3</v>
      </c>
      <c r="O4250">
        <f>VLOOKUP(K4250,RatingLookup!$A$2:$C$8,3,FALSE)</f>
        <v>0.6</v>
      </c>
      <c r="P4250">
        <f t="shared" si="199"/>
        <v>3.4691090953326733</v>
      </c>
      <c r="Q4250" t="str">
        <f t="shared" ca="1" si="200"/>
        <v>No</v>
      </c>
    </row>
    <row r="4251" spans="1:17" x14ac:dyDescent="0.45">
      <c r="A4251" t="s">
        <v>176</v>
      </c>
      <c r="B4251" t="s">
        <v>177</v>
      </c>
      <c r="C4251" t="s">
        <v>29</v>
      </c>
      <c r="D4251" t="s">
        <v>20</v>
      </c>
      <c r="E4251" t="s">
        <v>21</v>
      </c>
      <c r="F4251" s="1">
        <v>45323</v>
      </c>
      <c r="G4251">
        <v>5.93</v>
      </c>
      <c r="H4251">
        <v>84.461699999999993</v>
      </c>
      <c r="I4251">
        <v>19.41</v>
      </c>
      <c r="J4251">
        <v>64.47</v>
      </c>
      <c r="K4251" t="s">
        <v>31</v>
      </c>
      <c r="L4251">
        <v>1724.96</v>
      </c>
      <c r="M4251">
        <f>VLOOKUP(K4251,RatingLookup!$A$2:$C$8,2,FALSE)</f>
        <v>0.04</v>
      </c>
      <c r="N4251">
        <f t="shared" si="198"/>
        <v>3.3960531989175591E-3</v>
      </c>
      <c r="O4251">
        <f>VLOOKUP(K4251,RatingLookup!$A$2:$C$8,3,FALSE)</f>
        <v>0.6</v>
      </c>
      <c r="P4251">
        <f t="shared" si="199"/>
        <v>3.5148335556028996</v>
      </c>
      <c r="Q4251" t="str">
        <f t="shared" ca="1" si="200"/>
        <v>No</v>
      </c>
    </row>
    <row r="4252" spans="1:17" x14ac:dyDescent="0.45">
      <c r="A4252" t="s">
        <v>176</v>
      </c>
      <c r="B4252" t="s">
        <v>177</v>
      </c>
      <c r="C4252" t="s">
        <v>29</v>
      </c>
      <c r="D4252" t="s">
        <v>20</v>
      </c>
      <c r="E4252" t="s">
        <v>21</v>
      </c>
      <c r="F4252" s="1">
        <v>45352</v>
      </c>
      <c r="G4252">
        <v>5.62</v>
      </c>
      <c r="H4252">
        <v>85.953900000000004</v>
      </c>
      <c r="I4252">
        <v>17.59</v>
      </c>
      <c r="J4252">
        <v>59.71</v>
      </c>
      <c r="K4252" t="s">
        <v>31</v>
      </c>
      <c r="L4252">
        <v>1660.78</v>
      </c>
      <c r="M4252">
        <f>VLOOKUP(K4252,RatingLookup!$A$2:$C$8,2,FALSE)</f>
        <v>0.04</v>
      </c>
      <c r="N4252">
        <f t="shared" si="198"/>
        <v>3.3960531989175591E-3</v>
      </c>
      <c r="O4252">
        <f>VLOOKUP(K4252,RatingLookup!$A$2:$C$8,3,FALSE)</f>
        <v>0.6</v>
      </c>
      <c r="P4252">
        <f t="shared" si="199"/>
        <v>3.3840583390189822</v>
      </c>
      <c r="Q4252" t="str">
        <f t="shared" ca="1" si="200"/>
        <v>No</v>
      </c>
    </row>
    <row r="4253" spans="1:17" x14ac:dyDescent="0.45">
      <c r="A4253" t="s">
        <v>176</v>
      </c>
      <c r="B4253" t="s">
        <v>177</v>
      </c>
      <c r="C4253" t="s">
        <v>29</v>
      </c>
      <c r="D4253" t="s">
        <v>20</v>
      </c>
      <c r="E4253" t="s">
        <v>21</v>
      </c>
      <c r="F4253" s="1">
        <v>45383</v>
      </c>
      <c r="G4253">
        <v>5.7</v>
      </c>
      <c r="H4253">
        <v>84.389099999999999</v>
      </c>
      <c r="I4253">
        <v>22.64</v>
      </c>
      <c r="J4253">
        <v>89.32</v>
      </c>
      <c r="K4253" t="s">
        <v>32</v>
      </c>
      <c r="L4253">
        <v>1751.07</v>
      </c>
      <c r="M4253">
        <f>VLOOKUP(K4253,RatingLookup!$A$2:$C$8,2,FALSE)</f>
        <v>0.12</v>
      </c>
      <c r="N4253">
        <f t="shared" si="198"/>
        <v>1.0596241035318976E-2</v>
      </c>
      <c r="O4253">
        <f>VLOOKUP(K4253,RatingLookup!$A$2:$C$8,3,FALSE)</f>
        <v>0.7</v>
      </c>
      <c r="P4253">
        <f t="shared" si="199"/>
        <v>12.988331852801197</v>
      </c>
      <c r="Q4253" t="str">
        <f t="shared" ca="1" si="200"/>
        <v>No</v>
      </c>
    </row>
    <row r="4254" spans="1:17" x14ac:dyDescent="0.45">
      <c r="A4254" t="s">
        <v>176</v>
      </c>
      <c r="B4254" t="s">
        <v>177</v>
      </c>
      <c r="C4254" t="s">
        <v>29</v>
      </c>
      <c r="D4254" t="s">
        <v>20</v>
      </c>
      <c r="E4254" t="s">
        <v>21</v>
      </c>
      <c r="F4254" s="1">
        <v>45413</v>
      </c>
      <c r="G4254">
        <v>5.69</v>
      </c>
      <c r="H4254">
        <v>80.194000000000003</v>
      </c>
      <c r="I4254">
        <v>14.92</v>
      </c>
      <c r="J4254">
        <v>75</v>
      </c>
      <c r="K4254" t="s">
        <v>32</v>
      </c>
      <c r="L4254">
        <v>1750.47</v>
      </c>
      <c r="M4254">
        <f>VLOOKUP(K4254,RatingLookup!$A$2:$C$8,2,FALSE)</f>
        <v>0.12</v>
      </c>
      <c r="N4254">
        <f t="shared" si="198"/>
        <v>1.0596241035318976E-2</v>
      </c>
      <c r="O4254">
        <f>VLOOKUP(K4254,RatingLookup!$A$2:$C$8,3,FALSE)</f>
        <v>0.7</v>
      </c>
      <c r="P4254">
        <f t="shared" si="199"/>
        <v>12.983881431566365</v>
      </c>
      <c r="Q4254" t="str">
        <f t="shared" ca="1" si="200"/>
        <v>No</v>
      </c>
    </row>
    <row r="4255" spans="1:17" x14ac:dyDescent="0.45">
      <c r="A4255" t="s">
        <v>176</v>
      </c>
      <c r="B4255" t="s">
        <v>177</v>
      </c>
      <c r="C4255" t="s">
        <v>29</v>
      </c>
      <c r="D4255" t="s">
        <v>20</v>
      </c>
      <c r="E4255" t="s">
        <v>21</v>
      </c>
      <c r="F4255" s="1">
        <v>45444</v>
      </c>
      <c r="G4255">
        <v>5.63</v>
      </c>
      <c r="H4255">
        <v>86.366900000000001</v>
      </c>
      <c r="I4255">
        <v>22.75</v>
      </c>
      <c r="J4255">
        <v>90.73</v>
      </c>
      <c r="K4255" t="s">
        <v>32</v>
      </c>
      <c r="L4255">
        <v>1557.06</v>
      </c>
      <c r="M4255">
        <f>VLOOKUP(K4255,RatingLookup!$A$2:$C$8,2,FALSE)</f>
        <v>0.12</v>
      </c>
      <c r="N4255">
        <f t="shared" si="198"/>
        <v>1.0596241035318976E-2</v>
      </c>
      <c r="O4255">
        <f>VLOOKUP(K4255,RatingLookup!$A$2:$C$8,3,FALSE)</f>
        <v>0.7</v>
      </c>
      <c r="P4255">
        <f t="shared" si="199"/>
        <v>11.549288146517634</v>
      </c>
      <c r="Q4255" t="str">
        <f t="shared" ca="1" si="200"/>
        <v>No</v>
      </c>
    </row>
    <row r="4256" spans="1:17" x14ac:dyDescent="0.45">
      <c r="A4256" t="s">
        <v>176</v>
      </c>
      <c r="B4256" t="s">
        <v>177</v>
      </c>
      <c r="C4256" t="s">
        <v>29</v>
      </c>
      <c r="D4256" t="s">
        <v>20</v>
      </c>
      <c r="E4256" t="s">
        <v>21</v>
      </c>
      <c r="F4256" s="1">
        <v>45474</v>
      </c>
      <c r="G4256">
        <v>6.4</v>
      </c>
      <c r="H4256">
        <v>82.735500000000002</v>
      </c>
      <c r="I4256">
        <v>15.64</v>
      </c>
      <c r="J4256">
        <v>60.34</v>
      </c>
      <c r="K4256" t="s">
        <v>32</v>
      </c>
      <c r="L4256">
        <v>1765.8</v>
      </c>
      <c r="M4256">
        <f>VLOOKUP(K4256,RatingLookup!$A$2:$C$8,2,FALSE)</f>
        <v>0.12</v>
      </c>
      <c r="N4256">
        <f t="shared" si="198"/>
        <v>1.0596241035318976E-2</v>
      </c>
      <c r="O4256">
        <f>VLOOKUP(K4256,RatingLookup!$A$2:$C$8,3,FALSE)</f>
        <v>0.7</v>
      </c>
      <c r="P4256">
        <f t="shared" si="199"/>
        <v>13.097589694116373</v>
      </c>
      <c r="Q4256" t="str">
        <f t="shared" ca="1" si="200"/>
        <v>No</v>
      </c>
    </row>
    <row r="4257" spans="1:17" x14ac:dyDescent="0.45">
      <c r="A4257" t="s">
        <v>176</v>
      </c>
      <c r="B4257" t="s">
        <v>177</v>
      </c>
      <c r="C4257" t="s">
        <v>29</v>
      </c>
      <c r="D4257" t="s">
        <v>20</v>
      </c>
      <c r="E4257" t="s">
        <v>21</v>
      </c>
      <c r="F4257" s="1">
        <v>45505</v>
      </c>
      <c r="G4257">
        <v>6.38</v>
      </c>
      <c r="H4257">
        <v>85.466399999999993</v>
      </c>
      <c r="I4257">
        <v>21.96</v>
      </c>
      <c r="J4257">
        <v>76.14</v>
      </c>
      <c r="K4257" t="s">
        <v>32</v>
      </c>
      <c r="L4257">
        <v>1568.7</v>
      </c>
      <c r="M4257">
        <f>VLOOKUP(K4257,RatingLookup!$A$2:$C$8,2,FALSE)</f>
        <v>0.12</v>
      </c>
      <c r="N4257">
        <f t="shared" si="198"/>
        <v>1.0596241035318976E-2</v>
      </c>
      <c r="O4257">
        <f>VLOOKUP(K4257,RatingLookup!$A$2:$C$8,3,FALSE)</f>
        <v>0.7</v>
      </c>
      <c r="P4257">
        <f t="shared" si="199"/>
        <v>11.635626318473415</v>
      </c>
      <c r="Q4257" t="str">
        <f t="shared" ca="1" si="200"/>
        <v>No</v>
      </c>
    </row>
    <row r="4258" spans="1:17" x14ac:dyDescent="0.45">
      <c r="A4258" t="s">
        <v>176</v>
      </c>
      <c r="B4258" t="s">
        <v>177</v>
      </c>
      <c r="C4258" t="s">
        <v>29</v>
      </c>
      <c r="D4258" t="s">
        <v>20</v>
      </c>
      <c r="E4258" t="s">
        <v>21</v>
      </c>
      <c r="F4258" s="1">
        <v>45536</v>
      </c>
      <c r="G4258">
        <v>5.88</v>
      </c>
      <c r="H4258">
        <v>86.048500000000004</v>
      </c>
      <c r="I4258">
        <v>32.24</v>
      </c>
      <c r="J4258">
        <v>77.34</v>
      </c>
      <c r="K4258" t="s">
        <v>32</v>
      </c>
      <c r="L4258">
        <v>1617.44</v>
      </c>
      <c r="M4258">
        <f>VLOOKUP(K4258,RatingLookup!$A$2:$C$8,2,FALSE)</f>
        <v>0.12</v>
      </c>
      <c r="N4258">
        <f t="shared" si="198"/>
        <v>1.0596241035318976E-2</v>
      </c>
      <c r="O4258">
        <f>VLOOKUP(K4258,RatingLookup!$A$2:$C$8,3,FALSE)</f>
        <v>0.7</v>
      </c>
      <c r="P4258">
        <f t="shared" si="199"/>
        <v>11.997148870116428</v>
      </c>
      <c r="Q4258" t="str">
        <f t="shared" ca="1" si="200"/>
        <v>No</v>
      </c>
    </row>
    <row r="4259" spans="1:17" x14ac:dyDescent="0.45">
      <c r="A4259" t="s">
        <v>176</v>
      </c>
      <c r="B4259" t="s">
        <v>177</v>
      </c>
      <c r="C4259" t="s">
        <v>29</v>
      </c>
      <c r="D4259" t="s">
        <v>20</v>
      </c>
      <c r="E4259" t="s">
        <v>21</v>
      </c>
      <c r="F4259" s="1">
        <v>45566</v>
      </c>
      <c r="G4259">
        <v>5.26</v>
      </c>
      <c r="H4259">
        <v>86.028700000000001</v>
      </c>
      <c r="I4259">
        <v>11.08</v>
      </c>
      <c r="J4259">
        <v>82.29</v>
      </c>
      <c r="K4259" t="s">
        <v>32</v>
      </c>
      <c r="L4259">
        <v>1813.03</v>
      </c>
      <c r="M4259">
        <f>VLOOKUP(K4259,RatingLookup!$A$2:$C$8,2,FALSE)</f>
        <v>0.12</v>
      </c>
      <c r="N4259">
        <f t="shared" si="198"/>
        <v>1.0596241035318976E-2</v>
      </c>
      <c r="O4259">
        <f>VLOOKUP(K4259,RatingLookup!$A$2:$C$8,3,FALSE)</f>
        <v>0.7</v>
      </c>
      <c r="P4259">
        <f t="shared" si="199"/>
        <v>13.447912018985054</v>
      </c>
      <c r="Q4259" t="str">
        <f t="shared" ca="1" si="200"/>
        <v>No</v>
      </c>
    </row>
    <row r="4260" spans="1:17" x14ac:dyDescent="0.45">
      <c r="A4260" t="s">
        <v>176</v>
      </c>
      <c r="B4260" t="s">
        <v>177</v>
      </c>
      <c r="C4260" t="s">
        <v>29</v>
      </c>
      <c r="D4260" t="s">
        <v>20</v>
      </c>
      <c r="E4260" t="s">
        <v>21</v>
      </c>
      <c r="F4260" s="1">
        <v>45597</v>
      </c>
      <c r="G4260">
        <v>5.98</v>
      </c>
      <c r="H4260">
        <v>81.507800000000003</v>
      </c>
      <c r="I4260">
        <v>14.36</v>
      </c>
      <c r="J4260">
        <v>85.98</v>
      </c>
      <c r="K4260" t="s">
        <v>32</v>
      </c>
      <c r="L4260">
        <v>1602.47</v>
      </c>
      <c r="M4260">
        <f>VLOOKUP(K4260,RatingLookup!$A$2:$C$8,2,FALSE)</f>
        <v>0.12</v>
      </c>
      <c r="N4260">
        <f t="shared" si="198"/>
        <v>1.0596241035318976E-2</v>
      </c>
      <c r="O4260">
        <f>VLOOKUP(K4260,RatingLookup!$A$2:$C$8,3,FALSE)</f>
        <v>0.7</v>
      </c>
      <c r="P4260">
        <f t="shared" si="199"/>
        <v>11.886110860307319</v>
      </c>
      <c r="Q4260" t="str">
        <f t="shared" ca="1" si="200"/>
        <v>Yes</v>
      </c>
    </row>
    <row r="4261" spans="1:17" x14ac:dyDescent="0.45">
      <c r="A4261" t="s">
        <v>176</v>
      </c>
      <c r="B4261" t="s">
        <v>177</v>
      </c>
      <c r="C4261" t="s">
        <v>29</v>
      </c>
      <c r="D4261" t="s">
        <v>20</v>
      </c>
      <c r="E4261" t="s">
        <v>21</v>
      </c>
      <c r="F4261" s="1">
        <v>45627</v>
      </c>
      <c r="G4261">
        <v>5.41</v>
      </c>
      <c r="H4261">
        <v>84.046099999999996</v>
      </c>
      <c r="I4261">
        <v>19.5</v>
      </c>
      <c r="J4261">
        <v>64.58</v>
      </c>
      <c r="K4261" t="s">
        <v>32</v>
      </c>
      <c r="L4261">
        <v>1574.94</v>
      </c>
      <c r="M4261">
        <f>VLOOKUP(K4261,RatingLookup!$A$2:$C$8,2,FALSE)</f>
        <v>0.12</v>
      </c>
      <c r="N4261">
        <f t="shared" si="198"/>
        <v>1.0596241035318976E-2</v>
      </c>
      <c r="O4261">
        <f>VLOOKUP(K4261,RatingLookup!$A$2:$C$8,3,FALSE)</f>
        <v>0.7</v>
      </c>
      <c r="P4261">
        <f t="shared" si="199"/>
        <v>11.681910699315686</v>
      </c>
      <c r="Q4261" t="str">
        <f t="shared" ca="1" si="200"/>
        <v>No</v>
      </c>
    </row>
    <row r="4262" spans="1:17" x14ac:dyDescent="0.45">
      <c r="A4262" t="s">
        <v>178</v>
      </c>
      <c r="B4262" t="s">
        <v>179</v>
      </c>
      <c r="C4262" t="s">
        <v>35</v>
      </c>
      <c r="D4262" t="s">
        <v>20</v>
      </c>
      <c r="E4262" t="s">
        <v>21</v>
      </c>
      <c r="F4262" s="1">
        <v>43831</v>
      </c>
      <c r="G4262">
        <v>6.5</v>
      </c>
      <c r="H4262">
        <v>82.309399999999997</v>
      </c>
      <c r="I4262">
        <v>24.23</v>
      </c>
      <c r="J4262">
        <v>76.790000000000006</v>
      </c>
      <c r="K4262" t="s">
        <v>30</v>
      </c>
      <c r="L4262">
        <v>330.99</v>
      </c>
      <c r="M4262">
        <f>VLOOKUP(K4262,RatingLookup!$A$2:$C$8,2,FALSE)</f>
        <v>1.4999999999999999E-2</v>
      </c>
      <c r="N4262">
        <f t="shared" si="198"/>
        <v>1.2586770182638762E-3</v>
      </c>
      <c r="O4262">
        <f>VLOOKUP(K4262,RatingLookup!$A$2:$C$8,3,FALSE)</f>
        <v>0.5</v>
      </c>
      <c r="P4262">
        <f t="shared" si="199"/>
        <v>0.20830475313758021</v>
      </c>
      <c r="Q4262" t="str">
        <f t="shared" ca="1" si="200"/>
        <v>No</v>
      </c>
    </row>
    <row r="4263" spans="1:17" x14ac:dyDescent="0.45">
      <c r="A4263" t="s">
        <v>178</v>
      </c>
      <c r="B4263" t="s">
        <v>179</v>
      </c>
      <c r="C4263" t="s">
        <v>35</v>
      </c>
      <c r="D4263" t="s">
        <v>20</v>
      </c>
      <c r="E4263" t="s">
        <v>21</v>
      </c>
      <c r="F4263" s="1">
        <v>43862</v>
      </c>
      <c r="G4263">
        <v>4.5</v>
      </c>
      <c r="H4263">
        <v>85.761399999999995</v>
      </c>
      <c r="I4263">
        <v>7.78</v>
      </c>
      <c r="J4263">
        <v>75.22</v>
      </c>
      <c r="K4263" t="s">
        <v>30</v>
      </c>
      <c r="L4263">
        <v>294.58</v>
      </c>
      <c r="M4263">
        <f>VLOOKUP(K4263,RatingLookup!$A$2:$C$8,2,FALSE)</f>
        <v>1.4999999999999999E-2</v>
      </c>
      <c r="N4263">
        <f t="shared" si="198"/>
        <v>1.2586770182638762E-3</v>
      </c>
      <c r="O4263">
        <f>VLOOKUP(K4263,RatingLookup!$A$2:$C$8,3,FALSE)</f>
        <v>0.5</v>
      </c>
      <c r="P4263">
        <f t="shared" si="199"/>
        <v>0.18539053802008632</v>
      </c>
      <c r="Q4263" t="str">
        <f t="shared" ca="1" si="200"/>
        <v>No</v>
      </c>
    </row>
    <row r="4264" spans="1:17" x14ac:dyDescent="0.45">
      <c r="A4264" t="s">
        <v>178</v>
      </c>
      <c r="B4264" t="s">
        <v>179</v>
      </c>
      <c r="C4264" t="s">
        <v>35</v>
      </c>
      <c r="D4264" t="s">
        <v>20</v>
      </c>
      <c r="E4264" t="s">
        <v>21</v>
      </c>
      <c r="F4264" s="1">
        <v>43891</v>
      </c>
      <c r="G4264">
        <v>5.43</v>
      </c>
      <c r="H4264">
        <v>81.578800000000001</v>
      </c>
      <c r="I4264">
        <v>16.86</v>
      </c>
      <c r="J4264">
        <v>72.27</v>
      </c>
      <c r="K4264" t="s">
        <v>30</v>
      </c>
      <c r="L4264">
        <v>328.25</v>
      </c>
      <c r="M4264">
        <f>VLOOKUP(K4264,RatingLookup!$A$2:$C$8,2,FALSE)</f>
        <v>1.4999999999999999E-2</v>
      </c>
      <c r="N4264">
        <f t="shared" si="198"/>
        <v>1.2586770182638762E-3</v>
      </c>
      <c r="O4264">
        <f>VLOOKUP(K4264,RatingLookup!$A$2:$C$8,3,FALSE)</f>
        <v>0.5</v>
      </c>
      <c r="P4264">
        <f t="shared" si="199"/>
        <v>0.20658036562255869</v>
      </c>
      <c r="Q4264" t="str">
        <f t="shared" ca="1" si="200"/>
        <v>No</v>
      </c>
    </row>
    <row r="4265" spans="1:17" x14ac:dyDescent="0.45">
      <c r="A4265" t="s">
        <v>178</v>
      </c>
      <c r="B4265" t="s">
        <v>179</v>
      </c>
      <c r="C4265" t="s">
        <v>35</v>
      </c>
      <c r="D4265" t="s">
        <v>20</v>
      </c>
      <c r="E4265" t="s">
        <v>21</v>
      </c>
      <c r="F4265" s="1">
        <v>43922</v>
      </c>
      <c r="G4265">
        <v>6.53</v>
      </c>
      <c r="H4265">
        <v>82.383499999999998</v>
      </c>
      <c r="I4265">
        <v>16.45</v>
      </c>
      <c r="J4265">
        <v>72.13</v>
      </c>
      <c r="K4265" t="s">
        <v>30</v>
      </c>
      <c r="L4265">
        <v>298.24</v>
      </c>
      <c r="M4265">
        <f>VLOOKUP(K4265,RatingLookup!$A$2:$C$8,2,FALSE)</f>
        <v>1.4999999999999999E-2</v>
      </c>
      <c r="N4265">
        <f t="shared" si="198"/>
        <v>1.2586770182638762E-3</v>
      </c>
      <c r="O4265">
        <f>VLOOKUP(K4265,RatingLookup!$A$2:$C$8,3,FALSE)</f>
        <v>0.5</v>
      </c>
      <c r="P4265">
        <f t="shared" si="199"/>
        <v>0.18769391696350923</v>
      </c>
      <c r="Q4265" t="str">
        <f t="shared" ca="1" si="200"/>
        <v>No</v>
      </c>
    </row>
    <row r="4266" spans="1:17" x14ac:dyDescent="0.45">
      <c r="A4266" t="s">
        <v>178</v>
      </c>
      <c r="B4266" t="s">
        <v>179</v>
      </c>
      <c r="C4266" t="s">
        <v>35</v>
      </c>
      <c r="D4266" t="s">
        <v>20</v>
      </c>
      <c r="E4266" t="s">
        <v>21</v>
      </c>
      <c r="F4266" s="1">
        <v>43952</v>
      </c>
      <c r="G4266">
        <v>5.63</v>
      </c>
      <c r="H4266">
        <v>79.811300000000003</v>
      </c>
      <c r="I4266">
        <v>23.43</v>
      </c>
      <c r="J4266">
        <v>62.75</v>
      </c>
      <c r="K4266" t="s">
        <v>30</v>
      </c>
      <c r="L4266">
        <v>344.72</v>
      </c>
      <c r="M4266">
        <f>VLOOKUP(K4266,RatingLookup!$A$2:$C$8,2,FALSE)</f>
        <v>1.4999999999999999E-2</v>
      </c>
      <c r="N4266">
        <f t="shared" si="198"/>
        <v>1.2586770182638762E-3</v>
      </c>
      <c r="O4266">
        <f>VLOOKUP(K4266,RatingLookup!$A$2:$C$8,3,FALSE)</f>
        <v>0.5</v>
      </c>
      <c r="P4266">
        <f t="shared" si="199"/>
        <v>0.21694557086796173</v>
      </c>
      <c r="Q4266" t="str">
        <f t="shared" ca="1" si="200"/>
        <v>No</v>
      </c>
    </row>
    <row r="4267" spans="1:17" x14ac:dyDescent="0.45">
      <c r="A4267" t="s">
        <v>178</v>
      </c>
      <c r="B4267" t="s">
        <v>179</v>
      </c>
      <c r="C4267" t="s">
        <v>35</v>
      </c>
      <c r="D4267" t="s">
        <v>20</v>
      </c>
      <c r="E4267" t="s">
        <v>21</v>
      </c>
      <c r="F4267" s="1">
        <v>43983</v>
      </c>
      <c r="G4267">
        <v>5.01</v>
      </c>
      <c r="H4267">
        <v>85.705699999999993</v>
      </c>
      <c r="I4267">
        <v>13.6</v>
      </c>
      <c r="J4267">
        <v>83.81</v>
      </c>
      <c r="K4267" t="s">
        <v>30</v>
      </c>
      <c r="L4267">
        <v>313.64</v>
      </c>
      <c r="M4267">
        <f>VLOOKUP(K4267,RatingLookup!$A$2:$C$8,2,FALSE)</f>
        <v>1.4999999999999999E-2</v>
      </c>
      <c r="N4267">
        <f t="shared" si="198"/>
        <v>1.2586770182638762E-3</v>
      </c>
      <c r="O4267">
        <f>VLOOKUP(K4267,RatingLookup!$A$2:$C$8,3,FALSE)</f>
        <v>0.5</v>
      </c>
      <c r="P4267">
        <f t="shared" si="199"/>
        <v>0.19738573000414106</v>
      </c>
      <c r="Q4267" t="str">
        <f t="shared" ca="1" si="200"/>
        <v>No</v>
      </c>
    </row>
    <row r="4268" spans="1:17" x14ac:dyDescent="0.45">
      <c r="A4268" t="s">
        <v>178</v>
      </c>
      <c r="B4268" t="s">
        <v>179</v>
      </c>
      <c r="C4268" t="s">
        <v>35</v>
      </c>
      <c r="D4268" t="s">
        <v>20</v>
      </c>
      <c r="E4268" t="s">
        <v>21</v>
      </c>
      <c r="F4268" s="1">
        <v>44013</v>
      </c>
      <c r="G4268">
        <v>5.3</v>
      </c>
      <c r="H4268">
        <v>77.361699999999999</v>
      </c>
      <c r="I4268">
        <v>14.3</v>
      </c>
      <c r="J4268">
        <v>70.540000000000006</v>
      </c>
      <c r="K4268" t="s">
        <v>30</v>
      </c>
      <c r="L4268">
        <v>348.77</v>
      </c>
      <c r="M4268">
        <f>VLOOKUP(K4268,RatingLookup!$A$2:$C$8,2,FALSE)</f>
        <v>1.4999999999999999E-2</v>
      </c>
      <c r="N4268">
        <f t="shared" si="198"/>
        <v>1.2586770182638762E-3</v>
      </c>
      <c r="O4268">
        <f>VLOOKUP(K4268,RatingLookup!$A$2:$C$8,3,FALSE)</f>
        <v>0.5</v>
      </c>
      <c r="P4268">
        <f t="shared" si="199"/>
        <v>0.21949439182994604</v>
      </c>
      <c r="Q4268" t="str">
        <f t="shared" ca="1" si="200"/>
        <v>No</v>
      </c>
    </row>
    <row r="4269" spans="1:17" x14ac:dyDescent="0.45">
      <c r="A4269" t="s">
        <v>178</v>
      </c>
      <c r="B4269" t="s">
        <v>179</v>
      </c>
      <c r="C4269" t="s">
        <v>35</v>
      </c>
      <c r="D4269" t="s">
        <v>20</v>
      </c>
      <c r="E4269" t="s">
        <v>21</v>
      </c>
      <c r="F4269" s="1">
        <v>44044</v>
      </c>
      <c r="G4269">
        <v>5.47</v>
      </c>
      <c r="H4269">
        <v>85.836500000000001</v>
      </c>
      <c r="I4269">
        <v>20.010000000000002</v>
      </c>
      <c r="J4269">
        <v>68.83</v>
      </c>
      <c r="K4269" t="s">
        <v>22</v>
      </c>
      <c r="L4269">
        <v>305.24</v>
      </c>
      <c r="M4269">
        <f>VLOOKUP(K4269,RatingLookup!$A$2:$C$8,2,FALSE)</f>
        <v>5.0000000000000001E-3</v>
      </c>
      <c r="N4269">
        <f t="shared" si="198"/>
        <v>4.1762458919303302E-4</v>
      </c>
      <c r="O4269">
        <f>VLOOKUP(K4269,RatingLookup!$A$2:$C$8,3,FALSE)</f>
        <v>0.45</v>
      </c>
      <c r="P4269">
        <f t="shared" si="199"/>
        <v>5.7364078322376624E-2</v>
      </c>
      <c r="Q4269" t="str">
        <f t="shared" ca="1" si="200"/>
        <v>No</v>
      </c>
    </row>
    <row r="4270" spans="1:17" x14ac:dyDescent="0.45">
      <c r="A4270" t="s">
        <v>178</v>
      </c>
      <c r="B4270" t="s">
        <v>179</v>
      </c>
      <c r="C4270" t="s">
        <v>35</v>
      </c>
      <c r="D4270" t="s">
        <v>20</v>
      </c>
      <c r="E4270" t="s">
        <v>21</v>
      </c>
      <c r="F4270" s="1">
        <v>44075</v>
      </c>
      <c r="G4270">
        <v>5.12</v>
      </c>
      <c r="H4270">
        <v>82.409800000000004</v>
      </c>
      <c r="I4270">
        <v>5.24</v>
      </c>
      <c r="J4270">
        <v>59.68</v>
      </c>
      <c r="K4270" t="s">
        <v>30</v>
      </c>
      <c r="L4270">
        <v>316.88</v>
      </c>
      <c r="M4270">
        <f>VLOOKUP(K4270,RatingLookup!$A$2:$C$8,2,FALSE)</f>
        <v>1.4999999999999999E-2</v>
      </c>
      <c r="N4270">
        <f t="shared" si="198"/>
        <v>1.2586770182638762E-3</v>
      </c>
      <c r="O4270">
        <f>VLOOKUP(K4270,RatingLookup!$A$2:$C$8,3,FALSE)</f>
        <v>0.5</v>
      </c>
      <c r="P4270">
        <f t="shared" si="199"/>
        <v>0.19942478677372855</v>
      </c>
      <c r="Q4270" t="str">
        <f t="shared" ca="1" si="200"/>
        <v>No</v>
      </c>
    </row>
    <row r="4271" spans="1:17" x14ac:dyDescent="0.45">
      <c r="A4271" t="s">
        <v>178</v>
      </c>
      <c r="B4271" t="s">
        <v>179</v>
      </c>
      <c r="C4271" t="s">
        <v>35</v>
      </c>
      <c r="D4271" t="s">
        <v>20</v>
      </c>
      <c r="E4271" t="s">
        <v>21</v>
      </c>
      <c r="F4271" s="1">
        <v>44105</v>
      </c>
      <c r="G4271">
        <v>4.84</v>
      </c>
      <c r="H4271">
        <v>81.860500000000002</v>
      </c>
      <c r="I4271">
        <v>22.99</v>
      </c>
      <c r="J4271">
        <v>80.83</v>
      </c>
      <c r="K4271" t="s">
        <v>30</v>
      </c>
      <c r="L4271">
        <v>312.69</v>
      </c>
      <c r="M4271">
        <f>VLOOKUP(K4271,RatingLookup!$A$2:$C$8,2,FALSE)</f>
        <v>1.4999999999999999E-2</v>
      </c>
      <c r="N4271">
        <f t="shared" si="198"/>
        <v>1.2586770182638762E-3</v>
      </c>
      <c r="O4271">
        <f>VLOOKUP(K4271,RatingLookup!$A$2:$C$8,3,FALSE)</f>
        <v>0.5</v>
      </c>
      <c r="P4271">
        <f t="shared" si="199"/>
        <v>0.19678785842046573</v>
      </c>
      <c r="Q4271" t="str">
        <f t="shared" ca="1" si="200"/>
        <v>No</v>
      </c>
    </row>
    <row r="4272" spans="1:17" x14ac:dyDescent="0.45">
      <c r="A4272" t="s">
        <v>178</v>
      </c>
      <c r="B4272" t="s">
        <v>179</v>
      </c>
      <c r="C4272" t="s">
        <v>35</v>
      </c>
      <c r="D4272" t="s">
        <v>20</v>
      </c>
      <c r="E4272" t="s">
        <v>21</v>
      </c>
      <c r="F4272" s="1">
        <v>44136</v>
      </c>
      <c r="G4272">
        <v>5.98</v>
      </c>
      <c r="H4272">
        <v>85.942300000000003</v>
      </c>
      <c r="I4272">
        <v>23.03</v>
      </c>
      <c r="J4272">
        <v>82.85</v>
      </c>
      <c r="K4272" t="s">
        <v>30</v>
      </c>
      <c r="L4272">
        <v>327.36</v>
      </c>
      <c r="M4272">
        <f>VLOOKUP(K4272,RatingLookup!$A$2:$C$8,2,FALSE)</f>
        <v>1.4999999999999999E-2</v>
      </c>
      <c r="N4272">
        <f t="shared" si="198"/>
        <v>1.2586770182638762E-3</v>
      </c>
      <c r="O4272">
        <f>VLOOKUP(K4272,RatingLookup!$A$2:$C$8,3,FALSE)</f>
        <v>0.5</v>
      </c>
      <c r="P4272">
        <f t="shared" si="199"/>
        <v>0.20602025434943128</v>
      </c>
      <c r="Q4272" t="str">
        <f t="shared" ca="1" si="200"/>
        <v>No</v>
      </c>
    </row>
    <row r="4273" spans="1:17" x14ac:dyDescent="0.45">
      <c r="A4273" t="s">
        <v>178</v>
      </c>
      <c r="B4273" t="s">
        <v>179</v>
      </c>
      <c r="C4273" t="s">
        <v>35</v>
      </c>
      <c r="D4273" t="s">
        <v>20</v>
      </c>
      <c r="E4273" t="s">
        <v>21</v>
      </c>
      <c r="F4273" s="1">
        <v>44166</v>
      </c>
      <c r="G4273">
        <v>5.57</v>
      </c>
      <c r="H4273">
        <v>81.628900000000002</v>
      </c>
      <c r="I4273">
        <v>22.4</v>
      </c>
      <c r="J4273">
        <v>83.32</v>
      </c>
      <c r="K4273" t="s">
        <v>30</v>
      </c>
      <c r="L4273">
        <v>329.94</v>
      </c>
      <c r="M4273">
        <f>VLOOKUP(K4273,RatingLookup!$A$2:$C$8,2,FALSE)</f>
        <v>1.4999999999999999E-2</v>
      </c>
      <c r="N4273">
        <f t="shared" si="198"/>
        <v>1.2586770182638762E-3</v>
      </c>
      <c r="O4273">
        <f>VLOOKUP(K4273,RatingLookup!$A$2:$C$8,3,FALSE)</f>
        <v>0.5</v>
      </c>
      <c r="P4273">
        <f t="shared" si="199"/>
        <v>0.20764394770299166</v>
      </c>
      <c r="Q4273" t="str">
        <f t="shared" ca="1" si="200"/>
        <v>No</v>
      </c>
    </row>
    <row r="4274" spans="1:17" x14ac:dyDescent="0.45">
      <c r="A4274" t="s">
        <v>178</v>
      </c>
      <c r="B4274" t="s">
        <v>179</v>
      </c>
      <c r="C4274" t="s">
        <v>35</v>
      </c>
      <c r="D4274" t="s">
        <v>20</v>
      </c>
      <c r="E4274" t="s">
        <v>21</v>
      </c>
      <c r="F4274" s="1">
        <v>44197</v>
      </c>
      <c r="G4274">
        <v>6.15</v>
      </c>
      <c r="H4274">
        <v>77.972700000000003</v>
      </c>
      <c r="I4274">
        <v>19.38</v>
      </c>
      <c r="J4274">
        <v>83.77</v>
      </c>
      <c r="K4274" t="s">
        <v>30</v>
      </c>
      <c r="L4274">
        <v>329.84</v>
      </c>
      <c r="M4274">
        <f>VLOOKUP(K4274,RatingLookup!$A$2:$C$8,2,FALSE)</f>
        <v>1.4999999999999999E-2</v>
      </c>
      <c r="N4274">
        <f t="shared" si="198"/>
        <v>1.2586770182638762E-3</v>
      </c>
      <c r="O4274">
        <f>VLOOKUP(K4274,RatingLookup!$A$2:$C$8,3,FALSE)</f>
        <v>0.5</v>
      </c>
      <c r="P4274">
        <f t="shared" si="199"/>
        <v>0.20758101385207844</v>
      </c>
      <c r="Q4274" t="str">
        <f t="shared" ca="1" si="200"/>
        <v>No</v>
      </c>
    </row>
    <row r="4275" spans="1:17" x14ac:dyDescent="0.45">
      <c r="A4275" t="s">
        <v>178</v>
      </c>
      <c r="B4275" t="s">
        <v>179</v>
      </c>
      <c r="C4275" t="s">
        <v>35</v>
      </c>
      <c r="D4275" t="s">
        <v>20</v>
      </c>
      <c r="E4275" t="s">
        <v>21</v>
      </c>
      <c r="F4275" s="1">
        <v>44228</v>
      </c>
      <c r="G4275">
        <v>6.74</v>
      </c>
      <c r="H4275">
        <v>82.715800000000002</v>
      </c>
      <c r="I4275">
        <v>23.85</v>
      </c>
      <c r="J4275">
        <v>76.87</v>
      </c>
      <c r="K4275" t="s">
        <v>30</v>
      </c>
      <c r="L4275">
        <v>345.24</v>
      </c>
      <c r="M4275">
        <f>VLOOKUP(K4275,RatingLookup!$A$2:$C$8,2,FALSE)</f>
        <v>1.4999999999999999E-2</v>
      </c>
      <c r="N4275">
        <f t="shared" si="198"/>
        <v>1.2586770182638762E-3</v>
      </c>
      <c r="O4275">
        <f>VLOOKUP(K4275,RatingLookup!$A$2:$C$8,3,FALSE)</f>
        <v>0.5</v>
      </c>
      <c r="P4275">
        <f t="shared" si="199"/>
        <v>0.21727282689271032</v>
      </c>
      <c r="Q4275" t="str">
        <f t="shared" ca="1" si="200"/>
        <v>No</v>
      </c>
    </row>
    <row r="4276" spans="1:17" x14ac:dyDescent="0.45">
      <c r="A4276" t="s">
        <v>178</v>
      </c>
      <c r="B4276" t="s">
        <v>179</v>
      </c>
      <c r="C4276" t="s">
        <v>35</v>
      </c>
      <c r="D4276" t="s">
        <v>20</v>
      </c>
      <c r="E4276" t="s">
        <v>21</v>
      </c>
      <c r="F4276" s="1">
        <v>44256</v>
      </c>
      <c r="G4276">
        <v>5.96</v>
      </c>
      <c r="H4276">
        <v>81.395600000000002</v>
      </c>
      <c r="I4276">
        <v>23.9</v>
      </c>
      <c r="J4276">
        <v>83.35</v>
      </c>
      <c r="K4276" t="s">
        <v>30</v>
      </c>
      <c r="L4276">
        <v>317.02999999999997</v>
      </c>
      <c r="M4276">
        <f>VLOOKUP(K4276,RatingLookup!$A$2:$C$8,2,FALSE)</f>
        <v>1.4999999999999999E-2</v>
      </c>
      <c r="N4276">
        <f t="shared" si="198"/>
        <v>1.2586770182638762E-3</v>
      </c>
      <c r="O4276">
        <f>VLOOKUP(K4276,RatingLookup!$A$2:$C$8,3,FALSE)</f>
        <v>0.5</v>
      </c>
      <c r="P4276">
        <f t="shared" si="199"/>
        <v>0.19951918755009831</v>
      </c>
      <c r="Q4276" t="str">
        <f t="shared" ca="1" si="200"/>
        <v>No</v>
      </c>
    </row>
    <row r="4277" spans="1:17" x14ac:dyDescent="0.45">
      <c r="A4277" t="s">
        <v>178</v>
      </c>
      <c r="B4277" t="s">
        <v>179</v>
      </c>
      <c r="C4277" t="s">
        <v>35</v>
      </c>
      <c r="D4277" t="s">
        <v>20</v>
      </c>
      <c r="E4277" t="s">
        <v>21</v>
      </c>
      <c r="F4277" s="1">
        <v>44287</v>
      </c>
      <c r="G4277">
        <v>5.68</v>
      </c>
      <c r="H4277">
        <v>81.321700000000007</v>
      </c>
      <c r="I4277">
        <v>17.22</v>
      </c>
      <c r="J4277">
        <v>77.62</v>
      </c>
      <c r="K4277" t="s">
        <v>30</v>
      </c>
      <c r="L4277">
        <v>322.42</v>
      </c>
      <c r="M4277">
        <f>VLOOKUP(K4277,RatingLookup!$A$2:$C$8,2,FALSE)</f>
        <v>1.4999999999999999E-2</v>
      </c>
      <c r="N4277">
        <f t="shared" si="198"/>
        <v>1.2586770182638762E-3</v>
      </c>
      <c r="O4277">
        <f>VLOOKUP(K4277,RatingLookup!$A$2:$C$8,3,FALSE)</f>
        <v>0.5</v>
      </c>
      <c r="P4277">
        <f t="shared" si="199"/>
        <v>0.2029113221143195</v>
      </c>
      <c r="Q4277" t="str">
        <f t="shared" ca="1" si="200"/>
        <v>No</v>
      </c>
    </row>
    <row r="4278" spans="1:17" x14ac:dyDescent="0.45">
      <c r="A4278" t="s">
        <v>178</v>
      </c>
      <c r="B4278" t="s">
        <v>179</v>
      </c>
      <c r="C4278" t="s">
        <v>35</v>
      </c>
      <c r="D4278" t="s">
        <v>20</v>
      </c>
      <c r="E4278" t="s">
        <v>21</v>
      </c>
      <c r="F4278" s="1">
        <v>44317</v>
      </c>
      <c r="G4278">
        <v>4.4800000000000004</v>
      </c>
      <c r="H4278">
        <v>82.792100000000005</v>
      </c>
      <c r="I4278">
        <v>13.87</v>
      </c>
      <c r="J4278">
        <v>78.06</v>
      </c>
      <c r="K4278" t="s">
        <v>30</v>
      </c>
      <c r="L4278">
        <v>321.02999999999997</v>
      </c>
      <c r="M4278">
        <f>VLOOKUP(K4278,RatingLookup!$A$2:$C$8,2,FALSE)</f>
        <v>1.4999999999999999E-2</v>
      </c>
      <c r="N4278">
        <f t="shared" si="198"/>
        <v>1.2586770182638762E-3</v>
      </c>
      <c r="O4278">
        <f>VLOOKUP(K4278,RatingLookup!$A$2:$C$8,3,FALSE)</f>
        <v>0.5</v>
      </c>
      <c r="P4278">
        <f t="shared" si="199"/>
        <v>0.20203654158662607</v>
      </c>
      <c r="Q4278" t="str">
        <f t="shared" ca="1" si="200"/>
        <v>No</v>
      </c>
    </row>
    <row r="4279" spans="1:17" x14ac:dyDescent="0.45">
      <c r="A4279" t="s">
        <v>178</v>
      </c>
      <c r="B4279" t="s">
        <v>179</v>
      </c>
      <c r="C4279" t="s">
        <v>35</v>
      </c>
      <c r="D4279" t="s">
        <v>20</v>
      </c>
      <c r="E4279" t="s">
        <v>21</v>
      </c>
      <c r="F4279" s="1">
        <v>44348</v>
      </c>
      <c r="G4279">
        <v>5.71</v>
      </c>
      <c r="H4279">
        <v>84.272900000000007</v>
      </c>
      <c r="I4279">
        <v>18.59</v>
      </c>
      <c r="J4279">
        <v>86.13</v>
      </c>
      <c r="K4279" t="s">
        <v>30</v>
      </c>
      <c r="L4279">
        <v>316.95999999999998</v>
      </c>
      <c r="M4279">
        <f>VLOOKUP(K4279,RatingLookup!$A$2:$C$8,2,FALSE)</f>
        <v>1.4999999999999999E-2</v>
      </c>
      <c r="N4279">
        <f t="shared" si="198"/>
        <v>1.2586770182638762E-3</v>
      </c>
      <c r="O4279">
        <f>VLOOKUP(K4279,RatingLookup!$A$2:$C$8,3,FALSE)</f>
        <v>0.5</v>
      </c>
      <c r="P4279">
        <f t="shared" si="199"/>
        <v>0.19947513385445909</v>
      </c>
      <c r="Q4279" t="str">
        <f t="shared" ca="1" si="200"/>
        <v>No</v>
      </c>
    </row>
    <row r="4280" spans="1:17" x14ac:dyDescent="0.45">
      <c r="A4280" t="s">
        <v>178</v>
      </c>
      <c r="B4280" t="s">
        <v>179</v>
      </c>
      <c r="C4280" t="s">
        <v>35</v>
      </c>
      <c r="D4280" t="s">
        <v>20</v>
      </c>
      <c r="E4280" t="s">
        <v>21</v>
      </c>
      <c r="F4280" s="1">
        <v>44378</v>
      </c>
      <c r="G4280">
        <v>6.51</v>
      </c>
      <c r="H4280">
        <v>80.873999999999995</v>
      </c>
      <c r="I4280">
        <v>15.54</v>
      </c>
      <c r="J4280">
        <v>58.63</v>
      </c>
      <c r="K4280" t="s">
        <v>30</v>
      </c>
      <c r="L4280">
        <v>314.91000000000003</v>
      </c>
      <c r="M4280">
        <f>VLOOKUP(K4280,RatingLookup!$A$2:$C$8,2,FALSE)</f>
        <v>1.4999999999999999E-2</v>
      </c>
      <c r="N4280">
        <f t="shared" si="198"/>
        <v>1.2586770182638762E-3</v>
      </c>
      <c r="O4280">
        <f>VLOOKUP(K4280,RatingLookup!$A$2:$C$8,3,FALSE)</f>
        <v>0.5</v>
      </c>
      <c r="P4280">
        <f t="shared" si="199"/>
        <v>0.19818498991073866</v>
      </c>
      <c r="Q4280" t="str">
        <f t="shared" ca="1" si="200"/>
        <v>No</v>
      </c>
    </row>
    <row r="4281" spans="1:17" x14ac:dyDescent="0.45">
      <c r="A4281" t="s">
        <v>178</v>
      </c>
      <c r="B4281" t="s">
        <v>179</v>
      </c>
      <c r="C4281" t="s">
        <v>35</v>
      </c>
      <c r="D4281" t="s">
        <v>20</v>
      </c>
      <c r="E4281" t="s">
        <v>21</v>
      </c>
      <c r="F4281" s="1">
        <v>44409</v>
      </c>
      <c r="G4281">
        <v>5.34</v>
      </c>
      <c r="H4281">
        <v>83.842500000000001</v>
      </c>
      <c r="I4281">
        <v>24.01</v>
      </c>
      <c r="J4281">
        <v>76.900000000000006</v>
      </c>
      <c r="K4281" t="s">
        <v>30</v>
      </c>
      <c r="L4281">
        <v>314.83999999999997</v>
      </c>
      <c r="M4281">
        <f>VLOOKUP(K4281,RatingLookup!$A$2:$C$8,2,FALSE)</f>
        <v>1.4999999999999999E-2</v>
      </c>
      <c r="N4281">
        <f t="shared" si="198"/>
        <v>1.2586770182638762E-3</v>
      </c>
      <c r="O4281">
        <f>VLOOKUP(K4281,RatingLookup!$A$2:$C$8,3,FALSE)</f>
        <v>0.5</v>
      </c>
      <c r="P4281">
        <f t="shared" si="199"/>
        <v>0.19814093621509937</v>
      </c>
      <c r="Q4281" t="str">
        <f t="shared" ca="1" si="200"/>
        <v>No</v>
      </c>
    </row>
    <row r="4282" spans="1:17" x14ac:dyDescent="0.45">
      <c r="A4282" t="s">
        <v>178</v>
      </c>
      <c r="B4282" t="s">
        <v>179</v>
      </c>
      <c r="C4282" t="s">
        <v>35</v>
      </c>
      <c r="D4282" t="s">
        <v>20</v>
      </c>
      <c r="E4282" t="s">
        <v>21</v>
      </c>
      <c r="F4282" s="1">
        <v>44440</v>
      </c>
      <c r="G4282">
        <v>6.81</v>
      </c>
      <c r="H4282">
        <v>82.1477</v>
      </c>
      <c r="I4282">
        <v>22.27</v>
      </c>
      <c r="J4282">
        <v>67.52</v>
      </c>
      <c r="K4282" t="s">
        <v>30</v>
      </c>
      <c r="L4282">
        <v>307.99</v>
      </c>
      <c r="M4282">
        <f>VLOOKUP(K4282,RatingLookup!$A$2:$C$8,2,FALSE)</f>
        <v>1.4999999999999999E-2</v>
      </c>
      <c r="N4282">
        <f t="shared" si="198"/>
        <v>1.2586770182638762E-3</v>
      </c>
      <c r="O4282">
        <f>VLOOKUP(K4282,RatingLookup!$A$2:$C$8,3,FALSE)</f>
        <v>0.5</v>
      </c>
      <c r="P4282">
        <f t="shared" si="199"/>
        <v>0.19382996742754563</v>
      </c>
      <c r="Q4282" t="str">
        <f t="shared" ca="1" si="200"/>
        <v>No</v>
      </c>
    </row>
    <row r="4283" spans="1:17" x14ac:dyDescent="0.45">
      <c r="A4283" t="s">
        <v>178</v>
      </c>
      <c r="B4283" t="s">
        <v>179</v>
      </c>
      <c r="C4283" t="s">
        <v>35</v>
      </c>
      <c r="D4283" t="s">
        <v>20</v>
      </c>
      <c r="E4283" t="s">
        <v>21</v>
      </c>
      <c r="F4283" s="1">
        <v>44470</v>
      </c>
      <c r="G4283">
        <v>6.4</v>
      </c>
      <c r="H4283">
        <v>86.160799999999995</v>
      </c>
      <c r="I4283">
        <v>16.13</v>
      </c>
      <c r="J4283">
        <v>83.28</v>
      </c>
      <c r="K4283" t="s">
        <v>22</v>
      </c>
      <c r="L4283">
        <v>387</v>
      </c>
      <c r="M4283">
        <f>VLOOKUP(K4283,RatingLookup!$A$2:$C$8,2,FALSE)</f>
        <v>5.0000000000000001E-3</v>
      </c>
      <c r="N4283">
        <f t="shared" si="198"/>
        <v>4.1762458919303302E-4</v>
      </c>
      <c r="O4283">
        <f>VLOOKUP(K4283,RatingLookup!$A$2:$C$8,3,FALSE)</f>
        <v>0.45</v>
      </c>
      <c r="P4283">
        <f t="shared" si="199"/>
        <v>7.2729322207966698E-2</v>
      </c>
      <c r="Q4283" t="str">
        <f t="shared" ca="1" si="200"/>
        <v>No</v>
      </c>
    </row>
    <row r="4284" spans="1:17" x14ac:dyDescent="0.45">
      <c r="A4284" t="s">
        <v>178</v>
      </c>
      <c r="B4284" t="s">
        <v>179</v>
      </c>
      <c r="C4284" t="s">
        <v>35</v>
      </c>
      <c r="D4284" t="s">
        <v>20</v>
      </c>
      <c r="E4284" t="s">
        <v>21</v>
      </c>
      <c r="F4284" s="1">
        <v>44501</v>
      </c>
      <c r="G4284">
        <v>5.42</v>
      </c>
      <c r="H4284">
        <v>83.756500000000003</v>
      </c>
      <c r="I4284">
        <v>6.92</v>
      </c>
      <c r="J4284">
        <v>81.61</v>
      </c>
      <c r="K4284" t="s">
        <v>22</v>
      </c>
      <c r="L4284">
        <v>323</v>
      </c>
      <c r="M4284">
        <f>VLOOKUP(K4284,RatingLookup!$A$2:$C$8,2,FALSE)</f>
        <v>5.0000000000000001E-3</v>
      </c>
      <c r="N4284">
        <f t="shared" si="198"/>
        <v>4.1762458919303302E-4</v>
      </c>
      <c r="O4284">
        <f>VLOOKUP(K4284,RatingLookup!$A$2:$C$8,3,FALSE)</f>
        <v>0.45</v>
      </c>
      <c r="P4284">
        <f t="shared" si="199"/>
        <v>6.0701734039207353E-2</v>
      </c>
      <c r="Q4284" t="str">
        <f t="shared" ca="1" si="200"/>
        <v>No</v>
      </c>
    </row>
    <row r="4285" spans="1:17" x14ac:dyDescent="0.45">
      <c r="A4285" t="s">
        <v>178</v>
      </c>
      <c r="B4285" t="s">
        <v>179</v>
      </c>
      <c r="C4285" t="s">
        <v>35</v>
      </c>
      <c r="D4285" t="s">
        <v>20</v>
      </c>
      <c r="E4285" t="s">
        <v>21</v>
      </c>
      <c r="F4285" s="1">
        <v>44531</v>
      </c>
      <c r="G4285">
        <v>5.45</v>
      </c>
      <c r="H4285">
        <v>85.701300000000003</v>
      </c>
      <c r="I4285">
        <v>18.89</v>
      </c>
      <c r="J4285">
        <v>78.709999999999994</v>
      </c>
      <c r="K4285" t="s">
        <v>22</v>
      </c>
      <c r="L4285">
        <v>347.12</v>
      </c>
      <c r="M4285">
        <f>VLOOKUP(K4285,RatingLookup!$A$2:$C$8,2,FALSE)</f>
        <v>5.0000000000000001E-3</v>
      </c>
      <c r="N4285">
        <f t="shared" si="198"/>
        <v>4.1762458919303302E-4</v>
      </c>
      <c r="O4285">
        <f>VLOOKUP(K4285,RatingLookup!$A$2:$C$8,3,FALSE)</f>
        <v>0.45</v>
      </c>
      <c r="P4285">
        <f t="shared" si="199"/>
        <v>6.5234631330308532E-2</v>
      </c>
      <c r="Q4285" t="str">
        <f t="shared" ca="1" si="200"/>
        <v>No</v>
      </c>
    </row>
    <row r="4286" spans="1:17" x14ac:dyDescent="0.45">
      <c r="A4286" t="s">
        <v>178</v>
      </c>
      <c r="B4286" t="s">
        <v>179</v>
      </c>
      <c r="C4286" t="s">
        <v>35</v>
      </c>
      <c r="D4286" t="s">
        <v>20</v>
      </c>
      <c r="E4286" t="s">
        <v>21</v>
      </c>
      <c r="F4286" s="1">
        <v>44562</v>
      </c>
      <c r="G4286">
        <v>5.43</v>
      </c>
      <c r="H4286">
        <v>80.855400000000003</v>
      </c>
      <c r="I4286">
        <v>19.510000000000002</v>
      </c>
      <c r="J4286">
        <v>81.7</v>
      </c>
      <c r="K4286" t="s">
        <v>22</v>
      </c>
      <c r="L4286">
        <v>310.39999999999998</v>
      </c>
      <c r="M4286">
        <f>VLOOKUP(K4286,RatingLookup!$A$2:$C$8,2,FALSE)</f>
        <v>5.0000000000000001E-3</v>
      </c>
      <c r="N4286">
        <f t="shared" si="198"/>
        <v>4.1762458919303302E-4</v>
      </c>
      <c r="O4286">
        <f>VLOOKUP(K4286,RatingLookup!$A$2:$C$8,3,FALSE)</f>
        <v>0.45</v>
      </c>
      <c r="P4286">
        <f t="shared" si="199"/>
        <v>5.8333802618482845E-2</v>
      </c>
      <c r="Q4286" t="str">
        <f t="shared" ca="1" si="200"/>
        <v>No</v>
      </c>
    </row>
    <row r="4287" spans="1:17" x14ac:dyDescent="0.45">
      <c r="A4287" t="s">
        <v>178</v>
      </c>
      <c r="B4287" t="s">
        <v>179</v>
      </c>
      <c r="C4287" t="s">
        <v>35</v>
      </c>
      <c r="D4287" t="s">
        <v>20</v>
      </c>
      <c r="E4287" t="s">
        <v>21</v>
      </c>
      <c r="F4287" s="1">
        <v>44593</v>
      </c>
      <c r="G4287">
        <v>6.44</v>
      </c>
      <c r="H4287">
        <v>86.684299999999993</v>
      </c>
      <c r="I4287">
        <v>19.23</v>
      </c>
      <c r="J4287">
        <v>56.95</v>
      </c>
      <c r="K4287" t="s">
        <v>22</v>
      </c>
      <c r="L4287">
        <v>354.31</v>
      </c>
      <c r="M4287">
        <f>VLOOKUP(K4287,RatingLookup!$A$2:$C$8,2,FALSE)</f>
        <v>5.0000000000000001E-3</v>
      </c>
      <c r="N4287">
        <f t="shared" si="198"/>
        <v>4.1762458919303302E-4</v>
      </c>
      <c r="O4287">
        <f>VLOOKUP(K4287,RatingLookup!$A$2:$C$8,3,FALSE)</f>
        <v>0.45</v>
      </c>
      <c r="P4287">
        <f t="shared" si="199"/>
        <v>6.6585855688642587E-2</v>
      </c>
      <c r="Q4287" t="str">
        <f t="shared" ca="1" si="200"/>
        <v>No</v>
      </c>
    </row>
    <row r="4288" spans="1:17" x14ac:dyDescent="0.45">
      <c r="A4288" t="s">
        <v>178</v>
      </c>
      <c r="B4288" t="s">
        <v>179</v>
      </c>
      <c r="C4288" t="s">
        <v>35</v>
      </c>
      <c r="D4288" t="s">
        <v>20</v>
      </c>
      <c r="E4288" t="s">
        <v>21</v>
      </c>
      <c r="F4288" s="1">
        <v>44621</v>
      </c>
      <c r="G4288">
        <v>5.75</v>
      </c>
      <c r="H4288">
        <v>82.479399999999998</v>
      </c>
      <c r="I4288">
        <v>6.17</v>
      </c>
      <c r="J4288">
        <v>81.67</v>
      </c>
      <c r="K4288" t="s">
        <v>22</v>
      </c>
      <c r="L4288">
        <v>341.79</v>
      </c>
      <c r="M4288">
        <f>VLOOKUP(K4288,RatingLookup!$A$2:$C$8,2,FALSE)</f>
        <v>5.0000000000000001E-3</v>
      </c>
      <c r="N4288">
        <f t="shared" si="198"/>
        <v>4.1762458919303302E-4</v>
      </c>
      <c r="O4288">
        <f>VLOOKUP(K4288,RatingLookup!$A$2:$C$8,3,FALSE)</f>
        <v>0.45</v>
      </c>
      <c r="P4288">
        <f t="shared" si="199"/>
        <v>6.4232958753129052E-2</v>
      </c>
      <c r="Q4288" t="str">
        <f t="shared" ca="1" si="200"/>
        <v>No</v>
      </c>
    </row>
    <row r="4289" spans="1:17" x14ac:dyDescent="0.45">
      <c r="A4289" t="s">
        <v>178</v>
      </c>
      <c r="B4289" t="s">
        <v>179</v>
      </c>
      <c r="C4289" t="s">
        <v>35</v>
      </c>
      <c r="D4289" t="s">
        <v>20</v>
      </c>
      <c r="E4289" t="s">
        <v>21</v>
      </c>
      <c r="F4289" s="1">
        <v>44652</v>
      </c>
      <c r="G4289">
        <v>4.54</v>
      </c>
      <c r="H4289">
        <v>87.081000000000003</v>
      </c>
      <c r="I4289">
        <v>22.54</v>
      </c>
      <c r="J4289">
        <v>77.94</v>
      </c>
      <c r="K4289" t="s">
        <v>22</v>
      </c>
      <c r="L4289">
        <v>331.61</v>
      </c>
      <c r="M4289">
        <f>VLOOKUP(K4289,RatingLookup!$A$2:$C$8,2,FALSE)</f>
        <v>5.0000000000000001E-3</v>
      </c>
      <c r="N4289">
        <f t="shared" si="198"/>
        <v>4.1762458919303302E-4</v>
      </c>
      <c r="O4289">
        <f>VLOOKUP(K4289,RatingLookup!$A$2:$C$8,3,FALSE)</f>
        <v>0.45</v>
      </c>
      <c r="P4289">
        <f t="shared" si="199"/>
        <v>6.2319820510035755E-2</v>
      </c>
      <c r="Q4289" t="str">
        <f t="shared" ca="1" si="200"/>
        <v>No</v>
      </c>
    </row>
    <row r="4290" spans="1:17" x14ac:dyDescent="0.45">
      <c r="A4290" t="s">
        <v>178</v>
      </c>
      <c r="B4290" t="s">
        <v>179</v>
      </c>
      <c r="C4290" t="s">
        <v>35</v>
      </c>
      <c r="D4290" t="s">
        <v>20</v>
      </c>
      <c r="E4290" t="s">
        <v>21</v>
      </c>
      <c r="F4290" s="1">
        <v>44682</v>
      </c>
      <c r="G4290">
        <v>4.92</v>
      </c>
      <c r="H4290">
        <v>81.063599999999994</v>
      </c>
      <c r="I4290">
        <v>28.51</v>
      </c>
      <c r="J4290">
        <v>68.98</v>
      </c>
      <c r="K4290" t="s">
        <v>22</v>
      </c>
      <c r="L4290">
        <v>330.72</v>
      </c>
      <c r="M4290">
        <f>VLOOKUP(K4290,RatingLookup!$A$2:$C$8,2,FALSE)</f>
        <v>5.0000000000000001E-3</v>
      </c>
      <c r="N4290">
        <f t="shared" ref="N4290:N4353" si="201">1-(1-M4290)^(1/12)</f>
        <v>4.1762458919303302E-4</v>
      </c>
      <c r="O4290">
        <f>VLOOKUP(K4290,RatingLookup!$A$2:$C$8,3,FALSE)</f>
        <v>0.45</v>
      </c>
      <c r="P4290">
        <f t="shared" ref="P4290:P4353" si="202">L4290*N4290*O4290</f>
        <v>6.215256186206395E-2</v>
      </c>
      <c r="Q4290" t="str">
        <f t="shared" ref="Q4290:Q4353" ca="1" si="203">IF(RAND()&lt;N4290,"Yes","No")</f>
        <v>No</v>
      </c>
    </row>
    <row r="4291" spans="1:17" x14ac:dyDescent="0.45">
      <c r="A4291" t="s">
        <v>178</v>
      </c>
      <c r="B4291" t="s">
        <v>179</v>
      </c>
      <c r="C4291" t="s">
        <v>35</v>
      </c>
      <c r="D4291" t="s">
        <v>20</v>
      </c>
      <c r="E4291" t="s">
        <v>21</v>
      </c>
      <c r="F4291" s="1">
        <v>44713</v>
      </c>
      <c r="G4291">
        <v>5.09</v>
      </c>
      <c r="H4291">
        <v>84.416700000000006</v>
      </c>
      <c r="I4291">
        <v>25.54</v>
      </c>
      <c r="J4291">
        <v>84.47</v>
      </c>
      <c r="K4291" t="s">
        <v>22</v>
      </c>
      <c r="L4291">
        <v>317.36</v>
      </c>
      <c r="M4291">
        <f>VLOOKUP(K4291,RatingLookup!$A$2:$C$8,2,FALSE)</f>
        <v>5.0000000000000001E-3</v>
      </c>
      <c r="N4291">
        <f t="shared" si="201"/>
        <v>4.1762458919303302E-4</v>
      </c>
      <c r="O4291">
        <f>VLOOKUP(K4291,RatingLookup!$A$2:$C$8,3,FALSE)</f>
        <v>0.45</v>
      </c>
      <c r="P4291">
        <f t="shared" si="202"/>
        <v>5.9641802831835435E-2</v>
      </c>
      <c r="Q4291" t="str">
        <f t="shared" ca="1" si="203"/>
        <v>No</v>
      </c>
    </row>
    <row r="4292" spans="1:17" x14ac:dyDescent="0.45">
      <c r="A4292" t="s">
        <v>178</v>
      </c>
      <c r="B4292" t="s">
        <v>179</v>
      </c>
      <c r="C4292" t="s">
        <v>35</v>
      </c>
      <c r="D4292" t="s">
        <v>20</v>
      </c>
      <c r="E4292" t="s">
        <v>21</v>
      </c>
      <c r="F4292" s="1">
        <v>44743</v>
      </c>
      <c r="G4292">
        <v>5.89</v>
      </c>
      <c r="H4292">
        <v>82.538600000000002</v>
      </c>
      <c r="I4292">
        <v>23.87</v>
      </c>
      <c r="J4292">
        <v>75.790000000000006</v>
      </c>
      <c r="K4292" t="s">
        <v>22</v>
      </c>
      <c r="L4292">
        <v>326.83</v>
      </c>
      <c r="M4292">
        <f>VLOOKUP(K4292,RatingLookup!$A$2:$C$8,2,FALSE)</f>
        <v>5.0000000000000001E-3</v>
      </c>
      <c r="N4292">
        <f t="shared" si="201"/>
        <v>4.1762458919303302E-4</v>
      </c>
      <c r="O4292">
        <f>VLOOKUP(K4292,RatingLookup!$A$2:$C$8,3,FALSE)</f>
        <v>0.45</v>
      </c>
      <c r="P4292">
        <f t="shared" si="202"/>
        <v>6.1421510018681541E-2</v>
      </c>
      <c r="Q4292" t="str">
        <f t="shared" ca="1" si="203"/>
        <v>No</v>
      </c>
    </row>
    <row r="4293" spans="1:17" x14ac:dyDescent="0.45">
      <c r="A4293" t="s">
        <v>178</v>
      </c>
      <c r="B4293" t="s">
        <v>179</v>
      </c>
      <c r="C4293" t="s">
        <v>35</v>
      </c>
      <c r="D4293" t="s">
        <v>20</v>
      </c>
      <c r="E4293" t="s">
        <v>21</v>
      </c>
      <c r="F4293" s="1">
        <v>44774</v>
      </c>
      <c r="G4293">
        <v>6.46</v>
      </c>
      <c r="H4293">
        <v>84.580200000000005</v>
      </c>
      <c r="I4293">
        <v>32.85</v>
      </c>
      <c r="J4293">
        <v>94.66</v>
      </c>
      <c r="K4293" t="s">
        <v>22</v>
      </c>
      <c r="L4293">
        <v>341.02</v>
      </c>
      <c r="M4293">
        <f>VLOOKUP(K4293,RatingLookup!$A$2:$C$8,2,FALSE)</f>
        <v>5.0000000000000001E-3</v>
      </c>
      <c r="N4293">
        <f t="shared" si="201"/>
        <v>4.1762458919303302E-4</v>
      </c>
      <c r="O4293">
        <f>VLOOKUP(K4293,RatingLookup!$A$2:$C$8,3,FALSE)</f>
        <v>0.45</v>
      </c>
      <c r="P4293">
        <f t="shared" si="202"/>
        <v>6.4088251832973647E-2</v>
      </c>
      <c r="Q4293" t="str">
        <f t="shared" ca="1" si="203"/>
        <v>No</v>
      </c>
    </row>
    <row r="4294" spans="1:17" x14ac:dyDescent="0.45">
      <c r="A4294" t="s">
        <v>178</v>
      </c>
      <c r="B4294" t="s">
        <v>179</v>
      </c>
      <c r="C4294" t="s">
        <v>35</v>
      </c>
      <c r="D4294" t="s">
        <v>20</v>
      </c>
      <c r="E4294" t="s">
        <v>21</v>
      </c>
      <c r="F4294" s="1">
        <v>44805</v>
      </c>
      <c r="G4294">
        <v>5.93</v>
      </c>
      <c r="H4294">
        <v>85.794700000000006</v>
      </c>
      <c r="I4294">
        <v>14.79</v>
      </c>
      <c r="J4294">
        <v>95.81</v>
      </c>
      <c r="K4294" t="s">
        <v>22</v>
      </c>
      <c r="L4294">
        <v>331.74</v>
      </c>
      <c r="M4294">
        <f>VLOOKUP(K4294,RatingLookup!$A$2:$C$8,2,FALSE)</f>
        <v>5.0000000000000001E-3</v>
      </c>
      <c r="N4294">
        <f t="shared" si="201"/>
        <v>4.1762458919303302E-4</v>
      </c>
      <c r="O4294">
        <f>VLOOKUP(K4294,RatingLookup!$A$2:$C$8,3,FALSE)</f>
        <v>0.45</v>
      </c>
      <c r="P4294">
        <f t="shared" si="202"/>
        <v>6.2344251548503545E-2</v>
      </c>
      <c r="Q4294" t="str">
        <f t="shared" ca="1" si="203"/>
        <v>No</v>
      </c>
    </row>
    <row r="4295" spans="1:17" x14ac:dyDescent="0.45">
      <c r="A4295" t="s">
        <v>178</v>
      </c>
      <c r="B4295" t="s">
        <v>179</v>
      </c>
      <c r="C4295" t="s">
        <v>35</v>
      </c>
      <c r="D4295" t="s">
        <v>20</v>
      </c>
      <c r="E4295" t="s">
        <v>21</v>
      </c>
      <c r="F4295" s="1">
        <v>44835</v>
      </c>
      <c r="G4295">
        <v>5.91</v>
      </c>
      <c r="H4295">
        <v>81.707499999999996</v>
      </c>
      <c r="I4295">
        <v>13.88</v>
      </c>
      <c r="J4295">
        <v>80.489999999999995</v>
      </c>
      <c r="K4295" t="s">
        <v>22</v>
      </c>
      <c r="L4295">
        <v>308.2</v>
      </c>
      <c r="M4295">
        <f>VLOOKUP(K4295,RatingLookup!$A$2:$C$8,2,FALSE)</f>
        <v>5.0000000000000001E-3</v>
      </c>
      <c r="N4295">
        <f t="shared" si="201"/>
        <v>4.1762458919303302E-4</v>
      </c>
      <c r="O4295">
        <f>VLOOKUP(K4295,RatingLookup!$A$2:$C$8,3,FALSE)</f>
        <v>0.45</v>
      </c>
      <c r="P4295">
        <f t="shared" si="202"/>
        <v>5.7920354275181753E-2</v>
      </c>
      <c r="Q4295" t="str">
        <f t="shared" ca="1" si="203"/>
        <v>No</v>
      </c>
    </row>
    <row r="4296" spans="1:17" x14ac:dyDescent="0.45">
      <c r="A4296" t="s">
        <v>178</v>
      </c>
      <c r="B4296" t="s">
        <v>179</v>
      </c>
      <c r="C4296" t="s">
        <v>35</v>
      </c>
      <c r="D4296" t="s">
        <v>20</v>
      </c>
      <c r="E4296" t="s">
        <v>21</v>
      </c>
      <c r="F4296" s="1">
        <v>44866</v>
      </c>
      <c r="G4296">
        <v>5.41</v>
      </c>
      <c r="H4296">
        <v>86.319599999999994</v>
      </c>
      <c r="I4296">
        <v>24.65</v>
      </c>
      <c r="J4296">
        <v>77.23</v>
      </c>
      <c r="K4296" t="s">
        <v>22</v>
      </c>
      <c r="L4296">
        <v>364.85</v>
      </c>
      <c r="M4296">
        <f>VLOOKUP(K4296,RatingLookup!$A$2:$C$8,2,FALSE)</f>
        <v>5.0000000000000001E-3</v>
      </c>
      <c r="N4296">
        <f t="shared" si="201"/>
        <v>4.1762458919303302E-4</v>
      </c>
      <c r="O4296">
        <f>VLOOKUP(K4296,RatingLookup!$A$2:$C$8,3,FALSE)</f>
        <v>0.45</v>
      </c>
      <c r="P4296">
        <f t="shared" si="202"/>
        <v>6.856664911518516E-2</v>
      </c>
      <c r="Q4296" t="str">
        <f t="shared" ca="1" si="203"/>
        <v>No</v>
      </c>
    </row>
    <row r="4297" spans="1:17" x14ac:dyDescent="0.45">
      <c r="A4297" t="s">
        <v>178</v>
      </c>
      <c r="B4297" t="s">
        <v>179</v>
      </c>
      <c r="C4297" t="s">
        <v>35</v>
      </c>
      <c r="D4297" t="s">
        <v>20</v>
      </c>
      <c r="E4297" t="s">
        <v>21</v>
      </c>
      <c r="F4297" s="1">
        <v>44896</v>
      </c>
      <c r="G4297">
        <v>5.7</v>
      </c>
      <c r="H4297">
        <v>80.345600000000005</v>
      </c>
      <c r="I4297">
        <v>24.99</v>
      </c>
      <c r="J4297">
        <v>85.05</v>
      </c>
      <c r="K4297" t="s">
        <v>22</v>
      </c>
      <c r="L4297">
        <v>365.02</v>
      </c>
      <c r="M4297">
        <f>VLOOKUP(K4297,RatingLookup!$A$2:$C$8,2,FALSE)</f>
        <v>5.0000000000000001E-3</v>
      </c>
      <c r="N4297">
        <f t="shared" si="201"/>
        <v>4.1762458919303302E-4</v>
      </c>
      <c r="O4297">
        <f>VLOOKUP(K4297,RatingLookup!$A$2:$C$8,3,FALSE)</f>
        <v>0.45</v>
      </c>
      <c r="P4297">
        <f t="shared" si="202"/>
        <v>6.8598597396258412E-2</v>
      </c>
      <c r="Q4297" t="str">
        <f t="shared" ca="1" si="203"/>
        <v>No</v>
      </c>
    </row>
    <row r="4298" spans="1:17" x14ac:dyDescent="0.45">
      <c r="A4298" t="s">
        <v>178</v>
      </c>
      <c r="B4298" t="s">
        <v>179</v>
      </c>
      <c r="C4298" t="s">
        <v>35</v>
      </c>
      <c r="D4298" t="s">
        <v>20</v>
      </c>
      <c r="E4298" t="s">
        <v>21</v>
      </c>
      <c r="F4298" s="1">
        <v>44927</v>
      </c>
      <c r="G4298">
        <v>6.19</v>
      </c>
      <c r="H4298">
        <v>80.263599999999997</v>
      </c>
      <c r="I4298">
        <v>9.19</v>
      </c>
      <c r="J4298">
        <v>81.790000000000006</v>
      </c>
      <c r="K4298" t="s">
        <v>22</v>
      </c>
      <c r="L4298">
        <v>347.2</v>
      </c>
      <c r="M4298">
        <f>VLOOKUP(K4298,RatingLookup!$A$2:$C$8,2,FALSE)</f>
        <v>5.0000000000000001E-3</v>
      </c>
      <c r="N4298">
        <f t="shared" si="201"/>
        <v>4.1762458919303302E-4</v>
      </c>
      <c r="O4298">
        <f>VLOOKUP(K4298,RatingLookup!$A$2:$C$8,3,FALSE)</f>
        <v>0.45</v>
      </c>
      <c r="P4298">
        <f t="shared" si="202"/>
        <v>6.5249665815519484E-2</v>
      </c>
      <c r="Q4298" t="str">
        <f t="shared" ca="1" si="203"/>
        <v>No</v>
      </c>
    </row>
    <row r="4299" spans="1:17" x14ac:dyDescent="0.45">
      <c r="A4299" t="s">
        <v>178</v>
      </c>
      <c r="B4299" t="s">
        <v>179</v>
      </c>
      <c r="C4299" t="s">
        <v>35</v>
      </c>
      <c r="D4299" t="s">
        <v>20</v>
      </c>
      <c r="E4299" t="s">
        <v>21</v>
      </c>
      <c r="F4299" s="1">
        <v>44958</v>
      </c>
      <c r="G4299">
        <v>5.7</v>
      </c>
      <c r="H4299">
        <v>85.287000000000006</v>
      </c>
      <c r="I4299">
        <v>15.62</v>
      </c>
      <c r="J4299">
        <v>102.59</v>
      </c>
      <c r="K4299" t="s">
        <v>22</v>
      </c>
      <c r="L4299">
        <v>349.27</v>
      </c>
      <c r="M4299">
        <f>VLOOKUP(K4299,RatingLookup!$A$2:$C$8,2,FALSE)</f>
        <v>5.0000000000000001E-3</v>
      </c>
      <c r="N4299">
        <f t="shared" si="201"/>
        <v>4.1762458919303302E-4</v>
      </c>
      <c r="O4299">
        <f>VLOOKUP(K4299,RatingLookup!$A$2:$C$8,3,FALSE)</f>
        <v>0.45</v>
      </c>
      <c r="P4299">
        <f t="shared" si="202"/>
        <v>6.5638683120352787E-2</v>
      </c>
      <c r="Q4299" t="str">
        <f t="shared" ca="1" si="203"/>
        <v>No</v>
      </c>
    </row>
    <row r="4300" spans="1:17" x14ac:dyDescent="0.45">
      <c r="A4300" t="s">
        <v>178</v>
      </c>
      <c r="B4300" t="s">
        <v>179</v>
      </c>
      <c r="C4300" t="s">
        <v>35</v>
      </c>
      <c r="D4300" t="s">
        <v>20</v>
      </c>
      <c r="E4300" t="s">
        <v>21</v>
      </c>
      <c r="F4300" s="1">
        <v>44986</v>
      </c>
      <c r="G4300">
        <v>6.45</v>
      </c>
      <c r="H4300">
        <v>79.648899999999998</v>
      </c>
      <c r="I4300">
        <v>16.239999999999998</v>
      </c>
      <c r="J4300">
        <v>77.94</v>
      </c>
      <c r="K4300" t="s">
        <v>22</v>
      </c>
      <c r="L4300">
        <v>316.2</v>
      </c>
      <c r="M4300">
        <f>VLOOKUP(K4300,RatingLookup!$A$2:$C$8,2,FALSE)</f>
        <v>5.0000000000000001E-3</v>
      </c>
      <c r="N4300">
        <f t="shared" si="201"/>
        <v>4.1762458919303302E-4</v>
      </c>
      <c r="O4300">
        <f>VLOOKUP(K4300,RatingLookup!$A$2:$C$8,3,FALSE)</f>
        <v>0.45</v>
      </c>
      <c r="P4300">
        <f t="shared" si="202"/>
        <v>5.9423802796276674E-2</v>
      </c>
      <c r="Q4300" t="str">
        <f t="shared" ca="1" si="203"/>
        <v>No</v>
      </c>
    </row>
    <row r="4301" spans="1:17" x14ac:dyDescent="0.45">
      <c r="A4301" t="s">
        <v>178</v>
      </c>
      <c r="B4301" t="s">
        <v>179</v>
      </c>
      <c r="C4301" t="s">
        <v>35</v>
      </c>
      <c r="D4301" t="s">
        <v>20</v>
      </c>
      <c r="E4301" t="s">
        <v>21</v>
      </c>
      <c r="F4301" s="1">
        <v>45017</v>
      </c>
      <c r="G4301">
        <v>6.47</v>
      </c>
      <c r="H4301">
        <v>82.921899999999994</v>
      </c>
      <c r="I4301">
        <v>9.7200000000000006</v>
      </c>
      <c r="J4301">
        <v>73.930000000000007</v>
      </c>
      <c r="K4301" t="s">
        <v>22</v>
      </c>
      <c r="L4301">
        <v>317.26</v>
      </c>
      <c r="M4301">
        <f>VLOOKUP(K4301,RatingLookup!$A$2:$C$8,2,FALSE)</f>
        <v>5.0000000000000001E-3</v>
      </c>
      <c r="N4301">
        <f t="shared" si="201"/>
        <v>4.1762458919303302E-4</v>
      </c>
      <c r="O4301">
        <f>VLOOKUP(K4301,RatingLookup!$A$2:$C$8,3,FALSE)</f>
        <v>0.45</v>
      </c>
      <c r="P4301">
        <f t="shared" si="202"/>
        <v>5.9623009725321752E-2</v>
      </c>
      <c r="Q4301" t="str">
        <f t="shared" ca="1" si="203"/>
        <v>No</v>
      </c>
    </row>
    <row r="4302" spans="1:17" x14ac:dyDescent="0.45">
      <c r="A4302" t="s">
        <v>178</v>
      </c>
      <c r="B4302" t="s">
        <v>179</v>
      </c>
      <c r="C4302" t="s">
        <v>35</v>
      </c>
      <c r="D4302" t="s">
        <v>20</v>
      </c>
      <c r="E4302" t="s">
        <v>21</v>
      </c>
      <c r="F4302" s="1">
        <v>45047</v>
      </c>
      <c r="G4302">
        <v>5.89</v>
      </c>
      <c r="H4302">
        <v>85.2517</v>
      </c>
      <c r="I4302">
        <v>31.98</v>
      </c>
      <c r="J4302">
        <v>97.15</v>
      </c>
      <c r="K4302" t="s">
        <v>22</v>
      </c>
      <c r="L4302">
        <v>328.62</v>
      </c>
      <c r="M4302">
        <f>VLOOKUP(K4302,RatingLookup!$A$2:$C$8,2,FALSE)</f>
        <v>5.0000000000000001E-3</v>
      </c>
      <c r="N4302">
        <f t="shared" si="201"/>
        <v>4.1762458919303302E-4</v>
      </c>
      <c r="O4302">
        <f>VLOOKUP(K4302,RatingLookup!$A$2:$C$8,3,FALSE)</f>
        <v>0.45</v>
      </c>
      <c r="P4302">
        <f t="shared" si="202"/>
        <v>6.1757906625276533E-2</v>
      </c>
      <c r="Q4302" t="str">
        <f t="shared" ca="1" si="203"/>
        <v>No</v>
      </c>
    </row>
    <row r="4303" spans="1:17" x14ac:dyDescent="0.45">
      <c r="A4303" t="s">
        <v>178</v>
      </c>
      <c r="B4303" t="s">
        <v>179</v>
      </c>
      <c r="C4303" t="s">
        <v>35</v>
      </c>
      <c r="D4303" t="s">
        <v>20</v>
      </c>
      <c r="E4303" t="s">
        <v>21</v>
      </c>
      <c r="F4303" s="1">
        <v>45078</v>
      </c>
      <c r="G4303">
        <v>6.78</v>
      </c>
      <c r="H4303">
        <v>82.997799999999998</v>
      </c>
      <c r="I4303">
        <v>22.81</v>
      </c>
      <c r="J4303">
        <v>60.43</v>
      </c>
      <c r="K4303" t="s">
        <v>22</v>
      </c>
      <c r="L4303">
        <v>336.96</v>
      </c>
      <c r="M4303">
        <f>VLOOKUP(K4303,RatingLookup!$A$2:$C$8,2,FALSE)</f>
        <v>5.0000000000000001E-3</v>
      </c>
      <c r="N4303">
        <f t="shared" si="201"/>
        <v>4.1762458919303302E-4</v>
      </c>
      <c r="O4303">
        <f>VLOOKUP(K4303,RatingLookup!$A$2:$C$8,3,FALSE)</f>
        <v>0.45</v>
      </c>
      <c r="P4303">
        <f t="shared" si="202"/>
        <v>6.3325251708517979E-2</v>
      </c>
      <c r="Q4303" t="str">
        <f t="shared" ca="1" si="203"/>
        <v>No</v>
      </c>
    </row>
    <row r="4304" spans="1:17" x14ac:dyDescent="0.45">
      <c r="A4304" t="s">
        <v>178</v>
      </c>
      <c r="B4304" t="s">
        <v>179</v>
      </c>
      <c r="C4304" t="s">
        <v>35</v>
      </c>
      <c r="D4304" t="s">
        <v>20</v>
      </c>
      <c r="E4304" t="s">
        <v>21</v>
      </c>
      <c r="F4304" s="1">
        <v>45108</v>
      </c>
      <c r="G4304">
        <v>5.68</v>
      </c>
      <c r="H4304">
        <v>78.628</v>
      </c>
      <c r="I4304">
        <v>8.6199999999999992</v>
      </c>
      <c r="J4304">
        <v>70.94</v>
      </c>
      <c r="K4304" t="s">
        <v>22</v>
      </c>
      <c r="L4304">
        <v>324.76</v>
      </c>
      <c r="M4304">
        <f>VLOOKUP(K4304,RatingLookup!$A$2:$C$8,2,FALSE)</f>
        <v>5.0000000000000001E-3</v>
      </c>
      <c r="N4304">
        <f t="shared" si="201"/>
        <v>4.1762458919303302E-4</v>
      </c>
      <c r="O4304">
        <f>VLOOKUP(K4304,RatingLookup!$A$2:$C$8,3,FALSE)</f>
        <v>0.45</v>
      </c>
      <c r="P4304">
        <f t="shared" si="202"/>
        <v>6.1032492713848238E-2</v>
      </c>
      <c r="Q4304" t="str">
        <f t="shared" ca="1" si="203"/>
        <v>No</v>
      </c>
    </row>
    <row r="4305" spans="1:17" x14ac:dyDescent="0.45">
      <c r="A4305" t="s">
        <v>178</v>
      </c>
      <c r="B4305" t="s">
        <v>179</v>
      </c>
      <c r="C4305" t="s">
        <v>35</v>
      </c>
      <c r="D4305" t="s">
        <v>20</v>
      </c>
      <c r="E4305" t="s">
        <v>21</v>
      </c>
      <c r="F4305" s="1">
        <v>45139</v>
      </c>
      <c r="G4305">
        <v>5.53</v>
      </c>
      <c r="H4305">
        <v>81.9101</v>
      </c>
      <c r="I4305">
        <v>16.690000000000001</v>
      </c>
      <c r="J4305">
        <v>89.34</v>
      </c>
      <c r="K4305" t="s">
        <v>22</v>
      </c>
      <c r="L4305">
        <v>306.86</v>
      </c>
      <c r="M4305">
        <f>VLOOKUP(K4305,RatingLookup!$A$2:$C$8,2,FALSE)</f>
        <v>5.0000000000000001E-3</v>
      </c>
      <c r="N4305">
        <f t="shared" si="201"/>
        <v>4.1762458919303302E-4</v>
      </c>
      <c r="O4305">
        <f>VLOOKUP(K4305,RatingLookup!$A$2:$C$8,3,FALSE)</f>
        <v>0.45</v>
      </c>
      <c r="P4305">
        <f t="shared" si="202"/>
        <v>5.7668526647898351E-2</v>
      </c>
      <c r="Q4305" t="str">
        <f t="shared" ca="1" si="203"/>
        <v>No</v>
      </c>
    </row>
    <row r="4306" spans="1:17" x14ac:dyDescent="0.45">
      <c r="A4306" t="s">
        <v>178</v>
      </c>
      <c r="B4306" t="s">
        <v>179</v>
      </c>
      <c r="C4306" t="s">
        <v>35</v>
      </c>
      <c r="D4306" t="s">
        <v>20</v>
      </c>
      <c r="E4306" t="s">
        <v>21</v>
      </c>
      <c r="F4306" s="1">
        <v>45170</v>
      </c>
      <c r="G4306">
        <v>6.11</v>
      </c>
      <c r="H4306">
        <v>84.990399999999994</v>
      </c>
      <c r="I4306">
        <v>28.27</v>
      </c>
      <c r="J4306">
        <v>72.260000000000005</v>
      </c>
      <c r="K4306" t="s">
        <v>22</v>
      </c>
      <c r="L4306">
        <v>338.68</v>
      </c>
      <c r="M4306">
        <f>VLOOKUP(K4306,RatingLookup!$A$2:$C$8,2,FALSE)</f>
        <v>5.0000000000000001E-3</v>
      </c>
      <c r="N4306">
        <f t="shared" si="201"/>
        <v>4.1762458919303302E-4</v>
      </c>
      <c r="O4306">
        <f>VLOOKUP(K4306,RatingLookup!$A$2:$C$8,3,FALSE)</f>
        <v>0.45</v>
      </c>
      <c r="P4306">
        <f t="shared" si="202"/>
        <v>6.3648493140553403E-2</v>
      </c>
      <c r="Q4306" t="str">
        <f t="shared" ca="1" si="203"/>
        <v>No</v>
      </c>
    </row>
    <row r="4307" spans="1:17" x14ac:dyDescent="0.45">
      <c r="A4307" t="s">
        <v>178</v>
      </c>
      <c r="B4307" t="s">
        <v>179</v>
      </c>
      <c r="C4307" t="s">
        <v>35</v>
      </c>
      <c r="D4307" t="s">
        <v>20</v>
      </c>
      <c r="E4307" t="s">
        <v>21</v>
      </c>
      <c r="F4307" s="1">
        <v>45200</v>
      </c>
      <c r="G4307">
        <v>4.8099999999999996</v>
      </c>
      <c r="H4307">
        <v>86.784099999999995</v>
      </c>
      <c r="I4307">
        <v>22.13</v>
      </c>
      <c r="J4307">
        <v>79.16</v>
      </c>
      <c r="K4307" t="s">
        <v>22</v>
      </c>
      <c r="L4307">
        <v>337.65</v>
      </c>
      <c r="M4307">
        <f>VLOOKUP(K4307,RatingLookup!$A$2:$C$8,2,FALSE)</f>
        <v>5.0000000000000001E-3</v>
      </c>
      <c r="N4307">
        <f t="shared" si="201"/>
        <v>4.1762458919303302E-4</v>
      </c>
      <c r="O4307">
        <f>VLOOKUP(K4307,RatingLookup!$A$2:$C$8,3,FALSE)</f>
        <v>0.45</v>
      </c>
      <c r="P4307">
        <f t="shared" si="202"/>
        <v>6.3454924143462418E-2</v>
      </c>
      <c r="Q4307" t="str">
        <f t="shared" ca="1" si="203"/>
        <v>No</v>
      </c>
    </row>
    <row r="4308" spans="1:17" x14ac:dyDescent="0.45">
      <c r="A4308" t="s">
        <v>178</v>
      </c>
      <c r="B4308" t="s">
        <v>179</v>
      </c>
      <c r="C4308" t="s">
        <v>35</v>
      </c>
      <c r="D4308" t="s">
        <v>20</v>
      </c>
      <c r="E4308" t="s">
        <v>21</v>
      </c>
      <c r="F4308" s="1">
        <v>45231</v>
      </c>
      <c r="G4308">
        <v>5.22</v>
      </c>
      <c r="H4308">
        <v>82.322299999999998</v>
      </c>
      <c r="I4308">
        <v>19.41</v>
      </c>
      <c r="J4308">
        <v>98.99</v>
      </c>
      <c r="K4308" t="s">
        <v>22</v>
      </c>
      <c r="L4308">
        <v>345.79</v>
      </c>
      <c r="M4308">
        <f>VLOOKUP(K4308,RatingLookup!$A$2:$C$8,2,FALSE)</f>
        <v>5.0000000000000001E-3</v>
      </c>
      <c r="N4308">
        <f t="shared" si="201"/>
        <v>4.1762458919303302E-4</v>
      </c>
      <c r="O4308">
        <f>VLOOKUP(K4308,RatingLookup!$A$2:$C$8,3,FALSE)</f>
        <v>0.45</v>
      </c>
      <c r="P4308">
        <f t="shared" si="202"/>
        <v>6.4984683013676506E-2</v>
      </c>
      <c r="Q4308" t="str">
        <f t="shared" ca="1" si="203"/>
        <v>No</v>
      </c>
    </row>
    <row r="4309" spans="1:17" x14ac:dyDescent="0.45">
      <c r="A4309" t="s">
        <v>178</v>
      </c>
      <c r="B4309" t="s">
        <v>179</v>
      </c>
      <c r="C4309" t="s">
        <v>35</v>
      </c>
      <c r="D4309" t="s">
        <v>20</v>
      </c>
      <c r="E4309" t="s">
        <v>21</v>
      </c>
      <c r="F4309" s="1">
        <v>45261</v>
      </c>
      <c r="G4309">
        <v>4.88</v>
      </c>
      <c r="H4309">
        <v>85.369900000000001</v>
      </c>
      <c r="I4309">
        <v>17.64</v>
      </c>
      <c r="J4309">
        <v>87.68</v>
      </c>
      <c r="K4309" t="s">
        <v>22</v>
      </c>
      <c r="L4309">
        <v>344.59</v>
      </c>
      <c r="M4309">
        <f>VLOOKUP(K4309,RatingLookup!$A$2:$C$8,2,FALSE)</f>
        <v>5.0000000000000001E-3</v>
      </c>
      <c r="N4309">
        <f t="shared" si="201"/>
        <v>4.1762458919303302E-4</v>
      </c>
      <c r="O4309">
        <f>VLOOKUP(K4309,RatingLookup!$A$2:$C$8,3,FALSE)</f>
        <v>0.45</v>
      </c>
      <c r="P4309">
        <f t="shared" si="202"/>
        <v>6.4759165735512256E-2</v>
      </c>
      <c r="Q4309" t="str">
        <f t="shared" ca="1" si="203"/>
        <v>No</v>
      </c>
    </row>
    <row r="4310" spans="1:17" x14ac:dyDescent="0.45">
      <c r="A4310" t="s">
        <v>178</v>
      </c>
      <c r="B4310" t="s">
        <v>179</v>
      </c>
      <c r="C4310" t="s">
        <v>35</v>
      </c>
      <c r="D4310" t="s">
        <v>20</v>
      </c>
      <c r="E4310" t="s">
        <v>21</v>
      </c>
      <c r="F4310" s="1">
        <v>45292</v>
      </c>
      <c r="G4310">
        <v>4.75</v>
      </c>
      <c r="H4310">
        <v>83.705100000000002</v>
      </c>
      <c r="I4310">
        <v>21.31</v>
      </c>
      <c r="J4310">
        <v>70.680000000000007</v>
      </c>
      <c r="K4310" t="s">
        <v>22</v>
      </c>
      <c r="L4310">
        <v>341.87</v>
      </c>
      <c r="M4310">
        <f>VLOOKUP(K4310,RatingLookup!$A$2:$C$8,2,FALSE)</f>
        <v>5.0000000000000001E-3</v>
      </c>
      <c r="N4310">
        <f t="shared" si="201"/>
        <v>4.1762458919303302E-4</v>
      </c>
      <c r="O4310">
        <f>VLOOKUP(K4310,RatingLookup!$A$2:$C$8,3,FALSE)</f>
        <v>0.45</v>
      </c>
      <c r="P4310">
        <f t="shared" si="202"/>
        <v>6.424799323833999E-2</v>
      </c>
      <c r="Q4310" t="str">
        <f t="shared" ca="1" si="203"/>
        <v>No</v>
      </c>
    </row>
    <row r="4311" spans="1:17" x14ac:dyDescent="0.45">
      <c r="A4311" t="s">
        <v>178</v>
      </c>
      <c r="B4311" t="s">
        <v>179</v>
      </c>
      <c r="C4311" t="s">
        <v>35</v>
      </c>
      <c r="D4311" t="s">
        <v>20</v>
      </c>
      <c r="E4311" t="s">
        <v>21</v>
      </c>
      <c r="F4311" s="1">
        <v>45323</v>
      </c>
      <c r="G4311">
        <v>5.86</v>
      </c>
      <c r="H4311">
        <v>86.160799999999995</v>
      </c>
      <c r="I4311">
        <v>24.03</v>
      </c>
      <c r="J4311">
        <v>76.8</v>
      </c>
      <c r="K4311" t="s">
        <v>22</v>
      </c>
      <c r="L4311">
        <v>365.99</v>
      </c>
      <c r="M4311">
        <f>VLOOKUP(K4311,RatingLookup!$A$2:$C$8,2,FALSE)</f>
        <v>5.0000000000000001E-3</v>
      </c>
      <c r="N4311">
        <f t="shared" si="201"/>
        <v>4.1762458919303302E-4</v>
      </c>
      <c r="O4311">
        <f>VLOOKUP(K4311,RatingLookup!$A$2:$C$8,3,FALSE)</f>
        <v>0.45</v>
      </c>
      <c r="P4311">
        <f t="shared" si="202"/>
        <v>6.8780890529441169E-2</v>
      </c>
      <c r="Q4311" t="str">
        <f t="shared" ca="1" si="203"/>
        <v>No</v>
      </c>
    </row>
    <row r="4312" spans="1:17" x14ac:dyDescent="0.45">
      <c r="A4312" t="s">
        <v>178</v>
      </c>
      <c r="B4312" t="s">
        <v>179</v>
      </c>
      <c r="C4312" t="s">
        <v>35</v>
      </c>
      <c r="D4312" t="s">
        <v>20</v>
      </c>
      <c r="E4312" t="s">
        <v>21</v>
      </c>
      <c r="F4312" s="1">
        <v>45352</v>
      </c>
      <c r="G4312">
        <v>5.93</v>
      </c>
      <c r="H4312">
        <v>84.633200000000002</v>
      </c>
      <c r="I4312">
        <v>15.46</v>
      </c>
      <c r="J4312">
        <v>74.42</v>
      </c>
      <c r="K4312" t="s">
        <v>22</v>
      </c>
      <c r="L4312">
        <v>322.04000000000002</v>
      </c>
      <c r="M4312">
        <f>VLOOKUP(K4312,RatingLookup!$A$2:$C$8,2,FALSE)</f>
        <v>5.0000000000000001E-3</v>
      </c>
      <c r="N4312">
        <f t="shared" si="201"/>
        <v>4.1762458919303302E-4</v>
      </c>
      <c r="O4312">
        <f>VLOOKUP(K4312,RatingLookup!$A$2:$C$8,3,FALSE)</f>
        <v>0.45</v>
      </c>
      <c r="P4312">
        <f t="shared" si="202"/>
        <v>6.0521320216675965E-2</v>
      </c>
      <c r="Q4312" t="str">
        <f t="shared" ca="1" si="203"/>
        <v>No</v>
      </c>
    </row>
    <row r="4313" spans="1:17" x14ac:dyDescent="0.45">
      <c r="A4313" t="s">
        <v>178</v>
      </c>
      <c r="B4313" t="s">
        <v>179</v>
      </c>
      <c r="C4313" t="s">
        <v>35</v>
      </c>
      <c r="D4313" t="s">
        <v>20</v>
      </c>
      <c r="E4313" t="s">
        <v>21</v>
      </c>
      <c r="F4313" s="1">
        <v>45383</v>
      </c>
      <c r="G4313">
        <v>6.09</v>
      </c>
      <c r="H4313">
        <v>80.996499999999997</v>
      </c>
      <c r="I4313">
        <v>15.6</v>
      </c>
      <c r="J4313">
        <v>90.26</v>
      </c>
      <c r="K4313" t="s">
        <v>22</v>
      </c>
      <c r="L4313">
        <v>358.71</v>
      </c>
      <c r="M4313">
        <f>VLOOKUP(K4313,RatingLookup!$A$2:$C$8,2,FALSE)</f>
        <v>5.0000000000000001E-3</v>
      </c>
      <c r="N4313">
        <f t="shared" si="201"/>
        <v>4.1762458919303302E-4</v>
      </c>
      <c r="O4313">
        <f>VLOOKUP(K4313,RatingLookup!$A$2:$C$8,3,FALSE)</f>
        <v>0.45</v>
      </c>
      <c r="P4313">
        <f t="shared" si="202"/>
        <v>6.7412752375244786E-2</v>
      </c>
      <c r="Q4313" t="str">
        <f t="shared" ca="1" si="203"/>
        <v>No</v>
      </c>
    </row>
    <row r="4314" spans="1:17" x14ac:dyDescent="0.45">
      <c r="A4314" t="s">
        <v>178</v>
      </c>
      <c r="B4314" t="s">
        <v>179</v>
      </c>
      <c r="C4314" t="s">
        <v>35</v>
      </c>
      <c r="D4314" t="s">
        <v>20</v>
      </c>
      <c r="E4314" t="s">
        <v>21</v>
      </c>
      <c r="F4314" s="1">
        <v>45413</v>
      </c>
      <c r="G4314">
        <v>5.78</v>
      </c>
      <c r="H4314">
        <v>82.015799999999999</v>
      </c>
      <c r="I4314">
        <v>18.440000000000001</v>
      </c>
      <c r="J4314">
        <v>78.239999999999995</v>
      </c>
      <c r="K4314" t="s">
        <v>22</v>
      </c>
      <c r="L4314">
        <v>353.71</v>
      </c>
      <c r="M4314">
        <f>VLOOKUP(K4314,RatingLookup!$A$2:$C$8,2,FALSE)</f>
        <v>5.0000000000000001E-3</v>
      </c>
      <c r="N4314">
        <f t="shared" si="201"/>
        <v>4.1762458919303302E-4</v>
      </c>
      <c r="O4314">
        <f>VLOOKUP(K4314,RatingLookup!$A$2:$C$8,3,FALSE)</f>
        <v>0.45</v>
      </c>
      <c r="P4314">
        <f t="shared" si="202"/>
        <v>6.6473097049560462E-2</v>
      </c>
      <c r="Q4314" t="str">
        <f t="shared" ca="1" si="203"/>
        <v>No</v>
      </c>
    </row>
    <row r="4315" spans="1:17" x14ac:dyDescent="0.45">
      <c r="A4315" t="s">
        <v>178</v>
      </c>
      <c r="B4315" t="s">
        <v>179</v>
      </c>
      <c r="C4315" t="s">
        <v>35</v>
      </c>
      <c r="D4315" t="s">
        <v>20</v>
      </c>
      <c r="E4315" t="s">
        <v>21</v>
      </c>
      <c r="F4315" s="1">
        <v>45444</v>
      </c>
      <c r="G4315">
        <v>6.35</v>
      </c>
      <c r="H4315">
        <v>80.321899999999999</v>
      </c>
      <c r="I4315">
        <v>26.81</v>
      </c>
      <c r="J4315">
        <v>73.540000000000006</v>
      </c>
      <c r="K4315" t="s">
        <v>22</v>
      </c>
      <c r="L4315">
        <v>313.07</v>
      </c>
      <c r="M4315">
        <f>VLOOKUP(K4315,RatingLookup!$A$2:$C$8,2,FALSE)</f>
        <v>5.0000000000000001E-3</v>
      </c>
      <c r="N4315">
        <f t="shared" si="201"/>
        <v>4.1762458919303302E-4</v>
      </c>
      <c r="O4315">
        <f>VLOOKUP(K4315,RatingLookup!$A$2:$C$8,3,FALSE)</f>
        <v>0.45</v>
      </c>
      <c r="P4315">
        <f t="shared" si="202"/>
        <v>5.883557856239828E-2</v>
      </c>
      <c r="Q4315" t="str">
        <f t="shared" ca="1" si="203"/>
        <v>No</v>
      </c>
    </row>
    <row r="4316" spans="1:17" x14ac:dyDescent="0.45">
      <c r="A4316" t="s">
        <v>178</v>
      </c>
      <c r="B4316" t="s">
        <v>179</v>
      </c>
      <c r="C4316" t="s">
        <v>35</v>
      </c>
      <c r="D4316" t="s">
        <v>20</v>
      </c>
      <c r="E4316" t="s">
        <v>21</v>
      </c>
      <c r="F4316" s="1">
        <v>45474</v>
      </c>
      <c r="G4316">
        <v>5.59</v>
      </c>
      <c r="H4316">
        <v>85.781700000000001</v>
      </c>
      <c r="I4316">
        <v>22.55</v>
      </c>
      <c r="J4316">
        <v>78.42</v>
      </c>
      <c r="K4316" t="s">
        <v>23</v>
      </c>
      <c r="L4316">
        <v>341.1</v>
      </c>
      <c r="M4316">
        <f>VLOOKUP(K4316,RatingLookup!$A$2:$C$8,2,FALSE)</f>
        <v>1E-3</v>
      </c>
      <c r="N4316">
        <f t="shared" si="201"/>
        <v>8.3371552197619714E-5</v>
      </c>
      <c r="O4316">
        <f>VLOOKUP(K4316,RatingLookup!$A$2:$C$8,3,FALSE)</f>
        <v>0.3</v>
      </c>
      <c r="P4316">
        <f t="shared" si="202"/>
        <v>8.5314109363824261E-3</v>
      </c>
      <c r="Q4316" t="str">
        <f t="shared" ca="1" si="203"/>
        <v>No</v>
      </c>
    </row>
    <row r="4317" spans="1:17" x14ac:dyDescent="0.45">
      <c r="A4317" t="s">
        <v>178</v>
      </c>
      <c r="B4317" t="s">
        <v>179</v>
      </c>
      <c r="C4317" t="s">
        <v>35</v>
      </c>
      <c r="D4317" t="s">
        <v>20</v>
      </c>
      <c r="E4317" t="s">
        <v>21</v>
      </c>
      <c r="F4317" s="1">
        <v>45505</v>
      </c>
      <c r="G4317">
        <v>5.66</v>
      </c>
      <c r="H4317">
        <v>83.513900000000007</v>
      </c>
      <c r="I4317">
        <v>18.59</v>
      </c>
      <c r="J4317">
        <v>78.7</v>
      </c>
      <c r="K4317" t="s">
        <v>23</v>
      </c>
      <c r="L4317">
        <v>335.86</v>
      </c>
      <c r="M4317">
        <f>VLOOKUP(K4317,RatingLookup!$A$2:$C$8,2,FALSE)</f>
        <v>1E-3</v>
      </c>
      <c r="N4317">
        <f t="shared" si="201"/>
        <v>8.3371552197619714E-5</v>
      </c>
      <c r="O4317">
        <f>VLOOKUP(K4317,RatingLookup!$A$2:$C$8,3,FALSE)</f>
        <v>0.3</v>
      </c>
      <c r="P4317">
        <f t="shared" si="202"/>
        <v>8.4003508563277665E-3</v>
      </c>
      <c r="Q4317" t="str">
        <f t="shared" ca="1" si="203"/>
        <v>No</v>
      </c>
    </row>
    <row r="4318" spans="1:17" x14ac:dyDescent="0.45">
      <c r="A4318" t="s">
        <v>178</v>
      </c>
      <c r="B4318" t="s">
        <v>179</v>
      </c>
      <c r="C4318" t="s">
        <v>35</v>
      </c>
      <c r="D4318" t="s">
        <v>20</v>
      </c>
      <c r="E4318" t="s">
        <v>21</v>
      </c>
      <c r="F4318" s="1">
        <v>45536</v>
      </c>
      <c r="G4318">
        <v>4.74</v>
      </c>
      <c r="H4318">
        <v>85.348500000000001</v>
      </c>
      <c r="I4318">
        <v>22.01</v>
      </c>
      <c r="J4318">
        <v>101.24</v>
      </c>
      <c r="K4318" t="s">
        <v>23</v>
      </c>
      <c r="L4318">
        <v>342.24</v>
      </c>
      <c r="M4318">
        <f>VLOOKUP(K4318,RatingLookup!$A$2:$C$8,2,FALSE)</f>
        <v>1E-3</v>
      </c>
      <c r="N4318">
        <f t="shared" si="201"/>
        <v>8.3371552197619714E-5</v>
      </c>
      <c r="O4318">
        <f>VLOOKUP(K4318,RatingLookup!$A$2:$C$8,3,FALSE)</f>
        <v>0.3</v>
      </c>
      <c r="P4318">
        <f t="shared" si="202"/>
        <v>8.5599240072340103E-3</v>
      </c>
      <c r="Q4318" t="str">
        <f t="shared" ca="1" si="203"/>
        <v>No</v>
      </c>
    </row>
    <row r="4319" spans="1:17" x14ac:dyDescent="0.45">
      <c r="A4319" t="s">
        <v>178</v>
      </c>
      <c r="B4319" t="s">
        <v>179</v>
      </c>
      <c r="C4319" t="s">
        <v>35</v>
      </c>
      <c r="D4319" t="s">
        <v>20</v>
      </c>
      <c r="E4319" t="s">
        <v>21</v>
      </c>
      <c r="F4319" s="1">
        <v>45566</v>
      </c>
      <c r="G4319">
        <v>5.48</v>
      </c>
      <c r="H4319">
        <v>78.805499999999995</v>
      </c>
      <c r="I4319">
        <v>7.81</v>
      </c>
      <c r="J4319">
        <v>75.27</v>
      </c>
      <c r="K4319" t="s">
        <v>23</v>
      </c>
      <c r="L4319">
        <v>345.29</v>
      </c>
      <c r="M4319">
        <f>VLOOKUP(K4319,RatingLookup!$A$2:$C$8,2,FALSE)</f>
        <v>1E-3</v>
      </c>
      <c r="N4319">
        <f t="shared" si="201"/>
        <v>8.3371552197619714E-5</v>
      </c>
      <c r="O4319">
        <f>VLOOKUP(K4319,RatingLookup!$A$2:$C$8,3,FALSE)</f>
        <v>0.3</v>
      </c>
      <c r="P4319">
        <f t="shared" si="202"/>
        <v>8.6362089774948327E-3</v>
      </c>
      <c r="Q4319" t="str">
        <f t="shared" ca="1" si="203"/>
        <v>No</v>
      </c>
    </row>
    <row r="4320" spans="1:17" x14ac:dyDescent="0.45">
      <c r="A4320" t="s">
        <v>178</v>
      </c>
      <c r="B4320" t="s">
        <v>179</v>
      </c>
      <c r="C4320" t="s">
        <v>35</v>
      </c>
      <c r="D4320" t="s">
        <v>20</v>
      </c>
      <c r="E4320" t="s">
        <v>21</v>
      </c>
      <c r="F4320" s="1">
        <v>45597</v>
      </c>
      <c r="G4320">
        <v>4.5999999999999996</v>
      </c>
      <c r="H4320">
        <v>84.738900000000001</v>
      </c>
      <c r="I4320">
        <v>14.88</v>
      </c>
      <c r="J4320">
        <v>97.4</v>
      </c>
      <c r="K4320" t="s">
        <v>23</v>
      </c>
      <c r="L4320">
        <v>343.43</v>
      </c>
      <c r="M4320">
        <f>VLOOKUP(K4320,RatingLookup!$A$2:$C$8,2,FALSE)</f>
        <v>1E-3</v>
      </c>
      <c r="N4320">
        <f t="shared" si="201"/>
        <v>8.3371552197619714E-5</v>
      </c>
      <c r="O4320">
        <f>VLOOKUP(K4320,RatingLookup!$A$2:$C$8,3,FALSE)</f>
        <v>0.3</v>
      </c>
      <c r="P4320">
        <f t="shared" si="202"/>
        <v>8.5896876513685619E-3</v>
      </c>
      <c r="Q4320" t="str">
        <f t="shared" ca="1" si="203"/>
        <v>No</v>
      </c>
    </row>
    <row r="4321" spans="1:17" x14ac:dyDescent="0.45">
      <c r="A4321" t="s">
        <v>178</v>
      </c>
      <c r="B4321" t="s">
        <v>179</v>
      </c>
      <c r="C4321" t="s">
        <v>35</v>
      </c>
      <c r="D4321" t="s">
        <v>20</v>
      </c>
      <c r="E4321" t="s">
        <v>21</v>
      </c>
      <c r="F4321" s="1">
        <v>45627</v>
      </c>
      <c r="G4321">
        <v>4.87</v>
      </c>
      <c r="H4321">
        <v>83.021500000000003</v>
      </c>
      <c r="I4321">
        <v>5</v>
      </c>
      <c r="J4321">
        <v>72.97</v>
      </c>
      <c r="K4321" t="s">
        <v>23</v>
      </c>
      <c r="L4321">
        <v>336.04</v>
      </c>
      <c r="M4321">
        <f>VLOOKUP(K4321,RatingLookup!$A$2:$C$8,2,FALSE)</f>
        <v>1E-3</v>
      </c>
      <c r="N4321">
        <f t="shared" si="201"/>
        <v>8.3371552197619714E-5</v>
      </c>
      <c r="O4321">
        <f>VLOOKUP(K4321,RatingLookup!$A$2:$C$8,3,FALSE)</f>
        <v>0.3</v>
      </c>
      <c r="P4321">
        <f t="shared" si="202"/>
        <v>8.4048529201464391E-3</v>
      </c>
      <c r="Q4321" t="str">
        <f t="shared" ca="1" si="203"/>
        <v>No</v>
      </c>
    </row>
    <row r="4322" spans="1:17" x14ac:dyDescent="0.45">
      <c r="A4322" t="s">
        <v>180</v>
      </c>
      <c r="B4322" t="s">
        <v>181</v>
      </c>
      <c r="C4322" t="s">
        <v>66</v>
      </c>
      <c r="D4322" t="s">
        <v>20</v>
      </c>
      <c r="E4322" t="s">
        <v>21</v>
      </c>
      <c r="F4322" s="1">
        <v>43831</v>
      </c>
      <c r="G4322">
        <v>5.22</v>
      </c>
      <c r="H4322">
        <v>80.037199999999999</v>
      </c>
      <c r="I4322">
        <v>26.82</v>
      </c>
      <c r="J4322">
        <v>68.83</v>
      </c>
      <c r="K4322" t="s">
        <v>22</v>
      </c>
      <c r="L4322">
        <v>340.27</v>
      </c>
      <c r="M4322">
        <f>VLOOKUP(K4322,RatingLookup!$A$2:$C$8,2,FALSE)</f>
        <v>5.0000000000000001E-3</v>
      </c>
      <c r="N4322">
        <f t="shared" si="201"/>
        <v>4.1762458919303302E-4</v>
      </c>
      <c r="O4322">
        <f>VLOOKUP(K4322,RatingLookup!$A$2:$C$8,3,FALSE)</f>
        <v>0.45</v>
      </c>
      <c r="P4322">
        <f t="shared" si="202"/>
        <v>6.3947303534121008E-2</v>
      </c>
      <c r="Q4322" t="str">
        <f t="shared" ca="1" si="203"/>
        <v>No</v>
      </c>
    </row>
    <row r="4323" spans="1:17" x14ac:dyDescent="0.45">
      <c r="A4323" t="s">
        <v>180</v>
      </c>
      <c r="B4323" t="s">
        <v>181</v>
      </c>
      <c r="C4323" t="s">
        <v>66</v>
      </c>
      <c r="D4323" t="s">
        <v>20</v>
      </c>
      <c r="E4323" t="s">
        <v>21</v>
      </c>
      <c r="F4323" s="1">
        <v>43862</v>
      </c>
      <c r="G4323">
        <v>4.5199999999999996</v>
      </c>
      <c r="H4323">
        <v>80.910700000000006</v>
      </c>
      <c r="I4323">
        <v>21.5</v>
      </c>
      <c r="J4323">
        <v>66.430000000000007</v>
      </c>
      <c r="K4323" t="s">
        <v>22</v>
      </c>
      <c r="L4323">
        <v>384.84</v>
      </c>
      <c r="M4323">
        <f>VLOOKUP(K4323,RatingLookup!$A$2:$C$8,2,FALSE)</f>
        <v>5.0000000000000001E-3</v>
      </c>
      <c r="N4323">
        <f t="shared" si="201"/>
        <v>4.1762458919303302E-4</v>
      </c>
      <c r="O4323">
        <f>VLOOKUP(K4323,RatingLookup!$A$2:$C$8,3,FALSE)</f>
        <v>0.45</v>
      </c>
      <c r="P4323">
        <f t="shared" si="202"/>
        <v>7.2323391107271068E-2</v>
      </c>
      <c r="Q4323" t="str">
        <f t="shared" ca="1" si="203"/>
        <v>No</v>
      </c>
    </row>
    <row r="4324" spans="1:17" x14ac:dyDescent="0.45">
      <c r="A4324" t="s">
        <v>180</v>
      </c>
      <c r="B4324" t="s">
        <v>181</v>
      </c>
      <c r="C4324" t="s">
        <v>66</v>
      </c>
      <c r="D4324" t="s">
        <v>20</v>
      </c>
      <c r="E4324" t="s">
        <v>21</v>
      </c>
      <c r="F4324" s="1">
        <v>43891</v>
      </c>
      <c r="G4324">
        <v>4.84</v>
      </c>
      <c r="H4324">
        <v>82.8001</v>
      </c>
      <c r="I4324">
        <v>14.84</v>
      </c>
      <c r="J4324">
        <v>80.34</v>
      </c>
      <c r="K4324" t="s">
        <v>22</v>
      </c>
      <c r="L4324">
        <v>382.31</v>
      </c>
      <c r="M4324">
        <f>VLOOKUP(K4324,RatingLookup!$A$2:$C$8,2,FALSE)</f>
        <v>5.0000000000000001E-3</v>
      </c>
      <c r="N4324">
        <f t="shared" si="201"/>
        <v>4.1762458919303302E-4</v>
      </c>
      <c r="O4324">
        <f>VLOOKUP(K4324,RatingLookup!$A$2:$C$8,3,FALSE)</f>
        <v>0.45</v>
      </c>
      <c r="P4324">
        <f t="shared" si="202"/>
        <v>7.1847925512474806E-2</v>
      </c>
      <c r="Q4324" t="str">
        <f t="shared" ca="1" si="203"/>
        <v>No</v>
      </c>
    </row>
    <row r="4325" spans="1:17" x14ac:dyDescent="0.45">
      <c r="A4325" t="s">
        <v>180</v>
      </c>
      <c r="B4325" t="s">
        <v>181</v>
      </c>
      <c r="C4325" t="s">
        <v>66</v>
      </c>
      <c r="D4325" t="s">
        <v>20</v>
      </c>
      <c r="E4325" t="s">
        <v>21</v>
      </c>
      <c r="F4325" s="1">
        <v>43922</v>
      </c>
      <c r="G4325">
        <v>6.25</v>
      </c>
      <c r="H4325">
        <v>82.842500000000001</v>
      </c>
      <c r="I4325">
        <v>20.83</v>
      </c>
      <c r="J4325">
        <v>85.83</v>
      </c>
      <c r="K4325" t="s">
        <v>22</v>
      </c>
      <c r="L4325">
        <v>357.35</v>
      </c>
      <c r="M4325">
        <f>VLOOKUP(K4325,RatingLookup!$A$2:$C$8,2,FALSE)</f>
        <v>5.0000000000000001E-3</v>
      </c>
      <c r="N4325">
        <f t="shared" si="201"/>
        <v>4.1762458919303302E-4</v>
      </c>
      <c r="O4325">
        <f>VLOOKUP(K4325,RatingLookup!$A$2:$C$8,3,FALSE)</f>
        <v>0.45</v>
      </c>
      <c r="P4325">
        <f t="shared" si="202"/>
        <v>6.7157166126658674E-2</v>
      </c>
      <c r="Q4325" t="str">
        <f t="shared" ca="1" si="203"/>
        <v>No</v>
      </c>
    </row>
    <row r="4326" spans="1:17" x14ac:dyDescent="0.45">
      <c r="A4326" t="s">
        <v>180</v>
      </c>
      <c r="B4326" t="s">
        <v>181</v>
      </c>
      <c r="C4326" t="s">
        <v>66</v>
      </c>
      <c r="D4326" t="s">
        <v>20</v>
      </c>
      <c r="E4326" t="s">
        <v>21</v>
      </c>
      <c r="F4326" s="1">
        <v>43952</v>
      </c>
      <c r="G4326">
        <v>6.8</v>
      </c>
      <c r="H4326">
        <v>83.377399999999994</v>
      </c>
      <c r="I4326">
        <v>29.66</v>
      </c>
      <c r="J4326">
        <v>94.05</v>
      </c>
      <c r="K4326" t="s">
        <v>22</v>
      </c>
      <c r="L4326">
        <v>400.41</v>
      </c>
      <c r="M4326">
        <f>VLOOKUP(K4326,RatingLookup!$A$2:$C$8,2,FALSE)</f>
        <v>5.0000000000000001E-3</v>
      </c>
      <c r="N4326">
        <f t="shared" si="201"/>
        <v>4.1762458919303302E-4</v>
      </c>
      <c r="O4326">
        <f>VLOOKUP(K4326,RatingLookup!$A$2:$C$8,3,FALSE)</f>
        <v>0.45</v>
      </c>
      <c r="P4326">
        <f t="shared" si="202"/>
        <v>7.5249477791452066E-2</v>
      </c>
      <c r="Q4326" t="str">
        <f t="shared" ca="1" si="203"/>
        <v>No</v>
      </c>
    </row>
    <row r="4327" spans="1:17" x14ac:dyDescent="0.45">
      <c r="A4327" t="s">
        <v>180</v>
      </c>
      <c r="B4327" t="s">
        <v>181</v>
      </c>
      <c r="C4327" t="s">
        <v>66</v>
      </c>
      <c r="D4327" t="s">
        <v>20</v>
      </c>
      <c r="E4327" t="s">
        <v>21</v>
      </c>
      <c r="F4327" s="1">
        <v>43983</v>
      </c>
      <c r="G4327">
        <v>5.65</v>
      </c>
      <c r="H4327">
        <v>81.879800000000003</v>
      </c>
      <c r="I4327">
        <v>23.91</v>
      </c>
      <c r="J4327">
        <v>90.78</v>
      </c>
      <c r="K4327" t="s">
        <v>22</v>
      </c>
      <c r="L4327">
        <v>386.77</v>
      </c>
      <c r="M4327">
        <f>VLOOKUP(K4327,RatingLookup!$A$2:$C$8,2,FALSE)</f>
        <v>5.0000000000000001E-3</v>
      </c>
      <c r="N4327">
        <f t="shared" si="201"/>
        <v>4.1762458919303302E-4</v>
      </c>
      <c r="O4327">
        <f>VLOOKUP(K4327,RatingLookup!$A$2:$C$8,3,FALSE)</f>
        <v>0.45</v>
      </c>
      <c r="P4327">
        <f t="shared" si="202"/>
        <v>7.2686098062985219E-2</v>
      </c>
      <c r="Q4327" t="str">
        <f t="shared" ca="1" si="203"/>
        <v>No</v>
      </c>
    </row>
    <row r="4328" spans="1:17" x14ac:dyDescent="0.45">
      <c r="A4328" t="s">
        <v>180</v>
      </c>
      <c r="B4328" t="s">
        <v>181</v>
      </c>
      <c r="C4328" t="s">
        <v>66</v>
      </c>
      <c r="D4328" t="s">
        <v>20</v>
      </c>
      <c r="E4328" t="s">
        <v>21</v>
      </c>
      <c r="F4328" s="1">
        <v>44013</v>
      </c>
      <c r="G4328">
        <v>5.45</v>
      </c>
      <c r="H4328">
        <v>79.786000000000001</v>
      </c>
      <c r="I4328">
        <v>14.15</v>
      </c>
      <c r="J4328">
        <v>65.150000000000006</v>
      </c>
      <c r="K4328" t="s">
        <v>22</v>
      </c>
      <c r="L4328">
        <v>365.18</v>
      </c>
      <c r="M4328">
        <f>VLOOKUP(K4328,RatingLookup!$A$2:$C$8,2,FALSE)</f>
        <v>5.0000000000000001E-3</v>
      </c>
      <c r="N4328">
        <f t="shared" si="201"/>
        <v>4.1762458919303302E-4</v>
      </c>
      <c r="O4328">
        <f>VLOOKUP(K4328,RatingLookup!$A$2:$C$8,3,FALSE)</f>
        <v>0.45</v>
      </c>
      <c r="P4328">
        <f t="shared" si="202"/>
        <v>6.8628666366680316E-2</v>
      </c>
      <c r="Q4328" t="str">
        <f t="shared" ca="1" si="203"/>
        <v>No</v>
      </c>
    </row>
    <row r="4329" spans="1:17" x14ac:dyDescent="0.45">
      <c r="A4329" t="s">
        <v>180</v>
      </c>
      <c r="B4329" t="s">
        <v>181</v>
      </c>
      <c r="C4329" t="s">
        <v>66</v>
      </c>
      <c r="D4329" t="s">
        <v>20</v>
      </c>
      <c r="E4329" t="s">
        <v>21</v>
      </c>
      <c r="F4329" s="1">
        <v>44044</v>
      </c>
      <c r="G4329">
        <v>5.4</v>
      </c>
      <c r="H4329">
        <v>81.422600000000003</v>
      </c>
      <c r="I4329">
        <v>20.38</v>
      </c>
      <c r="J4329">
        <v>67.44</v>
      </c>
      <c r="K4329" t="s">
        <v>22</v>
      </c>
      <c r="L4329">
        <v>363.38</v>
      </c>
      <c r="M4329">
        <f>VLOOKUP(K4329,RatingLookup!$A$2:$C$8,2,FALSE)</f>
        <v>5.0000000000000001E-3</v>
      </c>
      <c r="N4329">
        <f t="shared" si="201"/>
        <v>4.1762458919303302E-4</v>
      </c>
      <c r="O4329">
        <f>VLOOKUP(K4329,RatingLookup!$A$2:$C$8,3,FALSE)</f>
        <v>0.45</v>
      </c>
      <c r="P4329">
        <f t="shared" si="202"/>
        <v>6.8290390449433955E-2</v>
      </c>
      <c r="Q4329" t="str">
        <f t="shared" ca="1" si="203"/>
        <v>No</v>
      </c>
    </row>
    <row r="4330" spans="1:17" x14ac:dyDescent="0.45">
      <c r="A4330" t="s">
        <v>180</v>
      </c>
      <c r="B4330" t="s">
        <v>181</v>
      </c>
      <c r="C4330" t="s">
        <v>66</v>
      </c>
      <c r="D4330" t="s">
        <v>20</v>
      </c>
      <c r="E4330" t="s">
        <v>21</v>
      </c>
      <c r="F4330" s="1">
        <v>44075</v>
      </c>
      <c r="G4330">
        <v>4.3899999999999997</v>
      </c>
      <c r="H4330">
        <v>80.784499999999994</v>
      </c>
      <c r="I4330">
        <v>21.09</v>
      </c>
      <c r="J4330">
        <v>79.75</v>
      </c>
      <c r="K4330" t="s">
        <v>22</v>
      </c>
      <c r="L4330">
        <v>401.22</v>
      </c>
      <c r="M4330">
        <f>VLOOKUP(K4330,RatingLookup!$A$2:$C$8,2,FALSE)</f>
        <v>5.0000000000000001E-3</v>
      </c>
      <c r="N4330">
        <f t="shared" si="201"/>
        <v>4.1762458919303302E-4</v>
      </c>
      <c r="O4330">
        <f>VLOOKUP(K4330,RatingLookup!$A$2:$C$8,3,FALSE)</f>
        <v>0.45</v>
      </c>
      <c r="P4330">
        <f t="shared" si="202"/>
        <v>7.5401701954212919E-2</v>
      </c>
      <c r="Q4330" t="str">
        <f t="shared" ca="1" si="203"/>
        <v>No</v>
      </c>
    </row>
    <row r="4331" spans="1:17" x14ac:dyDescent="0.45">
      <c r="A4331" t="s">
        <v>180</v>
      </c>
      <c r="B4331" t="s">
        <v>181</v>
      </c>
      <c r="C4331" t="s">
        <v>66</v>
      </c>
      <c r="D4331" t="s">
        <v>20</v>
      </c>
      <c r="E4331" t="s">
        <v>21</v>
      </c>
      <c r="F4331" s="1">
        <v>44105</v>
      </c>
      <c r="G4331">
        <v>6.5</v>
      </c>
      <c r="H4331">
        <v>81.209199999999996</v>
      </c>
      <c r="I4331">
        <v>26.71</v>
      </c>
      <c r="J4331">
        <v>67.819999999999993</v>
      </c>
      <c r="K4331" t="s">
        <v>22</v>
      </c>
      <c r="L4331">
        <v>411.81</v>
      </c>
      <c r="M4331">
        <f>VLOOKUP(K4331,RatingLookup!$A$2:$C$8,2,FALSE)</f>
        <v>5.0000000000000001E-3</v>
      </c>
      <c r="N4331">
        <f t="shared" si="201"/>
        <v>4.1762458919303302E-4</v>
      </c>
      <c r="O4331">
        <f>VLOOKUP(K4331,RatingLookup!$A$2:$C$8,3,FALSE)</f>
        <v>0.45</v>
      </c>
      <c r="P4331">
        <f t="shared" si="202"/>
        <v>7.7391891934012316E-2</v>
      </c>
      <c r="Q4331" t="str">
        <f t="shared" ca="1" si="203"/>
        <v>No</v>
      </c>
    </row>
    <row r="4332" spans="1:17" x14ac:dyDescent="0.45">
      <c r="A4332" t="s">
        <v>180</v>
      </c>
      <c r="B4332" t="s">
        <v>181</v>
      </c>
      <c r="C4332" t="s">
        <v>66</v>
      </c>
      <c r="D4332" t="s">
        <v>20</v>
      </c>
      <c r="E4332" t="s">
        <v>21</v>
      </c>
      <c r="F4332" s="1">
        <v>44136</v>
      </c>
      <c r="G4332">
        <v>5.51</v>
      </c>
      <c r="H4332">
        <v>81.608400000000003</v>
      </c>
      <c r="I4332">
        <v>16.059999999999999</v>
      </c>
      <c r="J4332">
        <v>74.47</v>
      </c>
      <c r="K4332" t="s">
        <v>22</v>
      </c>
      <c r="L4332">
        <v>362.33</v>
      </c>
      <c r="M4332">
        <f>VLOOKUP(K4332,RatingLookup!$A$2:$C$8,2,FALSE)</f>
        <v>5.0000000000000001E-3</v>
      </c>
      <c r="N4332">
        <f t="shared" si="201"/>
        <v>4.1762458919303302E-4</v>
      </c>
      <c r="O4332">
        <f>VLOOKUP(K4332,RatingLookup!$A$2:$C$8,3,FALSE)</f>
        <v>0.45</v>
      </c>
      <c r="P4332">
        <f t="shared" si="202"/>
        <v>6.8093062831040246E-2</v>
      </c>
      <c r="Q4332" t="str">
        <f t="shared" ca="1" si="203"/>
        <v>No</v>
      </c>
    </row>
    <row r="4333" spans="1:17" x14ac:dyDescent="0.45">
      <c r="A4333" t="s">
        <v>180</v>
      </c>
      <c r="B4333" t="s">
        <v>181</v>
      </c>
      <c r="C4333" t="s">
        <v>66</v>
      </c>
      <c r="D4333" t="s">
        <v>20</v>
      </c>
      <c r="E4333" t="s">
        <v>21</v>
      </c>
      <c r="F4333" s="1">
        <v>44166</v>
      </c>
      <c r="G4333">
        <v>5.19</v>
      </c>
      <c r="H4333">
        <v>80.817400000000006</v>
      </c>
      <c r="I4333">
        <v>12.83</v>
      </c>
      <c r="J4333">
        <v>70.97</v>
      </c>
      <c r="K4333" t="s">
        <v>22</v>
      </c>
      <c r="L4333">
        <v>411.37</v>
      </c>
      <c r="M4333">
        <f>VLOOKUP(K4333,RatingLookup!$A$2:$C$8,2,FALSE)</f>
        <v>5.0000000000000001E-3</v>
      </c>
      <c r="N4333">
        <f t="shared" si="201"/>
        <v>4.1762458919303302E-4</v>
      </c>
      <c r="O4333">
        <f>VLOOKUP(K4333,RatingLookup!$A$2:$C$8,3,FALSE)</f>
        <v>0.45</v>
      </c>
      <c r="P4333">
        <f t="shared" si="202"/>
        <v>7.7309202265352109E-2</v>
      </c>
      <c r="Q4333" t="str">
        <f t="shared" ca="1" si="203"/>
        <v>No</v>
      </c>
    </row>
    <row r="4334" spans="1:17" x14ac:dyDescent="0.45">
      <c r="A4334" t="s">
        <v>180</v>
      </c>
      <c r="B4334" t="s">
        <v>181</v>
      </c>
      <c r="C4334" t="s">
        <v>66</v>
      </c>
      <c r="D4334" t="s">
        <v>20</v>
      </c>
      <c r="E4334" t="s">
        <v>21</v>
      </c>
      <c r="F4334" s="1">
        <v>44197</v>
      </c>
      <c r="G4334">
        <v>5.68</v>
      </c>
      <c r="H4334">
        <v>78.438900000000004</v>
      </c>
      <c r="I4334">
        <v>16.260000000000002</v>
      </c>
      <c r="J4334">
        <v>69.81</v>
      </c>
      <c r="K4334" t="s">
        <v>22</v>
      </c>
      <c r="L4334">
        <v>380.53</v>
      </c>
      <c r="M4334">
        <f>VLOOKUP(K4334,RatingLookup!$A$2:$C$8,2,FALSE)</f>
        <v>5.0000000000000001E-3</v>
      </c>
      <c r="N4334">
        <f t="shared" si="201"/>
        <v>4.1762458919303302E-4</v>
      </c>
      <c r="O4334">
        <f>VLOOKUP(K4334,RatingLookup!$A$2:$C$8,3,FALSE)</f>
        <v>0.45</v>
      </c>
      <c r="P4334">
        <f t="shared" si="202"/>
        <v>7.1513408216531182E-2</v>
      </c>
      <c r="Q4334" t="str">
        <f t="shared" ca="1" si="203"/>
        <v>No</v>
      </c>
    </row>
    <row r="4335" spans="1:17" x14ac:dyDescent="0.45">
      <c r="A4335" t="s">
        <v>180</v>
      </c>
      <c r="B4335" t="s">
        <v>181</v>
      </c>
      <c r="C4335" t="s">
        <v>66</v>
      </c>
      <c r="D4335" t="s">
        <v>20</v>
      </c>
      <c r="E4335" t="s">
        <v>21</v>
      </c>
      <c r="F4335" s="1">
        <v>44228</v>
      </c>
      <c r="G4335">
        <v>6.14</v>
      </c>
      <c r="H4335">
        <v>83.396299999999997</v>
      </c>
      <c r="I4335">
        <v>18.68</v>
      </c>
      <c r="J4335">
        <v>61.46</v>
      </c>
      <c r="K4335" t="s">
        <v>22</v>
      </c>
      <c r="L4335">
        <v>399.02</v>
      </c>
      <c r="M4335">
        <f>VLOOKUP(K4335,RatingLookup!$A$2:$C$8,2,FALSE)</f>
        <v>5.0000000000000001E-3</v>
      </c>
      <c r="N4335">
        <f t="shared" si="201"/>
        <v>4.1762458919303302E-4</v>
      </c>
      <c r="O4335">
        <f>VLOOKUP(K4335,RatingLookup!$A$2:$C$8,3,FALSE)</f>
        <v>0.45</v>
      </c>
      <c r="P4335">
        <f t="shared" si="202"/>
        <v>7.4988253610911812E-2</v>
      </c>
      <c r="Q4335" t="str">
        <f t="shared" ca="1" si="203"/>
        <v>No</v>
      </c>
    </row>
    <row r="4336" spans="1:17" x14ac:dyDescent="0.45">
      <c r="A4336" t="s">
        <v>180</v>
      </c>
      <c r="B4336" t="s">
        <v>181</v>
      </c>
      <c r="C4336" t="s">
        <v>66</v>
      </c>
      <c r="D4336" t="s">
        <v>20</v>
      </c>
      <c r="E4336" t="s">
        <v>21</v>
      </c>
      <c r="F4336" s="1">
        <v>44256</v>
      </c>
      <c r="G4336">
        <v>5.37</v>
      </c>
      <c r="H4336">
        <v>85.752099999999999</v>
      </c>
      <c r="I4336">
        <v>15.65</v>
      </c>
      <c r="J4336">
        <v>71.8</v>
      </c>
      <c r="K4336" t="s">
        <v>22</v>
      </c>
      <c r="L4336">
        <v>397.07</v>
      </c>
      <c r="M4336">
        <f>VLOOKUP(K4336,RatingLookup!$A$2:$C$8,2,FALSE)</f>
        <v>5.0000000000000001E-3</v>
      </c>
      <c r="N4336">
        <f t="shared" si="201"/>
        <v>4.1762458919303302E-4</v>
      </c>
      <c r="O4336">
        <f>VLOOKUP(K4336,RatingLookup!$A$2:$C$8,3,FALSE)</f>
        <v>0.45</v>
      </c>
      <c r="P4336">
        <f t="shared" si="202"/>
        <v>7.4621788033894923E-2</v>
      </c>
      <c r="Q4336" t="str">
        <f t="shared" ca="1" si="203"/>
        <v>No</v>
      </c>
    </row>
    <row r="4337" spans="1:17" x14ac:dyDescent="0.45">
      <c r="A4337" t="s">
        <v>180</v>
      </c>
      <c r="B4337" t="s">
        <v>181</v>
      </c>
      <c r="C4337" t="s">
        <v>66</v>
      </c>
      <c r="D4337" t="s">
        <v>20</v>
      </c>
      <c r="E4337" t="s">
        <v>21</v>
      </c>
      <c r="F4337" s="1">
        <v>44287</v>
      </c>
      <c r="G4337">
        <v>5.71</v>
      </c>
      <c r="H4337">
        <v>81.314099999999996</v>
      </c>
      <c r="I4337">
        <v>19.54</v>
      </c>
      <c r="J4337">
        <v>72.33</v>
      </c>
      <c r="K4337" t="s">
        <v>22</v>
      </c>
      <c r="L4337">
        <v>376.6</v>
      </c>
      <c r="M4337">
        <f>VLOOKUP(K4337,RatingLookup!$A$2:$C$8,2,FALSE)</f>
        <v>5.0000000000000001E-3</v>
      </c>
      <c r="N4337">
        <f t="shared" si="201"/>
        <v>4.1762458919303302E-4</v>
      </c>
      <c r="O4337">
        <f>VLOOKUP(K4337,RatingLookup!$A$2:$C$8,3,FALSE)</f>
        <v>0.45</v>
      </c>
      <c r="P4337">
        <f t="shared" si="202"/>
        <v>7.0774839130543318E-2</v>
      </c>
      <c r="Q4337" t="str">
        <f t="shared" ca="1" si="203"/>
        <v>No</v>
      </c>
    </row>
    <row r="4338" spans="1:17" x14ac:dyDescent="0.45">
      <c r="A4338" t="s">
        <v>180</v>
      </c>
      <c r="B4338" t="s">
        <v>181</v>
      </c>
      <c r="C4338" t="s">
        <v>66</v>
      </c>
      <c r="D4338" t="s">
        <v>20</v>
      </c>
      <c r="E4338" t="s">
        <v>21</v>
      </c>
      <c r="F4338" s="1">
        <v>44317</v>
      </c>
      <c r="G4338">
        <v>4.41</v>
      </c>
      <c r="H4338">
        <v>84.230999999999995</v>
      </c>
      <c r="I4338">
        <v>19.079999999999998</v>
      </c>
      <c r="J4338">
        <v>96.84</v>
      </c>
      <c r="K4338" t="s">
        <v>22</v>
      </c>
      <c r="L4338">
        <v>391.96</v>
      </c>
      <c r="M4338">
        <f>VLOOKUP(K4338,RatingLookup!$A$2:$C$8,2,FALSE)</f>
        <v>5.0000000000000001E-3</v>
      </c>
      <c r="N4338">
        <f t="shared" si="201"/>
        <v>4.1762458919303302E-4</v>
      </c>
      <c r="O4338">
        <f>VLOOKUP(K4338,RatingLookup!$A$2:$C$8,3,FALSE)</f>
        <v>0.45</v>
      </c>
      <c r="P4338">
        <f t="shared" si="202"/>
        <v>7.3661460291045547E-2</v>
      </c>
      <c r="Q4338" t="str">
        <f t="shared" ca="1" si="203"/>
        <v>No</v>
      </c>
    </row>
    <row r="4339" spans="1:17" x14ac:dyDescent="0.45">
      <c r="A4339" t="s">
        <v>180</v>
      </c>
      <c r="B4339" t="s">
        <v>181</v>
      </c>
      <c r="C4339" t="s">
        <v>66</v>
      </c>
      <c r="D4339" t="s">
        <v>20</v>
      </c>
      <c r="E4339" t="s">
        <v>21</v>
      </c>
      <c r="F4339" s="1">
        <v>44348</v>
      </c>
      <c r="G4339">
        <v>6.54</v>
      </c>
      <c r="H4339">
        <v>83.7042</v>
      </c>
      <c r="I4339">
        <v>7.34</v>
      </c>
      <c r="J4339">
        <v>108.63</v>
      </c>
      <c r="K4339" t="s">
        <v>22</v>
      </c>
      <c r="L4339">
        <v>438.64</v>
      </c>
      <c r="M4339">
        <f>VLOOKUP(K4339,RatingLookup!$A$2:$C$8,2,FALSE)</f>
        <v>5.0000000000000001E-3</v>
      </c>
      <c r="N4339">
        <f t="shared" si="201"/>
        <v>4.1762458919303302E-4</v>
      </c>
      <c r="O4339">
        <f>VLOOKUP(K4339,RatingLookup!$A$2:$C$8,3,FALSE)</f>
        <v>0.45</v>
      </c>
      <c r="P4339">
        <f t="shared" si="202"/>
        <v>8.2434082411634399E-2</v>
      </c>
      <c r="Q4339" t="str">
        <f t="shared" ca="1" si="203"/>
        <v>No</v>
      </c>
    </row>
    <row r="4340" spans="1:17" x14ac:dyDescent="0.45">
      <c r="A4340" t="s">
        <v>180</v>
      </c>
      <c r="B4340" t="s">
        <v>181</v>
      </c>
      <c r="C4340" t="s">
        <v>66</v>
      </c>
      <c r="D4340" t="s">
        <v>20</v>
      </c>
      <c r="E4340" t="s">
        <v>21</v>
      </c>
      <c r="F4340" s="1">
        <v>44378</v>
      </c>
      <c r="G4340">
        <v>5.66</v>
      </c>
      <c r="H4340">
        <v>84.575199999999995</v>
      </c>
      <c r="I4340">
        <v>19.3</v>
      </c>
      <c r="J4340">
        <v>66.39</v>
      </c>
      <c r="K4340" t="s">
        <v>22</v>
      </c>
      <c r="L4340">
        <v>403.46</v>
      </c>
      <c r="M4340">
        <f>VLOOKUP(K4340,RatingLookup!$A$2:$C$8,2,FALSE)</f>
        <v>5.0000000000000001E-3</v>
      </c>
      <c r="N4340">
        <f t="shared" si="201"/>
        <v>4.1762458919303302E-4</v>
      </c>
      <c r="O4340">
        <f>VLOOKUP(K4340,RatingLookup!$A$2:$C$8,3,FALSE)</f>
        <v>0.45</v>
      </c>
      <c r="P4340">
        <f t="shared" si="202"/>
        <v>7.5822667540119487E-2</v>
      </c>
      <c r="Q4340" t="str">
        <f t="shared" ca="1" si="203"/>
        <v>No</v>
      </c>
    </row>
    <row r="4341" spans="1:17" x14ac:dyDescent="0.45">
      <c r="A4341" t="s">
        <v>180</v>
      </c>
      <c r="B4341" t="s">
        <v>181</v>
      </c>
      <c r="C4341" t="s">
        <v>66</v>
      </c>
      <c r="D4341" t="s">
        <v>20</v>
      </c>
      <c r="E4341" t="s">
        <v>21</v>
      </c>
      <c r="F4341" s="1">
        <v>44409</v>
      </c>
      <c r="G4341">
        <v>5.19</v>
      </c>
      <c r="H4341">
        <v>83.960800000000006</v>
      </c>
      <c r="I4341">
        <v>12.06</v>
      </c>
      <c r="J4341">
        <v>78.38</v>
      </c>
      <c r="K4341" t="s">
        <v>22</v>
      </c>
      <c r="L4341">
        <v>378.82</v>
      </c>
      <c r="M4341">
        <f>VLOOKUP(K4341,RatingLookup!$A$2:$C$8,2,FALSE)</f>
        <v>5.0000000000000001E-3</v>
      </c>
      <c r="N4341">
        <f t="shared" si="201"/>
        <v>4.1762458919303302E-4</v>
      </c>
      <c r="O4341">
        <f>VLOOKUP(K4341,RatingLookup!$A$2:$C$8,3,FALSE)</f>
        <v>0.45</v>
      </c>
      <c r="P4341">
        <f t="shared" si="202"/>
        <v>7.1192046095147149E-2</v>
      </c>
      <c r="Q4341" t="str">
        <f t="shared" ca="1" si="203"/>
        <v>No</v>
      </c>
    </row>
    <row r="4342" spans="1:17" x14ac:dyDescent="0.45">
      <c r="A4342" t="s">
        <v>180</v>
      </c>
      <c r="B4342" t="s">
        <v>181</v>
      </c>
      <c r="C4342" t="s">
        <v>66</v>
      </c>
      <c r="D4342" t="s">
        <v>20</v>
      </c>
      <c r="E4342" t="s">
        <v>21</v>
      </c>
      <c r="F4342" s="1">
        <v>44440</v>
      </c>
      <c r="G4342">
        <v>5.86</v>
      </c>
      <c r="H4342">
        <v>82.694800000000001</v>
      </c>
      <c r="I4342">
        <v>24.66</v>
      </c>
      <c r="J4342">
        <v>75.489999999999995</v>
      </c>
      <c r="K4342" t="s">
        <v>22</v>
      </c>
      <c r="L4342">
        <v>424.38</v>
      </c>
      <c r="M4342">
        <f>VLOOKUP(K4342,RatingLookup!$A$2:$C$8,2,FALSE)</f>
        <v>5.0000000000000001E-3</v>
      </c>
      <c r="N4342">
        <f t="shared" si="201"/>
        <v>4.1762458919303302E-4</v>
      </c>
      <c r="O4342">
        <f>VLOOKUP(K4342,RatingLookup!$A$2:$C$8,3,FALSE)</f>
        <v>0.45</v>
      </c>
      <c r="P4342">
        <f t="shared" si="202"/>
        <v>7.9754185422782703E-2</v>
      </c>
      <c r="Q4342" t="str">
        <f t="shared" ca="1" si="203"/>
        <v>No</v>
      </c>
    </row>
    <row r="4343" spans="1:17" x14ac:dyDescent="0.45">
      <c r="A4343" t="s">
        <v>180</v>
      </c>
      <c r="B4343" t="s">
        <v>181</v>
      </c>
      <c r="C4343" t="s">
        <v>66</v>
      </c>
      <c r="D4343" t="s">
        <v>20</v>
      </c>
      <c r="E4343" t="s">
        <v>21</v>
      </c>
      <c r="F4343" s="1">
        <v>44470</v>
      </c>
      <c r="G4343">
        <v>5.59</v>
      </c>
      <c r="H4343">
        <v>80.8108</v>
      </c>
      <c r="I4343">
        <v>17.440000000000001</v>
      </c>
      <c r="J4343">
        <v>90.8</v>
      </c>
      <c r="K4343" t="s">
        <v>22</v>
      </c>
      <c r="L4343">
        <v>415.55</v>
      </c>
      <c r="M4343">
        <f>VLOOKUP(K4343,RatingLookup!$A$2:$C$8,2,FALSE)</f>
        <v>5.0000000000000001E-3</v>
      </c>
      <c r="N4343">
        <f t="shared" si="201"/>
        <v>4.1762458919303302E-4</v>
      </c>
      <c r="O4343">
        <f>VLOOKUP(K4343,RatingLookup!$A$2:$C$8,3,FALSE)</f>
        <v>0.45</v>
      </c>
      <c r="P4343">
        <f t="shared" si="202"/>
        <v>7.8094754117624191E-2</v>
      </c>
      <c r="Q4343" t="str">
        <f t="shared" ca="1" si="203"/>
        <v>No</v>
      </c>
    </row>
    <row r="4344" spans="1:17" x14ac:dyDescent="0.45">
      <c r="A4344" t="s">
        <v>180</v>
      </c>
      <c r="B4344" t="s">
        <v>181</v>
      </c>
      <c r="C4344" t="s">
        <v>66</v>
      </c>
      <c r="D4344" t="s">
        <v>20</v>
      </c>
      <c r="E4344" t="s">
        <v>21</v>
      </c>
      <c r="F4344" s="1">
        <v>44501</v>
      </c>
      <c r="G4344">
        <v>4.97</v>
      </c>
      <c r="H4344">
        <v>80.464200000000005</v>
      </c>
      <c r="I4344">
        <v>18.09</v>
      </c>
      <c r="J4344">
        <v>79.97</v>
      </c>
      <c r="K4344" t="s">
        <v>22</v>
      </c>
      <c r="L4344">
        <v>393.78</v>
      </c>
      <c r="M4344">
        <f>VLOOKUP(K4344,RatingLookup!$A$2:$C$8,2,FALSE)</f>
        <v>5.0000000000000001E-3</v>
      </c>
      <c r="N4344">
        <f t="shared" si="201"/>
        <v>4.1762458919303302E-4</v>
      </c>
      <c r="O4344">
        <f>VLOOKUP(K4344,RatingLookup!$A$2:$C$8,3,FALSE)</f>
        <v>0.45</v>
      </c>
      <c r="P4344">
        <f t="shared" si="202"/>
        <v>7.4003494829594646E-2</v>
      </c>
      <c r="Q4344" t="str">
        <f t="shared" ca="1" si="203"/>
        <v>No</v>
      </c>
    </row>
    <row r="4345" spans="1:17" x14ac:dyDescent="0.45">
      <c r="A4345" t="s">
        <v>180</v>
      </c>
      <c r="B4345" t="s">
        <v>181</v>
      </c>
      <c r="C4345" t="s">
        <v>66</v>
      </c>
      <c r="D4345" t="s">
        <v>20</v>
      </c>
      <c r="E4345" t="s">
        <v>21</v>
      </c>
      <c r="F4345" s="1">
        <v>44531</v>
      </c>
      <c r="G4345">
        <v>4.45</v>
      </c>
      <c r="H4345">
        <v>86.043899999999994</v>
      </c>
      <c r="I4345">
        <v>18.72</v>
      </c>
      <c r="J4345">
        <v>89.09</v>
      </c>
      <c r="K4345" t="s">
        <v>22</v>
      </c>
      <c r="L4345">
        <v>456.16</v>
      </c>
      <c r="M4345">
        <f>VLOOKUP(K4345,RatingLookup!$A$2:$C$8,2,FALSE)</f>
        <v>5.0000000000000001E-3</v>
      </c>
      <c r="N4345">
        <f t="shared" si="201"/>
        <v>4.1762458919303302E-4</v>
      </c>
      <c r="O4345">
        <f>VLOOKUP(K4345,RatingLookup!$A$2:$C$8,3,FALSE)</f>
        <v>0.45</v>
      </c>
      <c r="P4345">
        <f t="shared" si="202"/>
        <v>8.5726634672832286E-2</v>
      </c>
      <c r="Q4345" t="str">
        <f t="shared" ca="1" si="203"/>
        <v>No</v>
      </c>
    </row>
    <row r="4346" spans="1:17" x14ac:dyDescent="0.45">
      <c r="A4346" t="s">
        <v>180</v>
      </c>
      <c r="B4346" t="s">
        <v>181</v>
      </c>
      <c r="C4346" t="s">
        <v>66</v>
      </c>
      <c r="D4346" t="s">
        <v>20</v>
      </c>
      <c r="E4346" t="s">
        <v>21</v>
      </c>
      <c r="F4346" s="1">
        <v>44562</v>
      </c>
      <c r="G4346">
        <v>6.06</v>
      </c>
      <c r="H4346">
        <v>76.934899999999999</v>
      </c>
      <c r="I4346">
        <v>17.350000000000001</v>
      </c>
      <c r="J4346">
        <v>84.46</v>
      </c>
      <c r="K4346" t="s">
        <v>22</v>
      </c>
      <c r="L4346">
        <v>418.34</v>
      </c>
      <c r="M4346">
        <f>VLOOKUP(K4346,RatingLookup!$A$2:$C$8,2,FALSE)</f>
        <v>5.0000000000000001E-3</v>
      </c>
      <c r="N4346">
        <f t="shared" si="201"/>
        <v>4.1762458919303302E-4</v>
      </c>
      <c r="O4346">
        <f>VLOOKUP(K4346,RatingLookup!$A$2:$C$8,3,FALSE)</f>
        <v>0.45</v>
      </c>
      <c r="P4346">
        <f t="shared" si="202"/>
        <v>7.8619081789356032E-2</v>
      </c>
      <c r="Q4346" t="str">
        <f t="shared" ca="1" si="203"/>
        <v>No</v>
      </c>
    </row>
    <row r="4347" spans="1:17" x14ac:dyDescent="0.45">
      <c r="A4347" t="s">
        <v>180</v>
      </c>
      <c r="B4347" t="s">
        <v>181</v>
      </c>
      <c r="C4347" t="s">
        <v>66</v>
      </c>
      <c r="D4347" t="s">
        <v>20</v>
      </c>
      <c r="E4347" t="s">
        <v>21</v>
      </c>
      <c r="F4347" s="1">
        <v>44593</v>
      </c>
      <c r="G4347">
        <v>6.49</v>
      </c>
      <c r="H4347">
        <v>83.975700000000003</v>
      </c>
      <c r="I4347">
        <v>9.92</v>
      </c>
      <c r="J4347">
        <v>85.43</v>
      </c>
      <c r="K4347" t="s">
        <v>22</v>
      </c>
      <c r="L4347">
        <v>389.4</v>
      </c>
      <c r="M4347">
        <f>VLOOKUP(K4347,RatingLookup!$A$2:$C$8,2,FALSE)</f>
        <v>5.0000000000000001E-3</v>
      </c>
      <c r="N4347">
        <f t="shared" si="201"/>
        <v>4.1762458919303302E-4</v>
      </c>
      <c r="O4347">
        <f>VLOOKUP(K4347,RatingLookup!$A$2:$C$8,3,FALSE)</f>
        <v>0.45</v>
      </c>
      <c r="P4347">
        <f t="shared" si="202"/>
        <v>7.3180356764295171E-2</v>
      </c>
      <c r="Q4347" t="str">
        <f t="shared" ca="1" si="203"/>
        <v>No</v>
      </c>
    </row>
    <row r="4348" spans="1:17" x14ac:dyDescent="0.45">
      <c r="A4348" t="s">
        <v>180</v>
      </c>
      <c r="B4348" t="s">
        <v>181</v>
      </c>
      <c r="C4348" t="s">
        <v>66</v>
      </c>
      <c r="D4348" t="s">
        <v>20</v>
      </c>
      <c r="E4348" t="s">
        <v>21</v>
      </c>
      <c r="F4348" s="1">
        <v>44621</v>
      </c>
      <c r="G4348">
        <v>6.09</v>
      </c>
      <c r="H4348">
        <v>82.615799999999993</v>
      </c>
      <c r="I4348">
        <v>14.17</v>
      </c>
      <c r="J4348">
        <v>75.599999999999994</v>
      </c>
      <c r="K4348" t="s">
        <v>22</v>
      </c>
      <c r="L4348">
        <v>410.96</v>
      </c>
      <c r="M4348">
        <f>VLOOKUP(K4348,RatingLookup!$A$2:$C$8,2,FALSE)</f>
        <v>5.0000000000000001E-3</v>
      </c>
      <c r="N4348">
        <f t="shared" si="201"/>
        <v>4.1762458919303302E-4</v>
      </c>
      <c r="O4348">
        <f>VLOOKUP(K4348,RatingLookup!$A$2:$C$8,3,FALSE)</f>
        <v>0.45</v>
      </c>
      <c r="P4348">
        <f t="shared" si="202"/>
        <v>7.7232150528645974E-2</v>
      </c>
      <c r="Q4348" t="str">
        <f t="shared" ca="1" si="203"/>
        <v>No</v>
      </c>
    </row>
    <row r="4349" spans="1:17" x14ac:dyDescent="0.45">
      <c r="A4349" t="s">
        <v>180</v>
      </c>
      <c r="B4349" t="s">
        <v>181</v>
      </c>
      <c r="C4349" t="s">
        <v>66</v>
      </c>
      <c r="D4349" t="s">
        <v>20</v>
      </c>
      <c r="E4349" t="s">
        <v>21</v>
      </c>
      <c r="F4349" s="1">
        <v>44652</v>
      </c>
      <c r="G4349">
        <v>5.16</v>
      </c>
      <c r="H4349">
        <v>81.510499999999993</v>
      </c>
      <c r="I4349">
        <v>21.03</v>
      </c>
      <c r="J4349">
        <v>81.489999999999995</v>
      </c>
      <c r="K4349" t="s">
        <v>30</v>
      </c>
      <c r="L4349">
        <v>395.67</v>
      </c>
      <c r="M4349">
        <f>VLOOKUP(K4349,RatingLookup!$A$2:$C$8,2,FALSE)</f>
        <v>1.4999999999999999E-2</v>
      </c>
      <c r="N4349">
        <f t="shared" si="201"/>
        <v>1.2586770182638762E-3</v>
      </c>
      <c r="O4349">
        <f>VLOOKUP(K4349,RatingLookup!$A$2:$C$8,3,FALSE)</f>
        <v>0.5</v>
      </c>
      <c r="P4349">
        <f t="shared" si="202"/>
        <v>0.24901036790823397</v>
      </c>
      <c r="Q4349" t="str">
        <f t="shared" ca="1" si="203"/>
        <v>No</v>
      </c>
    </row>
    <row r="4350" spans="1:17" x14ac:dyDescent="0.45">
      <c r="A4350" t="s">
        <v>180</v>
      </c>
      <c r="B4350" t="s">
        <v>181</v>
      </c>
      <c r="C4350" t="s">
        <v>66</v>
      </c>
      <c r="D4350" t="s">
        <v>20</v>
      </c>
      <c r="E4350" t="s">
        <v>21</v>
      </c>
      <c r="F4350" s="1">
        <v>44682</v>
      </c>
      <c r="G4350">
        <v>5.03</v>
      </c>
      <c r="H4350">
        <v>82.985100000000003</v>
      </c>
      <c r="I4350">
        <v>27.33</v>
      </c>
      <c r="J4350">
        <v>87.8</v>
      </c>
      <c r="K4350" t="s">
        <v>30</v>
      </c>
      <c r="L4350">
        <v>403.57</v>
      </c>
      <c r="M4350">
        <f>VLOOKUP(K4350,RatingLookup!$A$2:$C$8,2,FALSE)</f>
        <v>1.4999999999999999E-2</v>
      </c>
      <c r="N4350">
        <f t="shared" si="201"/>
        <v>1.2586770182638762E-3</v>
      </c>
      <c r="O4350">
        <f>VLOOKUP(K4350,RatingLookup!$A$2:$C$8,3,FALSE)</f>
        <v>0.5</v>
      </c>
      <c r="P4350">
        <f t="shared" si="202"/>
        <v>0.25398214213037629</v>
      </c>
      <c r="Q4350" t="str">
        <f t="shared" ca="1" si="203"/>
        <v>No</v>
      </c>
    </row>
    <row r="4351" spans="1:17" x14ac:dyDescent="0.45">
      <c r="A4351" t="s">
        <v>180</v>
      </c>
      <c r="B4351" t="s">
        <v>181</v>
      </c>
      <c r="C4351" t="s">
        <v>66</v>
      </c>
      <c r="D4351" t="s">
        <v>20</v>
      </c>
      <c r="E4351" t="s">
        <v>21</v>
      </c>
      <c r="F4351" s="1">
        <v>44713</v>
      </c>
      <c r="G4351">
        <v>5.0199999999999996</v>
      </c>
      <c r="H4351">
        <v>82.538700000000006</v>
      </c>
      <c r="I4351">
        <v>19.670000000000002</v>
      </c>
      <c r="J4351">
        <v>69.650000000000006</v>
      </c>
      <c r="K4351" t="s">
        <v>30</v>
      </c>
      <c r="L4351">
        <v>416.66</v>
      </c>
      <c r="M4351">
        <f>VLOOKUP(K4351,RatingLookup!$A$2:$C$8,2,FALSE)</f>
        <v>1.4999999999999999E-2</v>
      </c>
      <c r="N4351">
        <f t="shared" si="201"/>
        <v>1.2586770182638762E-3</v>
      </c>
      <c r="O4351">
        <f>VLOOKUP(K4351,RatingLookup!$A$2:$C$8,3,FALSE)</f>
        <v>0.5</v>
      </c>
      <c r="P4351">
        <f t="shared" si="202"/>
        <v>0.26222018321491336</v>
      </c>
      <c r="Q4351" t="str">
        <f t="shared" ca="1" si="203"/>
        <v>No</v>
      </c>
    </row>
    <row r="4352" spans="1:17" x14ac:dyDescent="0.45">
      <c r="A4352" t="s">
        <v>180</v>
      </c>
      <c r="B4352" t="s">
        <v>181</v>
      </c>
      <c r="C4352" t="s">
        <v>66</v>
      </c>
      <c r="D4352" t="s">
        <v>20</v>
      </c>
      <c r="E4352" t="s">
        <v>21</v>
      </c>
      <c r="F4352" s="1">
        <v>44743</v>
      </c>
      <c r="G4352">
        <v>5.55</v>
      </c>
      <c r="H4352">
        <v>83.1755</v>
      </c>
      <c r="I4352">
        <v>16.09</v>
      </c>
      <c r="J4352">
        <v>81.180000000000007</v>
      </c>
      <c r="K4352" t="s">
        <v>30</v>
      </c>
      <c r="L4352">
        <v>391.04</v>
      </c>
      <c r="M4352">
        <f>VLOOKUP(K4352,RatingLookup!$A$2:$C$8,2,FALSE)</f>
        <v>1.4999999999999999E-2</v>
      </c>
      <c r="N4352">
        <f t="shared" si="201"/>
        <v>1.2586770182638762E-3</v>
      </c>
      <c r="O4352">
        <f>VLOOKUP(K4352,RatingLookup!$A$2:$C$8,3,FALSE)</f>
        <v>0.5</v>
      </c>
      <c r="P4352">
        <f t="shared" si="202"/>
        <v>0.2460965306109531</v>
      </c>
      <c r="Q4352" t="str">
        <f t="shared" ca="1" si="203"/>
        <v>No</v>
      </c>
    </row>
    <row r="4353" spans="1:17" x14ac:dyDescent="0.45">
      <c r="A4353" t="s">
        <v>180</v>
      </c>
      <c r="B4353" t="s">
        <v>181</v>
      </c>
      <c r="C4353" t="s">
        <v>66</v>
      </c>
      <c r="D4353" t="s">
        <v>20</v>
      </c>
      <c r="E4353" t="s">
        <v>21</v>
      </c>
      <c r="F4353" s="1">
        <v>44774</v>
      </c>
      <c r="G4353">
        <v>5.29</v>
      </c>
      <c r="H4353">
        <v>81.020799999999994</v>
      </c>
      <c r="I4353">
        <v>18.09</v>
      </c>
      <c r="J4353">
        <v>75.05</v>
      </c>
      <c r="K4353" t="s">
        <v>30</v>
      </c>
      <c r="L4353">
        <v>468.26</v>
      </c>
      <c r="M4353">
        <f>VLOOKUP(K4353,RatingLookup!$A$2:$C$8,2,FALSE)</f>
        <v>1.4999999999999999E-2</v>
      </c>
      <c r="N4353">
        <f t="shared" si="201"/>
        <v>1.2586770182638762E-3</v>
      </c>
      <c r="O4353">
        <f>VLOOKUP(K4353,RatingLookup!$A$2:$C$8,3,FALSE)</f>
        <v>0.5</v>
      </c>
      <c r="P4353">
        <f t="shared" si="202"/>
        <v>0.29469405028612133</v>
      </c>
      <c r="Q4353" t="str">
        <f t="shared" ca="1" si="203"/>
        <v>No</v>
      </c>
    </row>
    <row r="4354" spans="1:17" x14ac:dyDescent="0.45">
      <c r="A4354" t="s">
        <v>180</v>
      </c>
      <c r="B4354" t="s">
        <v>181</v>
      </c>
      <c r="C4354" t="s">
        <v>66</v>
      </c>
      <c r="D4354" t="s">
        <v>20</v>
      </c>
      <c r="E4354" t="s">
        <v>21</v>
      </c>
      <c r="F4354" s="1">
        <v>44805</v>
      </c>
      <c r="G4354">
        <v>7.17</v>
      </c>
      <c r="H4354">
        <v>84.167400000000001</v>
      </c>
      <c r="I4354">
        <v>18.399999999999999</v>
      </c>
      <c r="J4354">
        <v>86.36</v>
      </c>
      <c r="K4354" t="s">
        <v>30</v>
      </c>
      <c r="L4354">
        <v>432.51</v>
      </c>
      <c r="M4354">
        <f>VLOOKUP(K4354,RatingLookup!$A$2:$C$8,2,FALSE)</f>
        <v>1.4999999999999999E-2</v>
      </c>
      <c r="N4354">
        <f t="shared" ref="N4354:N4417" si="204">1-(1-M4354)^(1/12)</f>
        <v>1.2586770182638762E-3</v>
      </c>
      <c r="O4354">
        <f>VLOOKUP(K4354,RatingLookup!$A$2:$C$8,3,FALSE)</f>
        <v>0.5</v>
      </c>
      <c r="P4354">
        <f t="shared" ref="P4354:P4417" si="205">L4354*N4354*O4354</f>
        <v>0.27219519858465457</v>
      </c>
      <c r="Q4354" t="str">
        <f t="shared" ref="Q4354:Q4417" ca="1" si="206">IF(RAND()&lt;N4354,"Yes","No")</f>
        <v>No</v>
      </c>
    </row>
    <row r="4355" spans="1:17" x14ac:dyDescent="0.45">
      <c r="A4355" t="s">
        <v>180</v>
      </c>
      <c r="B4355" t="s">
        <v>181</v>
      </c>
      <c r="C4355" t="s">
        <v>66</v>
      </c>
      <c r="D4355" t="s">
        <v>20</v>
      </c>
      <c r="E4355" t="s">
        <v>21</v>
      </c>
      <c r="F4355" s="1">
        <v>44835</v>
      </c>
      <c r="G4355">
        <v>4.84</v>
      </c>
      <c r="H4355">
        <v>81.461600000000004</v>
      </c>
      <c r="I4355">
        <v>32.299999999999997</v>
      </c>
      <c r="J4355">
        <v>89.49</v>
      </c>
      <c r="K4355" t="s">
        <v>30</v>
      </c>
      <c r="L4355">
        <v>444.23</v>
      </c>
      <c r="M4355">
        <f>VLOOKUP(K4355,RatingLookup!$A$2:$C$8,2,FALSE)</f>
        <v>1.4999999999999999E-2</v>
      </c>
      <c r="N4355">
        <f t="shared" si="204"/>
        <v>1.2586770182638762E-3</v>
      </c>
      <c r="O4355">
        <f>VLOOKUP(K4355,RatingLookup!$A$2:$C$8,3,FALSE)</f>
        <v>0.5</v>
      </c>
      <c r="P4355">
        <f t="shared" si="205"/>
        <v>0.27957104591168086</v>
      </c>
      <c r="Q4355" t="str">
        <f t="shared" ca="1" si="206"/>
        <v>No</v>
      </c>
    </row>
    <row r="4356" spans="1:17" x14ac:dyDescent="0.45">
      <c r="A4356" t="s">
        <v>180</v>
      </c>
      <c r="B4356" t="s">
        <v>181</v>
      </c>
      <c r="C4356" t="s">
        <v>66</v>
      </c>
      <c r="D4356" t="s">
        <v>20</v>
      </c>
      <c r="E4356" t="s">
        <v>21</v>
      </c>
      <c r="F4356" s="1">
        <v>44866</v>
      </c>
      <c r="G4356">
        <v>5.49</v>
      </c>
      <c r="H4356">
        <v>80.842100000000002</v>
      </c>
      <c r="I4356">
        <v>14.93</v>
      </c>
      <c r="J4356">
        <v>75.83</v>
      </c>
      <c r="K4356" t="s">
        <v>30</v>
      </c>
      <c r="L4356">
        <v>423.66</v>
      </c>
      <c r="M4356">
        <f>VLOOKUP(K4356,RatingLookup!$A$2:$C$8,2,FALSE)</f>
        <v>1.4999999999999999E-2</v>
      </c>
      <c r="N4356">
        <f t="shared" si="204"/>
        <v>1.2586770182638762E-3</v>
      </c>
      <c r="O4356">
        <f>VLOOKUP(K4356,RatingLookup!$A$2:$C$8,3,FALSE)</f>
        <v>0.5</v>
      </c>
      <c r="P4356">
        <f t="shared" si="205"/>
        <v>0.26662555277883693</v>
      </c>
      <c r="Q4356" t="str">
        <f t="shared" ca="1" si="206"/>
        <v>No</v>
      </c>
    </row>
    <row r="4357" spans="1:17" x14ac:dyDescent="0.45">
      <c r="A4357" t="s">
        <v>180</v>
      </c>
      <c r="B4357" t="s">
        <v>181</v>
      </c>
      <c r="C4357" t="s">
        <v>66</v>
      </c>
      <c r="D4357" t="s">
        <v>20</v>
      </c>
      <c r="E4357" t="s">
        <v>21</v>
      </c>
      <c r="F4357" s="1">
        <v>44896</v>
      </c>
      <c r="G4357">
        <v>7.12</v>
      </c>
      <c r="H4357">
        <v>86.358999999999995</v>
      </c>
      <c r="I4357">
        <v>12.73</v>
      </c>
      <c r="J4357">
        <v>98.62</v>
      </c>
      <c r="K4357" t="s">
        <v>30</v>
      </c>
      <c r="L4357">
        <v>427</v>
      </c>
      <c r="M4357">
        <f>VLOOKUP(K4357,RatingLookup!$A$2:$C$8,2,FALSE)</f>
        <v>1.4999999999999999E-2</v>
      </c>
      <c r="N4357">
        <f t="shared" si="204"/>
        <v>1.2586770182638762E-3</v>
      </c>
      <c r="O4357">
        <f>VLOOKUP(K4357,RatingLookup!$A$2:$C$8,3,FALSE)</f>
        <v>0.5</v>
      </c>
      <c r="P4357">
        <f t="shared" si="205"/>
        <v>0.26872754339933758</v>
      </c>
      <c r="Q4357" t="str">
        <f t="shared" ca="1" si="206"/>
        <v>No</v>
      </c>
    </row>
    <row r="4358" spans="1:17" x14ac:dyDescent="0.45">
      <c r="A4358" t="s">
        <v>180</v>
      </c>
      <c r="B4358" t="s">
        <v>181</v>
      </c>
      <c r="C4358" t="s">
        <v>66</v>
      </c>
      <c r="D4358" t="s">
        <v>20</v>
      </c>
      <c r="E4358" t="s">
        <v>21</v>
      </c>
      <c r="F4358" s="1">
        <v>44927</v>
      </c>
      <c r="G4358">
        <v>4.53</v>
      </c>
      <c r="H4358">
        <v>86.364699999999999</v>
      </c>
      <c r="I4358">
        <v>24.56</v>
      </c>
      <c r="J4358">
        <v>68.2</v>
      </c>
      <c r="K4358" t="s">
        <v>30</v>
      </c>
      <c r="L4358">
        <v>414.8</v>
      </c>
      <c r="M4358">
        <f>VLOOKUP(K4358,RatingLookup!$A$2:$C$8,2,FALSE)</f>
        <v>1.4999999999999999E-2</v>
      </c>
      <c r="N4358">
        <f t="shared" si="204"/>
        <v>1.2586770182638762E-3</v>
      </c>
      <c r="O4358">
        <f>VLOOKUP(K4358,RatingLookup!$A$2:$C$8,3,FALSE)</f>
        <v>0.5</v>
      </c>
      <c r="P4358">
        <f t="shared" si="205"/>
        <v>0.26104961358792794</v>
      </c>
      <c r="Q4358" t="str">
        <f t="shared" ca="1" si="206"/>
        <v>No</v>
      </c>
    </row>
    <row r="4359" spans="1:17" x14ac:dyDescent="0.45">
      <c r="A4359" t="s">
        <v>180</v>
      </c>
      <c r="B4359" t="s">
        <v>181</v>
      </c>
      <c r="C4359" t="s">
        <v>66</v>
      </c>
      <c r="D4359" t="s">
        <v>20</v>
      </c>
      <c r="E4359" t="s">
        <v>21</v>
      </c>
      <c r="F4359" s="1">
        <v>44958</v>
      </c>
      <c r="G4359">
        <v>5.91</v>
      </c>
      <c r="H4359">
        <v>85.026700000000005</v>
      </c>
      <c r="I4359">
        <v>9.77</v>
      </c>
      <c r="J4359">
        <v>76.95</v>
      </c>
      <c r="K4359" t="s">
        <v>30</v>
      </c>
      <c r="L4359">
        <v>435.11</v>
      </c>
      <c r="M4359">
        <f>VLOOKUP(K4359,RatingLookup!$A$2:$C$8,2,FALSE)</f>
        <v>1.4999999999999999E-2</v>
      </c>
      <c r="N4359">
        <f t="shared" si="204"/>
        <v>1.2586770182638762E-3</v>
      </c>
      <c r="O4359">
        <f>VLOOKUP(K4359,RatingLookup!$A$2:$C$8,3,FALSE)</f>
        <v>0.5</v>
      </c>
      <c r="P4359">
        <f t="shared" si="205"/>
        <v>0.27383147870839758</v>
      </c>
      <c r="Q4359" t="str">
        <f t="shared" ca="1" si="206"/>
        <v>No</v>
      </c>
    </row>
    <row r="4360" spans="1:17" x14ac:dyDescent="0.45">
      <c r="A4360" t="s">
        <v>180</v>
      </c>
      <c r="B4360" t="s">
        <v>181</v>
      </c>
      <c r="C4360" t="s">
        <v>66</v>
      </c>
      <c r="D4360" t="s">
        <v>20</v>
      </c>
      <c r="E4360" t="s">
        <v>21</v>
      </c>
      <c r="F4360" s="1">
        <v>44986</v>
      </c>
      <c r="G4360">
        <v>5.87</v>
      </c>
      <c r="H4360">
        <v>84.555599999999998</v>
      </c>
      <c r="I4360">
        <v>16.87</v>
      </c>
      <c r="J4360">
        <v>68.61</v>
      </c>
      <c r="K4360" t="s">
        <v>30</v>
      </c>
      <c r="L4360">
        <v>451.59</v>
      </c>
      <c r="M4360">
        <f>VLOOKUP(K4360,RatingLookup!$A$2:$C$8,2,FALSE)</f>
        <v>1.4999999999999999E-2</v>
      </c>
      <c r="N4360">
        <f t="shared" si="204"/>
        <v>1.2586770182638762E-3</v>
      </c>
      <c r="O4360">
        <f>VLOOKUP(K4360,RatingLookup!$A$2:$C$8,3,FALSE)</f>
        <v>0.5</v>
      </c>
      <c r="P4360">
        <f t="shared" si="205"/>
        <v>0.28420297733889194</v>
      </c>
      <c r="Q4360" t="str">
        <f t="shared" ca="1" si="206"/>
        <v>No</v>
      </c>
    </row>
    <row r="4361" spans="1:17" x14ac:dyDescent="0.45">
      <c r="A4361" t="s">
        <v>180</v>
      </c>
      <c r="B4361" t="s">
        <v>181</v>
      </c>
      <c r="C4361" t="s">
        <v>66</v>
      </c>
      <c r="D4361" t="s">
        <v>20</v>
      </c>
      <c r="E4361" t="s">
        <v>21</v>
      </c>
      <c r="F4361" s="1">
        <v>45017</v>
      </c>
      <c r="G4361">
        <v>6.56</v>
      </c>
      <c r="H4361">
        <v>85.362899999999996</v>
      </c>
      <c r="I4361">
        <v>24.13</v>
      </c>
      <c r="J4361">
        <v>79.52</v>
      </c>
      <c r="K4361" t="s">
        <v>30</v>
      </c>
      <c r="L4361">
        <v>411.06</v>
      </c>
      <c r="M4361">
        <f>VLOOKUP(K4361,RatingLookup!$A$2:$C$8,2,FALSE)</f>
        <v>1.4999999999999999E-2</v>
      </c>
      <c r="N4361">
        <f t="shared" si="204"/>
        <v>1.2586770182638762E-3</v>
      </c>
      <c r="O4361">
        <f>VLOOKUP(K4361,RatingLookup!$A$2:$C$8,3,FALSE)</f>
        <v>0.5</v>
      </c>
      <c r="P4361">
        <f t="shared" si="205"/>
        <v>0.25869588756377448</v>
      </c>
      <c r="Q4361" t="str">
        <f t="shared" ca="1" si="206"/>
        <v>No</v>
      </c>
    </row>
    <row r="4362" spans="1:17" x14ac:dyDescent="0.45">
      <c r="A4362" t="s">
        <v>180</v>
      </c>
      <c r="B4362" t="s">
        <v>181</v>
      </c>
      <c r="C4362" t="s">
        <v>66</v>
      </c>
      <c r="D4362" t="s">
        <v>20</v>
      </c>
      <c r="E4362" t="s">
        <v>21</v>
      </c>
      <c r="F4362" s="1">
        <v>45047</v>
      </c>
      <c r="G4362">
        <v>6.1</v>
      </c>
      <c r="H4362">
        <v>83.480099999999993</v>
      </c>
      <c r="I4362">
        <v>9.94</v>
      </c>
      <c r="J4362">
        <v>79.56</v>
      </c>
      <c r="K4362" t="s">
        <v>30</v>
      </c>
      <c r="L4362">
        <v>401.13</v>
      </c>
      <c r="M4362">
        <f>VLOOKUP(K4362,RatingLookup!$A$2:$C$8,2,FALSE)</f>
        <v>1.4999999999999999E-2</v>
      </c>
      <c r="N4362">
        <f t="shared" si="204"/>
        <v>1.2586770182638762E-3</v>
      </c>
      <c r="O4362">
        <f>VLOOKUP(K4362,RatingLookup!$A$2:$C$8,3,FALSE)</f>
        <v>0.5</v>
      </c>
      <c r="P4362">
        <f t="shared" si="205"/>
        <v>0.25244655616809436</v>
      </c>
      <c r="Q4362" t="str">
        <f t="shared" ca="1" si="206"/>
        <v>No</v>
      </c>
    </row>
    <row r="4363" spans="1:17" x14ac:dyDescent="0.45">
      <c r="A4363" t="s">
        <v>180</v>
      </c>
      <c r="B4363" t="s">
        <v>181</v>
      </c>
      <c r="C4363" t="s">
        <v>66</v>
      </c>
      <c r="D4363" t="s">
        <v>20</v>
      </c>
      <c r="E4363" t="s">
        <v>21</v>
      </c>
      <c r="F4363" s="1">
        <v>45078</v>
      </c>
      <c r="G4363">
        <v>4.67</v>
      </c>
      <c r="H4363">
        <v>79.846699999999998</v>
      </c>
      <c r="I4363">
        <v>26.45</v>
      </c>
      <c r="J4363">
        <v>84.84</v>
      </c>
      <c r="K4363" t="s">
        <v>30</v>
      </c>
      <c r="L4363">
        <v>472.8</v>
      </c>
      <c r="M4363">
        <f>VLOOKUP(K4363,RatingLookup!$A$2:$C$8,2,FALSE)</f>
        <v>1.4999999999999999E-2</v>
      </c>
      <c r="N4363">
        <f t="shared" si="204"/>
        <v>1.2586770182638762E-3</v>
      </c>
      <c r="O4363">
        <f>VLOOKUP(K4363,RatingLookup!$A$2:$C$8,3,FALSE)</f>
        <v>0.5</v>
      </c>
      <c r="P4363">
        <f t="shared" si="205"/>
        <v>0.29755124711758035</v>
      </c>
      <c r="Q4363" t="str">
        <f t="shared" ca="1" si="206"/>
        <v>No</v>
      </c>
    </row>
    <row r="4364" spans="1:17" x14ac:dyDescent="0.45">
      <c r="A4364" t="s">
        <v>180</v>
      </c>
      <c r="B4364" t="s">
        <v>181</v>
      </c>
      <c r="C4364" t="s">
        <v>66</v>
      </c>
      <c r="D4364" t="s">
        <v>20</v>
      </c>
      <c r="E4364" t="s">
        <v>21</v>
      </c>
      <c r="F4364" s="1">
        <v>45108</v>
      </c>
      <c r="G4364">
        <v>5.89</v>
      </c>
      <c r="H4364">
        <v>82.665700000000001</v>
      </c>
      <c r="I4364">
        <v>9.6</v>
      </c>
      <c r="J4364">
        <v>78.650000000000006</v>
      </c>
      <c r="K4364" t="s">
        <v>22</v>
      </c>
      <c r="L4364">
        <v>456.66</v>
      </c>
      <c r="M4364">
        <f>VLOOKUP(K4364,RatingLookup!$A$2:$C$8,2,FALSE)</f>
        <v>5.0000000000000001E-3</v>
      </c>
      <c r="N4364">
        <f t="shared" si="204"/>
        <v>4.1762458919303302E-4</v>
      </c>
      <c r="O4364">
        <f>VLOOKUP(K4364,RatingLookup!$A$2:$C$8,3,FALSE)</f>
        <v>0.45</v>
      </c>
      <c r="P4364">
        <f t="shared" si="205"/>
        <v>8.5820600205400721E-2</v>
      </c>
      <c r="Q4364" t="str">
        <f t="shared" ca="1" si="206"/>
        <v>No</v>
      </c>
    </row>
    <row r="4365" spans="1:17" x14ac:dyDescent="0.45">
      <c r="A4365" t="s">
        <v>180</v>
      </c>
      <c r="B4365" t="s">
        <v>181</v>
      </c>
      <c r="C4365" t="s">
        <v>66</v>
      </c>
      <c r="D4365" t="s">
        <v>20</v>
      </c>
      <c r="E4365" t="s">
        <v>21</v>
      </c>
      <c r="F4365" s="1">
        <v>45139</v>
      </c>
      <c r="G4365">
        <v>5.7</v>
      </c>
      <c r="H4365">
        <v>85.393100000000004</v>
      </c>
      <c r="I4365">
        <v>22.01</v>
      </c>
      <c r="J4365">
        <v>72.97</v>
      </c>
      <c r="K4365" t="s">
        <v>22</v>
      </c>
      <c r="L4365">
        <v>428.44</v>
      </c>
      <c r="M4365">
        <f>VLOOKUP(K4365,RatingLookup!$A$2:$C$8,2,FALSE)</f>
        <v>5.0000000000000001E-3</v>
      </c>
      <c r="N4365">
        <f t="shared" si="204"/>
        <v>4.1762458919303302E-4</v>
      </c>
      <c r="O4365">
        <f>VLOOKUP(K4365,RatingLookup!$A$2:$C$8,3,FALSE)</f>
        <v>0.45</v>
      </c>
      <c r="P4365">
        <f t="shared" si="205"/>
        <v>8.0517185547238385E-2</v>
      </c>
      <c r="Q4365" t="str">
        <f t="shared" ca="1" si="206"/>
        <v>No</v>
      </c>
    </row>
    <row r="4366" spans="1:17" x14ac:dyDescent="0.45">
      <c r="A4366" t="s">
        <v>180</v>
      </c>
      <c r="B4366" t="s">
        <v>181</v>
      </c>
      <c r="C4366" t="s">
        <v>66</v>
      </c>
      <c r="D4366" t="s">
        <v>20</v>
      </c>
      <c r="E4366" t="s">
        <v>21</v>
      </c>
      <c r="F4366" s="1">
        <v>45170</v>
      </c>
      <c r="G4366">
        <v>5.74</v>
      </c>
      <c r="H4366">
        <v>81.326700000000002</v>
      </c>
      <c r="I4366">
        <v>24.45</v>
      </c>
      <c r="J4366">
        <v>80.23</v>
      </c>
      <c r="K4366" t="s">
        <v>22</v>
      </c>
      <c r="L4366">
        <v>449.77</v>
      </c>
      <c r="M4366">
        <f>VLOOKUP(K4366,RatingLookup!$A$2:$C$8,2,FALSE)</f>
        <v>5.0000000000000001E-3</v>
      </c>
      <c r="N4366">
        <f t="shared" si="204"/>
        <v>4.1762458919303302E-4</v>
      </c>
      <c r="O4366">
        <f>VLOOKUP(K4366,RatingLookup!$A$2:$C$8,3,FALSE)</f>
        <v>0.45</v>
      </c>
      <c r="P4366">
        <f t="shared" si="205"/>
        <v>8.4525755166607708E-2</v>
      </c>
      <c r="Q4366" t="str">
        <f t="shared" ca="1" si="206"/>
        <v>No</v>
      </c>
    </row>
    <row r="4367" spans="1:17" x14ac:dyDescent="0.45">
      <c r="A4367" t="s">
        <v>180</v>
      </c>
      <c r="B4367" t="s">
        <v>181</v>
      </c>
      <c r="C4367" t="s">
        <v>66</v>
      </c>
      <c r="D4367" t="s">
        <v>20</v>
      </c>
      <c r="E4367" t="s">
        <v>21</v>
      </c>
      <c r="F4367" s="1">
        <v>45200</v>
      </c>
      <c r="G4367">
        <v>6.25</v>
      </c>
      <c r="H4367">
        <v>81.068600000000004</v>
      </c>
      <c r="I4367">
        <v>25.96</v>
      </c>
      <c r="J4367">
        <v>92.1</v>
      </c>
      <c r="K4367" t="s">
        <v>23</v>
      </c>
      <c r="L4367">
        <v>430.69</v>
      </c>
      <c r="M4367">
        <f>VLOOKUP(K4367,RatingLookup!$A$2:$C$8,2,FALSE)</f>
        <v>1E-3</v>
      </c>
      <c r="N4367">
        <f t="shared" si="204"/>
        <v>8.3371552197619714E-5</v>
      </c>
      <c r="O4367">
        <f>VLOOKUP(K4367,RatingLookup!$A$2:$C$8,3,FALSE)</f>
        <v>0.3</v>
      </c>
      <c r="P4367">
        <f t="shared" si="205"/>
        <v>1.0772188144797851E-2</v>
      </c>
      <c r="Q4367" t="str">
        <f t="shared" ca="1" si="206"/>
        <v>No</v>
      </c>
    </row>
    <row r="4368" spans="1:17" x14ac:dyDescent="0.45">
      <c r="A4368" t="s">
        <v>180</v>
      </c>
      <c r="B4368" t="s">
        <v>181</v>
      </c>
      <c r="C4368" t="s">
        <v>66</v>
      </c>
      <c r="D4368" t="s">
        <v>20</v>
      </c>
      <c r="E4368" t="s">
        <v>21</v>
      </c>
      <c r="F4368" s="1">
        <v>45231</v>
      </c>
      <c r="G4368">
        <v>5.08</v>
      </c>
      <c r="H4368">
        <v>82.183199999999999</v>
      </c>
      <c r="I4368">
        <v>6.86</v>
      </c>
      <c r="J4368">
        <v>93.35</v>
      </c>
      <c r="K4368" t="s">
        <v>23</v>
      </c>
      <c r="L4368">
        <v>402.7</v>
      </c>
      <c r="M4368">
        <f>VLOOKUP(K4368,RatingLookup!$A$2:$C$8,2,FALSE)</f>
        <v>1E-3</v>
      </c>
      <c r="N4368">
        <f t="shared" si="204"/>
        <v>8.3371552197619714E-5</v>
      </c>
      <c r="O4368">
        <f>VLOOKUP(K4368,RatingLookup!$A$2:$C$8,3,FALSE)</f>
        <v>0.3</v>
      </c>
      <c r="P4368">
        <f t="shared" si="205"/>
        <v>1.0072117220994437E-2</v>
      </c>
      <c r="Q4368" t="str">
        <f t="shared" ca="1" si="206"/>
        <v>No</v>
      </c>
    </row>
    <row r="4369" spans="1:17" x14ac:dyDescent="0.45">
      <c r="A4369" t="s">
        <v>180</v>
      </c>
      <c r="B4369" t="s">
        <v>181</v>
      </c>
      <c r="C4369" t="s">
        <v>66</v>
      </c>
      <c r="D4369" t="s">
        <v>20</v>
      </c>
      <c r="E4369" t="s">
        <v>21</v>
      </c>
      <c r="F4369" s="1">
        <v>45261</v>
      </c>
      <c r="G4369">
        <v>5.79</v>
      </c>
      <c r="H4369">
        <v>83.829300000000003</v>
      </c>
      <c r="I4369">
        <v>21.73</v>
      </c>
      <c r="J4369">
        <v>78.53</v>
      </c>
      <c r="K4369" t="s">
        <v>23</v>
      </c>
      <c r="L4369">
        <v>408.14</v>
      </c>
      <c r="M4369">
        <f>VLOOKUP(K4369,RatingLookup!$A$2:$C$8,2,FALSE)</f>
        <v>1E-3</v>
      </c>
      <c r="N4369">
        <f t="shared" si="204"/>
        <v>8.3371552197619714E-5</v>
      </c>
      <c r="O4369">
        <f>VLOOKUP(K4369,RatingLookup!$A$2:$C$8,3,FALSE)</f>
        <v>0.3</v>
      </c>
      <c r="P4369">
        <f t="shared" si="205"/>
        <v>1.0208179594180952E-2</v>
      </c>
      <c r="Q4369" t="str">
        <f t="shared" ca="1" si="206"/>
        <v>No</v>
      </c>
    </row>
    <row r="4370" spans="1:17" x14ac:dyDescent="0.45">
      <c r="A4370" t="s">
        <v>180</v>
      </c>
      <c r="B4370" t="s">
        <v>181</v>
      </c>
      <c r="C4370" t="s">
        <v>66</v>
      </c>
      <c r="D4370" t="s">
        <v>20</v>
      </c>
      <c r="E4370" t="s">
        <v>21</v>
      </c>
      <c r="F4370" s="1">
        <v>45292</v>
      </c>
      <c r="G4370">
        <v>5.45</v>
      </c>
      <c r="H4370">
        <v>81.8232</v>
      </c>
      <c r="I4370">
        <v>14.78</v>
      </c>
      <c r="J4370">
        <v>78.599999999999994</v>
      </c>
      <c r="K4370" t="s">
        <v>23</v>
      </c>
      <c r="L4370">
        <v>447.17</v>
      </c>
      <c r="M4370">
        <f>VLOOKUP(K4370,RatingLookup!$A$2:$C$8,2,FALSE)</f>
        <v>1E-3</v>
      </c>
      <c r="N4370">
        <f t="shared" si="204"/>
        <v>8.3371552197619714E-5</v>
      </c>
      <c r="O4370">
        <f>VLOOKUP(K4370,RatingLookup!$A$2:$C$8,3,FALSE)</f>
        <v>0.3</v>
      </c>
      <c r="P4370">
        <f t="shared" si="205"/>
        <v>1.1184377098862882E-2</v>
      </c>
      <c r="Q4370" t="str">
        <f t="shared" ca="1" si="206"/>
        <v>No</v>
      </c>
    </row>
    <row r="4371" spans="1:17" x14ac:dyDescent="0.45">
      <c r="A4371" t="s">
        <v>180</v>
      </c>
      <c r="B4371" t="s">
        <v>181</v>
      </c>
      <c r="C4371" t="s">
        <v>66</v>
      </c>
      <c r="D4371" t="s">
        <v>20</v>
      </c>
      <c r="E4371" t="s">
        <v>21</v>
      </c>
      <c r="F4371" s="1">
        <v>45323</v>
      </c>
      <c r="G4371">
        <v>5.35</v>
      </c>
      <c r="H4371">
        <v>85.815899999999999</v>
      </c>
      <c r="I4371">
        <v>18.75</v>
      </c>
      <c r="J4371">
        <v>70.09</v>
      </c>
      <c r="K4371" t="s">
        <v>23</v>
      </c>
      <c r="L4371">
        <v>445.29</v>
      </c>
      <c r="M4371">
        <f>VLOOKUP(K4371,RatingLookup!$A$2:$C$8,2,FALSE)</f>
        <v>1E-3</v>
      </c>
      <c r="N4371">
        <f t="shared" si="204"/>
        <v>8.3371552197619714E-5</v>
      </c>
      <c r="O4371">
        <f>VLOOKUP(K4371,RatingLookup!$A$2:$C$8,3,FALSE)</f>
        <v>0.3</v>
      </c>
      <c r="P4371">
        <f t="shared" si="205"/>
        <v>1.1137355543423426E-2</v>
      </c>
      <c r="Q4371" t="str">
        <f t="shared" ca="1" si="206"/>
        <v>No</v>
      </c>
    </row>
    <row r="4372" spans="1:17" x14ac:dyDescent="0.45">
      <c r="A4372" t="s">
        <v>180</v>
      </c>
      <c r="B4372" t="s">
        <v>181</v>
      </c>
      <c r="C4372" t="s">
        <v>66</v>
      </c>
      <c r="D4372" t="s">
        <v>20</v>
      </c>
      <c r="E4372" t="s">
        <v>21</v>
      </c>
      <c r="F4372" s="1">
        <v>45352</v>
      </c>
      <c r="G4372">
        <v>5.43</v>
      </c>
      <c r="H4372">
        <v>81.705600000000004</v>
      </c>
      <c r="I4372">
        <v>11.39</v>
      </c>
      <c r="J4372">
        <v>75.78</v>
      </c>
      <c r="K4372" t="s">
        <v>23</v>
      </c>
      <c r="L4372">
        <v>414.33</v>
      </c>
      <c r="M4372">
        <f>VLOOKUP(K4372,RatingLookup!$A$2:$C$8,2,FALSE)</f>
        <v>1E-3</v>
      </c>
      <c r="N4372">
        <f t="shared" si="204"/>
        <v>8.3371552197619714E-5</v>
      </c>
      <c r="O4372">
        <f>VLOOKUP(K4372,RatingLookup!$A$2:$C$8,3,FALSE)</f>
        <v>0.3</v>
      </c>
      <c r="P4372">
        <f t="shared" si="205"/>
        <v>1.0363000566611933E-2</v>
      </c>
      <c r="Q4372" t="str">
        <f t="shared" ca="1" si="206"/>
        <v>No</v>
      </c>
    </row>
    <row r="4373" spans="1:17" x14ac:dyDescent="0.45">
      <c r="A4373" t="s">
        <v>180</v>
      </c>
      <c r="B4373" t="s">
        <v>181</v>
      </c>
      <c r="C4373" t="s">
        <v>66</v>
      </c>
      <c r="D4373" t="s">
        <v>20</v>
      </c>
      <c r="E4373" t="s">
        <v>21</v>
      </c>
      <c r="F4373" s="1">
        <v>45383</v>
      </c>
      <c r="G4373">
        <v>4.7699999999999996</v>
      </c>
      <c r="H4373">
        <v>84.262699999999995</v>
      </c>
      <c r="I4373">
        <v>20.85</v>
      </c>
      <c r="J4373">
        <v>77.53</v>
      </c>
      <c r="K4373" t="s">
        <v>23</v>
      </c>
      <c r="L4373">
        <v>391.14</v>
      </c>
      <c r="M4373">
        <f>VLOOKUP(K4373,RatingLookup!$A$2:$C$8,2,FALSE)</f>
        <v>1E-3</v>
      </c>
      <c r="N4373">
        <f t="shared" si="204"/>
        <v>8.3371552197619714E-5</v>
      </c>
      <c r="O4373">
        <f>VLOOKUP(K4373,RatingLookup!$A$2:$C$8,3,FALSE)</f>
        <v>0.3</v>
      </c>
      <c r="P4373">
        <f t="shared" si="205"/>
        <v>9.7829846779730924E-3</v>
      </c>
      <c r="Q4373" t="str">
        <f t="shared" ca="1" si="206"/>
        <v>No</v>
      </c>
    </row>
    <row r="4374" spans="1:17" x14ac:dyDescent="0.45">
      <c r="A4374" t="s">
        <v>180</v>
      </c>
      <c r="B4374" t="s">
        <v>181</v>
      </c>
      <c r="C4374" t="s">
        <v>66</v>
      </c>
      <c r="D4374" t="s">
        <v>20</v>
      </c>
      <c r="E4374" t="s">
        <v>21</v>
      </c>
      <c r="F4374" s="1">
        <v>45413</v>
      </c>
      <c r="G4374">
        <v>6.23</v>
      </c>
      <c r="H4374">
        <v>85.5839</v>
      </c>
      <c r="I4374">
        <v>11.9</v>
      </c>
      <c r="J4374">
        <v>72.42</v>
      </c>
      <c r="K4374" t="s">
        <v>23</v>
      </c>
      <c r="L4374">
        <v>434.86</v>
      </c>
      <c r="M4374">
        <f>VLOOKUP(K4374,RatingLookup!$A$2:$C$8,2,FALSE)</f>
        <v>1E-3</v>
      </c>
      <c r="N4374">
        <f t="shared" si="204"/>
        <v>8.3371552197619714E-5</v>
      </c>
      <c r="O4374">
        <f>VLOOKUP(K4374,RatingLookup!$A$2:$C$8,3,FALSE)</f>
        <v>0.3</v>
      </c>
      <c r="P4374">
        <f t="shared" si="205"/>
        <v>1.0876485956597072E-2</v>
      </c>
      <c r="Q4374" t="str">
        <f t="shared" ca="1" si="206"/>
        <v>No</v>
      </c>
    </row>
    <row r="4375" spans="1:17" x14ac:dyDescent="0.45">
      <c r="A4375" t="s">
        <v>180</v>
      </c>
      <c r="B4375" t="s">
        <v>181</v>
      </c>
      <c r="C4375" t="s">
        <v>66</v>
      </c>
      <c r="D4375" t="s">
        <v>20</v>
      </c>
      <c r="E4375" t="s">
        <v>21</v>
      </c>
      <c r="F4375" s="1">
        <v>45444</v>
      </c>
      <c r="G4375">
        <v>5.45</v>
      </c>
      <c r="H4375">
        <v>83.548599999999993</v>
      </c>
      <c r="I4375">
        <v>26.34</v>
      </c>
      <c r="J4375">
        <v>72.56</v>
      </c>
      <c r="K4375" t="s">
        <v>23</v>
      </c>
      <c r="L4375">
        <v>430.99</v>
      </c>
      <c r="M4375">
        <f>VLOOKUP(K4375,RatingLookup!$A$2:$C$8,2,FALSE)</f>
        <v>1E-3</v>
      </c>
      <c r="N4375">
        <f t="shared" si="204"/>
        <v>8.3371552197619714E-5</v>
      </c>
      <c r="O4375">
        <f>VLOOKUP(K4375,RatingLookup!$A$2:$C$8,3,FALSE)</f>
        <v>0.3</v>
      </c>
      <c r="P4375">
        <f t="shared" si="205"/>
        <v>1.0779691584495637E-2</v>
      </c>
      <c r="Q4375" t="str">
        <f t="shared" ca="1" si="206"/>
        <v>No</v>
      </c>
    </row>
    <row r="4376" spans="1:17" x14ac:dyDescent="0.45">
      <c r="A4376" t="s">
        <v>180</v>
      </c>
      <c r="B4376" t="s">
        <v>181</v>
      </c>
      <c r="C4376" t="s">
        <v>66</v>
      </c>
      <c r="D4376" t="s">
        <v>20</v>
      </c>
      <c r="E4376" t="s">
        <v>21</v>
      </c>
      <c r="F4376" s="1">
        <v>45474</v>
      </c>
      <c r="G4376">
        <v>4.6900000000000004</v>
      </c>
      <c r="H4376">
        <v>87.883499999999998</v>
      </c>
      <c r="I4376">
        <v>19.66</v>
      </c>
      <c r="J4376">
        <v>68.97</v>
      </c>
      <c r="K4376" t="s">
        <v>23</v>
      </c>
      <c r="L4376">
        <v>417.13</v>
      </c>
      <c r="M4376">
        <f>VLOOKUP(K4376,RatingLookup!$A$2:$C$8,2,FALSE)</f>
        <v>1E-3</v>
      </c>
      <c r="N4376">
        <f t="shared" si="204"/>
        <v>8.3371552197619714E-5</v>
      </c>
      <c r="O4376">
        <f>VLOOKUP(K4376,RatingLookup!$A$2:$C$8,3,FALSE)</f>
        <v>0.3</v>
      </c>
      <c r="P4376">
        <f t="shared" si="205"/>
        <v>1.0433032670457934E-2</v>
      </c>
      <c r="Q4376" t="str">
        <f t="shared" ca="1" si="206"/>
        <v>No</v>
      </c>
    </row>
    <row r="4377" spans="1:17" x14ac:dyDescent="0.45">
      <c r="A4377" t="s">
        <v>180</v>
      </c>
      <c r="B4377" t="s">
        <v>181</v>
      </c>
      <c r="C4377" t="s">
        <v>66</v>
      </c>
      <c r="D4377" t="s">
        <v>20</v>
      </c>
      <c r="E4377" t="s">
        <v>21</v>
      </c>
      <c r="F4377" s="1">
        <v>45505</v>
      </c>
      <c r="G4377">
        <v>5.55</v>
      </c>
      <c r="H4377">
        <v>83.218299999999999</v>
      </c>
      <c r="I4377">
        <v>22.76</v>
      </c>
      <c r="J4377">
        <v>83.9</v>
      </c>
      <c r="K4377" t="s">
        <v>23</v>
      </c>
      <c r="L4377">
        <v>439.09</v>
      </c>
      <c r="M4377">
        <f>VLOOKUP(K4377,RatingLookup!$A$2:$C$8,2,FALSE)</f>
        <v>1E-3</v>
      </c>
      <c r="N4377">
        <f t="shared" si="204"/>
        <v>8.3371552197619714E-5</v>
      </c>
      <c r="O4377">
        <f>VLOOKUP(K4377,RatingLookup!$A$2:$C$8,3,FALSE)</f>
        <v>0.3</v>
      </c>
      <c r="P4377">
        <f t="shared" si="205"/>
        <v>1.0982284456335851E-2</v>
      </c>
      <c r="Q4377" t="str">
        <f t="shared" ca="1" si="206"/>
        <v>No</v>
      </c>
    </row>
    <row r="4378" spans="1:17" x14ac:dyDescent="0.45">
      <c r="A4378" t="s">
        <v>180</v>
      </c>
      <c r="B4378" t="s">
        <v>181</v>
      </c>
      <c r="C4378" t="s">
        <v>66</v>
      </c>
      <c r="D4378" t="s">
        <v>20</v>
      </c>
      <c r="E4378" t="s">
        <v>21</v>
      </c>
      <c r="F4378" s="1">
        <v>45536</v>
      </c>
      <c r="G4378">
        <v>5.43</v>
      </c>
      <c r="H4378">
        <v>83.104699999999994</v>
      </c>
      <c r="I4378">
        <v>21.82</v>
      </c>
      <c r="J4378">
        <v>96.8</v>
      </c>
      <c r="K4378" t="s">
        <v>23</v>
      </c>
      <c r="L4378">
        <v>420.71</v>
      </c>
      <c r="M4378">
        <f>VLOOKUP(K4378,RatingLookup!$A$2:$C$8,2,FALSE)</f>
        <v>1E-3</v>
      </c>
      <c r="N4378">
        <f t="shared" si="204"/>
        <v>8.3371552197619714E-5</v>
      </c>
      <c r="O4378">
        <f>VLOOKUP(K4378,RatingLookup!$A$2:$C$8,3,FALSE)</f>
        <v>0.3</v>
      </c>
      <c r="P4378">
        <f t="shared" si="205"/>
        <v>1.0522573717518175E-2</v>
      </c>
      <c r="Q4378" t="str">
        <f t="shared" ca="1" si="206"/>
        <v>No</v>
      </c>
    </row>
    <row r="4379" spans="1:17" x14ac:dyDescent="0.45">
      <c r="A4379" t="s">
        <v>180</v>
      </c>
      <c r="B4379" t="s">
        <v>181</v>
      </c>
      <c r="C4379" t="s">
        <v>66</v>
      </c>
      <c r="D4379" t="s">
        <v>20</v>
      </c>
      <c r="E4379" t="s">
        <v>21</v>
      </c>
      <c r="F4379" s="1">
        <v>45566</v>
      </c>
      <c r="G4379">
        <v>5.56</v>
      </c>
      <c r="H4379">
        <v>85.8399</v>
      </c>
      <c r="I4379">
        <v>16.22</v>
      </c>
      <c r="J4379">
        <v>87.45</v>
      </c>
      <c r="K4379" t="s">
        <v>23</v>
      </c>
      <c r="L4379">
        <v>472.17</v>
      </c>
      <c r="M4379">
        <f>VLOOKUP(K4379,RatingLookup!$A$2:$C$8,2,FALSE)</f>
        <v>1E-3</v>
      </c>
      <c r="N4379">
        <f t="shared" si="204"/>
        <v>8.3371552197619714E-5</v>
      </c>
      <c r="O4379">
        <f>VLOOKUP(K4379,RatingLookup!$A$2:$C$8,3,FALSE)</f>
        <v>0.3</v>
      </c>
      <c r="P4379">
        <f t="shared" si="205"/>
        <v>1.180966374034503E-2</v>
      </c>
      <c r="Q4379" t="str">
        <f t="shared" ca="1" si="206"/>
        <v>No</v>
      </c>
    </row>
    <row r="4380" spans="1:17" x14ac:dyDescent="0.45">
      <c r="A4380" t="s">
        <v>180</v>
      </c>
      <c r="B4380" t="s">
        <v>181</v>
      </c>
      <c r="C4380" t="s">
        <v>66</v>
      </c>
      <c r="D4380" t="s">
        <v>20</v>
      </c>
      <c r="E4380" t="s">
        <v>21</v>
      </c>
      <c r="F4380" s="1">
        <v>45597</v>
      </c>
      <c r="G4380">
        <v>5.78</v>
      </c>
      <c r="H4380">
        <v>85.211600000000004</v>
      </c>
      <c r="I4380">
        <v>20.05</v>
      </c>
      <c r="J4380">
        <v>70.569999999999993</v>
      </c>
      <c r="K4380" t="s">
        <v>48</v>
      </c>
      <c r="L4380">
        <v>448.34</v>
      </c>
      <c r="M4380">
        <f>VLOOKUP(K4380,RatingLookup!$A$2:$C$8,2,FALSE)</f>
        <v>5.0000000000000001E-4</v>
      </c>
      <c r="N4380">
        <f t="shared" si="204"/>
        <v>4.167621832917856E-5</v>
      </c>
      <c r="O4380">
        <f>VLOOKUP(K4380,RatingLookup!$A$2:$C$8,3,FALSE)</f>
        <v>0.25</v>
      </c>
      <c r="P4380">
        <f t="shared" si="205"/>
        <v>4.6712789314259789E-3</v>
      </c>
      <c r="Q4380" t="str">
        <f t="shared" ca="1" si="206"/>
        <v>No</v>
      </c>
    </row>
    <row r="4381" spans="1:17" x14ac:dyDescent="0.45">
      <c r="A4381" t="s">
        <v>180</v>
      </c>
      <c r="B4381" t="s">
        <v>181</v>
      </c>
      <c r="C4381" t="s">
        <v>66</v>
      </c>
      <c r="D4381" t="s">
        <v>20</v>
      </c>
      <c r="E4381" t="s">
        <v>21</v>
      </c>
      <c r="F4381" s="1">
        <v>45627</v>
      </c>
      <c r="G4381">
        <v>5.89</v>
      </c>
      <c r="H4381">
        <v>85.251300000000001</v>
      </c>
      <c r="I4381">
        <v>24.77</v>
      </c>
      <c r="J4381">
        <v>85.47</v>
      </c>
      <c r="K4381" t="s">
        <v>48</v>
      </c>
      <c r="L4381">
        <v>436.01</v>
      </c>
      <c r="M4381">
        <f>VLOOKUP(K4381,RatingLookup!$A$2:$C$8,2,FALSE)</f>
        <v>5.0000000000000001E-4</v>
      </c>
      <c r="N4381">
        <f t="shared" si="204"/>
        <v>4.167621832917856E-5</v>
      </c>
      <c r="O4381">
        <f>VLOOKUP(K4381,RatingLookup!$A$2:$C$8,3,FALSE)</f>
        <v>0.25</v>
      </c>
      <c r="P4381">
        <f t="shared" si="205"/>
        <v>4.542811988426286E-3</v>
      </c>
      <c r="Q4381" t="str">
        <f t="shared" ca="1" si="206"/>
        <v>No</v>
      </c>
    </row>
    <row r="4382" spans="1:17" x14ac:dyDescent="0.45">
      <c r="A4382" t="s">
        <v>182</v>
      </c>
      <c r="B4382" t="s">
        <v>183</v>
      </c>
      <c r="C4382" t="s">
        <v>35</v>
      </c>
      <c r="D4382" t="s">
        <v>20</v>
      </c>
      <c r="E4382" t="s">
        <v>21</v>
      </c>
      <c r="F4382" s="1">
        <v>43831</v>
      </c>
      <c r="G4382">
        <v>5.46</v>
      </c>
      <c r="H4382">
        <v>78.306399999999996</v>
      </c>
      <c r="I4382">
        <v>24.3</v>
      </c>
      <c r="J4382">
        <v>82.92</v>
      </c>
      <c r="K4382" t="s">
        <v>30</v>
      </c>
      <c r="L4382">
        <v>1461.24</v>
      </c>
      <c r="M4382">
        <f>VLOOKUP(K4382,RatingLookup!$A$2:$C$8,2,FALSE)</f>
        <v>1.4999999999999999E-2</v>
      </c>
      <c r="N4382">
        <f t="shared" si="204"/>
        <v>1.2586770182638762E-3</v>
      </c>
      <c r="O4382">
        <f>VLOOKUP(K4382,RatingLookup!$A$2:$C$8,3,FALSE)</f>
        <v>0.5</v>
      </c>
      <c r="P4382">
        <f t="shared" si="205"/>
        <v>0.91961460308395326</v>
      </c>
      <c r="Q4382" t="str">
        <f t="shared" ca="1" si="206"/>
        <v>No</v>
      </c>
    </row>
    <row r="4383" spans="1:17" x14ac:dyDescent="0.45">
      <c r="A4383" t="s">
        <v>182</v>
      </c>
      <c r="B4383" t="s">
        <v>183</v>
      </c>
      <c r="C4383" t="s">
        <v>35</v>
      </c>
      <c r="D4383" t="s">
        <v>20</v>
      </c>
      <c r="E4383" t="s">
        <v>21</v>
      </c>
      <c r="F4383" s="1">
        <v>43862</v>
      </c>
      <c r="G4383">
        <v>5.86</v>
      </c>
      <c r="H4383">
        <v>82.918199999999999</v>
      </c>
      <c r="I4383">
        <v>18.809999999999999</v>
      </c>
      <c r="J4383">
        <v>73.77</v>
      </c>
      <c r="K4383" t="s">
        <v>31</v>
      </c>
      <c r="L4383">
        <v>1555.97</v>
      </c>
      <c r="M4383">
        <f>VLOOKUP(K4383,RatingLookup!$A$2:$C$8,2,FALSE)</f>
        <v>0.04</v>
      </c>
      <c r="N4383">
        <f t="shared" si="204"/>
        <v>3.3960531989175591E-3</v>
      </c>
      <c r="O4383">
        <f>VLOOKUP(K4383,RatingLookup!$A$2:$C$8,3,FALSE)</f>
        <v>0.6</v>
      </c>
      <c r="P4383">
        <f t="shared" si="205"/>
        <v>3.1704941375518527</v>
      </c>
      <c r="Q4383" t="str">
        <f t="shared" ca="1" si="206"/>
        <v>No</v>
      </c>
    </row>
    <row r="4384" spans="1:17" x14ac:dyDescent="0.45">
      <c r="A4384" t="s">
        <v>182</v>
      </c>
      <c r="B4384" t="s">
        <v>183</v>
      </c>
      <c r="C4384" t="s">
        <v>35</v>
      </c>
      <c r="D4384" t="s">
        <v>20</v>
      </c>
      <c r="E4384" t="s">
        <v>21</v>
      </c>
      <c r="F4384" s="1">
        <v>43891</v>
      </c>
      <c r="G4384">
        <v>4.9400000000000004</v>
      </c>
      <c r="H4384">
        <v>81.039000000000001</v>
      </c>
      <c r="I4384">
        <v>26.76</v>
      </c>
      <c r="J4384">
        <v>92.08</v>
      </c>
      <c r="K4384" t="s">
        <v>31</v>
      </c>
      <c r="L4384">
        <v>1421.95</v>
      </c>
      <c r="M4384">
        <f>VLOOKUP(K4384,RatingLookup!$A$2:$C$8,2,FALSE)</f>
        <v>0.04</v>
      </c>
      <c r="N4384">
        <f t="shared" si="204"/>
        <v>3.3960531989175591E-3</v>
      </c>
      <c r="O4384">
        <f>VLOOKUP(K4384,RatingLookup!$A$2:$C$8,3,FALSE)</f>
        <v>0.6</v>
      </c>
      <c r="P4384">
        <f t="shared" si="205"/>
        <v>2.897410707720494</v>
      </c>
      <c r="Q4384" t="str">
        <f t="shared" ca="1" si="206"/>
        <v>No</v>
      </c>
    </row>
    <row r="4385" spans="1:17" x14ac:dyDescent="0.45">
      <c r="A4385" t="s">
        <v>182</v>
      </c>
      <c r="B4385" t="s">
        <v>183</v>
      </c>
      <c r="C4385" t="s">
        <v>35</v>
      </c>
      <c r="D4385" t="s">
        <v>20</v>
      </c>
      <c r="E4385" t="s">
        <v>21</v>
      </c>
      <c r="F4385" s="1">
        <v>43922</v>
      </c>
      <c r="G4385">
        <v>5.27</v>
      </c>
      <c r="H4385">
        <v>81.721000000000004</v>
      </c>
      <c r="I4385">
        <v>17.04</v>
      </c>
      <c r="J4385">
        <v>72.66</v>
      </c>
      <c r="K4385" t="s">
        <v>31</v>
      </c>
      <c r="L4385">
        <v>1491.73</v>
      </c>
      <c r="M4385">
        <f>VLOOKUP(K4385,RatingLookup!$A$2:$C$8,2,FALSE)</f>
        <v>0.04</v>
      </c>
      <c r="N4385">
        <f t="shared" si="204"/>
        <v>3.3960531989175591E-3</v>
      </c>
      <c r="O4385">
        <f>VLOOKUP(K4385,RatingLookup!$A$2:$C$8,3,FALSE)</f>
        <v>0.6</v>
      </c>
      <c r="P4385">
        <f t="shared" si="205"/>
        <v>3.039596663052774</v>
      </c>
      <c r="Q4385" t="str">
        <f t="shared" ca="1" si="206"/>
        <v>No</v>
      </c>
    </row>
    <row r="4386" spans="1:17" x14ac:dyDescent="0.45">
      <c r="A4386" t="s">
        <v>182</v>
      </c>
      <c r="B4386" t="s">
        <v>183</v>
      </c>
      <c r="C4386" t="s">
        <v>35</v>
      </c>
      <c r="D4386" t="s">
        <v>20</v>
      </c>
      <c r="E4386" t="s">
        <v>21</v>
      </c>
      <c r="F4386" s="1">
        <v>43952</v>
      </c>
      <c r="G4386">
        <v>5.71</v>
      </c>
      <c r="H4386">
        <v>86.776200000000003</v>
      </c>
      <c r="I4386">
        <v>26.86</v>
      </c>
      <c r="J4386">
        <v>64.58</v>
      </c>
      <c r="K4386" t="s">
        <v>31</v>
      </c>
      <c r="L4386">
        <v>1469.05</v>
      </c>
      <c r="M4386">
        <f>VLOOKUP(K4386,RatingLookup!$A$2:$C$8,2,FALSE)</f>
        <v>0.04</v>
      </c>
      <c r="N4386">
        <f t="shared" si="204"/>
        <v>3.3960531989175591E-3</v>
      </c>
      <c r="O4386">
        <f>VLOOKUP(K4386,RatingLookup!$A$2:$C$8,3,FALSE)</f>
        <v>0.6</v>
      </c>
      <c r="P4386">
        <f t="shared" si="205"/>
        <v>2.9933831711219039</v>
      </c>
      <c r="Q4386" t="str">
        <f t="shared" ca="1" si="206"/>
        <v>No</v>
      </c>
    </row>
    <row r="4387" spans="1:17" x14ac:dyDescent="0.45">
      <c r="A4387" t="s">
        <v>182</v>
      </c>
      <c r="B4387" t="s">
        <v>183</v>
      </c>
      <c r="C4387" t="s">
        <v>35</v>
      </c>
      <c r="D4387" t="s">
        <v>20</v>
      </c>
      <c r="E4387" t="s">
        <v>21</v>
      </c>
      <c r="F4387" s="1">
        <v>43983</v>
      </c>
      <c r="G4387">
        <v>5.51</v>
      </c>
      <c r="H4387">
        <v>85.471000000000004</v>
      </c>
      <c r="I4387">
        <v>15.22</v>
      </c>
      <c r="J4387">
        <v>75.62</v>
      </c>
      <c r="K4387" t="s">
        <v>31</v>
      </c>
      <c r="L4387">
        <v>1550.13</v>
      </c>
      <c r="M4387">
        <f>VLOOKUP(K4387,RatingLookup!$A$2:$C$8,2,FALSE)</f>
        <v>0.04</v>
      </c>
      <c r="N4387">
        <f t="shared" si="204"/>
        <v>3.3960531989175591E-3</v>
      </c>
      <c r="O4387">
        <f>VLOOKUP(K4387,RatingLookup!$A$2:$C$8,3,FALSE)</f>
        <v>0.6</v>
      </c>
      <c r="P4387">
        <f t="shared" si="205"/>
        <v>3.1585943671428458</v>
      </c>
      <c r="Q4387" t="str">
        <f t="shared" ca="1" si="206"/>
        <v>No</v>
      </c>
    </row>
    <row r="4388" spans="1:17" x14ac:dyDescent="0.45">
      <c r="A4388" t="s">
        <v>182</v>
      </c>
      <c r="B4388" t="s">
        <v>183</v>
      </c>
      <c r="C4388" t="s">
        <v>35</v>
      </c>
      <c r="D4388" t="s">
        <v>20</v>
      </c>
      <c r="E4388" t="s">
        <v>21</v>
      </c>
      <c r="F4388" s="1">
        <v>44013</v>
      </c>
      <c r="G4388">
        <v>5.79</v>
      </c>
      <c r="H4388">
        <v>80.3874</v>
      </c>
      <c r="I4388">
        <v>24.46</v>
      </c>
      <c r="J4388">
        <v>68.319999999999993</v>
      </c>
      <c r="K4388" t="s">
        <v>31</v>
      </c>
      <c r="L4388">
        <v>1489.72</v>
      </c>
      <c r="M4388">
        <f>VLOOKUP(K4388,RatingLookup!$A$2:$C$8,2,FALSE)</f>
        <v>0.04</v>
      </c>
      <c r="N4388">
        <f t="shared" si="204"/>
        <v>3.3960531989175591E-3</v>
      </c>
      <c r="O4388">
        <f>VLOOKUP(K4388,RatingLookup!$A$2:$C$8,3,FALSE)</f>
        <v>0.6</v>
      </c>
      <c r="P4388">
        <f t="shared" si="205"/>
        <v>3.0355010228948798</v>
      </c>
      <c r="Q4388" t="str">
        <f t="shared" ca="1" si="206"/>
        <v>No</v>
      </c>
    </row>
    <row r="4389" spans="1:17" x14ac:dyDescent="0.45">
      <c r="A4389" t="s">
        <v>182</v>
      </c>
      <c r="B4389" t="s">
        <v>183</v>
      </c>
      <c r="C4389" t="s">
        <v>35</v>
      </c>
      <c r="D4389" t="s">
        <v>20</v>
      </c>
      <c r="E4389" t="s">
        <v>21</v>
      </c>
      <c r="F4389" s="1">
        <v>44044</v>
      </c>
      <c r="G4389">
        <v>5.21</v>
      </c>
      <c r="H4389">
        <v>81.275499999999994</v>
      </c>
      <c r="I4389">
        <v>25.63</v>
      </c>
      <c r="J4389">
        <v>70.989999999999995</v>
      </c>
      <c r="K4389" t="s">
        <v>31</v>
      </c>
      <c r="L4389">
        <v>1486.02</v>
      </c>
      <c r="M4389">
        <f>VLOOKUP(K4389,RatingLookup!$A$2:$C$8,2,FALSE)</f>
        <v>0.04</v>
      </c>
      <c r="N4389">
        <f t="shared" si="204"/>
        <v>3.3960531989175591E-3</v>
      </c>
      <c r="O4389">
        <f>VLOOKUP(K4389,RatingLookup!$A$2:$C$8,3,FALSE)</f>
        <v>0.6</v>
      </c>
      <c r="P4389">
        <f t="shared" si="205"/>
        <v>3.0279617847932827</v>
      </c>
      <c r="Q4389" t="str">
        <f t="shared" ca="1" si="206"/>
        <v>No</v>
      </c>
    </row>
    <row r="4390" spans="1:17" x14ac:dyDescent="0.45">
      <c r="A4390" t="s">
        <v>182</v>
      </c>
      <c r="B4390" t="s">
        <v>183</v>
      </c>
      <c r="C4390" t="s">
        <v>35</v>
      </c>
      <c r="D4390" t="s">
        <v>20</v>
      </c>
      <c r="E4390" t="s">
        <v>21</v>
      </c>
      <c r="F4390" s="1">
        <v>44075</v>
      </c>
      <c r="G4390">
        <v>6.13</v>
      </c>
      <c r="H4390">
        <v>84.120400000000004</v>
      </c>
      <c r="I4390">
        <v>16.03</v>
      </c>
      <c r="J4390">
        <v>69.150000000000006</v>
      </c>
      <c r="K4390" t="s">
        <v>31</v>
      </c>
      <c r="L4390">
        <v>1413.27</v>
      </c>
      <c r="M4390">
        <f>VLOOKUP(K4390,RatingLookup!$A$2:$C$8,2,FALSE)</f>
        <v>0.04</v>
      </c>
      <c r="N4390">
        <f t="shared" si="204"/>
        <v>3.3960531989175591E-3</v>
      </c>
      <c r="O4390">
        <f>VLOOKUP(K4390,RatingLookup!$A$2:$C$8,3,FALSE)</f>
        <v>0.6</v>
      </c>
      <c r="P4390">
        <f t="shared" si="205"/>
        <v>2.8797240626605314</v>
      </c>
      <c r="Q4390" t="str">
        <f t="shared" ca="1" si="206"/>
        <v>No</v>
      </c>
    </row>
    <row r="4391" spans="1:17" x14ac:dyDescent="0.45">
      <c r="A4391" t="s">
        <v>182</v>
      </c>
      <c r="B4391" t="s">
        <v>183</v>
      </c>
      <c r="C4391" t="s">
        <v>35</v>
      </c>
      <c r="D4391" t="s">
        <v>20</v>
      </c>
      <c r="E4391" t="s">
        <v>21</v>
      </c>
      <c r="F4391" s="1">
        <v>44105</v>
      </c>
      <c r="G4391">
        <v>5.96</v>
      </c>
      <c r="H4391">
        <v>80.0428</v>
      </c>
      <c r="I4391">
        <v>16.93</v>
      </c>
      <c r="J4391">
        <v>71.34</v>
      </c>
      <c r="K4391" t="s">
        <v>31</v>
      </c>
      <c r="L4391">
        <v>1427.25</v>
      </c>
      <c r="M4391">
        <f>VLOOKUP(K4391,RatingLookup!$A$2:$C$8,2,FALSE)</f>
        <v>0.04</v>
      </c>
      <c r="N4391">
        <f t="shared" si="204"/>
        <v>3.3960531989175591E-3</v>
      </c>
      <c r="O4391">
        <f>VLOOKUP(K4391,RatingLookup!$A$2:$C$8,3,FALSE)</f>
        <v>0.6</v>
      </c>
      <c r="P4391">
        <f t="shared" si="205"/>
        <v>2.9082101568930514</v>
      </c>
      <c r="Q4391" t="str">
        <f t="shared" ca="1" si="206"/>
        <v>No</v>
      </c>
    </row>
    <row r="4392" spans="1:17" x14ac:dyDescent="0.45">
      <c r="A4392" t="s">
        <v>182</v>
      </c>
      <c r="B4392" t="s">
        <v>183</v>
      </c>
      <c r="C4392" t="s">
        <v>35</v>
      </c>
      <c r="D4392" t="s">
        <v>20</v>
      </c>
      <c r="E4392" t="s">
        <v>21</v>
      </c>
      <c r="F4392" s="1">
        <v>44136</v>
      </c>
      <c r="G4392">
        <v>4.45</v>
      </c>
      <c r="H4392">
        <v>78.8904</v>
      </c>
      <c r="I4392">
        <v>24.97</v>
      </c>
      <c r="J4392">
        <v>67.64</v>
      </c>
      <c r="K4392" t="s">
        <v>31</v>
      </c>
      <c r="L4392">
        <v>1528.79</v>
      </c>
      <c r="M4392">
        <f>VLOOKUP(K4392,RatingLookup!$A$2:$C$8,2,FALSE)</f>
        <v>0.04</v>
      </c>
      <c r="N4392">
        <f t="shared" si="204"/>
        <v>3.3960531989175591E-3</v>
      </c>
      <c r="O4392">
        <f>VLOOKUP(K4392,RatingLookup!$A$2:$C$8,3,FALSE)</f>
        <v>0.6</v>
      </c>
      <c r="P4392">
        <f t="shared" si="205"/>
        <v>3.1151113019839047</v>
      </c>
      <c r="Q4392" t="str">
        <f t="shared" ca="1" si="206"/>
        <v>No</v>
      </c>
    </row>
    <row r="4393" spans="1:17" x14ac:dyDescent="0.45">
      <c r="A4393" t="s">
        <v>182</v>
      </c>
      <c r="B4393" t="s">
        <v>183</v>
      </c>
      <c r="C4393" t="s">
        <v>35</v>
      </c>
      <c r="D4393" t="s">
        <v>20</v>
      </c>
      <c r="E4393" t="s">
        <v>21</v>
      </c>
      <c r="F4393" s="1">
        <v>44166</v>
      </c>
      <c r="G4393">
        <v>5.51</v>
      </c>
      <c r="H4393">
        <v>82.014799999999994</v>
      </c>
      <c r="I4393">
        <v>22.22</v>
      </c>
      <c r="J4393">
        <v>63.82</v>
      </c>
      <c r="K4393" t="s">
        <v>31</v>
      </c>
      <c r="L4393">
        <v>1472.83</v>
      </c>
      <c r="M4393">
        <f>VLOOKUP(K4393,RatingLookup!$A$2:$C$8,2,FALSE)</f>
        <v>0.04</v>
      </c>
      <c r="N4393">
        <f t="shared" si="204"/>
        <v>3.3960531989175591E-3</v>
      </c>
      <c r="O4393">
        <f>VLOOKUP(K4393,RatingLookup!$A$2:$C$8,3,FALSE)</f>
        <v>0.6</v>
      </c>
      <c r="P4393">
        <f t="shared" si="205"/>
        <v>3.0010854197770489</v>
      </c>
      <c r="Q4393" t="str">
        <f t="shared" ca="1" si="206"/>
        <v>No</v>
      </c>
    </row>
    <row r="4394" spans="1:17" x14ac:dyDescent="0.45">
      <c r="A4394" t="s">
        <v>182</v>
      </c>
      <c r="B4394" t="s">
        <v>183</v>
      </c>
      <c r="C4394" t="s">
        <v>35</v>
      </c>
      <c r="D4394" t="s">
        <v>20</v>
      </c>
      <c r="E4394" t="s">
        <v>21</v>
      </c>
      <c r="F4394" s="1">
        <v>44197</v>
      </c>
      <c r="G4394">
        <v>6.11</v>
      </c>
      <c r="H4394">
        <v>81.781300000000002</v>
      </c>
      <c r="I4394">
        <v>9.83</v>
      </c>
      <c r="J4394">
        <v>80.260000000000005</v>
      </c>
      <c r="K4394" t="s">
        <v>31</v>
      </c>
      <c r="L4394">
        <v>1468.18</v>
      </c>
      <c r="M4394">
        <f>VLOOKUP(K4394,RatingLookup!$A$2:$C$8,2,FALSE)</f>
        <v>0.04</v>
      </c>
      <c r="N4394">
        <f t="shared" si="204"/>
        <v>3.3960531989175591E-3</v>
      </c>
      <c r="O4394">
        <f>VLOOKUP(K4394,RatingLookup!$A$2:$C$8,3,FALSE)</f>
        <v>0.6</v>
      </c>
      <c r="P4394">
        <f t="shared" si="205"/>
        <v>2.9916104313520693</v>
      </c>
      <c r="Q4394" t="str">
        <f t="shared" ca="1" si="206"/>
        <v>No</v>
      </c>
    </row>
    <row r="4395" spans="1:17" x14ac:dyDescent="0.45">
      <c r="A4395" t="s">
        <v>182</v>
      </c>
      <c r="B4395" t="s">
        <v>183</v>
      </c>
      <c r="C4395" t="s">
        <v>35</v>
      </c>
      <c r="D4395" t="s">
        <v>20</v>
      </c>
      <c r="E4395" t="s">
        <v>21</v>
      </c>
      <c r="F4395" s="1">
        <v>44228</v>
      </c>
      <c r="G4395">
        <v>6.22</v>
      </c>
      <c r="H4395">
        <v>80.946100000000001</v>
      </c>
      <c r="I4395">
        <v>25.55</v>
      </c>
      <c r="J4395">
        <v>77.87</v>
      </c>
      <c r="K4395" t="s">
        <v>31</v>
      </c>
      <c r="L4395">
        <v>1507.36</v>
      </c>
      <c r="M4395">
        <f>VLOOKUP(K4395,RatingLookup!$A$2:$C$8,2,FALSE)</f>
        <v>0.04</v>
      </c>
      <c r="N4395">
        <f t="shared" si="204"/>
        <v>3.3960531989175591E-3</v>
      </c>
      <c r="O4395">
        <f>VLOOKUP(K4395,RatingLookup!$A$2:$C$8,3,FALSE)</f>
        <v>0.6</v>
      </c>
      <c r="P4395">
        <f t="shared" si="205"/>
        <v>3.0714448499522229</v>
      </c>
      <c r="Q4395" t="str">
        <f t="shared" ca="1" si="206"/>
        <v>No</v>
      </c>
    </row>
    <row r="4396" spans="1:17" x14ac:dyDescent="0.45">
      <c r="A4396" t="s">
        <v>182</v>
      </c>
      <c r="B4396" t="s">
        <v>183</v>
      </c>
      <c r="C4396" t="s">
        <v>35</v>
      </c>
      <c r="D4396" t="s">
        <v>20</v>
      </c>
      <c r="E4396" t="s">
        <v>21</v>
      </c>
      <c r="F4396" s="1">
        <v>44256</v>
      </c>
      <c r="G4396">
        <v>5.39</v>
      </c>
      <c r="H4396">
        <v>83.517700000000005</v>
      </c>
      <c r="I4396">
        <v>16.309999999999999</v>
      </c>
      <c r="J4396">
        <v>87.92</v>
      </c>
      <c r="K4396" t="s">
        <v>31</v>
      </c>
      <c r="L4396">
        <v>1492.28</v>
      </c>
      <c r="M4396">
        <f>VLOOKUP(K4396,RatingLookup!$A$2:$C$8,2,FALSE)</f>
        <v>0.04</v>
      </c>
      <c r="N4396">
        <f t="shared" si="204"/>
        <v>3.3960531989175591E-3</v>
      </c>
      <c r="O4396">
        <f>VLOOKUP(K4396,RatingLookup!$A$2:$C$8,3,FALSE)</f>
        <v>0.6</v>
      </c>
      <c r="P4396">
        <f t="shared" si="205"/>
        <v>3.0407173606084172</v>
      </c>
      <c r="Q4396" t="str">
        <f t="shared" ca="1" si="206"/>
        <v>No</v>
      </c>
    </row>
    <row r="4397" spans="1:17" x14ac:dyDescent="0.45">
      <c r="A4397" t="s">
        <v>182</v>
      </c>
      <c r="B4397" t="s">
        <v>183</v>
      </c>
      <c r="C4397" t="s">
        <v>35</v>
      </c>
      <c r="D4397" t="s">
        <v>20</v>
      </c>
      <c r="E4397" t="s">
        <v>21</v>
      </c>
      <c r="F4397" s="1">
        <v>44287</v>
      </c>
      <c r="G4397">
        <v>5.59</v>
      </c>
      <c r="H4397">
        <v>81.275499999999994</v>
      </c>
      <c r="I4397">
        <v>17.36</v>
      </c>
      <c r="J4397">
        <v>68.22</v>
      </c>
      <c r="K4397" t="s">
        <v>31</v>
      </c>
      <c r="L4397">
        <v>1499.4</v>
      </c>
      <c r="M4397">
        <f>VLOOKUP(K4397,RatingLookup!$A$2:$C$8,2,FALSE)</f>
        <v>0.04</v>
      </c>
      <c r="N4397">
        <f t="shared" si="204"/>
        <v>3.3960531989175591E-3</v>
      </c>
      <c r="O4397">
        <f>VLOOKUP(K4397,RatingLookup!$A$2:$C$8,3,FALSE)</f>
        <v>0.6</v>
      </c>
      <c r="P4397">
        <f t="shared" si="205"/>
        <v>3.0552252998741931</v>
      </c>
      <c r="Q4397" t="str">
        <f t="shared" ca="1" si="206"/>
        <v>No</v>
      </c>
    </row>
    <row r="4398" spans="1:17" x14ac:dyDescent="0.45">
      <c r="A4398" t="s">
        <v>182</v>
      </c>
      <c r="B4398" t="s">
        <v>183</v>
      </c>
      <c r="C4398" t="s">
        <v>35</v>
      </c>
      <c r="D4398" t="s">
        <v>20</v>
      </c>
      <c r="E4398" t="s">
        <v>21</v>
      </c>
      <c r="F4398" s="1">
        <v>44317</v>
      </c>
      <c r="G4398">
        <v>5.76</v>
      </c>
      <c r="H4398">
        <v>80.033799999999999</v>
      </c>
      <c r="I4398">
        <v>21.39</v>
      </c>
      <c r="J4398">
        <v>70.62</v>
      </c>
      <c r="K4398" t="s">
        <v>31</v>
      </c>
      <c r="L4398">
        <v>1413.51</v>
      </c>
      <c r="M4398">
        <f>VLOOKUP(K4398,RatingLookup!$A$2:$C$8,2,FALSE)</f>
        <v>0.04</v>
      </c>
      <c r="N4398">
        <f t="shared" si="204"/>
        <v>3.3960531989175591E-3</v>
      </c>
      <c r="O4398">
        <f>VLOOKUP(K4398,RatingLookup!$A$2:$C$8,3,FALSE)</f>
        <v>0.6</v>
      </c>
      <c r="P4398">
        <f t="shared" si="205"/>
        <v>2.8802130943211752</v>
      </c>
      <c r="Q4398" t="str">
        <f t="shared" ca="1" si="206"/>
        <v>No</v>
      </c>
    </row>
    <row r="4399" spans="1:17" x14ac:dyDescent="0.45">
      <c r="A4399" t="s">
        <v>182</v>
      </c>
      <c r="B4399" t="s">
        <v>183</v>
      </c>
      <c r="C4399" t="s">
        <v>35</v>
      </c>
      <c r="D4399" t="s">
        <v>20</v>
      </c>
      <c r="E4399" t="s">
        <v>21</v>
      </c>
      <c r="F4399" s="1">
        <v>44348</v>
      </c>
      <c r="G4399">
        <v>4.91</v>
      </c>
      <c r="H4399">
        <v>80.345600000000005</v>
      </c>
      <c r="I4399">
        <v>17.59</v>
      </c>
      <c r="J4399">
        <v>58.1</v>
      </c>
      <c r="K4399" t="s">
        <v>31</v>
      </c>
      <c r="L4399">
        <v>1412.14</v>
      </c>
      <c r="M4399">
        <f>VLOOKUP(K4399,RatingLookup!$A$2:$C$8,2,FALSE)</f>
        <v>0.04</v>
      </c>
      <c r="N4399">
        <f t="shared" si="204"/>
        <v>3.3960531989175591E-3</v>
      </c>
      <c r="O4399">
        <f>VLOOKUP(K4399,RatingLookup!$A$2:$C$8,3,FALSE)</f>
        <v>0.6</v>
      </c>
      <c r="P4399">
        <f t="shared" si="205"/>
        <v>2.8774215385916651</v>
      </c>
      <c r="Q4399" t="str">
        <f t="shared" ca="1" si="206"/>
        <v>No</v>
      </c>
    </row>
    <row r="4400" spans="1:17" x14ac:dyDescent="0.45">
      <c r="A4400" t="s">
        <v>182</v>
      </c>
      <c r="B4400" t="s">
        <v>183</v>
      </c>
      <c r="C4400" t="s">
        <v>35</v>
      </c>
      <c r="D4400" t="s">
        <v>20</v>
      </c>
      <c r="E4400" t="s">
        <v>21</v>
      </c>
      <c r="F4400" s="1">
        <v>44378</v>
      </c>
      <c r="G4400">
        <v>5.0999999999999996</v>
      </c>
      <c r="H4400">
        <v>85.457800000000006</v>
      </c>
      <c r="I4400">
        <v>18.11</v>
      </c>
      <c r="J4400">
        <v>59.58</v>
      </c>
      <c r="K4400" t="s">
        <v>31</v>
      </c>
      <c r="L4400">
        <v>1517</v>
      </c>
      <c r="M4400">
        <f>VLOOKUP(K4400,RatingLookup!$A$2:$C$8,2,FALSE)</f>
        <v>0.04</v>
      </c>
      <c r="N4400">
        <f t="shared" si="204"/>
        <v>3.3960531989175591E-3</v>
      </c>
      <c r="O4400">
        <f>VLOOKUP(K4400,RatingLookup!$A$2:$C$8,3,FALSE)</f>
        <v>0.6</v>
      </c>
      <c r="P4400">
        <f t="shared" si="205"/>
        <v>3.0910876216547618</v>
      </c>
      <c r="Q4400" t="str">
        <f t="shared" ca="1" si="206"/>
        <v>No</v>
      </c>
    </row>
    <row r="4401" spans="1:17" x14ac:dyDescent="0.45">
      <c r="A4401" t="s">
        <v>182</v>
      </c>
      <c r="B4401" t="s">
        <v>183</v>
      </c>
      <c r="C4401" t="s">
        <v>35</v>
      </c>
      <c r="D4401" t="s">
        <v>20</v>
      </c>
      <c r="E4401" t="s">
        <v>21</v>
      </c>
      <c r="F4401" s="1">
        <v>44409</v>
      </c>
      <c r="G4401">
        <v>6.21</v>
      </c>
      <c r="H4401">
        <v>78.024600000000007</v>
      </c>
      <c r="I4401">
        <v>15.47</v>
      </c>
      <c r="J4401">
        <v>64.44</v>
      </c>
      <c r="K4401" t="s">
        <v>31</v>
      </c>
      <c r="L4401">
        <v>1471.12</v>
      </c>
      <c r="M4401">
        <f>VLOOKUP(K4401,RatingLookup!$A$2:$C$8,2,FALSE)</f>
        <v>0.04</v>
      </c>
      <c r="N4401">
        <f t="shared" si="204"/>
        <v>3.3960531989175591E-3</v>
      </c>
      <c r="O4401">
        <f>VLOOKUP(K4401,RatingLookup!$A$2:$C$8,3,FALSE)</f>
        <v>0.6</v>
      </c>
      <c r="P4401">
        <f t="shared" si="205"/>
        <v>2.9976010691949595</v>
      </c>
      <c r="Q4401" t="str">
        <f t="shared" ca="1" si="206"/>
        <v>No</v>
      </c>
    </row>
    <row r="4402" spans="1:17" x14ac:dyDescent="0.45">
      <c r="A4402" t="s">
        <v>182</v>
      </c>
      <c r="B4402" t="s">
        <v>183</v>
      </c>
      <c r="C4402" t="s">
        <v>35</v>
      </c>
      <c r="D4402" t="s">
        <v>20</v>
      </c>
      <c r="E4402" t="s">
        <v>21</v>
      </c>
      <c r="F4402" s="1">
        <v>44440</v>
      </c>
      <c r="G4402">
        <v>5.91</v>
      </c>
      <c r="H4402">
        <v>78.016599999999997</v>
      </c>
      <c r="I4402">
        <v>16.91</v>
      </c>
      <c r="J4402">
        <v>56.91</v>
      </c>
      <c r="K4402" t="s">
        <v>31</v>
      </c>
      <c r="L4402">
        <v>1484.46</v>
      </c>
      <c r="M4402">
        <f>VLOOKUP(K4402,RatingLookup!$A$2:$C$8,2,FALSE)</f>
        <v>0.04</v>
      </c>
      <c r="N4402">
        <f t="shared" si="204"/>
        <v>3.3960531989175591E-3</v>
      </c>
      <c r="O4402">
        <f>VLOOKUP(K4402,RatingLookup!$A$2:$C$8,3,FALSE)</f>
        <v>0.6</v>
      </c>
      <c r="P4402">
        <f t="shared" si="205"/>
        <v>3.0247830789990959</v>
      </c>
      <c r="Q4402" t="str">
        <f t="shared" ca="1" si="206"/>
        <v>No</v>
      </c>
    </row>
    <row r="4403" spans="1:17" x14ac:dyDescent="0.45">
      <c r="A4403" t="s">
        <v>182</v>
      </c>
      <c r="B4403" t="s">
        <v>183</v>
      </c>
      <c r="C4403" t="s">
        <v>35</v>
      </c>
      <c r="D4403" t="s">
        <v>20</v>
      </c>
      <c r="E4403" t="s">
        <v>21</v>
      </c>
      <c r="F4403" s="1">
        <v>44470</v>
      </c>
      <c r="G4403">
        <v>6.18</v>
      </c>
      <c r="H4403">
        <v>81.161100000000005</v>
      </c>
      <c r="I4403">
        <v>20.54</v>
      </c>
      <c r="J4403">
        <v>85.21</v>
      </c>
      <c r="K4403" t="s">
        <v>31</v>
      </c>
      <c r="L4403">
        <v>1469.26</v>
      </c>
      <c r="M4403">
        <f>VLOOKUP(K4403,RatingLookup!$A$2:$C$8,2,FALSE)</f>
        <v>0.04</v>
      </c>
      <c r="N4403">
        <f t="shared" si="204"/>
        <v>3.3960531989175591E-3</v>
      </c>
      <c r="O4403">
        <f>VLOOKUP(K4403,RatingLookup!$A$2:$C$8,3,FALSE)</f>
        <v>0.6</v>
      </c>
      <c r="P4403">
        <f t="shared" si="205"/>
        <v>2.9938110738249679</v>
      </c>
      <c r="Q4403" t="str">
        <f t="shared" ca="1" si="206"/>
        <v>No</v>
      </c>
    </row>
    <row r="4404" spans="1:17" x14ac:dyDescent="0.45">
      <c r="A4404" t="s">
        <v>182</v>
      </c>
      <c r="B4404" t="s">
        <v>183</v>
      </c>
      <c r="C4404" t="s">
        <v>35</v>
      </c>
      <c r="D4404" t="s">
        <v>20</v>
      </c>
      <c r="E4404" t="s">
        <v>21</v>
      </c>
      <c r="F4404" s="1">
        <v>44501</v>
      </c>
      <c r="G4404">
        <v>5.55</v>
      </c>
      <c r="H4404">
        <v>80.131399999999999</v>
      </c>
      <c r="I4404">
        <v>23.31</v>
      </c>
      <c r="J4404">
        <v>92.33</v>
      </c>
      <c r="K4404" t="s">
        <v>31</v>
      </c>
      <c r="L4404">
        <v>1361</v>
      </c>
      <c r="M4404">
        <f>VLOOKUP(K4404,RatingLookup!$A$2:$C$8,2,FALSE)</f>
        <v>0.04</v>
      </c>
      <c r="N4404">
        <f t="shared" si="204"/>
        <v>3.3960531989175591E-3</v>
      </c>
      <c r="O4404">
        <f>VLOOKUP(K4404,RatingLookup!$A$2:$C$8,3,FALSE)</f>
        <v>0.6</v>
      </c>
      <c r="P4404">
        <f t="shared" si="205"/>
        <v>2.7732170422360789</v>
      </c>
      <c r="Q4404" t="str">
        <f t="shared" ca="1" si="206"/>
        <v>No</v>
      </c>
    </row>
    <row r="4405" spans="1:17" x14ac:dyDescent="0.45">
      <c r="A4405" t="s">
        <v>182</v>
      </c>
      <c r="B4405" t="s">
        <v>183</v>
      </c>
      <c r="C4405" t="s">
        <v>35</v>
      </c>
      <c r="D4405" t="s">
        <v>20</v>
      </c>
      <c r="E4405" t="s">
        <v>21</v>
      </c>
      <c r="F4405" s="1">
        <v>44531</v>
      </c>
      <c r="G4405">
        <v>5.22</v>
      </c>
      <c r="H4405">
        <v>84.980800000000002</v>
      </c>
      <c r="I4405">
        <v>15.94</v>
      </c>
      <c r="J4405">
        <v>82.27</v>
      </c>
      <c r="K4405" t="s">
        <v>30</v>
      </c>
      <c r="L4405">
        <v>1570.14</v>
      </c>
      <c r="M4405">
        <f>VLOOKUP(K4405,RatingLookup!$A$2:$C$8,2,FALSE)</f>
        <v>1.4999999999999999E-2</v>
      </c>
      <c r="N4405">
        <f t="shared" si="204"/>
        <v>1.2586770182638762E-3</v>
      </c>
      <c r="O4405">
        <f>VLOOKUP(K4405,RatingLookup!$A$2:$C$8,3,FALSE)</f>
        <v>0.5</v>
      </c>
      <c r="P4405">
        <f t="shared" si="205"/>
        <v>0.98814956672842136</v>
      </c>
      <c r="Q4405" t="str">
        <f t="shared" ca="1" si="206"/>
        <v>No</v>
      </c>
    </row>
    <row r="4406" spans="1:17" x14ac:dyDescent="0.45">
      <c r="A4406" t="s">
        <v>182</v>
      </c>
      <c r="B4406" t="s">
        <v>183</v>
      </c>
      <c r="C4406" t="s">
        <v>35</v>
      </c>
      <c r="D4406" t="s">
        <v>20</v>
      </c>
      <c r="E4406" t="s">
        <v>21</v>
      </c>
      <c r="F4406" s="1">
        <v>44562</v>
      </c>
      <c r="G4406">
        <v>6.4</v>
      </c>
      <c r="H4406">
        <v>87.517600000000002</v>
      </c>
      <c r="I4406">
        <v>22.13</v>
      </c>
      <c r="J4406">
        <v>72.34</v>
      </c>
      <c r="K4406" t="s">
        <v>30</v>
      </c>
      <c r="L4406">
        <v>1561.02</v>
      </c>
      <c r="M4406">
        <f>VLOOKUP(K4406,RatingLookup!$A$2:$C$8,2,FALSE)</f>
        <v>1.4999999999999999E-2</v>
      </c>
      <c r="N4406">
        <f t="shared" si="204"/>
        <v>1.2586770182638762E-3</v>
      </c>
      <c r="O4406">
        <f>VLOOKUP(K4406,RatingLookup!$A$2:$C$8,3,FALSE)</f>
        <v>0.5</v>
      </c>
      <c r="P4406">
        <f t="shared" si="205"/>
        <v>0.98240999952513808</v>
      </c>
      <c r="Q4406" t="str">
        <f t="shared" ca="1" si="206"/>
        <v>No</v>
      </c>
    </row>
    <row r="4407" spans="1:17" x14ac:dyDescent="0.45">
      <c r="A4407" t="s">
        <v>182</v>
      </c>
      <c r="B4407" t="s">
        <v>183</v>
      </c>
      <c r="C4407" t="s">
        <v>35</v>
      </c>
      <c r="D4407" t="s">
        <v>20</v>
      </c>
      <c r="E4407" t="s">
        <v>21</v>
      </c>
      <c r="F4407" s="1">
        <v>44593</v>
      </c>
      <c r="G4407">
        <v>5.52</v>
      </c>
      <c r="H4407">
        <v>84.363600000000005</v>
      </c>
      <c r="I4407">
        <v>18.989999999999998</v>
      </c>
      <c r="J4407">
        <v>76.650000000000006</v>
      </c>
      <c r="K4407" t="s">
        <v>30</v>
      </c>
      <c r="L4407">
        <v>1538.12</v>
      </c>
      <c r="M4407">
        <f>VLOOKUP(K4407,RatingLookup!$A$2:$C$8,2,FALSE)</f>
        <v>1.4999999999999999E-2</v>
      </c>
      <c r="N4407">
        <f t="shared" si="204"/>
        <v>1.2586770182638762E-3</v>
      </c>
      <c r="O4407">
        <f>VLOOKUP(K4407,RatingLookup!$A$2:$C$8,3,FALSE)</f>
        <v>0.5</v>
      </c>
      <c r="P4407">
        <f t="shared" si="205"/>
        <v>0.96799814766601655</v>
      </c>
      <c r="Q4407" t="str">
        <f t="shared" ca="1" si="206"/>
        <v>No</v>
      </c>
    </row>
    <row r="4408" spans="1:17" x14ac:dyDescent="0.45">
      <c r="A4408" t="s">
        <v>182</v>
      </c>
      <c r="B4408" t="s">
        <v>183</v>
      </c>
      <c r="C4408" t="s">
        <v>35</v>
      </c>
      <c r="D4408" t="s">
        <v>20</v>
      </c>
      <c r="E4408" t="s">
        <v>21</v>
      </c>
      <c r="F4408" s="1">
        <v>44621</v>
      </c>
      <c r="G4408">
        <v>5.57</v>
      </c>
      <c r="H4408">
        <v>80.691199999999995</v>
      </c>
      <c r="I4408">
        <v>18.45</v>
      </c>
      <c r="J4408">
        <v>80.69</v>
      </c>
      <c r="K4408" t="s">
        <v>30</v>
      </c>
      <c r="L4408">
        <v>1556.33</v>
      </c>
      <c r="M4408">
        <f>VLOOKUP(K4408,RatingLookup!$A$2:$C$8,2,FALSE)</f>
        <v>1.4999999999999999E-2</v>
      </c>
      <c r="N4408">
        <f t="shared" si="204"/>
        <v>1.2586770182638762E-3</v>
      </c>
      <c r="O4408">
        <f>VLOOKUP(K4408,RatingLookup!$A$2:$C$8,3,FALSE)</f>
        <v>0.5</v>
      </c>
      <c r="P4408">
        <f t="shared" si="205"/>
        <v>0.97945840191730915</v>
      </c>
      <c r="Q4408" t="str">
        <f t="shared" ca="1" si="206"/>
        <v>No</v>
      </c>
    </row>
    <row r="4409" spans="1:17" x14ac:dyDescent="0.45">
      <c r="A4409" t="s">
        <v>182</v>
      </c>
      <c r="B4409" t="s">
        <v>183</v>
      </c>
      <c r="C4409" t="s">
        <v>35</v>
      </c>
      <c r="D4409" t="s">
        <v>20</v>
      </c>
      <c r="E4409" t="s">
        <v>21</v>
      </c>
      <c r="F4409" s="1">
        <v>44652</v>
      </c>
      <c r="G4409">
        <v>5.6</v>
      </c>
      <c r="H4409">
        <v>81.865499999999997</v>
      </c>
      <c r="I4409">
        <v>23.37</v>
      </c>
      <c r="J4409">
        <v>62.6</v>
      </c>
      <c r="K4409" t="s">
        <v>30</v>
      </c>
      <c r="L4409">
        <v>1502.87</v>
      </c>
      <c r="M4409">
        <f>VLOOKUP(K4409,RatingLookup!$A$2:$C$8,2,FALSE)</f>
        <v>1.4999999999999999E-2</v>
      </c>
      <c r="N4409">
        <f t="shared" si="204"/>
        <v>1.2586770182638762E-3</v>
      </c>
      <c r="O4409">
        <f>VLOOKUP(K4409,RatingLookup!$A$2:$C$8,3,FALSE)</f>
        <v>0.5</v>
      </c>
      <c r="P4409">
        <f t="shared" si="205"/>
        <v>0.94581396521911576</v>
      </c>
      <c r="Q4409" t="str">
        <f t="shared" ca="1" si="206"/>
        <v>No</v>
      </c>
    </row>
    <row r="4410" spans="1:17" x14ac:dyDescent="0.45">
      <c r="A4410" t="s">
        <v>182</v>
      </c>
      <c r="B4410" t="s">
        <v>183</v>
      </c>
      <c r="C4410" t="s">
        <v>35</v>
      </c>
      <c r="D4410" t="s">
        <v>20</v>
      </c>
      <c r="E4410" t="s">
        <v>21</v>
      </c>
      <c r="F4410" s="1">
        <v>44682</v>
      </c>
      <c r="G4410">
        <v>5.18</v>
      </c>
      <c r="H4410">
        <v>84.405500000000004</v>
      </c>
      <c r="I4410">
        <v>19.52</v>
      </c>
      <c r="J4410">
        <v>71.180000000000007</v>
      </c>
      <c r="K4410" t="s">
        <v>31</v>
      </c>
      <c r="L4410">
        <v>1432.09</v>
      </c>
      <c r="M4410">
        <f>VLOOKUP(K4410,RatingLookup!$A$2:$C$8,2,FALSE)</f>
        <v>0.04</v>
      </c>
      <c r="N4410">
        <f t="shared" si="204"/>
        <v>3.3960531989175591E-3</v>
      </c>
      <c r="O4410">
        <f>VLOOKUP(K4410,RatingLookup!$A$2:$C$8,3,FALSE)</f>
        <v>0.6</v>
      </c>
      <c r="P4410">
        <f t="shared" si="205"/>
        <v>2.9180722953827081</v>
      </c>
      <c r="Q4410" t="str">
        <f t="shared" ca="1" si="206"/>
        <v>No</v>
      </c>
    </row>
    <row r="4411" spans="1:17" x14ac:dyDescent="0.45">
      <c r="A4411" t="s">
        <v>182</v>
      </c>
      <c r="B4411" t="s">
        <v>183</v>
      </c>
      <c r="C4411" t="s">
        <v>35</v>
      </c>
      <c r="D4411" t="s">
        <v>20</v>
      </c>
      <c r="E4411" t="s">
        <v>21</v>
      </c>
      <c r="F4411" s="1">
        <v>44713</v>
      </c>
      <c r="G4411">
        <v>6.31</v>
      </c>
      <c r="H4411">
        <v>78.3279</v>
      </c>
      <c r="I4411">
        <v>17.14</v>
      </c>
      <c r="J4411">
        <v>79.88</v>
      </c>
      <c r="K4411" t="s">
        <v>31</v>
      </c>
      <c r="L4411">
        <v>1420.5</v>
      </c>
      <c r="M4411">
        <f>VLOOKUP(K4411,RatingLookup!$A$2:$C$8,2,FALSE)</f>
        <v>0.04</v>
      </c>
      <c r="N4411">
        <f t="shared" si="204"/>
        <v>3.3960531989175591E-3</v>
      </c>
      <c r="O4411">
        <f>VLOOKUP(K4411,RatingLookup!$A$2:$C$8,3,FALSE)</f>
        <v>0.6</v>
      </c>
      <c r="P4411">
        <f t="shared" si="205"/>
        <v>2.8944561414374355</v>
      </c>
      <c r="Q4411" t="str">
        <f t="shared" ca="1" si="206"/>
        <v>No</v>
      </c>
    </row>
    <row r="4412" spans="1:17" x14ac:dyDescent="0.45">
      <c r="A4412" t="s">
        <v>182</v>
      </c>
      <c r="B4412" t="s">
        <v>183</v>
      </c>
      <c r="C4412" t="s">
        <v>35</v>
      </c>
      <c r="D4412" t="s">
        <v>20</v>
      </c>
      <c r="E4412" t="s">
        <v>21</v>
      </c>
      <c r="F4412" s="1">
        <v>44743</v>
      </c>
      <c r="G4412">
        <v>5.07</v>
      </c>
      <c r="H4412">
        <v>85.361199999999997</v>
      </c>
      <c r="I4412">
        <v>30.85</v>
      </c>
      <c r="J4412">
        <v>74.66</v>
      </c>
      <c r="K4412" t="s">
        <v>31</v>
      </c>
      <c r="L4412">
        <v>1465.44</v>
      </c>
      <c r="M4412">
        <f>VLOOKUP(K4412,RatingLookup!$A$2:$C$8,2,FALSE)</f>
        <v>0.04</v>
      </c>
      <c r="N4412">
        <f t="shared" si="204"/>
        <v>3.3960531989175591E-3</v>
      </c>
      <c r="O4412">
        <f>VLOOKUP(K4412,RatingLookup!$A$2:$C$8,3,FALSE)</f>
        <v>0.6</v>
      </c>
      <c r="P4412">
        <f t="shared" si="205"/>
        <v>2.9860273198930485</v>
      </c>
      <c r="Q4412" t="str">
        <f t="shared" ca="1" si="206"/>
        <v>No</v>
      </c>
    </row>
    <row r="4413" spans="1:17" x14ac:dyDescent="0.45">
      <c r="A4413" t="s">
        <v>182</v>
      </c>
      <c r="B4413" t="s">
        <v>183</v>
      </c>
      <c r="C4413" t="s">
        <v>35</v>
      </c>
      <c r="D4413" t="s">
        <v>20</v>
      </c>
      <c r="E4413" t="s">
        <v>21</v>
      </c>
      <c r="F4413" s="1">
        <v>44774</v>
      </c>
      <c r="G4413">
        <v>5.85</v>
      </c>
      <c r="H4413">
        <v>80.073599999999999</v>
      </c>
      <c r="I4413">
        <v>19.04</v>
      </c>
      <c r="J4413">
        <v>93.44</v>
      </c>
      <c r="K4413" t="s">
        <v>31</v>
      </c>
      <c r="L4413">
        <v>1647.98</v>
      </c>
      <c r="M4413">
        <f>VLOOKUP(K4413,RatingLookup!$A$2:$C$8,2,FALSE)</f>
        <v>0.04</v>
      </c>
      <c r="N4413">
        <f t="shared" si="204"/>
        <v>3.3960531989175591E-3</v>
      </c>
      <c r="O4413">
        <f>VLOOKUP(K4413,RatingLookup!$A$2:$C$8,3,FALSE)</f>
        <v>0.6</v>
      </c>
      <c r="P4413">
        <f t="shared" si="205"/>
        <v>3.3579766504512953</v>
      </c>
      <c r="Q4413" t="str">
        <f t="shared" ca="1" si="206"/>
        <v>No</v>
      </c>
    </row>
    <row r="4414" spans="1:17" x14ac:dyDescent="0.45">
      <c r="A4414" t="s">
        <v>182</v>
      </c>
      <c r="B4414" t="s">
        <v>183</v>
      </c>
      <c r="C4414" t="s">
        <v>35</v>
      </c>
      <c r="D4414" t="s">
        <v>20</v>
      </c>
      <c r="E4414" t="s">
        <v>21</v>
      </c>
      <c r="F4414" s="1">
        <v>44805</v>
      </c>
      <c r="G4414">
        <v>5.07</v>
      </c>
      <c r="H4414">
        <v>79.684799999999996</v>
      </c>
      <c r="I4414">
        <v>13.5</v>
      </c>
      <c r="J4414">
        <v>71.78</v>
      </c>
      <c r="K4414" t="s">
        <v>31</v>
      </c>
      <c r="L4414">
        <v>1465.02</v>
      </c>
      <c r="M4414">
        <f>VLOOKUP(K4414,RatingLookup!$A$2:$C$8,2,FALSE)</f>
        <v>0.04</v>
      </c>
      <c r="N4414">
        <f t="shared" si="204"/>
        <v>3.3960531989175591E-3</v>
      </c>
      <c r="O4414">
        <f>VLOOKUP(K4414,RatingLookup!$A$2:$C$8,3,FALSE)</f>
        <v>0.6</v>
      </c>
      <c r="P4414">
        <f t="shared" si="205"/>
        <v>2.9851715144869213</v>
      </c>
      <c r="Q4414" t="str">
        <f t="shared" ca="1" si="206"/>
        <v>No</v>
      </c>
    </row>
    <row r="4415" spans="1:17" x14ac:dyDescent="0.45">
      <c r="A4415" t="s">
        <v>182</v>
      </c>
      <c r="B4415" t="s">
        <v>183</v>
      </c>
      <c r="C4415" t="s">
        <v>35</v>
      </c>
      <c r="D4415" t="s">
        <v>20</v>
      </c>
      <c r="E4415" t="s">
        <v>21</v>
      </c>
      <c r="F4415" s="1">
        <v>44835</v>
      </c>
      <c r="G4415">
        <v>4.78</v>
      </c>
      <c r="H4415">
        <v>85.418599999999998</v>
      </c>
      <c r="I4415">
        <v>16.36</v>
      </c>
      <c r="J4415">
        <v>78.02</v>
      </c>
      <c r="K4415" t="s">
        <v>31</v>
      </c>
      <c r="L4415">
        <v>1413.78</v>
      </c>
      <c r="M4415">
        <f>VLOOKUP(K4415,RatingLookup!$A$2:$C$8,2,FALSE)</f>
        <v>0.04</v>
      </c>
      <c r="N4415">
        <f t="shared" si="204"/>
        <v>3.3960531989175591E-3</v>
      </c>
      <c r="O4415">
        <f>VLOOKUP(K4415,RatingLookup!$A$2:$C$8,3,FALSE)</f>
        <v>0.6</v>
      </c>
      <c r="P4415">
        <f t="shared" si="205"/>
        <v>2.8807632549393998</v>
      </c>
      <c r="Q4415" t="str">
        <f t="shared" ca="1" si="206"/>
        <v>No</v>
      </c>
    </row>
    <row r="4416" spans="1:17" x14ac:dyDescent="0.45">
      <c r="A4416" t="s">
        <v>182</v>
      </c>
      <c r="B4416" t="s">
        <v>183</v>
      </c>
      <c r="C4416" t="s">
        <v>35</v>
      </c>
      <c r="D4416" t="s">
        <v>20</v>
      </c>
      <c r="E4416" t="s">
        <v>21</v>
      </c>
      <c r="F4416" s="1">
        <v>44866</v>
      </c>
      <c r="G4416">
        <v>4.42</v>
      </c>
      <c r="H4416">
        <v>77.741399999999999</v>
      </c>
      <c r="I4416">
        <v>20.5</v>
      </c>
      <c r="J4416">
        <v>80.930000000000007</v>
      </c>
      <c r="K4416" t="s">
        <v>31</v>
      </c>
      <c r="L4416">
        <v>1552.45</v>
      </c>
      <c r="M4416">
        <f>VLOOKUP(K4416,RatingLookup!$A$2:$C$8,2,FALSE)</f>
        <v>0.04</v>
      </c>
      <c r="N4416">
        <f t="shared" si="204"/>
        <v>3.3960531989175591E-3</v>
      </c>
      <c r="O4416">
        <f>VLOOKUP(K4416,RatingLookup!$A$2:$C$8,3,FALSE)</f>
        <v>0.6</v>
      </c>
      <c r="P4416">
        <f t="shared" si="205"/>
        <v>3.1633216731957385</v>
      </c>
      <c r="Q4416" t="str">
        <f t="shared" ca="1" si="206"/>
        <v>No</v>
      </c>
    </row>
    <row r="4417" spans="1:17" x14ac:dyDescent="0.45">
      <c r="A4417" t="s">
        <v>182</v>
      </c>
      <c r="B4417" t="s">
        <v>183</v>
      </c>
      <c r="C4417" t="s">
        <v>35</v>
      </c>
      <c r="D4417" t="s">
        <v>20</v>
      </c>
      <c r="E4417" t="s">
        <v>21</v>
      </c>
      <c r="F4417" s="1">
        <v>44896</v>
      </c>
      <c r="G4417">
        <v>6.36</v>
      </c>
      <c r="H4417">
        <v>80.333799999999997</v>
      </c>
      <c r="I4417">
        <v>12.46</v>
      </c>
      <c r="J4417">
        <v>81.02</v>
      </c>
      <c r="K4417" t="s">
        <v>31</v>
      </c>
      <c r="L4417">
        <v>1406.05</v>
      </c>
      <c r="M4417">
        <f>VLOOKUP(K4417,RatingLookup!$A$2:$C$8,2,FALSE)</f>
        <v>0.04</v>
      </c>
      <c r="N4417">
        <f t="shared" si="204"/>
        <v>3.3960531989175591E-3</v>
      </c>
      <c r="O4417">
        <f>VLOOKUP(K4417,RatingLookup!$A$2:$C$8,3,FALSE)</f>
        <v>0.6</v>
      </c>
      <c r="P4417">
        <f t="shared" si="205"/>
        <v>2.8650123602028201</v>
      </c>
      <c r="Q4417" t="str">
        <f t="shared" ca="1" si="206"/>
        <v>No</v>
      </c>
    </row>
    <row r="4418" spans="1:17" x14ac:dyDescent="0.45">
      <c r="A4418" t="s">
        <v>182</v>
      </c>
      <c r="B4418" t="s">
        <v>183</v>
      </c>
      <c r="C4418" t="s">
        <v>35</v>
      </c>
      <c r="D4418" t="s">
        <v>20</v>
      </c>
      <c r="E4418" t="s">
        <v>21</v>
      </c>
      <c r="F4418" s="1">
        <v>44927</v>
      </c>
      <c r="G4418">
        <v>6.02</v>
      </c>
      <c r="H4418">
        <v>80.853399999999993</v>
      </c>
      <c r="I4418">
        <v>18.510000000000002</v>
      </c>
      <c r="J4418">
        <v>93.22</v>
      </c>
      <c r="K4418" t="s">
        <v>31</v>
      </c>
      <c r="L4418">
        <v>1528.82</v>
      </c>
      <c r="M4418">
        <f>VLOOKUP(K4418,RatingLookup!$A$2:$C$8,2,FALSE)</f>
        <v>0.04</v>
      </c>
      <c r="N4418">
        <f t="shared" ref="N4418:N4481" si="207">1-(1-M4418)^(1/12)</f>
        <v>3.3960531989175591E-3</v>
      </c>
      <c r="O4418">
        <f>VLOOKUP(K4418,RatingLookup!$A$2:$C$8,3,FALSE)</f>
        <v>0.6</v>
      </c>
      <c r="P4418">
        <f t="shared" ref="P4418:P4481" si="208">L4418*N4418*O4418</f>
        <v>3.1151724309414854</v>
      </c>
      <c r="Q4418" t="str">
        <f t="shared" ref="Q4418:Q4481" ca="1" si="209">IF(RAND()&lt;N4418,"Yes","No")</f>
        <v>No</v>
      </c>
    </row>
    <row r="4419" spans="1:17" x14ac:dyDescent="0.45">
      <c r="A4419" t="s">
        <v>182</v>
      </c>
      <c r="B4419" t="s">
        <v>183</v>
      </c>
      <c r="C4419" t="s">
        <v>35</v>
      </c>
      <c r="D4419" t="s">
        <v>20</v>
      </c>
      <c r="E4419" t="s">
        <v>21</v>
      </c>
      <c r="F4419" s="1">
        <v>44958</v>
      </c>
      <c r="G4419">
        <v>4.95</v>
      </c>
      <c r="H4419">
        <v>86.802800000000005</v>
      </c>
      <c r="I4419">
        <v>17.66</v>
      </c>
      <c r="J4419">
        <v>70.16</v>
      </c>
      <c r="K4419" t="s">
        <v>31</v>
      </c>
      <c r="L4419">
        <v>1455.5</v>
      </c>
      <c r="M4419">
        <f>VLOOKUP(K4419,RatingLookup!$A$2:$C$8,2,FALSE)</f>
        <v>0.04</v>
      </c>
      <c r="N4419">
        <f t="shared" si="207"/>
        <v>3.3960531989175591E-3</v>
      </c>
      <c r="O4419">
        <f>VLOOKUP(K4419,RatingLookup!$A$2:$C$8,3,FALSE)</f>
        <v>0.6</v>
      </c>
      <c r="P4419">
        <f t="shared" si="208"/>
        <v>2.9657732586147043</v>
      </c>
      <c r="Q4419" t="str">
        <f t="shared" ca="1" si="209"/>
        <v>No</v>
      </c>
    </row>
    <row r="4420" spans="1:17" x14ac:dyDescent="0.45">
      <c r="A4420" t="s">
        <v>182</v>
      </c>
      <c r="B4420" t="s">
        <v>183</v>
      </c>
      <c r="C4420" t="s">
        <v>35</v>
      </c>
      <c r="D4420" t="s">
        <v>20</v>
      </c>
      <c r="E4420" t="s">
        <v>21</v>
      </c>
      <c r="F4420" s="1">
        <v>44986</v>
      </c>
      <c r="G4420">
        <v>4.6500000000000004</v>
      </c>
      <c r="H4420">
        <v>84.83</v>
      </c>
      <c r="I4420">
        <v>15.44</v>
      </c>
      <c r="J4420">
        <v>82.7</v>
      </c>
      <c r="K4420" t="s">
        <v>31</v>
      </c>
      <c r="L4420">
        <v>1624.13</v>
      </c>
      <c r="M4420">
        <f>VLOOKUP(K4420,RatingLookup!$A$2:$C$8,2,FALSE)</f>
        <v>0.04</v>
      </c>
      <c r="N4420">
        <f t="shared" si="207"/>
        <v>3.3960531989175591E-3</v>
      </c>
      <c r="O4420">
        <f>VLOOKUP(K4420,RatingLookup!$A$2:$C$8,3,FALSE)</f>
        <v>0.6</v>
      </c>
      <c r="P4420">
        <f t="shared" si="208"/>
        <v>3.3093791291747854</v>
      </c>
      <c r="Q4420" t="str">
        <f t="shared" ca="1" si="209"/>
        <v>No</v>
      </c>
    </row>
    <row r="4421" spans="1:17" x14ac:dyDescent="0.45">
      <c r="A4421" t="s">
        <v>182</v>
      </c>
      <c r="B4421" t="s">
        <v>183</v>
      </c>
      <c r="C4421" t="s">
        <v>35</v>
      </c>
      <c r="D4421" t="s">
        <v>20</v>
      </c>
      <c r="E4421" t="s">
        <v>21</v>
      </c>
      <c r="F4421" s="1">
        <v>45017</v>
      </c>
      <c r="G4421">
        <v>5.21</v>
      </c>
      <c r="H4421">
        <v>82.416200000000003</v>
      </c>
      <c r="I4421">
        <v>17.37</v>
      </c>
      <c r="J4421">
        <v>88.9</v>
      </c>
      <c r="K4421" t="s">
        <v>31</v>
      </c>
      <c r="L4421">
        <v>1523.1</v>
      </c>
      <c r="M4421">
        <f>VLOOKUP(K4421,RatingLookup!$A$2:$C$8,2,FALSE)</f>
        <v>0.04</v>
      </c>
      <c r="N4421">
        <f t="shared" si="207"/>
        <v>3.3960531989175591E-3</v>
      </c>
      <c r="O4421">
        <f>VLOOKUP(K4421,RatingLookup!$A$2:$C$8,3,FALSE)</f>
        <v>0.6</v>
      </c>
      <c r="P4421">
        <f t="shared" si="208"/>
        <v>3.1035171763628004</v>
      </c>
      <c r="Q4421" t="str">
        <f t="shared" ca="1" si="209"/>
        <v>No</v>
      </c>
    </row>
    <row r="4422" spans="1:17" x14ac:dyDescent="0.45">
      <c r="A4422" t="s">
        <v>182</v>
      </c>
      <c r="B4422" t="s">
        <v>183</v>
      </c>
      <c r="C4422" t="s">
        <v>35</v>
      </c>
      <c r="D4422" t="s">
        <v>20</v>
      </c>
      <c r="E4422" t="s">
        <v>21</v>
      </c>
      <c r="F4422" s="1">
        <v>45047</v>
      </c>
      <c r="G4422">
        <v>5.3</v>
      </c>
      <c r="H4422">
        <v>86.338300000000004</v>
      </c>
      <c r="I4422">
        <v>5</v>
      </c>
      <c r="J4422">
        <v>71.150000000000006</v>
      </c>
      <c r="K4422" t="s">
        <v>31</v>
      </c>
      <c r="L4422">
        <v>1487.47</v>
      </c>
      <c r="M4422">
        <f>VLOOKUP(K4422,RatingLookup!$A$2:$C$8,2,FALSE)</f>
        <v>0.04</v>
      </c>
      <c r="N4422">
        <f t="shared" si="207"/>
        <v>3.3960531989175591E-3</v>
      </c>
      <c r="O4422">
        <f>VLOOKUP(K4422,RatingLookup!$A$2:$C$8,3,FALSE)</f>
        <v>0.6</v>
      </c>
      <c r="P4422">
        <f t="shared" si="208"/>
        <v>3.0309163510763408</v>
      </c>
      <c r="Q4422" t="str">
        <f t="shared" ca="1" si="209"/>
        <v>No</v>
      </c>
    </row>
    <row r="4423" spans="1:17" x14ac:dyDescent="0.45">
      <c r="A4423" t="s">
        <v>182</v>
      </c>
      <c r="B4423" t="s">
        <v>183</v>
      </c>
      <c r="C4423" t="s">
        <v>35</v>
      </c>
      <c r="D4423" t="s">
        <v>20</v>
      </c>
      <c r="E4423" t="s">
        <v>21</v>
      </c>
      <c r="F4423" s="1">
        <v>45078</v>
      </c>
      <c r="G4423">
        <v>6.01</v>
      </c>
      <c r="H4423">
        <v>81.344999999999999</v>
      </c>
      <c r="I4423">
        <v>18.66</v>
      </c>
      <c r="J4423">
        <v>88.78</v>
      </c>
      <c r="K4423" t="s">
        <v>31</v>
      </c>
      <c r="L4423">
        <v>1411.36</v>
      </c>
      <c r="M4423">
        <f>VLOOKUP(K4423,RatingLookup!$A$2:$C$8,2,FALSE)</f>
        <v>0.04</v>
      </c>
      <c r="N4423">
        <f t="shared" si="207"/>
        <v>3.3960531989175591E-3</v>
      </c>
      <c r="O4423">
        <f>VLOOKUP(K4423,RatingLookup!$A$2:$C$8,3,FALSE)</f>
        <v>0.6</v>
      </c>
      <c r="P4423">
        <f t="shared" si="208"/>
        <v>2.8758321856945712</v>
      </c>
      <c r="Q4423" t="str">
        <f t="shared" ca="1" si="209"/>
        <v>No</v>
      </c>
    </row>
    <row r="4424" spans="1:17" x14ac:dyDescent="0.45">
      <c r="A4424" t="s">
        <v>182</v>
      </c>
      <c r="B4424" t="s">
        <v>183</v>
      </c>
      <c r="C4424" t="s">
        <v>35</v>
      </c>
      <c r="D4424" t="s">
        <v>20</v>
      </c>
      <c r="E4424" t="s">
        <v>21</v>
      </c>
      <c r="F4424" s="1">
        <v>45108</v>
      </c>
      <c r="G4424">
        <v>5.46</v>
      </c>
      <c r="H4424">
        <v>82.090699999999998</v>
      </c>
      <c r="I4424">
        <v>26.32</v>
      </c>
      <c r="J4424">
        <v>67.58</v>
      </c>
      <c r="K4424" t="s">
        <v>31</v>
      </c>
      <c r="L4424">
        <v>1282.17</v>
      </c>
      <c r="M4424">
        <f>VLOOKUP(K4424,RatingLookup!$A$2:$C$8,2,FALSE)</f>
        <v>0.04</v>
      </c>
      <c r="N4424">
        <f t="shared" si="207"/>
        <v>3.3960531989175591E-3</v>
      </c>
      <c r="O4424">
        <f>VLOOKUP(K4424,RatingLookup!$A$2:$C$8,3,FALSE)</f>
        <v>0.6</v>
      </c>
      <c r="P4424">
        <f t="shared" si="208"/>
        <v>2.6125905180336759</v>
      </c>
      <c r="Q4424" t="str">
        <f t="shared" ca="1" si="209"/>
        <v>No</v>
      </c>
    </row>
    <row r="4425" spans="1:17" x14ac:dyDescent="0.45">
      <c r="A4425" t="s">
        <v>182</v>
      </c>
      <c r="B4425" t="s">
        <v>183</v>
      </c>
      <c r="C4425" t="s">
        <v>35</v>
      </c>
      <c r="D4425" t="s">
        <v>20</v>
      </c>
      <c r="E4425" t="s">
        <v>21</v>
      </c>
      <c r="F4425" s="1">
        <v>45139</v>
      </c>
      <c r="G4425">
        <v>5.43</v>
      </c>
      <c r="H4425">
        <v>78.270200000000003</v>
      </c>
      <c r="I4425">
        <v>22.76</v>
      </c>
      <c r="J4425">
        <v>74.849999999999994</v>
      </c>
      <c r="K4425" t="s">
        <v>31</v>
      </c>
      <c r="L4425">
        <v>1470.39</v>
      </c>
      <c r="M4425">
        <f>VLOOKUP(K4425,RatingLookup!$A$2:$C$8,2,FALSE)</f>
        <v>0.04</v>
      </c>
      <c r="N4425">
        <f t="shared" si="207"/>
        <v>3.3960531989175591E-3</v>
      </c>
      <c r="O4425">
        <f>VLOOKUP(K4425,RatingLookup!$A$2:$C$8,3,FALSE)</f>
        <v>0.6</v>
      </c>
      <c r="P4425">
        <f t="shared" si="208"/>
        <v>2.9961135978938338</v>
      </c>
      <c r="Q4425" t="str">
        <f t="shared" ca="1" si="209"/>
        <v>No</v>
      </c>
    </row>
    <row r="4426" spans="1:17" x14ac:dyDescent="0.45">
      <c r="A4426" t="s">
        <v>182</v>
      </c>
      <c r="B4426" t="s">
        <v>183</v>
      </c>
      <c r="C4426" t="s">
        <v>35</v>
      </c>
      <c r="D4426" t="s">
        <v>20</v>
      </c>
      <c r="E4426" t="s">
        <v>21</v>
      </c>
      <c r="F4426" s="1">
        <v>45170</v>
      </c>
      <c r="G4426">
        <v>5.32</v>
      </c>
      <c r="H4426">
        <v>77.353499999999997</v>
      </c>
      <c r="I4426">
        <v>20.83</v>
      </c>
      <c r="J4426">
        <v>85.09</v>
      </c>
      <c r="K4426" t="s">
        <v>31</v>
      </c>
      <c r="L4426">
        <v>1439.08</v>
      </c>
      <c r="M4426">
        <f>VLOOKUP(K4426,RatingLookup!$A$2:$C$8,2,FALSE)</f>
        <v>0.04</v>
      </c>
      <c r="N4426">
        <f t="shared" si="207"/>
        <v>3.3960531989175591E-3</v>
      </c>
      <c r="O4426">
        <f>VLOOKUP(K4426,RatingLookup!$A$2:$C$8,3,FALSE)</f>
        <v>0.6</v>
      </c>
      <c r="P4426">
        <f t="shared" si="208"/>
        <v>2.9323153424989683</v>
      </c>
      <c r="Q4426" t="str">
        <f t="shared" ca="1" si="209"/>
        <v>No</v>
      </c>
    </row>
    <row r="4427" spans="1:17" x14ac:dyDescent="0.45">
      <c r="A4427" t="s">
        <v>182</v>
      </c>
      <c r="B4427" t="s">
        <v>183</v>
      </c>
      <c r="C4427" t="s">
        <v>35</v>
      </c>
      <c r="D4427" t="s">
        <v>20</v>
      </c>
      <c r="E4427" t="s">
        <v>21</v>
      </c>
      <c r="F4427" s="1">
        <v>45200</v>
      </c>
      <c r="G4427">
        <v>4.82</v>
      </c>
      <c r="H4427">
        <v>79.483800000000002</v>
      </c>
      <c r="I4427">
        <v>32.700000000000003</v>
      </c>
      <c r="J4427">
        <v>73.38</v>
      </c>
      <c r="K4427" t="s">
        <v>31</v>
      </c>
      <c r="L4427">
        <v>1552.46</v>
      </c>
      <c r="M4427">
        <f>VLOOKUP(K4427,RatingLookup!$A$2:$C$8,2,FALSE)</f>
        <v>0.04</v>
      </c>
      <c r="N4427">
        <f t="shared" si="207"/>
        <v>3.3960531989175591E-3</v>
      </c>
      <c r="O4427">
        <f>VLOOKUP(K4427,RatingLookup!$A$2:$C$8,3,FALSE)</f>
        <v>0.6</v>
      </c>
      <c r="P4427">
        <f t="shared" si="208"/>
        <v>3.1633420495149323</v>
      </c>
      <c r="Q4427" t="str">
        <f t="shared" ca="1" si="209"/>
        <v>No</v>
      </c>
    </row>
    <row r="4428" spans="1:17" x14ac:dyDescent="0.45">
      <c r="A4428" t="s">
        <v>182</v>
      </c>
      <c r="B4428" t="s">
        <v>183</v>
      </c>
      <c r="C4428" t="s">
        <v>35</v>
      </c>
      <c r="D4428" t="s">
        <v>20</v>
      </c>
      <c r="E4428" t="s">
        <v>21</v>
      </c>
      <c r="F4428" s="1">
        <v>45231</v>
      </c>
      <c r="G4428">
        <v>5.35</v>
      </c>
      <c r="H4428">
        <v>85.229900000000001</v>
      </c>
      <c r="I4428">
        <v>9.2799999999999994</v>
      </c>
      <c r="J4428">
        <v>85.36</v>
      </c>
      <c r="K4428" t="s">
        <v>31</v>
      </c>
      <c r="L4428">
        <v>1446.18</v>
      </c>
      <c r="M4428">
        <f>VLOOKUP(K4428,RatingLookup!$A$2:$C$8,2,FALSE)</f>
        <v>0.04</v>
      </c>
      <c r="N4428">
        <f t="shared" si="207"/>
        <v>3.3960531989175591E-3</v>
      </c>
      <c r="O4428">
        <f>VLOOKUP(K4428,RatingLookup!$A$2:$C$8,3,FALSE)</f>
        <v>0.6</v>
      </c>
      <c r="P4428">
        <f t="shared" si="208"/>
        <v>2.9467825291263572</v>
      </c>
      <c r="Q4428" t="str">
        <f t="shared" ca="1" si="209"/>
        <v>No</v>
      </c>
    </row>
    <row r="4429" spans="1:17" x14ac:dyDescent="0.45">
      <c r="A4429" t="s">
        <v>182</v>
      </c>
      <c r="B4429" t="s">
        <v>183</v>
      </c>
      <c r="C4429" t="s">
        <v>35</v>
      </c>
      <c r="D4429" t="s">
        <v>20</v>
      </c>
      <c r="E4429" t="s">
        <v>21</v>
      </c>
      <c r="F4429" s="1">
        <v>45261</v>
      </c>
      <c r="G4429">
        <v>6.11</v>
      </c>
      <c r="H4429">
        <v>81.383600000000001</v>
      </c>
      <c r="I4429">
        <v>25.17</v>
      </c>
      <c r="J4429">
        <v>66.959999999999994</v>
      </c>
      <c r="K4429" t="s">
        <v>31</v>
      </c>
      <c r="L4429">
        <v>1376.54</v>
      </c>
      <c r="M4429">
        <f>VLOOKUP(K4429,RatingLookup!$A$2:$C$8,2,FALSE)</f>
        <v>0.04</v>
      </c>
      <c r="N4429">
        <f t="shared" si="207"/>
        <v>3.3960531989175591E-3</v>
      </c>
      <c r="O4429">
        <f>VLOOKUP(K4429,RatingLookup!$A$2:$C$8,3,FALSE)</f>
        <v>0.6</v>
      </c>
      <c r="P4429">
        <f t="shared" si="208"/>
        <v>2.8048818422627861</v>
      </c>
      <c r="Q4429" t="str">
        <f t="shared" ca="1" si="209"/>
        <v>No</v>
      </c>
    </row>
    <row r="4430" spans="1:17" x14ac:dyDescent="0.45">
      <c r="A4430" t="s">
        <v>182</v>
      </c>
      <c r="B4430" t="s">
        <v>183</v>
      </c>
      <c r="C4430" t="s">
        <v>35</v>
      </c>
      <c r="D4430" t="s">
        <v>20</v>
      </c>
      <c r="E4430" t="s">
        <v>21</v>
      </c>
      <c r="F4430" s="1">
        <v>45292</v>
      </c>
      <c r="G4430">
        <v>5.37</v>
      </c>
      <c r="H4430">
        <v>82.200299999999999</v>
      </c>
      <c r="I4430">
        <v>18.8</v>
      </c>
      <c r="J4430">
        <v>94.67</v>
      </c>
      <c r="K4430" t="s">
        <v>31</v>
      </c>
      <c r="L4430">
        <v>1368.83</v>
      </c>
      <c r="M4430">
        <f>VLOOKUP(K4430,RatingLookup!$A$2:$C$8,2,FALSE)</f>
        <v>0.04</v>
      </c>
      <c r="N4430">
        <f t="shared" si="207"/>
        <v>3.3960531989175591E-3</v>
      </c>
      <c r="O4430">
        <f>VLOOKUP(K4430,RatingLookup!$A$2:$C$8,3,FALSE)</f>
        <v>0.6</v>
      </c>
      <c r="P4430">
        <f t="shared" si="208"/>
        <v>2.7891717001645935</v>
      </c>
      <c r="Q4430" t="str">
        <f t="shared" ca="1" si="209"/>
        <v>No</v>
      </c>
    </row>
    <row r="4431" spans="1:17" x14ac:dyDescent="0.45">
      <c r="A4431" t="s">
        <v>182</v>
      </c>
      <c r="B4431" t="s">
        <v>183</v>
      </c>
      <c r="C4431" t="s">
        <v>35</v>
      </c>
      <c r="D4431" t="s">
        <v>20</v>
      </c>
      <c r="E4431" t="s">
        <v>21</v>
      </c>
      <c r="F4431" s="1">
        <v>45323</v>
      </c>
      <c r="G4431">
        <v>5.22</v>
      </c>
      <c r="H4431">
        <v>82.809399999999997</v>
      </c>
      <c r="I4431">
        <v>23.88</v>
      </c>
      <c r="J4431">
        <v>83</v>
      </c>
      <c r="K4431" t="s">
        <v>31</v>
      </c>
      <c r="L4431">
        <v>1382.9</v>
      </c>
      <c r="M4431">
        <f>VLOOKUP(K4431,RatingLookup!$A$2:$C$8,2,FALSE)</f>
        <v>0.04</v>
      </c>
      <c r="N4431">
        <f t="shared" si="207"/>
        <v>3.3960531989175591E-3</v>
      </c>
      <c r="O4431">
        <f>VLOOKUP(K4431,RatingLookup!$A$2:$C$8,3,FALSE)</f>
        <v>0.6</v>
      </c>
      <c r="P4431">
        <f t="shared" si="208"/>
        <v>2.8178411812698556</v>
      </c>
      <c r="Q4431" t="str">
        <f t="shared" ca="1" si="209"/>
        <v>No</v>
      </c>
    </row>
    <row r="4432" spans="1:17" x14ac:dyDescent="0.45">
      <c r="A4432" t="s">
        <v>182</v>
      </c>
      <c r="B4432" t="s">
        <v>183</v>
      </c>
      <c r="C4432" t="s">
        <v>35</v>
      </c>
      <c r="D4432" t="s">
        <v>20</v>
      </c>
      <c r="E4432" t="s">
        <v>21</v>
      </c>
      <c r="F4432" s="1">
        <v>45352</v>
      </c>
      <c r="G4432">
        <v>4.25</v>
      </c>
      <c r="H4432">
        <v>83.249700000000004</v>
      </c>
      <c r="I4432">
        <v>22.59</v>
      </c>
      <c r="J4432">
        <v>85.3</v>
      </c>
      <c r="K4432" t="s">
        <v>31</v>
      </c>
      <c r="L4432">
        <v>1363.83</v>
      </c>
      <c r="M4432">
        <f>VLOOKUP(K4432,RatingLookup!$A$2:$C$8,2,FALSE)</f>
        <v>0.04</v>
      </c>
      <c r="N4432">
        <f t="shared" si="207"/>
        <v>3.3960531989175591E-3</v>
      </c>
      <c r="O4432">
        <f>VLOOKUP(K4432,RatingLookup!$A$2:$C$8,3,FALSE)</f>
        <v>0.6</v>
      </c>
      <c r="P4432">
        <f t="shared" si="208"/>
        <v>2.7789835405678405</v>
      </c>
      <c r="Q4432" t="str">
        <f t="shared" ca="1" si="209"/>
        <v>No</v>
      </c>
    </row>
    <row r="4433" spans="1:17" x14ac:dyDescent="0.45">
      <c r="A4433" t="s">
        <v>182</v>
      </c>
      <c r="B4433" t="s">
        <v>183</v>
      </c>
      <c r="C4433" t="s">
        <v>35</v>
      </c>
      <c r="D4433" t="s">
        <v>20</v>
      </c>
      <c r="E4433" t="s">
        <v>21</v>
      </c>
      <c r="F4433" s="1">
        <v>45383</v>
      </c>
      <c r="G4433">
        <v>5.59</v>
      </c>
      <c r="H4433">
        <v>83.209699999999998</v>
      </c>
      <c r="I4433">
        <v>14.99</v>
      </c>
      <c r="J4433">
        <v>84.86</v>
      </c>
      <c r="K4433" t="s">
        <v>32</v>
      </c>
      <c r="L4433">
        <v>1453.51</v>
      </c>
      <c r="M4433">
        <f>VLOOKUP(K4433,RatingLookup!$A$2:$C$8,2,FALSE)</f>
        <v>0.12</v>
      </c>
      <c r="N4433">
        <f t="shared" si="207"/>
        <v>1.0596241035318976E-2</v>
      </c>
      <c r="O4433">
        <f>VLOOKUP(K4433,RatingLookup!$A$2:$C$8,3,FALSE)</f>
        <v>0.7</v>
      </c>
      <c r="P4433">
        <f t="shared" si="208"/>
        <v>10.781219615072539</v>
      </c>
      <c r="Q4433" t="str">
        <f t="shared" ca="1" si="209"/>
        <v>No</v>
      </c>
    </row>
    <row r="4434" spans="1:17" x14ac:dyDescent="0.45">
      <c r="A4434" t="s">
        <v>182</v>
      </c>
      <c r="B4434" t="s">
        <v>183</v>
      </c>
      <c r="C4434" t="s">
        <v>35</v>
      </c>
      <c r="D4434" t="s">
        <v>20</v>
      </c>
      <c r="E4434" t="s">
        <v>21</v>
      </c>
      <c r="F4434" s="1">
        <v>45413</v>
      </c>
      <c r="G4434">
        <v>5.72</v>
      </c>
      <c r="H4434">
        <v>85.924599999999998</v>
      </c>
      <c r="I4434">
        <v>17.010000000000002</v>
      </c>
      <c r="J4434">
        <v>65.760000000000005</v>
      </c>
      <c r="K4434" t="s">
        <v>32</v>
      </c>
      <c r="L4434">
        <v>1371.31</v>
      </c>
      <c r="M4434">
        <f>VLOOKUP(K4434,RatingLookup!$A$2:$C$8,2,FALSE)</f>
        <v>0.12</v>
      </c>
      <c r="N4434">
        <f t="shared" si="207"/>
        <v>1.0596241035318976E-2</v>
      </c>
      <c r="O4434">
        <f>VLOOKUP(K4434,RatingLookup!$A$2:$C$8,3,FALSE)</f>
        <v>0.7</v>
      </c>
      <c r="P4434">
        <f t="shared" si="208"/>
        <v>10.171511905900283</v>
      </c>
      <c r="Q4434" t="str">
        <f t="shared" ca="1" si="209"/>
        <v>No</v>
      </c>
    </row>
    <row r="4435" spans="1:17" x14ac:dyDescent="0.45">
      <c r="A4435" t="s">
        <v>182</v>
      </c>
      <c r="B4435" t="s">
        <v>183</v>
      </c>
      <c r="C4435" t="s">
        <v>35</v>
      </c>
      <c r="D4435" t="s">
        <v>20</v>
      </c>
      <c r="E4435" t="s">
        <v>21</v>
      </c>
      <c r="F4435" s="1">
        <v>45444</v>
      </c>
      <c r="G4435">
        <v>5.45</v>
      </c>
      <c r="H4435">
        <v>84.104600000000005</v>
      </c>
      <c r="I4435">
        <v>22.56</v>
      </c>
      <c r="J4435">
        <v>73.819999999999993</v>
      </c>
      <c r="K4435" t="s">
        <v>32</v>
      </c>
      <c r="L4435">
        <v>1510.45</v>
      </c>
      <c r="M4435">
        <f>VLOOKUP(K4435,RatingLookup!$A$2:$C$8,2,FALSE)</f>
        <v>0.12</v>
      </c>
      <c r="N4435">
        <f t="shared" si="207"/>
        <v>1.0596241035318976E-2</v>
      </c>
      <c r="O4435">
        <f>VLOOKUP(K4435,RatingLookup!$A$2:$C$8,3,FALSE)</f>
        <v>0.7</v>
      </c>
      <c r="P4435">
        <f t="shared" si="208"/>
        <v>11.203564590258283</v>
      </c>
      <c r="Q4435" t="str">
        <f t="shared" ca="1" si="209"/>
        <v>No</v>
      </c>
    </row>
    <row r="4436" spans="1:17" x14ac:dyDescent="0.45">
      <c r="A4436" t="s">
        <v>182</v>
      </c>
      <c r="B4436" t="s">
        <v>183</v>
      </c>
      <c r="C4436" t="s">
        <v>35</v>
      </c>
      <c r="D4436" t="s">
        <v>20</v>
      </c>
      <c r="E4436" t="s">
        <v>21</v>
      </c>
      <c r="F4436" s="1">
        <v>45474</v>
      </c>
      <c r="G4436">
        <v>4.1100000000000003</v>
      </c>
      <c r="H4436">
        <v>81.712199999999996</v>
      </c>
      <c r="I4436">
        <v>22.04</v>
      </c>
      <c r="J4436">
        <v>89.53</v>
      </c>
      <c r="K4436" t="s">
        <v>32</v>
      </c>
      <c r="L4436">
        <v>1501.52</v>
      </c>
      <c r="M4436">
        <f>VLOOKUP(K4436,RatingLookup!$A$2:$C$8,2,FALSE)</f>
        <v>0.12</v>
      </c>
      <c r="N4436">
        <f t="shared" si="207"/>
        <v>1.0596241035318976E-2</v>
      </c>
      <c r="O4436">
        <f>VLOOKUP(K4436,RatingLookup!$A$2:$C$8,3,FALSE)</f>
        <v>0.7</v>
      </c>
      <c r="P4436">
        <f t="shared" si="208"/>
        <v>11.137327487546504</v>
      </c>
      <c r="Q4436" t="str">
        <f t="shared" ca="1" si="209"/>
        <v>No</v>
      </c>
    </row>
    <row r="4437" spans="1:17" x14ac:dyDescent="0.45">
      <c r="A4437" t="s">
        <v>182</v>
      </c>
      <c r="B4437" t="s">
        <v>183</v>
      </c>
      <c r="C4437" t="s">
        <v>35</v>
      </c>
      <c r="D4437" t="s">
        <v>20</v>
      </c>
      <c r="E4437" t="s">
        <v>21</v>
      </c>
      <c r="F4437" s="1">
        <v>45505</v>
      </c>
      <c r="G4437">
        <v>6.06</v>
      </c>
      <c r="H4437">
        <v>85.594899999999996</v>
      </c>
      <c r="I4437">
        <v>11.28</v>
      </c>
      <c r="J4437">
        <v>81.16</v>
      </c>
      <c r="K4437" t="s">
        <v>31</v>
      </c>
      <c r="L4437">
        <v>1441.66</v>
      </c>
      <c r="M4437">
        <f>VLOOKUP(K4437,RatingLookup!$A$2:$C$8,2,FALSE)</f>
        <v>0.04</v>
      </c>
      <c r="N4437">
        <f t="shared" si="207"/>
        <v>3.3960531989175591E-3</v>
      </c>
      <c r="O4437">
        <f>VLOOKUP(K4437,RatingLookup!$A$2:$C$8,3,FALSE)</f>
        <v>0.6</v>
      </c>
      <c r="P4437">
        <f t="shared" si="208"/>
        <v>2.9375724328508928</v>
      </c>
      <c r="Q4437" t="str">
        <f t="shared" ca="1" si="209"/>
        <v>No</v>
      </c>
    </row>
    <row r="4438" spans="1:17" x14ac:dyDescent="0.45">
      <c r="A4438" t="s">
        <v>182</v>
      </c>
      <c r="B4438" t="s">
        <v>183</v>
      </c>
      <c r="C4438" t="s">
        <v>35</v>
      </c>
      <c r="D4438" t="s">
        <v>20</v>
      </c>
      <c r="E4438" t="s">
        <v>21</v>
      </c>
      <c r="F4438" s="1">
        <v>45536</v>
      </c>
      <c r="G4438">
        <v>5.49</v>
      </c>
      <c r="H4438">
        <v>79.655799999999999</v>
      </c>
      <c r="I4438">
        <v>16.36</v>
      </c>
      <c r="J4438">
        <v>73.599999999999994</v>
      </c>
      <c r="K4438" t="s">
        <v>31</v>
      </c>
      <c r="L4438">
        <v>1414.79</v>
      </c>
      <c r="M4438">
        <f>VLOOKUP(K4438,RatingLookup!$A$2:$C$8,2,FALSE)</f>
        <v>0.04</v>
      </c>
      <c r="N4438">
        <f t="shared" si="207"/>
        <v>3.3960531989175591E-3</v>
      </c>
      <c r="O4438">
        <f>VLOOKUP(K4438,RatingLookup!$A$2:$C$8,3,FALSE)</f>
        <v>0.6</v>
      </c>
      <c r="P4438">
        <f t="shared" si="208"/>
        <v>2.8828212631779437</v>
      </c>
      <c r="Q4438" t="str">
        <f t="shared" ca="1" si="209"/>
        <v>No</v>
      </c>
    </row>
    <row r="4439" spans="1:17" x14ac:dyDescent="0.45">
      <c r="A4439" t="s">
        <v>182</v>
      </c>
      <c r="B4439" t="s">
        <v>183</v>
      </c>
      <c r="C4439" t="s">
        <v>35</v>
      </c>
      <c r="D4439" t="s">
        <v>20</v>
      </c>
      <c r="E4439" t="s">
        <v>21</v>
      </c>
      <c r="F4439" s="1">
        <v>45566</v>
      </c>
      <c r="G4439">
        <v>5.49</v>
      </c>
      <c r="H4439">
        <v>86.9392</v>
      </c>
      <c r="I4439">
        <v>20.2</v>
      </c>
      <c r="J4439">
        <v>88.58</v>
      </c>
      <c r="K4439" t="s">
        <v>31</v>
      </c>
      <c r="L4439">
        <v>1373.47</v>
      </c>
      <c r="M4439">
        <f>VLOOKUP(K4439,RatingLookup!$A$2:$C$8,2,FALSE)</f>
        <v>0.04</v>
      </c>
      <c r="N4439">
        <f t="shared" si="207"/>
        <v>3.3960531989175591E-3</v>
      </c>
      <c r="O4439">
        <f>VLOOKUP(K4439,RatingLookup!$A$2:$C$8,3,FALSE)</f>
        <v>0.6</v>
      </c>
      <c r="P4439">
        <f t="shared" si="208"/>
        <v>2.7986263122703803</v>
      </c>
      <c r="Q4439" t="str">
        <f t="shared" ca="1" si="209"/>
        <v>No</v>
      </c>
    </row>
    <row r="4440" spans="1:17" x14ac:dyDescent="0.45">
      <c r="A4440" t="s">
        <v>182</v>
      </c>
      <c r="B4440" t="s">
        <v>183</v>
      </c>
      <c r="C4440" t="s">
        <v>35</v>
      </c>
      <c r="D4440" t="s">
        <v>20</v>
      </c>
      <c r="E4440" t="s">
        <v>21</v>
      </c>
      <c r="F4440" s="1">
        <v>45597</v>
      </c>
      <c r="G4440">
        <v>6.23</v>
      </c>
      <c r="H4440">
        <v>81.702500000000001</v>
      </c>
      <c r="I4440">
        <v>26.59</v>
      </c>
      <c r="J4440">
        <v>98.4</v>
      </c>
      <c r="K4440" t="s">
        <v>31</v>
      </c>
      <c r="L4440">
        <v>1402.87</v>
      </c>
      <c r="M4440">
        <f>VLOOKUP(K4440,RatingLookup!$A$2:$C$8,2,FALSE)</f>
        <v>0.04</v>
      </c>
      <c r="N4440">
        <f t="shared" si="207"/>
        <v>3.3960531989175591E-3</v>
      </c>
      <c r="O4440">
        <f>VLOOKUP(K4440,RatingLookup!$A$2:$C$8,3,FALSE)</f>
        <v>0.6</v>
      </c>
      <c r="P4440">
        <f t="shared" si="208"/>
        <v>2.8585326906992852</v>
      </c>
      <c r="Q4440" t="str">
        <f t="shared" ca="1" si="209"/>
        <v>No</v>
      </c>
    </row>
    <row r="4441" spans="1:17" x14ac:dyDescent="0.45">
      <c r="A4441" t="s">
        <v>182</v>
      </c>
      <c r="B4441" t="s">
        <v>183</v>
      </c>
      <c r="C4441" t="s">
        <v>35</v>
      </c>
      <c r="D4441" t="s">
        <v>20</v>
      </c>
      <c r="E4441" t="s">
        <v>21</v>
      </c>
      <c r="F4441" s="1">
        <v>45627</v>
      </c>
      <c r="G4441">
        <v>5.92</v>
      </c>
      <c r="H4441">
        <v>82.644900000000007</v>
      </c>
      <c r="I4441">
        <v>15.81</v>
      </c>
      <c r="J4441">
        <v>79.540000000000006</v>
      </c>
      <c r="K4441" t="s">
        <v>31</v>
      </c>
      <c r="L4441">
        <v>1267.3</v>
      </c>
      <c r="M4441">
        <f>VLOOKUP(K4441,RatingLookup!$A$2:$C$8,2,FALSE)</f>
        <v>0.04</v>
      </c>
      <c r="N4441">
        <f t="shared" si="207"/>
        <v>3.3960531989175591E-3</v>
      </c>
      <c r="O4441">
        <f>VLOOKUP(K4441,RatingLookup!$A$2:$C$8,3,FALSE)</f>
        <v>0.6</v>
      </c>
      <c r="P4441">
        <f t="shared" si="208"/>
        <v>2.5822909313929334</v>
      </c>
      <c r="Q4441" t="str">
        <f t="shared" ca="1" si="209"/>
        <v>No</v>
      </c>
    </row>
    <row r="4442" spans="1:17" x14ac:dyDescent="0.45">
      <c r="A4442" t="s">
        <v>184</v>
      </c>
      <c r="B4442" t="s">
        <v>185</v>
      </c>
      <c r="C4442" t="s">
        <v>29</v>
      </c>
      <c r="D4442" t="s">
        <v>20</v>
      </c>
      <c r="E4442" t="s">
        <v>21</v>
      </c>
      <c r="F4442" s="1">
        <v>43831</v>
      </c>
      <c r="G4442">
        <v>5.39</v>
      </c>
      <c r="H4442">
        <v>84.881</v>
      </c>
      <c r="I4442">
        <v>14.46</v>
      </c>
      <c r="J4442">
        <v>78.3</v>
      </c>
      <c r="K4442" t="s">
        <v>22</v>
      </c>
      <c r="L4442">
        <v>900.64</v>
      </c>
      <c r="M4442">
        <f>VLOOKUP(K4442,RatingLookup!$A$2:$C$8,2,FALSE)</f>
        <v>5.0000000000000001E-3</v>
      </c>
      <c r="N4442">
        <f t="shared" si="207"/>
        <v>4.1762458919303302E-4</v>
      </c>
      <c r="O4442">
        <f>VLOOKUP(K4442,RatingLookup!$A$2:$C$8,3,FALSE)</f>
        <v>0.45</v>
      </c>
      <c r="P4442">
        <f t="shared" si="208"/>
        <v>0.16925823450486596</v>
      </c>
      <c r="Q4442" t="str">
        <f t="shared" ca="1" si="209"/>
        <v>No</v>
      </c>
    </row>
    <row r="4443" spans="1:17" x14ac:dyDescent="0.45">
      <c r="A4443" t="s">
        <v>184</v>
      </c>
      <c r="B4443" t="s">
        <v>185</v>
      </c>
      <c r="C4443" t="s">
        <v>29</v>
      </c>
      <c r="D4443" t="s">
        <v>20</v>
      </c>
      <c r="E4443" t="s">
        <v>21</v>
      </c>
      <c r="F4443" s="1">
        <v>43862</v>
      </c>
      <c r="G4443">
        <v>5.53</v>
      </c>
      <c r="H4443">
        <v>84.033299999999997</v>
      </c>
      <c r="I4443">
        <v>14.17</v>
      </c>
      <c r="J4443">
        <v>72.91</v>
      </c>
      <c r="K4443" t="s">
        <v>22</v>
      </c>
      <c r="L4443">
        <v>786.56</v>
      </c>
      <c r="M4443">
        <f>VLOOKUP(K4443,RatingLookup!$A$2:$C$8,2,FALSE)</f>
        <v>5.0000000000000001E-3</v>
      </c>
      <c r="N4443">
        <f t="shared" si="207"/>
        <v>4.1762458919303302E-4</v>
      </c>
      <c r="O4443">
        <f>VLOOKUP(K4443,RatingLookup!$A$2:$C$8,3,FALSE)</f>
        <v>0.45</v>
      </c>
      <c r="P4443">
        <f t="shared" si="208"/>
        <v>0.14781905859405242</v>
      </c>
      <c r="Q4443" t="str">
        <f t="shared" ca="1" si="209"/>
        <v>No</v>
      </c>
    </row>
    <row r="4444" spans="1:17" x14ac:dyDescent="0.45">
      <c r="A4444" t="s">
        <v>184</v>
      </c>
      <c r="B4444" t="s">
        <v>185</v>
      </c>
      <c r="C4444" t="s">
        <v>29</v>
      </c>
      <c r="D4444" t="s">
        <v>20</v>
      </c>
      <c r="E4444" t="s">
        <v>21</v>
      </c>
      <c r="F4444" s="1">
        <v>43891</v>
      </c>
      <c r="G4444">
        <v>6.91</v>
      </c>
      <c r="H4444">
        <v>82.793099999999995</v>
      </c>
      <c r="I4444">
        <v>15.65</v>
      </c>
      <c r="J4444">
        <v>82.73</v>
      </c>
      <c r="K4444" t="s">
        <v>22</v>
      </c>
      <c r="L4444">
        <v>819.72</v>
      </c>
      <c r="M4444">
        <f>VLOOKUP(K4444,RatingLookup!$A$2:$C$8,2,FALSE)</f>
        <v>5.0000000000000001E-3</v>
      </c>
      <c r="N4444">
        <f t="shared" si="207"/>
        <v>4.1762458919303302E-4</v>
      </c>
      <c r="O4444">
        <f>VLOOKUP(K4444,RatingLookup!$A$2:$C$8,3,FALSE)</f>
        <v>0.45</v>
      </c>
      <c r="P4444">
        <f t="shared" si="208"/>
        <v>0.15405085271399085</v>
      </c>
      <c r="Q4444" t="str">
        <f t="shared" ca="1" si="209"/>
        <v>No</v>
      </c>
    </row>
    <row r="4445" spans="1:17" x14ac:dyDescent="0.45">
      <c r="A4445" t="s">
        <v>184</v>
      </c>
      <c r="B4445" t="s">
        <v>185</v>
      </c>
      <c r="C4445" t="s">
        <v>29</v>
      </c>
      <c r="D4445" t="s">
        <v>20</v>
      </c>
      <c r="E4445" t="s">
        <v>21</v>
      </c>
      <c r="F4445" s="1">
        <v>43922</v>
      </c>
      <c r="G4445">
        <v>5.2</v>
      </c>
      <c r="H4445">
        <v>81.188299999999998</v>
      </c>
      <c r="I4445">
        <v>21.93</v>
      </c>
      <c r="J4445">
        <v>65.52</v>
      </c>
      <c r="K4445" t="s">
        <v>22</v>
      </c>
      <c r="L4445">
        <v>849.91</v>
      </c>
      <c r="M4445">
        <f>VLOOKUP(K4445,RatingLookup!$A$2:$C$8,2,FALSE)</f>
        <v>5.0000000000000001E-3</v>
      </c>
      <c r="N4445">
        <f t="shared" si="207"/>
        <v>4.1762458919303302E-4</v>
      </c>
      <c r="O4445">
        <f>VLOOKUP(K4445,RatingLookup!$A$2:$C$8,3,FALSE)</f>
        <v>0.45</v>
      </c>
      <c r="P4445">
        <f t="shared" si="208"/>
        <v>0.1597244915704728</v>
      </c>
      <c r="Q4445" t="str">
        <f t="shared" ca="1" si="209"/>
        <v>No</v>
      </c>
    </row>
    <row r="4446" spans="1:17" x14ac:dyDescent="0.45">
      <c r="A4446" t="s">
        <v>184</v>
      </c>
      <c r="B4446" t="s">
        <v>185</v>
      </c>
      <c r="C4446" t="s">
        <v>29</v>
      </c>
      <c r="D4446" t="s">
        <v>20</v>
      </c>
      <c r="E4446" t="s">
        <v>21</v>
      </c>
      <c r="F4446" s="1">
        <v>43952</v>
      </c>
      <c r="G4446">
        <v>5.0199999999999996</v>
      </c>
      <c r="H4446">
        <v>82.454099999999997</v>
      </c>
      <c r="I4446">
        <v>14.17</v>
      </c>
      <c r="J4446">
        <v>76.760000000000005</v>
      </c>
      <c r="K4446" t="s">
        <v>30</v>
      </c>
      <c r="L4446">
        <v>969.79</v>
      </c>
      <c r="M4446">
        <f>VLOOKUP(K4446,RatingLookup!$A$2:$C$8,2,FALSE)</f>
        <v>1.4999999999999999E-2</v>
      </c>
      <c r="N4446">
        <f t="shared" si="207"/>
        <v>1.2586770182638762E-3</v>
      </c>
      <c r="O4446">
        <f>VLOOKUP(K4446,RatingLookup!$A$2:$C$8,3,FALSE)</f>
        <v>0.5</v>
      </c>
      <c r="P4446">
        <f t="shared" si="208"/>
        <v>0.61032619277106226</v>
      </c>
      <c r="Q4446" t="str">
        <f t="shared" ca="1" si="209"/>
        <v>No</v>
      </c>
    </row>
    <row r="4447" spans="1:17" x14ac:dyDescent="0.45">
      <c r="A4447" t="s">
        <v>184</v>
      </c>
      <c r="B4447" t="s">
        <v>185</v>
      </c>
      <c r="C4447" t="s">
        <v>29</v>
      </c>
      <c r="D4447" t="s">
        <v>20</v>
      </c>
      <c r="E4447" t="s">
        <v>21</v>
      </c>
      <c r="F4447" s="1">
        <v>43983</v>
      </c>
      <c r="G4447">
        <v>6.01</v>
      </c>
      <c r="H4447">
        <v>82.454599999999999</v>
      </c>
      <c r="I4447">
        <v>28.82</v>
      </c>
      <c r="J4447">
        <v>65.42</v>
      </c>
      <c r="K4447" t="s">
        <v>30</v>
      </c>
      <c r="L4447">
        <v>790.96</v>
      </c>
      <c r="M4447">
        <f>VLOOKUP(K4447,RatingLookup!$A$2:$C$8,2,FALSE)</f>
        <v>1.4999999999999999E-2</v>
      </c>
      <c r="N4447">
        <f t="shared" si="207"/>
        <v>1.2586770182638762E-3</v>
      </c>
      <c r="O4447">
        <f>VLOOKUP(K4447,RatingLookup!$A$2:$C$8,3,FALSE)</f>
        <v>0.5</v>
      </c>
      <c r="P4447">
        <f t="shared" si="208"/>
        <v>0.49778158718299781</v>
      </c>
      <c r="Q4447" t="str">
        <f t="shared" ca="1" si="209"/>
        <v>No</v>
      </c>
    </row>
    <row r="4448" spans="1:17" x14ac:dyDescent="0.45">
      <c r="A4448" t="s">
        <v>184</v>
      </c>
      <c r="B4448" t="s">
        <v>185</v>
      </c>
      <c r="C4448" t="s">
        <v>29</v>
      </c>
      <c r="D4448" t="s">
        <v>20</v>
      </c>
      <c r="E4448" t="s">
        <v>21</v>
      </c>
      <c r="F4448" s="1">
        <v>44013</v>
      </c>
      <c r="G4448">
        <v>6.23</v>
      </c>
      <c r="H4448">
        <v>86.258499999999998</v>
      </c>
      <c r="I4448">
        <v>10.39</v>
      </c>
      <c r="J4448">
        <v>71.61</v>
      </c>
      <c r="K4448" t="s">
        <v>30</v>
      </c>
      <c r="L4448">
        <v>900.46</v>
      </c>
      <c r="M4448">
        <f>VLOOKUP(K4448,RatingLookup!$A$2:$C$8,2,FALSE)</f>
        <v>1.4999999999999999E-2</v>
      </c>
      <c r="N4448">
        <f t="shared" si="207"/>
        <v>1.2586770182638762E-3</v>
      </c>
      <c r="O4448">
        <f>VLOOKUP(K4448,RatingLookup!$A$2:$C$8,3,FALSE)</f>
        <v>0.5</v>
      </c>
      <c r="P4448">
        <f t="shared" si="208"/>
        <v>0.56669415393294498</v>
      </c>
      <c r="Q4448" t="str">
        <f t="shared" ca="1" si="209"/>
        <v>No</v>
      </c>
    </row>
    <row r="4449" spans="1:17" x14ac:dyDescent="0.45">
      <c r="A4449" t="s">
        <v>184</v>
      </c>
      <c r="B4449" t="s">
        <v>185</v>
      </c>
      <c r="C4449" t="s">
        <v>29</v>
      </c>
      <c r="D4449" t="s">
        <v>20</v>
      </c>
      <c r="E4449" t="s">
        <v>21</v>
      </c>
      <c r="F4449" s="1">
        <v>44044</v>
      </c>
      <c r="G4449">
        <v>4.1100000000000003</v>
      </c>
      <c r="H4449">
        <v>81.523700000000005</v>
      </c>
      <c r="I4449">
        <v>19.739999999999998</v>
      </c>
      <c r="J4449">
        <v>72.33</v>
      </c>
      <c r="K4449" t="s">
        <v>30</v>
      </c>
      <c r="L4449">
        <v>838.36</v>
      </c>
      <c r="M4449">
        <f>VLOOKUP(K4449,RatingLookup!$A$2:$C$8,2,FALSE)</f>
        <v>1.4999999999999999E-2</v>
      </c>
      <c r="N4449">
        <f t="shared" si="207"/>
        <v>1.2586770182638762E-3</v>
      </c>
      <c r="O4449">
        <f>VLOOKUP(K4449,RatingLookup!$A$2:$C$8,3,FALSE)</f>
        <v>0.5</v>
      </c>
      <c r="P4449">
        <f t="shared" si="208"/>
        <v>0.52761223251585165</v>
      </c>
      <c r="Q4449" t="str">
        <f t="shared" ca="1" si="209"/>
        <v>No</v>
      </c>
    </row>
    <row r="4450" spans="1:17" x14ac:dyDescent="0.45">
      <c r="A4450" t="s">
        <v>184</v>
      </c>
      <c r="B4450" t="s">
        <v>185</v>
      </c>
      <c r="C4450" t="s">
        <v>29</v>
      </c>
      <c r="D4450" t="s">
        <v>20</v>
      </c>
      <c r="E4450" t="s">
        <v>21</v>
      </c>
      <c r="F4450" s="1">
        <v>44075</v>
      </c>
      <c r="G4450">
        <v>5.43</v>
      </c>
      <c r="H4450">
        <v>80.080399999999997</v>
      </c>
      <c r="I4450">
        <v>22.26</v>
      </c>
      <c r="J4450">
        <v>60.06</v>
      </c>
      <c r="K4450" t="s">
        <v>30</v>
      </c>
      <c r="L4450">
        <v>882.27</v>
      </c>
      <c r="M4450">
        <f>VLOOKUP(K4450,RatingLookup!$A$2:$C$8,2,FALSE)</f>
        <v>1.4999999999999999E-2</v>
      </c>
      <c r="N4450">
        <f t="shared" si="207"/>
        <v>1.2586770182638762E-3</v>
      </c>
      <c r="O4450">
        <f>VLOOKUP(K4450,RatingLookup!$A$2:$C$8,3,FALSE)</f>
        <v>0.5</v>
      </c>
      <c r="P4450">
        <f t="shared" si="208"/>
        <v>0.55524648645183505</v>
      </c>
      <c r="Q4450" t="str">
        <f t="shared" ca="1" si="209"/>
        <v>No</v>
      </c>
    </row>
    <row r="4451" spans="1:17" x14ac:dyDescent="0.45">
      <c r="A4451" t="s">
        <v>184</v>
      </c>
      <c r="B4451" t="s">
        <v>185</v>
      </c>
      <c r="C4451" t="s">
        <v>29</v>
      </c>
      <c r="D4451" t="s">
        <v>20</v>
      </c>
      <c r="E4451" t="s">
        <v>21</v>
      </c>
      <c r="F4451" s="1">
        <v>44105</v>
      </c>
      <c r="G4451">
        <v>5.68</v>
      </c>
      <c r="H4451">
        <v>84.248000000000005</v>
      </c>
      <c r="I4451">
        <v>20.9</v>
      </c>
      <c r="J4451">
        <v>55.98</v>
      </c>
      <c r="K4451" t="s">
        <v>30</v>
      </c>
      <c r="L4451">
        <v>913.88</v>
      </c>
      <c r="M4451">
        <f>VLOOKUP(K4451,RatingLookup!$A$2:$C$8,2,FALSE)</f>
        <v>1.4999999999999999E-2</v>
      </c>
      <c r="N4451">
        <f t="shared" si="207"/>
        <v>1.2586770182638762E-3</v>
      </c>
      <c r="O4451">
        <f>VLOOKUP(K4451,RatingLookup!$A$2:$C$8,3,FALSE)</f>
        <v>0.5</v>
      </c>
      <c r="P4451">
        <f t="shared" si="208"/>
        <v>0.5751398767254956</v>
      </c>
      <c r="Q4451" t="str">
        <f t="shared" ca="1" si="209"/>
        <v>No</v>
      </c>
    </row>
    <row r="4452" spans="1:17" x14ac:dyDescent="0.45">
      <c r="A4452" t="s">
        <v>184</v>
      </c>
      <c r="B4452" t="s">
        <v>185</v>
      </c>
      <c r="C4452" t="s">
        <v>29</v>
      </c>
      <c r="D4452" t="s">
        <v>20</v>
      </c>
      <c r="E4452" t="s">
        <v>21</v>
      </c>
      <c r="F4452" s="1">
        <v>44136</v>
      </c>
      <c r="G4452">
        <v>6.2</v>
      </c>
      <c r="H4452">
        <v>84.461100000000002</v>
      </c>
      <c r="I4452">
        <v>13.98</v>
      </c>
      <c r="J4452">
        <v>70.73</v>
      </c>
      <c r="K4452" t="s">
        <v>30</v>
      </c>
      <c r="L4452">
        <v>847.5</v>
      </c>
      <c r="M4452">
        <f>VLOOKUP(K4452,RatingLookup!$A$2:$C$8,2,FALSE)</f>
        <v>1.4999999999999999E-2</v>
      </c>
      <c r="N4452">
        <f t="shared" si="207"/>
        <v>1.2586770182638762E-3</v>
      </c>
      <c r="O4452">
        <f>VLOOKUP(K4452,RatingLookup!$A$2:$C$8,3,FALSE)</f>
        <v>0.5</v>
      </c>
      <c r="P4452">
        <f t="shared" si="208"/>
        <v>0.53336438648931761</v>
      </c>
      <c r="Q4452" t="str">
        <f t="shared" ca="1" si="209"/>
        <v>No</v>
      </c>
    </row>
    <row r="4453" spans="1:17" x14ac:dyDescent="0.45">
      <c r="A4453" t="s">
        <v>184</v>
      </c>
      <c r="B4453" t="s">
        <v>185</v>
      </c>
      <c r="C4453" t="s">
        <v>29</v>
      </c>
      <c r="D4453" t="s">
        <v>20</v>
      </c>
      <c r="E4453" t="s">
        <v>21</v>
      </c>
      <c r="F4453" s="1">
        <v>44166</v>
      </c>
      <c r="G4453">
        <v>6.14</v>
      </c>
      <c r="H4453">
        <v>81.633899999999997</v>
      </c>
      <c r="I4453">
        <v>11.46</v>
      </c>
      <c r="J4453">
        <v>80.989999999999995</v>
      </c>
      <c r="K4453" t="s">
        <v>30</v>
      </c>
      <c r="L4453">
        <v>877.46</v>
      </c>
      <c r="M4453">
        <f>VLOOKUP(K4453,RatingLookup!$A$2:$C$8,2,FALSE)</f>
        <v>1.4999999999999999E-2</v>
      </c>
      <c r="N4453">
        <f t="shared" si="207"/>
        <v>1.2586770182638762E-3</v>
      </c>
      <c r="O4453">
        <f>VLOOKUP(K4453,RatingLookup!$A$2:$C$8,3,FALSE)</f>
        <v>0.5</v>
      </c>
      <c r="P4453">
        <f t="shared" si="208"/>
        <v>0.5522193682229104</v>
      </c>
      <c r="Q4453" t="str">
        <f t="shared" ca="1" si="209"/>
        <v>No</v>
      </c>
    </row>
    <row r="4454" spans="1:17" x14ac:dyDescent="0.45">
      <c r="A4454" t="s">
        <v>184</v>
      </c>
      <c r="B4454" t="s">
        <v>185</v>
      </c>
      <c r="C4454" t="s">
        <v>29</v>
      </c>
      <c r="D4454" t="s">
        <v>20</v>
      </c>
      <c r="E4454" t="s">
        <v>21</v>
      </c>
      <c r="F4454" s="1">
        <v>44197</v>
      </c>
      <c r="G4454">
        <v>6.48</v>
      </c>
      <c r="H4454">
        <v>78.318700000000007</v>
      </c>
      <c r="I4454">
        <v>10.58</v>
      </c>
      <c r="J4454">
        <v>76.23</v>
      </c>
      <c r="K4454" t="s">
        <v>30</v>
      </c>
      <c r="L4454">
        <v>897.14</v>
      </c>
      <c r="M4454">
        <f>VLOOKUP(K4454,RatingLookup!$A$2:$C$8,2,FALSE)</f>
        <v>1.4999999999999999E-2</v>
      </c>
      <c r="N4454">
        <f t="shared" si="207"/>
        <v>1.2586770182638762E-3</v>
      </c>
      <c r="O4454">
        <f>VLOOKUP(K4454,RatingLookup!$A$2:$C$8,3,FALSE)</f>
        <v>0.5</v>
      </c>
      <c r="P4454">
        <f t="shared" si="208"/>
        <v>0.564604750082627</v>
      </c>
      <c r="Q4454" t="str">
        <f t="shared" ca="1" si="209"/>
        <v>No</v>
      </c>
    </row>
    <row r="4455" spans="1:17" x14ac:dyDescent="0.45">
      <c r="A4455" t="s">
        <v>184</v>
      </c>
      <c r="B4455" t="s">
        <v>185</v>
      </c>
      <c r="C4455" t="s">
        <v>29</v>
      </c>
      <c r="D4455" t="s">
        <v>20</v>
      </c>
      <c r="E4455" t="s">
        <v>21</v>
      </c>
      <c r="F4455" s="1">
        <v>44228</v>
      </c>
      <c r="G4455">
        <v>5.33</v>
      </c>
      <c r="H4455">
        <v>86.362200000000001</v>
      </c>
      <c r="I4455">
        <v>15.86</v>
      </c>
      <c r="J4455">
        <v>80.98</v>
      </c>
      <c r="K4455" t="s">
        <v>30</v>
      </c>
      <c r="L4455">
        <v>908.36</v>
      </c>
      <c r="M4455">
        <f>VLOOKUP(K4455,RatingLookup!$A$2:$C$8,2,FALSE)</f>
        <v>1.4999999999999999E-2</v>
      </c>
      <c r="N4455">
        <f t="shared" si="207"/>
        <v>1.2586770182638762E-3</v>
      </c>
      <c r="O4455">
        <f>VLOOKUP(K4455,RatingLookup!$A$2:$C$8,3,FALSE)</f>
        <v>0.5</v>
      </c>
      <c r="P4455">
        <f t="shared" si="208"/>
        <v>0.57166592815508732</v>
      </c>
      <c r="Q4455" t="str">
        <f t="shared" ca="1" si="209"/>
        <v>No</v>
      </c>
    </row>
    <row r="4456" spans="1:17" x14ac:dyDescent="0.45">
      <c r="A4456" t="s">
        <v>184</v>
      </c>
      <c r="B4456" t="s">
        <v>185</v>
      </c>
      <c r="C4456" t="s">
        <v>29</v>
      </c>
      <c r="D4456" t="s">
        <v>20</v>
      </c>
      <c r="E4456" t="s">
        <v>21</v>
      </c>
      <c r="F4456" s="1">
        <v>44256</v>
      </c>
      <c r="G4456">
        <v>5.66</v>
      </c>
      <c r="H4456">
        <v>81.6267</v>
      </c>
      <c r="I4456">
        <v>13.75</v>
      </c>
      <c r="J4456">
        <v>76.38</v>
      </c>
      <c r="K4456" t="s">
        <v>30</v>
      </c>
      <c r="L4456">
        <v>886.03</v>
      </c>
      <c r="M4456">
        <f>VLOOKUP(K4456,RatingLookup!$A$2:$C$8,2,FALSE)</f>
        <v>1.4999999999999999E-2</v>
      </c>
      <c r="N4456">
        <f t="shared" si="207"/>
        <v>1.2586770182638762E-3</v>
      </c>
      <c r="O4456">
        <f>VLOOKUP(K4456,RatingLookup!$A$2:$C$8,3,FALSE)</f>
        <v>0.5</v>
      </c>
      <c r="P4456">
        <f t="shared" si="208"/>
        <v>0.55761279924617113</v>
      </c>
      <c r="Q4456" t="str">
        <f t="shared" ca="1" si="209"/>
        <v>No</v>
      </c>
    </row>
    <row r="4457" spans="1:17" x14ac:dyDescent="0.45">
      <c r="A4457" t="s">
        <v>184</v>
      </c>
      <c r="B4457" t="s">
        <v>185</v>
      </c>
      <c r="C4457" t="s">
        <v>29</v>
      </c>
      <c r="D4457" t="s">
        <v>20</v>
      </c>
      <c r="E4457" t="s">
        <v>21</v>
      </c>
      <c r="F4457" s="1">
        <v>44287</v>
      </c>
      <c r="G4457">
        <v>4.8600000000000003</v>
      </c>
      <c r="H4457">
        <v>78.454999999999998</v>
      </c>
      <c r="I4457">
        <v>17.43</v>
      </c>
      <c r="J4457">
        <v>85.13</v>
      </c>
      <c r="K4457" t="s">
        <v>31</v>
      </c>
      <c r="L4457">
        <v>874.92</v>
      </c>
      <c r="M4457">
        <f>VLOOKUP(K4457,RatingLookup!$A$2:$C$8,2,FALSE)</f>
        <v>0.04</v>
      </c>
      <c r="N4457">
        <f t="shared" si="207"/>
        <v>3.3960531989175591E-3</v>
      </c>
      <c r="O4457">
        <f>VLOOKUP(K4457,RatingLookup!$A$2:$C$8,3,FALSE)</f>
        <v>0.6</v>
      </c>
      <c r="P4457">
        <f t="shared" si="208"/>
        <v>1.7827649188781705</v>
      </c>
      <c r="Q4457" t="str">
        <f t="shared" ca="1" si="209"/>
        <v>No</v>
      </c>
    </row>
    <row r="4458" spans="1:17" x14ac:dyDescent="0.45">
      <c r="A4458" t="s">
        <v>184</v>
      </c>
      <c r="B4458" t="s">
        <v>185</v>
      </c>
      <c r="C4458" t="s">
        <v>29</v>
      </c>
      <c r="D4458" t="s">
        <v>20</v>
      </c>
      <c r="E4458" t="s">
        <v>21</v>
      </c>
      <c r="F4458" s="1">
        <v>44317</v>
      </c>
      <c r="G4458">
        <v>5.13</v>
      </c>
      <c r="H4458">
        <v>83.425299999999993</v>
      </c>
      <c r="I4458">
        <v>19.309999999999999</v>
      </c>
      <c r="J4458">
        <v>85.19</v>
      </c>
      <c r="K4458" t="s">
        <v>31</v>
      </c>
      <c r="L4458">
        <v>911.4</v>
      </c>
      <c r="M4458">
        <f>VLOOKUP(K4458,RatingLookup!$A$2:$C$8,2,FALSE)</f>
        <v>0.04</v>
      </c>
      <c r="N4458">
        <f t="shared" si="207"/>
        <v>3.3960531989175591E-3</v>
      </c>
      <c r="O4458">
        <f>VLOOKUP(K4458,RatingLookup!$A$2:$C$8,3,FALSE)</f>
        <v>0.6</v>
      </c>
      <c r="P4458">
        <f t="shared" si="208"/>
        <v>1.8570977312960779</v>
      </c>
      <c r="Q4458" t="str">
        <f t="shared" ca="1" si="209"/>
        <v>No</v>
      </c>
    </row>
    <row r="4459" spans="1:17" x14ac:dyDescent="0.45">
      <c r="A4459" t="s">
        <v>184</v>
      </c>
      <c r="B4459" t="s">
        <v>185</v>
      </c>
      <c r="C4459" t="s">
        <v>29</v>
      </c>
      <c r="D4459" t="s">
        <v>20</v>
      </c>
      <c r="E4459" t="s">
        <v>21</v>
      </c>
      <c r="F4459" s="1">
        <v>44348</v>
      </c>
      <c r="G4459">
        <v>5.83</v>
      </c>
      <c r="H4459">
        <v>83.375299999999996</v>
      </c>
      <c r="I4459">
        <v>17.71</v>
      </c>
      <c r="J4459">
        <v>79.599999999999994</v>
      </c>
      <c r="K4459" t="s">
        <v>31</v>
      </c>
      <c r="L4459">
        <v>799.46</v>
      </c>
      <c r="M4459">
        <f>VLOOKUP(K4459,RatingLookup!$A$2:$C$8,2,FALSE)</f>
        <v>0.04</v>
      </c>
      <c r="N4459">
        <f t="shared" si="207"/>
        <v>3.3960531989175591E-3</v>
      </c>
      <c r="O4459">
        <f>VLOOKUP(K4459,RatingLookup!$A$2:$C$8,3,FALSE)</f>
        <v>0.6</v>
      </c>
      <c r="P4459">
        <f t="shared" si="208"/>
        <v>1.629005214243979</v>
      </c>
      <c r="Q4459" t="str">
        <f t="shared" ca="1" si="209"/>
        <v>No</v>
      </c>
    </row>
    <row r="4460" spans="1:17" x14ac:dyDescent="0.45">
      <c r="A4460" t="s">
        <v>184</v>
      </c>
      <c r="B4460" t="s">
        <v>185</v>
      </c>
      <c r="C4460" t="s">
        <v>29</v>
      </c>
      <c r="D4460" t="s">
        <v>20</v>
      </c>
      <c r="E4460" t="s">
        <v>21</v>
      </c>
      <c r="F4460" s="1">
        <v>44378</v>
      </c>
      <c r="G4460">
        <v>6.03</v>
      </c>
      <c r="H4460">
        <v>85.735799999999998</v>
      </c>
      <c r="I4460">
        <v>22.33</v>
      </c>
      <c r="J4460">
        <v>75.510000000000005</v>
      </c>
      <c r="K4460" t="s">
        <v>31</v>
      </c>
      <c r="L4460">
        <v>836.71</v>
      </c>
      <c r="M4460">
        <f>VLOOKUP(K4460,RatingLookup!$A$2:$C$8,2,FALSE)</f>
        <v>0.04</v>
      </c>
      <c r="N4460">
        <f t="shared" si="207"/>
        <v>3.3960531989175591E-3</v>
      </c>
      <c r="O4460">
        <f>VLOOKUP(K4460,RatingLookup!$A$2:$C$8,3,FALSE)</f>
        <v>0.6</v>
      </c>
      <c r="P4460">
        <f t="shared" si="208"/>
        <v>1.7049070032397866</v>
      </c>
      <c r="Q4460" t="str">
        <f t="shared" ca="1" si="209"/>
        <v>No</v>
      </c>
    </row>
    <row r="4461" spans="1:17" x14ac:dyDescent="0.45">
      <c r="A4461" t="s">
        <v>184</v>
      </c>
      <c r="B4461" t="s">
        <v>185</v>
      </c>
      <c r="C4461" t="s">
        <v>29</v>
      </c>
      <c r="D4461" t="s">
        <v>20</v>
      </c>
      <c r="E4461" t="s">
        <v>21</v>
      </c>
      <c r="F4461" s="1">
        <v>44409</v>
      </c>
      <c r="G4461">
        <v>6.03</v>
      </c>
      <c r="H4461">
        <v>82.529499999999999</v>
      </c>
      <c r="I4461">
        <v>16.28</v>
      </c>
      <c r="J4461">
        <v>81.06</v>
      </c>
      <c r="K4461" t="s">
        <v>31</v>
      </c>
      <c r="L4461">
        <v>851.09</v>
      </c>
      <c r="M4461">
        <f>VLOOKUP(K4461,RatingLookup!$A$2:$C$8,2,FALSE)</f>
        <v>0.04</v>
      </c>
      <c r="N4461">
        <f t="shared" si="207"/>
        <v>3.3960531989175591E-3</v>
      </c>
      <c r="O4461">
        <f>VLOOKUP(K4461,RatingLookup!$A$2:$C$8,3,FALSE)</f>
        <v>0.6</v>
      </c>
      <c r="P4461">
        <f t="shared" si="208"/>
        <v>1.734208150240047</v>
      </c>
      <c r="Q4461" t="str">
        <f t="shared" ca="1" si="209"/>
        <v>No</v>
      </c>
    </row>
    <row r="4462" spans="1:17" x14ac:dyDescent="0.45">
      <c r="A4462" t="s">
        <v>184</v>
      </c>
      <c r="B4462" t="s">
        <v>185</v>
      </c>
      <c r="C4462" t="s">
        <v>29</v>
      </c>
      <c r="D4462" t="s">
        <v>20</v>
      </c>
      <c r="E4462" t="s">
        <v>21</v>
      </c>
      <c r="F4462" s="1">
        <v>44440</v>
      </c>
      <c r="G4462">
        <v>5.66</v>
      </c>
      <c r="H4462">
        <v>86.778400000000005</v>
      </c>
      <c r="I4462">
        <v>20.48</v>
      </c>
      <c r="J4462">
        <v>87.42</v>
      </c>
      <c r="K4462" t="s">
        <v>31</v>
      </c>
      <c r="L4462">
        <v>901.11</v>
      </c>
      <c r="M4462">
        <f>VLOOKUP(K4462,RatingLookup!$A$2:$C$8,2,FALSE)</f>
        <v>0.04</v>
      </c>
      <c r="N4462">
        <f t="shared" si="207"/>
        <v>3.3960531989175591E-3</v>
      </c>
      <c r="O4462">
        <f>VLOOKUP(K4462,RatingLookup!$A$2:$C$8,3,FALSE)</f>
        <v>0.6</v>
      </c>
      <c r="P4462">
        <f t="shared" si="208"/>
        <v>1.836130498845961</v>
      </c>
      <c r="Q4462" t="str">
        <f t="shared" ca="1" si="209"/>
        <v>No</v>
      </c>
    </row>
    <row r="4463" spans="1:17" x14ac:dyDescent="0.45">
      <c r="A4463" t="s">
        <v>184</v>
      </c>
      <c r="B4463" t="s">
        <v>185</v>
      </c>
      <c r="C4463" t="s">
        <v>29</v>
      </c>
      <c r="D4463" t="s">
        <v>20</v>
      </c>
      <c r="E4463" t="s">
        <v>21</v>
      </c>
      <c r="F4463" s="1">
        <v>44470</v>
      </c>
      <c r="G4463">
        <v>5.43</v>
      </c>
      <c r="H4463">
        <v>84.866699999999994</v>
      </c>
      <c r="I4463">
        <v>21.23</v>
      </c>
      <c r="J4463">
        <v>87.13</v>
      </c>
      <c r="K4463" t="s">
        <v>31</v>
      </c>
      <c r="L4463">
        <v>871.57</v>
      </c>
      <c r="M4463">
        <f>VLOOKUP(K4463,RatingLookup!$A$2:$C$8,2,FALSE)</f>
        <v>0.04</v>
      </c>
      <c r="N4463">
        <f t="shared" si="207"/>
        <v>3.3960531989175591E-3</v>
      </c>
      <c r="O4463">
        <f>VLOOKUP(K4463,RatingLookup!$A$2:$C$8,3,FALSE)</f>
        <v>0.6</v>
      </c>
      <c r="P4463">
        <f t="shared" si="208"/>
        <v>1.7759388519483463</v>
      </c>
      <c r="Q4463" t="str">
        <f t="shared" ca="1" si="209"/>
        <v>No</v>
      </c>
    </row>
    <row r="4464" spans="1:17" x14ac:dyDescent="0.45">
      <c r="A4464" t="s">
        <v>184</v>
      </c>
      <c r="B4464" t="s">
        <v>185</v>
      </c>
      <c r="C4464" t="s">
        <v>29</v>
      </c>
      <c r="D4464" t="s">
        <v>20</v>
      </c>
      <c r="E4464" t="s">
        <v>21</v>
      </c>
      <c r="F4464" s="1">
        <v>44501</v>
      </c>
      <c r="G4464">
        <v>6.1</v>
      </c>
      <c r="H4464">
        <v>81.948700000000002</v>
      </c>
      <c r="I4464">
        <v>24.82</v>
      </c>
      <c r="J4464">
        <v>91.31</v>
      </c>
      <c r="K4464" t="s">
        <v>31</v>
      </c>
      <c r="L4464">
        <v>907.72</v>
      </c>
      <c r="M4464">
        <f>VLOOKUP(K4464,RatingLookup!$A$2:$C$8,2,FALSE)</f>
        <v>0.04</v>
      </c>
      <c r="N4464">
        <f t="shared" si="207"/>
        <v>3.3960531989175591E-3</v>
      </c>
      <c r="O4464">
        <f>VLOOKUP(K4464,RatingLookup!$A$2:$C$8,3,FALSE)</f>
        <v>0.6</v>
      </c>
      <c r="P4464">
        <f t="shared" si="208"/>
        <v>1.8495992458328681</v>
      </c>
      <c r="Q4464" t="str">
        <f t="shared" ca="1" si="209"/>
        <v>No</v>
      </c>
    </row>
    <row r="4465" spans="1:17" x14ac:dyDescent="0.45">
      <c r="A4465" t="s">
        <v>184</v>
      </c>
      <c r="B4465" t="s">
        <v>185</v>
      </c>
      <c r="C4465" t="s">
        <v>29</v>
      </c>
      <c r="D4465" t="s">
        <v>20</v>
      </c>
      <c r="E4465" t="s">
        <v>21</v>
      </c>
      <c r="F4465" s="1">
        <v>44531</v>
      </c>
      <c r="G4465">
        <v>6.04</v>
      </c>
      <c r="H4465">
        <v>82.444999999999993</v>
      </c>
      <c r="I4465">
        <v>23.83</v>
      </c>
      <c r="J4465">
        <v>78.44</v>
      </c>
      <c r="K4465" t="s">
        <v>31</v>
      </c>
      <c r="L4465">
        <v>803.66</v>
      </c>
      <c r="M4465">
        <f>VLOOKUP(K4465,RatingLookup!$A$2:$C$8,2,FALSE)</f>
        <v>0.04</v>
      </c>
      <c r="N4465">
        <f t="shared" si="207"/>
        <v>3.3960531989175591E-3</v>
      </c>
      <c r="O4465">
        <f>VLOOKUP(K4465,RatingLookup!$A$2:$C$8,3,FALSE)</f>
        <v>0.6</v>
      </c>
      <c r="P4465">
        <f t="shared" si="208"/>
        <v>1.6375632683052512</v>
      </c>
      <c r="Q4465" t="str">
        <f t="shared" ca="1" si="209"/>
        <v>No</v>
      </c>
    </row>
    <row r="4466" spans="1:17" x14ac:dyDescent="0.45">
      <c r="A4466" t="s">
        <v>184</v>
      </c>
      <c r="B4466" t="s">
        <v>185</v>
      </c>
      <c r="C4466" t="s">
        <v>29</v>
      </c>
      <c r="D4466" t="s">
        <v>20</v>
      </c>
      <c r="E4466" t="s">
        <v>21</v>
      </c>
      <c r="F4466" s="1">
        <v>44562</v>
      </c>
      <c r="G4466">
        <v>4.62</v>
      </c>
      <c r="H4466">
        <v>81.267600000000002</v>
      </c>
      <c r="I4466">
        <v>34.61</v>
      </c>
      <c r="J4466">
        <v>80.2</v>
      </c>
      <c r="K4466" t="s">
        <v>31</v>
      </c>
      <c r="L4466">
        <v>888.05</v>
      </c>
      <c r="M4466">
        <f>VLOOKUP(K4466,RatingLookup!$A$2:$C$8,2,FALSE)</f>
        <v>0.04</v>
      </c>
      <c r="N4466">
        <f t="shared" si="207"/>
        <v>3.3960531989175591E-3</v>
      </c>
      <c r="O4466">
        <f>VLOOKUP(K4466,RatingLookup!$A$2:$C$8,3,FALSE)</f>
        <v>0.6</v>
      </c>
      <c r="P4466">
        <f t="shared" si="208"/>
        <v>1.8095190259792429</v>
      </c>
      <c r="Q4466" t="str">
        <f t="shared" ca="1" si="209"/>
        <v>No</v>
      </c>
    </row>
    <row r="4467" spans="1:17" x14ac:dyDescent="0.45">
      <c r="A4467" t="s">
        <v>184</v>
      </c>
      <c r="B4467" t="s">
        <v>185</v>
      </c>
      <c r="C4467" t="s">
        <v>29</v>
      </c>
      <c r="D4467" t="s">
        <v>20</v>
      </c>
      <c r="E4467" t="s">
        <v>21</v>
      </c>
      <c r="F4467" s="1">
        <v>44593</v>
      </c>
      <c r="G4467">
        <v>4.62</v>
      </c>
      <c r="H4467">
        <v>86.261499999999998</v>
      </c>
      <c r="I4467">
        <v>11.04</v>
      </c>
      <c r="J4467">
        <v>76.56</v>
      </c>
      <c r="K4467" t="s">
        <v>31</v>
      </c>
      <c r="L4467">
        <v>843.33</v>
      </c>
      <c r="M4467">
        <f>VLOOKUP(K4467,RatingLookup!$A$2:$C$8,2,FALSE)</f>
        <v>0.04</v>
      </c>
      <c r="N4467">
        <f t="shared" si="207"/>
        <v>3.3960531989175591E-3</v>
      </c>
      <c r="O4467">
        <f>VLOOKUP(K4467,RatingLookup!$A$2:$C$8,3,FALSE)</f>
        <v>0.6</v>
      </c>
      <c r="P4467">
        <f t="shared" si="208"/>
        <v>1.7183961265458871</v>
      </c>
      <c r="Q4467" t="str">
        <f t="shared" ca="1" si="209"/>
        <v>No</v>
      </c>
    </row>
    <row r="4468" spans="1:17" x14ac:dyDescent="0.45">
      <c r="A4468" t="s">
        <v>184</v>
      </c>
      <c r="B4468" t="s">
        <v>185</v>
      </c>
      <c r="C4468" t="s">
        <v>29</v>
      </c>
      <c r="D4468" t="s">
        <v>20</v>
      </c>
      <c r="E4468" t="s">
        <v>21</v>
      </c>
      <c r="F4468" s="1">
        <v>44621</v>
      </c>
      <c r="G4468">
        <v>6.08</v>
      </c>
      <c r="H4468">
        <v>84.062399999999997</v>
      </c>
      <c r="I4468">
        <v>21.91</v>
      </c>
      <c r="J4468">
        <v>74.06</v>
      </c>
      <c r="K4468" t="s">
        <v>31</v>
      </c>
      <c r="L4468">
        <v>820.68</v>
      </c>
      <c r="M4468">
        <f>VLOOKUP(K4468,RatingLookup!$A$2:$C$8,2,FALSE)</f>
        <v>0.04</v>
      </c>
      <c r="N4468">
        <f t="shared" si="207"/>
        <v>3.3960531989175591E-3</v>
      </c>
      <c r="O4468">
        <f>VLOOKUP(K4468,RatingLookup!$A$2:$C$8,3,FALSE)</f>
        <v>0.6</v>
      </c>
      <c r="P4468">
        <f t="shared" si="208"/>
        <v>1.6722437635725973</v>
      </c>
      <c r="Q4468" t="str">
        <f t="shared" ca="1" si="209"/>
        <v>No</v>
      </c>
    </row>
    <row r="4469" spans="1:17" x14ac:dyDescent="0.45">
      <c r="A4469" t="s">
        <v>184</v>
      </c>
      <c r="B4469" t="s">
        <v>185</v>
      </c>
      <c r="C4469" t="s">
        <v>29</v>
      </c>
      <c r="D4469" t="s">
        <v>20</v>
      </c>
      <c r="E4469" t="s">
        <v>21</v>
      </c>
      <c r="F4469" s="1">
        <v>44652</v>
      </c>
      <c r="G4469">
        <v>5.97</v>
      </c>
      <c r="H4469">
        <v>83.6126</v>
      </c>
      <c r="I4469">
        <v>10.99</v>
      </c>
      <c r="J4469">
        <v>77.540000000000006</v>
      </c>
      <c r="K4469" t="s">
        <v>30</v>
      </c>
      <c r="L4469">
        <v>989.29</v>
      </c>
      <c r="M4469">
        <f>VLOOKUP(K4469,RatingLookup!$A$2:$C$8,2,FALSE)</f>
        <v>1.4999999999999999E-2</v>
      </c>
      <c r="N4469">
        <f t="shared" si="207"/>
        <v>1.2586770182638762E-3</v>
      </c>
      <c r="O4469">
        <f>VLOOKUP(K4469,RatingLookup!$A$2:$C$8,3,FALSE)</f>
        <v>0.5</v>
      </c>
      <c r="P4469">
        <f t="shared" si="208"/>
        <v>0.622598293699135</v>
      </c>
      <c r="Q4469" t="str">
        <f t="shared" ca="1" si="209"/>
        <v>No</v>
      </c>
    </row>
    <row r="4470" spans="1:17" x14ac:dyDescent="0.45">
      <c r="A4470" t="s">
        <v>184</v>
      </c>
      <c r="B4470" t="s">
        <v>185</v>
      </c>
      <c r="C4470" t="s">
        <v>29</v>
      </c>
      <c r="D4470" t="s">
        <v>20</v>
      </c>
      <c r="E4470" t="s">
        <v>21</v>
      </c>
      <c r="F4470" s="1">
        <v>44682</v>
      </c>
      <c r="G4470">
        <v>6.09</v>
      </c>
      <c r="H4470">
        <v>81.058000000000007</v>
      </c>
      <c r="I4470">
        <v>9.34</v>
      </c>
      <c r="J4470">
        <v>72.81</v>
      </c>
      <c r="K4470" t="s">
        <v>30</v>
      </c>
      <c r="L4470">
        <v>912.76</v>
      </c>
      <c r="M4470">
        <f>VLOOKUP(K4470,RatingLookup!$A$2:$C$8,2,FALSE)</f>
        <v>1.4999999999999999E-2</v>
      </c>
      <c r="N4470">
        <f t="shared" si="207"/>
        <v>1.2586770182638762E-3</v>
      </c>
      <c r="O4470">
        <f>VLOOKUP(K4470,RatingLookup!$A$2:$C$8,3,FALSE)</f>
        <v>0.5</v>
      </c>
      <c r="P4470">
        <f t="shared" si="208"/>
        <v>0.57443501759526783</v>
      </c>
      <c r="Q4470" t="str">
        <f t="shared" ca="1" si="209"/>
        <v>No</v>
      </c>
    </row>
    <row r="4471" spans="1:17" x14ac:dyDescent="0.45">
      <c r="A4471" t="s">
        <v>184</v>
      </c>
      <c r="B4471" t="s">
        <v>185</v>
      </c>
      <c r="C4471" t="s">
        <v>29</v>
      </c>
      <c r="D4471" t="s">
        <v>20</v>
      </c>
      <c r="E4471" t="s">
        <v>21</v>
      </c>
      <c r="F4471" s="1">
        <v>44713</v>
      </c>
      <c r="G4471">
        <v>5.25</v>
      </c>
      <c r="H4471">
        <v>76.605000000000004</v>
      </c>
      <c r="I4471">
        <v>25.31</v>
      </c>
      <c r="J4471">
        <v>85.45</v>
      </c>
      <c r="K4471" t="s">
        <v>30</v>
      </c>
      <c r="L4471">
        <v>933.96</v>
      </c>
      <c r="M4471">
        <f>VLOOKUP(K4471,RatingLookup!$A$2:$C$8,2,FALSE)</f>
        <v>1.4999999999999999E-2</v>
      </c>
      <c r="N4471">
        <f t="shared" si="207"/>
        <v>1.2586770182638762E-3</v>
      </c>
      <c r="O4471">
        <f>VLOOKUP(K4471,RatingLookup!$A$2:$C$8,3,FALSE)</f>
        <v>0.5</v>
      </c>
      <c r="P4471">
        <f t="shared" si="208"/>
        <v>0.58777699398886496</v>
      </c>
      <c r="Q4471" t="str">
        <f t="shared" ca="1" si="209"/>
        <v>No</v>
      </c>
    </row>
    <row r="4472" spans="1:17" x14ac:dyDescent="0.45">
      <c r="A4472" t="s">
        <v>184</v>
      </c>
      <c r="B4472" t="s">
        <v>185</v>
      </c>
      <c r="C4472" t="s">
        <v>29</v>
      </c>
      <c r="D4472" t="s">
        <v>20</v>
      </c>
      <c r="E4472" t="s">
        <v>21</v>
      </c>
      <c r="F4472" s="1">
        <v>44743</v>
      </c>
      <c r="G4472">
        <v>5.91</v>
      </c>
      <c r="H4472">
        <v>82.579499999999996</v>
      </c>
      <c r="I4472">
        <v>23.9</v>
      </c>
      <c r="J4472">
        <v>60.93</v>
      </c>
      <c r="K4472" t="s">
        <v>30</v>
      </c>
      <c r="L4472">
        <v>993.57</v>
      </c>
      <c r="M4472">
        <f>VLOOKUP(K4472,RatingLookup!$A$2:$C$8,2,FALSE)</f>
        <v>1.4999999999999999E-2</v>
      </c>
      <c r="N4472">
        <f t="shared" si="207"/>
        <v>1.2586770182638762E-3</v>
      </c>
      <c r="O4472">
        <f>VLOOKUP(K4472,RatingLookup!$A$2:$C$8,3,FALSE)</f>
        <v>0.5</v>
      </c>
      <c r="P4472">
        <f t="shared" si="208"/>
        <v>0.62529186251821978</v>
      </c>
      <c r="Q4472" t="str">
        <f t="shared" ca="1" si="209"/>
        <v>No</v>
      </c>
    </row>
    <row r="4473" spans="1:17" x14ac:dyDescent="0.45">
      <c r="A4473" t="s">
        <v>184</v>
      </c>
      <c r="B4473" t="s">
        <v>185</v>
      </c>
      <c r="C4473" t="s">
        <v>29</v>
      </c>
      <c r="D4473" t="s">
        <v>20</v>
      </c>
      <c r="E4473" t="s">
        <v>21</v>
      </c>
      <c r="F4473" s="1">
        <v>44774</v>
      </c>
      <c r="G4473">
        <v>5.39</v>
      </c>
      <c r="H4473">
        <v>77.625500000000002</v>
      </c>
      <c r="I4473">
        <v>19.93</v>
      </c>
      <c r="J4473">
        <v>56.97</v>
      </c>
      <c r="K4473" t="s">
        <v>30</v>
      </c>
      <c r="L4473">
        <v>939.79</v>
      </c>
      <c r="M4473">
        <f>VLOOKUP(K4473,RatingLookup!$A$2:$C$8,2,FALSE)</f>
        <v>1.4999999999999999E-2</v>
      </c>
      <c r="N4473">
        <f t="shared" si="207"/>
        <v>1.2586770182638762E-3</v>
      </c>
      <c r="O4473">
        <f>VLOOKUP(K4473,RatingLookup!$A$2:$C$8,3,FALSE)</f>
        <v>0.5</v>
      </c>
      <c r="P4473">
        <f t="shared" si="208"/>
        <v>0.59144603749710412</v>
      </c>
      <c r="Q4473" t="str">
        <f t="shared" ca="1" si="209"/>
        <v>No</v>
      </c>
    </row>
    <row r="4474" spans="1:17" x14ac:dyDescent="0.45">
      <c r="A4474" t="s">
        <v>184</v>
      </c>
      <c r="B4474" t="s">
        <v>185</v>
      </c>
      <c r="C4474" t="s">
        <v>29</v>
      </c>
      <c r="D4474" t="s">
        <v>20</v>
      </c>
      <c r="E4474" t="s">
        <v>21</v>
      </c>
      <c r="F4474" s="1">
        <v>44805</v>
      </c>
      <c r="G4474">
        <v>5.61</v>
      </c>
      <c r="H4474">
        <v>81.452200000000005</v>
      </c>
      <c r="I4474">
        <v>17.66</v>
      </c>
      <c r="J4474">
        <v>52.33</v>
      </c>
      <c r="K4474" t="s">
        <v>30</v>
      </c>
      <c r="L4474">
        <v>863.06</v>
      </c>
      <c r="M4474">
        <f>VLOOKUP(K4474,RatingLookup!$A$2:$C$8,2,FALSE)</f>
        <v>1.4999999999999999E-2</v>
      </c>
      <c r="N4474">
        <f t="shared" si="207"/>
        <v>1.2586770182638762E-3</v>
      </c>
      <c r="O4474">
        <f>VLOOKUP(K4474,RatingLookup!$A$2:$C$8,3,FALSE)</f>
        <v>0.5</v>
      </c>
      <c r="P4474">
        <f t="shared" si="208"/>
        <v>0.54315689369141051</v>
      </c>
      <c r="Q4474" t="str">
        <f t="shared" ca="1" si="209"/>
        <v>No</v>
      </c>
    </row>
    <row r="4475" spans="1:17" x14ac:dyDescent="0.45">
      <c r="A4475" t="s">
        <v>184</v>
      </c>
      <c r="B4475" t="s">
        <v>185</v>
      </c>
      <c r="C4475" t="s">
        <v>29</v>
      </c>
      <c r="D4475" t="s">
        <v>20</v>
      </c>
      <c r="E4475" t="s">
        <v>21</v>
      </c>
      <c r="F4475" s="1">
        <v>44835</v>
      </c>
      <c r="G4475">
        <v>5.03</v>
      </c>
      <c r="H4475">
        <v>80.979500000000002</v>
      </c>
      <c r="I4475">
        <v>20.47</v>
      </c>
      <c r="J4475">
        <v>50.98</v>
      </c>
      <c r="K4475" t="s">
        <v>30</v>
      </c>
      <c r="L4475">
        <v>1015.81</v>
      </c>
      <c r="M4475">
        <f>VLOOKUP(K4475,RatingLookup!$A$2:$C$8,2,FALSE)</f>
        <v>1.4999999999999999E-2</v>
      </c>
      <c r="N4475">
        <f t="shared" si="207"/>
        <v>1.2586770182638762E-3</v>
      </c>
      <c r="O4475">
        <f>VLOOKUP(K4475,RatingLookup!$A$2:$C$8,3,FALSE)</f>
        <v>0.5</v>
      </c>
      <c r="P4475">
        <f t="shared" si="208"/>
        <v>0.63928835096131398</v>
      </c>
      <c r="Q4475" t="str">
        <f t="shared" ca="1" si="209"/>
        <v>No</v>
      </c>
    </row>
    <row r="4476" spans="1:17" x14ac:dyDescent="0.45">
      <c r="A4476" t="s">
        <v>184</v>
      </c>
      <c r="B4476" t="s">
        <v>185</v>
      </c>
      <c r="C4476" t="s">
        <v>29</v>
      </c>
      <c r="D4476" t="s">
        <v>20</v>
      </c>
      <c r="E4476" t="s">
        <v>21</v>
      </c>
      <c r="F4476" s="1">
        <v>44866</v>
      </c>
      <c r="G4476">
        <v>5.86</v>
      </c>
      <c r="H4476">
        <v>87.027299999999997</v>
      </c>
      <c r="I4476">
        <v>15.15</v>
      </c>
      <c r="J4476">
        <v>85.29</v>
      </c>
      <c r="K4476" t="s">
        <v>30</v>
      </c>
      <c r="L4476">
        <v>890.42</v>
      </c>
      <c r="M4476">
        <f>VLOOKUP(K4476,RatingLookup!$A$2:$C$8,2,FALSE)</f>
        <v>1.4999999999999999E-2</v>
      </c>
      <c r="N4476">
        <f t="shared" si="207"/>
        <v>1.2586770182638762E-3</v>
      </c>
      <c r="O4476">
        <f>VLOOKUP(K4476,RatingLookup!$A$2:$C$8,3,FALSE)</f>
        <v>0.5</v>
      </c>
      <c r="P4476">
        <f t="shared" si="208"/>
        <v>0.56037559530126035</v>
      </c>
      <c r="Q4476" t="str">
        <f t="shared" ca="1" si="209"/>
        <v>No</v>
      </c>
    </row>
    <row r="4477" spans="1:17" x14ac:dyDescent="0.45">
      <c r="A4477" t="s">
        <v>184</v>
      </c>
      <c r="B4477" t="s">
        <v>185</v>
      </c>
      <c r="C4477" t="s">
        <v>29</v>
      </c>
      <c r="D4477" t="s">
        <v>20</v>
      </c>
      <c r="E4477" t="s">
        <v>21</v>
      </c>
      <c r="F4477" s="1">
        <v>44896</v>
      </c>
      <c r="G4477">
        <v>6.06</v>
      </c>
      <c r="H4477">
        <v>84.442800000000005</v>
      </c>
      <c r="I4477">
        <v>12.3</v>
      </c>
      <c r="J4477">
        <v>84.29</v>
      </c>
      <c r="K4477" t="s">
        <v>30</v>
      </c>
      <c r="L4477">
        <v>858.6</v>
      </c>
      <c r="M4477">
        <f>VLOOKUP(K4477,RatingLookup!$A$2:$C$8,2,FALSE)</f>
        <v>1.4999999999999999E-2</v>
      </c>
      <c r="N4477">
        <f t="shared" si="207"/>
        <v>1.2586770182638762E-3</v>
      </c>
      <c r="O4477">
        <f>VLOOKUP(K4477,RatingLookup!$A$2:$C$8,3,FALSE)</f>
        <v>0.5</v>
      </c>
      <c r="P4477">
        <f t="shared" si="208"/>
        <v>0.54035004394068209</v>
      </c>
      <c r="Q4477" t="str">
        <f t="shared" ca="1" si="209"/>
        <v>No</v>
      </c>
    </row>
    <row r="4478" spans="1:17" x14ac:dyDescent="0.45">
      <c r="A4478" t="s">
        <v>184</v>
      </c>
      <c r="B4478" t="s">
        <v>185</v>
      </c>
      <c r="C4478" t="s">
        <v>29</v>
      </c>
      <c r="D4478" t="s">
        <v>20</v>
      </c>
      <c r="E4478" t="s">
        <v>21</v>
      </c>
      <c r="F4478" s="1">
        <v>44927</v>
      </c>
      <c r="G4478">
        <v>5.5</v>
      </c>
      <c r="H4478">
        <v>85.215900000000005</v>
      </c>
      <c r="I4478">
        <v>11.26</v>
      </c>
      <c r="J4478">
        <v>82.61</v>
      </c>
      <c r="K4478" t="s">
        <v>30</v>
      </c>
      <c r="L4478">
        <v>912.33</v>
      </c>
      <c r="M4478">
        <f>VLOOKUP(K4478,RatingLookup!$A$2:$C$8,2,FALSE)</f>
        <v>1.4999999999999999E-2</v>
      </c>
      <c r="N4478">
        <f t="shared" si="207"/>
        <v>1.2586770182638762E-3</v>
      </c>
      <c r="O4478">
        <f>VLOOKUP(K4478,RatingLookup!$A$2:$C$8,3,FALSE)</f>
        <v>0.5</v>
      </c>
      <c r="P4478">
        <f t="shared" si="208"/>
        <v>0.57416440203634111</v>
      </c>
      <c r="Q4478" t="str">
        <f t="shared" ca="1" si="209"/>
        <v>No</v>
      </c>
    </row>
    <row r="4479" spans="1:17" x14ac:dyDescent="0.45">
      <c r="A4479" t="s">
        <v>184</v>
      </c>
      <c r="B4479" t="s">
        <v>185</v>
      </c>
      <c r="C4479" t="s">
        <v>29</v>
      </c>
      <c r="D4479" t="s">
        <v>20</v>
      </c>
      <c r="E4479" t="s">
        <v>21</v>
      </c>
      <c r="F4479" s="1">
        <v>44958</v>
      </c>
      <c r="G4479">
        <v>4.88</v>
      </c>
      <c r="H4479">
        <v>85.090599999999995</v>
      </c>
      <c r="I4479">
        <v>20.58</v>
      </c>
      <c r="J4479">
        <v>78.33</v>
      </c>
      <c r="K4479" t="s">
        <v>30</v>
      </c>
      <c r="L4479">
        <v>925.81</v>
      </c>
      <c r="M4479">
        <f>VLOOKUP(K4479,RatingLookup!$A$2:$C$8,2,FALSE)</f>
        <v>1.4999999999999999E-2</v>
      </c>
      <c r="N4479">
        <f t="shared" si="207"/>
        <v>1.2586770182638762E-3</v>
      </c>
      <c r="O4479">
        <f>VLOOKUP(K4479,RatingLookup!$A$2:$C$8,3,FALSE)</f>
        <v>0.5</v>
      </c>
      <c r="P4479">
        <f t="shared" si="208"/>
        <v>0.58264788513943955</v>
      </c>
      <c r="Q4479" t="str">
        <f t="shared" ca="1" si="209"/>
        <v>No</v>
      </c>
    </row>
    <row r="4480" spans="1:17" x14ac:dyDescent="0.45">
      <c r="A4480" t="s">
        <v>184</v>
      </c>
      <c r="B4480" t="s">
        <v>185</v>
      </c>
      <c r="C4480" t="s">
        <v>29</v>
      </c>
      <c r="D4480" t="s">
        <v>20</v>
      </c>
      <c r="E4480" t="s">
        <v>21</v>
      </c>
      <c r="F4480" s="1">
        <v>44986</v>
      </c>
      <c r="G4480">
        <v>5.48</v>
      </c>
      <c r="H4480">
        <v>80.869200000000006</v>
      </c>
      <c r="I4480">
        <v>17.05</v>
      </c>
      <c r="J4480">
        <v>64.56</v>
      </c>
      <c r="K4480" t="s">
        <v>30</v>
      </c>
      <c r="L4480">
        <v>969.28</v>
      </c>
      <c r="M4480">
        <f>VLOOKUP(K4480,RatingLookup!$A$2:$C$8,2,FALSE)</f>
        <v>1.4999999999999999E-2</v>
      </c>
      <c r="N4480">
        <f t="shared" si="207"/>
        <v>1.2586770182638762E-3</v>
      </c>
      <c r="O4480">
        <f>VLOOKUP(K4480,RatingLookup!$A$2:$C$8,3,FALSE)</f>
        <v>0.5</v>
      </c>
      <c r="P4480">
        <f t="shared" si="208"/>
        <v>0.61000523013140495</v>
      </c>
      <c r="Q4480" t="str">
        <f t="shared" ca="1" si="209"/>
        <v>No</v>
      </c>
    </row>
    <row r="4481" spans="1:17" x14ac:dyDescent="0.45">
      <c r="A4481" t="s">
        <v>184</v>
      </c>
      <c r="B4481" t="s">
        <v>185</v>
      </c>
      <c r="C4481" t="s">
        <v>29</v>
      </c>
      <c r="D4481" t="s">
        <v>20</v>
      </c>
      <c r="E4481" t="s">
        <v>21</v>
      </c>
      <c r="F4481" s="1">
        <v>45017</v>
      </c>
      <c r="G4481">
        <v>6.23</v>
      </c>
      <c r="H4481">
        <v>84.632599999999996</v>
      </c>
      <c r="I4481">
        <v>18.89</v>
      </c>
      <c r="J4481">
        <v>92.35</v>
      </c>
      <c r="K4481" t="s">
        <v>30</v>
      </c>
      <c r="L4481">
        <v>961.02</v>
      </c>
      <c r="M4481">
        <f>VLOOKUP(K4481,RatingLookup!$A$2:$C$8,2,FALSE)</f>
        <v>1.4999999999999999E-2</v>
      </c>
      <c r="N4481">
        <f t="shared" si="207"/>
        <v>1.2586770182638762E-3</v>
      </c>
      <c r="O4481">
        <f>VLOOKUP(K4481,RatingLookup!$A$2:$C$8,3,FALSE)</f>
        <v>0.5</v>
      </c>
      <c r="P4481">
        <f t="shared" si="208"/>
        <v>0.60480689404597521</v>
      </c>
      <c r="Q4481" t="str">
        <f t="shared" ca="1" si="209"/>
        <v>No</v>
      </c>
    </row>
    <row r="4482" spans="1:17" x14ac:dyDescent="0.45">
      <c r="A4482" t="s">
        <v>184</v>
      </c>
      <c r="B4482" t="s">
        <v>185</v>
      </c>
      <c r="C4482" t="s">
        <v>29</v>
      </c>
      <c r="D4482" t="s">
        <v>20</v>
      </c>
      <c r="E4482" t="s">
        <v>21</v>
      </c>
      <c r="F4482" s="1">
        <v>45047</v>
      </c>
      <c r="G4482">
        <v>5.36</v>
      </c>
      <c r="H4482">
        <v>84.522599999999997</v>
      </c>
      <c r="I4482">
        <v>7.21</v>
      </c>
      <c r="J4482">
        <v>67.38</v>
      </c>
      <c r="K4482" t="s">
        <v>30</v>
      </c>
      <c r="L4482">
        <v>952.42</v>
      </c>
      <c r="M4482">
        <f>VLOOKUP(K4482,RatingLookup!$A$2:$C$8,2,FALSE)</f>
        <v>1.4999999999999999E-2</v>
      </c>
      <c r="N4482">
        <f t="shared" ref="N4482:N4545" si="210">1-(1-M4482)^(1/12)</f>
        <v>1.2586770182638762E-3</v>
      </c>
      <c r="O4482">
        <f>VLOOKUP(K4482,RatingLookup!$A$2:$C$8,3,FALSE)</f>
        <v>0.5</v>
      </c>
      <c r="P4482">
        <f t="shared" ref="P4482:P4545" si="211">L4482*N4482*O4482</f>
        <v>0.59939458286744052</v>
      </c>
      <c r="Q4482" t="str">
        <f t="shared" ref="Q4482:Q4545" ca="1" si="212">IF(RAND()&lt;N4482,"Yes","No")</f>
        <v>No</v>
      </c>
    </row>
    <row r="4483" spans="1:17" x14ac:dyDescent="0.45">
      <c r="A4483" t="s">
        <v>184</v>
      </c>
      <c r="B4483" t="s">
        <v>185</v>
      </c>
      <c r="C4483" t="s">
        <v>29</v>
      </c>
      <c r="D4483" t="s">
        <v>20</v>
      </c>
      <c r="E4483" t="s">
        <v>21</v>
      </c>
      <c r="F4483" s="1">
        <v>45078</v>
      </c>
      <c r="G4483">
        <v>5.72</v>
      </c>
      <c r="H4483">
        <v>83.711100000000002</v>
      </c>
      <c r="I4483">
        <v>18.79</v>
      </c>
      <c r="J4483">
        <v>76.819999999999993</v>
      </c>
      <c r="K4483" t="s">
        <v>30</v>
      </c>
      <c r="L4483">
        <v>866.68</v>
      </c>
      <c r="M4483">
        <f>VLOOKUP(K4483,RatingLookup!$A$2:$C$8,2,FALSE)</f>
        <v>1.4999999999999999E-2</v>
      </c>
      <c r="N4483">
        <f t="shared" si="210"/>
        <v>1.2586770182638762E-3</v>
      </c>
      <c r="O4483">
        <f>VLOOKUP(K4483,RatingLookup!$A$2:$C$8,3,FALSE)</f>
        <v>0.5</v>
      </c>
      <c r="P4483">
        <f t="shared" si="211"/>
        <v>0.54543509909446808</v>
      </c>
      <c r="Q4483" t="str">
        <f t="shared" ca="1" si="212"/>
        <v>No</v>
      </c>
    </row>
    <row r="4484" spans="1:17" x14ac:dyDescent="0.45">
      <c r="A4484" t="s">
        <v>184</v>
      </c>
      <c r="B4484" t="s">
        <v>185</v>
      </c>
      <c r="C4484" t="s">
        <v>29</v>
      </c>
      <c r="D4484" t="s">
        <v>20</v>
      </c>
      <c r="E4484" t="s">
        <v>21</v>
      </c>
      <c r="F4484" s="1">
        <v>45108</v>
      </c>
      <c r="G4484">
        <v>5.43</v>
      </c>
      <c r="H4484">
        <v>82.89</v>
      </c>
      <c r="I4484">
        <v>10.92</v>
      </c>
      <c r="J4484">
        <v>89.61</v>
      </c>
      <c r="K4484" t="s">
        <v>30</v>
      </c>
      <c r="L4484">
        <v>1082.74</v>
      </c>
      <c r="M4484">
        <f>VLOOKUP(K4484,RatingLookup!$A$2:$C$8,2,FALSE)</f>
        <v>1.4999999999999999E-2</v>
      </c>
      <c r="N4484">
        <f t="shared" si="210"/>
        <v>1.2586770182638762E-3</v>
      </c>
      <c r="O4484">
        <f>VLOOKUP(K4484,RatingLookup!$A$2:$C$8,3,FALSE)</f>
        <v>0.5</v>
      </c>
      <c r="P4484">
        <f t="shared" si="211"/>
        <v>0.68140997737751463</v>
      </c>
      <c r="Q4484" t="str">
        <f t="shared" ca="1" si="212"/>
        <v>No</v>
      </c>
    </row>
    <row r="4485" spans="1:17" x14ac:dyDescent="0.45">
      <c r="A4485" t="s">
        <v>184</v>
      </c>
      <c r="B4485" t="s">
        <v>185</v>
      </c>
      <c r="C4485" t="s">
        <v>29</v>
      </c>
      <c r="D4485" t="s">
        <v>20</v>
      </c>
      <c r="E4485" t="s">
        <v>21</v>
      </c>
      <c r="F4485" s="1">
        <v>45139</v>
      </c>
      <c r="G4485">
        <v>6.28</v>
      </c>
      <c r="H4485">
        <v>80.247200000000007</v>
      </c>
      <c r="I4485">
        <v>13.69</v>
      </c>
      <c r="J4485">
        <v>85.89</v>
      </c>
      <c r="K4485" t="s">
        <v>30</v>
      </c>
      <c r="L4485">
        <v>975.11</v>
      </c>
      <c r="M4485">
        <f>VLOOKUP(K4485,RatingLookup!$A$2:$C$8,2,FALSE)</f>
        <v>1.4999999999999999E-2</v>
      </c>
      <c r="N4485">
        <f t="shared" si="210"/>
        <v>1.2586770182638762E-3</v>
      </c>
      <c r="O4485">
        <f>VLOOKUP(K4485,RatingLookup!$A$2:$C$8,3,FALSE)</f>
        <v>0.5</v>
      </c>
      <c r="P4485">
        <f t="shared" si="211"/>
        <v>0.61367427363964422</v>
      </c>
      <c r="Q4485" t="str">
        <f t="shared" ca="1" si="212"/>
        <v>No</v>
      </c>
    </row>
    <row r="4486" spans="1:17" x14ac:dyDescent="0.45">
      <c r="A4486" t="s">
        <v>184</v>
      </c>
      <c r="B4486" t="s">
        <v>185</v>
      </c>
      <c r="C4486" t="s">
        <v>29</v>
      </c>
      <c r="D4486" t="s">
        <v>20</v>
      </c>
      <c r="E4486" t="s">
        <v>21</v>
      </c>
      <c r="F4486" s="1">
        <v>45170</v>
      </c>
      <c r="G4486">
        <v>4.9400000000000004</v>
      </c>
      <c r="H4486">
        <v>84.016400000000004</v>
      </c>
      <c r="I4486">
        <v>19.559999999999999</v>
      </c>
      <c r="J4486">
        <v>84.35</v>
      </c>
      <c r="K4486" t="s">
        <v>30</v>
      </c>
      <c r="L4486">
        <v>950.8</v>
      </c>
      <c r="M4486">
        <f>VLOOKUP(K4486,RatingLookup!$A$2:$C$8,2,FALSE)</f>
        <v>1.4999999999999999E-2</v>
      </c>
      <c r="N4486">
        <f t="shared" si="210"/>
        <v>1.2586770182638762E-3</v>
      </c>
      <c r="O4486">
        <f>VLOOKUP(K4486,RatingLookup!$A$2:$C$8,3,FALSE)</f>
        <v>0.5</v>
      </c>
      <c r="P4486">
        <f t="shared" si="211"/>
        <v>0.59837505448264672</v>
      </c>
      <c r="Q4486" t="str">
        <f t="shared" ca="1" si="212"/>
        <v>No</v>
      </c>
    </row>
    <row r="4487" spans="1:17" x14ac:dyDescent="0.45">
      <c r="A4487" t="s">
        <v>184</v>
      </c>
      <c r="B4487" t="s">
        <v>185</v>
      </c>
      <c r="C4487" t="s">
        <v>29</v>
      </c>
      <c r="D4487" t="s">
        <v>20</v>
      </c>
      <c r="E4487" t="s">
        <v>21</v>
      </c>
      <c r="F4487" s="1">
        <v>45200</v>
      </c>
      <c r="G4487">
        <v>5.75</v>
      </c>
      <c r="H4487">
        <v>86.438400000000001</v>
      </c>
      <c r="I4487">
        <v>18.809999999999999</v>
      </c>
      <c r="J4487">
        <v>67.7</v>
      </c>
      <c r="K4487" t="s">
        <v>30</v>
      </c>
      <c r="L4487">
        <v>961.97</v>
      </c>
      <c r="M4487">
        <f>VLOOKUP(K4487,RatingLookup!$A$2:$C$8,2,FALSE)</f>
        <v>1.4999999999999999E-2</v>
      </c>
      <c r="N4487">
        <f t="shared" si="210"/>
        <v>1.2586770182638762E-3</v>
      </c>
      <c r="O4487">
        <f>VLOOKUP(K4487,RatingLookup!$A$2:$C$8,3,FALSE)</f>
        <v>0.5</v>
      </c>
      <c r="P4487">
        <f t="shared" si="211"/>
        <v>0.60540476562965051</v>
      </c>
      <c r="Q4487" t="str">
        <f t="shared" ca="1" si="212"/>
        <v>No</v>
      </c>
    </row>
    <row r="4488" spans="1:17" x14ac:dyDescent="0.45">
      <c r="A4488" t="s">
        <v>184</v>
      </c>
      <c r="B4488" t="s">
        <v>185</v>
      </c>
      <c r="C4488" t="s">
        <v>29</v>
      </c>
      <c r="D4488" t="s">
        <v>20</v>
      </c>
      <c r="E4488" t="s">
        <v>21</v>
      </c>
      <c r="F4488" s="1">
        <v>45231</v>
      </c>
      <c r="G4488">
        <v>5.4</v>
      </c>
      <c r="H4488">
        <v>81.429000000000002</v>
      </c>
      <c r="I4488">
        <v>22.42</v>
      </c>
      <c r="J4488">
        <v>74.900000000000006</v>
      </c>
      <c r="K4488" t="s">
        <v>30</v>
      </c>
      <c r="L4488">
        <v>923.55</v>
      </c>
      <c r="M4488">
        <f>VLOOKUP(K4488,RatingLookup!$A$2:$C$8,2,FALSE)</f>
        <v>1.4999999999999999E-2</v>
      </c>
      <c r="N4488">
        <f t="shared" si="210"/>
        <v>1.2586770182638762E-3</v>
      </c>
      <c r="O4488">
        <f>VLOOKUP(K4488,RatingLookup!$A$2:$C$8,3,FALSE)</f>
        <v>0.5</v>
      </c>
      <c r="P4488">
        <f t="shared" si="211"/>
        <v>0.58122558010880143</v>
      </c>
      <c r="Q4488" t="str">
        <f t="shared" ca="1" si="212"/>
        <v>No</v>
      </c>
    </row>
    <row r="4489" spans="1:17" x14ac:dyDescent="0.45">
      <c r="A4489" t="s">
        <v>184</v>
      </c>
      <c r="B4489" t="s">
        <v>185</v>
      </c>
      <c r="C4489" t="s">
        <v>29</v>
      </c>
      <c r="D4489" t="s">
        <v>20</v>
      </c>
      <c r="E4489" t="s">
        <v>21</v>
      </c>
      <c r="F4489" s="1">
        <v>45261</v>
      </c>
      <c r="G4489">
        <v>5.0199999999999996</v>
      </c>
      <c r="H4489">
        <v>78.915899999999993</v>
      </c>
      <c r="I4489">
        <v>27.08</v>
      </c>
      <c r="J4489">
        <v>73.52</v>
      </c>
      <c r="K4489" t="s">
        <v>22</v>
      </c>
      <c r="L4489">
        <v>889.78</v>
      </c>
      <c r="M4489">
        <f>VLOOKUP(K4489,RatingLookup!$A$2:$C$8,2,FALSE)</f>
        <v>5.0000000000000001E-3</v>
      </c>
      <c r="N4489">
        <f t="shared" si="210"/>
        <v>4.1762458919303302E-4</v>
      </c>
      <c r="O4489">
        <f>VLOOKUP(K4489,RatingLookup!$A$2:$C$8,3,FALSE)</f>
        <v>0.45</v>
      </c>
      <c r="P4489">
        <f t="shared" si="211"/>
        <v>0.16721730313747962</v>
      </c>
      <c r="Q4489" t="str">
        <f t="shared" ca="1" si="212"/>
        <v>No</v>
      </c>
    </row>
    <row r="4490" spans="1:17" x14ac:dyDescent="0.45">
      <c r="A4490" t="s">
        <v>184</v>
      </c>
      <c r="B4490" t="s">
        <v>185</v>
      </c>
      <c r="C4490" t="s">
        <v>29</v>
      </c>
      <c r="D4490" t="s">
        <v>20</v>
      </c>
      <c r="E4490" t="s">
        <v>21</v>
      </c>
      <c r="F4490" s="1">
        <v>45292</v>
      </c>
      <c r="G4490">
        <v>4.8899999999999997</v>
      </c>
      <c r="H4490">
        <v>82.005899999999997</v>
      </c>
      <c r="I4490">
        <v>20.66</v>
      </c>
      <c r="J4490">
        <v>76.53</v>
      </c>
      <c r="K4490" t="s">
        <v>22</v>
      </c>
      <c r="L4490">
        <v>1001.49</v>
      </c>
      <c r="M4490">
        <f>VLOOKUP(K4490,RatingLookup!$A$2:$C$8,2,FALSE)</f>
        <v>5.0000000000000001E-3</v>
      </c>
      <c r="N4490">
        <f t="shared" si="210"/>
        <v>4.1762458919303302E-4</v>
      </c>
      <c r="O4490">
        <f>VLOOKUP(K4490,RatingLookup!$A$2:$C$8,3,FALSE)</f>
        <v>0.45</v>
      </c>
      <c r="P4490">
        <f t="shared" si="211"/>
        <v>0.18821108242391879</v>
      </c>
      <c r="Q4490" t="str">
        <f t="shared" ca="1" si="212"/>
        <v>No</v>
      </c>
    </row>
    <row r="4491" spans="1:17" x14ac:dyDescent="0.45">
      <c r="A4491" t="s">
        <v>184</v>
      </c>
      <c r="B4491" t="s">
        <v>185</v>
      </c>
      <c r="C4491" t="s">
        <v>29</v>
      </c>
      <c r="D4491" t="s">
        <v>20</v>
      </c>
      <c r="E4491" t="s">
        <v>21</v>
      </c>
      <c r="F4491" s="1">
        <v>45323</v>
      </c>
      <c r="G4491">
        <v>6.02</v>
      </c>
      <c r="H4491">
        <v>81.629599999999996</v>
      </c>
      <c r="I4491">
        <v>16.16</v>
      </c>
      <c r="J4491">
        <v>84.36</v>
      </c>
      <c r="K4491" t="s">
        <v>22</v>
      </c>
      <c r="L4491">
        <v>995.42</v>
      </c>
      <c r="M4491">
        <f>VLOOKUP(K4491,RatingLookup!$A$2:$C$8,2,FALSE)</f>
        <v>5.0000000000000001E-3</v>
      </c>
      <c r="N4491">
        <f t="shared" si="210"/>
        <v>4.1762458919303302E-4</v>
      </c>
      <c r="O4491">
        <f>VLOOKUP(K4491,RatingLookup!$A$2:$C$8,3,FALSE)</f>
        <v>0.45</v>
      </c>
      <c r="P4491">
        <f t="shared" si="211"/>
        <v>0.18707034085853802</v>
      </c>
      <c r="Q4491" t="str">
        <f t="shared" ca="1" si="212"/>
        <v>No</v>
      </c>
    </row>
    <row r="4492" spans="1:17" x14ac:dyDescent="0.45">
      <c r="A4492" t="s">
        <v>184</v>
      </c>
      <c r="B4492" t="s">
        <v>185</v>
      </c>
      <c r="C4492" t="s">
        <v>29</v>
      </c>
      <c r="D4492" t="s">
        <v>20</v>
      </c>
      <c r="E4492" t="s">
        <v>21</v>
      </c>
      <c r="F4492" s="1">
        <v>45352</v>
      </c>
      <c r="G4492">
        <v>5.31</v>
      </c>
      <c r="H4492">
        <v>77.587199999999996</v>
      </c>
      <c r="I4492">
        <v>23.18</v>
      </c>
      <c r="J4492">
        <v>78.75</v>
      </c>
      <c r="K4492" t="s">
        <v>22</v>
      </c>
      <c r="L4492">
        <v>922.5</v>
      </c>
      <c r="M4492">
        <f>VLOOKUP(K4492,RatingLookup!$A$2:$C$8,2,FALSE)</f>
        <v>5.0000000000000001E-3</v>
      </c>
      <c r="N4492">
        <f t="shared" si="210"/>
        <v>4.1762458919303302E-4</v>
      </c>
      <c r="O4492">
        <f>VLOOKUP(K4492,RatingLookup!$A$2:$C$8,3,FALSE)</f>
        <v>0.45</v>
      </c>
      <c r="P4492">
        <f t="shared" si="211"/>
        <v>0.17336640758875785</v>
      </c>
      <c r="Q4492" t="str">
        <f t="shared" ca="1" si="212"/>
        <v>No</v>
      </c>
    </row>
    <row r="4493" spans="1:17" x14ac:dyDescent="0.45">
      <c r="A4493" t="s">
        <v>184</v>
      </c>
      <c r="B4493" t="s">
        <v>185</v>
      </c>
      <c r="C4493" t="s">
        <v>29</v>
      </c>
      <c r="D4493" t="s">
        <v>20</v>
      </c>
      <c r="E4493" t="s">
        <v>21</v>
      </c>
      <c r="F4493" s="1">
        <v>45383</v>
      </c>
      <c r="G4493">
        <v>5.63</v>
      </c>
      <c r="H4493">
        <v>81.324100000000001</v>
      </c>
      <c r="I4493">
        <v>7.66</v>
      </c>
      <c r="J4493">
        <v>80.03</v>
      </c>
      <c r="K4493" t="s">
        <v>22</v>
      </c>
      <c r="L4493">
        <v>1069.67</v>
      </c>
      <c r="M4493">
        <f>VLOOKUP(K4493,RatingLookup!$A$2:$C$8,2,FALSE)</f>
        <v>5.0000000000000001E-3</v>
      </c>
      <c r="N4493">
        <f t="shared" si="210"/>
        <v>4.1762458919303302E-4</v>
      </c>
      <c r="O4493">
        <f>VLOOKUP(K4493,RatingLookup!$A$2:$C$8,3,FALSE)</f>
        <v>0.45</v>
      </c>
      <c r="P4493">
        <f t="shared" si="211"/>
        <v>0.20102422244495025</v>
      </c>
      <c r="Q4493" t="str">
        <f t="shared" ca="1" si="212"/>
        <v>No</v>
      </c>
    </row>
    <row r="4494" spans="1:17" x14ac:dyDescent="0.45">
      <c r="A4494" t="s">
        <v>184</v>
      </c>
      <c r="B4494" t="s">
        <v>185</v>
      </c>
      <c r="C4494" t="s">
        <v>29</v>
      </c>
      <c r="D4494" t="s">
        <v>20</v>
      </c>
      <c r="E4494" t="s">
        <v>21</v>
      </c>
      <c r="F4494" s="1">
        <v>45413</v>
      </c>
      <c r="G4494">
        <v>5.53</v>
      </c>
      <c r="H4494">
        <v>80.302999999999997</v>
      </c>
      <c r="I4494">
        <v>15.46</v>
      </c>
      <c r="J4494">
        <v>75.94</v>
      </c>
      <c r="K4494" t="s">
        <v>22</v>
      </c>
      <c r="L4494">
        <v>918.62</v>
      </c>
      <c r="M4494">
        <f>VLOOKUP(K4494,RatingLookup!$A$2:$C$8,2,FALSE)</f>
        <v>5.0000000000000001E-3</v>
      </c>
      <c r="N4494">
        <f t="shared" si="210"/>
        <v>4.1762458919303302E-4</v>
      </c>
      <c r="O4494">
        <f>VLOOKUP(K4494,RatingLookup!$A$2:$C$8,3,FALSE)</f>
        <v>0.45</v>
      </c>
      <c r="P4494">
        <f t="shared" si="211"/>
        <v>0.17263723505602679</v>
      </c>
      <c r="Q4494" t="str">
        <f t="shared" ca="1" si="212"/>
        <v>No</v>
      </c>
    </row>
    <row r="4495" spans="1:17" x14ac:dyDescent="0.45">
      <c r="A4495" t="s">
        <v>184</v>
      </c>
      <c r="B4495" t="s">
        <v>185</v>
      </c>
      <c r="C4495" t="s">
        <v>29</v>
      </c>
      <c r="D4495" t="s">
        <v>20</v>
      </c>
      <c r="E4495" t="s">
        <v>21</v>
      </c>
      <c r="F4495" s="1">
        <v>45444</v>
      </c>
      <c r="G4495">
        <v>5.32</v>
      </c>
      <c r="H4495">
        <v>82.319800000000001</v>
      </c>
      <c r="I4495">
        <v>7.56</v>
      </c>
      <c r="J4495">
        <v>67.069999999999993</v>
      </c>
      <c r="K4495" t="s">
        <v>22</v>
      </c>
      <c r="L4495">
        <v>949.63</v>
      </c>
      <c r="M4495">
        <f>VLOOKUP(K4495,RatingLookup!$A$2:$C$8,2,FALSE)</f>
        <v>5.0000000000000001E-3</v>
      </c>
      <c r="N4495">
        <f t="shared" si="210"/>
        <v>4.1762458919303302E-4</v>
      </c>
      <c r="O4495">
        <f>VLOOKUP(K4495,RatingLookup!$A$2:$C$8,3,FALSE)</f>
        <v>0.45</v>
      </c>
      <c r="P4495">
        <f t="shared" si="211"/>
        <v>0.17846497738592099</v>
      </c>
      <c r="Q4495" t="str">
        <f t="shared" ca="1" si="212"/>
        <v>No</v>
      </c>
    </row>
    <row r="4496" spans="1:17" x14ac:dyDescent="0.45">
      <c r="A4496" t="s">
        <v>184</v>
      </c>
      <c r="B4496" t="s">
        <v>185</v>
      </c>
      <c r="C4496" t="s">
        <v>29</v>
      </c>
      <c r="D4496" t="s">
        <v>20</v>
      </c>
      <c r="E4496" t="s">
        <v>21</v>
      </c>
      <c r="F4496" s="1">
        <v>45474</v>
      </c>
      <c r="G4496">
        <v>5.46</v>
      </c>
      <c r="H4496">
        <v>79.532899999999998</v>
      </c>
      <c r="I4496">
        <v>14.16</v>
      </c>
      <c r="J4496">
        <v>82.78</v>
      </c>
      <c r="K4496" t="s">
        <v>22</v>
      </c>
      <c r="L4496">
        <v>1005.79</v>
      </c>
      <c r="M4496">
        <f>VLOOKUP(K4496,RatingLookup!$A$2:$C$8,2,FALSE)</f>
        <v>5.0000000000000001E-3</v>
      </c>
      <c r="N4496">
        <f t="shared" si="210"/>
        <v>4.1762458919303302E-4</v>
      </c>
      <c r="O4496">
        <f>VLOOKUP(K4496,RatingLookup!$A$2:$C$8,3,FALSE)</f>
        <v>0.45</v>
      </c>
      <c r="P4496">
        <f t="shared" si="211"/>
        <v>0.18901918600400733</v>
      </c>
      <c r="Q4496" t="str">
        <f t="shared" ca="1" si="212"/>
        <v>No</v>
      </c>
    </row>
    <row r="4497" spans="1:17" x14ac:dyDescent="0.45">
      <c r="A4497" t="s">
        <v>184</v>
      </c>
      <c r="B4497" t="s">
        <v>185</v>
      </c>
      <c r="C4497" t="s">
        <v>29</v>
      </c>
      <c r="D4497" t="s">
        <v>20</v>
      </c>
      <c r="E4497" t="s">
        <v>21</v>
      </c>
      <c r="F4497" s="1">
        <v>45505</v>
      </c>
      <c r="G4497">
        <v>5.62</v>
      </c>
      <c r="H4497">
        <v>80.572800000000001</v>
      </c>
      <c r="I4497">
        <v>13.51</v>
      </c>
      <c r="J4497">
        <v>78.19</v>
      </c>
      <c r="K4497" t="s">
        <v>22</v>
      </c>
      <c r="L4497">
        <v>895.17</v>
      </c>
      <c r="M4497">
        <f>VLOOKUP(K4497,RatingLookup!$A$2:$C$8,2,FALSE)</f>
        <v>5.0000000000000001E-3</v>
      </c>
      <c r="N4497">
        <f t="shared" si="210"/>
        <v>4.1762458919303302E-4</v>
      </c>
      <c r="O4497">
        <f>VLOOKUP(K4497,RatingLookup!$A$2:$C$8,3,FALSE)</f>
        <v>0.45</v>
      </c>
      <c r="P4497">
        <f t="shared" si="211"/>
        <v>0.16823025157856733</v>
      </c>
      <c r="Q4497" t="str">
        <f t="shared" ca="1" si="212"/>
        <v>No</v>
      </c>
    </row>
    <row r="4498" spans="1:17" x14ac:dyDescent="0.45">
      <c r="A4498" t="s">
        <v>184</v>
      </c>
      <c r="B4498" t="s">
        <v>185</v>
      </c>
      <c r="C4498" t="s">
        <v>29</v>
      </c>
      <c r="D4498" t="s">
        <v>20</v>
      </c>
      <c r="E4498" t="s">
        <v>21</v>
      </c>
      <c r="F4498" s="1">
        <v>45536</v>
      </c>
      <c r="G4498">
        <v>5.34</v>
      </c>
      <c r="H4498">
        <v>85.009200000000007</v>
      </c>
      <c r="I4498">
        <v>28.04</v>
      </c>
      <c r="J4498">
        <v>84.63</v>
      </c>
      <c r="K4498" t="s">
        <v>22</v>
      </c>
      <c r="L4498">
        <v>993.27</v>
      </c>
      <c r="M4498">
        <f>VLOOKUP(K4498,RatingLookup!$A$2:$C$8,2,FALSE)</f>
        <v>5.0000000000000001E-3</v>
      </c>
      <c r="N4498">
        <f t="shared" si="210"/>
        <v>4.1762458919303302E-4</v>
      </c>
      <c r="O4498">
        <f>VLOOKUP(K4498,RatingLookup!$A$2:$C$8,3,FALSE)</f>
        <v>0.45</v>
      </c>
      <c r="P4498">
        <f t="shared" si="211"/>
        <v>0.18666628906849375</v>
      </c>
      <c r="Q4498" t="str">
        <f t="shared" ca="1" si="212"/>
        <v>No</v>
      </c>
    </row>
    <row r="4499" spans="1:17" x14ac:dyDescent="0.45">
      <c r="A4499" t="s">
        <v>184</v>
      </c>
      <c r="B4499" t="s">
        <v>185</v>
      </c>
      <c r="C4499" t="s">
        <v>29</v>
      </c>
      <c r="D4499" t="s">
        <v>20</v>
      </c>
      <c r="E4499" t="s">
        <v>21</v>
      </c>
      <c r="F4499" s="1">
        <v>45566</v>
      </c>
      <c r="G4499">
        <v>5.45</v>
      </c>
      <c r="H4499">
        <v>83.930400000000006</v>
      </c>
      <c r="I4499">
        <v>17.940000000000001</v>
      </c>
      <c r="J4499">
        <v>96.34</v>
      </c>
      <c r="K4499" t="s">
        <v>22</v>
      </c>
      <c r="L4499">
        <v>1003.57</v>
      </c>
      <c r="M4499">
        <f>VLOOKUP(K4499,RatingLookup!$A$2:$C$8,2,FALSE)</f>
        <v>5.0000000000000001E-3</v>
      </c>
      <c r="N4499">
        <f t="shared" si="210"/>
        <v>4.1762458919303302E-4</v>
      </c>
      <c r="O4499">
        <f>VLOOKUP(K4499,RatingLookup!$A$2:$C$8,3,FALSE)</f>
        <v>0.45</v>
      </c>
      <c r="P4499">
        <f t="shared" si="211"/>
        <v>0.18860197903940348</v>
      </c>
      <c r="Q4499" t="str">
        <f t="shared" ca="1" si="212"/>
        <v>No</v>
      </c>
    </row>
    <row r="4500" spans="1:17" x14ac:dyDescent="0.45">
      <c r="A4500" t="s">
        <v>184</v>
      </c>
      <c r="B4500" t="s">
        <v>185</v>
      </c>
      <c r="C4500" t="s">
        <v>29</v>
      </c>
      <c r="D4500" t="s">
        <v>20</v>
      </c>
      <c r="E4500" t="s">
        <v>21</v>
      </c>
      <c r="F4500" s="1">
        <v>45597</v>
      </c>
      <c r="G4500">
        <v>5.46</v>
      </c>
      <c r="H4500">
        <v>83.587500000000006</v>
      </c>
      <c r="I4500">
        <v>22.05</v>
      </c>
      <c r="J4500">
        <v>88.9</v>
      </c>
      <c r="K4500" t="s">
        <v>22</v>
      </c>
      <c r="L4500">
        <v>1032.32</v>
      </c>
      <c r="M4500">
        <f>VLOOKUP(K4500,RatingLookup!$A$2:$C$8,2,FALSE)</f>
        <v>5.0000000000000001E-3</v>
      </c>
      <c r="N4500">
        <f t="shared" si="210"/>
        <v>4.1762458919303302E-4</v>
      </c>
      <c r="O4500">
        <f>VLOOKUP(K4500,RatingLookup!$A$2:$C$8,3,FALSE)</f>
        <v>0.45</v>
      </c>
      <c r="P4500">
        <f t="shared" si="211"/>
        <v>0.19400499716208833</v>
      </c>
      <c r="Q4500" t="str">
        <f t="shared" ca="1" si="212"/>
        <v>No</v>
      </c>
    </row>
    <row r="4501" spans="1:17" x14ac:dyDescent="0.45">
      <c r="A4501" t="s">
        <v>184</v>
      </c>
      <c r="B4501" t="s">
        <v>185</v>
      </c>
      <c r="C4501" t="s">
        <v>29</v>
      </c>
      <c r="D4501" t="s">
        <v>20</v>
      </c>
      <c r="E4501" t="s">
        <v>21</v>
      </c>
      <c r="F4501" s="1">
        <v>45627</v>
      </c>
      <c r="G4501">
        <v>6.04</v>
      </c>
      <c r="H4501">
        <v>85.660399999999996</v>
      </c>
      <c r="I4501">
        <v>20.91</v>
      </c>
      <c r="J4501">
        <v>71.069999999999993</v>
      </c>
      <c r="K4501" t="s">
        <v>22</v>
      </c>
      <c r="L4501">
        <v>995.23</v>
      </c>
      <c r="M4501">
        <f>VLOOKUP(K4501,RatingLookup!$A$2:$C$8,2,FALSE)</f>
        <v>5.0000000000000001E-3</v>
      </c>
      <c r="N4501">
        <f t="shared" si="210"/>
        <v>4.1762458919303302E-4</v>
      </c>
      <c r="O4501">
        <f>VLOOKUP(K4501,RatingLookup!$A$2:$C$8,3,FALSE)</f>
        <v>0.45</v>
      </c>
      <c r="P4501">
        <f t="shared" si="211"/>
        <v>0.18703463395616202</v>
      </c>
      <c r="Q4501" t="str">
        <f t="shared" ca="1" si="212"/>
        <v>No</v>
      </c>
    </row>
    <row r="4502" spans="1:17" x14ac:dyDescent="0.45">
      <c r="A4502" t="s">
        <v>186</v>
      </c>
      <c r="B4502" t="s">
        <v>187</v>
      </c>
      <c r="C4502" t="s">
        <v>40</v>
      </c>
      <c r="D4502" t="s">
        <v>188</v>
      </c>
      <c r="E4502" t="s">
        <v>21</v>
      </c>
      <c r="F4502" s="1">
        <v>43831</v>
      </c>
      <c r="G4502">
        <v>2.41</v>
      </c>
      <c r="H4502">
        <v>82.017700000000005</v>
      </c>
      <c r="I4502">
        <v>27.4</v>
      </c>
      <c r="J4502">
        <v>82.66</v>
      </c>
      <c r="K4502" t="s">
        <v>23</v>
      </c>
      <c r="L4502">
        <v>544.62</v>
      </c>
      <c r="M4502">
        <f>VLOOKUP(K4502,RatingLookup!$A$2:$C$8,2,FALSE)</f>
        <v>1E-3</v>
      </c>
      <c r="N4502">
        <f t="shared" si="210"/>
        <v>8.3371552197619714E-5</v>
      </c>
      <c r="O4502">
        <f>VLOOKUP(K4502,RatingLookup!$A$2:$C$8,3,FALSE)</f>
        <v>0.3</v>
      </c>
      <c r="P4502">
        <f t="shared" si="211"/>
        <v>1.3621744427360293E-2</v>
      </c>
      <c r="Q4502" t="str">
        <f t="shared" ca="1" si="212"/>
        <v>No</v>
      </c>
    </row>
    <row r="4503" spans="1:17" x14ac:dyDescent="0.45">
      <c r="A4503" t="s">
        <v>186</v>
      </c>
      <c r="B4503" t="s">
        <v>187</v>
      </c>
      <c r="C4503" t="s">
        <v>40</v>
      </c>
      <c r="D4503" t="s">
        <v>188</v>
      </c>
      <c r="E4503" t="s">
        <v>21</v>
      </c>
      <c r="F4503" s="1">
        <v>43862</v>
      </c>
      <c r="G4503">
        <v>1.75</v>
      </c>
      <c r="H4503">
        <v>79.458399999999997</v>
      </c>
      <c r="I4503">
        <v>19.170000000000002</v>
      </c>
      <c r="J4503">
        <v>81.88</v>
      </c>
      <c r="K4503" t="s">
        <v>23</v>
      </c>
      <c r="L4503">
        <v>561.21</v>
      </c>
      <c r="M4503">
        <f>VLOOKUP(K4503,RatingLookup!$A$2:$C$8,2,FALSE)</f>
        <v>1E-3</v>
      </c>
      <c r="N4503">
        <f t="shared" si="210"/>
        <v>8.3371552197619714E-5</v>
      </c>
      <c r="O4503">
        <f>VLOOKUP(K4503,RatingLookup!$A$2:$C$8,3,FALSE)</f>
        <v>0.3</v>
      </c>
      <c r="P4503">
        <f t="shared" si="211"/>
        <v>1.4036684642647849E-2</v>
      </c>
      <c r="Q4503" t="str">
        <f t="shared" ca="1" si="212"/>
        <v>No</v>
      </c>
    </row>
    <row r="4504" spans="1:17" x14ac:dyDescent="0.45">
      <c r="A4504" t="s">
        <v>186</v>
      </c>
      <c r="B4504" t="s">
        <v>187</v>
      </c>
      <c r="C4504" t="s">
        <v>40</v>
      </c>
      <c r="D4504" t="s">
        <v>188</v>
      </c>
      <c r="E4504" t="s">
        <v>21</v>
      </c>
      <c r="F4504" s="1">
        <v>43891</v>
      </c>
      <c r="G4504">
        <v>0.22</v>
      </c>
      <c r="H4504">
        <v>81.967799999999997</v>
      </c>
      <c r="I4504">
        <v>26.23</v>
      </c>
      <c r="J4504">
        <v>74.989999999999995</v>
      </c>
      <c r="K4504" t="s">
        <v>23</v>
      </c>
      <c r="L4504">
        <v>561.91999999999996</v>
      </c>
      <c r="M4504">
        <f>VLOOKUP(K4504,RatingLookup!$A$2:$C$8,2,FALSE)</f>
        <v>1E-3</v>
      </c>
      <c r="N4504">
        <f t="shared" si="210"/>
        <v>8.3371552197619714E-5</v>
      </c>
      <c r="O4504">
        <f>VLOOKUP(K4504,RatingLookup!$A$2:$C$8,3,FALSE)</f>
        <v>0.3</v>
      </c>
      <c r="P4504">
        <f t="shared" si="211"/>
        <v>1.405444278326594E-2</v>
      </c>
      <c r="Q4504" t="str">
        <f t="shared" ca="1" si="212"/>
        <v>No</v>
      </c>
    </row>
    <row r="4505" spans="1:17" x14ac:dyDescent="0.45">
      <c r="A4505" t="s">
        <v>186</v>
      </c>
      <c r="B4505" t="s">
        <v>187</v>
      </c>
      <c r="C4505" t="s">
        <v>40</v>
      </c>
      <c r="D4505" t="s">
        <v>188</v>
      </c>
      <c r="E4505" t="s">
        <v>21</v>
      </c>
      <c r="F4505" s="1">
        <v>43922</v>
      </c>
      <c r="G4505">
        <v>0.51</v>
      </c>
      <c r="H4505">
        <v>82.6691</v>
      </c>
      <c r="I4505">
        <v>20.03</v>
      </c>
      <c r="J4505">
        <v>65.81</v>
      </c>
      <c r="K4505" t="s">
        <v>23</v>
      </c>
      <c r="L4505">
        <v>570.32000000000005</v>
      </c>
      <c r="M4505">
        <f>VLOOKUP(K4505,RatingLookup!$A$2:$C$8,2,FALSE)</f>
        <v>1E-3</v>
      </c>
      <c r="N4505">
        <f t="shared" si="210"/>
        <v>8.3371552197619714E-5</v>
      </c>
      <c r="O4505">
        <f>VLOOKUP(K4505,RatingLookup!$A$2:$C$8,3,FALSE)</f>
        <v>0.3</v>
      </c>
      <c r="P4505">
        <f t="shared" si="211"/>
        <v>1.4264539094803942E-2</v>
      </c>
      <c r="Q4505" t="str">
        <f t="shared" ca="1" si="212"/>
        <v>No</v>
      </c>
    </row>
    <row r="4506" spans="1:17" x14ac:dyDescent="0.45">
      <c r="A4506" t="s">
        <v>186</v>
      </c>
      <c r="B4506" t="s">
        <v>187</v>
      </c>
      <c r="C4506" t="s">
        <v>40</v>
      </c>
      <c r="D4506" t="s">
        <v>188</v>
      </c>
      <c r="E4506" t="s">
        <v>21</v>
      </c>
      <c r="F4506" s="1">
        <v>43952</v>
      </c>
      <c r="G4506">
        <v>1.23</v>
      </c>
      <c r="H4506">
        <v>82.546300000000002</v>
      </c>
      <c r="I4506">
        <v>9.6199999999999992</v>
      </c>
      <c r="J4506">
        <v>84.9</v>
      </c>
      <c r="K4506" t="s">
        <v>23</v>
      </c>
      <c r="L4506">
        <v>568.69000000000005</v>
      </c>
      <c r="M4506">
        <f>VLOOKUP(K4506,RatingLookup!$A$2:$C$8,2,FALSE)</f>
        <v>1E-3</v>
      </c>
      <c r="N4506">
        <f t="shared" si="210"/>
        <v>8.3371552197619714E-5</v>
      </c>
      <c r="O4506">
        <f>VLOOKUP(K4506,RatingLookup!$A$2:$C$8,3,FALSE)</f>
        <v>0.3</v>
      </c>
      <c r="P4506">
        <f t="shared" si="211"/>
        <v>1.4223770405779306E-2</v>
      </c>
      <c r="Q4506" t="str">
        <f t="shared" ca="1" si="212"/>
        <v>No</v>
      </c>
    </row>
    <row r="4507" spans="1:17" x14ac:dyDescent="0.45">
      <c r="A4507" t="s">
        <v>186</v>
      </c>
      <c r="B4507" t="s">
        <v>187</v>
      </c>
      <c r="C4507" t="s">
        <v>40</v>
      </c>
      <c r="D4507" t="s">
        <v>188</v>
      </c>
      <c r="E4507" t="s">
        <v>21</v>
      </c>
      <c r="F4507" s="1">
        <v>43983</v>
      </c>
      <c r="G4507">
        <v>0.81</v>
      </c>
      <c r="H4507">
        <v>79.910399999999996</v>
      </c>
      <c r="I4507">
        <v>18.54</v>
      </c>
      <c r="J4507">
        <v>86.02</v>
      </c>
      <c r="K4507" t="s">
        <v>23</v>
      </c>
      <c r="L4507">
        <v>569.61</v>
      </c>
      <c r="M4507">
        <f>VLOOKUP(K4507,RatingLookup!$A$2:$C$8,2,FALSE)</f>
        <v>1E-3</v>
      </c>
      <c r="N4507">
        <f t="shared" si="210"/>
        <v>8.3371552197619714E-5</v>
      </c>
      <c r="O4507">
        <f>VLOOKUP(K4507,RatingLookup!$A$2:$C$8,3,FALSE)</f>
        <v>0.3</v>
      </c>
      <c r="P4507">
        <f t="shared" si="211"/>
        <v>1.4246780954185849E-2</v>
      </c>
      <c r="Q4507" t="str">
        <f t="shared" ca="1" si="212"/>
        <v>No</v>
      </c>
    </row>
    <row r="4508" spans="1:17" x14ac:dyDescent="0.45">
      <c r="A4508" t="s">
        <v>186</v>
      </c>
      <c r="B4508" t="s">
        <v>187</v>
      </c>
      <c r="C4508" t="s">
        <v>40</v>
      </c>
      <c r="D4508" t="s">
        <v>188</v>
      </c>
      <c r="E4508" t="s">
        <v>21</v>
      </c>
      <c r="F4508" s="1">
        <v>44013</v>
      </c>
      <c r="G4508">
        <v>0.63</v>
      </c>
      <c r="H4508">
        <v>80.914100000000005</v>
      </c>
      <c r="I4508">
        <v>10.28</v>
      </c>
      <c r="J4508">
        <v>68.61</v>
      </c>
      <c r="K4508" t="s">
        <v>23</v>
      </c>
      <c r="L4508">
        <v>641.22</v>
      </c>
      <c r="M4508">
        <f>VLOOKUP(K4508,RatingLookup!$A$2:$C$8,2,FALSE)</f>
        <v>1E-3</v>
      </c>
      <c r="N4508">
        <f t="shared" si="210"/>
        <v>8.3371552197619714E-5</v>
      </c>
      <c r="O4508">
        <f>VLOOKUP(K4508,RatingLookup!$A$2:$C$8,3,FALSE)</f>
        <v>0.3</v>
      </c>
      <c r="P4508">
        <f t="shared" si="211"/>
        <v>1.6037852010047312E-2</v>
      </c>
      <c r="Q4508" t="str">
        <f t="shared" ca="1" si="212"/>
        <v>No</v>
      </c>
    </row>
    <row r="4509" spans="1:17" x14ac:dyDescent="0.45">
      <c r="A4509" t="s">
        <v>186</v>
      </c>
      <c r="B4509" t="s">
        <v>187</v>
      </c>
      <c r="C4509" t="s">
        <v>40</v>
      </c>
      <c r="D4509" t="s">
        <v>188</v>
      </c>
      <c r="E4509" t="s">
        <v>21</v>
      </c>
      <c r="F4509" s="1">
        <v>44044</v>
      </c>
      <c r="G4509">
        <v>2.2400000000000002</v>
      </c>
      <c r="H4509">
        <v>79.438599999999994</v>
      </c>
      <c r="I4509">
        <v>27.51</v>
      </c>
      <c r="J4509">
        <v>76.41</v>
      </c>
      <c r="K4509" t="s">
        <v>23</v>
      </c>
      <c r="L4509">
        <v>614.6</v>
      </c>
      <c r="M4509">
        <f>VLOOKUP(K4509,RatingLookup!$A$2:$C$8,2,FALSE)</f>
        <v>1E-3</v>
      </c>
      <c r="N4509">
        <f t="shared" si="210"/>
        <v>8.3371552197619714E-5</v>
      </c>
      <c r="O4509">
        <f>VLOOKUP(K4509,RatingLookup!$A$2:$C$8,3,FALSE)</f>
        <v>0.3</v>
      </c>
      <c r="P4509">
        <f t="shared" si="211"/>
        <v>1.5372046794197123E-2</v>
      </c>
      <c r="Q4509" t="str">
        <f t="shared" ca="1" si="212"/>
        <v>No</v>
      </c>
    </row>
    <row r="4510" spans="1:17" x14ac:dyDescent="0.45">
      <c r="A4510" t="s">
        <v>186</v>
      </c>
      <c r="B4510" t="s">
        <v>187</v>
      </c>
      <c r="C4510" t="s">
        <v>40</v>
      </c>
      <c r="D4510" t="s">
        <v>188</v>
      </c>
      <c r="E4510" t="s">
        <v>21</v>
      </c>
      <c r="F4510" s="1">
        <v>44075</v>
      </c>
      <c r="G4510">
        <v>1.03</v>
      </c>
      <c r="H4510">
        <v>86.1631</v>
      </c>
      <c r="I4510">
        <v>15.52</v>
      </c>
      <c r="J4510">
        <v>58.14</v>
      </c>
      <c r="K4510" t="s">
        <v>23</v>
      </c>
      <c r="L4510">
        <v>578.98</v>
      </c>
      <c r="M4510">
        <f>VLOOKUP(K4510,RatingLookup!$A$2:$C$8,2,FALSE)</f>
        <v>1E-3</v>
      </c>
      <c r="N4510">
        <f t="shared" si="210"/>
        <v>8.3371552197619714E-5</v>
      </c>
      <c r="O4510">
        <f>VLOOKUP(K4510,RatingLookup!$A$2:$C$8,3,FALSE)</f>
        <v>0.3</v>
      </c>
      <c r="P4510">
        <f t="shared" si="211"/>
        <v>1.4481138387413358E-2</v>
      </c>
      <c r="Q4510" t="str">
        <f t="shared" ca="1" si="212"/>
        <v>No</v>
      </c>
    </row>
    <row r="4511" spans="1:17" x14ac:dyDescent="0.45">
      <c r="A4511" t="s">
        <v>186</v>
      </c>
      <c r="B4511" t="s">
        <v>187</v>
      </c>
      <c r="C4511" t="s">
        <v>40</v>
      </c>
      <c r="D4511" t="s">
        <v>188</v>
      </c>
      <c r="E4511" t="s">
        <v>21</v>
      </c>
      <c r="F4511" s="1">
        <v>44105</v>
      </c>
      <c r="G4511">
        <v>1.0900000000000001</v>
      </c>
      <c r="H4511">
        <v>83.524600000000007</v>
      </c>
      <c r="I4511">
        <v>14.09</v>
      </c>
      <c r="J4511">
        <v>67.44</v>
      </c>
      <c r="K4511" t="s">
        <v>23</v>
      </c>
      <c r="L4511">
        <v>584.91</v>
      </c>
      <c r="M4511">
        <f>VLOOKUP(K4511,RatingLookup!$A$2:$C$8,2,FALSE)</f>
        <v>1E-3</v>
      </c>
      <c r="N4511">
        <f t="shared" si="210"/>
        <v>8.3371552197619714E-5</v>
      </c>
      <c r="O4511">
        <f>VLOOKUP(K4511,RatingLookup!$A$2:$C$8,3,FALSE)</f>
        <v>0.3</v>
      </c>
      <c r="P4511">
        <f t="shared" si="211"/>
        <v>1.4629456378772922E-2</v>
      </c>
      <c r="Q4511" t="str">
        <f t="shared" ca="1" si="212"/>
        <v>No</v>
      </c>
    </row>
    <row r="4512" spans="1:17" x14ac:dyDescent="0.45">
      <c r="A4512" t="s">
        <v>186</v>
      </c>
      <c r="B4512" t="s">
        <v>187</v>
      </c>
      <c r="C4512" t="s">
        <v>40</v>
      </c>
      <c r="D4512" t="s">
        <v>188</v>
      </c>
      <c r="E4512" t="s">
        <v>21</v>
      </c>
      <c r="F4512" s="1">
        <v>44136</v>
      </c>
      <c r="G4512">
        <v>1.82</v>
      </c>
      <c r="H4512">
        <v>78.298900000000003</v>
      </c>
      <c r="I4512">
        <v>23.74</v>
      </c>
      <c r="J4512">
        <v>85.37</v>
      </c>
      <c r="K4512" t="s">
        <v>23</v>
      </c>
      <c r="L4512">
        <v>576.9</v>
      </c>
      <c r="M4512">
        <f>VLOOKUP(K4512,RatingLookup!$A$2:$C$8,2,FALSE)</f>
        <v>1E-3</v>
      </c>
      <c r="N4512">
        <f t="shared" si="210"/>
        <v>8.3371552197619714E-5</v>
      </c>
      <c r="O4512">
        <f>VLOOKUP(K4512,RatingLookup!$A$2:$C$8,3,FALSE)</f>
        <v>0.3</v>
      </c>
      <c r="P4512">
        <f t="shared" si="211"/>
        <v>1.4429114538842042E-2</v>
      </c>
      <c r="Q4512" t="str">
        <f t="shared" ca="1" si="212"/>
        <v>No</v>
      </c>
    </row>
    <row r="4513" spans="1:17" x14ac:dyDescent="0.45">
      <c r="A4513" t="s">
        <v>186</v>
      </c>
      <c r="B4513" t="s">
        <v>187</v>
      </c>
      <c r="C4513" t="s">
        <v>40</v>
      </c>
      <c r="D4513" t="s">
        <v>188</v>
      </c>
      <c r="E4513" t="s">
        <v>21</v>
      </c>
      <c r="F4513" s="1">
        <v>44166</v>
      </c>
      <c r="G4513">
        <v>1.39</v>
      </c>
      <c r="H4513">
        <v>75.598399999999998</v>
      </c>
      <c r="I4513">
        <v>29.04</v>
      </c>
      <c r="J4513">
        <v>72.88</v>
      </c>
      <c r="K4513" t="s">
        <v>23</v>
      </c>
      <c r="L4513">
        <v>619.29</v>
      </c>
      <c r="M4513">
        <f>VLOOKUP(K4513,RatingLookup!$A$2:$C$8,2,FALSE)</f>
        <v>1E-3</v>
      </c>
      <c r="N4513">
        <f t="shared" si="210"/>
        <v>8.3371552197619714E-5</v>
      </c>
      <c r="O4513">
        <f>VLOOKUP(K4513,RatingLookup!$A$2:$C$8,3,FALSE)</f>
        <v>0.3</v>
      </c>
      <c r="P4513">
        <f t="shared" si="211"/>
        <v>1.5489350568139172E-2</v>
      </c>
      <c r="Q4513" t="str">
        <f t="shared" ca="1" si="212"/>
        <v>No</v>
      </c>
    </row>
    <row r="4514" spans="1:17" x14ac:dyDescent="0.45">
      <c r="A4514" t="s">
        <v>186</v>
      </c>
      <c r="B4514" t="s">
        <v>187</v>
      </c>
      <c r="C4514" t="s">
        <v>40</v>
      </c>
      <c r="D4514" t="s">
        <v>188</v>
      </c>
      <c r="E4514" t="s">
        <v>21</v>
      </c>
      <c r="F4514" s="1">
        <v>44197</v>
      </c>
      <c r="G4514">
        <v>1.81</v>
      </c>
      <c r="H4514">
        <v>81.092699999999994</v>
      </c>
      <c r="I4514">
        <v>8.85</v>
      </c>
      <c r="J4514">
        <v>74.94</v>
      </c>
      <c r="K4514" t="s">
        <v>23</v>
      </c>
      <c r="L4514">
        <v>547.38</v>
      </c>
      <c r="M4514">
        <f>VLOOKUP(K4514,RatingLookup!$A$2:$C$8,2,FALSE)</f>
        <v>1E-3</v>
      </c>
      <c r="N4514">
        <f t="shared" si="210"/>
        <v>8.3371552197619714E-5</v>
      </c>
      <c r="O4514">
        <f>VLOOKUP(K4514,RatingLookup!$A$2:$C$8,3,FALSE)</f>
        <v>0.3</v>
      </c>
      <c r="P4514">
        <f t="shared" si="211"/>
        <v>1.3690776072579925E-2</v>
      </c>
      <c r="Q4514" t="str">
        <f t="shared" ca="1" si="212"/>
        <v>No</v>
      </c>
    </row>
    <row r="4515" spans="1:17" x14ac:dyDescent="0.45">
      <c r="A4515" t="s">
        <v>186</v>
      </c>
      <c r="B4515" t="s">
        <v>187</v>
      </c>
      <c r="C4515" t="s">
        <v>40</v>
      </c>
      <c r="D4515" t="s">
        <v>188</v>
      </c>
      <c r="E4515" t="s">
        <v>21</v>
      </c>
      <c r="F4515" s="1">
        <v>44228</v>
      </c>
      <c r="G4515">
        <v>0.98</v>
      </c>
      <c r="H4515">
        <v>80.652500000000003</v>
      </c>
      <c r="I4515">
        <v>10.94</v>
      </c>
      <c r="J4515">
        <v>78.180000000000007</v>
      </c>
      <c r="K4515" t="s">
        <v>23</v>
      </c>
      <c r="L4515">
        <v>607.86</v>
      </c>
      <c r="M4515">
        <f>VLOOKUP(K4515,RatingLookup!$A$2:$C$8,2,FALSE)</f>
        <v>1E-3</v>
      </c>
      <c r="N4515">
        <f t="shared" si="210"/>
        <v>8.3371552197619714E-5</v>
      </c>
      <c r="O4515">
        <f>VLOOKUP(K4515,RatingLookup!$A$2:$C$8,3,FALSE)</f>
        <v>0.3</v>
      </c>
      <c r="P4515">
        <f t="shared" si="211"/>
        <v>1.5203469515653534E-2</v>
      </c>
      <c r="Q4515" t="str">
        <f t="shared" ca="1" si="212"/>
        <v>No</v>
      </c>
    </row>
    <row r="4516" spans="1:17" x14ac:dyDescent="0.45">
      <c r="A4516" t="s">
        <v>186</v>
      </c>
      <c r="B4516" t="s">
        <v>187</v>
      </c>
      <c r="C4516" t="s">
        <v>40</v>
      </c>
      <c r="D4516" t="s">
        <v>188</v>
      </c>
      <c r="E4516" t="s">
        <v>21</v>
      </c>
      <c r="F4516" s="1">
        <v>44256</v>
      </c>
      <c r="G4516">
        <v>1.95</v>
      </c>
      <c r="H4516">
        <v>82.533699999999996</v>
      </c>
      <c r="I4516">
        <v>11.02</v>
      </c>
      <c r="J4516">
        <v>78.790000000000006</v>
      </c>
      <c r="K4516" t="s">
        <v>23</v>
      </c>
      <c r="L4516">
        <v>589.21</v>
      </c>
      <c r="M4516">
        <f>VLOOKUP(K4516,RatingLookup!$A$2:$C$8,2,FALSE)</f>
        <v>1E-3</v>
      </c>
      <c r="N4516">
        <f t="shared" si="210"/>
        <v>8.3371552197619714E-5</v>
      </c>
      <c r="O4516">
        <f>VLOOKUP(K4516,RatingLookup!$A$2:$C$8,3,FALSE)</f>
        <v>0.3</v>
      </c>
      <c r="P4516">
        <f t="shared" si="211"/>
        <v>1.4737005681107853E-2</v>
      </c>
      <c r="Q4516" t="str">
        <f t="shared" ca="1" si="212"/>
        <v>No</v>
      </c>
    </row>
    <row r="4517" spans="1:17" x14ac:dyDescent="0.45">
      <c r="A4517" t="s">
        <v>186</v>
      </c>
      <c r="B4517" t="s">
        <v>187</v>
      </c>
      <c r="C4517" t="s">
        <v>40</v>
      </c>
      <c r="D4517" t="s">
        <v>188</v>
      </c>
      <c r="E4517" t="s">
        <v>21</v>
      </c>
      <c r="F4517" s="1">
        <v>44287</v>
      </c>
      <c r="G4517">
        <v>1.59</v>
      </c>
      <c r="H4517">
        <v>81.866200000000006</v>
      </c>
      <c r="I4517">
        <v>24</v>
      </c>
      <c r="J4517">
        <v>90.87</v>
      </c>
      <c r="K4517" t="s">
        <v>23</v>
      </c>
      <c r="L4517">
        <v>620.16</v>
      </c>
      <c r="M4517">
        <f>VLOOKUP(K4517,RatingLookup!$A$2:$C$8,2,FALSE)</f>
        <v>1E-3</v>
      </c>
      <c r="N4517">
        <f t="shared" si="210"/>
        <v>8.3371552197619714E-5</v>
      </c>
      <c r="O4517">
        <f>VLOOKUP(K4517,RatingLookup!$A$2:$C$8,3,FALSE)</f>
        <v>0.3</v>
      </c>
      <c r="P4517">
        <f t="shared" si="211"/>
        <v>1.5511110543262751E-2</v>
      </c>
      <c r="Q4517" t="str">
        <f t="shared" ca="1" si="212"/>
        <v>No</v>
      </c>
    </row>
    <row r="4518" spans="1:17" x14ac:dyDescent="0.45">
      <c r="A4518" t="s">
        <v>186</v>
      </c>
      <c r="B4518" t="s">
        <v>187</v>
      </c>
      <c r="C4518" t="s">
        <v>40</v>
      </c>
      <c r="D4518" t="s">
        <v>188</v>
      </c>
      <c r="E4518" t="s">
        <v>21</v>
      </c>
      <c r="F4518" s="1">
        <v>44317</v>
      </c>
      <c r="G4518">
        <v>1.83</v>
      </c>
      <c r="H4518">
        <v>81.739800000000002</v>
      </c>
      <c r="I4518">
        <v>25.22</v>
      </c>
      <c r="J4518">
        <v>70.13</v>
      </c>
      <c r="K4518" t="s">
        <v>23</v>
      </c>
      <c r="L4518">
        <v>587.78</v>
      </c>
      <c r="M4518">
        <f>VLOOKUP(K4518,RatingLookup!$A$2:$C$8,2,FALSE)</f>
        <v>1E-3</v>
      </c>
      <c r="N4518">
        <f t="shared" si="210"/>
        <v>8.3371552197619714E-5</v>
      </c>
      <c r="O4518">
        <f>VLOOKUP(K4518,RatingLookup!$A$2:$C$8,3,FALSE)</f>
        <v>0.3</v>
      </c>
      <c r="P4518">
        <f t="shared" si="211"/>
        <v>1.4701239285215073E-2</v>
      </c>
      <c r="Q4518" t="str">
        <f t="shared" ca="1" si="212"/>
        <v>No</v>
      </c>
    </row>
    <row r="4519" spans="1:17" x14ac:dyDescent="0.45">
      <c r="A4519" t="s">
        <v>186</v>
      </c>
      <c r="B4519" t="s">
        <v>187</v>
      </c>
      <c r="C4519" t="s">
        <v>40</v>
      </c>
      <c r="D4519" t="s">
        <v>188</v>
      </c>
      <c r="E4519" t="s">
        <v>21</v>
      </c>
      <c r="F4519" s="1">
        <v>44348</v>
      </c>
      <c r="G4519">
        <v>2.04</v>
      </c>
      <c r="H4519">
        <v>79.914199999999994</v>
      </c>
      <c r="I4519">
        <v>21</v>
      </c>
      <c r="J4519">
        <v>99.04</v>
      </c>
      <c r="K4519" t="s">
        <v>23</v>
      </c>
      <c r="L4519">
        <v>628.34</v>
      </c>
      <c r="M4519">
        <f>VLOOKUP(K4519,RatingLookup!$A$2:$C$8,2,FALSE)</f>
        <v>1E-3</v>
      </c>
      <c r="N4519">
        <f t="shared" si="210"/>
        <v>8.3371552197619714E-5</v>
      </c>
      <c r="O4519">
        <f>VLOOKUP(K4519,RatingLookup!$A$2:$C$8,3,FALSE)</f>
        <v>0.3</v>
      </c>
      <c r="P4519">
        <f t="shared" si="211"/>
        <v>1.5715704332355713E-2</v>
      </c>
      <c r="Q4519" t="str">
        <f t="shared" ca="1" si="212"/>
        <v>No</v>
      </c>
    </row>
    <row r="4520" spans="1:17" x14ac:dyDescent="0.45">
      <c r="A4520" t="s">
        <v>186</v>
      </c>
      <c r="B4520" t="s">
        <v>187</v>
      </c>
      <c r="C4520" t="s">
        <v>40</v>
      </c>
      <c r="D4520" t="s">
        <v>188</v>
      </c>
      <c r="E4520" t="s">
        <v>21</v>
      </c>
      <c r="F4520" s="1">
        <v>44378</v>
      </c>
      <c r="G4520">
        <v>1.67</v>
      </c>
      <c r="H4520">
        <v>80.815399999999997</v>
      </c>
      <c r="I4520">
        <v>17.989999999999998</v>
      </c>
      <c r="J4520">
        <v>74.12</v>
      </c>
      <c r="K4520" t="s">
        <v>23</v>
      </c>
      <c r="L4520">
        <v>564.82000000000005</v>
      </c>
      <c r="M4520">
        <f>VLOOKUP(K4520,RatingLookup!$A$2:$C$8,2,FALSE)</f>
        <v>1E-3</v>
      </c>
      <c r="N4520">
        <f t="shared" si="210"/>
        <v>8.3371552197619714E-5</v>
      </c>
      <c r="O4520">
        <f>VLOOKUP(K4520,RatingLookup!$A$2:$C$8,3,FALSE)</f>
        <v>0.3</v>
      </c>
      <c r="P4520">
        <f t="shared" si="211"/>
        <v>1.4126976033677871E-2</v>
      </c>
      <c r="Q4520" t="str">
        <f t="shared" ca="1" si="212"/>
        <v>No</v>
      </c>
    </row>
    <row r="4521" spans="1:17" x14ac:dyDescent="0.45">
      <c r="A4521" t="s">
        <v>186</v>
      </c>
      <c r="B4521" t="s">
        <v>187</v>
      </c>
      <c r="C4521" t="s">
        <v>40</v>
      </c>
      <c r="D4521" t="s">
        <v>188</v>
      </c>
      <c r="E4521" t="s">
        <v>21</v>
      </c>
      <c r="F4521" s="1">
        <v>44409</v>
      </c>
      <c r="G4521">
        <v>1.37</v>
      </c>
      <c r="H4521">
        <v>78.480199999999996</v>
      </c>
      <c r="I4521">
        <v>16.440000000000001</v>
      </c>
      <c r="J4521">
        <v>75.92</v>
      </c>
      <c r="K4521" t="s">
        <v>23</v>
      </c>
      <c r="L4521">
        <v>588.44000000000005</v>
      </c>
      <c r="M4521">
        <f>VLOOKUP(K4521,RatingLookup!$A$2:$C$8,2,FALSE)</f>
        <v>1E-3</v>
      </c>
      <c r="N4521">
        <f t="shared" si="210"/>
        <v>8.3371552197619714E-5</v>
      </c>
      <c r="O4521">
        <f>VLOOKUP(K4521,RatingLookup!$A$2:$C$8,3,FALSE)</f>
        <v>0.3</v>
      </c>
      <c r="P4521">
        <f t="shared" si="211"/>
        <v>1.4717746852550203E-2</v>
      </c>
      <c r="Q4521" t="str">
        <f t="shared" ca="1" si="212"/>
        <v>No</v>
      </c>
    </row>
    <row r="4522" spans="1:17" x14ac:dyDescent="0.45">
      <c r="A4522" t="s">
        <v>186</v>
      </c>
      <c r="B4522" t="s">
        <v>187</v>
      </c>
      <c r="C4522" t="s">
        <v>40</v>
      </c>
      <c r="D4522" t="s">
        <v>188</v>
      </c>
      <c r="E4522" t="s">
        <v>21</v>
      </c>
      <c r="F4522" s="1">
        <v>44440</v>
      </c>
      <c r="G4522">
        <v>2.56</v>
      </c>
      <c r="H4522">
        <v>78.968999999999994</v>
      </c>
      <c r="I4522">
        <v>23.66</v>
      </c>
      <c r="J4522">
        <v>79.14</v>
      </c>
      <c r="K4522" t="s">
        <v>23</v>
      </c>
      <c r="L4522">
        <v>591.52</v>
      </c>
      <c r="M4522">
        <f>VLOOKUP(K4522,RatingLookup!$A$2:$C$8,2,FALSE)</f>
        <v>1E-3</v>
      </c>
      <c r="N4522">
        <f t="shared" si="210"/>
        <v>8.3371552197619714E-5</v>
      </c>
      <c r="O4522">
        <f>VLOOKUP(K4522,RatingLookup!$A$2:$C$8,3,FALSE)</f>
        <v>0.3</v>
      </c>
      <c r="P4522">
        <f t="shared" si="211"/>
        <v>1.4794782166780804E-2</v>
      </c>
      <c r="Q4522" t="str">
        <f t="shared" ca="1" si="212"/>
        <v>No</v>
      </c>
    </row>
    <row r="4523" spans="1:17" x14ac:dyDescent="0.45">
      <c r="A4523" t="s">
        <v>186</v>
      </c>
      <c r="B4523" t="s">
        <v>187</v>
      </c>
      <c r="C4523" t="s">
        <v>40</v>
      </c>
      <c r="D4523" t="s">
        <v>188</v>
      </c>
      <c r="E4523" t="s">
        <v>21</v>
      </c>
      <c r="F4523" s="1">
        <v>44470</v>
      </c>
      <c r="G4523">
        <v>0.7</v>
      </c>
      <c r="H4523">
        <v>83.521600000000007</v>
      </c>
      <c r="I4523">
        <v>18.14</v>
      </c>
      <c r="J4523">
        <v>78.59</v>
      </c>
      <c r="K4523" t="s">
        <v>23</v>
      </c>
      <c r="L4523">
        <v>613.09</v>
      </c>
      <c r="M4523">
        <f>VLOOKUP(K4523,RatingLookup!$A$2:$C$8,2,FALSE)</f>
        <v>1E-3</v>
      </c>
      <c r="N4523">
        <f t="shared" si="210"/>
        <v>8.3371552197619714E-5</v>
      </c>
      <c r="O4523">
        <f>VLOOKUP(K4523,RatingLookup!$A$2:$C$8,3,FALSE)</f>
        <v>0.3</v>
      </c>
      <c r="P4523">
        <f t="shared" si="211"/>
        <v>1.5334279481051602E-2</v>
      </c>
      <c r="Q4523" t="str">
        <f t="shared" ca="1" si="212"/>
        <v>No</v>
      </c>
    </row>
    <row r="4524" spans="1:17" x14ac:dyDescent="0.45">
      <c r="A4524" t="s">
        <v>186</v>
      </c>
      <c r="B4524" t="s">
        <v>187</v>
      </c>
      <c r="C4524" t="s">
        <v>40</v>
      </c>
      <c r="D4524" t="s">
        <v>188</v>
      </c>
      <c r="E4524" t="s">
        <v>21</v>
      </c>
      <c r="F4524" s="1">
        <v>44501</v>
      </c>
      <c r="G4524">
        <v>1.61</v>
      </c>
      <c r="H4524">
        <v>82.452100000000002</v>
      </c>
      <c r="I4524">
        <v>15.71</v>
      </c>
      <c r="J4524">
        <v>79.16</v>
      </c>
      <c r="K4524" t="s">
        <v>23</v>
      </c>
      <c r="L4524">
        <v>643.55999999999995</v>
      </c>
      <c r="M4524">
        <f>VLOOKUP(K4524,RatingLookup!$A$2:$C$8,2,FALSE)</f>
        <v>1E-3</v>
      </c>
      <c r="N4524">
        <f t="shared" si="210"/>
        <v>8.3371552197619714E-5</v>
      </c>
      <c r="O4524">
        <f>VLOOKUP(K4524,RatingLookup!$A$2:$C$8,3,FALSE)</f>
        <v>0.3</v>
      </c>
      <c r="P4524">
        <f t="shared" si="211"/>
        <v>1.6096378839690041E-2</v>
      </c>
      <c r="Q4524" t="str">
        <f t="shared" ca="1" si="212"/>
        <v>No</v>
      </c>
    </row>
    <row r="4525" spans="1:17" x14ac:dyDescent="0.45">
      <c r="A4525" t="s">
        <v>186</v>
      </c>
      <c r="B4525" t="s">
        <v>187</v>
      </c>
      <c r="C4525" t="s">
        <v>40</v>
      </c>
      <c r="D4525" t="s">
        <v>188</v>
      </c>
      <c r="E4525" t="s">
        <v>21</v>
      </c>
      <c r="F4525" s="1">
        <v>44531</v>
      </c>
      <c r="G4525">
        <v>1.1100000000000001</v>
      </c>
      <c r="H4525">
        <v>82.435500000000005</v>
      </c>
      <c r="I4525">
        <v>21.04</v>
      </c>
      <c r="J4525">
        <v>81.17</v>
      </c>
      <c r="K4525" t="s">
        <v>23</v>
      </c>
      <c r="L4525">
        <v>570.33000000000004</v>
      </c>
      <c r="M4525">
        <f>VLOOKUP(K4525,RatingLookup!$A$2:$C$8,2,FALSE)</f>
        <v>1E-3</v>
      </c>
      <c r="N4525">
        <f t="shared" si="210"/>
        <v>8.3371552197619714E-5</v>
      </c>
      <c r="O4525">
        <f>VLOOKUP(K4525,RatingLookup!$A$2:$C$8,3,FALSE)</f>
        <v>0.3</v>
      </c>
      <c r="P4525">
        <f t="shared" si="211"/>
        <v>1.4264789209460536E-2</v>
      </c>
      <c r="Q4525" t="str">
        <f t="shared" ca="1" si="212"/>
        <v>No</v>
      </c>
    </row>
    <row r="4526" spans="1:17" x14ac:dyDescent="0.45">
      <c r="A4526" t="s">
        <v>186</v>
      </c>
      <c r="B4526" t="s">
        <v>187</v>
      </c>
      <c r="C4526" t="s">
        <v>40</v>
      </c>
      <c r="D4526" t="s">
        <v>188</v>
      </c>
      <c r="E4526" t="s">
        <v>21</v>
      </c>
      <c r="F4526" s="1">
        <v>44562</v>
      </c>
      <c r="G4526">
        <v>1.48</v>
      </c>
      <c r="H4526">
        <v>82.821100000000001</v>
      </c>
      <c r="I4526">
        <v>18.57</v>
      </c>
      <c r="J4526">
        <v>73.87</v>
      </c>
      <c r="K4526" t="s">
        <v>23</v>
      </c>
      <c r="L4526">
        <v>608.72</v>
      </c>
      <c r="M4526">
        <f>VLOOKUP(K4526,RatingLookup!$A$2:$C$8,2,FALSE)</f>
        <v>1E-3</v>
      </c>
      <c r="N4526">
        <f t="shared" si="210"/>
        <v>8.3371552197619714E-5</v>
      </c>
      <c r="O4526">
        <f>VLOOKUP(K4526,RatingLookup!$A$2:$C$8,3,FALSE)</f>
        <v>0.3</v>
      </c>
      <c r="P4526">
        <f t="shared" si="211"/>
        <v>1.5224979376120521E-2</v>
      </c>
      <c r="Q4526" t="str">
        <f t="shared" ca="1" si="212"/>
        <v>No</v>
      </c>
    </row>
    <row r="4527" spans="1:17" x14ac:dyDescent="0.45">
      <c r="A4527" t="s">
        <v>186</v>
      </c>
      <c r="B4527" t="s">
        <v>187</v>
      </c>
      <c r="C4527" t="s">
        <v>40</v>
      </c>
      <c r="D4527" t="s">
        <v>188</v>
      </c>
      <c r="E4527" t="s">
        <v>21</v>
      </c>
      <c r="F4527" s="1">
        <v>44593</v>
      </c>
      <c r="G4527">
        <v>1.04</v>
      </c>
      <c r="H4527">
        <v>84.605599999999995</v>
      </c>
      <c r="I4527">
        <v>15.29</v>
      </c>
      <c r="J4527">
        <v>73.260000000000005</v>
      </c>
      <c r="K4527" t="s">
        <v>23</v>
      </c>
      <c r="L4527">
        <v>627</v>
      </c>
      <c r="M4527">
        <f>VLOOKUP(K4527,RatingLookup!$A$2:$C$8,2,FALSE)</f>
        <v>1E-3</v>
      </c>
      <c r="N4527">
        <f t="shared" si="210"/>
        <v>8.3371552197619714E-5</v>
      </c>
      <c r="O4527">
        <f>VLOOKUP(K4527,RatingLookup!$A$2:$C$8,3,FALSE)</f>
        <v>0.3</v>
      </c>
      <c r="P4527">
        <f t="shared" si="211"/>
        <v>1.5682188968372267E-2</v>
      </c>
      <c r="Q4527" t="str">
        <f t="shared" ca="1" si="212"/>
        <v>No</v>
      </c>
    </row>
    <row r="4528" spans="1:17" x14ac:dyDescent="0.45">
      <c r="A4528" t="s">
        <v>186</v>
      </c>
      <c r="B4528" t="s">
        <v>187</v>
      </c>
      <c r="C4528" t="s">
        <v>40</v>
      </c>
      <c r="D4528" t="s">
        <v>188</v>
      </c>
      <c r="E4528" t="s">
        <v>21</v>
      </c>
      <c r="F4528" s="1">
        <v>44621</v>
      </c>
      <c r="G4528">
        <v>1.31</v>
      </c>
      <c r="H4528">
        <v>82.151399999999995</v>
      </c>
      <c r="I4528">
        <v>30.37</v>
      </c>
      <c r="J4528">
        <v>70.319999999999993</v>
      </c>
      <c r="K4528" t="s">
        <v>48</v>
      </c>
      <c r="L4528">
        <v>628</v>
      </c>
      <c r="M4528">
        <f>VLOOKUP(K4528,RatingLookup!$A$2:$C$8,2,FALSE)</f>
        <v>5.0000000000000001E-4</v>
      </c>
      <c r="N4528">
        <f t="shared" si="210"/>
        <v>4.167621832917856E-5</v>
      </c>
      <c r="O4528">
        <f>VLOOKUP(K4528,RatingLookup!$A$2:$C$8,3,FALSE)</f>
        <v>0.25</v>
      </c>
      <c r="P4528">
        <f t="shared" si="211"/>
        <v>6.543166277681034E-3</v>
      </c>
      <c r="Q4528" t="str">
        <f t="shared" ca="1" si="212"/>
        <v>No</v>
      </c>
    </row>
    <row r="4529" spans="1:17" x14ac:dyDescent="0.45">
      <c r="A4529" t="s">
        <v>186</v>
      </c>
      <c r="B4529" t="s">
        <v>187</v>
      </c>
      <c r="C4529" t="s">
        <v>40</v>
      </c>
      <c r="D4529" t="s">
        <v>188</v>
      </c>
      <c r="E4529" t="s">
        <v>21</v>
      </c>
      <c r="F4529" s="1">
        <v>44652</v>
      </c>
      <c r="G4529">
        <v>0.91</v>
      </c>
      <c r="H4529">
        <v>83.760800000000003</v>
      </c>
      <c r="I4529">
        <v>14.68</v>
      </c>
      <c r="J4529">
        <v>78.64</v>
      </c>
      <c r="K4529" t="s">
        <v>48</v>
      </c>
      <c r="L4529">
        <v>605.55999999999995</v>
      </c>
      <c r="M4529">
        <f>VLOOKUP(K4529,RatingLookup!$A$2:$C$8,2,FALSE)</f>
        <v>5.0000000000000001E-4</v>
      </c>
      <c r="N4529">
        <f t="shared" si="210"/>
        <v>4.167621832917856E-5</v>
      </c>
      <c r="O4529">
        <f>VLOOKUP(K4529,RatingLookup!$A$2:$C$8,3,FALSE)</f>
        <v>0.25</v>
      </c>
      <c r="P4529">
        <f t="shared" si="211"/>
        <v>6.3093626928543414E-3</v>
      </c>
      <c r="Q4529" t="str">
        <f t="shared" ca="1" si="212"/>
        <v>No</v>
      </c>
    </row>
    <row r="4530" spans="1:17" x14ac:dyDescent="0.45">
      <c r="A4530" t="s">
        <v>186</v>
      </c>
      <c r="B4530" t="s">
        <v>187</v>
      </c>
      <c r="C4530" t="s">
        <v>40</v>
      </c>
      <c r="D4530" t="s">
        <v>188</v>
      </c>
      <c r="E4530" t="s">
        <v>21</v>
      </c>
      <c r="F4530" s="1">
        <v>44682</v>
      </c>
      <c r="G4530">
        <v>1.66</v>
      </c>
      <c r="H4530">
        <v>80.675600000000003</v>
      </c>
      <c r="I4530">
        <v>19.61</v>
      </c>
      <c r="J4530">
        <v>75.95</v>
      </c>
      <c r="K4530" t="s">
        <v>48</v>
      </c>
      <c r="L4530">
        <v>619.48</v>
      </c>
      <c r="M4530">
        <f>VLOOKUP(K4530,RatingLookup!$A$2:$C$8,2,FALSE)</f>
        <v>5.0000000000000001E-4</v>
      </c>
      <c r="N4530">
        <f t="shared" si="210"/>
        <v>4.167621832917856E-5</v>
      </c>
      <c r="O4530">
        <f>VLOOKUP(K4530,RatingLookup!$A$2:$C$8,3,FALSE)</f>
        <v>0.25</v>
      </c>
      <c r="P4530">
        <f t="shared" si="211"/>
        <v>6.4543959326398836E-3</v>
      </c>
      <c r="Q4530" t="str">
        <f t="shared" ca="1" si="212"/>
        <v>No</v>
      </c>
    </row>
    <row r="4531" spans="1:17" x14ac:dyDescent="0.45">
      <c r="A4531" t="s">
        <v>186</v>
      </c>
      <c r="B4531" t="s">
        <v>187</v>
      </c>
      <c r="C4531" t="s">
        <v>40</v>
      </c>
      <c r="D4531" t="s">
        <v>188</v>
      </c>
      <c r="E4531" t="s">
        <v>21</v>
      </c>
      <c r="F4531" s="1">
        <v>44713</v>
      </c>
      <c r="G4531">
        <v>1.4</v>
      </c>
      <c r="H4531">
        <v>80.597399999999993</v>
      </c>
      <c r="I4531">
        <v>22.65</v>
      </c>
      <c r="J4531">
        <v>79.760000000000005</v>
      </c>
      <c r="K4531" t="s">
        <v>48</v>
      </c>
      <c r="L4531">
        <v>615.49</v>
      </c>
      <c r="M4531">
        <f>VLOOKUP(K4531,RatingLookup!$A$2:$C$8,2,FALSE)</f>
        <v>5.0000000000000001E-4</v>
      </c>
      <c r="N4531">
        <f t="shared" si="210"/>
        <v>4.167621832917856E-5</v>
      </c>
      <c r="O4531">
        <f>VLOOKUP(K4531,RatingLookup!$A$2:$C$8,3,FALSE)</f>
        <v>0.25</v>
      </c>
      <c r="P4531">
        <f t="shared" si="211"/>
        <v>6.412823904856528E-3</v>
      </c>
      <c r="Q4531" t="str">
        <f t="shared" ca="1" si="212"/>
        <v>No</v>
      </c>
    </row>
    <row r="4532" spans="1:17" x14ac:dyDescent="0.45">
      <c r="A4532" t="s">
        <v>186</v>
      </c>
      <c r="B4532" t="s">
        <v>187</v>
      </c>
      <c r="C4532" t="s">
        <v>40</v>
      </c>
      <c r="D4532" t="s">
        <v>188</v>
      </c>
      <c r="E4532" t="s">
        <v>21</v>
      </c>
      <c r="F4532" s="1">
        <v>44743</v>
      </c>
      <c r="G4532">
        <v>-0.42</v>
      </c>
      <c r="H4532">
        <v>82.144800000000004</v>
      </c>
      <c r="I4532">
        <v>18.64</v>
      </c>
      <c r="J4532">
        <v>84.08</v>
      </c>
      <c r="K4532" t="s">
        <v>48</v>
      </c>
      <c r="L4532">
        <v>613.89</v>
      </c>
      <c r="M4532">
        <f>VLOOKUP(K4532,RatingLookup!$A$2:$C$8,2,FALSE)</f>
        <v>5.0000000000000001E-4</v>
      </c>
      <c r="N4532">
        <f t="shared" si="210"/>
        <v>4.167621832917856E-5</v>
      </c>
      <c r="O4532">
        <f>VLOOKUP(K4532,RatingLookup!$A$2:$C$8,3,FALSE)</f>
        <v>0.25</v>
      </c>
      <c r="P4532">
        <f t="shared" si="211"/>
        <v>6.3961534175248566E-3</v>
      </c>
      <c r="Q4532" t="str">
        <f t="shared" ca="1" si="212"/>
        <v>No</v>
      </c>
    </row>
    <row r="4533" spans="1:17" x14ac:dyDescent="0.45">
      <c r="A4533" t="s">
        <v>186</v>
      </c>
      <c r="B4533" t="s">
        <v>187</v>
      </c>
      <c r="C4533" t="s">
        <v>40</v>
      </c>
      <c r="D4533" t="s">
        <v>188</v>
      </c>
      <c r="E4533" t="s">
        <v>21</v>
      </c>
      <c r="F4533" s="1">
        <v>44774</v>
      </c>
      <c r="G4533">
        <v>1.51</v>
      </c>
      <c r="H4533">
        <v>77.421899999999994</v>
      </c>
      <c r="I4533">
        <v>16.54</v>
      </c>
      <c r="J4533">
        <v>77.91</v>
      </c>
      <c r="K4533" t="s">
        <v>23</v>
      </c>
      <c r="L4533">
        <v>622.61</v>
      </c>
      <c r="M4533">
        <f>VLOOKUP(K4533,RatingLookup!$A$2:$C$8,2,FALSE)</f>
        <v>1E-3</v>
      </c>
      <c r="N4533">
        <f t="shared" si="210"/>
        <v>8.3371552197619714E-5</v>
      </c>
      <c r="O4533">
        <f>VLOOKUP(K4533,RatingLookup!$A$2:$C$8,3,FALSE)</f>
        <v>0.3</v>
      </c>
      <c r="P4533">
        <f t="shared" si="211"/>
        <v>1.5572388634128003E-2</v>
      </c>
      <c r="Q4533" t="str">
        <f t="shared" ca="1" si="212"/>
        <v>No</v>
      </c>
    </row>
    <row r="4534" spans="1:17" x14ac:dyDescent="0.45">
      <c r="A4534" t="s">
        <v>186</v>
      </c>
      <c r="B4534" t="s">
        <v>187</v>
      </c>
      <c r="C4534" t="s">
        <v>40</v>
      </c>
      <c r="D4534" t="s">
        <v>188</v>
      </c>
      <c r="E4534" t="s">
        <v>21</v>
      </c>
      <c r="F4534" s="1">
        <v>44805</v>
      </c>
      <c r="G4534">
        <v>2.6</v>
      </c>
      <c r="H4534">
        <v>80.841499999999996</v>
      </c>
      <c r="I4534">
        <v>25.55</v>
      </c>
      <c r="J4534">
        <v>80.239999999999995</v>
      </c>
      <c r="K4534" t="s">
        <v>23</v>
      </c>
      <c r="L4534">
        <v>614.84</v>
      </c>
      <c r="M4534">
        <f>VLOOKUP(K4534,RatingLookup!$A$2:$C$8,2,FALSE)</f>
        <v>1E-3</v>
      </c>
      <c r="N4534">
        <f t="shared" si="210"/>
        <v>8.3371552197619714E-5</v>
      </c>
      <c r="O4534">
        <f>VLOOKUP(K4534,RatingLookup!$A$2:$C$8,3,FALSE)</f>
        <v>0.3</v>
      </c>
      <c r="P4534">
        <f t="shared" si="211"/>
        <v>1.5378049545955352E-2</v>
      </c>
      <c r="Q4534" t="str">
        <f t="shared" ca="1" si="212"/>
        <v>No</v>
      </c>
    </row>
    <row r="4535" spans="1:17" x14ac:dyDescent="0.45">
      <c r="A4535" t="s">
        <v>186</v>
      </c>
      <c r="B4535" t="s">
        <v>187</v>
      </c>
      <c r="C4535" t="s">
        <v>40</v>
      </c>
      <c r="D4535" t="s">
        <v>188</v>
      </c>
      <c r="E4535" t="s">
        <v>21</v>
      </c>
      <c r="F4535" s="1">
        <v>44835</v>
      </c>
      <c r="G4535">
        <v>2.2200000000000002</v>
      </c>
      <c r="H4535">
        <v>86.791200000000003</v>
      </c>
      <c r="I4535">
        <v>12.31</v>
      </c>
      <c r="J4535">
        <v>78.319999999999993</v>
      </c>
      <c r="K4535" t="s">
        <v>23</v>
      </c>
      <c r="L4535">
        <v>626.55999999999995</v>
      </c>
      <c r="M4535">
        <f>VLOOKUP(K4535,RatingLookup!$A$2:$C$8,2,FALSE)</f>
        <v>1E-3</v>
      </c>
      <c r="N4535">
        <f t="shared" si="210"/>
        <v>8.3371552197619714E-5</v>
      </c>
      <c r="O4535">
        <f>VLOOKUP(K4535,RatingLookup!$A$2:$C$8,3,FALSE)</f>
        <v>0.3</v>
      </c>
      <c r="P4535">
        <f t="shared" si="211"/>
        <v>1.5671183923482181E-2</v>
      </c>
      <c r="Q4535" t="str">
        <f t="shared" ca="1" si="212"/>
        <v>No</v>
      </c>
    </row>
    <row r="4536" spans="1:17" x14ac:dyDescent="0.45">
      <c r="A4536" t="s">
        <v>186</v>
      </c>
      <c r="B4536" t="s">
        <v>187</v>
      </c>
      <c r="C4536" t="s">
        <v>40</v>
      </c>
      <c r="D4536" t="s">
        <v>188</v>
      </c>
      <c r="E4536" t="s">
        <v>21</v>
      </c>
      <c r="F4536" s="1">
        <v>44866</v>
      </c>
      <c r="G4536">
        <v>0.33</v>
      </c>
      <c r="H4536">
        <v>83.519900000000007</v>
      </c>
      <c r="I4536">
        <v>17.12</v>
      </c>
      <c r="J4536">
        <v>92.42</v>
      </c>
      <c r="K4536" t="s">
        <v>23</v>
      </c>
      <c r="L4536">
        <v>584.52</v>
      </c>
      <c r="M4536">
        <f>VLOOKUP(K4536,RatingLookup!$A$2:$C$8,2,FALSE)</f>
        <v>1E-3</v>
      </c>
      <c r="N4536">
        <f t="shared" si="210"/>
        <v>8.3371552197619714E-5</v>
      </c>
      <c r="O4536">
        <f>VLOOKUP(K4536,RatingLookup!$A$2:$C$8,3,FALSE)</f>
        <v>0.3</v>
      </c>
      <c r="P4536">
        <f t="shared" si="211"/>
        <v>1.4619701907165803E-2</v>
      </c>
      <c r="Q4536" t="str">
        <f t="shared" ca="1" si="212"/>
        <v>No</v>
      </c>
    </row>
    <row r="4537" spans="1:17" x14ac:dyDescent="0.45">
      <c r="A4537" t="s">
        <v>186</v>
      </c>
      <c r="B4537" t="s">
        <v>187</v>
      </c>
      <c r="C4537" t="s">
        <v>40</v>
      </c>
      <c r="D4537" t="s">
        <v>188</v>
      </c>
      <c r="E4537" t="s">
        <v>21</v>
      </c>
      <c r="F4537" s="1">
        <v>44896</v>
      </c>
      <c r="G4537">
        <v>1.47</v>
      </c>
      <c r="H4537">
        <v>80.905699999999996</v>
      </c>
      <c r="I4537">
        <v>16.39</v>
      </c>
      <c r="J4537">
        <v>67.040000000000006</v>
      </c>
      <c r="K4537" t="s">
        <v>23</v>
      </c>
      <c r="L4537">
        <v>586.62</v>
      </c>
      <c r="M4537">
        <f>VLOOKUP(K4537,RatingLookup!$A$2:$C$8,2,FALSE)</f>
        <v>1E-3</v>
      </c>
      <c r="N4537">
        <f t="shared" si="210"/>
        <v>8.3371552197619714E-5</v>
      </c>
      <c r="O4537">
        <f>VLOOKUP(K4537,RatingLookup!$A$2:$C$8,3,FALSE)</f>
        <v>0.3</v>
      </c>
      <c r="P4537">
        <f t="shared" si="211"/>
        <v>1.4672225985050302E-2</v>
      </c>
      <c r="Q4537" t="str">
        <f t="shared" ca="1" si="212"/>
        <v>No</v>
      </c>
    </row>
    <row r="4538" spans="1:17" x14ac:dyDescent="0.45">
      <c r="A4538" t="s">
        <v>186</v>
      </c>
      <c r="B4538" t="s">
        <v>187</v>
      </c>
      <c r="C4538" t="s">
        <v>40</v>
      </c>
      <c r="D4538" t="s">
        <v>188</v>
      </c>
      <c r="E4538" t="s">
        <v>21</v>
      </c>
      <c r="F4538" s="1">
        <v>44927</v>
      </c>
      <c r="G4538">
        <v>1.43</v>
      </c>
      <c r="H4538">
        <v>75.457899999999995</v>
      </c>
      <c r="I4538">
        <v>19.579999999999998</v>
      </c>
      <c r="J4538">
        <v>90.99</v>
      </c>
      <c r="K4538" t="s">
        <v>23</v>
      </c>
      <c r="L4538">
        <v>631.63</v>
      </c>
      <c r="M4538">
        <f>VLOOKUP(K4538,RatingLookup!$A$2:$C$8,2,FALSE)</f>
        <v>1E-3</v>
      </c>
      <c r="N4538">
        <f t="shared" si="210"/>
        <v>8.3371552197619714E-5</v>
      </c>
      <c r="O4538">
        <f>VLOOKUP(K4538,RatingLookup!$A$2:$C$8,3,FALSE)</f>
        <v>0.3</v>
      </c>
      <c r="P4538">
        <f t="shared" si="211"/>
        <v>1.5797992054374762E-2</v>
      </c>
      <c r="Q4538" t="str">
        <f t="shared" ca="1" si="212"/>
        <v>No</v>
      </c>
    </row>
    <row r="4539" spans="1:17" x14ac:dyDescent="0.45">
      <c r="A4539" t="s">
        <v>186</v>
      </c>
      <c r="B4539" t="s">
        <v>187</v>
      </c>
      <c r="C4539" t="s">
        <v>40</v>
      </c>
      <c r="D4539" t="s">
        <v>188</v>
      </c>
      <c r="E4539" t="s">
        <v>21</v>
      </c>
      <c r="F4539" s="1">
        <v>44958</v>
      </c>
      <c r="G4539">
        <v>0.98</v>
      </c>
      <c r="H4539">
        <v>83.472200000000001</v>
      </c>
      <c r="I4539">
        <v>5</v>
      </c>
      <c r="J4539">
        <v>84.8</v>
      </c>
      <c r="K4539" t="s">
        <v>23</v>
      </c>
      <c r="L4539">
        <v>609.28</v>
      </c>
      <c r="M4539">
        <f>VLOOKUP(K4539,RatingLookup!$A$2:$C$8,2,FALSE)</f>
        <v>1E-3</v>
      </c>
      <c r="N4539">
        <f t="shared" si="210"/>
        <v>8.3371552197619714E-5</v>
      </c>
      <c r="O4539">
        <f>VLOOKUP(K4539,RatingLookup!$A$2:$C$8,3,FALSE)</f>
        <v>0.3</v>
      </c>
      <c r="P4539">
        <f t="shared" si="211"/>
        <v>1.5238985796889721E-2</v>
      </c>
      <c r="Q4539" t="str">
        <f t="shared" ca="1" si="212"/>
        <v>No</v>
      </c>
    </row>
    <row r="4540" spans="1:17" x14ac:dyDescent="0.45">
      <c r="A4540" t="s">
        <v>186</v>
      </c>
      <c r="B4540" t="s">
        <v>187</v>
      </c>
      <c r="C4540" t="s">
        <v>40</v>
      </c>
      <c r="D4540" t="s">
        <v>188</v>
      </c>
      <c r="E4540" t="s">
        <v>21</v>
      </c>
      <c r="F4540" s="1">
        <v>44986</v>
      </c>
      <c r="G4540">
        <v>1.51</v>
      </c>
      <c r="H4540">
        <v>82.9726</v>
      </c>
      <c r="I4540">
        <v>26.16</v>
      </c>
      <c r="J4540">
        <v>86.53</v>
      </c>
      <c r="K4540" t="s">
        <v>23</v>
      </c>
      <c r="L4540">
        <v>607.19000000000005</v>
      </c>
      <c r="M4540">
        <f>VLOOKUP(K4540,RatingLookup!$A$2:$C$8,2,FALSE)</f>
        <v>1E-3</v>
      </c>
      <c r="N4540">
        <f t="shared" si="210"/>
        <v>8.3371552197619714E-5</v>
      </c>
      <c r="O4540">
        <f>VLOOKUP(K4540,RatingLookup!$A$2:$C$8,3,FALSE)</f>
        <v>0.3</v>
      </c>
      <c r="P4540">
        <f t="shared" si="211"/>
        <v>1.5186711833661814E-2</v>
      </c>
      <c r="Q4540" t="str">
        <f t="shared" ca="1" si="212"/>
        <v>No</v>
      </c>
    </row>
    <row r="4541" spans="1:17" x14ac:dyDescent="0.45">
      <c r="A4541" t="s">
        <v>186</v>
      </c>
      <c r="B4541" t="s">
        <v>187</v>
      </c>
      <c r="C4541" t="s">
        <v>40</v>
      </c>
      <c r="D4541" t="s">
        <v>188</v>
      </c>
      <c r="E4541" t="s">
        <v>21</v>
      </c>
      <c r="F4541" s="1">
        <v>45017</v>
      </c>
      <c r="G4541">
        <v>2.29</v>
      </c>
      <c r="H4541">
        <v>85.830799999999996</v>
      </c>
      <c r="I4541">
        <v>16.66</v>
      </c>
      <c r="J4541">
        <v>74.290000000000006</v>
      </c>
      <c r="K4541" t="s">
        <v>23</v>
      </c>
      <c r="L4541">
        <v>598</v>
      </c>
      <c r="M4541">
        <f>VLOOKUP(K4541,RatingLookup!$A$2:$C$8,2,FALSE)</f>
        <v>1E-3</v>
      </c>
      <c r="N4541">
        <f t="shared" si="210"/>
        <v>8.3371552197619714E-5</v>
      </c>
      <c r="O4541">
        <f>VLOOKUP(K4541,RatingLookup!$A$2:$C$8,3,FALSE)</f>
        <v>0.3</v>
      </c>
      <c r="P4541">
        <f t="shared" si="211"/>
        <v>1.4956856464252976E-2</v>
      </c>
      <c r="Q4541" t="str">
        <f t="shared" ca="1" si="212"/>
        <v>No</v>
      </c>
    </row>
    <row r="4542" spans="1:17" x14ac:dyDescent="0.45">
      <c r="A4542" t="s">
        <v>186</v>
      </c>
      <c r="B4542" t="s">
        <v>187</v>
      </c>
      <c r="C4542" t="s">
        <v>40</v>
      </c>
      <c r="D4542" t="s">
        <v>188</v>
      </c>
      <c r="E4542" t="s">
        <v>21</v>
      </c>
      <c r="F4542" s="1">
        <v>45047</v>
      </c>
      <c r="G4542">
        <v>2.13</v>
      </c>
      <c r="H4542">
        <v>79.229799999999997</v>
      </c>
      <c r="I4542">
        <v>14.51</v>
      </c>
      <c r="J4542">
        <v>85.83</v>
      </c>
      <c r="K4542" t="s">
        <v>23</v>
      </c>
      <c r="L4542">
        <v>650.5</v>
      </c>
      <c r="M4542">
        <f>VLOOKUP(K4542,RatingLookup!$A$2:$C$8,2,FALSE)</f>
        <v>1E-3</v>
      </c>
      <c r="N4542">
        <f t="shared" si="210"/>
        <v>8.3371552197619714E-5</v>
      </c>
      <c r="O4542">
        <f>VLOOKUP(K4542,RatingLookup!$A$2:$C$8,3,FALSE)</f>
        <v>0.3</v>
      </c>
      <c r="P4542">
        <f t="shared" si="211"/>
        <v>1.6269958411365488E-2</v>
      </c>
      <c r="Q4542" t="str">
        <f t="shared" ca="1" si="212"/>
        <v>No</v>
      </c>
    </row>
    <row r="4543" spans="1:17" x14ac:dyDescent="0.45">
      <c r="A4543" t="s">
        <v>186</v>
      </c>
      <c r="B4543" t="s">
        <v>187</v>
      </c>
      <c r="C4543" t="s">
        <v>40</v>
      </c>
      <c r="D4543" t="s">
        <v>188</v>
      </c>
      <c r="E4543" t="s">
        <v>21</v>
      </c>
      <c r="F4543" s="1">
        <v>45078</v>
      </c>
      <c r="G4543">
        <v>1.68</v>
      </c>
      <c r="H4543">
        <v>82.296599999999998</v>
      </c>
      <c r="I4543">
        <v>27.32</v>
      </c>
      <c r="J4543">
        <v>82.49</v>
      </c>
      <c r="K4543" t="s">
        <v>23</v>
      </c>
      <c r="L4543">
        <v>588.41999999999996</v>
      </c>
      <c r="M4543">
        <f>VLOOKUP(K4543,RatingLookup!$A$2:$C$8,2,FALSE)</f>
        <v>1E-3</v>
      </c>
      <c r="N4543">
        <f t="shared" si="210"/>
        <v>8.3371552197619714E-5</v>
      </c>
      <c r="O4543">
        <f>VLOOKUP(K4543,RatingLookup!$A$2:$C$8,3,FALSE)</f>
        <v>0.3</v>
      </c>
      <c r="P4543">
        <f t="shared" si="211"/>
        <v>1.4717246623237017E-2</v>
      </c>
      <c r="Q4543" t="str">
        <f t="shared" ca="1" si="212"/>
        <v>No</v>
      </c>
    </row>
    <row r="4544" spans="1:17" x14ac:dyDescent="0.45">
      <c r="A4544" t="s">
        <v>186</v>
      </c>
      <c r="B4544" t="s">
        <v>187</v>
      </c>
      <c r="C4544" t="s">
        <v>40</v>
      </c>
      <c r="D4544" t="s">
        <v>188</v>
      </c>
      <c r="E4544" t="s">
        <v>21</v>
      </c>
      <c r="F4544" s="1">
        <v>45108</v>
      </c>
      <c r="G4544">
        <v>0.8</v>
      </c>
      <c r="H4544">
        <v>82.233400000000003</v>
      </c>
      <c r="I4544">
        <v>15.84</v>
      </c>
      <c r="J4544">
        <v>98.58</v>
      </c>
      <c r="K4544" t="s">
        <v>48</v>
      </c>
      <c r="L4544">
        <v>636.36</v>
      </c>
      <c r="M4544">
        <f>VLOOKUP(K4544,RatingLookup!$A$2:$C$8,2,FALSE)</f>
        <v>5.0000000000000001E-4</v>
      </c>
      <c r="N4544">
        <f t="shared" si="210"/>
        <v>4.167621832917856E-5</v>
      </c>
      <c r="O4544">
        <f>VLOOKUP(K4544,RatingLookup!$A$2:$C$8,3,FALSE)</f>
        <v>0.25</v>
      </c>
      <c r="P4544">
        <f t="shared" si="211"/>
        <v>6.6302695739890172E-3</v>
      </c>
      <c r="Q4544" t="str">
        <f t="shared" ca="1" si="212"/>
        <v>No</v>
      </c>
    </row>
    <row r="4545" spans="1:17" x14ac:dyDescent="0.45">
      <c r="A4545" t="s">
        <v>186</v>
      </c>
      <c r="B4545" t="s">
        <v>187</v>
      </c>
      <c r="C4545" t="s">
        <v>40</v>
      </c>
      <c r="D4545" t="s">
        <v>188</v>
      </c>
      <c r="E4545" t="s">
        <v>21</v>
      </c>
      <c r="F4545" s="1">
        <v>45139</v>
      </c>
      <c r="G4545">
        <v>1.56</v>
      </c>
      <c r="H4545">
        <v>83.656199999999998</v>
      </c>
      <c r="I4545">
        <v>17.5</v>
      </c>
      <c r="J4545">
        <v>79.77</v>
      </c>
      <c r="K4545" t="s">
        <v>48</v>
      </c>
      <c r="L4545">
        <v>672.23</v>
      </c>
      <c r="M4545">
        <f>VLOOKUP(K4545,RatingLookup!$A$2:$C$8,2,FALSE)</f>
        <v>5.0000000000000001E-4</v>
      </c>
      <c r="N4545">
        <f t="shared" si="210"/>
        <v>4.167621832917856E-5</v>
      </c>
      <c r="O4545">
        <f>VLOOKUP(K4545,RatingLookup!$A$2:$C$8,3,FALSE)</f>
        <v>0.25</v>
      </c>
      <c r="P4545">
        <f t="shared" si="211"/>
        <v>7.0040010618559259E-3</v>
      </c>
      <c r="Q4545" t="str">
        <f t="shared" ca="1" si="212"/>
        <v>No</v>
      </c>
    </row>
    <row r="4546" spans="1:17" x14ac:dyDescent="0.45">
      <c r="A4546" t="s">
        <v>186</v>
      </c>
      <c r="B4546" t="s">
        <v>187</v>
      </c>
      <c r="C4546" t="s">
        <v>40</v>
      </c>
      <c r="D4546" t="s">
        <v>188</v>
      </c>
      <c r="E4546" t="s">
        <v>21</v>
      </c>
      <c r="F4546" s="1">
        <v>45170</v>
      </c>
      <c r="G4546">
        <v>1.25</v>
      </c>
      <c r="H4546">
        <v>86.935299999999998</v>
      </c>
      <c r="I4546">
        <v>12.53</v>
      </c>
      <c r="J4546">
        <v>96.7</v>
      </c>
      <c r="K4546" t="s">
        <v>23</v>
      </c>
      <c r="L4546">
        <v>585.70000000000005</v>
      </c>
      <c r="M4546">
        <f>VLOOKUP(K4546,RatingLookup!$A$2:$C$8,2,FALSE)</f>
        <v>1E-3</v>
      </c>
      <c r="N4546">
        <f t="shared" ref="N4546:N4609" si="213">1-(1-M4546)^(1/12)</f>
        <v>8.3371552197619714E-5</v>
      </c>
      <c r="O4546">
        <f>VLOOKUP(K4546,RatingLookup!$A$2:$C$8,3,FALSE)</f>
        <v>0.3</v>
      </c>
      <c r="P4546">
        <f t="shared" ref="P4546:P4609" si="214">L4546*N4546*O4546</f>
        <v>1.4649215436643761E-2</v>
      </c>
      <c r="Q4546" t="str">
        <f t="shared" ref="Q4546:Q4609" ca="1" si="215">IF(RAND()&lt;N4546,"Yes","No")</f>
        <v>No</v>
      </c>
    </row>
    <row r="4547" spans="1:17" x14ac:dyDescent="0.45">
      <c r="A4547" t="s">
        <v>186</v>
      </c>
      <c r="B4547" t="s">
        <v>187</v>
      </c>
      <c r="C4547" t="s">
        <v>40</v>
      </c>
      <c r="D4547" t="s">
        <v>188</v>
      </c>
      <c r="E4547" t="s">
        <v>21</v>
      </c>
      <c r="F4547" s="1">
        <v>45200</v>
      </c>
      <c r="G4547">
        <v>2.2599999999999998</v>
      </c>
      <c r="H4547">
        <v>82.632099999999994</v>
      </c>
      <c r="I4547">
        <v>17.190000000000001</v>
      </c>
      <c r="J4547">
        <v>71.680000000000007</v>
      </c>
      <c r="K4547" t="s">
        <v>23</v>
      </c>
      <c r="L4547">
        <v>618.66999999999996</v>
      </c>
      <c r="M4547">
        <f>VLOOKUP(K4547,RatingLookup!$A$2:$C$8,2,FALSE)</f>
        <v>1E-3</v>
      </c>
      <c r="N4547">
        <f t="shared" si="213"/>
        <v>8.3371552197619714E-5</v>
      </c>
      <c r="O4547">
        <f>VLOOKUP(K4547,RatingLookup!$A$2:$C$8,3,FALSE)</f>
        <v>0.3</v>
      </c>
      <c r="P4547">
        <f t="shared" si="214"/>
        <v>1.5473843459430415E-2</v>
      </c>
      <c r="Q4547" t="str">
        <f t="shared" ca="1" si="215"/>
        <v>No</v>
      </c>
    </row>
    <row r="4548" spans="1:17" x14ac:dyDescent="0.45">
      <c r="A4548" t="s">
        <v>186</v>
      </c>
      <c r="B4548" t="s">
        <v>187</v>
      </c>
      <c r="C4548" t="s">
        <v>40</v>
      </c>
      <c r="D4548" t="s">
        <v>188</v>
      </c>
      <c r="E4548" t="s">
        <v>21</v>
      </c>
      <c r="F4548" s="1">
        <v>45231</v>
      </c>
      <c r="G4548">
        <v>1.81</v>
      </c>
      <c r="H4548">
        <v>81.086200000000005</v>
      </c>
      <c r="I4548">
        <v>12.45</v>
      </c>
      <c r="J4548">
        <v>97.28</v>
      </c>
      <c r="K4548" t="s">
        <v>23</v>
      </c>
      <c r="L4548">
        <v>577.09</v>
      </c>
      <c r="M4548">
        <f>VLOOKUP(K4548,RatingLookup!$A$2:$C$8,2,FALSE)</f>
        <v>1E-3</v>
      </c>
      <c r="N4548">
        <f t="shared" si="213"/>
        <v>8.3371552197619714E-5</v>
      </c>
      <c r="O4548">
        <f>VLOOKUP(K4548,RatingLookup!$A$2:$C$8,3,FALSE)</f>
        <v>0.3</v>
      </c>
      <c r="P4548">
        <f t="shared" si="214"/>
        <v>1.443386671731731E-2</v>
      </c>
      <c r="Q4548" t="str">
        <f t="shared" ca="1" si="215"/>
        <v>No</v>
      </c>
    </row>
    <row r="4549" spans="1:17" x14ac:dyDescent="0.45">
      <c r="A4549" t="s">
        <v>186</v>
      </c>
      <c r="B4549" t="s">
        <v>187</v>
      </c>
      <c r="C4549" t="s">
        <v>40</v>
      </c>
      <c r="D4549" t="s">
        <v>188</v>
      </c>
      <c r="E4549" t="s">
        <v>21</v>
      </c>
      <c r="F4549" s="1">
        <v>45261</v>
      </c>
      <c r="G4549">
        <v>1.41</v>
      </c>
      <c r="H4549">
        <v>82.993600000000001</v>
      </c>
      <c r="I4549">
        <v>20.59</v>
      </c>
      <c r="J4549">
        <v>74.97</v>
      </c>
      <c r="K4549" t="s">
        <v>23</v>
      </c>
      <c r="L4549">
        <v>673.63</v>
      </c>
      <c r="M4549">
        <f>VLOOKUP(K4549,RatingLookup!$A$2:$C$8,2,FALSE)</f>
        <v>1E-3</v>
      </c>
      <c r="N4549">
        <f t="shared" si="213"/>
        <v>8.3371552197619714E-5</v>
      </c>
      <c r="O4549">
        <f>VLOOKUP(K4549,RatingLookup!$A$2:$C$8,3,FALSE)</f>
        <v>0.3</v>
      </c>
      <c r="P4549">
        <f t="shared" si="214"/>
        <v>1.684847361206477E-2</v>
      </c>
      <c r="Q4549" t="str">
        <f t="shared" ca="1" si="215"/>
        <v>No</v>
      </c>
    </row>
    <row r="4550" spans="1:17" x14ac:dyDescent="0.45">
      <c r="A4550" t="s">
        <v>186</v>
      </c>
      <c r="B4550" t="s">
        <v>187</v>
      </c>
      <c r="C4550" t="s">
        <v>40</v>
      </c>
      <c r="D4550" t="s">
        <v>188</v>
      </c>
      <c r="E4550" t="s">
        <v>21</v>
      </c>
      <c r="F4550" s="1">
        <v>45292</v>
      </c>
      <c r="G4550">
        <v>1.89</v>
      </c>
      <c r="H4550">
        <v>82.67</v>
      </c>
      <c r="I4550">
        <v>20.83</v>
      </c>
      <c r="J4550">
        <v>71.790000000000006</v>
      </c>
      <c r="K4550" t="s">
        <v>23</v>
      </c>
      <c r="L4550">
        <v>561.05999999999995</v>
      </c>
      <c r="M4550">
        <f>VLOOKUP(K4550,RatingLookup!$A$2:$C$8,2,FALSE)</f>
        <v>1E-3</v>
      </c>
      <c r="N4550">
        <f t="shared" si="213"/>
        <v>8.3371552197619714E-5</v>
      </c>
      <c r="O4550">
        <f>VLOOKUP(K4550,RatingLookup!$A$2:$C$8,3,FALSE)</f>
        <v>0.3</v>
      </c>
      <c r="P4550">
        <f t="shared" si="214"/>
        <v>1.4032932922798955E-2</v>
      </c>
      <c r="Q4550" t="str">
        <f t="shared" ca="1" si="215"/>
        <v>No</v>
      </c>
    </row>
    <row r="4551" spans="1:17" x14ac:dyDescent="0.45">
      <c r="A4551" t="s">
        <v>186</v>
      </c>
      <c r="B4551" t="s">
        <v>187</v>
      </c>
      <c r="C4551" t="s">
        <v>40</v>
      </c>
      <c r="D4551" t="s">
        <v>188</v>
      </c>
      <c r="E4551" t="s">
        <v>21</v>
      </c>
      <c r="F4551" s="1">
        <v>45323</v>
      </c>
      <c r="G4551">
        <v>0.83</v>
      </c>
      <c r="H4551">
        <v>77.121300000000005</v>
      </c>
      <c r="I4551">
        <v>20.85</v>
      </c>
      <c r="J4551">
        <v>65.81</v>
      </c>
      <c r="K4551" t="s">
        <v>23</v>
      </c>
      <c r="L4551">
        <v>618.29999999999995</v>
      </c>
      <c r="M4551">
        <f>VLOOKUP(K4551,RatingLookup!$A$2:$C$8,2,FALSE)</f>
        <v>1E-3</v>
      </c>
      <c r="N4551">
        <f t="shared" si="213"/>
        <v>8.3371552197619714E-5</v>
      </c>
      <c r="O4551">
        <f>VLOOKUP(K4551,RatingLookup!$A$2:$C$8,3,FALSE)</f>
        <v>0.3</v>
      </c>
      <c r="P4551">
        <f t="shared" si="214"/>
        <v>1.5464589217136478E-2</v>
      </c>
      <c r="Q4551" t="str">
        <f t="shared" ca="1" si="215"/>
        <v>No</v>
      </c>
    </row>
    <row r="4552" spans="1:17" x14ac:dyDescent="0.45">
      <c r="A4552" t="s">
        <v>186</v>
      </c>
      <c r="B4552" t="s">
        <v>187</v>
      </c>
      <c r="C4552" t="s">
        <v>40</v>
      </c>
      <c r="D4552" t="s">
        <v>188</v>
      </c>
      <c r="E4552" t="s">
        <v>21</v>
      </c>
      <c r="F4552" s="1">
        <v>45352</v>
      </c>
      <c r="G4552">
        <v>1.32</v>
      </c>
      <c r="H4552">
        <v>82.860600000000005</v>
      </c>
      <c r="I4552">
        <v>27.09</v>
      </c>
      <c r="J4552">
        <v>73.900000000000006</v>
      </c>
      <c r="K4552" t="s">
        <v>22</v>
      </c>
      <c r="L4552">
        <v>690.35</v>
      </c>
      <c r="M4552">
        <f>VLOOKUP(K4552,RatingLookup!$A$2:$C$8,2,FALSE)</f>
        <v>5.0000000000000001E-3</v>
      </c>
      <c r="N4552">
        <f t="shared" si="213"/>
        <v>4.1762458919303302E-4</v>
      </c>
      <c r="O4552">
        <f>VLOOKUP(K4552,RatingLookup!$A$2:$C$8,3,FALSE)</f>
        <v>0.45</v>
      </c>
      <c r="P4552">
        <f t="shared" si="214"/>
        <v>0.12973821081723466</v>
      </c>
      <c r="Q4552" t="str">
        <f t="shared" ca="1" si="215"/>
        <v>No</v>
      </c>
    </row>
    <row r="4553" spans="1:17" x14ac:dyDescent="0.45">
      <c r="A4553" t="s">
        <v>186</v>
      </c>
      <c r="B4553" t="s">
        <v>187</v>
      </c>
      <c r="C4553" t="s">
        <v>40</v>
      </c>
      <c r="D4553" t="s">
        <v>188</v>
      </c>
      <c r="E4553" t="s">
        <v>21</v>
      </c>
      <c r="F4553" s="1">
        <v>45383</v>
      </c>
      <c r="G4553">
        <v>1.63</v>
      </c>
      <c r="H4553">
        <v>86.108800000000002</v>
      </c>
      <c r="I4553">
        <v>12.61</v>
      </c>
      <c r="J4553">
        <v>99.52</v>
      </c>
      <c r="K4553" t="s">
        <v>22</v>
      </c>
      <c r="L4553">
        <v>638</v>
      </c>
      <c r="M4553">
        <f>VLOOKUP(K4553,RatingLookup!$A$2:$C$8,2,FALSE)</f>
        <v>5.0000000000000001E-3</v>
      </c>
      <c r="N4553">
        <f t="shared" si="213"/>
        <v>4.1762458919303302E-4</v>
      </c>
      <c r="O4553">
        <f>VLOOKUP(K4553,RatingLookup!$A$2:$C$8,3,FALSE)</f>
        <v>0.45</v>
      </c>
      <c r="P4553">
        <f t="shared" si="214"/>
        <v>0.11990001955731978</v>
      </c>
      <c r="Q4553" t="str">
        <f t="shared" ca="1" si="215"/>
        <v>No</v>
      </c>
    </row>
    <row r="4554" spans="1:17" x14ac:dyDescent="0.45">
      <c r="A4554" t="s">
        <v>186</v>
      </c>
      <c r="B4554" t="s">
        <v>187</v>
      </c>
      <c r="C4554" t="s">
        <v>40</v>
      </c>
      <c r="D4554" t="s">
        <v>188</v>
      </c>
      <c r="E4554" t="s">
        <v>21</v>
      </c>
      <c r="F4554" s="1">
        <v>45413</v>
      </c>
      <c r="G4554">
        <v>1.25</v>
      </c>
      <c r="H4554">
        <v>85.810699999999997</v>
      </c>
      <c r="I4554">
        <v>11.96</v>
      </c>
      <c r="J4554">
        <v>95.59</v>
      </c>
      <c r="K4554" t="s">
        <v>22</v>
      </c>
      <c r="L4554">
        <v>658.66</v>
      </c>
      <c r="M4554">
        <f>VLOOKUP(K4554,RatingLookup!$A$2:$C$8,2,FALSE)</f>
        <v>5.0000000000000001E-3</v>
      </c>
      <c r="N4554">
        <f t="shared" si="213"/>
        <v>4.1762458919303302E-4</v>
      </c>
      <c r="O4554">
        <f>VLOOKUP(K4554,RatingLookup!$A$2:$C$8,3,FALSE)</f>
        <v>0.45</v>
      </c>
      <c r="P4554">
        <f t="shared" si="214"/>
        <v>0.12378267536304741</v>
      </c>
      <c r="Q4554" t="str">
        <f t="shared" ca="1" si="215"/>
        <v>No</v>
      </c>
    </row>
    <row r="4555" spans="1:17" x14ac:dyDescent="0.45">
      <c r="A4555" t="s">
        <v>186</v>
      </c>
      <c r="B4555" t="s">
        <v>187</v>
      </c>
      <c r="C4555" t="s">
        <v>40</v>
      </c>
      <c r="D4555" t="s">
        <v>188</v>
      </c>
      <c r="E4555" t="s">
        <v>21</v>
      </c>
      <c r="F4555" s="1">
        <v>45444</v>
      </c>
      <c r="G4555">
        <v>2.5</v>
      </c>
      <c r="H4555">
        <v>82.458200000000005</v>
      </c>
      <c r="I4555">
        <v>25.19</v>
      </c>
      <c r="J4555">
        <v>81.180000000000007</v>
      </c>
      <c r="K4555" t="s">
        <v>22</v>
      </c>
      <c r="L4555">
        <v>681.68</v>
      </c>
      <c r="M4555">
        <f>VLOOKUP(K4555,RatingLookup!$A$2:$C$8,2,FALSE)</f>
        <v>5.0000000000000001E-3</v>
      </c>
      <c r="N4555">
        <f t="shared" si="213"/>
        <v>4.1762458919303302E-4</v>
      </c>
      <c r="O4555">
        <f>VLOOKUP(K4555,RatingLookup!$A$2:$C$8,3,FALSE)</f>
        <v>0.45</v>
      </c>
      <c r="P4555">
        <f t="shared" si="214"/>
        <v>0.12810884848249801</v>
      </c>
      <c r="Q4555" t="str">
        <f t="shared" ca="1" si="215"/>
        <v>No</v>
      </c>
    </row>
    <row r="4556" spans="1:17" x14ac:dyDescent="0.45">
      <c r="A4556" t="s">
        <v>186</v>
      </c>
      <c r="B4556" t="s">
        <v>187</v>
      </c>
      <c r="C4556" t="s">
        <v>40</v>
      </c>
      <c r="D4556" t="s">
        <v>188</v>
      </c>
      <c r="E4556" t="s">
        <v>21</v>
      </c>
      <c r="F4556" s="1">
        <v>45474</v>
      </c>
      <c r="G4556">
        <v>1.91</v>
      </c>
      <c r="H4556">
        <v>88.627099999999999</v>
      </c>
      <c r="I4556">
        <v>14.74</v>
      </c>
      <c r="J4556">
        <v>90.45</v>
      </c>
      <c r="K4556" t="s">
        <v>23</v>
      </c>
      <c r="L4556">
        <v>602.97</v>
      </c>
      <c r="M4556">
        <f>VLOOKUP(K4556,RatingLookup!$A$2:$C$8,2,FALSE)</f>
        <v>1E-3</v>
      </c>
      <c r="N4556">
        <f t="shared" si="213"/>
        <v>8.3371552197619714E-5</v>
      </c>
      <c r="O4556">
        <f>VLOOKUP(K4556,RatingLookup!$A$2:$C$8,3,FALSE)</f>
        <v>0.3</v>
      </c>
      <c r="P4556">
        <f t="shared" si="214"/>
        <v>1.5081163448579626E-2</v>
      </c>
      <c r="Q4556" t="str">
        <f t="shared" ca="1" si="215"/>
        <v>No</v>
      </c>
    </row>
    <row r="4557" spans="1:17" x14ac:dyDescent="0.45">
      <c r="A4557" t="s">
        <v>186</v>
      </c>
      <c r="B4557" t="s">
        <v>187</v>
      </c>
      <c r="C4557" t="s">
        <v>40</v>
      </c>
      <c r="D4557" t="s">
        <v>188</v>
      </c>
      <c r="E4557" t="s">
        <v>21</v>
      </c>
      <c r="F4557" s="1">
        <v>45505</v>
      </c>
      <c r="G4557">
        <v>0.93</v>
      </c>
      <c r="H4557">
        <v>83.036799999999999</v>
      </c>
      <c r="I4557">
        <v>14.3</v>
      </c>
      <c r="J4557">
        <v>104.68</v>
      </c>
      <c r="K4557" t="s">
        <v>23</v>
      </c>
      <c r="L4557">
        <v>623.83000000000004</v>
      </c>
      <c r="M4557">
        <f>VLOOKUP(K4557,RatingLookup!$A$2:$C$8,2,FALSE)</f>
        <v>1E-3</v>
      </c>
      <c r="N4557">
        <f t="shared" si="213"/>
        <v>8.3371552197619714E-5</v>
      </c>
      <c r="O4557">
        <f>VLOOKUP(K4557,RatingLookup!$A$2:$C$8,3,FALSE)</f>
        <v>0.3</v>
      </c>
      <c r="P4557">
        <f t="shared" si="214"/>
        <v>1.5602902622232332E-2</v>
      </c>
      <c r="Q4557" t="str">
        <f t="shared" ca="1" si="215"/>
        <v>No</v>
      </c>
    </row>
    <row r="4558" spans="1:17" x14ac:dyDescent="0.45">
      <c r="A4558" t="s">
        <v>186</v>
      </c>
      <c r="B4558" t="s">
        <v>187</v>
      </c>
      <c r="C4558" t="s">
        <v>40</v>
      </c>
      <c r="D4558" t="s">
        <v>188</v>
      </c>
      <c r="E4558" t="s">
        <v>21</v>
      </c>
      <c r="F4558" s="1">
        <v>45536</v>
      </c>
      <c r="G4558">
        <v>2.77</v>
      </c>
      <c r="H4558">
        <v>82.584500000000006</v>
      </c>
      <c r="I4558">
        <v>18.63</v>
      </c>
      <c r="J4558">
        <v>95.44</v>
      </c>
      <c r="K4558" t="s">
        <v>23</v>
      </c>
      <c r="L4558">
        <v>666.71</v>
      </c>
      <c r="M4558">
        <f>VLOOKUP(K4558,RatingLookup!$A$2:$C$8,2,FALSE)</f>
        <v>1E-3</v>
      </c>
      <c r="N4558">
        <f t="shared" si="213"/>
        <v>8.3371552197619714E-5</v>
      </c>
      <c r="O4558">
        <f>VLOOKUP(K4558,RatingLookup!$A$2:$C$8,3,FALSE)</f>
        <v>0.3</v>
      </c>
      <c r="P4558">
        <f t="shared" si="214"/>
        <v>1.6675394269702513E-2</v>
      </c>
      <c r="Q4558" t="str">
        <f t="shared" ca="1" si="215"/>
        <v>No</v>
      </c>
    </row>
    <row r="4559" spans="1:17" x14ac:dyDescent="0.45">
      <c r="A4559" t="s">
        <v>186</v>
      </c>
      <c r="B4559" t="s">
        <v>187</v>
      </c>
      <c r="C4559" t="s">
        <v>40</v>
      </c>
      <c r="D4559" t="s">
        <v>188</v>
      </c>
      <c r="E4559" t="s">
        <v>21</v>
      </c>
      <c r="F4559" s="1">
        <v>45566</v>
      </c>
      <c r="G4559">
        <v>0.97</v>
      </c>
      <c r="H4559">
        <v>82.322199999999995</v>
      </c>
      <c r="I4559">
        <v>24.13</v>
      </c>
      <c r="J4559">
        <v>79.83</v>
      </c>
      <c r="K4559" t="s">
        <v>23</v>
      </c>
      <c r="L4559">
        <v>616.91999999999996</v>
      </c>
      <c r="M4559">
        <f>VLOOKUP(K4559,RatingLookup!$A$2:$C$8,2,FALSE)</f>
        <v>1E-3</v>
      </c>
      <c r="N4559">
        <f t="shared" si="213"/>
        <v>8.3371552197619714E-5</v>
      </c>
      <c r="O4559">
        <f>VLOOKUP(K4559,RatingLookup!$A$2:$C$8,3,FALSE)</f>
        <v>0.3</v>
      </c>
      <c r="P4559">
        <f t="shared" si="214"/>
        <v>1.5430073394526666E-2</v>
      </c>
      <c r="Q4559" t="str">
        <f t="shared" ca="1" si="215"/>
        <v>No</v>
      </c>
    </row>
    <row r="4560" spans="1:17" x14ac:dyDescent="0.45">
      <c r="A4560" t="s">
        <v>186</v>
      </c>
      <c r="B4560" t="s">
        <v>187</v>
      </c>
      <c r="C4560" t="s">
        <v>40</v>
      </c>
      <c r="D4560" t="s">
        <v>188</v>
      </c>
      <c r="E4560" t="s">
        <v>21</v>
      </c>
      <c r="F4560" s="1">
        <v>45597</v>
      </c>
      <c r="G4560">
        <v>2.4300000000000002</v>
      </c>
      <c r="H4560">
        <v>81.418099999999995</v>
      </c>
      <c r="I4560">
        <v>19.32</v>
      </c>
      <c r="J4560">
        <v>86.97</v>
      </c>
      <c r="K4560" t="s">
        <v>23</v>
      </c>
      <c r="L4560">
        <v>648.84</v>
      </c>
      <c r="M4560">
        <f>VLOOKUP(K4560,RatingLookup!$A$2:$C$8,2,FALSE)</f>
        <v>1E-3</v>
      </c>
      <c r="N4560">
        <f t="shared" si="213"/>
        <v>8.3371552197619714E-5</v>
      </c>
      <c r="O4560">
        <f>VLOOKUP(K4560,RatingLookup!$A$2:$C$8,3,FALSE)</f>
        <v>0.3</v>
      </c>
      <c r="P4560">
        <f t="shared" si="214"/>
        <v>1.6228439378371075E-2</v>
      </c>
      <c r="Q4560" t="str">
        <f t="shared" ca="1" si="215"/>
        <v>No</v>
      </c>
    </row>
    <row r="4561" spans="1:17" x14ac:dyDescent="0.45">
      <c r="A4561" t="s">
        <v>186</v>
      </c>
      <c r="B4561" t="s">
        <v>187</v>
      </c>
      <c r="C4561" t="s">
        <v>40</v>
      </c>
      <c r="D4561" t="s">
        <v>188</v>
      </c>
      <c r="E4561" t="s">
        <v>21</v>
      </c>
      <c r="F4561" s="1">
        <v>45627</v>
      </c>
      <c r="G4561">
        <v>1.27</v>
      </c>
      <c r="H4561">
        <v>87.685400000000001</v>
      </c>
      <c r="I4561">
        <v>5</v>
      </c>
      <c r="J4561">
        <v>80.069999999999993</v>
      </c>
      <c r="K4561" t="s">
        <v>23</v>
      </c>
      <c r="L4561">
        <v>607.73</v>
      </c>
      <c r="M4561">
        <f>VLOOKUP(K4561,RatingLookup!$A$2:$C$8,2,FALSE)</f>
        <v>1E-3</v>
      </c>
      <c r="N4561">
        <f t="shared" si="213"/>
        <v>8.3371552197619714E-5</v>
      </c>
      <c r="O4561">
        <f>VLOOKUP(K4561,RatingLookup!$A$2:$C$8,3,FALSE)</f>
        <v>0.3</v>
      </c>
      <c r="P4561">
        <f t="shared" si="214"/>
        <v>1.5200218025117828E-2</v>
      </c>
      <c r="Q4561" t="str">
        <f t="shared" ca="1" si="215"/>
        <v>No</v>
      </c>
    </row>
    <row r="4562" spans="1:17" x14ac:dyDescent="0.45">
      <c r="A4562" t="s">
        <v>189</v>
      </c>
      <c r="B4562" t="s">
        <v>190</v>
      </c>
      <c r="C4562" t="s">
        <v>85</v>
      </c>
      <c r="D4562" t="s">
        <v>188</v>
      </c>
      <c r="E4562" t="s">
        <v>21</v>
      </c>
      <c r="F4562" s="1">
        <v>43831</v>
      </c>
      <c r="G4562">
        <v>0.81</v>
      </c>
      <c r="H4562">
        <v>84.169799999999995</v>
      </c>
      <c r="I4562">
        <v>17.84</v>
      </c>
      <c r="J4562">
        <v>72.38</v>
      </c>
      <c r="K4562" t="s">
        <v>22</v>
      </c>
      <c r="L4562">
        <v>1084.49</v>
      </c>
      <c r="M4562">
        <f>VLOOKUP(K4562,RatingLookup!$A$2:$C$8,2,FALSE)</f>
        <v>5.0000000000000001E-3</v>
      </c>
      <c r="N4562">
        <f t="shared" si="213"/>
        <v>4.1762458919303302E-4</v>
      </c>
      <c r="O4562">
        <f>VLOOKUP(K4562,RatingLookup!$A$2:$C$8,3,FALSE)</f>
        <v>0.45</v>
      </c>
      <c r="P4562">
        <f t="shared" si="214"/>
        <v>0.20380936083027856</v>
      </c>
      <c r="Q4562" t="str">
        <f t="shared" ca="1" si="215"/>
        <v>No</v>
      </c>
    </row>
    <row r="4563" spans="1:17" x14ac:dyDescent="0.45">
      <c r="A4563" t="s">
        <v>189</v>
      </c>
      <c r="B4563" t="s">
        <v>190</v>
      </c>
      <c r="C4563" t="s">
        <v>85</v>
      </c>
      <c r="D4563" t="s">
        <v>188</v>
      </c>
      <c r="E4563" t="s">
        <v>21</v>
      </c>
      <c r="F4563" s="1">
        <v>43862</v>
      </c>
      <c r="G4563">
        <v>1.41</v>
      </c>
      <c r="H4563">
        <v>84.852199999999996</v>
      </c>
      <c r="I4563">
        <v>15.66</v>
      </c>
      <c r="J4563">
        <v>88.43</v>
      </c>
      <c r="K4563" t="s">
        <v>22</v>
      </c>
      <c r="L4563">
        <v>1056.6600000000001</v>
      </c>
      <c r="M4563">
        <f>VLOOKUP(K4563,RatingLookup!$A$2:$C$8,2,FALSE)</f>
        <v>5.0000000000000001E-3</v>
      </c>
      <c r="N4563">
        <f t="shared" si="213"/>
        <v>4.1762458919303302E-4</v>
      </c>
      <c r="O4563">
        <f>VLOOKUP(K4563,RatingLookup!$A$2:$C$8,3,FALSE)</f>
        <v>0.45</v>
      </c>
      <c r="P4563">
        <f t="shared" si="214"/>
        <v>0.19857923928751964</v>
      </c>
      <c r="Q4563" t="str">
        <f t="shared" ca="1" si="215"/>
        <v>No</v>
      </c>
    </row>
    <row r="4564" spans="1:17" x14ac:dyDescent="0.45">
      <c r="A4564" t="s">
        <v>189</v>
      </c>
      <c r="B4564" t="s">
        <v>190</v>
      </c>
      <c r="C4564" t="s">
        <v>85</v>
      </c>
      <c r="D4564" t="s">
        <v>188</v>
      </c>
      <c r="E4564" t="s">
        <v>21</v>
      </c>
      <c r="F4564" s="1">
        <v>43891</v>
      </c>
      <c r="G4564">
        <v>1.44</v>
      </c>
      <c r="H4564">
        <v>82.963999999999999</v>
      </c>
      <c r="I4564">
        <v>17.45</v>
      </c>
      <c r="J4564">
        <v>68.23</v>
      </c>
      <c r="K4564" t="s">
        <v>22</v>
      </c>
      <c r="L4564">
        <v>1158.03</v>
      </c>
      <c r="M4564">
        <f>VLOOKUP(K4564,RatingLookup!$A$2:$C$8,2,FALSE)</f>
        <v>5.0000000000000001E-3</v>
      </c>
      <c r="N4564">
        <f t="shared" si="213"/>
        <v>4.1762458919303302E-4</v>
      </c>
      <c r="O4564">
        <f>VLOOKUP(K4564,RatingLookup!$A$2:$C$8,3,FALSE)</f>
        <v>0.45</v>
      </c>
      <c r="P4564">
        <f t="shared" si="214"/>
        <v>0.2176298113604436</v>
      </c>
      <c r="Q4564" t="str">
        <f t="shared" ca="1" si="215"/>
        <v>No</v>
      </c>
    </row>
    <row r="4565" spans="1:17" x14ac:dyDescent="0.45">
      <c r="A4565" t="s">
        <v>189</v>
      </c>
      <c r="B4565" t="s">
        <v>190</v>
      </c>
      <c r="C4565" t="s">
        <v>85</v>
      </c>
      <c r="D4565" t="s">
        <v>188</v>
      </c>
      <c r="E4565" t="s">
        <v>21</v>
      </c>
      <c r="F4565" s="1">
        <v>43922</v>
      </c>
      <c r="G4565">
        <v>2.34</v>
      </c>
      <c r="H4565">
        <v>79.042100000000005</v>
      </c>
      <c r="I4565">
        <v>13.01</v>
      </c>
      <c r="J4565">
        <v>78.489999999999995</v>
      </c>
      <c r="K4565" t="s">
        <v>22</v>
      </c>
      <c r="L4565">
        <v>1052.9000000000001</v>
      </c>
      <c r="M4565">
        <f>VLOOKUP(K4565,RatingLookup!$A$2:$C$8,2,FALSE)</f>
        <v>5.0000000000000001E-3</v>
      </c>
      <c r="N4565">
        <f t="shared" si="213"/>
        <v>4.1762458919303302E-4</v>
      </c>
      <c r="O4565">
        <f>VLOOKUP(K4565,RatingLookup!$A$2:$C$8,3,FALSE)</f>
        <v>0.45</v>
      </c>
      <c r="P4565">
        <f t="shared" si="214"/>
        <v>0.19787261848260501</v>
      </c>
      <c r="Q4565" t="str">
        <f t="shared" ca="1" si="215"/>
        <v>No</v>
      </c>
    </row>
    <row r="4566" spans="1:17" x14ac:dyDescent="0.45">
      <c r="A4566" t="s">
        <v>189</v>
      </c>
      <c r="B4566" t="s">
        <v>190</v>
      </c>
      <c r="C4566" t="s">
        <v>85</v>
      </c>
      <c r="D4566" t="s">
        <v>188</v>
      </c>
      <c r="E4566" t="s">
        <v>21</v>
      </c>
      <c r="F4566" s="1">
        <v>43952</v>
      </c>
      <c r="G4566">
        <v>1.94</v>
      </c>
      <c r="H4566">
        <v>82.360399999999998</v>
      </c>
      <c r="I4566">
        <v>12.49</v>
      </c>
      <c r="J4566">
        <v>69.81</v>
      </c>
      <c r="K4566" t="s">
        <v>22</v>
      </c>
      <c r="L4566">
        <v>1050.74</v>
      </c>
      <c r="M4566">
        <f>VLOOKUP(K4566,RatingLookup!$A$2:$C$8,2,FALSE)</f>
        <v>5.0000000000000001E-3</v>
      </c>
      <c r="N4566">
        <f t="shared" si="213"/>
        <v>4.1762458919303302E-4</v>
      </c>
      <c r="O4566">
        <f>VLOOKUP(K4566,RatingLookup!$A$2:$C$8,3,FALSE)</f>
        <v>0.45</v>
      </c>
      <c r="P4566">
        <f t="shared" si="214"/>
        <v>0.19746668738190939</v>
      </c>
      <c r="Q4566" t="str">
        <f t="shared" ca="1" si="215"/>
        <v>No</v>
      </c>
    </row>
    <row r="4567" spans="1:17" x14ac:dyDescent="0.45">
      <c r="A4567" t="s">
        <v>189</v>
      </c>
      <c r="B4567" t="s">
        <v>190</v>
      </c>
      <c r="C4567" t="s">
        <v>85</v>
      </c>
      <c r="D4567" t="s">
        <v>188</v>
      </c>
      <c r="E4567" t="s">
        <v>21</v>
      </c>
      <c r="F4567" s="1">
        <v>43983</v>
      </c>
      <c r="G4567">
        <v>3.04</v>
      </c>
      <c r="H4567">
        <v>86.607699999999994</v>
      </c>
      <c r="I4567">
        <v>21.58</v>
      </c>
      <c r="J4567">
        <v>67.45</v>
      </c>
      <c r="K4567" t="s">
        <v>22</v>
      </c>
      <c r="L4567">
        <v>1065.1500000000001</v>
      </c>
      <c r="M4567">
        <f>VLOOKUP(K4567,RatingLookup!$A$2:$C$8,2,FALSE)</f>
        <v>5.0000000000000001E-3</v>
      </c>
      <c r="N4567">
        <f t="shared" si="213"/>
        <v>4.1762458919303302E-4</v>
      </c>
      <c r="O4567">
        <f>VLOOKUP(K4567,RatingLookup!$A$2:$C$8,3,FALSE)</f>
        <v>0.45</v>
      </c>
      <c r="P4567">
        <f t="shared" si="214"/>
        <v>0.20017477403053163</v>
      </c>
      <c r="Q4567" t="str">
        <f t="shared" ca="1" si="215"/>
        <v>No</v>
      </c>
    </row>
    <row r="4568" spans="1:17" x14ac:dyDescent="0.45">
      <c r="A4568" t="s">
        <v>189</v>
      </c>
      <c r="B4568" t="s">
        <v>190</v>
      </c>
      <c r="C4568" t="s">
        <v>85</v>
      </c>
      <c r="D4568" t="s">
        <v>188</v>
      </c>
      <c r="E4568" t="s">
        <v>21</v>
      </c>
      <c r="F4568" s="1">
        <v>44013</v>
      </c>
      <c r="G4568">
        <v>1.39</v>
      </c>
      <c r="H4568">
        <v>83.491500000000002</v>
      </c>
      <c r="I4568">
        <v>10.58</v>
      </c>
      <c r="J4568">
        <v>63.68</v>
      </c>
      <c r="K4568" t="s">
        <v>22</v>
      </c>
      <c r="L4568">
        <v>1052.0899999999999</v>
      </c>
      <c r="M4568">
        <f>VLOOKUP(K4568,RatingLookup!$A$2:$C$8,2,FALSE)</f>
        <v>5.0000000000000001E-3</v>
      </c>
      <c r="N4568">
        <f t="shared" si="213"/>
        <v>4.1762458919303302E-4</v>
      </c>
      <c r="O4568">
        <f>VLOOKUP(K4568,RatingLookup!$A$2:$C$8,3,FALSE)</f>
        <v>0.45</v>
      </c>
      <c r="P4568">
        <f t="shared" si="214"/>
        <v>0.19772039431984414</v>
      </c>
      <c r="Q4568" t="str">
        <f t="shared" ca="1" si="215"/>
        <v>No</v>
      </c>
    </row>
    <row r="4569" spans="1:17" x14ac:dyDescent="0.45">
      <c r="A4569" t="s">
        <v>189</v>
      </c>
      <c r="B4569" t="s">
        <v>190</v>
      </c>
      <c r="C4569" t="s">
        <v>85</v>
      </c>
      <c r="D4569" t="s">
        <v>188</v>
      </c>
      <c r="E4569" t="s">
        <v>21</v>
      </c>
      <c r="F4569" s="1">
        <v>44044</v>
      </c>
      <c r="G4569">
        <v>0.97</v>
      </c>
      <c r="H4569">
        <v>88.158600000000007</v>
      </c>
      <c r="I4569">
        <v>17.23</v>
      </c>
      <c r="J4569">
        <v>77.02</v>
      </c>
      <c r="K4569" t="s">
        <v>22</v>
      </c>
      <c r="L4569">
        <v>1086.19</v>
      </c>
      <c r="M4569">
        <f>VLOOKUP(K4569,RatingLookup!$A$2:$C$8,2,FALSE)</f>
        <v>5.0000000000000001E-3</v>
      </c>
      <c r="N4569">
        <f t="shared" si="213"/>
        <v>4.1762458919303302E-4</v>
      </c>
      <c r="O4569">
        <f>VLOOKUP(K4569,RatingLookup!$A$2:$C$8,3,FALSE)</f>
        <v>0.45</v>
      </c>
      <c r="P4569">
        <f t="shared" si="214"/>
        <v>0.20412884364101125</v>
      </c>
      <c r="Q4569" t="str">
        <f t="shared" ca="1" si="215"/>
        <v>No</v>
      </c>
    </row>
    <row r="4570" spans="1:17" x14ac:dyDescent="0.45">
      <c r="A4570" t="s">
        <v>189</v>
      </c>
      <c r="B4570" t="s">
        <v>190</v>
      </c>
      <c r="C4570" t="s">
        <v>85</v>
      </c>
      <c r="D4570" t="s">
        <v>188</v>
      </c>
      <c r="E4570" t="s">
        <v>21</v>
      </c>
      <c r="F4570" s="1">
        <v>44075</v>
      </c>
      <c r="G4570">
        <v>1.59</v>
      </c>
      <c r="H4570">
        <v>80.856499999999997</v>
      </c>
      <c r="I4570">
        <v>9.9700000000000006</v>
      </c>
      <c r="J4570">
        <v>79.709999999999994</v>
      </c>
      <c r="K4570" t="s">
        <v>22</v>
      </c>
      <c r="L4570">
        <v>1118.8800000000001</v>
      </c>
      <c r="M4570">
        <f>VLOOKUP(K4570,RatingLookup!$A$2:$C$8,2,FALSE)</f>
        <v>5.0000000000000001E-3</v>
      </c>
      <c r="N4570">
        <f t="shared" si="213"/>
        <v>4.1762458919303302E-4</v>
      </c>
      <c r="O4570">
        <f>VLOOKUP(K4570,RatingLookup!$A$2:$C$8,3,FALSE)</f>
        <v>0.45</v>
      </c>
      <c r="P4570">
        <f t="shared" si="214"/>
        <v>0.21027231016033537</v>
      </c>
      <c r="Q4570" t="str">
        <f t="shared" ca="1" si="215"/>
        <v>No</v>
      </c>
    </row>
    <row r="4571" spans="1:17" x14ac:dyDescent="0.45">
      <c r="A4571" t="s">
        <v>189</v>
      </c>
      <c r="B4571" t="s">
        <v>190</v>
      </c>
      <c r="C4571" t="s">
        <v>85</v>
      </c>
      <c r="D4571" t="s">
        <v>188</v>
      </c>
      <c r="E4571" t="s">
        <v>21</v>
      </c>
      <c r="F4571" s="1">
        <v>44105</v>
      </c>
      <c r="G4571">
        <v>0.74</v>
      </c>
      <c r="H4571">
        <v>80.051599999999993</v>
      </c>
      <c r="I4571">
        <v>13.02</v>
      </c>
      <c r="J4571">
        <v>74.38</v>
      </c>
      <c r="K4571" t="s">
        <v>22</v>
      </c>
      <c r="L4571">
        <v>1143.23</v>
      </c>
      <c r="M4571">
        <f>VLOOKUP(K4571,RatingLookup!$A$2:$C$8,2,FALSE)</f>
        <v>5.0000000000000001E-3</v>
      </c>
      <c r="N4571">
        <f t="shared" si="213"/>
        <v>4.1762458919303302E-4</v>
      </c>
      <c r="O4571">
        <f>VLOOKUP(K4571,RatingLookup!$A$2:$C$8,3,FALSE)</f>
        <v>0.45</v>
      </c>
      <c r="P4571">
        <f t="shared" si="214"/>
        <v>0.21484843159641803</v>
      </c>
      <c r="Q4571" t="str">
        <f t="shared" ca="1" si="215"/>
        <v>No</v>
      </c>
    </row>
    <row r="4572" spans="1:17" x14ac:dyDescent="0.45">
      <c r="A4572" t="s">
        <v>189</v>
      </c>
      <c r="B4572" t="s">
        <v>190</v>
      </c>
      <c r="C4572" t="s">
        <v>85</v>
      </c>
      <c r="D4572" t="s">
        <v>188</v>
      </c>
      <c r="E4572" t="s">
        <v>21</v>
      </c>
      <c r="F4572" s="1">
        <v>44136</v>
      </c>
      <c r="G4572">
        <v>0.9</v>
      </c>
      <c r="H4572">
        <v>80.551100000000005</v>
      </c>
      <c r="I4572">
        <v>17.13</v>
      </c>
      <c r="J4572">
        <v>72.930000000000007</v>
      </c>
      <c r="K4572" t="s">
        <v>22</v>
      </c>
      <c r="L4572">
        <v>1031.2</v>
      </c>
      <c r="M4572">
        <f>VLOOKUP(K4572,RatingLookup!$A$2:$C$8,2,FALSE)</f>
        <v>5.0000000000000001E-3</v>
      </c>
      <c r="N4572">
        <f t="shared" si="213"/>
        <v>4.1762458919303302E-4</v>
      </c>
      <c r="O4572">
        <f>VLOOKUP(K4572,RatingLookup!$A$2:$C$8,3,FALSE)</f>
        <v>0.45</v>
      </c>
      <c r="P4572">
        <f t="shared" si="214"/>
        <v>0.19379451436913506</v>
      </c>
      <c r="Q4572" t="str">
        <f t="shared" ca="1" si="215"/>
        <v>No</v>
      </c>
    </row>
    <row r="4573" spans="1:17" x14ac:dyDescent="0.45">
      <c r="A4573" t="s">
        <v>189</v>
      </c>
      <c r="B4573" t="s">
        <v>190</v>
      </c>
      <c r="C4573" t="s">
        <v>85</v>
      </c>
      <c r="D4573" t="s">
        <v>188</v>
      </c>
      <c r="E4573" t="s">
        <v>21</v>
      </c>
      <c r="F4573" s="1">
        <v>44166</v>
      </c>
      <c r="G4573">
        <v>1.79</v>
      </c>
      <c r="H4573">
        <v>86.374700000000004</v>
      </c>
      <c r="I4573">
        <v>18.690000000000001</v>
      </c>
      <c r="J4573">
        <v>67.78</v>
      </c>
      <c r="K4573" t="s">
        <v>22</v>
      </c>
      <c r="L4573">
        <v>1007.05</v>
      </c>
      <c r="M4573">
        <f>VLOOKUP(K4573,RatingLookup!$A$2:$C$8,2,FALSE)</f>
        <v>5.0000000000000001E-3</v>
      </c>
      <c r="N4573">
        <f t="shared" si="213"/>
        <v>4.1762458919303302E-4</v>
      </c>
      <c r="O4573">
        <f>VLOOKUP(K4573,RatingLookup!$A$2:$C$8,3,FALSE)</f>
        <v>0.45</v>
      </c>
      <c r="P4573">
        <f t="shared" si="214"/>
        <v>0.18925597914607975</v>
      </c>
      <c r="Q4573" t="str">
        <f t="shared" ca="1" si="215"/>
        <v>No</v>
      </c>
    </row>
    <row r="4574" spans="1:17" x14ac:dyDescent="0.45">
      <c r="A4574" t="s">
        <v>189</v>
      </c>
      <c r="B4574" t="s">
        <v>190</v>
      </c>
      <c r="C4574" t="s">
        <v>85</v>
      </c>
      <c r="D4574" t="s">
        <v>188</v>
      </c>
      <c r="E4574" t="s">
        <v>21</v>
      </c>
      <c r="F4574" s="1">
        <v>44197</v>
      </c>
      <c r="G4574">
        <v>1.63</v>
      </c>
      <c r="H4574">
        <v>81.402000000000001</v>
      </c>
      <c r="I4574">
        <v>13.66</v>
      </c>
      <c r="J4574">
        <v>61.43</v>
      </c>
      <c r="K4574" t="s">
        <v>22</v>
      </c>
      <c r="L4574">
        <v>1089.96</v>
      </c>
      <c r="M4574">
        <f>VLOOKUP(K4574,RatingLookup!$A$2:$C$8,2,FALSE)</f>
        <v>5.0000000000000001E-3</v>
      </c>
      <c r="N4574">
        <f t="shared" si="213"/>
        <v>4.1762458919303302E-4</v>
      </c>
      <c r="O4574">
        <f>VLOOKUP(K4574,RatingLookup!$A$2:$C$8,3,FALSE)</f>
        <v>0.45</v>
      </c>
      <c r="P4574">
        <f t="shared" si="214"/>
        <v>0.20483734375657722</v>
      </c>
      <c r="Q4574" t="str">
        <f t="shared" ca="1" si="215"/>
        <v>No</v>
      </c>
    </row>
    <row r="4575" spans="1:17" x14ac:dyDescent="0.45">
      <c r="A4575" t="s">
        <v>189</v>
      </c>
      <c r="B4575" t="s">
        <v>190</v>
      </c>
      <c r="C4575" t="s">
        <v>85</v>
      </c>
      <c r="D4575" t="s">
        <v>188</v>
      </c>
      <c r="E4575" t="s">
        <v>21</v>
      </c>
      <c r="F4575" s="1">
        <v>44228</v>
      </c>
      <c r="G4575">
        <v>0.54</v>
      </c>
      <c r="H4575">
        <v>81.719899999999996</v>
      </c>
      <c r="I4575">
        <v>22.15</v>
      </c>
      <c r="J4575">
        <v>78.03</v>
      </c>
      <c r="K4575" t="s">
        <v>22</v>
      </c>
      <c r="L4575">
        <v>1111.75</v>
      </c>
      <c r="M4575">
        <f>VLOOKUP(K4575,RatingLookup!$A$2:$C$8,2,FALSE)</f>
        <v>5.0000000000000001E-3</v>
      </c>
      <c r="N4575">
        <f t="shared" si="213"/>
        <v>4.1762458919303302E-4</v>
      </c>
      <c r="O4575">
        <f>VLOOKUP(K4575,RatingLookup!$A$2:$C$8,3,FALSE)</f>
        <v>0.45</v>
      </c>
      <c r="P4575">
        <f t="shared" si="214"/>
        <v>0.20893236166590953</v>
      </c>
      <c r="Q4575" t="str">
        <f t="shared" ca="1" si="215"/>
        <v>No</v>
      </c>
    </row>
    <row r="4576" spans="1:17" x14ac:dyDescent="0.45">
      <c r="A4576" t="s">
        <v>189</v>
      </c>
      <c r="B4576" t="s">
        <v>190</v>
      </c>
      <c r="C4576" t="s">
        <v>85</v>
      </c>
      <c r="D4576" t="s">
        <v>188</v>
      </c>
      <c r="E4576" t="s">
        <v>21</v>
      </c>
      <c r="F4576" s="1">
        <v>44256</v>
      </c>
      <c r="G4576">
        <v>1.34</v>
      </c>
      <c r="H4576">
        <v>82.215900000000005</v>
      </c>
      <c r="I4576">
        <v>15.88</v>
      </c>
      <c r="J4576">
        <v>78.459999999999994</v>
      </c>
      <c r="K4576" t="s">
        <v>22</v>
      </c>
      <c r="L4576">
        <v>1053.3</v>
      </c>
      <c r="M4576">
        <f>VLOOKUP(K4576,RatingLookup!$A$2:$C$8,2,FALSE)</f>
        <v>5.0000000000000001E-3</v>
      </c>
      <c r="N4576">
        <f t="shared" si="213"/>
        <v>4.1762458919303302E-4</v>
      </c>
      <c r="O4576">
        <f>VLOOKUP(K4576,RatingLookup!$A$2:$C$8,3,FALSE)</f>
        <v>0.45</v>
      </c>
      <c r="P4576">
        <f t="shared" si="214"/>
        <v>0.19794779090865974</v>
      </c>
      <c r="Q4576" t="str">
        <f t="shared" ca="1" si="215"/>
        <v>No</v>
      </c>
    </row>
    <row r="4577" spans="1:17" x14ac:dyDescent="0.45">
      <c r="A4577" t="s">
        <v>189</v>
      </c>
      <c r="B4577" t="s">
        <v>190</v>
      </c>
      <c r="C4577" t="s">
        <v>85</v>
      </c>
      <c r="D4577" t="s">
        <v>188</v>
      </c>
      <c r="E4577" t="s">
        <v>21</v>
      </c>
      <c r="F4577" s="1">
        <v>44287</v>
      </c>
      <c r="G4577">
        <v>0.98</v>
      </c>
      <c r="H4577">
        <v>85.209100000000007</v>
      </c>
      <c r="I4577">
        <v>10.220000000000001</v>
      </c>
      <c r="J4577">
        <v>85.37</v>
      </c>
      <c r="K4577" t="s">
        <v>22</v>
      </c>
      <c r="L4577">
        <v>1042.9100000000001</v>
      </c>
      <c r="M4577">
        <f>VLOOKUP(K4577,RatingLookup!$A$2:$C$8,2,FALSE)</f>
        <v>5.0000000000000001E-3</v>
      </c>
      <c r="N4577">
        <f t="shared" si="213"/>
        <v>4.1762458919303302E-4</v>
      </c>
      <c r="O4577">
        <f>VLOOKUP(K4577,RatingLookup!$A$2:$C$8,3,FALSE)</f>
        <v>0.45</v>
      </c>
      <c r="P4577">
        <f t="shared" si="214"/>
        <v>0.19599518714188774</v>
      </c>
      <c r="Q4577" t="str">
        <f t="shared" ca="1" si="215"/>
        <v>No</v>
      </c>
    </row>
    <row r="4578" spans="1:17" x14ac:dyDescent="0.45">
      <c r="A4578" t="s">
        <v>189</v>
      </c>
      <c r="B4578" t="s">
        <v>190</v>
      </c>
      <c r="C4578" t="s">
        <v>85</v>
      </c>
      <c r="D4578" t="s">
        <v>188</v>
      </c>
      <c r="E4578" t="s">
        <v>21</v>
      </c>
      <c r="F4578" s="1">
        <v>44317</v>
      </c>
      <c r="G4578">
        <v>3.06</v>
      </c>
      <c r="H4578">
        <v>84.180899999999994</v>
      </c>
      <c r="I4578">
        <v>11.41</v>
      </c>
      <c r="J4578">
        <v>71.08</v>
      </c>
      <c r="K4578" t="s">
        <v>22</v>
      </c>
      <c r="L4578">
        <v>1010.59</v>
      </c>
      <c r="M4578">
        <f>VLOOKUP(K4578,RatingLookup!$A$2:$C$8,2,FALSE)</f>
        <v>5.0000000000000001E-3</v>
      </c>
      <c r="N4578">
        <f t="shared" si="213"/>
        <v>4.1762458919303302E-4</v>
      </c>
      <c r="O4578">
        <f>VLOOKUP(K4578,RatingLookup!$A$2:$C$8,3,FALSE)</f>
        <v>0.45</v>
      </c>
      <c r="P4578">
        <f t="shared" si="214"/>
        <v>0.18992125511666427</v>
      </c>
      <c r="Q4578" t="str">
        <f t="shared" ca="1" si="215"/>
        <v>No</v>
      </c>
    </row>
    <row r="4579" spans="1:17" x14ac:dyDescent="0.45">
      <c r="A4579" t="s">
        <v>189</v>
      </c>
      <c r="B4579" t="s">
        <v>190</v>
      </c>
      <c r="C4579" t="s">
        <v>85</v>
      </c>
      <c r="D4579" t="s">
        <v>188</v>
      </c>
      <c r="E4579" t="s">
        <v>21</v>
      </c>
      <c r="F4579" s="1">
        <v>44348</v>
      </c>
      <c r="G4579">
        <v>0.71</v>
      </c>
      <c r="H4579">
        <v>84.254599999999996</v>
      </c>
      <c r="I4579">
        <v>24.73</v>
      </c>
      <c r="J4579">
        <v>67.48</v>
      </c>
      <c r="K4579" t="s">
        <v>22</v>
      </c>
      <c r="L4579">
        <v>1060.98</v>
      </c>
      <c r="M4579">
        <f>VLOOKUP(K4579,RatingLookup!$A$2:$C$8,2,FALSE)</f>
        <v>5.0000000000000001E-3</v>
      </c>
      <c r="N4579">
        <f t="shared" si="213"/>
        <v>4.1762458919303302E-4</v>
      </c>
      <c r="O4579">
        <f>VLOOKUP(K4579,RatingLookup!$A$2:$C$8,3,FALSE)</f>
        <v>0.45</v>
      </c>
      <c r="P4579">
        <f t="shared" si="214"/>
        <v>0.19939110148891087</v>
      </c>
      <c r="Q4579" t="str">
        <f t="shared" ca="1" si="215"/>
        <v>No</v>
      </c>
    </row>
    <row r="4580" spans="1:17" x14ac:dyDescent="0.45">
      <c r="A4580" t="s">
        <v>189</v>
      </c>
      <c r="B4580" t="s">
        <v>190</v>
      </c>
      <c r="C4580" t="s">
        <v>85</v>
      </c>
      <c r="D4580" t="s">
        <v>188</v>
      </c>
      <c r="E4580" t="s">
        <v>21</v>
      </c>
      <c r="F4580" s="1">
        <v>44378</v>
      </c>
      <c r="G4580">
        <v>1.84</v>
      </c>
      <c r="H4580">
        <v>85.992999999999995</v>
      </c>
      <c r="I4580">
        <v>22.43</v>
      </c>
      <c r="J4580">
        <v>78.180000000000007</v>
      </c>
      <c r="K4580" t="s">
        <v>23</v>
      </c>
      <c r="L4580">
        <v>1110.3900000000001</v>
      </c>
      <c r="M4580">
        <f>VLOOKUP(K4580,RatingLookup!$A$2:$C$8,2,FALSE)</f>
        <v>1E-3</v>
      </c>
      <c r="N4580">
        <f t="shared" si="213"/>
        <v>8.3371552197619714E-5</v>
      </c>
      <c r="O4580">
        <f>VLOOKUP(K4580,RatingLookup!$A$2:$C$8,3,FALSE)</f>
        <v>0.3</v>
      </c>
      <c r="P4580">
        <f t="shared" si="214"/>
        <v>2.7772481353414487E-2</v>
      </c>
      <c r="Q4580" t="str">
        <f t="shared" ca="1" si="215"/>
        <v>No</v>
      </c>
    </row>
    <row r="4581" spans="1:17" x14ac:dyDescent="0.45">
      <c r="A4581" t="s">
        <v>189</v>
      </c>
      <c r="B4581" t="s">
        <v>190</v>
      </c>
      <c r="C4581" t="s">
        <v>85</v>
      </c>
      <c r="D4581" t="s">
        <v>188</v>
      </c>
      <c r="E4581" t="s">
        <v>21</v>
      </c>
      <c r="F4581" s="1">
        <v>44409</v>
      </c>
      <c r="G4581">
        <v>2.2200000000000002</v>
      </c>
      <c r="H4581">
        <v>82.435900000000004</v>
      </c>
      <c r="I4581">
        <v>22.01</v>
      </c>
      <c r="J4581">
        <v>78.62</v>
      </c>
      <c r="K4581" t="s">
        <v>23</v>
      </c>
      <c r="L4581">
        <v>1115.46</v>
      </c>
      <c r="M4581">
        <f>VLOOKUP(K4581,RatingLookup!$A$2:$C$8,2,FALSE)</f>
        <v>1E-3</v>
      </c>
      <c r="N4581">
        <f t="shared" si="213"/>
        <v>8.3371552197619714E-5</v>
      </c>
      <c r="O4581">
        <f>VLOOKUP(K4581,RatingLookup!$A$2:$C$8,3,FALSE)</f>
        <v>0.3</v>
      </c>
      <c r="P4581">
        <f t="shared" si="214"/>
        <v>2.7899289484307064E-2</v>
      </c>
      <c r="Q4581" t="str">
        <f t="shared" ca="1" si="215"/>
        <v>No</v>
      </c>
    </row>
    <row r="4582" spans="1:17" x14ac:dyDescent="0.45">
      <c r="A4582" t="s">
        <v>189</v>
      </c>
      <c r="B4582" t="s">
        <v>190</v>
      </c>
      <c r="C4582" t="s">
        <v>85</v>
      </c>
      <c r="D4582" t="s">
        <v>188</v>
      </c>
      <c r="E4582" t="s">
        <v>21</v>
      </c>
      <c r="F4582" s="1">
        <v>44440</v>
      </c>
      <c r="G4582">
        <v>0.65</v>
      </c>
      <c r="H4582">
        <v>87.025199999999998</v>
      </c>
      <c r="I4582">
        <v>29.01</v>
      </c>
      <c r="J4582">
        <v>82.43</v>
      </c>
      <c r="K4582" t="s">
        <v>23</v>
      </c>
      <c r="L4582">
        <v>1061.28</v>
      </c>
      <c r="M4582">
        <f>VLOOKUP(K4582,RatingLookup!$A$2:$C$8,2,FALSE)</f>
        <v>1E-3</v>
      </c>
      <c r="N4582">
        <f t="shared" si="213"/>
        <v>8.3371552197619714E-5</v>
      </c>
      <c r="O4582">
        <f>VLOOKUP(K4582,RatingLookup!$A$2:$C$8,3,FALSE)</f>
        <v>0.3</v>
      </c>
      <c r="P4582">
        <f t="shared" si="214"/>
        <v>2.6544168274886953E-2</v>
      </c>
      <c r="Q4582" t="str">
        <f t="shared" ca="1" si="215"/>
        <v>No</v>
      </c>
    </row>
    <row r="4583" spans="1:17" x14ac:dyDescent="0.45">
      <c r="A4583" t="s">
        <v>189</v>
      </c>
      <c r="B4583" t="s">
        <v>190</v>
      </c>
      <c r="C4583" t="s">
        <v>85</v>
      </c>
      <c r="D4583" t="s">
        <v>188</v>
      </c>
      <c r="E4583" t="s">
        <v>21</v>
      </c>
      <c r="F4583" s="1">
        <v>44470</v>
      </c>
      <c r="G4583">
        <v>2.0099999999999998</v>
      </c>
      <c r="H4583">
        <v>80.728999999999999</v>
      </c>
      <c r="I4583">
        <v>18.32</v>
      </c>
      <c r="J4583">
        <v>82.57</v>
      </c>
      <c r="K4583" t="s">
        <v>23</v>
      </c>
      <c r="L4583">
        <v>1098.45</v>
      </c>
      <c r="M4583">
        <f>VLOOKUP(K4583,RatingLookup!$A$2:$C$8,2,FALSE)</f>
        <v>1E-3</v>
      </c>
      <c r="N4583">
        <f t="shared" si="213"/>
        <v>8.3371552197619714E-5</v>
      </c>
      <c r="O4583">
        <f>VLOOKUP(K4583,RatingLookup!$A$2:$C$8,3,FALSE)</f>
        <v>0.3</v>
      </c>
      <c r="P4583">
        <f t="shared" si="214"/>
        <v>2.7473844453442614E-2</v>
      </c>
      <c r="Q4583" t="str">
        <f t="shared" ca="1" si="215"/>
        <v>No</v>
      </c>
    </row>
    <row r="4584" spans="1:17" x14ac:dyDescent="0.45">
      <c r="A4584" t="s">
        <v>189</v>
      </c>
      <c r="B4584" t="s">
        <v>190</v>
      </c>
      <c r="C4584" t="s">
        <v>85</v>
      </c>
      <c r="D4584" t="s">
        <v>188</v>
      </c>
      <c r="E4584" t="s">
        <v>21</v>
      </c>
      <c r="F4584" s="1">
        <v>44501</v>
      </c>
      <c r="G4584">
        <v>1.77</v>
      </c>
      <c r="H4584">
        <v>81.124099999999999</v>
      </c>
      <c r="I4584">
        <v>23.48</v>
      </c>
      <c r="J4584">
        <v>77.540000000000006</v>
      </c>
      <c r="K4584" t="s">
        <v>23</v>
      </c>
      <c r="L4584">
        <v>1077.44</v>
      </c>
      <c r="M4584">
        <f>VLOOKUP(K4584,RatingLookup!$A$2:$C$8,2,FALSE)</f>
        <v>1E-3</v>
      </c>
      <c r="N4584">
        <f t="shared" si="213"/>
        <v>8.3371552197619714E-5</v>
      </c>
      <c r="O4584">
        <f>VLOOKUP(K4584,RatingLookup!$A$2:$C$8,3,FALSE)</f>
        <v>0.3</v>
      </c>
      <c r="P4584">
        <f t="shared" si="214"/>
        <v>2.6948353559941015E-2</v>
      </c>
      <c r="Q4584" t="str">
        <f t="shared" ca="1" si="215"/>
        <v>No</v>
      </c>
    </row>
    <row r="4585" spans="1:17" x14ac:dyDescent="0.45">
      <c r="A4585" t="s">
        <v>189</v>
      </c>
      <c r="B4585" t="s">
        <v>190</v>
      </c>
      <c r="C4585" t="s">
        <v>85</v>
      </c>
      <c r="D4585" t="s">
        <v>188</v>
      </c>
      <c r="E4585" t="s">
        <v>21</v>
      </c>
      <c r="F4585" s="1">
        <v>44531</v>
      </c>
      <c r="G4585">
        <v>1.38</v>
      </c>
      <c r="H4585">
        <v>79.546099999999996</v>
      </c>
      <c r="I4585">
        <v>12.66</v>
      </c>
      <c r="J4585">
        <v>66.77</v>
      </c>
      <c r="K4585" t="s">
        <v>23</v>
      </c>
      <c r="L4585">
        <v>969.9</v>
      </c>
      <c r="M4585">
        <f>VLOOKUP(K4585,RatingLookup!$A$2:$C$8,2,FALSE)</f>
        <v>1E-3</v>
      </c>
      <c r="N4585">
        <f t="shared" si="213"/>
        <v>8.3371552197619714E-5</v>
      </c>
      <c r="O4585">
        <f>VLOOKUP(K4585,RatingLookup!$A$2:$C$8,3,FALSE)</f>
        <v>0.3</v>
      </c>
      <c r="P4585">
        <f t="shared" si="214"/>
        <v>2.4258620542941405E-2</v>
      </c>
      <c r="Q4585" t="str">
        <f t="shared" ca="1" si="215"/>
        <v>No</v>
      </c>
    </row>
    <row r="4586" spans="1:17" x14ac:dyDescent="0.45">
      <c r="A4586" t="s">
        <v>189</v>
      </c>
      <c r="B4586" t="s">
        <v>190</v>
      </c>
      <c r="C4586" t="s">
        <v>85</v>
      </c>
      <c r="D4586" t="s">
        <v>188</v>
      </c>
      <c r="E4586" t="s">
        <v>21</v>
      </c>
      <c r="F4586" s="1">
        <v>44562</v>
      </c>
      <c r="G4586">
        <v>1.25</v>
      </c>
      <c r="H4586">
        <v>81.725399999999993</v>
      </c>
      <c r="I4586">
        <v>12.56</v>
      </c>
      <c r="J4586">
        <v>73.75</v>
      </c>
      <c r="K4586" t="s">
        <v>23</v>
      </c>
      <c r="L4586">
        <v>1098.5999999999999</v>
      </c>
      <c r="M4586">
        <f>VLOOKUP(K4586,RatingLookup!$A$2:$C$8,2,FALSE)</f>
        <v>1E-3</v>
      </c>
      <c r="N4586">
        <f t="shared" si="213"/>
        <v>8.3371552197619714E-5</v>
      </c>
      <c r="O4586">
        <f>VLOOKUP(K4586,RatingLookup!$A$2:$C$8,3,FALSE)</f>
        <v>0.3</v>
      </c>
      <c r="P4586">
        <f t="shared" si="214"/>
        <v>2.7477596173291503E-2</v>
      </c>
      <c r="Q4586" t="str">
        <f t="shared" ca="1" si="215"/>
        <v>No</v>
      </c>
    </row>
    <row r="4587" spans="1:17" x14ac:dyDescent="0.45">
      <c r="A4587" t="s">
        <v>189</v>
      </c>
      <c r="B4587" t="s">
        <v>190</v>
      </c>
      <c r="C4587" t="s">
        <v>85</v>
      </c>
      <c r="D4587" t="s">
        <v>188</v>
      </c>
      <c r="E4587" t="s">
        <v>21</v>
      </c>
      <c r="F4587" s="1">
        <v>44593</v>
      </c>
      <c r="G4587">
        <v>1.08</v>
      </c>
      <c r="H4587">
        <v>84.879000000000005</v>
      </c>
      <c r="I4587">
        <v>15.09</v>
      </c>
      <c r="J4587">
        <v>79.180000000000007</v>
      </c>
      <c r="K4587" t="s">
        <v>23</v>
      </c>
      <c r="L4587">
        <v>1068.72</v>
      </c>
      <c r="M4587">
        <f>VLOOKUP(K4587,RatingLookup!$A$2:$C$8,2,FALSE)</f>
        <v>1E-3</v>
      </c>
      <c r="N4587">
        <f t="shared" si="213"/>
        <v>8.3371552197619714E-5</v>
      </c>
      <c r="O4587">
        <f>VLOOKUP(K4587,RatingLookup!$A$2:$C$8,3,FALSE)</f>
        <v>0.3</v>
      </c>
      <c r="P4587">
        <f t="shared" si="214"/>
        <v>2.673025357939204E-2</v>
      </c>
      <c r="Q4587" t="str">
        <f t="shared" ca="1" si="215"/>
        <v>No</v>
      </c>
    </row>
    <row r="4588" spans="1:17" x14ac:dyDescent="0.45">
      <c r="A4588" t="s">
        <v>189</v>
      </c>
      <c r="B4588" t="s">
        <v>190</v>
      </c>
      <c r="C4588" t="s">
        <v>85</v>
      </c>
      <c r="D4588" t="s">
        <v>188</v>
      </c>
      <c r="E4588" t="s">
        <v>21</v>
      </c>
      <c r="F4588" s="1">
        <v>44621</v>
      </c>
      <c r="G4588">
        <v>0.96</v>
      </c>
      <c r="H4588">
        <v>88.090199999999996</v>
      </c>
      <c r="I4588">
        <v>20.66</v>
      </c>
      <c r="J4588">
        <v>79.64</v>
      </c>
      <c r="K4588" t="s">
        <v>23</v>
      </c>
      <c r="L4588">
        <v>1041.32</v>
      </c>
      <c r="M4588">
        <f>VLOOKUP(K4588,RatingLookup!$A$2:$C$8,2,FALSE)</f>
        <v>1E-3</v>
      </c>
      <c r="N4588">
        <f t="shared" si="213"/>
        <v>8.3371552197619714E-5</v>
      </c>
      <c r="O4588">
        <f>VLOOKUP(K4588,RatingLookup!$A$2:$C$8,3,FALSE)</f>
        <v>0.3</v>
      </c>
      <c r="P4588">
        <f t="shared" si="214"/>
        <v>2.6044939420327606E-2</v>
      </c>
      <c r="Q4588" t="str">
        <f t="shared" ca="1" si="215"/>
        <v>No</v>
      </c>
    </row>
    <row r="4589" spans="1:17" x14ac:dyDescent="0.45">
      <c r="A4589" t="s">
        <v>189</v>
      </c>
      <c r="B4589" t="s">
        <v>190</v>
      </c>
      <c r="C4589" t="s">
        <v>85</v>
      </c>
      <c r="D4589" t="s">
        <v>188</v>
      </c>
      <c r="E4589" t="s">
        <v>21</v>
      </c>
      <c r="F4589" s="1">
        <v>44652</v>
      </c>
      <c r="G4589">
        <v>1.89</v>
      </c>
      <c r="H4589">
        <v>82.980099999999993</v>
      </c>
      <c r="I4589">
        <v>30.03</v>
      </c>
      <c r="J4589">
        <v>74.599999999999994</v>
      </c>
      <c r="K4589" t="s">
        <v>22</v>
      </c>
      <c r="L4589">
        <v>1055.9000000000001</v>
      </c>
      <c r="M4589">
        <f>VLOOKUP(K4589,RatingLookup!$A$2:$C$8,2,FALSE)</f>
        <v>5.0000000000000001E-3</v>
      </c>
      <c r="N4589">
        <f t="shared" si="213"/>
        <v>4.1762458919303302E-4</v>
      </c>
      <c r="O4589">
        <f>VLOOKUP(K4589,RatingLookup!$A$2:$C$8,3,FALSE)</f>
        <v>0.45</v>
      </c>
      <c r="P4589">
        <f t="shared" si="214"/>
        <v>0.19843641167801562</v>
      </c>
      <c r="Q4589" t="str">
        <f t="shared" ca="1" si="215"/>
        <v>No</v>
      </c>
    </row>
    <row r="4590" spans="1:17" x14ac:dyDescent="0.45">
      <c r="A4590" t="s">
        <v>189</v>
      </c>
      <c r="B4590" t="s">
        <v>190</v>
      </c>
      <c r="C4590" t="s">
        <v>85</v>
      </c>
      <c r="D4590" t="s">
        <v>188</v>
      </c>
      <c r="E4590" t="s">
        <v>21</v>
      </c>
      <c r="F4590" s="1">
        <v>44682</v>
      </c>
      <c r="G4590">
        <v>1.22</v>
      </c>
      <c r="H4590">
        <v>82.761700000000005</v>
      </c>
      <c r="I4590">
        <v>18.36</v>
      </c>
      <c r="J4590">
        <v>77.2</v>
      </c>
      <c r="K4590" t="s">
        <v>22</v>
      </c>
      <c r="L4590">
        <v>1069.99</v>
      </c>
      <c r="M4590">
        <f>VLOOKUP(K4590,RatingLookup!$A$2:$C$8,2,FALSE)</f>
        <v>5.0000000000000001E-3</v>
      </c>
      <c r="N4590">
        <f t="shared" si="213"/>
        <v>4.1762458919303302E-4</v>
      </c>
      <c r="O4590">
        <f>VLOOKUP(K4590,RatingLookup!$A$2:$C$8,3,FALSE)</f>
        <v>0.45</v>
      </c>
      <c r="P4590">
        <f t="shared" si="214"/>
        <v>0.20108436038579403</v>
      </c>
      <c r="Q4590" t="str">
        <f t="shared" ca="1" si="215"/>
        <v>No</v>
      </c>
    </row>
    <row r="4591" spans="1:17" x14ac:dyDescent="0.45">
      <c r="A4591" t="s">
        <v>189</v>
      </c>
      <c r="B4591" t="s">
        <v>190</v>
      </c>
      <c r="C4591" t="s">
        <v>85</v>
      </c>
      <c r="D4591" t="s">
        <v>188</v>
      </c>
      <c r="E4591" t="s">
        <v>21</v>
      </c>
      <c r="F4591" s="1">
        <v>44713</v>
      </c>
      <c r="G4591">
        <v>1.72</v>
      </c>
      <c r="H4591">
        <v>80.577799999999996</v>
      </c>
      <c r="I4591">
        <v>31.71</v>
      </c>
      <c r="J4591">
        <v>67.489999999999995</v>
      </c>
      <c r="K4591" t="s">
        <v>22</v>
      </c>
      <c r="L4591">
        <v>1057.31</v>
      </c>
      <c r="M4591">
        <f>VLOOKUP(K4591,RatingLookup!$A$2:$C$8,2,FALSE)</f>
        <v>5.0000000000000001E-3</v>
      </c>
      <c r="N4591">
        <f t="shared" si="213"/>
        <v>4.1762458919303302E-4</v>
      </c>
      <c r="O4591">
        <f>VLOOKUP(K4591,RatingLookup!$A$2:$C$8,3,FALSE)</f>
        <v>0.45</v>
      </c>
      <c r="P4591">
        <f t="shared" si="214"/>
        <v>0.19870139447985857</v>
      </c>
      <c r="Q4591" t="str">
        <f t="shared" ca="1" si="215"/>
        <v>No</v>
      </c>
    </row>
    <row r="4592" spans="1:17" x14ac:dyDescent="0.45">
      <c r="A4592" t="s">
        <v>189</v>
      </c>
      <c r="B4592" t="s">
        <v>190</v>
      </c>
      <c r="C4592" t="s">
        <v>85</v>
      </c>
      <c r="D4592" t="s">
        <v>188</v>
      </c>
      <c r="E4592" t="s">
        <v>21</v>
      </c>
      <c r="F4592" s="1">
        <v>44743</v>
      </c>
      <c r="G4592">
        <v>2.48</v>
      </c>
      <c r="H4592">
        <v>80.562200000000004</v>
      </c>
      <c r="I4592">
        <v>15.84</v>
      </c>
      <c r="J4592">
        <v>77.05</v>
      </c>
      <c r="K4592" t="s">
        <v>22</v>
      </c>
      <c r="L4592">
        <v>1077.46</v>
      </c>
      <c r="M4592">
        <f>VLOOKUP(K4592,RatingLookup!$A$2:$C$8,2,FALSE)</f>
        <v>5.0000000000000001E-3</v>
      </c>
      <c r="N4592">
        <f t="shared" si="213"/>
        <v>4.1762458919303302E-4</v>
      </c>
      <c r="O4592">
        <f>VLOOKUP(K4592,RatingLookup!$A$2:$C$8,3,FALSE)</f>
        <v>0.45</v>
      </c>
      <c r="P4592">
        <f t="shared" si="214"/>
        <v>0.20248820544236643</v>
      </c>
      <c r="Q4592" t="str">
        <f t="shared" ca="1" si="215"/>
        <v>No</v>
      </c>
    </row>
    <row r="4593" spans="1:17" x14ac:dyDescent="0.45">
      <c r="A4593" t="s">
        <v>189</v>
      </c>
      <c r="B4593" t="s">
        <v>190</v>
      </c>
      <c r="C4593" t="s">
        <v>85</v>
      </c>
      <c r="D4593" t="s">
        <v>188</v>
      </c>
      <c r="E4593" t="s">
        <v>21</v>
      </c>
      <c r="F4593" s="1">
        <v>44774</v>
      </c>
      <c r="G4593">
        <v>2.04</v>
      </c>
      <c r="H4593">
        <v>83.845600000000005</v>
      </c>
      <c r="I4593">
        <v>19.84</v>
      </c>
      <c r="J4593">
        <v>86.3</v>
      </c>
      <c r="K4593" t="s">
        <v>22</v>
      </c>
      <c r="L4593">
        <v>1129.8399999999999</v>
      </c>
      <c r="M4593">
        <f>VLOOKUP(K4593,RatingLookup!$A$2:$C$8,2,FALSE)</f>
        <v>5.0000000000000001E-3</v>
      </c>
      <c r="N4593">
        <f t="shared" si="213"/>
        <v>4.1762458919303302E-4</v>
      </c>
      <c r="O4593">
        <f>VLOOKUP(K4593,RatingLookup!$A$2:$C$8,3,FALSE)</f>
        <v>0.45</v>
      </c>
      <c r="P4593">
        <f t="shared" si="214"/>
        <v>0.21233203463423539</v>
      </c>
      <c r="Q4593" t="str">
        <f t="shared" ca="1" si="215"/>
        <v>No</v>
      </c>
    </row>
    <row r="4594" spans="1:17" x14ac:dyDescent="0.45">
      <c r="A4594" t="s">
        <v>189</v>
      </c>
      <c r="B4594" t="s">
        <v>190</v>
      </c>
      <c r="C4594" t="s">
        <v>85</v>
      </c>
      <c r="D4594" t="s">
        <v>188</v>
      </c>
      <c r="E4594" t="s">
        <v>21</v>
      </c>
      <c r="F4594" s="1">
        <v>44805</v>
      </c>
      <c r="G4594">
        <v>1.71</v>
      </c>
      <c r="H4594">
        <v>83.146100000000004</v>
      </c>
      <c r="I4594">
        <v>16.239999999999998</v>
      </c>
      <c r="J4594">
        <v>77.55</v>
      </c>
      <c r="K4594" t="s">
        <v>22</v>
      </c>
      <c r="L4594">
        <v>1104.25</v>
      </c>
      <c r="M4594">
        <f>VLOOKUP(K4594,RatingLookup!$A$2:$C$8,2,FALSE)</f>
        <v>5.0000000000000001E-3</v>
      </c>
      <c r="N4594">
        <f t="shared" si="213"/>
        <v>4.1762458919303302E-4</v>
      </c>
      <c r="O4594">
        <f>VLOOKUP(K4594,RatingLookup!$A$2:$C$8,3,FALSE)</f>
        <v>0.45</v>
      </c>
      <c r="P4594">
        <f t="shared" si="214"/>
        <v>0.207522878677383</v>
      </c>
      <c r="Q4594" t="str">
        <f t="shared" ca="1" si="215"/>
        <v>No</v>
      </c>
    </row>
    <row r="4595" spans="1:17" x14ac:dyDescent="0.45">
      <c r="A4595" t="s">
        <v>189</v>
      </c>
      <c r="B4595" t="s">
        <v>190</v>
      </c>
      <c r="C4595" t="s">
        <v>85</v>
      </c>
      <c r="D4595" t="s">
        <v>188</v>
      </c>
      <c r="E4595" t="s">
        <v>21</v>
      </c>
      <c r="F4595" s="1">
        <v>44835</v>
      </c>
      <c r="G4595">
        <v>2.15</v>
      </c>
      <c r="H4595">
        <v>83.249099999999999</v>
      </c>
      <c r="I4595">
        <v>13.24</v>
      </c>
      <c r="J4595">
        <v>62.83</v>
      </c>
      <c r="K4595" t="s">
        <v>22</v>
      </c>
      <c r="L4595">
        <v>1047.18</v>
      </c>
      <c r="M4595">
        <f>VLOOKUP(K4595,RatingLookup!$A$2:$C$8,2,FALSE)</f>
        <v>5.0000000000000001E-3</v>
      </c>
      <c r="N4595">
        <f t="shared" si="213"/>
        <v>4.1762458919303302E-4</v>
      </c>
      <c r="O4595">
        <f>VLOOKUP(K4595,RatingLookup!$A$2:$C$8,3,FALSE)</f>
        <v>0.45</v>
      </c>
      <c r="P4595">
        <f t="shared" si="214"/>
        <v>0.19679765279002215</v>
      </c>
      <c r="Q4595" t="str">
        <f t="shared" ca="1" si="215"/>
        <v>No</v>
      </c>
    </row>
    <row r="4596" spans="1:17" x14ac:dyDescent="0.45">
      <c r="A4596" t="s">
        <v>189</v>
      </c>
      <c r="B4596" t="s">
        <v>190</v>
      </c>
      <c r="C4596" t="s">
        <v>85</v>
      </c>
      <c r="D4596" t="s">
        <v>188</v>
      </c>
      <c r="E4596" t="s">
        <v>21</v>
      </c>
      <c r="F4596" s="1">
        <v>44866</v>
      </c>
      <c r="G4596">
        <v>1.1299999999999999</v>
      </c>
      <c r="H4596">
        <v>85.746200000000002</v>
      </c>
      <c r="I4596">
        <v>11.32</v>
      </c>
      <c r="J4596">
        <v>85.03</v>
      </c>
      <c r="K4596" t="s">
        <v>22</v>
      </c>
      <c r="L4596">
        <v>1011.34</v>
      </c>
      <c r="M4596">
        <f>VLOOKUP(K4596,RatingLookup!$A$2:$C$8,2,FALSE)</f>
        <v>5.0000000000000001E-3</v>
      </c>
      <c r="N4596">
        <f t="shared" si="213"/>
        <v>4.1762458919303302E-4</v>
      </c>
      <c r="O4596">
        <f>VLOOKUP(K4596,RatingLookup!$A$2:$C$8,3,FALSE)</f>
        <v>0.45</v>
      </c>
      <c r="P4596">
        <f t="shared" si="214"/>
        <v>0.19006220341551691</v>
      </c>
      <c r="Q4596" t="str">
        <f t="shared" ca="1" si="215"/>
        <v>No</v>
      </c>
    </row>
    <row r="4597" spans="1:17" x14ac:dyDescent="0.45">
      <c r="A4597" t="s">
        <v>189</v>
      </c>
      <c r="B4597" t="s">
        <v>190</v>
      </c>
      <c r="C4597" t="s">
        <v>85</v>
      </c>
      <c r="D4597" t="s">
        <v>188</v>
      </c>
      <c r="E4597" t="s">
        <v>21</v>
      </c>
      <c r="F4597" s="1">
        <v>44896</v>
      </c>
      <c r="G4597">
        <v>0.83</v>
      </c>
      <c r="H4597">
        <v>81.106200000000001</v>
      </c>
      <c r="I4597">
        <v>23.42</v>
      </c>
      <c r="J4597">
        <v>85.68</v>
      </c>
      <c r="K4597" t="s">
        <v>22</v>
      </c>
      <c r="L4597">
        <v>1057.07</v>
      </c>
      <c r="M4597">
        <f>VLOOKUP(K4597,RatingLookup!$A$2:$C$8,2,FALSE)</f>
        <v>5.0000000000000001E-3</v>
      </c>
      <c r="N4597">
        <f t="shared" si="213"/>
        <v>4.1762458919303302E-4</v>
      </c>
      <c r="O4597">
        <f>VLOOKUP(K4597,RatingLookup!$A$2:$C$8,3,FALSE)</f>
        <v>0.45</v>
      </c>
      <c r="P4597">
        <f t="shared" si="214"/>
        <v>0.19865629102422572</v>
      </c>
      <c r="Q4597" t="str">
        <f t="shared" ca="1" si="215"/>
        <v>No</v>
      </c>
    </row>
    <row r="4598" spans="1:17" x14ac:dyDescent="0.45">
      <c r="A4598" t="s">
        <v>189</v>
      </c>
      <c r="B4598" t="s">
        <v>190</v>
      </c>
      <c r="C4598" t="s">
        <v>85</v>
      </c>
      <c r="D4598" t="s">
        <v>188</v>
      </c>
      <c r="E4598" t="s">
        <v>21</v>
      </c>
      <c r="F4598" s="1">
        <v>44927</v>
      </c>
      <c r="G4598">
        <v>1.38</v>
      </c>
      <c r="H4598">
        <v>83.855999999999995</v>
      </c>
      <c r="I4598">
        <v>17.61</v>
      </c>
      <c r="J4598">
        <v>94.37</v>
      </c>
      <c r="K4598" t="s">
        <v>22</v>
      </c>
      <c r="L4598">
        <v>1134.7</v>
      </c>
      <c r="M4598">
        <f>VLOOKUP(K4598,RatingLookup!$A$2:$C$8,2,FALSE)</f>
        <v>5.0000000000000001E-3</v>
      </c>
      <c r="N4598">
        <f t="shared" si="213"/>
        <v>4.1762458919303302E-4</v>
      </c>
      <c r="O4598">
        <f>VLOOKUP(K4598,RatingLookup!$A$2:$C$8,3,FALSE)</f>
        <v>0.45</v>
      </c>
      <c r="P4598">
        <f t="shared" si="214"/>
        <v>0.21324537961080059</v>
      </c>
      <c r="Q4598" t="str">
        <f t="shared" ca="1" si="215"/>
        <v>No</v>
      </c>
    </row>
    <row r="4599" spans="1:17" x14ac:dyDescent="0.45">
      <c r="A4599" t="s">
        <v>189</v>
      </c>
      <c r="B4599" t="s">
        <v>190</v>
      </c>
      <c r="C4599" t="s">
        <v>85</v>
      </c>
      <c r="D4599" t="s">
        <v>188</v>
      </c>
      <c r="E4599" t="s">
        <v>21</v>
      </c>
      <c r="F4599" s="1">
        <v>44958</v>
      </c>
      <c r="G4599">
        <v>0.98</v>
      </c>
      <c r="H4599">
        <v>80.991799999999998</v>
      </c>
      <c r="I4599">
        <v>18.87</v>
      </c>
      <c r="J4599">
        <v>76.34</v>
      </c>
      <c r="K4599" t="s">
        <v>22</v>
      </c>
      <c r="L4599">
        <v>1088.95</v>
      </c>
      <c r="M4599">
        <f>VLOOKUP(K4599,RatingLookup!$A$2:$C$8,2,FALSE)</f>
        <v>5.0000000000000001E-3</v>
      </c>
      <c r="N4599">
        <f t="shared" si="213"/>
        <v>4.1762458919303302E-4</v>
      </c>
      <c r="O4599">
        <f>VLOOKUP(K4599,RatingLookup!$A$2:$C$8,3,FALSE)</f>
        <v>0.45</v>
      </c>
      <c r="P4599">
        <f t="shared" si="214"/>
        <v>0.204647533380789</v>
      </c>
      <c r="Q4599" t="str">
        <f t="shared" ca="1" si="215"/>
        <v>No</v>
      </c>
    </row>
    <row r="4600" spans="1:17" x14ac:dyDescent="0.45">
      <c r="A4600" t="s">
        <v>189</v>
      </c>
      <c r="B4600" t="s">
        <v>190</v>
      </c>
      <c r="C4600" t="s">
        <v>85</v>
      </c>
      <c r="D4600" t="s">
        <v>188</v>
      </c>
      <c r="E4600" t="s">
        <v>21</v>
      </c>
      <c r="F4600" s="1">
        <v>44986</v>
      </c>
      <c r="G4600">
        <v>1.24</v>
      </c>
      <c r="H4600">
        <v>79.767799999999994</v>
      </c>
      <c r="I4600">
        <v>10.49</v>
      </c>
      <c r="J4600">
        <v>69.73</v>
      </c>
      <c r="K4600" t="s">
        <v>23</v>
      </c>
      <c r="L4600">
        <v>1072.1099999999999</v>
      </c>
      <c r="M4600">
        <f>VLOOKUP(K4600,RatingLookup!$A$2:$C$8,2,FALSE)</f>
        <v>1E-3</v>
      </c>
      <c r="N4600">
        <f t="shared" si="213"/>
        <v>8.3371552197619714E-5</v>
      </c>
      <c r="O4600">
        <f>VLOOKUP(K4600,RatingLookup!$A$2:$C$8,3,FALSE)</f>
        <v>0.3</v>
      </c>
      <c r="P4600">
        <f t="shared" si="214"/>
        <v>2.6815042447977017E-2</v>
      </c>
      <c r="Q4600" t="str">
        <f t="shared" ca="1" si="215"/>
        <v>No</v>
      </c>
    </row>
    <row r="4601" spans="1:17" x14ac:dyDescent="0.45">
      <c r="A4601" t="s">
        <v>189</v>
      </c>
      <c r="B4601" t="s">
        <v>190</v>
      </c>
      <c r="C4601" t="s">
        <v>85</v>
      </c>
      <c r="D4601" t="s">
        <v>188</v>
      </c>
      <c r="E4601" t="s">
        <v>21</v>
      </c>
      <c r="F4601" s="1">
        <v>45017</v>
      </c>
      <c r="G4601">
        <v>0.96</v>
      </c>
      <c r="H4601">
        <v>78.900700000000001</v>
      </c>
      <c r="I4601">
        <v>23.56</v>
      </c>
      <c r="J4601">
        <v>63.74</v>
      </c>
      <c r="K4601" t="s">
        <v>23</v>
      </c>
      <c r="L4601">
        <v>1025.47</v>
      </c>
      <c r="M4601">
        <f>VLOOKUP(K4601,RatingLookup!$A$2:$C$8,2,FALSE)</f>
        <v>1E-3</v>
      </c>
      <c r="N4601">
        <f t="shared" si="213"/>
        <v>8.3371552197619714E-5</v>
      </c>
      <c r="O4601">
        <f>VLOOKUP(K4601,RatingLookup!$A$2:$C$8,3,FALSE)</f>
        <v>0.3</v>
      </c>
      <c r="P4601">
        <f t="shared" si="214"/>
        <v>2.5648507689627925E-2</v>
      </c>
      <c r="Q4601" t="str">
        <f t="shared" ca="1" si="215"/>
        <v>No</v>
      </c>
    </row>
    <row r="4602" spans="1:17" x14ac:dyDescent="0.45">
      <c r="A4602" t="s">
        <v>189</v>
      </c>
      <c r="B4602" t="s">
        <v>190</v>
      </c>
      <c r="C4602" t="s">
        <v>85</v>
      </c>
      <c r="D4602" t="s">
        <v>188</v>
      </c>
      <c r="E4602" t="s">
        <v>21</v>
      </c>
      <c r="F4602" s="1">
        <v>45047</v>
      </c>
      <c r="G4602">
        <v>2.12</v>
      </c>
      <c r="H4602">
        <v>80.043099999999995</v>
      </c>
      <c r="I4602">
        <v>20.94</v>
      </c>
      <c r="J4602">
        <v>73.16</v>
      </c>
      <c r="K4602" t="s">
        <v>23</v>
      </c>
      <c r="L4602">
        <v>1064.7</v>
      </c>
      <c r="M4602">
        <f>VLOOKUP(K4602,RatingLookup!$A$2:$C$8,2,FALSE)</f>
        <v>1E-3</v>
      </c>
      <c r="N4602">
        <f t="shared" si="213"/>
        <v>8.3371552197619714E-5</v>
      </c>
      <c r="O4602">
        <f>VLOOKUP(K4602,RatingLookup!$A$2:$C$8,3,FALSE)</f>
        <v>0.3</v>
      </c>
      <c r="P4602">
        <f t="shared" si="214"/>
        <v>2.6629707487441714E-2</v>
      </c>
      <c r="Q4602" t="str">
        <f t="shared" ca="1" si="215"/>
        <v>No</v>
      </c>
    </row>
    <row r="4603" spans="1:17" x14ac:dyDescent="0.45">
      <c r="A4603" t="s">
        <v>189</v>
      </c>
      <c r="B4603" t="s">
        <v>190</v>
      </c>
      <c r="C4603" t="s">
        <v>85</v>
      </c>
      <c r="D4603" t="s">
        <v>188</v>
      </c>
      <c r="E4603" t="s">
        <v>21</v>
      </c>
      <c r="F4603" s="1">
        <v>45078</v>
      </c>
      <c r="G4603">
        <v>0.79</v>
      </c>
      <c r="H4603">
        <v>85.558199999999999</v>
      </c>
      <c r="I4603">
        <v>9.68</v>
      </c>
      <c r="J4603">
        <v>93.25</v>
      </c>
      <c r="K4603" t="s">
        <v>23</v>
      </c>
      <c r="L4603">
        <v>1010.44</v>
      </c>
      <c r="M4603">
        <f>VLOOKUP(K4603,RatingLookup!$A$2:$C$8,2,FALSE)</f>
        <v>1E-3</v>
      </c>
      <c r="N4603">
        <f t="shared" si="213"/>
        <v>8.3371552197619714E-5</v>
      </c>
      <c r="O4603">
        <f>VLOOKUP(K4603,RatingLookup!$A$2:$C$8,3,FALSE)</f>
        <v>0.3</v>
      </c>
      <c r="P4603">
        <f t="shared" si="214"/>
        <v>2.5272585360768859E-2</v>
      </c>
      <c r="Q4603" t="str">
        <f t="shared" ca="1" si="215"/>
        <v>No</v>
      </c>
    </row>
    <row r="4604" spans="1:17" x14ac:dyDescent="0.45">
      <c r="A4604" t="s">
        <v>189</v>
      </c>
      <c r="B4604" t="s">
        <v>190</v>
      </c>
      <c r="C4604" t="s">
        <v>85</v>
      </c>
      <c r="D4604" t="s">
        <v>188</v>
      </c>
      <c r="E4604" t="s">
        <v>21</v>
      </c>
      <c r="F4604" s="1">
        <v>45108</v>
      </c>
      <c r="G4604">
        <v>0.55000000000000004</v>
      </c>
      <c r="H4604">
        <v>82.5899</v>
      </c>
      <c r="I4604">
        <v>22.9</v>
      </c>
      <c r="J4604">
        <v>77.239999999999995</v>
      </c>
      <c r="K4604" t="s">
        <v>23</v>
      </c>
      <c r="L4604">
        <v>1120.27</v>
      </c>
      <c r="M4604">
        <f>VLOOKUP(K4604,RatingLookup!$A$2:$C$8,2,FALSE)</f>
        <v>1E-3</v>
      </c>
      <c r="N4604">
        <f t="shared" si="213"/>
        <v>8.3371552197619714E-5</v>
      </c>
      <c r="O4604">
        <f>VLOOKUP(K4604,RatingLookup!$A$2:$C$8,3,FALSE)</f>
        <v>0.3</v>
      </c>
      <c r="P4604">
        <f t="shared" si="214"/>
        <v>2.8019594634128227E-2</v>
      </c>
      <c r="Q4604" t="str">
        <f t="shared" ca="1" si="215"/>
        <v>No</v>
      </c>
    </row>
    <row r="4605" spans="1:17" x14ac:dyDescent="0.45">
      <c r="A4605" t="s">
        <v>189</v>
      </c>
      <c r="B4605" t="s">
        <v>190</v>
      </c>
      <c r="C4605" t="s">
        <v>85</v>
      </c>
      <c r="D4605" t="s">
        <v>188</v>
      </c>
      <c r="E4605" t="s">
        <v>21</v>
      </c>
      <c r="F4605" s="1">
        <v>45139</v>
      </c>
      <c r="G4605">
        <v>1.62</v>
      </c>
      <c r="H4605">
        <v>80.998400000000004</v>
      </c>
      <c r="I4605">
        <v>21.73</v>
      </c>
      <c r="J4605">
        <v>73.569999999999993</v>
      </c>
      <c r="K4605" t="s">
        <v>23</v>
      </c>
      <c r="L4605">
        <v>1114.54</v>
      </c>
      <c r="M4605">
        <f>VLOOKUP(K4605,RatingLookup!$A$2:$C$8,2,FALSE)</f>
        <v>1E-3</v>
      </c>
      <c r="N4605">
        <f t="shared" si="213"/>
        <v>8.3371552197619714E-5</v>
      </c>
      <c r="O4605">
        <f>VLOOKUP(K4605,RatingLookup!$A$2:$C$8,3,FALSE)</f>
        <v>0.3</v>
      </c>
      <c r="P4605">
        <f t="shared" si="214"/>
        <v>2.7876278935900525E-2</v>
      </c>
      <c r="Q4605" t="str">
        <f t="shared" ca="1" si="215"/>
        <v>No</v>
      </c>
    </row>
    <row r="4606" spans="1:17" x14ac:dyDescent="0.45">
      <c r="A4606" t="s">
        <v>189</v>
      </c>
      <c r="B4606" t="s">
        <v>190</v>
      </c>
      <c r="C4606" t="s">
        <v>85</v>
      </c>
      <c r="D4606" t="s">
        <v>188</v>
      </c>
      <c r="E4606" t="s">
        <v>21</v>
      </c>
      <c r="F4606" s="1">
        <v>45170</v>
      </c>
      <c r="G4606">
        <v>2.0299999999999998</v>
      </c>
      <c r="H4606">
        <v>86.351699999999994</v>
      </c>
      <c r="I4606">
        <v>12.73</v>
      </c>
      <c r="J4606">
        <v>81.81</v>
      </c>
      <c r="K4606" t="s">
        <v>23</v>
      </c>
      <c r="L4606">
        <v>1049.06</v>
      </c>
      <c r="M4606">
        <f>VLOOKUP(K4606,RatingLookup!$A$2:$C$8,2,FALSE)</f>
        <v>1E-3</v>
      </c>
      <c r="N4606">
        <f t="shared" si="213"/>
        <v>8.3371552197619714E-5</v>
      </c>
      <c r="O4606">
        <f>VLOOKUP(K4606,RatingLookup!$A$2:$C$8,3,FALSE)</f>
        <v>0.3</v>
      </c>
      <c r="P4606">
        <f t="shared" si="214"/>
        <v>2.623852816453048E-2</v>
      </c>
      <c r="Q4606" t="str">
        <f t="shared" ca="1" si="215"/>
        <v>No</v>
      </c>
    </row>
    <row r="4607" spans="1:17" x14ac:dyDescent="0.45">
      <c r="A4607" t="s">
        <v>189</v>
      </c>
      <c r="B4607" t="s">
        <v>190</v>
      </c>
      <c r="C4607" t="s">
        <v>85</v>
      </c>
      <c r="D4607" t="s">
        <v>188</v>
      </c>
      <c r="E4607" t="s">
        <v>21</v>
      </c>
      <c r="F4607" s="1">
        <v>45200</v>
      </c>
      <c r="G4607">
        <v>1.5</v>
      </c>
      <c r="H4607">
        <v>86.136899999999997</v>
      </c>
      <c r="I4607">
        <v>9.65</v>
      </c>
      <c r="J4607">
        <v>73.22</v>
      </c>
      <c r="K4607" t="s">
        <v>23</v>
      </c>
      <c r="L4607">
        <v>1169.01</v>
      </c>
      <c r="M4607">
        <f>VLOOKUP(K4607,RatingLookup!$A$2:$C$8,2,FALSE)</f>
        <v>1E-3</v>
      </c>
      <c r="N4607">
        <f t="shared" si="213"/>
        <v>8.3371552197619714E-5</v>
      </c>
      <c r="O4607">
        <f>VLOOKUP(K4607,RatingLookup!$A$2:$C$8,3,FALSE)</f>
        <v>0.3</v>
      </c>
      <c r="P4607">
        <f t="shared" si="214"/>
        <v>2.9238653470361826E-2</v>
      </c>
      <c r="Q4607" t="str">
        <f t="shared" ca="1" si="215"/>
        <v>No</v>
      </c>
    </row>
    <row r="4608" spans="1:17" x14ac:dyDescent="0.45">
      <c r="A4608" t="s">
        <v>189</v>
      </c>
      <c r="B4608" t="s">
        <v>190</v>
      </c>
      <c r="C4608" t="s">
        <v>85</v>
      </c>
      <c r="D4608" t="s">
        <v>188</v>
      </c>
      <c r="E4608" t="s">
        <v>21</v>
      </c>
      <c r="F4608" s="1">
        <v>45231</v>
      </c>
      <c r="G4608">
        <v>1.03</v>
      </c>
      <c r="H4608">
        <v>81.934200000000004</v>
      </c>
      <c r="I4608">
        <v>16.68</v>
      </c>
      <c r="J4608">
        <v>80.53</v>
      </c>
      <c r="K4608" t="s">
        <v>23</v>
      </c>
      <c r="L4608">
        <v>1092.3499999999999</v>
      </c>
      <c r="M4608">
        <f>VLOOKUP(K4608,RatingLookup!$A$2:$C$8,2,FALSE)</f>
        <v>1E-3</v>
      </c>
      <c r="N4608">
        <f t="shared" si="213"/>
        <v>8.3371552197619714E-5</v>
      </c>
      <c r="O4608">
        <f>VLOOKUP(K4608,RatingLookup!$A$2:$C$8,3,FALSE)</f>
        <v>0.3</v>
      </c>
      <c r="P4608">
        <f t="shared" si="214"/>
        <v>2.7321274512920966E-2</v>
      </c>
      <c r="Q4608" t="str">
        <f t="shared" ca="1" si="215"/>
        <v>No</v>
      </c>
    </row>
    <row r="4609" spans="1:17" x14ac:dyDescent="0.45">
      <c r="A4609" t="s">
        <v>189</v>
      </c>
      <c r="B4609" t="s">
        <v>190</v>
      </c>
      <c r="C4609" t="s">
        <v>85</v>
      </c>
      <c r="D4609" t="s">
        <v>188</v>
      </c>
      <c r="E4609" t="s">
        <v>21</v>
      </c>
      <c r="F4609" s="1">
        <v>45261</v>
      </c>
      <c r="G4609">
        <v>1.79</v>
      </c>
      <c r="H4609">
        <v>79.227199999999996</v>
      </c>
      <c r="I4609">
        <v>23.63</v>
      </c>
      <c r="J4609">
        <v>95.99</v>
      </c>
      <c r="K4609" t="s">
        <v>23</v>
      </c>
      <c r="L4609">
        <v>1121.68</v>
      </c>
      <c r="M4609">
        <f>VLOOKUP(K4609,RatingLookup!$A$2:$C$8,2,FALSE)</f>
        <v>1E-3</v>
      </c>
      <c r="N4609">
        <f t="shared" si="213"/>
        <v>8.3371552197619714E-5</v>
      </c>
      <c r="O4609">
        <f>VLOOKUP(K4609,RatingLookup!$A$2:$C$8,3,FALSE)</f>
        <v>0.3</v>
      </c>
      <c r="P4609">
        <f t="shared" si="214"/>
        <v>2.8054860800707827E-2</v>
      </c>
      <c r="Q4609" t="str">
        <f t="shared" ca="1" si="215"/>
        <v>No</v>
      </c>
    </row>
    <row r="4610" spans="1:17" x14ac:dyDescent="0.45">
      <c r="A4610" t="s">
        <v>189</v>
      </c>
      <c r="B4610" t="s">
        <v>190</v>
      </c>
      <c r="C4610" t="s">
        <v>85</v>
      </c>
      <c r="D4610" t="s">
        <v>188</v>
      </c>
      <c r="E4610" t="s">
        <v>21</v>
      </c>
      <c r="F4610" s="1">
        <v>45292</v>
      </c>
      <c r="G4610">
        <v>1.25</v>
      </c>
      <c r="H4610">
        <v>83.487300000000005</v>
      </c>
      <c r="I4610">
        <v>28.38</v>
      </c>
      <c r="J4610">
        <v>94.69</v>
      </c>
      <c r="K4610" t="s">
        <v>23</v>
      </c>
      <c r="L4610">
        <v>1048.8</v>
      </c>
      <c r="M4610">
        <f>VLOOKUP(K4610,RatingLookup!$A$2:$C$8,2,FALSE)</f>
        <v>1E-3</v>
      </c>
      <c r="N4610">
        <f t="shared" ref="N4610:N4673" si="216">1-(1-M4610)^(1/12)</f>
        <v>8.3371552197619714E-5</v>
      </c>
      <c r="O4610">
        <f>VLOOKUP(K4610,RatingLookup!$A$2:$C$8,3,FALSE)</f>
        <v>0.3</v>
      </c>
      <c r="P4610">
        <f t="shared" ref="P4610:P4673" si="217">L4610*N4610*O4610</f>
        <v>2.6232025183459063E-2</v>
      </c>
      <c r="Q4610" t="str">
        <f t="shared" ref="Q4610:Q4673" ca="1" si="218">IF(RAND()&lt;N4610,"Yes","No")</f>
        <v>No</v>
      </c>
    </row>
    <row r="4611" spans="1:17" x14ac:dyDescent="0.45">
      <c r="A4611" t="s">
        <v>189</v>
      </c>
      <c r="B4611" t="s">
        <v>190</v>
      </c>
      <c r="C4611" t="s">
        <v>85</v>
      </c>
      <c r="D4611" t="s">
        <v>188</v>
      </c>
      <c r="E4611" t="s">
        <v>21</v>
      </c>
      <c r="F4611" s="1">
        <v>45323</v>
      </c>
      <c r="G4611">
        <v>0.88</v>
      </c>
      <c r="H4611">
        <v>83.935900000000004</v>
      </c>
      <c r="I4611">
        <v>18.149999999999999</v>
      </c>
      <c r="J4611">
        <v>75.37</v>
      </c>
      <c r="K4611" t="s">
        <v>23</v>
      </c>
      <c r="L4611">
        <v>1251.6600000000001</v>
      </c>
      <c r="M4611">
        <f>VLOOKUP(K4611,RatingLookup!$A$2:$C$8,2,FALSE)</f>
        <v>1E-3</v>
      </c>
      <c r="N4611">
        <f t="shared" si="216"/>
        <v>8.3371552197619714E-5</v>
      </c>
      <c r="O4611">
        <f>VLOOKUP(K4611,RatingLookup!$A$2:$C$8,3,FALSE)</f>
        <v>0.3</v>
      </c>
      <c r="P4611">
        <f t="shared" si="217"/>
        <v>3.1305851107101809E-2</v>
      </c>
      <c r="Q4611" t="str">
        <f t="shared" ca="1" si="218"/>
        <v>No</v>
      </c>
    </row>
    <row r="4612" spans="1:17" x14ac:dyDescent="0.45">
      <c r="A4612" t="s">
        <v>189</v>
      </c>
      <c r="B4612" t="s">
        <v>190</v>
      </c>
      <c r="C4612" t="s">
        <v>85</v>
      </c>
      <c r="D4612" t="s">
        <v>188</v>
      </c>
      <c r="E4612" t="s">
        <v>21</v>
      </c>
      <c r="F4612" s="1">
        <v>45352</v>
      </c>
      <c r="G4612">
        <v>1.02</v>
      </c>
      <c r="H4612">
        <v>82.906999999999996</v>
      </c>
      <c r="I4612">
        <v>18.18</v>
      </c>
      <c r="J4612">
        <v>80.94</v>
      </c>
      <c r="K4612" t="s">
        <v>23</v>
      </c>
      <c r="L4612">
        <v>1110.69</v>
      </c>
      <c r="M4612">
        <f>VLOOKUP(K4612,RatingLookup!$A$2:$C$8,2,FALSE)</f>
        <v>1E-3</v>
      </c>
      <c r="N4612">
        <f t="shared" si="216"/>
        <v>8.3371552197619714E-5</v>
      </c>
      <c r="O4612">
        <f>VLOOKUP(K4612,RatingLookup!$A$2:$C$8,3,FALSE)</f>
        <v>0.3</v>
      </c>
      <c r="P4612">
        <f t="shared" si="217"/>
        <v>2.7779984793112271E-2</v>
      </c>
      <c r="Q4612" t="str">
        <f t="shared" ca="1" si="218"/>
        <v>No</v>
      </c>
    </row>
    <row r="4613" spans="1:17" x14ac:dyDescent="0.45">
      <c r="A4613" t="s">
        <v>189</v>
      </c>
      <c r="B4613" t="s">
        <v>190</v>
      </c>
      <c r="C4613" t="s">
        <v>85</v>
      </c>
      <c r="D4613" t="s">
        <v>188</v>
      </c>
      <c r="E4613" t="s">
        <v>21</v>
      </c>
      <c r="F4613" s="1">
        <v>45383</v>
      </c>
      <c r="G4613">
        <v>2.0499999999999998</v>
      </c>
      <c r="H4613">
        <v>82.77</v>
      </c>
      <c r="I4613">
        <v>16.600000000000001</v>
      </c>
      <c r="J4613">
        <v>90.92</v>
      </c>
      <c r="K4613" t="s">
        <v>23</v>
      </c>
      <c r="L4613">
        <v>1155.56</v>
      </c>
      <c r="M4613">
        <f>VLOOKUP(K4613,RatingLookup!$A$2:$C$8,2,FALSE)</f>
        <v>1E-3</v>
      </c>
      <c r="N4613">
        <f t="shared" si="216"/>
        <v>8.3371552197619714E-5</v>
      </c>
      <c r="O4613">
        <f>VLOOKUP(K4613,RatingLookup!$A$2:$C$8,3,FALSE)</f>
        <v>0.3</v>
      </c>
      <c r="P4613">
        <f t="shared" si="217"/>
        <v>2.8902249257244429E-2</v>
      </c>
      <c r="Q4613" t="str">
        <f t="shared" ca="1" si="218"/>
        <v>No</v>
      </c>
    </row>
    <row r="4614" spans="1:17" x14ac:dyDescent="0.45">
      <c r="A4614" t="s">
        <v>189</v>
      </c>
      <c r="B4614" t="s">
        <v>190</v>
      </c>
      <c r="C4614" t="s">
        <v>85</v>
      </c>
      <c r="D4614" t="s">
        <v>188</v>
      </c>
      <c r="E4614" t="s">
        <v>21</v>
      </c>
      <c r="F4614" s="1">
        <v>45413</v>
      </c>
      <c r="G4614">
        <v>1.61</v>
      </c>
      <c r="H4614">
        <v>82.101200000000006</v>
      </c>
      <c r="I4614">
        <v>16.350000000000001</v>
      </c>
      <c r="J4614">
        <v>55.47</v>
      </c>
      <c r="K4614" t="s">
        <v>48</v>
      </c>
      <c r="L4614">
        <v>1147.23</v>
      </c>
      <c r="M4614">
        <f>VLOOKUP(K4614,RatingLookup!$A$2:$C$8,2,FALSE)</f>
        <v>5.0000000000000001E-4</v>
      </c>
      <c r="N4614">
        <f t="shared" si="216"/>
        <v>4.167621832917856E-5</v>
      </c>
      <c r="O4614">
        <f>VLOOKUP(K4614,RatingLookup!$A$2:$C$8,3,FALSE)</f>
        <v>0.25</v>
      </c>
      <c r="P4614">
        <f t="shared" si="217"/>
        <v>1.195305198844588E-2</v>
      </c>
      <c r="Q4614" t="str">
        <f t="shared" ca="1" si="218"/>
        <v>No</v>
      </c>
    </row>
    <row r="4615" spans="1:17" x14ac:dyDescent="0.45">
      <c r="A4615" t="s">
        <v>189</v>
      </c>
      <c r="B4615" t="s">
        <v>190</v>
      </c>
      <c r="C4615" t="s">
        <v>85</v>
      </c>
      <c r="D4615" t="s">
        <v>188</v>
      </c>
      <c r="E4615" t="s">
        <v>21</v>
      </c>
      <c r="F4615" s="1">
        <v>45444</v>
      </c>
      <c r="G4615">
        <v>1.52</v>
      </c>
      <c r="H4615">
        <v>86.8232</v>
      </c>
      <c r="I4615">
        <v>17.43</v>
      </c>
      <c r="J4615">
        <v>75.03</v>
      </c>
      <c r="K4615" t="s">
        <v>48</v>
      </c>
      <c r="L4615">
        <v>1111.31</v>
      </c>
      <c r="M4615">
        <f>VLOOKUP(K4615,RatingLookup!$A$2:$C$8,2,FALSE)</f>
        <v>5.0000000000000001E-4</v>
      </c>
      <c r="N4615">
        <f t="shared" si="216"/>
        <v>4.167621832917856E-5</v>
      </c>
      <c r="O4615">
        <f>VLOOKUP(K4615,RatingLookup!$A$2:$C$8,3,FALSE)</f>
        <v>0.25</v>
      </c>
      <c r="P4615">
        <f t="shared" si="217"/>
        <v>1.1578799547849856E-2</v>
      </c>
      <c r="Q4615" t="str">
        <f t="shared" ca="1" si="218"/>
        <v>No</v>
      </c>
    </row>
    <row r="4616" spans="1:17" x14ac:dyDescent="0.45">
      <c r="A4616" t="s">
        <v>189</v>
      </c>
      <c r="B4616" t="s">
        <v>190</v>
      </c>
      <c r="C4616" t="s">
        <v>85</v>
      </c>
      <c r="D4616" t="s">
        <v>188</v>
      </c>
      <c r="E4616" t="s">
        <v>21</v>
      </c>
      <c r="F4616" s="1">
        <v>45474</v>
      </c>
      <c r="G4616">
        <v>0.88</v>
      </c>
      <c r="H4616">
        <v>84.613900000000001</v>
      </c>
      <c r="I4616">
        <v>21.47</v>
      </c>
      <c r="J4616">
        <v>65.86</v>
      </c>
      <c r="K4616" t="s">
        <v>48</v>
      </c>
      <c r="L4616">
        <v>1147.1600000000001</v>
      </c>
      <c r="M4616">
        <f>VLOOKUP(K4616,RatingLookup!$A$2:$C$8,2,FALSE)</f>
        <v>5.0000000000000001E-4</v>
      </c>
      <c r="N4616">
        <f t="shared" si="216"/>
        <v>4.167621832917856E-5</v>
      </c>
      <c r="O4616">
        <f>VLOOKUP(K4616,RatingLookup!$A$2:$C$8,3,FALSE)</f>
        <v>0.25</v>
      </c>
      <c r="P4616">
        <f t="shared" si="217"/>
        <v>1.1952322654625119E-2</v>
      </c>
      <c r="Q4616" t="str">
        <f t="shared" ca="1" si="218"/>
        <v>No</v>
      </c>
    </row>
    <row r="4617" spans="1:17" x14ac:dyDescent="0.45">
      <c r="A4617" t="s">
        <v>189</v>
      </c>
      <c r="B4617" t="s">
        <v>190</v>
      </c>
      <c r="C4617" t="s">
        <v>85</v>
      </c>
      <c r="D4617" t="s">
        <v>188</v>
      </c>
      <c r="E4617" t="s">
        <v>21</v>
      </c>
      <c r="F4617" s="1">
        <v>45505</v>
      </c>
      <c r="G4617">
        <v>2.17</v>
      </c>
      <c r="H4617">
        <v>86.431399999999996</v>
      </c>
      <c r="I4617">
        <v>15.92</v>
      </c>
      <c r="J4617">
        <v>80.709999999999994</v>
      </c>
      <c r="K4617" t="s">
        <v>48</v>
      </c>
      <c r="L4617">
        <v>1123.4000000000001</v>
      </c>
      <c r="M4617">
        <f>VLOOKUP(K4617,RatingLookup!$A$2:$C$8,2,FALSE)</f>
        <v>5.0000000000000001E-4</v>
      </c>
      <c r="N4617">
        <f t="shared" si="216"/>
        <v>4.167621832917856E-5</v>
      </c>
      <c r="O4617">
        <f>VLOOKUP(K4617,RatingLookup!$A$2:$C$8,3,FALSE)</f>
        <v>0.25</v>
      </c>
      <c r="P4617">
        <f t="shared" si="217"/>
        <v>1.17047659177498E-2</v>
      </c>
      <c r="Q4617" t="str">
        <f t="shared" ca="1" si="218"/>
        <v>No</v>
      </c>
    </row>
    <row r="4618" spans="1:17" x14ac:dyDescent="0.45">
      <c r="A4618" t="s">
        <v>189</v>
      </c>
      <c r="B4618" t="s">
        <v>190</v>
      </c>
      <c r="C4618" t="s">
        <v>85</v>
      </c>
      <c r="D4618" t="s">
        <v>188</v>
      </c>
      <c r="E4618" t="s">
        <v>21</v>
      </c>
      <c r="F4618" s="1">
        <v>45536</v>
      </c>
      <c r="G4618">
        <v>2.25</v>
      </c>
      <c r="H4618">
        <v>86.300600000000003</v>
      </c>
      <c r="I4618">
        <v>23.2</v>
      </c>
      <c r="J4618">
        <v>78.349999999999994</v>
      </c>
      <c r="K4618" t="s">
        <v>48</v>
      </c>
      <c r="L4618">
        <v>1252.82</v>
      </c>
      <c r="M4618">
        <f>VLOOKUP(K4618,RatingLookup!$A$2:$C$8,2,FALSE)</f>
        <v>5.0000000000000001E-4</v>
      </c>
      <c r="N4618">
        <f t="shared" si="216"/>
        <v>4.167621832917856E-5</v>
      </c>
      <c r="O4618">
        <f>VLOOKUP(K4618,RatingLookup!$A$2:$C$8,3,FALSE)</f>
        <v>0.25</v>
      </c>
      <c r="P4618">
        <f t="shared" si="217"/>
        <v>1.3053199961790371E-2</v>
      </c>
      <c r="Q4618" t="str">
        <f t="shared" ca="1" si="218"/>
        <v>No</v>
      </c>
    </row>
    <row r="4619" spans="1:17" x14ac:dyDescent="0.45">
      <c r="A4619" t="s">
        <v>189</v>
      </c>
      <c r="B4619" t="s">
        <v>190</v>
      </c>
      <c r="C4619" t="s">
        <v>85</v>
      </c>
      <c r="D4619" t="s">
        <v>188</v>
      </c>
      <c r="E4619" t="s">
        <v>21</v>
      </c>
      <c r="F4619" s="1">
        <v>45566</v>
      </c>
      <c r="G4619">
        <v>2.09</v>
      </c>
      <c r="H4619">
        <v>82.847399999999993</v>
      </c>
      <c r="I4619">
        <v>7.41</v>
      </c>
      <c r="J4619">
        <v>89.31</v>
      </c>
      <c r="K4619" t="s">
        <v>48</v>
      </c>
      <c r="L4619">
        <v>1219.93</v>
      </c>
      <c r="M4619">
        <f>VLOOKUP(K4619,RatingLookup!$A$2:$C$8,2,FALSE)</f>
        <v>5.0000000000000001E-4</v>
      </c>
      <c r="N4619">
        <f t="shared" si="216"/>
        <v>4.167621832917856E-5</v>
      </c>
      <c r="O4619">
        <f>VLOOKUP(K4619,RatingLookup!$A$2:$C$8,3,FALSE)</f>
        <v>0.25</v>
      </c>
      <c r="P4619">
        <f t="shared" si="217"/>
        <v>1.27105172565787E-2</v>
      </c>
      <c r="Q4619" t="str">
        <f t="shared" ca="1" si="218"/>
        <v>No</v>
      </c>
    </row>
    <row r="4620" spans="1:17" x14ac:dyDescent="0.45">
      <c r="A4620" t="s">
        <v>189</v>
      </c>
      <c r="B4620" t="s">
        <v>190</v>
      </c>
      <c r="C4620" t="s">
        <v>85</v>
      </c>
      <c r="D4620" t="s">
        <v>188</v>
      </c>
      <c r="E4620" t="s">
        <v>21</v>
      </c>
      <c r="F4620" s="1">
        <v>45597</v>
      </c>
      <c r="G4620">
        <v>1.62</v>
      </c>
      <c r="H4620">
        <v>88.600200000000001</v>
      </c>
      <c r="I4620">
        <v>18.239999999999998</v>
      </c>
      <c r="J4620">
        <v>100.44</v>
      </c>
      <c r="K4620" t="s">
        <v>48</v>
      </c>
      <c r="L4620">
        <v>1189.1099999999999</v>
      </c>
      <c r="M4620">
        <f>VLOOKUP(K4620,RatingLookup!$A$2:$C$8,2,FALSE)</f>
        <v>5.0000000000000001E-4</v>
      </c>
      <c r="N4620">
        <f t="shared" si="216"/>
        <v>4.167621832917856E-5</v>
      </c>
      <c r="O4620">
        <f>VLOOKUP(K4620,RatingLookup!$A$2:$C$8,3,FALSE)</f>
        <v>0.25</v>
      </c>
      <c r="P4620">
        <f t="shared" si="217"/>
        <v>1.2389401994352378E-2</v>
      </c>
      <c r="Q4620" t="str">
        <f t="shared" ca="1" si="218"/>
        <v>No</v>
      </c>
    </row>
    <row r="4621" spans="1:17" x14ac:dyDescent="0.45">
      <c r="A4621" t="s">
        <v>189</v>
      </c>
      <c r="B4621" t="s">
        <v>190</v>
      </c>
      <c r="C4621" t="s">
        <v>85</v>
      </c>
      <c r="D4621" t="s">
        <v>188</v>
      </c>
      <c r="E4621" t="s">
        <v>21</v>
      </c>
      <c r="F4621" s="1">
        <v>45627</v>
      </c>
      <c r="G4621">
        <v>1.53</v>
      </c>
      <c r="H4621">
        <v>80.089100000000002</v>
      </c>
      <c r="I4621">
        <v>11.89</v>
      </c>
      <c r="J4621">
        <v>82.98</v>
      </c>
      <c r="K4621" t="s">
        <v>48</v>
      </c>
      <c r="L4621">
        <v>1175.5899999999999</v>
      </c>
      <c r="M4621">
        <f>VLOOKUP(K4621,RatingLookup!$A$2:$C$8,2,FALSE)</f>
        <v>5.0000000000000001E-4</v>
      </c>
      <c r="N4621">
        <f t="shared" si="216"/>
        <v>4.167621832917856E-5</v>
      </c>
      <c r="O4621">
        <f>VLOOKUP(K4621,RatingLookup!$A$2:$C$8,3,FALSE)</f>
        <v>0.25</v>
      </c>
      <c r="P4621">
        <f t="shared" si="217"/>
        <v>1.2248536376399756E-2</v>
      </c>
      <c r="Q4621" t="str">
        <f t="shared" ca="1" si="218"/>
        <v>No</v>
      </c>
    </row>
    <row r="4622" spans="1:17" x14ac:dyDescent="0.45">
      <c r="A4622" t="s">
        <v>191</v>
      </c>
      <c r="B4622" t="s">
        <v>192</v>
      </c>
      <c r="C4622" t="s">
        <v>85</v>
      </c>
      <c r="D4622" t="s">
        <v>188</v>
      </c>
      <c r="E4622" t="s">
        <v>21</v>
      </c>
      <c r="F4622" s="1">
        <v>43831</v>
      </c>
      <c r="G4622">
        <v>1.89</v>
      </c>
      <c r="H4622">
        <v>81.417599999999993</v>
      </c>
      <c r="I4622">
        <v>5</v>
      </c>
      <c r="J4622">
        <v>83.64</v>
      </c>
      <c r="K4622" t="s">
        <v>30</v>
      </c>
      <c r="L4622">
        <v>718.36</v>
      </c>
      <c r="M4622">
        <f>VLOOKUP(K4622,RatingLookup!$A$2:$C$8,2,FALSE)</f>
        <v>1.4999999999999999E-2</v>
      </c>
      <c r="N4622">
        <f t="shared" si="216"/>
        <v>1.2586770182638762E-3</v>
      </c>
      <c r="O4622">
        <f>VLOOKUP(K4622,RatingLookup!$A$2:$C$8,3,FALSE)</f>
        <v>0.5</v>
      </c>
      <c r="P4622">
        <f t="shared" si="217"/>
        <v>0.45209161142001908</v>
      </c>
      <c r="Q4622" t="str">
        <f t="shared" ca="1" si="218"/>
        <v>No</v>
      </c>
    </row>
    <row r="4623" spans="1:17" x14ac:dyDescent="0.45">
      <c r="A4623" t="s">
        <v>191</v>
      </c>
      <c r="B4623" t="s">
        <v>192</v>
      </c>
      <c r="C4623" t="s">
        <v>85</v>
      </c>
      <c r="D4623" t="s">
        <v>188</v>
      </c>
      <c r="E4623" t="s">
        <v>21</v>
      </c>
      <c r="F4623" s="1">
        <v>43862</v>
      </c>
      <c r="G4623">
        <v>1.03</v>
      </c>
      <c r="H4623">
        <v>78.302000000000007</v>
      </c>
      <c r="I4623">
        <v>12.69</v>
      </c>
      <c r="J4623">
        <v>73.95</v>
      </c>
      <c r="K4623" t="s">
        <v>30</v>
      </c>
      <c r="L4623">
        <v>715.66</v>
      </c>
      <c r="M4623">
        <f>VLOOKUP(K4623,RatingLookup!$A$2:$C$8,2,FALSE)</f>
        <v>1.4999999999999999E-2</v>
      </c>
      <c r="N4623">
        <f t="shared" si="216"/>
        <v>1.2586770182638762E-3</v>
      </c>
      <c r="O4623">
        <f>VLOOKUP(K4623,RatingLookup!$A$2:$C$8,3,FALSE)</f>
        <v>0.5</v>
      </c>
      <c r="P4623">
        <f t="shared" si="217"/>
        <v>0.4503923974453628</v>
      </c>
      <c r="Q4623" t="str">
        <f t="shared" ca="1" si="218"/>
        <v>No</v>
      </c>
    </row>
    <row r="4624" spans="1:17" x14ac:dyDescent="0.45">
      <c r="A4624" t="s">
        <v>191</v>
      </c>
      <c r="B4624" t="s">
        <v>192</v>
      </c>
      <c r="C4624" t="s">
        <v>85</v>
      </c>
      <c r="D4624" t="s">
        <v>188</v>
      </c>
      <c r="E4624" t="s">
        <v>21</v>
      </c>
      <c r="F4624" s="1">
        <v>43891</v>
      </c>
      <c r="G4624">
        <v>0.99</v>
      </c>
      <c r="H4624">
        <v>82.781800000000004</v>
      </c>
      <c r="I4624">
        <v>14.16</v>
      </c>
      <c r="J4624">
        <v>83.92</v>
      </c>
      <c r="K4624" t="s">
        <v>30</v>
      </c>
      <c r="L4624">
        <v>766.11</v>
      </c>
      <c r="M4624">
        <f>VLOOKUP(K4624,RatingLookup!$A$2:$C$8,2,FALSE)</f>
        <v>1.4999999999999999E-2</v>
      </c>
      <c r="N4624">
        <f t="shared" si="216"/>
        <v>1.2586770182638762E-3</v>
      </c>
      <c r="O4624">
        <f>VLOOKUP(K4624,RatingLookup!$A$2:$C$8,3,FALSE)</f>
        <v>0.5</v>
      </c>
      <c r="P4624">
        <f t="shared" si="217"/>
        <v>0.4821425252310691</v>
      </c>
      <c r="Q4624" t="str">
        <f t="shared" ca="1" si="218"/>
        <v>No</v>
      </c>
    </row>
    <row r="4625" spans="1:17" x14ac:dyDescent="0.45">
      <c r="A4625" t="s">
        <v>191</v>
      </c>
      <c r="B4625" t="s">
        <v>192</v>
      </c>
      <c r="C4625" t="s">
        <v>85</v>
      </c>
      <c r="D4625" t="s">
        <v>188</v>
      </c>
      <c r="E4625" t="s">
        <v>21</v>
      </c>
      <c r="F4625" s="1">
        <v>43922</v>
      </c>
      <c r="G4625">
        <v>2.5499999999999998</v>
      </c>
      <c r="H4625">
        <v>85.503399999999999</v>
      </c>
      <c r="I4625">
        <v>10.75</v>
      </c>
      <c r="J4625">
        <v>81.56</v>
      </c>
      <c r="K4625" t="s">
        <v>30</v>
      </c>
      <c r="L4625">
        <v>759.13</v>
      </c>
      <c r="M4625">
        <f>VLOOKUP(K4625,RatingLookup!$A$2:$C$8,2,FALSE)</f>
        <v>1.4999999999999999E-2</v>
      </c>
      <c r="N4625">
        <f t="shared" si="216"/>
        <v>1.2586770182638762E-3</v>
      </c>
      <c r="O4625">
        <f>VLOOKUP(K4625,RatingLookup!$A$2:$C$8,3,FALSE)</f>
        <v>0.5</v>
      </c>
      <c r="P4625">
        <f t="shared" si="217"/>
        <v>0.47774974243732821</v>
      </c>
      <c r="Q4625" t="str">
        <f t="shared" ca="1" si="218"/>
        <v>No</v>
      </c>
    </row>
    <row r="4626" spans="1:17" x14ac:dyDescent="0.45">
      <c r="A4626" t="s">
        <v>191</v>
      </c>
      <c r="B4626" t="s">
        <v>192</v>
      </c>
      <c r="C4626" t="s">
        <v>85</v>
      </c>
      <c r="D4626" t="s">
        <v>188</v>
      </c>
      <c r="E4626" t="s">
        <v>21</v>
      </c>
      <c r="F4626" s="1">
        <v>43952</v>
      </c>
      <c r="G4626">
        <v>1.3</v>
      </c>
      <c r="H4626">
        <v>82.178700000000006</v>
      </c>
      <c r="I4626">
        <v>20.28</v>
      </c>
      <c r="J4626">
        <v>78.77</v>
      </c>
      <c r="K4626" t="s">
        <v>30</v>
      </c>
      <c r="L4626">
        <v>676.36</v>
      </c>
      <c r="M4626">
        <f>VLOOKUP(K4626,RatingLookup!$A$2:$C$8,2,FALSE)</f>
        <v>1.4999999999999999E-2</v>
      </c>
      <c r="N4626">
        <f t="shared" si="216"/>
        <v>1.2586770182638762E-3</v>
      </c>
      <c r="O4626">
        <f>VLOOKUP(K4626,RatingLookup!$A$2:$C$8,3,FALSE)</f>
        <v>0.5</v>
      </c>
      <c r="P4626">
        <f t="shared" si="217"/>
        <v>0.42565939403647768</v>
      </c>
      <c r="Q4626" t="str">
        <f t="shared" ca="1" si="218"/>
        <v>No</v>
      </c>
    </row>
    <row r="4627" spans="1:17" x14ac:dyDescent="0.45">
      <c r="A4627" t="s">
        <v>191</v>
      </c>
      <c r="B4627" t="s">
        <v>192</v>
      </c>
      <c r="C4627" t="s">
        <v>85</v>
      </c>
      <c r="D4627" t="s">
        <v>188</v>
      </c>
      <c r="E4627" t="s">
        <v>21</v>
      </c>
      <c r="F4627" s="1">
        <v>43983</v>
      </c>
      <c r="G4627">
        <v>1.19</v>
      </c>
      <c r="H4627">
        <v>83.783100000000005</v>
      </c>
      <c r="I4627">
        <v>18.25</v>
      </c>
      <c r="J4627">
        <v>86.58</v>
      </c>
      <c r="K4627" t="s">
        <v>30</v>
      </c>
      <c r="L4627">
        <v>715.56</v>
      </c>
      <c r="M4627">
        <f>VLOOKUP(K4627,RatingLookup!$A$2:$C$8,2,FALSE)</f>
        <v>1.4999999999999999E-2</v>
      </c>
      <c r="N4627">
        <f t="shared" si="216"/>
        <v>1.2586770182638762E-3</v>
      </c>
      <c r="O4627">
        <f>VLOOKUP(K4627,RatingLookup!$A$2:$C$8,3,FALSE)</f>
        <v>0.5</v>
      </c>
      <c r="P4627">
        <f t="shared" si="217"/>
        <v>0.45032946359444959</v>
      </c>
      <c r="Q4627" t="str">
        <f t="shared" ca="1" si="218"/>
        <v>No</v>
      </c>
    </row>
    <row r="4628" spans="1:17" x14ac:dyDescent="0.45">
      <c r="A4628" t="s">
        <v>191</v>
      </c>
      <c r="B4628" t="s">
        <v>192</v>
      </c>
      <c r="C4628" t="s">
        <v>85</v>
      </c>
      <c r="D4628" t="s">
        <v>188</v>
      </c>
      <c r="E4628" t="s">
        <v>21</v>
      </c>
      <c r="F4628" s="1">
        <v>44013</v>
      </c>
      <c r="G4628">
        <v>1.59</v>
      </c>
      <c r="H4628">
        <v>84.27</v>
      </c>
      <c r="I4628">
        <v>6.59</v>
      </c>
      <c r="J4628">
        <v>73.209999999999994</v>
      </c>
      <c r="K4628" t="s">
        <v>31</v>
      </c>
      <c r="L4628">
        <v>798.94</v>
      </c>
      <c r="M4628">
        <f>VLOOKUP(K4628,RatingLookup!$A$2:$C$8,2,FALSE)</f>
        <v>0.04</v>
      </c>
      <c r="N4628">
        <f t="shared" si="216"/>
        <v>3.3960531989175591E-3</v>
      </c>
      <c r="O4628">
        <f>VLOOKUP(K4628,RatingLookup!$A$2:$C$8,3,FALSE)</f>
        <v>0.6</v>
      </c>
      <c r="P4628">
        <f t="shared" si="217"/>
        <v>1.6279456456459167</v>
      </c>
      <c r="Q4628" t="str">
        <f t="shared" ca="1" si="218"/>
        <v>No</v>
      </c>
    </row>
    <row r="4629" spans="1:17" x14ac:dyDescent="0.45">
      <c r="A4629" t="s">
        <v>191</v>
      </c>
      <c r="B4629" t="s">
        <v>192</v>
      </c>
      <c r="C4629" t="s">
        <v>85</v>
      </c>
      <c r="D4629" t="s">
        <v>188</v>
      </c>
      <c r="E4629" t="s">
        <v>21</v>
      </c>
      <c r="F4629" s="1">
        <v>44044</v>
      </c>
      <c r="G4629">
        <v>2.42</v>
      </c>
      <c r="H4629">
        <v>83.439700000000002</v>
      </c>
      <c r="I4629">
        <v>21.92</v>
      </c>
      <c r="J4629">
        <v>66.930000000000007</v>
      </c>
      <c r="K4629" t="s">
        <v>31</v>
      </c>
      <c r="L4629">
        <v>694.68</v>
      </c>
      <c r="M4629">
        <f>VLOOKUP(K4629,RatingLookup!$A$2:$C$8,2,FALSE)</f>
        <v>0.04</v>
      </c>
      <c r="N4629">
        <f t="shared" si="216"/>
        <v>3.3960531989175591E-3</v>
      </c>
      <c r="O4629">
        <f>VLOOKUP(K4629,RatingLookup!$A$2:$C$8,3,FALSE)</f>
        <v>0.6</v>
      </c>
      <c r="P4629">
        <f t="shared" si="217"/>
        <v>1.4155021417344298</v>
      </c>
      <c r="Q4629" t="str">
        <f t="shared" ca="1" si="218"/>
        <v>No</v>
      </c>
    </row>
    <row r="4630" spans="1:17" x14ac:dyDescent="0.45">
      <c r="A4630" t="s">
        <v>191</v>
      </c>
      <c r="B4630" t="s">
        <v>192</v>
      </c>
      <c r="C4630" t="s">
        <v>85</v>
      </c>
      <c r="D4630" t="s">
        <v>188</v>
      </c>
      <c r="E4630" t="s">
        <v>21</v>
      </c>
      <c r="F4630" s="1">
        <v>44075</v>
      </c>
      <c r="G4630">
        <v>2.44</v>
      </c>
      <c r="H4630">
        <v>79.244200000000006</v>
      </c>
      <c r="I4630">
        <v>29.94</v>
      </c>
      <c r="J4630">
        <v>79.849999999999994</v>
      </c>
      <c r="K4630" t="s">
        <v>31</v>
      </c>
      <c r="L4630">
        <v>677.13</v>
      </c>
      <c r="M4630">
        <f>VLOOKUP(K4630,RatingLookup!$A$2:$C$8,2,FALSE)</f>
        <v>0.04</v>
      </c>
      <c r="N4630">
        <f t="shared" si="216"/>
        <v>3.3960531989175591E-3</v>
      </c>
      <c r="O4630">
        <f>VLOOKUP(K4630,RatingLookup!$A$2:$C$8,3,FALSE)</f>
        <v>0.6</v>
      </c>
      <c r="P4630">
        <f t="shared" si="217"/>
        <v>1.3797417015498279</v>
      </c>
      <c r="Q4630" t="str">
        <f t="shared" ca="1" si="218"/>
        <v>No</v>
      </c>
    </row>
    <row r="4631" spans="1:17" x14ac:dyDescent="0.45">
      <c r="A4631" t="s">
        <v>191</v>
      </c>
      <c r="B4631" t="s">
        <v>192</v>
      </c>
      <c r="C4631" t="s">
        <v>85</v>
      </c>
      <c r="D4631" t="s">
        <v>188</v>
      </c>
      <c r="E4631" t="s">
        <v>21</v>
      </c>
      <c r="F4631" s="1">
        <v>44105</v>
      </c>
      <c r="G4631">
        <v>1.1599999999999999</v>
      </c>
      <c r="H4631">
        <v>81.309299999999993</v>
      </c>
      <c r="I4631">
        <v>11.36</v>
      </c>
      <c r="J4631">
        <v>82.25</v>
      </c>
      <c r="K4631" t="s">
        <v>31</v>
      </c>
      <c r="L4631">
        <v>678.34</v>
      </c>
      <c r="M4631">
        <f>VLOOKUP(K4631,RatingLookup!$A$2:$C$8,2,FALSE)</f>
        <v>0.04</v>
      </c>
      <c r="N4631">
        <f t="shared" si="216"/>
        <v>3.3960531989175591E-3</v>
      </c>
      <c r="O4631">
        <f>VLOOKUP(K4631,RatingLookup!$A$2:$C$8,3,FALSE)</f>
        <v>0.6</v>
      </c>
      <c r="P4631">
        <f t="shared" si="217"/>
        <v>1.3822072361722424</v>
      </c>
      <c r="Q4631" t="str">
        <f t="shared" ca="1" si="218"/>
        <v>No</v>
      </c>
    </row>
    <row r="4632" spans="1:17" x14ac:dyDescent="0.45">
      <c r="A4632" t="s">
        <v>191</v>
      </c>
      <c r="B4632" t="s">
        <v>192</v>
      </c>
      <c r="C4632" t="s">
        <v>85</v>
      </c>
      <c r="D4632" t="s">
        <v>188</v>
      </c>
      <c r="E4632" t="s">
        <v>21</v>
      </c>
      <c r="F4632" s="1">
        <v>44136</v>
      </c>
      <c r="G4632">
        <v>1.32</v>
      </c>
      <c r="H4632">
        <v>81.217500000000001</v>
      </c>
      <c r="I4632">
        <v>21.03</v>
      </c>
      <c r="J4632">
        <v>75.72</v>
      </c>
      <c r="K4632" t="s">
        <v>31</v>
      </c>
      <c r="L4632">
        <v>688.2</v>
      </c>
      <c r="M4632">
        <f>VLOOKUP(K4632,RatingLookup!$A$2:$C$8,2,FALSE)</f>
        <v>0.04</v>
      </c>
      <c r="N4632">
        <f t="shared" si="216"/>
        <v>3.3960531989175591E-3</v>
      </c>
      <c r="O4632">
        <f>VLOOKUP(K4632,RatingLookup!$A$2:$C$8,3,FALSE)</f>
        <v>0.6</v>
      </c>
      <c r="P4632">
        <f t="shared" si="217"/>
        <v>1.4022982868970386</v>
      </c>
      <c r="Q4632" t="str">
        <f t="shared" ca="1" si="218"/>
        <v>No</v>
      </c>
    </row>
    <row r="4633" spans="1:17" x14ac:dyDescent="0.45">
      <c r="A4633" t="s">
        <v>191</v>
      </c>
      <c r="B4633" t="s">
        <v>192</v>
      </c>
      <c r="C4633" t="s">
        <v>85</v>
      </c>
      <c r="D4633" t="s">
        <v>188</v>
      </c>
      <c r="E4633" t="s">
        <v>21</v>
      </c>
      <c r="F4633" s="1">
        <v>44166</v>
      </c>
      <c r="G4633">
        <v>1.1299999999999999</v>
      </c>
      <c r="H4633">
        <v>82.129800000000003</v>
      </c>
      <c r="I4633">
        <v>28.23</v>
      </c>
      <c r="J4633">
        <v>73.13</v>
      </c>
      <c r="K4633" t="s">
        <v>31</v>
      </c>
      <c r="L4633">
        <v>762.29</v>
      </c>
      <c r="M4633">
        <f>VLOOKUP(K4633,RatingLookup!$A$2:$C$8,2,FALSE)</f>
        <v>0.04</v>
      </c>
      <c r="N4633">
        <f t="shared" si="216"/>
        <v>3.3960531989175591E-3</v>
      </c>
      <c r="O4633">
        <f>VLOOKUP(K4633,RatingLookup!$A$2:$C$8,3,FALSE)</f>
        <v>0.6</v>
      </c>
      <c r="P4633">
        <f t="shared" si="217"/>
        <v>1.5532664358017196</v>
      </c>
      <c r="Q4633" t="str">
        <f t="shared" ca="1" si="218"/>
        <v>No</v>
      </c>
    </row>
    <row r="4634" spans="1:17" x14ac:dyDescent="0.45">
      <c r="A4634" t="s">
        <v>191</v>
      </c>
      <c r="B4634" t="s">
        <v>192</v>
      </c>
      <c r="C4634" t="s">
        <v>85</v>
      </c>
      <c r="D4634" t="s">
        <v>188</v>
      </c>
      <c r="E4634" t="s">
        <v>21</v>
      </c>
      <c r="F4634" s="1">
        <v>44197</v>
      </c>
      <c r="G4634">
        <v>0.89</v>
      </c>
      <c r="H4634">
        <v>82.7012</v>
      </c>
      <c r="I4634">
        <v>25.72</v>
      </c>
      <c r="J4634">
        <v>70.489999999999995</v>
      </c>
      <c r="K4634" t="s">
        <v>31</v>
      </c>
      <c r="L4634">
        <v>788.45</v>
      </c>
      <c r="M4634">
        <f>VLOOKUP(K4634,RatingLookup!$A$2:$C$8,2,FALSE)</f>
        <v>0.04</v>
      </c>
      <c r="N4634">
        <f t="shared" si="216"/>
        <v>3.3960531989175591E-3</v>
      </c>
      <c r="O4634">
        <f>VLOOKUP(K4634,RatingLookup!$A$2:$C$8,3,FALSE)</f>
        <v>0.6</v>
      </c>
      <c r="P4634">
        <f t="shared" si="217"/>
        <v>1.6065708868119297</v>
      </c>
      <c r="Q4634" t="str">
        <f t="shared" ca="1" si="218"/>
        <v>No</v>
      </c>
    </row>
    <row r="4635" spans="1:17" x14ac:dyDescent="0.45">
      <c r="A4635" t="s">
        <v>191</v>
      </c>
      <c r="B4635" t="s">
        <v>192</v>
      </c>
      <c r="C4635" t="s">
        <v>85</v>
      </c>
      <c r="D4635" t="s">
        <v>188</v>
      </c>
      <c r="E4635" t="s">
        <v>21</v>
      </c>
      <c r="F4635" s="1">
        <v>44228</v>
      </c>
      <c r="G4635">
        <v>1.47</v>
      </c>
      <c r="H4635">
        <v>79.353399999999993</v>
      </c>
      <c r="I4635">
        <v>24.28</v>
      </c>
      <c r="J4635">
        <v>92.15</v>
      </c>
      <c r="K4635" t="s">
        <v>31</v>
      </c>
      <c r="L4635">
        <v>672.73</v>
      </c>
      <c r="M4635">
        <f>VLOOKUP(K4635,RatingLookup!$A$2:$C$8,2,FALSE)</f>
        <v>0.04</v>
      </c>
      <c r="N4635">
        <f t="shared" si="216"/>
        <v>3.3960531989175591E-3</v>
      </c>
      <c r="O4635">
        <f>VLOOKUP(K4635,RatingLookup!$A$2:$C$8,3,FALSE)</f>
        <v>0.6</v>
      </c>
      <c r="P4635">
        <f t="shared" si="217"/>
        <v>1.3707761211046856</v>
      </c>
      <c r="Q4635" t="str">
        <f t="shared" ca="1" si="218"/>
        <v>No</v>
      </c>
    </row>
    <row r="4636" spans="1:17" x14ac:dyDescent="0.45">
      <c r="A4636" t="s">
        <v>191</v>
      </c>
      <c r="B4636" t="s">
        <v>192</v>
      </c>
      <c r="C4636" t="s">
        <v>85</v>
      </c>
      <c r="D4636" t="s">
        <v>188</v>
      </c>
      <c r="E4636" t="s">
        <v>21</v>
      </c>
      <c r="F4636" s="1">
        <v>44256</v>
      </c>
      <c r="G4636">
        <v>1.76</v>
      </c>
      <c r="H4636">
        <v>80.597899999999996</v>
      </c>
      <c r="I4636">
        <v>12.15</v>
      </c>
      <c r="J4636">
        <v>67.58</v>
      </c>
      <c r="K4636" t="s">
        <v>31</v>
      </c>
      <c r="L4636">
        <v>723.22</v>
      </c>
      <c r="M4636">
        <f>VLOOKUP(K4636,RatingLookup!$A$2:$C$8,2,FALSE)</f>
        <v>0.04</v>
      </c>
      <c r="N4636">
        <f t="shared" si="216"/>
        <v>3.3960531989175591E-3</v>
      </c>
      <c r="O4636">
        <f>VLOOKUP(K4636,RatingLookup!$A$2:$C$8,3,FALSE)</f>
        <v>0.6</v>
      </c>
      <c r="P4636">
        <f t="shared" si="217"/>
        <v>1.4736561567126942</v>
      </c>
      <c r="Q4636" t="str">
        <f t="shared" ca="1" si="218"/>
        <v>No</v>
      </c>
    </row>
    <row r="4637" spans="1:17" x14ac:dyDescent="0.45">
      <c r="A4637" t="s">
        <v>191</v>
      </c>
      <c r="B4637" t="s">
        <v>192</v>
      </c>
      <c r="C4637" t="s">
        <v>85</v>
      </c>
      <c r="D4637" t="s">
        <v>188</v>
      </c>
      <c r="E4637" t="s">
        <v>21</v>
      </c>
      <c r="F4637" s="1">
        <v>44287</v>
      </c>
      <c r="G4637">
        <v>2.2799999999999998</v>
      </c>
      <c r="H4637">
        <v>82.1477</v>
      </c>
      <c r="I4637">
        <v>20.82</v>
      </c>
      <c r="J4637">
        <v>70.959999999999994</v>
      </c>
      <c r="K4637" t="s">
        <v>31</v>
      </c>
      <c r="L4637">
        <v>710.79</v>
      </c>
      <c r="M4637">
        <f>VLOOKUP(K4637,RatingLookup!$A$2:$C$8,2,FALSE)</f>
        <v>0.04</v>
      </c>
      <c r="N4637">
        <f t="shared" si="216"/>
        <v>3.3960531989175591E-3</v>
      </c>
      <c r="O4637">
        <f>VLOOKUP(K4637,RatingLookup!$A$2:$C$8,3,FALSE)</f>
        <v>0.6</v>
      </c>
      <c r="P4637">
        <f t="shared" si="217"/>
        <v>1.448328391955167</v>
      </c>
      <c r="Q4637" t="str">
        <f t="shared" ca="1" si="218"/>
        <v>No</v>
      </c>
    </row>
    <row r="4638" spans="1:17" x14ac:dyDescent="0.45">
      <c r="A4638" t="s">
        <v>191</v>
      </c>
      <c r="B4638" t="s">
        <v>192</v>
      </c>
      <c r="C4638" t="s">
        <v>85</v>
      </c>
      <c r="D4638" t="s">
        <v>188</v>
      </c>
      <c r="E4638" t="s">
        <v>21</v>
      </c>
      <c r="F4638" s="1">
        <v>44317</v>
      </c>
      <c r="G4638">
        <v>0.98</v>
      </c>
      <c r="H4638">
        <v>77.793599999999998</v>
      </c>
      <c r="I4638">
        <v>15.25</v>
      </c>
      <c r="J4638">
        <v>87.89</v>
      </c>
      <c r="K4638" t="s">
        <v>31</v>
      </c>
      <c r="L4638">
        <v>631.09</v>
      </c>
      <c r="M4638">
        <f>VLOOKUP(K4638,RatingLookup!$A$2:$C$8,2,FALSE)</f>
        <v>0.04</v>
      </c>
      <c r="N4638">
        <f t="shared" si="216"/>
        <v>3.3960531989175591E-3</v>
      </c>
      <c r="O4638">
        <f>VLOOKUP(K4638,RatingLookup!$A$2:$C$8,3,FALSE)</f>
        <v>0.6</v>
      </c>
      <c r="P4638">
        <f t="shared" si="217"/>
        <v>1.2859291279829292</v>
      </c>
      <c r="Q4638" t="str">
        <f t="shared" ca="1" si="218"/>
        <v>No</v>
      </c>
    </row>
    <row r="4639" spans="1:17" x14ac:dyDescent="0.45">
      <c r="A4639" t="s">
        <v>191</v>
      </c>
      <c r="B4639" t="s">
        <v>192</v>
      </c>
      <c r="C4639" t="s">
        <v>85</v>
      </c>
      <c r="D4639" t="s">
        <v>188</v>
      </c>
      <c r="E4639" t="s">
        <v>21</v>
      </c>
      <c r="F4639" s="1">
        <v>44348</v>
      </c>
      <c r="G4639">
        <v>2.16</v>
      </c>
      <c r="H4639">
        <v>82.873599999999996</v>
      </c>
      <c r="I4639">
        <v>10.72</v>
      </c>
      <c r="J4639">
        <v>80.33</v>
      </c>
      <c r="K4639" t="s">
        <v>31</v>
      </c>
      <c r="L4639">
        <v>764.41</v>
      </c>
      <c r="M4639">
        <f>VLOOKUP(K4639,RatingLookup!$A$2:$C$8,2,FALSE)</f>
        <v>0.04</v>
      </c>
      <c r="N4639">
        <f t="shared" si="216"/>
        <v>3.3960531989175591E-3</v>
      </c>
      <c r="O4639">
        <f>VLOOKUP(K4639,RatingLookup!$A$2:$C$8,3,FALSE)</f>
        <v>0.6</v>
      </c>
      <c r="P4639">
        <f t="shared" si="217"/>
        <v>1.5575862154707427</v>
      </c>
      <c r="Q4639" t="str">
        <f t="shared" ca="1" si="218"/>
        <v>No</v>
      </c>
    </row>
    <row r="4640" spans="1:17" x14ac:dyDescent="0.45">
      <c r="A4640" t="s">
        <v>191</v>
      </c>
      <c r="B4640" t="s">
        <v>192</v>
      </c>
      <c r="C4640" t="s">
        <v>85</v>
      </c>
      <c r="D4640" t="s">
        <v>188</v>
      </c>
      <c r="E4640" t="s">
        <v>21</v>
      </c>
      <c r="F4640" s="1">
        <v>44378</v>
      </c>
      <c r="G4640">
        <v>1.34</v>
      </c>
      <c r="H4640">
        <v>81.300200000000004</v>
      </c>
      <c r="I4640">
        <v>20.27</v>
      </c>
      <c r="J4640">
        <v>76.89</v>
      </c>
      <c r="K4640" t="s">
        <v>31</v>
      </c>
      <c r="L4640">
        <v>707.73</v>
      </c>
      <c r="M4640">
        <f>VLOOKUP(K4640,RatingLookup!$A$2:$C$8,2,FALSE)</f>
        <v>0.04</v>
      </c>
      <c r="N4640">
        <f t="shared" si="216"/>
        <v>3.3960531989175591E-3</v>
      </c>
      <c r="O4640">
        <f>VLOOKUP(K4640,RatingLookup!$A$2:$C$8,3,FALSE)</f>
        <v>0.6</v>
      </c>
      <c r="P4640">
        <f t="shared" si="217"/>
        <v>1.4420932382819542</v>
      </c>
      <c r="Q4640" t="str">
        <f t="shared" ca="1" si="218"/>
        <v>No</v>
      </c>
    </row>
    <row r="4641" spans="1:17" x14ac:dyDescent="0.45">
      <c r="A4641" t="s">
        <v>191</v>
      </c>
      <c r="B4641" t="s">
        <v>192</v>
      </c>
      <c r="C4641" t="s">
        <v>85</v>
      </c>
      <c r="D4641" t="s">
        <v>188</v>
      </c>
      <c r="E4641" t="s">
        <v>21</v>
      </c>
      <c r="F4641" s="1">
        <v>44409</v>
      </c>
      <c r="G4641">
        <v>1.58</v>
      </c>
      <c r="H4641">
        <v>77.992500000000007</v>
      </c>
      <c r="I4641">
        <v>13.06</v>
      </c>
      <c r="J4641">
        <v>82.74</v>
      </c>
      <c r="K4641" t="s">
        <v>31</v>
      </c>
      <c r="L4641">
        <v>812.21</v>
      </c>
      <c r="M4641">
        <f>VLOOKUP(K4641,RatingLookup!$A$2:$C$8,2,FALSE)</f>
        <v>0.04</v>
      </c>
      <c r="N4641">
        <f t="shared" si="216"/>
        <v>3.3960531989175591E-3</v>
      </c>
      <c r="O4641">
        <f>VLOOKUP(K4641,RatingLookup!$A$2:$C$8,3,FALSE)</f>
        <v>0.6</v>
      </c>
      <c r="P4641">
        <f t="shared" si="217"/>
        <v>1.6549850212156985</v>
      </c>
      <c r="Q4641" t="str">
        <f t="shared" ca="1" si="218"/>
        <v>No</v>
      </c>
    </row>
    <row r="4642" spans="1:17" x14ac:dyDescent="0.45">
      <c r="A4642" t="s">
        <v>191</v>
      </c>
      <c r="B4642" t="s">
        <v>192</v>
      </c>
      <c r="C4642" t="s">
        <v>85</v>
      </c>
      <c r="D4642" t="s">
        <v>188</v>
      </c>
      <c r="E4642" t="s">
        <v>21</v>
      </c>
      <c r="F4642" s="1">
        <v>44440</v>
      </c>
      <c r="G4642">
        <v>2.87</v>
      </c>
      <c r="H4642">
        <v>85.566800000000001</v>
      </c>
      <c r="I4642">
        <v>25.61</v>
      </c>
      <c r="J4642">
        <v>78.099999999999994</v>
      </c>
      <c r="K4642" t="s">
        <v>31</v>
      </c>
      <c r="L4642">
        <v>711.68</v>
      </c>
      <c r="M4642">
        <f>VLOOKUP(K4642,RatingLookup!$A$2:$C$8,2,FALSE)</f>
        <v>0.04</v>
      </c>
      <c r="N4642">
        <f t="shared" si="216"/>
        <v>3.3960531989175591E-3</v>
      </c>
      <c r="O4642">
        <f>VLOOKUP(K4642,RatingLookup!$A$2:$C$8,3,FALSE)</f>
        <v>0.6</v>
      </c>
      <c r="P4642">
        <f t="shared" si="217"/>
        <v>1.4501418843633891</v>
      </c>
      <c r="Q4642" t="str">
        <f t="shared" ca="1" si="218"/>
        <v>No</v>
      </c>
    </row>
    <row r="4643" spans="1:17" x14ac:dyDescent="0.45">
      <c r="A4643" t="s">
        <v>191</v>
      </c>
      <c r="B4643" t="s">
        <v>192</v>
      </c>
      <c r="C4643" t="s">
        <v>85</v>
      </c>
      <c r="D4643" t="s">
        <v>188</v>
      </c>
      <c r="E4643" t="s">
        <v>21</v>
      </c>
      <c r="F4643" s="1">
        <v>44470</v>
      </c>
      <c r="G4643">
        <v>1.41</v>
      </c>
      <c r="H4643">
        <v>82.827799999999996</v>
      </c>
      <c r="I4643">
        <v>23.07</v>
      </c>
      <c r="J4643">
        <v>91.02</v>
      </c>
      <c r="K4643" t="s">
        <v>31</v>
      </c>
      <c r="L4643">
        <v>747.39</v>
      </c>
      <c r="M4643">
        <f>VLOOKUP(K4643,RatingLookup!$A$2:$C$8,2,FALSE)</f>
        <v>0.04</v>
      </c>
      <c r="N4643">
        <f t="shared" si="216"/>
        <v>3.3960531989175591E-3</v>
      </c>
      <c r="O4643">
        <f>VLOOKUP(K4643,RatingLookup!$A$2:$C$8,3,FALSE)</f>
        <v>0.6</v>
      </c>
      <c r="P4643">
        <f t="shared" si="217"/>
        <v>1.5229057202033964</v>
      </c>
      <c r="Q4643" t="str">
        <f t="shared" ca="1" si="218"/>
        <v>No</v>
      </c>
    </row>
    <row r="4644" spans="1:17" x14ac:dyDescent="0.45">
      <c r="A4644" t="s">
        <v>191</v>
      </c>
      <c r="B4644" t="s">
        <v>192</v>
      </c>
      <c r="C4644" t="s">
        <v>85</v>
      </c>
      <c r="D4644" t="s">
        <v>188</v>
      </c>
      <c r="E4644" t="s">
        <v>21</v>
      </c>
      <c r="F4644" s="1">
        <v>44501</v>
      </c>
      <c r="G4644">
        <v>1.1100000000000001</v>
      </c>
      <c r="H4644">
        <v>78.129000000000005</v>
      </c>
      <c r="I4644">
        <v>20.75</v>
      </c>
      <c r="J4644">
        <v>78.33</v>
      </c>
      <c r="K4644" t="s">
        <v>31</v>
      </c>
      <c r="L4644">
        <v>759.61</v>
      </c>
      <c r="M4644">
        <f>VLOOKUP(K4644,RatingLookup!$A$2:$C$8,2,FALSE)</f>
        <v>0.04</v>
      </c>
      <c r="N4644">
        <f t="shared" si="216"/>
        <v>3.3960531989175591E-3</v>
      </c>
      <c r="O4644">
        <f>VLOOKUP(K4644,RatingLookup!$A$2:$C$8,3,FALSE)</f>
        <v>0.6</v>
      </c>
      <c r="P4644">
        <f t="shared" si="217"/>
        <v>1.5478055822578602</v>
      </c>
      <c r="Q4644" t="str">
        <f t="shared" ca="1" si="218"/>
        <v>No</v>
      </c>
    </row>
    <row r="4645" spans="1:17" x14ac:dyDescent="0.45">
      <c r="A4645" t="s">
        <v>191</v>
      </c>
      <c r="B4645" t="s">
        <v>192</v>
      </c>
      <c r="C4645" t="s">
        <v>85</v>
      </c>
      <c r="D4645" t="s">
        <v>188</v>
      </c>
      <c r="E4645" t="s">
        <v>21</v>
      </c>
      <c r="F4645" s="1">
        <v>44531</v>
      </c>
      <c r="G4645">
        <v>1.77</v>
      </c>
      <c r="H4645">
        <v>83.323599999999999</v>
      </c>
      <c r="I4645">
        <v>19.97</v>
      </c>
      <c r="J4645">
        <v>95.53</v>
      </c>
      <c r="K4645" t="s">
        <v>31</v>
      </c>
      <c r="L4645">
        <v>708.55</v>
      </c>
      <c r="M4645">
        <f>VLOOKUP(K4645,RatingLookup!$A$2:$C$8,2,FALSE)</f>
        <v>0.04</v>
      </c>
      <c r="N4645">
        <f t="shared" si="216"/>
        <v>3.3960531989175591E-3</v>
      </c>
      <c r="O4645">
        <f>VLOOKUP(K4645,RatingLookup!$A$2:$C$8,3,FALSE)</f>
        <v>0.6</v>
      </c>
      <c r="P4645">
        <f t="shared" si="217"/>
        <v>1.4437640964558218</v>
      </c>
      <c r="Q4645" t="str">
        <f t="shared" ca="1" si="218"/>
        <v>No</v>
      </c>
    </row>
    <row r="4646" spans="1:17" x14ac:dyDescent="0.45">
      <c r="A4646" t="s">
        <v>191</v>
      </c>
      <c r="B4646" t="s">
        <v>192</v>
      </c>
      <c r="C4646" t="s">
        <v>85</v>
      </c>
      <c r="D4646" t="s">
        <v>188</v>
      </c>
      <c r="E4646" t="s">
        <v>21</v>
      </c>
      <c r="F4646" s="1">
        <v>44562</v>
      </c>
      <c r="G4646">
        <v>1.41</v>
      </c>
      <c r="H4646">
        <v>81.653499999999994</v>
      </c>
      <c r="I4646">
        <v>10.48</v>
      </c>
      <c r="J4646">
        <v>73.8</v>
      </c>
      <c r="K4646" t="s">
        <v>48</v>
      </c>
      <c r="L4646">
        <v>725.63</v>
      </c>
      <c r="M4646">
        <f>VLOOKUP(K4646,RatingLookup!$A$2:$C$8,2,FALSE)</f>
        <v>5.0000000000000001E-4</v>
      </c>
      <c r="N4646">
        <f t="shared" si="216"/>
        <v>4.167621832917856E-5</v>
      </c>
      <c r="O4646">
        <f>VLOOKUP(K4646,RatingLookup!$A$2:$C$8,3,FALSE)</f>
        <v>0.25</v>
      </c>
      <c r="P4646">
        <f t="shared" si="217"/>
        <v>7.5603785765504597E-3</v>
      </c>
      <c r="Q4646" t="str">
        <f t="shared" ca="1" si="218"/>
        <v>No</v>
      </c>
    </row>
    <row r="4647" spans="1:17" x14ac:dyDescent="0.45">
      <c r="A4647" t="s">
        <v>191</v>
      </c>
      <c r="B4647" t="s">
        <v>192</v>
      </c>
      <c r="C4647" t="s">
        <v>85</v>
      </c>
      <c r="D4647" t="s">
        <v>188</v>
      </c>
      <c r="E4647" t="s">
        <v>21</v>
      </c>
      <c r="F4647" s="1">
        <v>44593</v>
      </c>
      <c r="G4647">
        <v>2.3199999999999998</v>
      </c>
      <c r="H4647">
        <v>77.789199999999994</v>
      </c>
      <c r="I4647">
        <v>29.32</v>
      </c>
      <c r="J4647">
        <v>79.11</v>
      </c>
      <c r="K4647" t="s">
        <v>48</v>
      </c>
      <c r="L4647">
        <v>696.44</v>
      </c>
      <c r="M4647">
        <f>VLOOKUP(K4647,RatingLookup!$A$2:$C$8,2,FALSE)</f>
        <v>5.0000000000000001E-4</v>
      </c>
      <c r="N4647">
        <f t="shared" si="216"/>
        <v>4.167621832917856E-5</v>
      </c>
      <c r="O4647">
        <f>VLOOKUP(K4647,RatingLookup!$A$2:$C$8,3,FALSE)</f>
        <v>0.25</v>
      </c>
      <c r="P4647">
        <f t="shared" si="217"/>
        <v>7.25624637329328E-3</v>
      </c>
      <c r="Q4647" t="str">
        <f t="shared" ca="1" si="218"/>
        <v>No</v>
      </c>
    </row>
    <row r="4648" spans="1:17" x14ac:dyDescent="0.45">
      <c r="A4648" t="s">
        <v>191</v>
      </c>
      <c r="B4648" t="s">
        <v>192</v>
      </c>
      <c r="C4648" t="s">
        <v>85</v>
      </c>
      <c r="D4648" t="s">
        <v>188</v>
      </c>
      <c r="E4648" t="s">
        <v>21</v>
      </c>
      <c r="F4648" s="1">
        <v>44621</v>
      </c>
      <c r="G4648">
        <v>1.26</v>
      </c>
      <c r="H4648">
        <v>78.036900000000003</v>
      </c>
      <c r="I4648">
        <v>16.79</v>
      </c>
      <c r="J4648">
        <v>89.85</v>
      </c>
      <c r="K4648" t="s">
        <v>48</v>
      </c>
      <c r="L4648">
        <v>702.13</v>
      </c>
      <c r="M4648">
        <f>VLOOKUP(K4648,RatingLookup!$A$2:$C$8,2,FALSE)</f>
        <v>5.0000000000000001E-4</v>
      </c>
      <c r="N4648">
        <f t="shared" si="216"/>
        <v>4.167621832917856E-5</v>
      </c>
      <c r="O4648">
        <f>VLOOKUP(K4648,RatingLookup!$A$2:$C$8,3,FALSE)</f>
        <v>0.25</v>
      </c>
      <c r="P4648">
        <f t="shared" si="217"/>
        <v>7.3155307938665357E-3</v>
      </c>
      <c r="Q4648" t="str">
        <f t="shared" ca="1" si="218"/>
        <v>No</v>
      </c>
    </row>
    <row r="4649" spans="1:17" x14ac:dyDescent="0.45">
      <c r="A4649" t="s">
        <v>191</v>
      </c>
      <c r="B4649" t="s">
        <v>192</v>
      </c>
      <c r="C4649" t="s">
        <v>85</v>
      </c>
      <c r="D4649" t="s">
        <v>188</v>
      </c>
      <c r="E4649" t="s">
        <v>21</v>
      </c>
      <c r="F4649" s="1">
        <v>44652</v>
      </c>
      <c r="G4649">
        <v>2.21</v>
      </c>
      <c r="H4649">
        <v>82.227599999999995</v>
      </c>
      <c r="I4649">
        <v>12.32</v>
      </c>
      <c r="J4649">
        <v>94.98</v>
      </c>
      <c r="K4649" t="s">
        <v>48</v>
      </c>
      <c r="L4649">
        <v>722.15</v>
      </c>
      <c r="M4649">
        <f>VLOOKUP(K4649,RatingLookup!$A$2:$C$8,2,FALSE)</f>
        <v>5.0000000000000001E-4</v>
      </c>
      <c r="N4649">
        <f t="shared" si="216"/>
        <v>4.167621832917856E-5</v>
      </c>
      <c r="O4649">
        <f>VLOOKUP(K4649,RatingLookup!$A$2:$C$8,3,FALSE)</f>
        <v>0.25</v>
      </c>
      <c r="P4649">
        <f t="shared" si="217"/>
        <v>7.5241202666040743E-3</v>
      </c>
      <c r="Q4649" t="str">
        <f t="shared" ca="1" si="218"/>
        <v>No</v>
      </c>
    </row>
    <row r="4650" spans="1:17" x14ac:dyDescent="0.45">
      <c r="A4650" t="s">
        <v>191</v>
      </c>
      <c r="B4650" t="s">
        <v>192</v>
      </c>
      <c r="C4650" t="s">
        <v>85</v>
      </c>
      <c r="D4650" t="s">
        <v>188</v>
      </c>
      <c r="E4650" t="s">
        <v>21</v>
      </c>
      <c r="F4650" s="1">
        <v>44682</v>
      </c>
      <c r="G4650">
        <v>1.9</v>
      </c>
      <c r="H4650">
        <v>86.521100000000004</v>
      </c>
      <c r="I4650">
        <v>14.28</v>
      </c>
      <c r="J4650">
        <v>83.85</v>
      </c>
      <c r="K4650" t="s">
        <v>48</v>
      </c>
      <c r="L4650">
        <v>805.43</v>
      </c>
      <c r="M4650">
        <f>VLOOKUP(K4650,RatingLookup!$A$2:$C$8,2,FALSE)</f>
        <v>5.0000000000000001E-4</v>
      </c>
      <c r="N4650">
        <f t="shared" si="216"/>
        <v>4.167621832917856E-5</v>
      </c>
      <c r="O4650">
        <f>VLOOKUP(K4650,RatingLookup!$A$2:$C$8,3,FALSE)</f>
        <v>0.25</v>
      </c>
      <c r="P4650">
        <f t="shared" si="217"/>
        <v>8.391819132217572E-3</v>
      </c>
      <c r="Q4650" t="str">
        <f t="shared" ca="1" si="218"/>
        <v>No</v>
      </c>
    </row>
    <row r="4651" spans="1:17" x14ac:dyDescent="0.45">
      <c r="A4651" t="s">
        <v>191</v>
      </c>
      <c r="B4651" t="s">
        <v>192</v>
      </c>
      <c r="C4651" t="s">
        <v>85</v>
      </c>
      <c r="D4651" t="s">
        <v>188</v>
      </c>
      <c r="E4651" t="s">
        <v>21</v>
      </c>
      <c r="F4651" s="1">
        <v>44713</v>
      </c>
      <c r="G4651">
        <v>0.81</v>
      </c>
      <c r="H4651">
        <v>81.596900000000005</v>
      </c>
      <c r="I4651">
        <v>13.65</v>
      </c>
      <c r="J4651">
        <v>82.16</v>
      </c>
      <c r="K4651" t="s">
        <v>48</v>
      </c>
      <c r="L4651">
        <v>743.17</v>
      </c>
      <c r="M4651">
        <f>VLOOKUP(K4651,RatingLookup!$A$2:$C$8,2,FALSE)</f>
        <v>5.0000000000000001E-4</v>
      </c>
      <c r="N4651">
        <f t="shared" si="216"/>
        <v>4.167621832917856E-5</v>
      </c>
      <c r="O4651">
        <f>VLOOKUP(K4651,RatingLookup!$A$2:$C$8,3,FALSE)</f>
        <v>0.25</v>
      </c>
      <c r="P4651">
        <f t="shared" si="217"/>
        <v>7.7431287939239077E-3</v>
      </c>
      <c r="Q4651" t="str">
        <f t="shared" ca="1" si="218"/>
        <v>No</v>
      </c>
    </row>
    <row r="4652" spans="1:17" x14ac:dyDescent="0.45">
      <c r="A4652" t="s">
        <v>191</v>
      </c>
      <c r="B4652" t="s">
        <v>192</v>
      </c>
      <c r="C4652" t="s">
        <v>85</v>
      </c>
      <c r="D4652" t="s">
        <v>188</v>
      </c>
      <c r="E4652" t="s">
        <v>21</v>
      </c>
      <c r="F4652" s="1">
        <v>44743</v>
      </c>
      <c r="G4652">
        <v>0.94</v>
      </c>
      <c r="H4652">
        <v>86.149900000000002</v>
      </c>
      <c r="I4652">
        <v>18.91</v>
      </c>
      <c r="J4652">
        <v>62.33</v>
      </c>
      <c r="K4652" t="s">
        <v>48</v>
      </c>
      <c r="L4652">
        <v>727.77</v>
      </c>
      <c r="M4652">
        <f>VLOOKUP(K4652,RatingLookup!$A$2:$C$8,2,FALSE)</f>
        <v>5.0000000000000001E-4</v>
      </c>
      <c r="N4652">
        <f t="shared" si="216"/>
        <v>4.167621832917856E-5</v>
      </c>
      <c r="O4652">
        <f>VLOOKUP(K4652,RatingLookup!$A$2:$C$8,3,FALSE)</f>
        <v>0.25</v>
      </c>
      <c r="P4652">
        <f t="shared" si="217"/>
        <v>7.5826753533565702E-3</v>
      </c>
      <c r="Q4652" t="str">
        <f t="shared" ca="1" si="218"/>
        <v>No</v>
      </c>
    </row>
    <row r="4653" spans="1:17" x14ac:dyDescent="0.45">
      <c r="A4653" t="s">
        <v>191</v>
      </c>
      <c r="B4653" t="s">
        <v>192</v>
      </c>
      <c r="C4653" t="s">
        <v>85</v>
      </c>
      <c r="D4653" t="s">
        <v>188</v>
      </c>
      <c r="E4653" t="s">
        <v>21</v>
      </c>
      <c r="F4653" s="1">
        <v>44774</v>
      </c>
      <c r="G4653">
        <v>0.61</v>
      </c>
      <c r="H4653">
        <v>84.168000000000006</v>
      </c>
      <c r="I4653">
        <v>23.69</v>
      </c>
      <c r="J4653">
        <v>71.86</v>
      </c>
      <c r="K4653" t="s">
        <v>48</v>
      </c>
      <c r="L4653">
        <v>740.9</v>
      </c>
      <c r="M4653">
        <f>VLOOKUP(K4653,RatingLookup!$A$2:$C$8,2,FALSE)</f>
        <v>5.0000000000000001E-4</v>
      </c>
      <c r="N4653">
        <f t="shared" si="216"/>
        <v>4.167621832917856E-5</v>
      </c>
      <c r="O4653">
        <f>VLOOKUP(K4653,RatingLookup!$A$2:$C$8,3,FALSE)</f>
        <v>0.25</v>
      </c>
      <c r="P4653">
        <f t="shared" si="217"/>
        <v>7.7194775400220988E-3</v>
      </c>
      <c r="Q4653" t="str">
        <f t="shared" ca="1" si="218"/>
        <v>No</v>
      </c>
    </row>
    <row r="4654" spans="1:17" x14ac:dyDescent="0.45">
      <c r="A4654" t="s">
        <v>191</v>
      </c>
      <c r="B4654" t="s">
        <v>192</v>
      </c>
      <c r="C4654" t="s">
        <v>85</v>
      </c>
      <c r="D4654" t="s">
        <v>188</v>
      </c>
      <c r="E4654" t="s">
        <v>21</v>
      </c>
      <c r="F4654" s="1">
        <v>44805</v>
      </c>
      <c r="G4654">
        <v>1.42</v>
      </c>
      <c r="H4654">
        <v>84.245199999999997</v>
      </c>
      <c r="I4654">
        <v>15.28</v>
      </c>
      <c r="J4654">
        <v>56.71</v>
      </c>
      <c r="K4654" t="s">
        <v>48</v>
      </c>
      <c r="L4654">
        <v>790.3</v>
      </c>
      <c r="M4654">
        <f>VLOOKUP(K4654,RatingLookup!$A$2:$C$8,2,FALSE)</f>
        <v>5.0000000000000001E-4</v>
      </c>
      <c r="N4654">
        <f t="shared" si="216"/>
        <v>4.167621832917856E-5</v>
      </c>
      <c r="O4654">
        <f>VLOOKUP(K4654,RatingLookup!$A$2:$C$8,3,FALSE)</f>
        <v>0.25</v>
      </c>
      <c r="P4654">
        <f t="shared" si="217"/>
        <v>8.2341788363874541E-3</v>
      </c>
      <c r="Q4654" t="str">
        <f t="shared" ca="1" si="218"/>
        <v>No</v>
      </c>
    </row>
    <row r="4655" spans="1:17" x14ac:dyDescent="0.45">
      <c r="A4655" t="s">
        <v>191</v>
      </c>
      <c r="B4655" t="s">
        <v>192</v>
      </c>
      <c r="C4655" t="s">
        <v>85</v>
      </c>
      <c r="D4655" t="s">
        <v>188</v>
      </c>
      <c r="E4655" t="s">
        <v>21</v>
      </c>
      <c r="F4655" s="1">
        <v>44835</v>
      </c>
      <c r="G4655">
        <v>1.84</v>
      </c>
      <c r="H4655">
        <v>82.613600000000005</v>
      </c>
      <c r="I4655">
        <v>8.4</v>
      </c>
      <c r="J4655">
        <v>77.89</v>
      </c>
      <c r="K4655" t="s">
        <v>48</v>
      </c>
      <c r="L4655">
        <v>801.33</v>
      </c>
      <c r="M4655">
        <f>VLOOKUP(K4655,RatingLookup!$A$2:$C$8,2,FALSE)</f>
        <v>5.0000000000000001E-4</v>
      </c>
      <c r="N4655">
        <f t="shared" si="216"/>
        <v>4.167621832917856E-5</v>
      </c>
      <c r="O4655">
        <f>VLOOKUP(K4655,RatingLookup!$A$2:$C$8,3,FALSE)</f>
        <v>0.25</v>
      </c>
      <c r="P4655">
        <f t="shared" si="217"/>
        <v>8.349101008430164E-3</v>
      </c>
      <c r="Q4655" t="str">
        <f t="shared" ca="1" si="218"/>
        <v>No</v>
      </c>
    </row>
    <row r="4656" spans="1:17" x14ac:dyDescent="0.45">
      <c r="A4656" t="s">
        <v>191</v>
      </c>
      <c r="B4656" t="s">
        <v>192</v>
      </c>
      <c r="C4656" t="s">
        <v>85</v>
      </c>
      <c r="D4656" t="s">
        <v>188</v>
      </c>
      <c r="E4656" t="s">
        <v>21</v>
      </c>
      <c r="F4656" s="1">
        <v>44866</v>
      </c>
      <c r="G4656">
        <v>1.93</v>
      </c>
      <c r="H4656">
        <v>85.573800000000006</v>
      </c>
      <c r="I4656">
        <v>10.050000000000001</v>
      </c>
      <c r="J4656">
        <v>92.59</v>
      </c>
      <c r="K4656" t="s">
        <v>48</v>
      </c>
      <c r="L4656">
        <v>727.5</v>
      </c>
      <c r="M4656">
        <f>VLOOKUP(K4656,RatingLookup!$A$2:$C$8,2,FALSE)</f>
        <v>5.0000000000000001E-4</v>
      </c>
      <c r="N4656">
        <f t="shared" si="216"/>
        <v>4.167621832917856E-5</v>
      </c>
      <c r="O4656">
        <f>VLOOKUP(K4656,RatingLookup!$A$2:$C$8,3,FALSE)</f>
        <v>0.25</v>
      </c>
      <c r="P4656">
        <f t="shared" si="217"/>
        <v>7.5798622086193507E-3</v>
      </c>
      <c r="Q4656" t="str">
        <f t="shared" ca="1" si="218"/>
        <v>No</v>
      </c>
    </row>
    <row r="4657" spans="1:17" x14ac:dyDescent="0.45">
      <c r="A4657" t="s">
        <v>191</v>
      </c>
      <c r="B4657" t="s">
        <v>192</v>
      </c>
      <c r="C4657" t="s">
        <v>85</v>
      </c>
      <c r="D4657" t="s">
        <v>188</v>
      </c>
      <c r="E4657" t="s">
        <v>21</v>
      </c>
      <c r="F4657" s="1">
        <v>44896</v>
      </c>
      <c r="G4657">
        <v>1.66</v>
      </c>
      <c r="H4657">
        <v>78.479600000000005</v>
      </c>
      <c r="I4657">
        <v>20.3</v>
      </c>
      <c r="J4657">
        <v>93.85</v>
      </c>
      <c r="K4657" t="s">
        <v>48</v>
      </c>
      <c r="L4657">
        <v>759.78</v>
      </c>
      <c r="M4657">
        <f>VLOOKUP(K4657,RatingLookup!$A$2:$C$8,2,FALSE)</f>
        <v>5.0000000000000001E-4</v>
      </c>
      <c r="N4657">
        <f t="shared" si="216"/>
        <v>4.167621832917856E-5</v>
      </c>
      <c r="O4657">
        <f>VLOOKUP(K4657,RatingLookup!$A$2:$C$8,3,FALSE)</f>
        <v>0.25</v>
      </c>
      <c r="P4657">
        <f t="shared" si="217"/>
        <v>7.9161892905358217E-3</v>
      </c>
      <c r="Q4657" t="str">
        <f t="shared" ca="1" si="218"/>
        <v>No</v>
      </c>
    </row>
    <row r="4658" spans="1:17" x14ac:dyDescent="0.45">
      <c r="A4658" t="s">
        <v>191</v>
      </c>
      <c r="B4658" t="s">
        <v>192</v>
      </c>
      <c r="C4658" t="s">
        <v>85</v>
      </c>
      <c r="D4658" t="s">
        <v>188</v>
      </c>
      <c r="E4658" t="s">
        <v>21</v>
      </c>
      <c r="F4658" s="1">
        <v>44927</v>
      </c>
      <c r="G4658">
        <v>1.63</v>
      </c>
      <c r="H4658">
        <v>82.355800000000002</v>
      </c>
      <c r="I4658">
        <v>22.79</v>
      </c>
      <c r="J4658">
        <v>98.76</v>
      </c>
      <c r="K4658" t="s">
        <v>48</v>
      </c>
      <c r="L4658">
        <v>757.39</v>
      </c>
      <c r="M4658">
        <f>VLOOKUP(K4658,RatingLookup!$A$2:$C$8,2,FALSE)</f>
        <v>5.0000000000000001E-4</v>
      </c>
      <c r="N4658">
        <f t="shared" si="216"/>
        <v>4.167621832917856E-5</v>
      </c>
      <c r="O4658">
        <f>VLOOKUP(K4658,RatingLookup!$A$2:$C$8,3,FALSE)</f>
        <v>0.25</v>
      </c>
      <c r="P4658">
        <f t="shared" si="217"/>
        <v>7.8912877500841375E-3</v>
      </c>
      <c r="Q4658" t="str">
        <f t="shared" ca="1" si="218"/>
        <v>No</v>
      </c>
    </row>
    <row r="4659" spans="1:17" x14ac:dyDescent="0.45">
      <c r="A4659" t="s">
        <v>191</v>
      </c>
      <c r="B4659" t="s">
        <v>192</v>
      </c>
      <c r="C4659" t="s">
        <v>85</v>
      </c>
      <c r="D4659" t="s">
        <v>188</v>
      </c>
      <c r="E4659" t="s">
        <v>21</v>
      </c>
      <c r="F4659" s="1">
        <v>44958</v>
      </c>
      <c r="G4659">
        <v>1.42</v>
      </c>
      <c r="H4659">
        <v>87.5167</v>
      </c>
      <c r="I4659">
        <v>17.600000000000001</v>
      </c>
      <c r="J4659">
        <v>81.25</v>
      </c>
      <c r="K4659" t="s">
        <v>48</v>
      </c>
      <c r="L4659">
        <v>766.91</v>
      </c>
      <c r="M4659">
        <f>VLOOKUP(K4659,RatingLookup!$A$2:$C$8,2,FALSE)</f>
        <v>5.0000000000000001E-4</v>
      </c>
      <c r="N4659">
        <f t="shared" si="216"/>
        <v>4.167621832917856E-5</v>
      </c>
      <c r="O4659">
        <f>VLOOKUP(K4659,RatingLookup!$A$2:$C$8,3,FALSE)</f>
        <v>0.25</v>
      </c>
      <c r="P4659">
        <f t="shared" si="217"/>
        <v>7.9904771497075824E-3</v>
      </c>
      <c r="Q4659" t="str">
        <f t="shared" ca="1" si="218"/>
        <v>No</v>
      </c>
    </row>
    <row r="4660" spans="1:17" x14ac:dyDescent="0.45">
      <c r="A4660" t="s">
        <v>191</v>
      </c>
      <c r="B4660" t="s">
        <v>192</v>
      </c>
      <c r="C4660" t="s">
        <v>85</v>
      </c>
      <c r="D4660" t="s">
        <v>188</v>
      </c>
      <c r="E4660" t="s">
        <v>21</v>
      </c>
      <c r="F4660" s="1">
        <v>44986</v>
      </c>
      <c r="G4660">
        <v>1.48</v>
      </c>
      <c r="H4660">
        <v>83.327600000000004</v>
      </c>
      <c r="I4660">
        <v>24.56</v>
      </c>
      <c r="J4660">
        <v>75.53</v>
      </c>
      <c r="K4660" t="s">
        <v>48</v>
      </c>
      <c r="L4660">
        <v>765.36</v>
      </c>
      <c r="M4660">
        <f>VLOOKUP(K4660,RatingLookup!$A$2:$C$8,2,FALSE)</f>
        <v>5.0000000000000001E-4</v>
      </c>
      <c r="N4660">
        <f t="shared" si="216"/>
        <v>4.167621832917856E-5</v>
      </c>
      <c r="O4660">
        <f>VLOOKUP(K4660,RatingLookup!$A$2:$C$8,3,FALSE)</f>
        <v>0.25</v>
      </c>
      <c r="P4660">
        <f t="shared" si="217"/>
        <v>7.9743276151050257E-3</v>
      </c>
      <c r="Q4660" t="str">
        <f t="shared" ca="1" si="218"/>
        <v>No</v>
      </c>
    </row>
    <row r="4661" spans="1:17" x14ac:dyDescent="0.45">
      <c r="A4661" t="s">
        <v>191</v>
      </c>
      <c r="B4661" t="s">
        <v>192</v>
      </c>
      <c r="C4661" t="s">
        <v>85</v>
      </c>
      <c r="D4661" t="s">
        <v>188</v>
      </c>
      <c r="E4661" t="s">
        <v>21</v>
      </c>
      <c r="F4661" s="1">
        <v>45017</v>
      </c>
      <c r="G4661">
        <v>1.06</v>
      </c>
      <c r="H4661">
        <v>80.050799999999995</v>
      </c>
      <c r="I4661">
        <v>19.510000000000002</v>
      </c>
      <c r="J4661">
        <v>80.98</v>
      </c>
      <c r="K4661" t="s">
        <v>48</v>
      </c>
      <c r="L4661">
        <v>798.9</v>
      </c>
      <c r="M4661">
        <f>VLOOKUP(K4661,RatingLookup!$A$2:$C$8,2,FALSE)</f>
        <v>5.0000000000000001E-4</v>
      </c>
      <c r="N4661">
        <f t="shared" si="216"/>
        <v>4.167621832917856E-5</v>
      </c>
      <c r="O4661">
        <f>VLOOKUP(K4661,RatingLookup!$A$2:$C$8,3,FALSE)</f>
        <v>0.25</v>
      </c>
      <c r="P4661">
        <f t="shared" si="217"/>
        <v>8.323782705795188E-3</v>
      </c>
      <c r="Q4661" t="str">
        <f t="shared" ca="1" si="218"/>
        <v>No</v>
      </c>
    </row>
    <row r="4662" spans="1:17" x14ac:dyDescent="0.45">
      <c r="A4662" t="s">
        <v>191</v>
      </c>
      <c r="B4662" t="s">
        <v>192</v>
      </c>
      <c r="C4662" t="s">
        <v>85</v>
      </c>
      <c r="D4662" t="s">
        <v>188</v>
      </c>
      <c r="E4662" t="s">
        <v>21</v>
      </c>
      <c r="F4662" s="1">
        <v>45047</v>
      </c>
      <c r="G4662">
        <v>2.57</v>
      </c>
      <c r="H4662">
        <v>83.128</v>
      </c>
      <c r="I4662">
        <v>10.54</v>
      </c>
      <c r="J4662">
        <v>78.45</v>
      </c>
      <c r="K4662" t="s">
        <v>48</v>
      </c>
      <c r="L4662">
        <v>739.26</v>
      </c>
      <c r="M4662">
        <f>VLOOKUP(K4662,RatingLookup!$A$2:$C$8,2,FALSE)</f>
        <v>5.0000000000000001E-4</v>
      </c>
      <c r="N4662">
        <f t="shared" si="216"/>
        <v>4.167621832917856E-5</v>
      </c>
      <c r="O4662">
        <f>VLOOKUP(K4662,RatingLookup!$A$2:$C$8,3,FALSE)</f>
        <v>0.25</v>
      </c>
      <c r="P4662">
        <f t="shared" si="217"/>
        <v>7.7023902905071356E-3</v>
      </c>
      <c r="Q4662" t="str">
        <f t="shared" ca="1" si="218"/>
        <v>No</v>
      </c>
    </row>
    <row r="4663" spans="1:17" x14ac:dyDescent="0.45">
      <c r="A4663" t="s">
        <v>191</v>
      </c>
      <c r="B4663" t="s">
        <v>192</v>
      </c>
      <c r="C4663" t="s">
        <v>85</v>
      </c>
      <c r="D4663" t="s">
        <v>188</v>
      </c>
      <c r="E4663" t="s">
        <v>21</v>
      </c>
      <c r="F4663" s="1">
        <v>45078</v>
      </c>
      <c r="G4663">
        <v>1.71</v>
      </c>
      <c r="H4663">
        <v>79.569999999999993</v>
      </c>
      <c r="I4663">
        <v>26.49</v>
      </c>
      <c r="J4663">
        <v>86.53</v>
      </c>
      <c r="K4663" t="s">
        <v>48</v>
      </c>
      <c r="L4663">
        <v>777.47</v>
      </c>
      <c r="M4663">
        <f>VLOOKUP(K4663,RatingLookup!$A$2:$C$8,2,FALSE)</f>
        <v>5.0000000000000001E-4</v>
      </c>
      <c r="N4663">
        <f t="shared" si="216"/>
        <v>4.167621832917856E-5</v>
      </c>
      <c r="O4663">
        <f>VLOOKUP(K4663,RatingLookup!$A$2:$C$8,3,FALSE)</f>
        <v>0.25</v>
      </c>
      <c r="P4663">
        <f t="shared" si="217"/>
        <v>8.1005023660966138E-3</v>
      </c>
      <c r="Q4663" t="str">
        <f t="shared" ca="1" si="218"/>
        <v>No</v>
      </c>
    </row>
    <row r="4664" spans="1:17" x14ac:dyDescent="0.45">
      <c r="A4664" t="s">
        <v>191</v>
      </c>
      <c r="B4664" t="s">
        <v>192</v>
      </c>
      <c r="C4664" t="s">
        <v>85</v>
      </c>
      <c r="D4664" t="s">
        <v>188</v>
      </c>
      <c r="E4664" t="s">
        <v>21</v>
      </c>
      <c r="F4664" s="1">
        <v>45108</v>
      </c>
      <c r="G4664">
        <v>1.5</v>
      </c>
      <c r="H4664">
        <v>86.914100000000005</v>
      </c>
      <c r="I4664">
        <v>22.55</v>
      </c>
      <c r="J4664">
        <v>73.72</v>
      </c>
      <c r="K4664" t="s">
        <v>48</v>
      </c>
      <c r="L4664">
        <v>716.22</v>
      </c>
      <c r="M4664">
        <f>VLOOKUP(K4664,RatingLookup!$A$2:$C$8,2,FALSE)</f>
        <v>5.0000000000000001E-4</v>
      </c>
      <c r="N4664">
        <f t="shared" si="216"/>
        <v>4.167621832917856E-5</v>
      </c>
      <c r="O4664">
        <f>VLOOKUP(K4664,RatingLookup!$A$2:$C$8,3,FALSE)</f>
        <v>0.25</v>
      </c>
      <c r="P4664">
        <f t="shared" si="217"/>
        <v>7.4623352729310671E-3</v>
      </c>
      <c r="Q4664" t="str">
        <f t="shared" ca="1" si="218"/>
        <v>No</v>
      </c>
    </row>
    <row r="4665" spans="1:17" x14ac:dyDescent="0.45">
      <c r="A4665" t="s">
        <v>191</v>
      </c>
      <c r="B4665" t="s">
        <v>192</v>
      </c>
      <c r="C4665" t="s">
        <v>85</v>
      </c>
      <c r="D4665" t="s">
        <v>188</v>
      </c>
      <c r="E4665" t="s">
        <v>21</v>
      </c>
      <c r="F4665" s="1">
        <v>45139</v>
      </c>
      <c r="G4665">
        <v>2.14</v>
      </c>
      <c r="H4665">
        <v>83.693700000000007</v>
      </c>
      <c r="I4665">
        <v>17.309999999999999</v>
      </c>
      <c r="J4665">
        <v>72.599999999999994</v>
      </c>
      <c r="K4665" t="s">
        <v>48</v>
      </c>
      <c r="L4665">
        <v>806.89</v>
      </c>
      <c r="M4665">
        <f>VLOOKUP(K4665,RatingLookup!$A$2:$C$8,2,FALSE)</f>
        <v>5.0000000000000001E-4</v>
      </c>
      <c r="N4665">
        <f t="shared" si="216"/>
        <v>4.167621832917856E-5</v>
      </c>
      <c r="O4665">
        <f>VLOOKUP(K4665,RatingLookup!$A$2:$C$8,3,FALSE)</f>
        <v>0.25</v>
      </c>
      <c r="P4665">
        <f t="shared" si="217"/>
        <v>8.4070309519077221E-3</v>
      </c>
      <c r="Q4665" t="str">
        <f t="shared" ca="1" si="218"/>
        <v>No</v>
      </c>
    </row>
    <row r="4666" spans="1:17" x14ac:dyDescent="0.45">
      <c r="A4666" t="s">
        <v>191</v>
      </c>
      <c r="B4666" t="s">
        <v>192</v>
      </c>
      <c r="C4666" t="s">
        <v>85</v>
      </c>
      <c r="D4666" t="s">
        <v>188</v>
      </c>
      <c r="E4666" t="s">
        <v>21</v>
      </c>
      <c r="F4666" s="1">
        <v>45170</v>
      </c>
      <c r="G4666">
        <v>1.03</v>
      </c>
      <c r="H4666">
        <v>81.746600000000001</v>
      </c>
      <c r="I4666">
        <v>17.59</v>
      </c>
      <c r="J4666">
        <v>89.57</v>
      </c>
      <c r="K4666" t="s">
        <v>48</v>
      </c>
      <c r="L4666">
        <v>724.45</v>
      </c>
      <c r="M4666">
        <f>VLOOKUP(K4666,RatingLookup!$A$2:$C$8,2,FALSE)</f>
        <v>5.0000000000000001E-4</v>
      </c>
      <c r="N4666">
        <f t="shared" si="216"/>
        <v>4.167621832917856E-5</v>
      </c>
      <c r="O4666">
        <f>VLOOKUP(K4666,RatingLookup!$A$2:$C$8,3,FALSE)</f>
        <v>0.25</v>
      </c>
      <c r="P4666">
        <f t="shared" si="217"/>
        <v>7.5480840921433529E-3</v>
      </c>
      <c r="Q4666" t="str">
        <f t="shared" ca="1" si="218"/>
        <v>No</v>
      </c>
    </row>
    <row r="4667" spans="1:17" x14ac:dyDescent="0.45">
      <c r="A4667" t="s">
        <v>191</v>
      </c>
      <c r="B4667" t="s">
        <v>192</v>
      </c>
      <c r="C4667" t="s">
        <v>85</v>
      </c>
      <c r="D4667" t="s">
        <v>188</v>
      </c>
      <c r="E4667" t="s">
        <v>21</v>
      </c>
      <c r="F4667" s="1">
        <v>45200</v>
      </c>
      <c r="G4667">
        <v>1.1200000000000001</v>
      </c>
      <c r="H4667">
        <v>80.084699999999998</v>
      </c>
      <c r="I4667">
        <v>16.54</v>
      </c>
      <c r="J4667">
        <v>78.33</v>
      </c>
      <c r="K4667" t="s">
        <v>48</v>
      </c>
      <c r="L4667">
        <v>780.5</v>
      </c>
      <c r="M4667">
        <f>VLOOKUP(K4667,RatingLookup!$A$2:$C$8,2,FALSE)</f>
        <v>5.0000000000000001E-4</v>
      </c>
      <c r="N4667">
        <f t="shared" si="216"/>
        <v>4.167621832917856E-5</v>
      </c>
      <c r="O4667">
        <f>VLOOKUP(K4667,RatingLookup!$A$2:$C$8,3,FALSE)</f>
        <v>0.25</v>
      </c>
      <c r="P4667">
        <f t="shared" si="217"/>
        <v>8.1320721014809666E-3</v>
      </c>
      <c r="Q4667" t="str">
        <f t="shared" ca="1" si="218"/>
        <v>No</v>
      </c>
    </row>
    <row r="4668" spans="1:17" x14ac:dyDescent="0.45">
      <c r="A4668" t="s">
        <v>191</v>
      </c>
      <c r="B4668" t="s">
        <v>192</v>
      </c>
      <c r="C4668" t="s">
        <v>85</v>
      </c>
      <c r="D4668" t="s">
        <v>188</v>
      </c>
      <c r="E4668" t="s">
        <v>21</v>
      </c>
      <c r="F4668" s="1">
        <v>45231</v>
      </c>
      <c r="G4668">
        <v>1.44</v>
      </c>
      <c r="H4668">
        <v>86.692899999999995</v>
      </c>
      <c r="I4668">
        <v>16.13</v>
      </c>
      <c r="J4668">
        <v>63.59</v>
      </c>
      <c r="K4668" t="s">
        <v>48</v>
      </c>
      <c r="L4668">
        <v>873.49</v>
      </c>
      <c r="M4668">
        <f>VLOOKUP(K4668,RatingLookup!$A$2:$C$8,2,FALSE)</f>
        <v>5.0000000000000001E-4</v>
      </c>
      <c r="N4668">
        <f t="shared" si="216"/>
        <v>4.167621832917856E-5</v>
      </c>
      <c r="O4668">
        <f>VLOOKUP(K4668,RatingLookup!$A$2:$C$8,3,FALSE)</f>
        <v>0.25</v>
      </c>
      <c r="P4668">
        <f t="shared" si="217"/>
        <v>9.1009399870885452E-3</v>
      </c>
      <c r="Q4668" t="str">
        <f t="shared" ca="1" si="218"/>
        <v>No</v>
      </c>
    </row>
    <row r="4669" spans="1:17" x14ac:dyDescent="0.45">
      <c r="A4669" t="s">
        <v>191</v>
      </c>
      <c r="B4669" t="s">
        <v>192</v>
      </c>
      <c r="C4669" t="s">
        <v>85</v>
      </c>
      <c r="D4669" t="s">
        <v>188</v>
      </c>
      <c r="E4669" t="s">
        <v>21</v>
      </c>
      <c r="F4669" s="1">
        <v>45261</v>
      </c>
      <c r="G4669">
        <v>1.45</v>
      </c>
      <c r="H4669">
        <v>83.594800000000006</v>
      </c>
      <c r="I4669">
        <v>23.87</v>
      </c>
      <c r="J4669">
        <v>68.239999999999995</v>
      </c>
      <c r="K4669" t="s">
        <v>48</v>
      </c>
      <c r="L4669">
        <v>766.03</v>
      </c>
      <c r="M4669">
        <f>VLOOKUP(K4669,RatingLookup!$A$2:$C$8,2,FALSE)</f>
        <v>5.0000000000000001E-4</v>
      </c>
      <c r="N4669">
        <f t="shared" si="216"/>
        <v>4.167621832917856E-5</v>
      </c>
      <c r="O4669">
        <f>VLOOKUP(K4669,RatingLookup!$A$2:$C$8,3,FALSE)</f>
        <v>0.25</v>
      </c>
      <c r="P4669">
        <f t="shared" si="217"/>
        <v>7.9813083816751632E-3</v>
      </c>
      <c r="Q4669" t="str">
        <f t="shared" ca="1" si="218"/>
        <v>No</v>
      </c>
    </row>
    <row r="4670" spans="1:17" x14ac:dyDescent="0.45">
      <c r="A4670" t="s">
        <v>191</v>
      </c>
      <c r="B4670" t="s">
        <v>192</v>
      </c>
      <c r="C4670" t="s">
        <v>85</v>
      </c>
      <c r="D4670" t="s">
        <v>188</v>
      </c>
      <c r="E4670" t="s">
        <v>21</v>
      </c>
      <c r="F4670" s="1">
        <v>45292</v>
      </c>
      <c r="G4670">
        <v>2.4700000000000002</v>
      </c>
      <c r="H4670">
        <v>76.269900000000007</v>
      </c>
      <c r="I4670">
        <v>6.13</v>
      </c>
      <c r="J4670">
        <v>80.86</v>
      </c>
      <c r="K4670" t="s">
        <v>48</v>
      </c>
      <c r="L4670">
        <v>735.1</v>
      </c>
      <c r="M4670">
        <f>VLOOKUP(K4670,RatingLookup!$A$2:$C$8,2,FALSE)</f>
        <v>5.0000000000000001E-4</v>
      </c>
      <c r="N4670">
        <f t="shared" si="216"/>
        <v>4.167621832917856E-5</v>
      </c>
      <c r="O4670">
        <f>VLOOKUP(K4670,RatingLookup!$A$2:$C$8,3,FALSE)</f>
        <v>0.25</v>
      </c>
      <c r="P4670">
        <f t="shared" si="217"/>
        <v>7.6590470234447899E-3</v>
      </c>
      <c r="Q4670" t="str">
        <f t="shared" ca="1" si="218"/>
        <v>No</v>
      </c>
    </row>
    <row r="4671" spans="1:17" x14ac:dyDescent="0.45">
      <c r="A4671" t="s">
        <v>191</v>
      </c>
      <c r="B4671" t="s">
        <v>192</v>
      </c>
      <c r="C4671" t="s">
        <v>85</v>
      </c>
      <c r="D4671" t="s">
        <v>188</v>
      </c>
      <c r="E4671" t="s">
        <v>21</v>
      </c>
      <c r="F4671" s="1">
        <v>45323</v>
      </c>
      <c r="G4671">
        <v>1.91</v>
      </c>
      <c r="H4671">
        <v>79.562399999999997</v>
      </c>
      <c r="I4671">
        <v>16.59</v>
      </c>
      <c r="J4671">
        <v>75.47</v>
      </c>
      <c r="K4671" t="s">
        <v>48</v>
      </c>
      <c r="L4671">
        <v>869.87</v>
      </c>
      <c r="M4671">
        <f>VLOOKUP(K4671,RatingLookup!$A$2:$C$8,2,FALSE)</f>
        <v>5.0000000000000001E-4</v>
      </c>
      <c r="N4671">
        <f t="shared" si="216"/>
        <v>4.167621832917856E-5</v>
      </c>
      <c r="O4671">
        <f>VLOOKUP(K4671,RatingLookup!$A$2:$C$8,3,FALSE)</f>
        <v>0.25</v>
      </c>
      <c r="P4671">
        <f t="shared" si="217"/>
        <v>9.0632230095006386E-3</v>
      </c>
      <c r="Q4671" t="str">
        <f t="shared" ca="1" si="218"/>
        <v>No</v>
      </c>
    </row>
    <row r="4672" spans="1:17" x14ac:dyDescent="0.45">
      <c r="A4672" t="s">
        <v>191</v>
      </c>
      <c r="B4672" t="s">
        <v>192</v>
      </c>
      <c r="C4672" t="s">
        <v>85</v>
      </c>
      <c r="D4672" t="s">
        <v>188</v>
      </c>
      <c r="E4672" t="s">
        <v>21</v>
      </c>
      <c r="F4672" s="1">
        <v>45352</v>
      </c>
      <c r="G4672">
        <v>2.16</v>
      </c>
      <c r="H4672">
        <v>82.389600000000002</v>
      </c>
      <c r="I4672">
        <v>20.62</v>
      </c>
      <c r="J4672">
        <v>76.55</v>
      </c>
      <c r="K4672" t="s">
        <v>48</v>
      </c>
      <c r="L4672">
        <v>726.86</v>
      </c>
      <c r="M4672">
        <f>VLOOKUP(K4672,RatingLookup!$A$2:$C$8,2,FALSE)</f>
        <v>5.0000000000000001E-4</v>
      </c>
      <c r="N4672">
        <f t="shared" si="216"/>
        <v>4.167621832917856E-5</v>
      </c>
      <c r="O4672">
        <f>VLOOKUP(K4672,RatingLookup!$A$2:$C$8,3,FALSE)</f>
        <v>0.25</v>
      </c>
      <c r="P4672">
        <f t="shared" si="217"/>
        <v>7.5731940136866821E-3</v>
      </c>
      <c r="Q4672" t="str">
        <f t="shared" ca="1" si="218"/>
        <v>No</v>
      </c>
    </row>
    <row r="4673" spans="1:17" x14ac:dyDescent="0.45">
      <c r="A4673" t="s">
        <v>191</v>
      </c>
      <c r="B4673" t="s">
        <v>192</v>
      </c>
      <c r="C4673" t="s">
        <v>85</v>
      </c>
      <c r="D4673" t="s">
        <v>188</v>
      </c>
      <c r="E4673" t="s">
        <v>21</v>
      </c>
      <c r="F4673" s="1">
        <v>45383</v>
      </c>
      <c r="G4673">
        <v>2.2799999999999998</v>
      </c>
      <c r="H4673">
        <v>80.575100000000006</v>
      </c>
      <c r="I4673">
        <v>10.130000000000001</v>
      </c>
      <c r="J4673">
        <v>84.8</v>
      </c>
      <c r="K4673" t="s">
        <v>48</v>
      </c>
      <c r="L4673">
        <v>781.9</v>
      </c>
      <c r="M4673">
        <f>VLOOKUP(K4673,RatingLookup!$A$2:$C$8,2,FALSE)</f>
        <v>5.0000000000000001E-4</v>
      </c>
      <c r="N4673">
        <f t="shared" si="216"/>
        <v>4.167621832917856E-5</v>
      </c>
      <c r="O4673">
        <f>VLOOKUP(K4673,RatingLookup!$A$2:$C$8,3,FALSE)</f>
        <v>0.25</v>
      </c>
      <c r="P4673">
        <f t="shared" si="217"/>
        <v>8.1466587778961791E-3</v>
      </c>
      <c r="Q4673" t="str">
        <f t="shared" ca="1" si="218"/>
        <v>No</v>
      </c>
    </row>
    <row r="4674" spans="1:17" x14ac:dyDescent="0.45">
      <c r="A4674" t="s">
        <v>191</v>
      </c>
      <c r="B4674" t="s">
        <v>192</v>
      </c>
      <c r="C4674" t="s">
        <v>85</v>
      </c>
      <c r="D4674" t="s">
        <v>188</v>
      </c>
      <c r="E4674" t="s">
        <v>21</v>
      </c>
      <c r="F4674" s="1">
        <v>45413</v>
      </c>
      <c r="G4674">
        <v>1.45</v>
      </c>
      <c r="H4674">
        <v>85.309100000000001</v>
      </c>
      <c r="I4674">
        <v>9.15</v>
      </c>
      <c r="J4674">
        <v>78.38</v>
      </c>
      <c r="K4674" t="s">
        <v>48</v>
      </c>
      <c r="L4674">
        <v>741</v>
      </c>
      <c r="M4674">
        <f>VLOOKUP(K4674,RatingLookup!$A$2:$C$8,2,FALSE)</f>
        <v>5.0000000000000001E-4</v>
      </c>
      <c r="N4674">
        <f t="shared" ref="N4674:N4737" si="219">1-(1-M4674)^(1/12)</f>
        <v>4.167621832917856E-5</v>
      </c>
      <c r="O4674">
        <f>VLOOKUP(K4674,RatingLookup!$A$2:$C$8,3,FALSE)</f>
        <v>0.25</v>
      </c>
      <c r="P4674">
        <f t="shared" ref="P4674:P4737" si="220">L4674*N4674*O4674</f>
        <v>7.7205194454803283E-3</v>
      </c>
      <c r="Q4674" t="str">
        <f t="shared" ref="Q4674:Q4737" ca="1" si="221">IF(RAND()&lt;N4674,"Yes","No")</f>
        <v>No</v>
      </c>
    </row>
    <row r="4675" spans="1:17" x14ac:dyDescent="0.45">
      <c r="A4675" t="s">
        <v>191</v>
      </c>
      <c r="B4675" t="s">
        <v>192</v>
      </c>
      <c r="C4675" t="s">
        <v>85</v>
      </c>
      <c r="D4675" t="s">
        <v>188</v>
      </c>
      <c r="E4675" t="s">
        <v>21</v>
      </c>
      <c r="F4675" s="1">
        <v>45444</v>
      </c>
      <c r="G4675">
        <v>1.65</v>
      </c>
      <c r="H4675">
        <v>85.572400000000002</v>
      </c>
      <c r="I4675">
        <v>21.72</v>
      </c>
      <c r="J4675">
        <v>82.55</v>
      </c>
      <c r="K4675" t="s">
        <v>48</v>
      </c>
      <c r="L4675">
        <v>848.69</v>
      </c>
      <c r="M4675">
        <f>VLOOKUP(K4675,RatingLookup!$A$2:$C$8,2,FALSE)</f>
        <v>5.0000000000000001E-4</v>
      </c>
      <c r="N4675">
        <f t="shared" si="219"/>
        <v>4.167621832917856E-5</v>
      </c>
      <c r="O4675">
        <f>VLOOKUP(K4675,RatingLookup!$A$2:$C$8,3,FALSE)</f>
        <v>0.25</v>
      </c>
      <c r="P4675">
        <f t="shared" si="220"/>
        <v>8.8425474334476381E-3</v>
      </c>
      <c r="Q4675" t="str">
        <f t="shared" ca="1" si="221"/>
        <v>No</v>
      </c>
    </row>
    <row r="4676" spans="1:17" x14ac:dyDescent="0.45">
      <c r="A4676" t="s">
        <v>191</v>
      </c>
      <c r="B4676" t="s">
        <v>192</v>
      </c>
      <c r="C4676" t="s">
        <v>85</v>
      </c>
      <c r="D4676" t="s">
        <v>188</v>
      </c>
      <c r="E4676" t="s">
        <v>21</v>
      </c>
      <c r="F4676" s="1">
        <v>45474</v>
      </c>
      <c r="G4676">
        <v>2.0499999999999998</v>
      </c>
      <c r="H4676">
        <v>76.430499999999995</v>
      </c>
      <c r="I4676">
        <v>28.23</v>
      </c>
      <c r="J4676">
        <v>78.739999999999995</v>
      </c>
      <c r="K4676" t="s">
        <v>48</v>
      </c>
      <c r="L4676">
        <v>795.97</v>
      </c>
      <c r="M4676">
        <f>VLOOKUP(K4676,RatingLookup!$A$2:$C$8,2,FALSE)</f>
        <v>5.0000000000000001E-4</v>
      </c>
      <c r="N4676">
        <f t="shared" si="219"/>
        <v>4.167621832917856E-5</v>
      </c>
      <c r="O4676">
        <f>VLOOKUP(K4676,RatingLookup!$A$2:$C$8,3,FALSE)</f>
        <v>0.25</v>
      </c>
      <c r="P4676">
        <f t="shared" si="220"/>
        <v>8.2932548758690647E-3</v>
      </c>
      <c r="Q4676" t="str">
        <f t="shared" ca="1" si="221"/>
        <v>No</v>
      </c>
    </row>
    <row r="4677" spans="1:17" x14ac:dyDescent="0.45">
      <c r="A4677" t="s">
        <v>191</v>
      </c>
      <c r="B4677" t="s">
        <v>192</v>
      </c>
      <c r="C4677" t="s">
        <v>85</v>
      </c>
      <c r="D4677" t="s">
        <v>188</v>
      </c>
      <c r="E4677" t="s">
        <v>21</v>
      </c>
      <c r="F4677" s="1">
        <v>45505</v>
      </c>
      <c r="G4677">
        <v>1.2</v>
      </c>
      <c r="H4677">
        <v>84.455299999999994</v>
      </c>
      <c r="I4677">
        <v>15.03</v>
      </c>
      <c r="J4677">
        <v>96.76</v>
      </c>
      <c r="K4677" t="s">
        <v>48</v>
      </c>
      <c r="L4677">
        <v>807.01</v>
      </c>
      <c r="M4677">
        <f>VLOOKUP(K4677,RatingLookup!$A$2:$C$8,2,FALSE)</f>
        <v>5.0000000000000001E-4</v>
      </c>
      <c r="N4677">
        <f t="shared" si="219"/>
        <v>4.167621832917856E-5</v>
      </c>
      <c r="O4677">
        <f>VLOOKUP(K4677,RatingLookup!$A$2:$C$8,3,FALSE)</f>
        <v>0.25</v>
      </c>
      <c r="P4677">
        <f t="shared" si="220"/>
        <v>8.4082812384575975E-3</v>
      </c>
      <c r="Q4677" t="str">
        <f t="shared" ca="1" si="221"/>
        <v>No</v>
      </c>
    </row>
    <row r="4678" spans="1:17" x14ac:dyDescent="0.45">
      <c r="A4678" t="s">
        <v>191</v>
      </c>
      <c r="B4678" t="s">
        <v>192</v>
      </c>
      <c r="C4678" t="s">
        <v>85</v>
      </c>
      <c r="D4678" t="s">
        <v>188</v>
      </c>
      <c r="E4678" t="s">
        <v>21</v>
      </c>
      <c r="F4678" s="1">
        <v>45536</v>
      </c>
      <c r="G4678">
        <v>0.73</v>
      </c>
      <c r="H4678">
        <v>82.191000000000003</v>
      </c>
      <c r="I4678">
        <v>16.760000000000002</v>
      </c>
      <c r="J4678">
        <v>74.900000000000006</v>
      </c>
      <c r="K4678" t="s">
        <v>48</v>
      </c>
      <c r="L4678">
        <v>805.48</v>
      </c>
      <c r="M4678">
        <f>VLOOKUP(K4678,RatingLookup!$A$2:$C$8,2,FALSE)</f>
        <v>5.0000000000000001E-4</v>
      </c>
      <c r="N4678">
        <f t="shared" si="219"/>
        <v>4.167621832917856E-5</v>
      </c>
      <c r="O4678">
        <f>VLOOKUP(K4678,RatingLookup!$A$2:$C$8,3,FALSE)</f>
        <v>0.25</v>
      </c>
      <c r="P4678">
        <f t="shared" si="220"/>
        <v>8.3923400849466867E-3</v>
      </c>
      <c r="Q4678" t="str">
        <f t="shared" ca="1" si="221"/>
        <v>No</v>
      </c>
    </row>
    <row r="4679" spans="1:17" x14ac:dyDescent="0.45">
      <c r="A4679" t="s">
        <v>191</v>
      </c>
      <c r="B4679" t="s">
        <v>192</v>
      </c>
      <c r="C4679" t="s">
        <v>85</v>
      </c>
      <c r="D4679" t="s">
        <v>188</v>
      </c>
      <c r="E4679" t="s">
        <v>21</v>
      </c>
      <c r="F4679" s="1">
        <v>45566</v>
      </c>
      <c r="G4679">
        <v>2.27</v>
      </c>
      <c r="H4679">
        <v>86.005600000000001</v>
      </c>
      <c r="I4679">
        <v>14.1</v>
      </c>
      <c r="J4679">
        <v>73.56</v>
      </c>
      <c r="K4679" t="s">
        <v>48</v>
      </c>
      <c r="L4679">
        <v>698.99</v>
      </c>
      <c r="M4679">
        <f>VLOOKUP(K4679,RatingLookup!$A$2:$C$8,2,FALSE)</f>
        <v>5.0000000000000001E-4</v>
      </c>
      <c r="N4679">
        <f t="shared" si="219"/>
        <v>4.167621832917856E-5</v>
      </c>
      <c r="O4679">
        <f>VLOOKUP(K4679,RatingLookup!$A$2:$C$8,3,FALSE)</f>
        <v>0.25</v>
      </c>
      <c r="P4679">
        <f t="shared" si="220"/>
        <v>7.2828149624781305E-3</v>
      </c>
      <c r="Q4679" t="str">
        <f t="shared" ca="1" si="221"/>
        <v>No</v>
      </c>
    </row>
    <row r="4680" spans="1:17" x14ac:dyDescent="0.45">
      <c r="A4680" t="s">
        <v>191</v>
      </c>
      <c r="B4680" t="s">
        <v>192</v>
      </c>
      <c r="C4680" t="s">
        <v>85</v>
      </c>
      <c r="D4680" t="s">
        <v>188</v>
      </c>
      <c r="E4680" t="s">
        <v>21</v>
      </c>
      <c r="F4680" s="1">
        <v>45597</v>
      </c>
      <c r="G4680">
        <v>0.38</v>
      </c>
      <c r="H4680">
        <v>81.882999999999996</v>
      </c>
      <c r="I4680">
        <v>30.5</v>
      </c>
      <c r="J4680">
        <v>77.55</v>
      </c>
      <c r="K4680" t="s">
        <v>23</v>
      </c>
      <c r="L4680">
        <v>834.5</v>
      </c>
      <c r="M4680">
        <f>VLOOKUP(K4680,RatingLookup!$A$2:$C$8,2,FALSE)</f>
        <v>1E-3</v>
      </c>
      <c r="N4680">
        <f t="shared" si="219"/>
        <v>8.3371552197619714E-5</v>
      </c>
      <c r="O4680">
        <f>VLOOKUP(K4680,RatingLookup!$A$2:$C$8,3,FALSE)</f>
        <v>0.3</v>
      </c>
      <c r="P4680">
        <f t="shared" si="220"/>
        <v>2.0872068092674095E-2</v>
      </c>
      <c r="Q4680" t="str">
        <f t="shared" ca="1" si="221"/>
        <v>No</v>
      </c>
    </row>
    <row r="4681" spans="1:17" x14ac:dyDescent="0.45">
      <c r="A4681" t="s">
        <v>191</v>
      </c>
      <c r="B4681" t="s">
        <v>192</v>
      </c>
      <c r="C4681" t="s">
        <v>85</v>
      </c>
      <c r="D4681" t="s">
        <v>188</v>
      </c>
      <c r="E4681" t="s">
        <v>21</v>
      </c>
      <c r="F4681" s="1">
        <v>45627</v>
      </c>
      <c r="G4681">
        <v>1.46</v>
      </c>
      <c r="H4681">
        <v>82.309299999999993</v>
      </c>
      <c r="I4681">
        <v>27.77</v>
      </c>
      <c r="J4681">
        <v>82.92</v>
      </c>
      <c r="K4681" t="s">
        <v>23</v>
      </c>
      <c r="L4681">
        <v>784.73</v>
      </c>
      <c r="M4681">
        <f>VLOOKUP(K4681,RatingLookup!$A$2:$C$8,2,FALSE)</f>
        <v>1E-3</v>
      </c>
      <c r="N4681">
        <f t="shared" si="219"/>
        <v>8.3371552197619714E-5</v>
      </c>
      <c r="O4681">
        <f>VLOOKUP(K4681,RatingLookup!$A$2:$C$8,3,FALSE)</f>
        <v>0.3</v>
      </c>
      <c r="P4681">
        <f t="shared" si="220"/>
        <v>1.9627247446811436E-2</v>
      </c>
      <c r="Q4681" t="str">
        <f t="shared" ca="1" si="221"/>
        <v>No</v>
      </c>
    </row>
    <row r="4682" spans="1:17" x14ac:dyDescent="0.45">
      <c r="A4682" t="s">
        <v>193</v>
      </c>
      <c r="B4682" t="s">
        <v>194</v>
      </c>
      <c r="C4682" t="s">
        <v>77</v>
      </c>
      <c r="D4682" t="s">
        <v>188</v>
      </c>
      <c r="E4682" t="s">
        <v>21</v>
      </c>
      <c r="F4682" s="1">
        <v>43831</v>
      </c>
      <c r="G4682">
        <v>0.46</v>
      </c>
      <c r="H4682">
        <v>84.652199999999993</v>
      </c>
      <c r="I4682">
        <v>17.8</v>
      </c>
      <c r="J4682">
        <v>75.27</v>
      </c>
      <c r="K4682" t="s">
        <v>31</v>
      </c>
      <c r="L4682">
        <v>4629.95</v>
      </c>
      <c r="M4682">
        <f>VLOOKUP(K4682,RatingLookup!$A$2:$C$8,2,FALSE)</f>
        <v>0.04</v>
      </c>
      <c r="N4682">
        <f t="shared" si="219"/>
        <v>3.3960531989175591E-3</v>
      </c>
      <c r="O4682">
        <f>VLOOKUP(K4682,RatingLookup!$A$2:$C$8,3,FALSE)</f>
        <v>0.6</v>
      </c>
      <c r="P4682">
        <f t="shared" si="220"/>
        <v>9.4341339049970117</v>
      </c>
      <c r="Q4682" t="str">
        <f t="shared" ca="1" si="221"/>
        <v>No</v>
      </c>
    </row>
    <row r="4683" spans="1:17" x14ac:dyDescent="0.45">
      <c r="A4683" t="s">
        <v>193</v>
      </c>
      <c r="B4683" t="s">
        <v>194</v>
      </c>
      <c r="C4683" t="s">
        <v>77</v>
      </c>
      <c r="D4683" t="s">
        <v>188</v>
      </c>
      <c r="E4683" t="s">
        <v>21</v>
      </c>
      <c r="F4683" s="1">
        <v>43862</v>
      </c>
      <c r="G4683">
        <v>2.04</v>
      </c>
      <c r="H4683">
        <v>77.654899999999998</v>
      </c>
      <c r="I4683">
        <v>17.59</v>
      </c>
      <c r="J4683">
        <v>65.739999999999995</v>
      </c>
      <c r="K4683" t="s">
        <v>31</v>
      </c>
      <c r="L4683">
        <v>4572.68</v>
      </c>
      <c r="M4683">
        <f>VLOOKUP(K4683,RatingLookup!$A$2:$C$8,2,FALSE)</f>
        <v>0.04</v>
      </c>
      <c r="N4683">
        <f t="shared" si="219"/>
        <v>3.3960531989175591E-3</v>
      </c>
      <c r="O4683">
        <f>VLOOKUP(K4683,RatingLookup!$A$2:$C$8,3,FALSE)</f>
        <v>0.6</v>
      </c>
      <c r="P4683">
        <f t="shared" si="220"/>
        <v>9.3174387249758066</v>
      </c>
      <c r="Q4683" t="str">
        <f t="shared" ca="1" si="221"/>
        <v>No</v>
      </c>
    </row>
    <row r="4684" spans="1:17" x14ac:dyDescent="0.45">
      <c r="A4684" t="s">
        <v>193</v>
      </c>
      <c r="B4684" t="s">
        <v>194</v>
      </c>
      <c r="C4684" t="s">
        <v>77</v>
      </c>
      <c r="D4684" t="s">
        <v>188</v>
      </c>
      <c r="E4684" t="s">
        <v>21</v>
      </c>
      <c r="F4684" s="1">
        <v>43891</v>
      </c>
      <c r="G4684">
        <v>0.68</v>
      </c>
      <c r="H4684">
        <v>82.065299999999993</v>
      </c>
      <c r="I4684">
        <v>18.72</v>
      </c>
      <c r="J4684">
        <v>70.540000000000006</v>
      </c>
      <c r="K4684" t="s">
        <v>31</v>
      </c>
      <c r="L4684">
        <v>4524.3999999999996</v>
      </c>
      <c r="M4684">
        <f>VLOOKUP(K4684,RatingLookup!$A$2:$C$8,2,FALSE)</f>
        <v>0.04</v>
      </c>
      <c r="N4684">
        <f t="shared" si="219"/>
        <v>3.3960531989175591E-3</v>
      </c>
      <c r="O4684">
        <f>VLOOKUP(K4684,RatingLookup!$A$2:$C$8,3,FALSE)</f>
        <v>0.6</v>
      </c>
      <c r="P4684">
        <f t="shared" si="220"/>
        <v>9.2190618559095618</v>
      </c>
      <c r="Q4684" t="str">
        <f t="shared" ca="1" si="221"/>
        <v>No</v>
      </c>
    </row>
    <row r="4685" spans="1:17" x14ac:dyDescent="0.45">
      <c r="A4685" t="s">
        <v>193</v>
      </c>
      <c r="B4685" t="s">
        <v>194</v>
      </c>
      <c r="C4685" t="s">
        <v>77</v>
      </c>
      <c r="D4685" t="s">
        <v>188</v>
      </c>
      <c r="E4685" t="s">
        <v>21</v>
      </c>
      <c r="F4685" s="1">
        <v>43922</v>
      </c>
      <c r="G4685">
        <v>2.78</v>
      </c>
      <c r="H4685">
        <v>80.885099999999994</v>
      </c>
      <c r="I4685">
        <v>22.69</v>
      </c>
      <c r="J4685">
        <v>67.19</v>
      </c>
      <c r="K4685" t="s">
        <v>31</v>
      </c>
      <c r="L4685">
        <v>4334.1899999999996</v>
      </c>
      <c r="M4685">
        <f>VLOOKUP(K4685,RatingLookup!$A$2:$C$8,2,FALSE)</f>
        <v>0.04</v>
      </c>
      <c r="N4685">
        <f t="shared" si="219"/>
        <v>3.3960531989175591E-3</v>
      </c>
      <c r="O4685">
        <f>VLOOKUP(K4685,RatingLookup!$A$2:$C$8,3,FALSE)</f>
        <v>0.6</v>
      </c>
      <c r="P4685">
        <f t="shared" si="220"/>
        <v>8.8314838885298954</v>
      </c>
      <c r="Q4685" t="str">
        <f t="shared" ca="1" si="221"/>
        <v>No</v>
      </c>
    </row>
    <row r="4686" spans="1:17" x14ac:dyDescent="0.45">
      <c r="A4686" t="s">
        <v>193</v>
      </c>
      <c r="B4686" t="s">
        <v>194</v>
      </c>
      <c r="C4686" t="s">
        <v>77</v>
      </c>
      <c r="D4686" t="s">
        <v>188</v>
      </c>
      <c r="E4686" t="s">
        <v>21</v>
      </c>
      <c r="F4686" s="1">
        <v>43952</v>
      </c>
      <c r="G4686">
        <v>1.29</v>
      </c>
      <c r="H4686">
        <v>85.205200000000005</v>
      </c>
      <c r="I4686">
        <v>25.38</v>
      </c>
      <c r="J4686">
        <v>68.930000000000007</v>
      </c>
      <c r="K4686" t="s">
        <v>31</v>
      </c>
      <c r="L4686">
        <v>4690.3900000000003</v>
      </c>
      <c r="M4686">
        <f>VLOOKUP(K4686,RatingLookup!$A$2:$C$8,2,FALSE)</f>
        <v>0.04</v>
      </c>
      <c r="N4686">
        <f t="shared" si="219"/>
        <v>3.3960531989175591E-3</v>
      </c>
      <c r="O4686">
        <f>VLOOKUP(K4686,RatingLookup!$A$2:$C$8,3,FALSE)</f>
        <v>0.6</v>
      </c>
      <c r="P4686">
        <f t="shared" si="220"/>
        <v>9.5572883782025588</v>
      </c>
      <c r="Q4686" t="str">
        <f t="shared" ca="1" si="221"/>
        <v>No</v>
      </c>
    </row>
    <row r="4687" spans="1:17" x14ac:dyDescent="0.45">
      <c r="A4687" t="s">
        <v>193</v>
      </c>
      <c r="B4687" t="s">
        <v>194</v>
      </c>
      <c r="C4687" t="s">
        <v>77</v>
      </c>
      <c r="D4687" t="s">
        <v>188</v>
      </c>
      <c r="E4687" t="s">
        <v>21</v>
      </c>
      <c r="F4687" s="1">
        <v>43983</v>
      </c>
      <c r="G4687">
        <v>1.51</v>
      </c>
      <c r="H4687">
        <v>81.522300000000001</v>
      </c>
      <c r="I4687">
        <v>23.7</v>
      </c>
      <c r="J4687">
        <v>70.430000000000007</v>
      </c>
      <c r="K4687" t="s">
        <v>31</v>
      </c>
      <c r="L4687">
        <v>4705.08</v>
      </c>
      <c r="M4687">
        <f>VLOOKUP(K4687,RatingLookup!$A$2:$C$8,2,FALSE)</f>
        <v>0.04</v>
      </c>
      <c r="N4687">
        <f t="shared" si="219"/>
        <v>3.3960531989175591E-3</v>
      </c>
      <c r="O4687">
        <f>VLOOKUP(K4687,RatingLookup!$A$2:$C$8,3,FALSE)</f>
        <v>0.6</v>
      </c>
      <c r="P4687">
        <f t="shared" si="220"/>
        <v>9.587221191097818</v>
      </c>
      <c r="Q4687" t="str">
        <f t="shared" ca="1" si="221"/>
        <v>No</v>
      </c>
    </row>
    <row r="4688" spans="1:17" x14ac:dyDescent="0.45">
      <c r="A4688" t="s">
        <v>193</v>
      </c>
      <c r="B4688" t="s">
        <v>194</v>
      </c>
      <c r="C4688" t="s">
        <v>77</v>
      </c>
      <c r="D4688" t="s">
        <v>188</v>
      </c>
      <c r="E4688" t="s">
        <v>21</v>
      </c>
      <c r="F4688" s="1">
        <v>44013</v>
      </c>
      <c r="G4688">
        <v>2.7</v>
      </c>
      <c r="H4688">
        <v>85.107299999999995</v>
      </c>
      <c r="I4688">
        <v>9.67</v>
      </c>
      <c r="J4688">
        <v>79.59</v>
      </c>
      <c r="K4688" t="s">
        <v>31</v>
      </c>
      <c r="L4688">
        <v>4866.7700000000004</v>
      </c>
      <c r="M4688">
        <f>VLOOKUP(K4688,RatingLookup!$A$2:$C$8,2,FALSE)</f>
        <v>0.04</v>
      </c>
      <c r="N4688">
        <f t="shared" si="219"/>
        <v>3.3960531989175591E-3</v>
      </c>
      <c r="O4688">
        <f>VLOOKUP(K4688,RatingLookup!$A$2:$C$8,3,FALSE)</f>
        <v>0.6</v>
      </c>
      <c r="P4688">
        <f t="shared" si="220"/>
        <v>9.9166858961376061</v>
      </c>
      <c r="Q4688" t="str">
        <f t="shared" ca="1" si="221"/>
        <v>No</v>
      </c>
    </row>
    <row r="4689" spans="1:17" x14ac:dyDescent="0.45">
      <c r="A4689" t="s">
        <v>193</v>
      </c>
      <c r="B4689" t="s">
        <v>194</v>
      </c>
      <c r="C4689" t="s">
        <v>77</v>
      </c>
      <c r="D4689" t="s">
        <v>188</v>
      </c>
      <c r="E4689" t="s">
        <v>21</v>
      </c>
      <c r="F4689" s="1">
        <v>44044</v>
      </c>
      <c r="G4689">
        <v>1.75</v>
      </c>
      <c r="H4689">
        <v>81.512200000000007</v>
      </c>
      <c r="I4689">
        <v>17.29</v>
      </c>
      <c r="J4689">
        <v>86.94</v>
      </c>
      <c r="K4689" t="s">
        <v>31</v>
      </c>
      <c r="L4689">
        <v>4626.33</v>
      </c>
      <c r="M4689">
        <f>VLOOKUP(K4689,RatingLookup!$A$2:$C$8,2,FALSE)</f>
        <v>0.04</v>
      </c>
      <c r="N4689">
        <f t="shared" si="219"/>
        <v>3.3960531989175591E-3</v>
      </c>
      <c r="O4689">
        <f>VLOOKUP(K4689,RatingLookup!$A$2:$C$8,3,FALSE)</f>
        <v>0.6</v>
      </c>
      <c r="P4689">
        <f t="shared" si="220"/>
        <v>9.4267576774489612</v>
      </c>
      <c r="Q4689" t="str">
        <f t="shared" ca="1" si="221"/>
        <v>No</v>
      </c>
    </row>
    <row r="4690" spans="1:17" x14ac:dyDescent="0.45">
      <c r="A4690" t="s">
        <v>193</v>
      </c>
      <c r="B4690" t="s">
        <v>194</v>
      </c>
      <c r="C4690" t="s">
        <v>77</v>
      </c>
      <c r="D4690" t="s">
        <v>188</v>
      </c>
      <c r="E4690" t="s">
        <v>21</v>
      </c>
      <c r="F4690" s="1">
        <v>44075</v>
      </c>
      <c r="G4690">
        <v>1.47</v>
      </c>
      <c r="H4690">
        <v>81.701599999999999</v>
      </c>
      <c r="I4690">
        <v>19.66</v>
      </c>
      <c r="J4690">
        <v>72.3</v>
      </c>
      <c r="K4690" t="s">
        <v>31</v>
      </c>
      <c r="L4690">
        <v>4372.08</v>
      </c>
      <c r="M4690">
        <f>VLOOKUP(K4690,RatingLookup!$A$2:$C$8,2,FALSE)</f>
        <v>0.04</v>
      </c>
      <c r="N4690">
        <f t="shared" si="219"/>
        <v>3.3960531989175591E-3</v>
      </c>
      <c r="O4690">
        <f>VLOOKUP(K4690,RatingLookup!$A$2:$C$8,3,FALSE)</f>
        <v>0.6</v>
      </c>
      <c r="P4690">
        <f t="shared" si="220"/>
        <v>8.9086897619540881</v>
      </c>
      <c r="Q4690" t="str">
        <f t="shared" ca="1" si="221"/>
        <v>No</v>
      </c>
    </row>
    <row r="4691" spans="1:17" x14ac:dyDescent="0.45">
      <c r="A4691" t="s">
        <v>193</v>
      </c>
      <c r="B4691" t="s">
        <v>194</v>
      </c>
      <c r="C4691" t="s">
        <v>77</v>
      </c>
      <c r="D4691" t="s">
        <v>188</v>
      </c>
      <c r="E4691" t="s">
        <v>21</v>
      </c>
      <c r="F4691" s="1">
        <v>44105</v>
      </c>
      <c r="G4691">
        <v>2.17</v>
      </c>
      <c r="H4691">
        <v>80.980699999999999</v>
      </c>
      <c r="I4691">
        <v>12.96</v>
      </c>
      <c r="J4691">
        <v>91.32</v>
      </c>
      <c r="K4691" t="s">
        <v>31</v>
      </c>
      <c r="L4691">
        <v>4199.97</v>
      </c>
      <c r="M4691">
        <f>VLOOKUP(K4691,RatingLookup!$A$2:$C$8,2,FALSE)</f>
        <v>0.04</v>
      </c>
      <c r="N4691">
        <f t="shared" si="219"/>
        <v>3.3960531989175591E-3</v>
      </c>
      <c r="O4691">
        <f>VLOOKUP(K4691,RatingLookup!$A$2:$C$8,3,FALSE)</f>
        <v>0.6</v>
      </c>
      <c r="P4691">
        <f t="shared" si="220"/>
        <v>8.5579929323146686</v>
      </c>
      <c r="Q4691" t="str">
        <f t="shared" ca="1" si="221"/>
        <v>No</v>
      </c>
    </row>
    <row r="4692" spans="1:17" x14ac:dyDescent="0.45">
      <c r="A4692" t="s">
        <v>193</v>
      </c>
      <c r="B4692" t="s">
        <v>194</v>
      </c>
      <c r="C4692" t="s">
        <v>77</v>
      </c>
      <c r="D4692" t="s">
        <v>188</v>
      </c>
      <c r="E4692" t="s">
        <v>21</v>
      </c>
      <c r="F4692" s="1">
        <v>44136</v>
      </c>
      <c r="G4692">
        <v>1.54</v>
      </c>
      <c r="H4692">
        <v>82.492000000000004</v>
      </c>
      <c r="I4692">
        <v>19.989999999999998</v>
      </c>
      <c r="J4692">
        <v>81.88</v>
      </c>
      <c r="K4692" t="s">
        <v>32</v>
      </c>
      <c r="L4692">
        <v>4595.55</v>
      </c>
      <c r="M4692">
        <f>VLOOKUP(K4692,RatingLookup!$A$2:$C$8,2,FALSE)</f>
        <v>0.12</v>
      </c>
      <c r="N4692">
        <f t="shared" si="219"/>
        <v>1.0596241035318976E-2</v>
      </c>
      <c r="O4692">
        <f>VLOOKUP(K4692,RatingLookup!$A$2:$C$8,3,FALSE)</f>
        <v>0.7</v>
      </c>
      <c r="P4692">
        <f t="shared" si="220"/>
        <v>34.086888842902084</v>
      </c>
      <c r="Q4692" t="str">
        <f t="shared" ca="1" si="221"/>
        <v>No</v>
      </c>
    </row>
    <row r="4693" spans="1:17" x14ac:dyDescent="0.45">
      <c r="A4693" t="s">
        <v>193</v>
      </c>
      <c r="B4693" t="s">
        <v>194</v>
      </c>
      <c r="C4693" t="s">
        <v>77</v>
      </c>
      <c r="D4693" t="s">
        <v>188</v>
      </c>
      <c r="E4693" t="s">
        <v>21</v>
      </c>
      <c r="F4693" s="1">
        <v>44166</v>
      </c>
      <c r="G4693">
        <v>3.17</v>
      </c>
      <c r="H4693">
        <v>80.8523</v>
      </c>
      <c r="I4693">
        <v>10.28</v>
      </c>
      <c r="J4693">
        <v>73.22</v>
      </c>
      <c r="K4693" t="s">
        <v>32</v>
      </c>
      <c r="L4693">
        <v>4298.63</v>
      </c>
      <c r="M4693">
        <f>VLOOKUP(K4693,RatingLookup!$A$2:$C$8,2,FALSE)</f>
        <v>0.12</v>
      </c>
      <c r="N4693">
        <f t="shared" si="219"/>
        <v>1.0596241035318976E-2</v>
      </c>
      <c r="O4693">
        <f>VLOOKUP(K4693,RatingLookup!$A$2:$C$8,3,FALSE)</f>
        <v>0.7</v>
      </c>
      <c r="P4693">
        <f t="shared" si="220"/>
        <v>31.884523721157244</v>
      </c>
      <c r="Q4693" t="str">
        <f t="shared" ca="1" si="221"/>
        <v>No</v>
      </c>
    </row>
    <row r="4694" spans="1:17" x14ac:dyDescent="0.45">
      <c r="A4694" t="s">
        <v>193</v>
      </c>
      <c r="B4694" t="s">
        <v>194</v>
      </c>
      <c r="C4694" t="s">
        <v>77</v>
      </c>
      <c r="D4694" t="s">
        <v>188</v>
      </c>
      <c r="E4694" t="s">
        <v>21</v>
      </c>
      <c r="F4694" s="1">
        <v>44197</v>
      </c>
      <c r="G4694">
        <v>0.72</v>
      </c>
      <c r="H4694">
        <v>84.156099999999995</v>
      </c>
      <c r="I4694">
        <v>13.43</v>
      </c>
      <c r="J4694">
        <v>66.819999999999993</v>
      </c>
      <c r="K4694" t="s">
        <v>32</v>
      </c>
      <c r="L4694">
        <v>4607.05</v>
      </c>
      <c r="M4694">
        <f>VLOOKUP(K4694,RatingLookup!$A$2:$C$8,2,FALSE)</f>
        <v>0.12</v>
      </c>
      <c r="N4694">
        <f t="shared" si="219"/>
        <v>1.0596241035318976E-2</v>
      </c>
      <c r="O4694">
        <f>VLOOKUP(K4694,RatingLookup!$A$2:$C$8,3,FALSE)</f>
        <v>0.7</v>
      </c>
      <c r="P4694">
        <f t="shared" si="220"/>
        <v>34.172188583236405</v>
      </c>
      <c r="Q4694" t="str">
        <f t="shared" ca="1" si="221"/>
        <v>No</v>
      </c>
    </row>
    <row r="4695" spans="1:17" x14ac:dyDescent="0.45">
      <c r="A4695" t="s">
        <v>193</v>
      </c>
      <c r="B4695" t="s">
        <v>194</v>
      </c>
      <c r="C4695" t="s">
        <v>77</v>
      </c>
      <c r="D4695" t="s">
        <v>188</v>
      </c>
      <c r="E4695" t="s">
        <v>21</v>
      </c>
      <c r="F4695" s="1">
        <v>44228</v>
      </c>
      <c r="G4695">
        <v>1.5</v>
      </c>
      <c r="H4695">
        <v>79.4773</v>
      </c>
      <c r="I4695">
        <v>23.05</v>
      </c>
      <c r="J4695">
        <v>75.56</v>
      </c>
      <c r="K4695" t="s">
        <v>32</v>
      </c>
      <c r="L4695">
        <v>4556.59</v>
      </c>
      <c r="M4695">
        <f>VLOOKUP(K4695,RatingLookup!$A$2:$C$8,2,FALSE)</f>
        <v>0.12</v>
      </c>
      <c r="N4695">
        <f t="shared" si="219"/>
        <v>1.0596241035318976E-2</v>
      </c>
      <c r="O4695">
        <f>VLOOKUP(K4695,RatingLookup!$A$2:$C$8,3,FALSE)</f>
        <v>0.7</v>
      </c>
      <c r="P4695">
        <f t="shared" si="220"/>
        <v>33.797908157386864</v>
      </c>
      <c r="Q4695" t="str">
        <f t="shared" ca="1" si="221"/>
        <v>No</v>
      </c>
    </row>
    <row r="4696" spans="1:17" x14ac:dyDescent="0.45">
      <c r="A4696" t="s">
        <v>193</v>
      </c>
      <c r="B4696" t="s">
        <v>194</v>
      </c>
      <c r="C4696" t="s">
        <v>77</v>
      </c>
      <c r="D4696" t="s">
        <v>188</v>
      </c>
      <c r="E4696" t="s">
        <v>21</v>
      </c>
      <c r="F4696" s="1">
        <v>44256</v>
      </c>
      <c r="G4696">
        <v>1.47</v>
      </c>
      <c r="H4696">
        <v>81.700100000000006</v>
      </c>
      <c r="I4696">
        <v>22.58</v>
      </c>
      <c r="J4696">
        <v>98.75</v>
      </c>
      <c r="K4696" t="s">
        <v>32</v>
      </c>
      <c r="L4696">
        <v>4231.3</v>
      </c>
      <c r="M4696">
        <f>VLOOKUP(K4696,RatingLookup!$A$2:$C$8,2,FALSE)</f>
        <v>0.12</v>
      </c>
      <c r="N4696">
        <f t="shared" si="219"/>
        <v>1.0596241035318976E-2</v>
      </c>
      <c r="O4696">
        <f>VLOOKUP(K4696,RatingLookup!$A$2:$C$8,3,FALSE)</f>
        <v>0.7</v>
      </c>
      <c r="P4696">
        <f t="shared" si="220"/>
        <v>31.385112284921629</v>
      </c>
      <c r="Q4696" t="str">
        <f t="shared" ca="1" si="221"/>
        <v>No</v>
      </c>
    </row>
    <row r="4697" spans="1:17" x14ac:dyDescent="0.45">
      <c r="A4697" t="s">
        <v>193</v>
      </c>
      <c r="B4697" t="s">
        <v>194</v>
      </c>
      <c r="C4697" t="s">
        <v>77</v>
      </c>
      <c r="D4697" t="s">
        <v>188</v>
      </c>
      <c r="E4697" t="s">
        <v>21</v>
      </c>
      <c r="F4697" s="1">
        <v>44287</v>
      </c>
      <c r="G4697">
        <v>1.17</v>
      </c>
      <c r="H4697">
        <v>83.032399999999996</v>
      </c>
      <c r="I4697">
        <v>5.24</v>
      </c>
      <c r="J4697">
        <v>87.6</v>
      </c>
      <c r="K4697" t="s">
        <v>32</v>
      </c>
      <c r="L4697">
        <v>4682.6099999999997</v>
      </c>
      <c r="M4697">
        <f>VLOOKUP(K4697,RatingLookup!$A$2:$C$8,2,FALSE)</f>
        <v>0.12</v>
      </c>
      <c r="N4697">
        <f t="shared" si="219"/>
        <v>1.0596241035318976E-2</v>
      </c>
      <c r="O4697">
        <f>VLOOKUP(K4697,RatingLookup!$A$2:$C$8,3,FALSE)</f>
        <v>0.7</v>
      </c>
      <c r="P4697">
        <f t="shared" si="220"/>
        <v>34.732644964076485</v>
      </c>
      <c r="Q4697" t="str">
        <f t="shared" ca="1" si="221"/>
        <v>No</v>
      </c>
    </row>
    <row r="4698" spans="1:17" x14ac:dyDescent="0.45">
      <c r="A4698" t="s">
        <v>193</v>
      </c>
      <c r="B4698" t="s">
        <v>194</v>
      </c>
      <c r="C4698" t="s">
        <v>77</v>
      </c>
      <c r="D4698" t="s">
        <v>188</v>
      </c>
      <c r="E4698" t="s">
        <v>21</v>
      </c>
      <c r="F4698" s="1">
        <v>44317</v>
      </c>
      <c r="G4698">
        <v>2.4</v>
      </c>
      <c r="H4698">
        <v>83.043000000000006</v>
      </c>
      <c r="I4698">
        <v>10.73</v>
      </c>
      <c r="J4698">
        <v>86.2</v>
      </c>
      <c r="K4698" t="s">
        <v>32</v>
      </c>
      <c r="L4698">
        <v>4711.13</v>
      </c>
      <c r="M4698">
        <f>VLOOKUP(K4698,RatingLookup!$A$2:$C$8,2,FALSE)</f>
        <v>0.12</v>
      </c>
      <c r="N4698">
        <f t="shared" si="219"/>
        <v>1.0596241035318976E-2</v>
      </c>
      <c r="O4698">
        <f>VLOOKUP(K4698,RatingLookup!$A$2:$C$8,3,FALSE)</f>
        <v>0.7</v>
      </c>
      <c r="P4698">
        <f t="shared" si="220"/>
        <v>34.944188320105596</v>
      </c>
      <c r="Q4698" t="str">
        <f t="shared" ca="1" si="221"/>
        <v>No</v>
      </c>
    </row>
    <row r="4699" spans="1:17" x14ac:dyDescent="0.45">
      <c r="A4699" t="s">
        <v>193</v>
      </c>
      <c r="B4699" t="s">
        <v>194</v>
      </c>
      <c r="C4699" t="s">
        <v>77</v>
      </c>
      <c r="D4699" t="s">
        <v>188</v>
      </c>
      <c r="E4699" t="s">
        <v>21</v>
      </c>
      <c r="F4699" s="1">
        <v>44348</v>
      </c>
      <c r="G4699">
        <v>1.62</v>
      </c>
      <c r="H4699">
        <v>77.854500000000002</v>
      </c>
      <c r="I4699">
        <v>19.899999999999999</v>
      </c>
      <c r="J4699">
        <v>78.17</v>
      </c>
      <c r="K4699" t="s">
        <v>32</v>
      </c>
      <c r="L4699">
        <v>5025.0600000000004</v>
      </c>
      <c r="M4699">
        <f>VLOOKUP(K4699,RatingLookup!$A$2:$C$8,2,FALSE)</f>
        <v>0.12</v>
      </c>
      <c r="N4699">
        <f t="shared" si="219"/>
        <v>1.0596241035318976E-2</v>
      </c>
      <c r="O4699">
        <f>VLOOKUP(K4699,RatingLookup!$A$2:$C$8,3,FALSE)</f>
        <v>0.7</v>
      </c>
      <c r="P4699">
        <f t="shared" si="220"/>
        <v>37.272722883857988</v>
      </c>
      <c r="Q4699" t="str">
        <f t="shared" ca="1" si="221"/>
        <v>No</v>
      </c>
    </row>
    <row r="4700" spans="1:17" x14ac:dyDescent="0.45">
      <c r="A4700" t="s">
        <v>193</v>
      </c>
      <c r="B4700" t="s">
        <v>194</v>
      </c>
      <c r="C4700" t="s">
        <v>77</v>
      </c>
      <c r="D4700" t="s">
        <v>188</v>
      </c>
      <c r="E4700" t="s">
        <v>21</v>
      </c>
      <c r="F4700" s="1">
        <v>44378</v>
      </c>
      <c r="G4700">
        <v>1.59</v>
      </c>
      <c r="H4700">
        <v>80.989000000000004</v>
      </c>
      <c r="I4700">
        <v>22.97</v>
      </c>
      <c r="J4700">
        <v>51.66</v>
      </c>
      <c r="K4700" t="s">
        <v>32</v>
      </c>
      <c r="L4700">
        <v>4390.3100000000004</v>
      </c>
      <c r="M4700">
        <f>VLOOKUP(K4700,RatingLookup!$A$2:$C$8,2,FALSE)</f>
        <v>0.12</v>
      </c>
      <c r="N4700">
        <f t="shared" si="219"/>
        <v>1.0596241035318976E-2</v>
      </c>
      <c r="O4700">
        <f>VLOOKUP(K4700,RatingLookup!$A$2:$C$8,3,FALSE)</f>
        <v>0.7</v>
      </c>
      <c r="P4700">
        <f t="shared" si="220"/>
        <v>32.564548085839881</v>
      </c>
      <c r="Q4700" t="str">
        <f t="shared" ca="1" si="221"/>
        <v>No</v>
      </c>
    </row>
    <row r="4701" spans="1:17" x14ac:dyDescent="0.45">
      <c r="A4701" t="s">
        <v>193</v>
      </c>
      <c r="B4701" t="s">
        <v>194</v>
      </c>
      <c r="C4701" t="s">
        <v>77</v>
      </c>
      <c r="D4701" t="s">
        <v>188</v>
      </c>
      <c r="E4701" t="s">
        <v>21</v>
      </c>
      <c r="F4701" s="1">
        <v>44409</v>
      </c>
      <c r="G4701">
        <v>0.13</v>
      </c>
      <c r="H4701">
        <v>85.008099999999999</v>
      </c>
      <c r="I4701">
        <v>11.05</v>
      </c>
      <c r="J4701">
        <v>75.53</v>
      </c>
      <c r="K4701" t="s">
        <v>32</v>
      </c>
      <c r="L4701">
        <v>4374.95</v>
      </c>
      <c r="M4701">
        <f>VLOOKUP(K4701,RatingLookup!$A$2:$C$8,2,FALSE)</f>
        <v>0.12</v>
      </c>
      <c r="N4701">
        <f t="shared" si="219"/>
        <v>1.0596241035318976E-2</v>
      </c>
      <c r="O4701">
        <f>VLOOKUP(K4701,RatingLookup!$A$2:$C$8,3,FALSE)</f>
        <v>0.7</v>
      </c>
      <c r="P4701">
        <f t="shared" si="220"/>
        <v>32.450617302228125</v>
      </c>
      <c r="Q4701" t="str">
        <f t="shared" ca="1" si="221"/>
        <v>No</v>
      </c>
    </row>
    <row r="4702" spans="1:17" x14ac:dyDescent="0.45">
      <c r="A4702" t="s">
        <v>193</v>
      </c>
      <c r="B4702" t="s">
        <v>194</v>
      </c>
      <c r="C4702" t="s">
        <v>77</v>
      </c>
      <c r="D4702" t="s">
        <v>188</v>
      </c>
      <c r="E4702" t="s">
        <v>21</v>
      </c>
      <c r="F4702" s="1">
        <v>44440</v>
      </c>
      <c r="G4702">
        <v>1.35</v>
      </c>
      <c r="H4702">
        <v>80.770700000000005</v>
      </c>
      <c r="I4702">
        <v>20.62</v>
      </c>
      <c r="J4702">
        <v>88.02</v>
      </c>
      <c r="K4702" t="s">
        <v>32</v>
      </c>
      <c r="L4702">
        <v>4498.21</v>
      </c>
      <c r="M4702">
        <f>VLOOKUP(K4702,RatingLookup!$A$2:$C$8,2,FALSE)</f>
        <v>0.12</v>
      </c>
      <c r="N4702">
        <f t="shared" si="219"/>
        <v>1.0596241035318976E-2</v>
      </c>
      <c r="O4702">
        <f>VLOOKUP(K4702,RatingLookup!$A$2:$C$8,3,FALSE)</f>
        <v>0.7</v>
      </c>
      <c r="P4702">
        <f t="shared" si="220"/>
        <v>33.364882171237518</v>
      </c>
      <c r="Q4702" t="str">
        <f t="shared" ca="1" si="221"/>
        <v>No</v>
      </c>
    </row>
    <row r="4703" spans="1:17" x14ac:dyDescent="0.45">
      <c r="A4703" t="s">
        <v>193</v>
      </c>
      <c r="B4703" t="s">
        <v>194</v>
      </c>
      <c r="C4703" t="s">
        <v>77</v>
      </c>
      <c r="D4703" t="s">
        <v>188</v>
      </c>
      <c r="E4703" t="s">
        <v>21</v>
      </c>
      <c r="F4703" s="1">
        <v>44470</v>
      </c>
      <c r="G4703">
        <v>2.7</v>
      </c>
      <c r="H4703">
        <v>80.520600000000002</v>
      </c>
      <c r="I4703">
        <v>17.73</v>
      </c>
      <c r="J4703">
        <v>74</v>
      </c>
      <c r="K4703" t="s">
        <v>32</v>
      </c>
      <c r="L4703">
        <v>4220.4799999999996</v>
      </c>
      <c r="M4703">
        <f>VLOOKUP(K4703,RatingLookup!$A$2:$C$8,2,FALSE)</f>
        <v>0.12</v>
      </c>
      <c r="N4703">
        <f t="shared" si="219"/>
        <v>1.0596241035318976E-2</v>
      </c>
      <c r="O4703">
        <f>VLOOKUP(K4703,RatingLookup!$A$2:$C$8,3,FALSE)</f>
        <v>0.7</v>
      </c>
      <c r="P4703">
        <f t="shared" si="220"/>
        <v>31.304856355320116</v>
      </c>
      <c r="Q4703" t="str">
        <f t="shared" ca="1" si="221"/>
        <v>No</v>
      </c>
    </row>
    <row r="4704" spans="1:17" x14ac:dyDescent="0.45">
      <c r="A4704" t="s">
        <v>193</v>
      </c>
      <c r="B4704" t="s">
        <v>194</v>
      </c>
      <c r="C4704" t="s">
        <v>77</v>
      </c>
      <c r="D4704" t="s">
        <v>188</v>
      </c>
      <c r="E4704" t="s">
        <v>21</v>
      </c>
      <c r="F4704" s="1">
        <v>44501</v>
      </c>
      <c r="G4704">
        <v>2.27</v>
      </c>
      <c r="H4704">
        <v>83.843800000000002</v>
      </c>
      <c r="I4704">
        <v>20.46</v>
      </c>
      <c r="J4704">
        <v>68.62</v>
      </c>
      <c r="K4704" t="s">
        <v>32</v>
      </c>
      <c r="L4704">
        <v>4594.47</v>
      </c>
      <c r="M4704">
        <f>VLOOKUP(K4704,RatingLookup!$A$2:$C$8,2,FALSE)</f>
        <v>0.12</v>
      </c>
      <c r="N4704">
        <f t="shared" si="219"/>
        <v>1.0596241035318976E-2</v>
      </c>
      <c r="O4704">
        <f>VLOOKUP(K4704,RatingLookup!$A$2:$C$8,3,FALSE)</f>
        <v>0.7</v>
      </c>
      <c r="P4704">
        <f t="shared" si="220"/>
        <v>34.078878084679381</v>
      </c>
      <c r="Q4704" t="str">
        <f t="shared" ca="1" si="221"/>
        <v>No</v>
      </c>
    </row>
    <row r="4705" spans="1:17" x14ac:dyDescent="0.45">
      <c r="A4705" t="s">
        <v>193</v>
      </c>
      <c r="B4705" t="s">
        <v>194</v>
      </c>
      <c r="C4705" t="s">
        <v>77</v>
      </c>
      <c r="D4705" t="s">
        <v>188</v>
      </c>
      <c r="E4705" t="s">
        <v>21</v>
      </c>
      <c r="F4705" s="1">
        <v>44531</v>
      </c>
      <c r="G4705">
        <v>1.1200000000000001</v>
      </c>
      <c r="H4705">
        <v>80.042900000000003</v>
      </c>
      <c r="I4705">
        <v>16.91</v>
      </c>
      <c r="J4705">
        <v>72.66</v>
      </c>
      <c r="K4705" t="s">
        <v>31</v>
      </c>
      <c r="L4705">
        <v>4566.2299999999996</v>
      </c>
      <c r="M4705">
        <f>VLOOKUP(K4705,RatingLookup!$A$2:$C$8,2,FALSE)</f>
        <v>0.04</v>
      </c>
      <c r="N4705">
        <f t="shared" si="219"/>
        <v>3.3960531989175591E-3</v>
      </c>
      <c r="O4705">
        <f>VLOOKUP(K4705,RatingLookup!$A$2:$C$8,3,FALSE)</f>
        <v>0.6</v>
      </c>
      <c r="P4705">
        <f t="shared" si="220"/>
        <v>9.304295999095995</v>
      </c>
      <c r="Q4705" t="str">
        <f t="shared" ca="1" si="221"/>
        <v>No</v>
      </c>
    </row>
    <row r="4706" spans="1:17" x14ac:dyDescent="0.45">
      <c r="A4706" t="s">
        <v>193</v>
      </c>
      <c r="B4706" t="s">
        <v>194</v>
      </c>
      <c r="C4706" t="s">
        <v>77</v>
      </c>
      <c r="D4706" t="s">
        <v>188</v>
      </c>
      <c r="E4706" t="s">
        <v>21</v>
      </c>
      <c r="F4706" s="1">
        <v>44562</v>
      </c>
      <c r="G4706">
        <v>7.0000000000000007E-2</v>
      </c>
      <c r="H4706">
        <v>81.481399999999994</v>
      </c>
      <c r="I4706">
        <v>21.22</v>
      </c>
      <c r="J4706">
        <v>102.1</v>
      </c>
      <c r="K4706" t="s">
        <v>31</v>
      </c>
      <c r="L4706">
        <v>4490.8900000000003</v>
      </c>
      <c r="M4706">
        <f>VLOOKUP(K4706,RatingLookup!$A$2:$C$8,2,FALSE)</f>
        <v>0.04</v>
      </c>
      <c r="N4706">
        <f t="shared" si="219"/>
        <v>3.3960531989175591E-3</v>
      </c>
      <c r="O4706">
        <f>VLOOKUP(K4706,RatingLookup!$A$2:$C$8,3,FALSE)</f>
        <v>0.6</v>
      </c>
      <c r="P4706">
        <f t="shared" si="220"/>
        <v>9.150780810292126</v>
      </c>
      <c r="Q4706" t="str">
        <f t="shared" ca="1" si="221"/>
        <v>No</v>
      </c>
    </row>
    <row r="4707" spans="1:17" x14ac:dyDescent="0.45">
      <c r="A4707" t="s">
        <v>193</v>
      </c>
      <c r="B4707" t="s">
        <v>194</v>
      </c>
      <c r="C4707" t="s">
        <v>77</v>
      </c>
      <c r="D4707" t="s">
        <v>188</v>
      </c>
      <c r="E4707" t="s">
        <v>21</v>
      </c>
      <c r="F4707" s="1">
        <v>44593</v>
      </c>
      <c r="G4707">
        <v>0.85</v>
      </c>
      <c r="H4707">
        <v>84.186000000000007</v>
      </c>
      <c r="I4707">
        <v>14.42</v>
      </c>
      <c r="J4707">
        <v>63.92</v>
      </c>
      <c r="K4707" t="s">
        <v>31</v>
      </c>
      <c r="L4707">
        <v>4518.5600000000004</v>
      </c>
      <c r="M4707">
        <f>VLOOKUP(K4707,RatingLookup!$A$2:$C$8,2,FALSE)</f>
        <v>0.04</v>
      </c>
      <c r="N4707">
        <f t="shared" si="219"/>
        <v>3.3960531989175591E-3</v>
      </c>
      <c r="O4707">
        <f>VLOOKUP(K4707,RatingLookup!$A$2:$C$8,3,FALSE)</f>
        <v>0.6</v>
      </c>
      <c r="P4707">
        <f t="shared" si="220"/>
        <v>9.2071620855005563</v>
      </c>
      <c r="Q4707" t="str">
        <f t="shared" ca="1" si="221"/>
        <v>No</v>
      </c>
    </row>
    <row r="4708" spans="1:17" x14ac:dyDescent="0.45">
      <c r="A4708" t="s">
        <v>193</v>
      </c>
      <c r="B4708" t="s">
        <v>194</v>
      </c>
      <c r="C4708" t="s">
        <v>77</v>
      </c>
      <c r="D4708" t="s">
        <v>188</v>
      </c>
      <c r="E4708" t="s">
        <v>21</v>
      </c>
      <c r="F4708" s="1">
        <v>44621</v>
      </c>
      <c r="G4708">
        <v>2.29</v>
      </c>
      <c r="H4708">
        <v>80.515600000000006</v>
      </c>
      <c r="I4708">
        <v>17.25</v>
      </c>
      <c r="J4708">
        <v>84.53</v>
      </c>
      <c r="K4708" t="s">
        <v>31</v>
      </c>
      <c r="L4708">
        <v>4710</v>
      </c>
      <c r="M4708">
        <f>VLOOKUP(K4708,RatingLookup!$A$2:$C$8,2,FALSE)</f>
        <v>0.04</v>
      </c>
      <c r="N4708">
        <f t="shared" si="219"/>
        <v>3.3960531989175591E-3</v>
      </c>
      <c r="O4708">
        <f>VLOOKUP(K4708,RatingLookup!$A$2:$C$8,3,FALSE)</f>
        <v>0.6</v>
      </c>
      <c r="P4708">
        <f t="shared" si="220"/>
        <v>9.5972463401410213</v>
      </c>
      <c r="Q4708" t="str">
        <f t="shared" ca="1" si="221"/>
        <v>No</v>
      </c>
    </row>
    <row r="4709" spans="1:17" x14ac:dyDescent="0.45">
      <c r="A4709" t="s">
        <v>193</v>
      </c>
      <c r="B4709" t="s">
        <v>194</v>
      </c>
      <c r="C4709" t="s">
        <v>77</v>
      </c>
      <c r="D4709" t="s">
        <v>188</v>
      </c>
      <c r="E4709" t="s">
        <v>21</v>
      </c>
      <c r="F4709" s="1">
        <v>44652</v>
      </c>
      <c r="G4709">
        <v>2.36</v>
      </c>
      <c r="H4709">
        <v>77.116100000000003</v>
      </c>
      <c r="I4709">
        <v>16.170000000000002</v>
      </c>
      <c r="J4709">
        <v>67.209999999999994</v>
      </c>
      <c r="K4709" t="s">
        <v>31</v>
      </c>
      <c r="L4709">
        <v>4504.47</v>
      </c>
      <c r="M4709">
        <f>VLOOKUP(K4709,RatingLookup!$A$2:$C$8,2,FALSE)</f>
        <v>0.04</v>
      </c>
      <c r="N4709">
        <f t="shared" si="219"/>
        <v>3.3960531989175591E-3</v>
      </c>
      <c r="O4709">
        <f>VLOOKUP(K4709,RatingLookup!$A$2:$C$8,3,FALSE)</f>
        <v>0.6</v>
      </c>
      <c r="P4709">
        <f t="shared" si="220"/>
        <v>9.1784518517569058</v>
      </c>
      <c r="Q4709" t="str">
        <f t="shared" ca="1" si="221"/>
        <v>No</v>
      </c>
    </row>
    <row r="4710" spans="1:17" x14ac:dyDescent="0.45">
      <c r="A4710" t="s">
        <v>193</v>
      </c>
      <c r="B4710" t="s">
        <v>194</v>
      </c>
      <c r="C4710" t="s">
        <v>77</v>
      </c>
      <c r="D4710" t="s">
        <v>188</v>
      </c>
      <c r="E4710" t="s">
        <v>21</v>
      </c>
      <c r="F4710" s="1">
        <v>44682</v>
      </c>
      <c r="G4710">
        <v>0.8</v>
      </c>
      <c r="H4710">
        <v>81.5642</v>
      </c>
      <c r="I4710">
        <v>21.33</v>
      </c>
      <c r="J4710">
        <v>79.05</v>
      </c>
      <c r="K4710" t="s">
        <v>31</v>
      </c>
      <c r="L4710">
        <v>4316.1499999999996</v>
      </c>
      <c r="M4710">
        <f>VLOOKUP(K4710,RatingLookup!$A$2:$C$8,2,FALSE)</f>
        <v>0.04</v>
      </c>
      <c r="N4710">
        <f t="shared" si="219"/>
        <v>3.3960531989175591E-3</v>
      </c>
      <c r="O4710">
        <f>VLOOKUP(K4710,RatingLookup!$A$2:$C$8,3,FALSE)</f>
        <v>0.6</v>
      </c>
      <c r="P4710">
        <f t="shared" si="220"/>
        <v>8.7947250087048126</v>
      </c>
      <c r="Q4710" t="str">
        <f t="shared" ca="1" si="221"/>
        <v>No</v>
      </c>
    </row>
    <row r="4711" spans="1:17" x14ac:dyDescent="0.45">
      <c r="A4711" t="s">
        <v>193</v>
      </c>
      <c r="B4711" t="s">
        <v>194</v>
      </c>
      <c r="C4711" t="s">
        <v>77</v>
      </c>
      <c r="D4711" t="s">
        <v>188</v>
      </c>
      <c r="E4711" t="s">
        <v>21</v>
      </c>
      <c r="F4711" s="1">
        <v>44713</v>
      </c>
      <c r="G4711">
        <v>1.72</v>
      </c>
      <c r="H4711">
        <v>83.714299999999994</v>
      </c>
      <c r="I4711">
        <v>14.3</v>
      </c>
      <c r="J4711">
        <v>76.319999999999993</v>
      </c>
      <c r="K4711" t="s">
        <v>31</v>
      </c>
      <c r="L4711">
        <v>4001.33</v>
      </c>
      <c r="M4711">
        <f>VLOOKUP(K4711,RatingLookup!$A$2:$C$8,2,FALSE)</f>
        <v>0.04</v>
      </c>
      <c r="N4711">
        <f t="shared" si="219"/>
        <v>3.3960531989175591E-3</v>
      </c>
      <c r="O4711">
        <f>VLOOKUP(K4711,RatingLookup!$A$2:$C$8,3,FALSE)</f>
        <v>0.6</v>
      </c>
      <c r="P4711">
        <f t="shared" si="220"/>
        <v>8.1532377278548775</v>
      </c>
      <c r="Q4711" t="str">
        <f t="shared" ca="1" si="221"/>
        <v>No</v>
      </c>
    </row>
    <row r="4712" spans="1:17" x14ac:dyDescent="0.45">
      <c r="A4712" t="s">
        <v>193</v>
      </c>
      <c r="B4712" t="s">
        <v>194</v>
      </c>
      <c r="C4712" t="s">
        <v>77</v>
      </c>
      <c r="D4712" t="s">
        <v>188</v>
      </c>
      <c r="E4712" t="s">
        <v>21</v>
      </c>
      <c r="F4712" s="1">
        <v>44743</v>
      </c>
      <c r="G4712">
        <v>1.19</v>
      </c>
      <c r="H4712">
        <v>79.313699999999997</v>
      </c>
      <c r="I4712">
        <v>23.77</v>
      </c>
      <c r="J4712">
        <v>88.28</v>
      </c>
      <c r="K4712" t="s">
        <v>31</v>
      </c>
      <c r="L4712">
        <v>4340.71</v>
      </c>
      <c r="M4712">
        <f>VLOOKUP(K4712,RatingLookup!$A$2:$C$8,2,FALSE)</f>
        <v>0.04</v>
      </c>
      <c r="N4712">
        <f t="shared" si="219"/>
        <v>3.3960531989175591E-3</v>
      </c>
      <c r="O4712">
        <f>VLOOKUP(K4712,RatingLookup!$A$2:$C$8,3,FALSE)</f>
        <v>0.6</v>
      </c>
      <c r="P4712">
        <f t="shared" si="220"/>
        <v>8.844769248644063</v>
      </c>
      <c r="Q4712" t="str">
        <f t="shared" ca="1" si="221"/>
        <v>No</v>
      </c>
    </row>
    <row r="4713" spans="1:17" x14ac:dyDescent="0.45">
      <c r="A4713" t="s">
        <v>193</v>
      </c>
      <c r="B4713" t="s">
        <v>194</v>
      </c>
      <c r="C4713" t="s">
        <v>77</v>
      </c>
      <c r="D4713" t="s">
        <v>188</v>
      </c>
      <c r="E4713" t="s">
        <v>21</v>
      </c>
      <c r="F4713" s="1">
        <v>44774</v>
      </c>
      <c r="G4713">
        <v>0.82</v>
      </c>
      <c r="H4713">
        <v>84.480800000000002</v>
      </c>
      <c r="I4713">
        <v>17.829999999999998</v>
      </c>
      <c r="J4713">
        <v>76.069999999999993</v>
      </c>
      <c r="K4713" t="s">
        <v>31</v>
      </c>
      <c r="L4713">
        <v>4616.05</v>
      </c>
      <c r="M4713">
        <f>VLOOKUP(K4713,RatingLookup!$A$2:$C$8,2,FALSE)</f>
        <v>0.04</v>
      </c>
      <c r="N4713">
        <f t="shared" si="219"/>
        <v>3.3960531989175591E-3</v>
      </c>
      <c r="O4713">
        <f>VLOOKUP(K4713,RatingLookup!$A$2:$C$8,3,FALSE)</f>
        <v>0.6</v>
      </c>
      <c r="P4713">
        <f t="shared" si="220"/>
        <v>9.4058108213180383</v>
      </c>
      <c r="Q4713" t="str">
        <f t="shared" ca="1" si="221"/>
        <v>No</v>
      </c>
    </row>
    <row r="4714" spans="1:17" x14ac:dyDescent="0.45">
      <c r="A4714" t="s">
        <v>193</v>
      </c>
      <c r="B4714" t="s">
        <v>194</v>
      </c>
      <c r="C4714" t="s">
        <v>77</v>
      </c>
      <c r="D4714" t="s">
        <v>188</v>
      </c>
      <c r="E4714" t="s">
        <v>21</v>
      </c>
      <c r="F4714" s="1">
        <v>44805</v>
      </c>
      <c r="G4714">
        <v>1.62</v>
      </c>
      <c r="H4714">
        <v>81.570499999999996</v>
      </c>
      <c r="I4714">
        <v>20.32</v>
      </c>
      <c r="J4714">
        <v>80.42</v>
      </c>
      <c r="K4714" t="s">
        <v>31</v>
      </c>
      <c r="L4714">
        <v>4662.09</v>
      </c>
      <c r="M4714">
        <f>VLOOKUP(K4714,RatingLookup!$A$2:$C$8,2,FALSE)</f>
        <v>0.04</v>
      </c>
      <c r="N4714">
        <f t="shared" si="219"/>
        <v>3.3960531989175591E-3</v>
      </c>
      <c r="O4714">
        <f>VLOOKUP(K4714,RatingLookup!$A$2:$C$8,3,FALSE)</f>
        <v>0.6</v>
      </c>
      <c r="P4714">
        <f t="shared" si="220"/>
        <v>9.4996233948849369</v>
      </c>
      <c r="Q4714" t="str">
        <f t="shared" ca="1" si="221"/>
        <v>No</v>
      </c>
    </row>
    <row r="4715" spans="1:17" x14ac:dyDescent="0.45">
      <c r="A4715" t="s">
        <v>193</v>
      </c>
      <c r="B4715" t="s">
        <v>194</v>
      </c>
      <c r="C4715" t="s">
        <v>77</v>
      </c>
      <c r="D4715" t="s">
        <v>188</v>
      </c>
      <c r="E4715" t="s">
        <v>21</v>
      </c>
      <c r="F4715" s="1">
        <v>44835</v>
      </c>
      <c r="G4715">
        <v>1.34</v>
      </c>
      <c r="H4715">
        <v>83.818899999999999</v>
      </c>
      <c r="I4715">
        <v>19.75</v>
      </c>
      <c r="J4715">
        <v>76.040000000000006</v>
      </c>
      <c r="K4715" t="s">
        <v>31</v>
      </c>
      <c r="L4715">
        <v>4425.29</v>
      </c>
      <c r="M4715">
        <f>VLOOKUP(K4715,RatingLookup!$A$2:$C$8,2,FALSE)</f>
        <v>0.04</v>
      </c>
      <c r="N4715">
        <f t="shared" si="219"/>
        <v>3.3960531989175591E-3</v>
      </c>
      <c r="O4715">
        <f>VLOOKUP(K4715,RatingLookup!$A$2:$C$8,3,FALSE)</f>
        <v>0.6</v>
      </c>
      <c r="P4715">
        <f t="shared" si="220"/>
        <v>9.0171121563827299</v>
      </c>
      <c r="Q4715" t="str">
        <f t="shared" ca="1" si="221"/>
        <v>No</v>
      </c>
    </row>
    <row r="4716" spans="1:17" x14ac:dyDescent="0.45">
      <c r="A4716" t="s">
        <v>193</v>
      </c>
      <c r="B4716" t="s">
        <v>194</v>
      </c>
      <c r="C4716" t="s">
        <v>77</v>
      </c>
      <c r="D4716" t="s">
        <v>188</v>
      </c>
      <c r="E4716" t="s">
        <v>21</v>
      </c>
      <c r="F4716" s="1">
        <v>44866</v>
      </c>
      <c r="G4716">
        <v>1.17</v>
      </c>
      <c r="H4716">
        <v>81.981899999999996</v>
      </c>
      <c r="I4716">
        <v>19.41</v>
      </c>
      <c r="J4716">
        <v>77.63</v>
      </c>
      <c r="K4716" t="s">
        <v>31</v>
      </c>
      <c r="L4716">
        <v>4384.68</v>
      </c>
      <c r="M4716">
        <f>VLOOKUP(K4716,RatingLookup!$A$2:$C$8,2,FALSE)</f>
        <v>0.04</v>
      </c>
      <c r="N4716">
        <f t="shared" si="219"/>
        <v>3.3960531989175591E-3</v>
      </c>
      <c r="O4716">
        <f>VLOOKUP(K4716,RatingLookup!$A$2:$C$8,3,FALSE)</f>
        <v>0.6</v>
      </c>
      <c r="P4716">
        <f t="shared" si="220"/>
        <v>8.9343639241379051</v>
      </c>
      <c r="Q4716" t="str">
        <f t="shared" ca="1" si="221"/>
        <v>No</v>
      </c>
    </row>
    <row r="4717" spans="1:17" x14ac:dyDescent="0.45">
      <c r="A4717" t="s">
        <v>193</v>
      </c>
      <c r="B4717" t="s">
        <v>194</v>
      </c>
      <c r="C4717" t="s">
        <v>77</v>
      </c>
      <c r="D4717" t="s">
        <v>188</v>
      </c>
      <c r="E4717" t="s">
        <v>21</v>
      </c>
      <c r="F4717" s="1">
        <v>44896</v>
      </c>
      <c r="G4717">
        <v>1.92</v>
      </c>
      <c r="H4717">
        <v>84.872699999999995</v>
      </c>
      <c r="I4717">
        <v>26.73</v>
      </c>
      <c r="J4717">
        <v>76.61</v>
      </c>
      <c r="K4717" t="s">
        <v>31</v>
      </c>
      <c r="L4717">
        <v>4340.3599999999997</v>
      </c>
      <c r="M4717">
        <f>VLOOKUP(K4717,RatingLookup!$A$2:$C$8,2,FALSE)</f>
        <v>0.04</v>
      </c>
      <c r="N4717">
        <f t="shared" si="219"/>
        <v>3.3960531989175591E-3</v>
      </c>
      <c r="O4717">
        <f>VLOOKUP(K4717,RatingLookup!$A$2:$C$8,3,FALSE)</f>
        <v>0.6</v>
      </c>
      <c r="P4717">
        <f t="shared" si="220"/>
        <v>8.8440560774722883</v>
      </c>
      <c r="Q4717" t="str">
        <f t="shared" ca="1" si="221"/>
        <v>No</v>
      </c>
    </row>
    <row r="4718" spans="1:17" x14ac:dyDescent="0.45">
      <c r="A4718" t="s">
        <v>193</v>
      </c>
      <c r="B4718" t="s">
        <v>194</v>
      </c>
      <c r="C4718" t="s">
        <v>77</v>
      </c>
      <c r="D4718" t="s">
        <v>188</v>
      </c>
      <c r="E4718" t="s">
        <v>21</v>
      </c>
      <c r="F4718" s="1">
        <v>44927</v>
      </c>
      <c r="G4718">
        <v>1.46</v>
      </c>
      <c r="H4718">
        <v>81.348600000000005</v>
      </c>
      <c r="I4718">
        <v>18.62</v>
      </c>
      <c r="J4718">
        <v>82.67</v>
      </c>
      <c r="K4718" t="s">
        <v>31</v>
      </c>
      <c r="L4718">
        <v>4476.3100000000004</v>
      </c>
      <c r="M4718">
        <f>VLOOKUP(K4718,RatingLookup!$A$2:$C$8,2,FALSE)</f>
        <v>0.04</v>
      </c>
      <c r="N4718">
        <f t="shared" si="219"/>
        <v>3.3960531989175591E-3</v>
      </c>
      <c r="O4718">
        <f>VLOOKUP(K4718,RatingLookup!$A$2:$C$8,3,FALSE)</f>
        <v>0.6</v>
      </c>
      <c r="P4718">
        <f t="shared" si="220"/>
        <v>9.1210721369079959</v>
      </c>
      <c r="Q4718" t="str">
        <f t="shared" ca="1" si="221"/>
        <v>No</v>
      </c>
    </row>
    <row r="4719" spans="1:17" x14ac:dyDescent="0.45">
      <c r="A4719" t="s">
        <v>193</v>
      </c>
      <c r="B4719" t="s">
        <v>194</v>
      </c>
      <c r="C4719" t="s">
        <v>77</v>
      </c>
      <c r="D4719" t="s">
        <v>188</v>
      </c>
      <c r="E4719" t="s">
        <v>21</v>
      </c>
      <c r="F4719" s="1">
        <v>44958</v>
      </c>
      <c r="G4719">
        <v>1.4</v>
      </c>
      <c r="H4719">
        <v>80.970799999999997</v>
      </c>
      <c r="I4719">
        <v>20.75</v>
      </c>
      <c r="J4719">
        <v>76.790000000000006</v>
      </c>
      <c r="K4719" t="s">
        <v>31</v>
      </c>
      <c r="L4719">
        <v>4266.3900000000003</v>
      </c>
      <c r="M4719">
        <f>VLOOKUP(K4719,RatingLookup!$A$2:$C$8,2,FALSE)</f>
        <v>0.04</v>
      </c>
      <c r="N4719">
        <f t="shared" si="219"/>
        <v>3.3960531989175591E-3</v>
      </c>
      <c r="O4719">
        <f>VLOOKUP(K4719,RatingLookup!$A$2:$C$8,3,FALSE)</f>
        <v>0.6</v>
      </c>
      <c r="P4719">
        <f t="shared" si="220"/>
        <v>8.6933324443979316</v>
      </c>
      <c r="Q4719" t="str">
        <f t="shared" ca="1" si="221"/>
        <v>No</v>
      </c>
    </row>
    <row r="4720" spans="1:17" x14ac:dyDescent="0.45">
      <c r="A4720" t="s">
        <v>193</v>
      </c>
      <c r="B4720" t="s">
        <v>194</v>
      </c>
      <c r="C4720" t="s">
        <v>77</v>
      </c>
      <c r="D4720" t="s">
        <v>188</v>
      </c>
      <c r="E4720" t="s">
        <v>21</v>
      </c>
      <c r="F4720" s="1">
        <v>44986</v>
      </c>
      <c r="G4720">
        <v>2.44</v>
      </c>
      <c r="H4720">
        <v>85.142899999999997</v>
      </c>
      <c r="I4720">
        <v>13.4</v>
      </c>
      <c r="J4720">
        <v>84.25</v>
      </c>
      <c r="K4720" t="s">
        <v>31</v>
      </c>
      <c r="L4720">
        <v>4237.25</v>
      </c>
      <c r="M4720">
        <f>VLOOKUP(K4720,RatingLookup!$A$2:$C$8,2,FALSE)</f>
        <v>0.04</v>
      </c>
      <c r="N4720">
        <f t="shared" si="219"/>
        <v>3.3960531989175591E-3</v>
      </c>
      <c r="O4720">
        <f>VLOOKUP(K4720,RatingLookup!$A$2:$C$8,3,FALSE)</f>
        <v>0.6</v>
      </c>
      <c r="P4720">
        <f t="shared" si="220"/>
        <v>8.6339558502680553</v>
      </c>
      <c r="Q4720" t="str">
        <f t="shared" ca="1" si="221"/>
        <v>No</v>
      </c>
    </row>
    <row r="4721" spans="1:17" x14ac:dyDescent="0.45">
      <c r="A4721" t="s">
        <v>193</v>
      </c>
      <c r="B4721" t="s">
        <v>194</v>
      </c>
      <c r="C4721" t="s">
        <v>77</v>
      </c>
      <c r="D4721" t="s">
        <v>188</v>
      </c>
      <c r="E4721" t="s">
        <v>21</v>
      </c>
      <c r="F4721" s="1">
        <v>45017</v>
      </c>
      <c r="G4721">
        <v>1.1200000000000001</v>
      </c>
      <c r="H4721">
        <v>78.046099999999996</v>
      </c>
      <c r="I4721">
        <v>18.96</v>
      </c>
      <c r="J4721">
        <v>82.98</v>
      </c>
      <c r="K4721" t="s">
        <v>31</v>
      </c>
      <c r="L4721">
        <v>4385.12</v>
      </c>
      <c r="M4721">
        <f>VLOOKUP(K4721,RatingLookup!$A$2:$C$8,2,FALSE)</f>
        <v>0.04</v>
      </c>
      <c r="N4721">
        <f t="shared" si="219"/>
        <v>3.3960531989175591E-3</v>
      </c>
      <c r="O4721">
        <f>VLOOKUP(K4721,RatingLookup!$A$2:$C$8,3,FALSE)</f>
        <v>0.6</v>
      </c>
      <c r="P4721">
        <f t="shared" si="220"/>
        <v>8.9352604821824198</v>
      </c>
      <c r="Q4721" t="str">
        <f t="shared" ca="1" si="221"/>
        <v>No</v>
      </c>
    </row>
    <row r="4722" spans="1:17" x14ac:dyDescent="0.45">
      <c r="A4722" t="s">
        <v>193</v>
      </c>
      <c r="B4722" t="s">
        <v>194</v>
      </c>
      <c r="C4722" t="s">
        <v>77</v>
      </c>
      <c r="D4722" t="s">
        <v>188</v>
      </c>
      <c r="E4722" t="s">
        <v>21</v>
      </c>
      <c r="F4722" s="1">
        <v>45047</v>
      </c>
      <c r="G4722">
        <v>1.88</v>
      </c>
      <c r="H4722">
        <v>81.945599999999999</v>
      </c>
      <c r="I4722">
        <v>22.16</v>
      </c>
      <c r="J4722">
        <v>88.85</v>
      </c>
      <c r="K4722" t="s">
        <v>31</v>
      </c>
      <c r="L4722">
        <v>4635.2</v>
      </c>
      <c r="M4722">
        <f>VLOOKUP(K4722,RatingLookup!$A$2:$C$8,2,FALSE)</f>
        <v>0.04</v>
      </c>
      <c r="N4722">
        <f t="shared" si="219"/>
        <v>3.3960531989175591E-3</v>
      </c>
      <c r="O4722">
        <f>VLOOKUP(K4722,RatingLookup!$A$2:$C$8,3,FALSE)</f>
        <v>0.6</v>
      </c>
      <c r="P4722">
        <f t="shared" si="220"/>
        <v>9.4448314725736005</v>
      </c>
      <c r="Q4722" t="str">
        <f t="shared" ca="1" si="221"/>
        <v>No</v>
      </c>
    </row>
    <row r="4723" spans="1:17" x14ac:dyDescent="0.45">
      <c r="A4723" t="s">
        <v>193</v>
      </c>
      <c r="B4723" t="s">
        <v>194</v>
      </c>
      <c r="C4723" t="s">
        <v>77</v>
      </c>
      <c r="D4723" t="s">
        <v>188</v>
      </c>
      <c r="E4723" t="s">
        <v>21</v>
      </c>
      <c r="F4723" s="1">
        <v>45078</v>
      </c>
      <c r="G4723">
        <v>1.39</v>
      </c>
      <c r="H4723">
        <v>79.205799999999996</v>
      </c>
      <c r="I4723">
        <v>21.59</v>
      </c>
      <c r="J4723">
        <v>82.93</v>
      </c>
      <c r="K4723" t="s">
        <v>31</v>
      </c>
      <c r="L4723">
        <v>4395.41</v>
      </c>
      <c r="M4723">
        <f>VLOOKUP(K4723,RatingLookup!$A$2:$C$8,2,FALSE)</f>
        <v>0.04</v>
      </c>
      <c r="N4723">
        <f t="shared" si="219"/>
        <v>3.3960531989175591E-3</v>
      </c>
      <c r="O4723">
        <f>VLOOKUP(K4723,RatingLookup!$A$2:$C$8,3,FALSE)</f>
        <v>0.6</v>
      </c>
      <c r="P4723">
        <f t="shared" si="220"/>
        <v>8.9562277146325364</v>
      </c>
      <c r="Q4723" t="str">
        <f t="shared" ca="1" si="221"/>
        <v>No</v>
      </c>
    </row>
    <row r="4724" spans="1:17" x14ac:dyDescent="0.45">
      <c r="A4724" t="s">
        <v>193</v>
      </c>
      <c r="B4724" t="s">
        <v>194</v>
      </c>
      <c r="C4724" t="s">
        <v>77</v>
      </c>
      <c r="D4724" t="s">
        <v>188</v>
      </c>
      <c r="E4724" t="s">
        <v>21</v>
      </c>
      <c r="F4724" s="1">
        <v>45108</v>
      </c>
      <c r="G4724">
        <v>2.2799999999999998</v>
      </c>
      <c r="H4724">
        <v>81.961500000000001</v>
      </c>
      <c r="I4724">
        <v>7.5</v>
      </c>
      <c r="J4724">
        <v>94.91</v>
      </c>
      <c r="K4724" t="s">
        <v>31</v>
      </c>
      <c r="L4724">
        <v>4102.16</v>
      </c>
      <c r="M4724">
        <f>VLOOKUP(K4724,RatingLookup!$A$2:$C$8,2,FALSE)</f>
        <v>0.04</v>
      </c>
      <c r="N4724">
        <f t="shared" si="219"/>
        <v>3.3960531989175591E-3</v>
      </c>
      <c r="O4724">
        <f>VLOOKUP(K4724,RatingLookup!$A$2:$C$8,3,FALSE)</f>
        <v>0.6</v>
      </c>
      <c r="P4724">
        <f t="shared" si="220"/>
        <v>8.3586921542829913</v>
      </c>
      <c r="Q4724" t="str">
        <f t="shared" ca="1" si="221"/>
        <v>No</v>
      </c>
    </row>
    <row r="4725" spans="1:17" x14ac:dyDescent="0.45">
      <c r="A4725" t="s">
        <v>193</v>
      </c>
      <c r="B4725" t="s">
        <v>194</v>
      </c>
      <c r="C4725" t="s">
        <v>77</v>
      </c>
      <c r="D4725" t="s">
        <v>188</v>
      </c>
      <c r="E4725" t="s">
        <v>21</v>
      </c>
      <c r="F4725" s="1">
        <v>45139</v>
      </c>
      <c r="G4725">
        <v>1.55</v>
      </c>
      <c r="H4725">
        <v>84.138400000000004</v>
      </c>
      <c r="I4725">
        <v>5</v>
      </c>
      <c r="J4725">
        <v>84.74</v>
      </c>
      <c r="K4725" t="s">
        <v>31</v>
      </c>
      <c r="L4725">
        <v>4614.9799999999996</v>
      </c>
      <c r="M4725">
        <f>VLOOKUP(K4725,RatingLookup!$A$2:$C$8,2,FALSE)</f>
        <v>0.04</v>
      </c>
      <c r="N4725">
        <f t="shared" si="219"/>
        <v>3.3960531989175591E-3</v>
      </c>
      <c r="O4725">
        <f>VLOOKUP(K4725,RatingLookup!$A$2:$C$8,3,FALSE)</f>
        <v>0.6</v>
      </c>
      <c r="P4725">
        <f t="shared" si="220"/>
        <v>9.4036305551643338</v>
      </c>
      <c r="Q4725" t="str">
        <f t="shared" ca="1" si="221"/>
        <v>No</v>
      </c>
    </row>
    <row r="4726" spans="1:17" x14ac:dyDescent="0.45">
      <c r="A4726" t="s">
        <v>193</v>
      </c>
      <c r="B4726" t="s">
        <v>194</v>
      </c>
      <c r="C4726" t="s">
        <v>77</v>
      </c>
      <c r="D4726" t="s">
        <v>188</v>
      </c>
      <c r="E4726" t="s">
        <v>21</v>
      </c>
      <c r="F4726" s="1">
        <v>45170</v>
      </c>
      <c r="G4726">
        <v>2.21</v>
      </c>
      <c r="H4726">
        <v>79.421099999999996</v>
      </c>
      <c r="I4726">
        <v>25.75</v>
      </c>
      <c r="J4726">
        <v>88.49</v>
      </c>
      <c r="K4726" t="s">
        <v>31</v>
      </c>
      <c r="L4726">
        <v>4560.47</v>
      </c>
      <c r="M4726">
        <f>VLOOKUP(K4726,RatingLookup!$A$2:$C$8,2,FALSE)</f>
        <v>0.04</v>
      </c>
      <c r="N4726">
        <f t="shared" si="219"/>
        <v>3.3960531989175591E-3</v>
      </c>
      <c r="O4726">
        <f>VLOOKUP(K4726,RatingLookup!$A$2:$C$8,3,FALSE)</f>
        <v>0.6</v>
      </c>
      <c r="P4726">
        <f t="shared" si="220"/>
        <v>9.2925592392405374</v>
      </c>
      <c r="Q4726" t="str">
        <f t="shared" ca="1" si="221"/>
        <v>No</v>
      </c>
    </row>
    <row r="4727" spans="1:17" x14ac:dyDescent="0.45">
      <c r="A4727" t="s">
        <v>193</v>
      </c>
      <c r="B4727" t="s">
        <v>194</v>
      </c>
      <c r="C4727" t="s">
        <v>77</v>
      </c>
      <c r="D4727" t="s">
        <v>188</v>
      </c>
      <c r="E4727" t="s">
        <v>21</v>
      </c>
      <c r="F4727" s="1">
        <v>45200</v>
      </c>
      <c r="G4727">
        <v>2.59</v>
      </c>
      <c r="H4727">
        <v>82.779799999999994</v>
      </c>
      <c r="I4727">
        <v>16.97</v>
      </c>
      <c r="J4727">
        <v>84.79</v>
      </c>
      <c r="K4727" t="s">
        <v>31</v>
      </c>
      <c r="L4727">
        <v>4365.42</v>
      </c>
      <c r="M4727">
        <f>VLOOKUP(K4727,RatingLookup!$A$2:$C$8,2,FALSE)</f>
        <v>0.04</v>
      </c>
      <c r="N4727">
        <f t="shared" si="219"/>
        <v>3.3960531989175591E-3</v>
      </c>
      <c r="O4727">
        <f>VLOOKUP(K4727,RatingLookup!$A$2:$C$8,3,FALSE)</f>
        <v>0.6</v>
      </c>
      <c r="P4727">
        <f t="shared" si="220"/>
        <v>8.8951191333712138</v>
      </c>
      <c r="Q4727" t="str">
        <f t="shared" ca="1" si="221"/>
        <v>No</v>
      </c>
    </row>
    <row r="4728" spans="1:17" x14ac:dyDescent="0.45">
      <c r="A4728" t="s">
        <v>193</v>
      </c>
      <c r="B4728" t="s">
        <v>194</v>
      </c>
      <c r="C4728" t="s">
        <v>77</v>
      </c>
      <c r="D4728" t="s">
        <v>188</v>
      </c>
      <c r="E4728" t="s">
        <v>21</v>
      </c>
      <c r="F4728" s="1">
        <v>45231</v>
      </c>
      <c r="G4728">
        <v>1.26</v>
      </c>
      <c r="H4728">
        <v>84.756600000000006</v>
      </c>
      <c r="I4728">
        <v>8.2899999999999991</v>
      </c>
      <c r="J4728">
        <v>72.650000000000006</v>
      </c>
      <c r="K4728" t="s">
        <v>31</v>
      </c>
      <c r="L4728">
        <v>4219.37</v>
      </c>
      <c r="M4728">
        <f>VLOOKUP(K4728,RatingLookup!$A$2:$C$8,2,FALSE)</f>
        <v>0.04</v>
      </c>
      <c r="N4728">
        <f t="shared" si="219"/>
        <v>3.3960531989175591E-3</v>
      </c>
      <c r="O4728">
        <f>VLOOKUP(K4728,RatingLookup!$A$2:$C$8,3,FALSE)</f>
        <v>0.6</v>
      </c>
      <c r="P4728">
        <f t="shared" si="220"/>
        <v>8.5975229915500684</v>
      </c>
      <c r="Q4728" t="str">
        <f t="shared" ca="1" si="221"/>
        <v>No</v>
      </c>
    </row>
    <row r="4729" spans="1:17" x14ac:dyDescent="0.45">
      <c r="A4729" t="s">
        <v>193</v>
      </c>
      <c r="B4729" t="s">
        <v>194</v>
      </c>
      <c r="C4729" t="s">
        <v>77</v>
      </c>
      <c r="D4729" t="s">
        <v>188</v>
      </c>
      <c r="E4729" t="s">
        <v>21</v>
      </c>
      <c r="F4729" s="1">
        <v>45261</v>
      </c>
      <c r="G4729">
        <v>1.68</v>
      </c>
      <c r="H4729">
        <v>84.115200000000002</v>
      </c>
      <c r="I4729">
        <v>20.3</v>
      </c>
      <c r="J4729">
        <v>80.06</v>
      </c>
      <c r="K4729" t="s">
        <v>31</v>
      </c>
      <c r="L4729">
        <v>4603.84</v>
      </c>
      <c r="M4729">
        <f>VLOOKUP(K4729,RatingLookup!$A$2:$C$8,2,FALSE)</f>
        <v>0.04</v>
      </c>
      <c r="N4729">
        <f t="shared" si="219"/>
        <v>3.3960531989175591E-3</v>
      </c>
      <c r="O4729">
        <f>VLOOKUP(K4729,RatingLookup!$A$2:$C$8,3,FALSE)</f>
        <v>0.6</v>
      </c>
      <c r="P4729">
        <f t="shared" si="220"/>
        <v>9.380931335582769</v>
      </c>
      <c r="Q4729" t="str">
        <f t="shared" ca="1" si="221"/>
        <v>No</v>
      </c>
    </row>
    <row r="4730" spans="1:17" x14ac:dyDescent="0.45">
      <c r="A4730" t="s">
        <v>193</v>
      </c>
      <c r="B4730" t="s">
        <v>194</v>
      </c>
      <c r="C4730" t="s">
        <v>77</v>
      </c>
      <c r="D4730" t="s">
        <v>188</v>
      </c>
      <c r="E4730" t="s">
        <v>21</v>
      </c>
      <c r="F4730" s="1">
        <v>45292</v>
      </c>
      <c r="G4730">
        <v>2.21</v>
      </c>
      <c r="H4730">
        <v>83.725300000000004</v>
      </c>
      <c r="I4730">
        <v>13.01</v>
      </c>
      <c r="J4730">
        <v>78.75</v>
      </c>
      <c r="K4730" t="s">
        <v>31</v>
      </c>
      <c r="L4730">
        <v>4437.6400000000003</v>
      </c>
      <c r="M4730">
        <f>VLOOKUP(K4730,RatingLookup!$A$2:$C$8,2,FALSE)</f>
        <v>0.04</v>
      </c>
      <c r="N4730">
        <f t="shared" si="219"/>
        <v>3.3960531989175591E-3</v>
      </c>
      <c r="O4730">
        <f>VLOOKUP(K4730,RatingLookup!$A$2:$C$8,3,FALSE)</f>
        <v>0.6</v>
      </c>
      <c r="P4730">
        <f t="shared" si="220"/>
        <v>9.0422769105867093</v>
      </c>
      <c r="Q4730" t="str">
        <f t="shared" ca="1" si="221"/>
        <v>No</v>
      </c>
    </row>
    <row r="4731" spans="1:17" x14ac:dyDescent="0.45">
      <c r="A4731" t="s">
        <v>193</v>
      </c>
      <c r="B4731" t="s">
        <v>194</v>
      </c>
      <c r="C4731" t="s">
        <v>77</v>
      </c>
      <c r="D4731" t="s">
        <v>188</v>
      </c>
      <c r="E4731" t="s">
        <v>21</v>
      </c>
      <c r="F4731" s="1">
        <v>45323</v>
      </c>
      <c r="G4731">
        <v>1.93</v>
      </c>
      <c r="H4731">
        <v>81.947699999999998</v>
      </c>
      <c r="I4731">
        <v>15.02</v>
      </c>
      <c r="J4731">
        <v>82.78</v>
      </c>
      <c r="K4731" t="s">
        <v>31</v>
      </c>
      <c r="L4731">
        <v>4125.32</v>
      </c>
      <c r="M4731">
        <f>VLOOKUP(K4731,RatingLookup!$A$2:$C$8,2,FALSE)</f>
        <v>0.04</v>
      </c>
      <c r="N4731">
        <f t="shared" si="219"/>
        <v>3.3960531989175591E-3</v>
      </c>
      <c r="O4731">
        <f>VLOOKUP(K4731,RatingLookup!$A$2:$C$8,3,FALSE)</f>
        <v>0.6</v>
      </c>
      <c r="P4731">
        <f t="shared" si="220"/>
        <v>8.40588370953515</v>
      </c>
      <c r="Q4731" t="str">
        <f t="shared" ca="1" si="221"/>
        <v>No</v>
      </c>
    </row>
    <row r="4732" spans="1:17" x14ac:dyDescent="0.45">
      <c r="A4732" t="s">
        <v>193</v>
      </c>
      <c r="B4732" t="s">
        <v>194</v>
      </c>
      <c r="C4732" t="s">
        <v>77</v>
      </c>
      <c r="D4732" t="s">
        <v>188</v>
      </c>
      <c r="E4732" t="s">
        <v>21</v>
      </c>
      <c r="F4732" s="1">
        <v>45352</v>
      </c>
      <c r="G4732">
        <v>2.73</v>
      </c>
      <c r="H4732">
        <v>84.164900000000003</v>
      </c>
      <c r="I4732">
        <v>17.329999999999998</v>
      </c>
      <c r="J4732">
        <v>70.150000000000006</v>
      </c>
      <c r="K4732" t="s">
        <v>31</v>
      </c>
      <c r="L4732">
        <v>4379.25</v>
      </c>
      <c r="M4732">
        <f>VLOOKUP(K4732,RatingLookup!$A$2:$C$8,2,FALSE)</f>
        <v>0.04</v>
      </c>
      <c r="N4732">
        <f t="shared" si="219"/>
        <v>3.3960531989175591E-3</v>
      </c>
      <c r="O4732">
        <f>VLOOKUP(K4732,RatingLookup!$A$2:$C$8,3,FALSE)</f>
        <v>0.6</v>
      </c>
      <c r="P4732">
        <f t="shared" si="220"/>
        <v>8.9232995828158312</v>
      </c>
      <c r="Q4732" t="str">
        <f t="shared" ca="1" si="221"/>
        <v>No</v>
      </c>
    </row>
    <row r="4733" spans="1:17" x14ac:dyDescent="0.45">
      <c r="A4733" t="s">
        <v>193</v>
      </c>
      <c r="B4733" t="s">
        <v>194</v>
      </c>
      <c r="C4733" t="s">
        <v>77</v>
      </c>
      <c r="D4733" t="s">
        <v>188</v>
      </c>
      <c r="E4733" t="s">
        <v>21</v>
      </c>
      <c r="F4733" s="1">
        <v>45383</v>
      </c>
      <c r="G4733">
        <v>2.08</v>
      </c>
      <c r="H4733">
        <v>84.780799999999999</v>
      </c>
      <c r="I4733">
        <v>12.72</v>
      </c>
      <c r="J4733">
        <v>82.44</v>
      </c>
      <c r="K4733" t="s">
        <v>31</v>
      </c>
      <c r="L4733">
        <v>4510.4799999999996</v>
      </c>
      <c r="M4733">
        <f>VLOOKUP(K4733,RatingLookup!$A$2:$C$8,2,FALSE)</f>
        <v>0.04</v>
      </c>
      <c r="N4733">
        <f t="shared" si="219"/>
        <v>3.3960531989175591E-3</v>
      </c>
      <c r="O4733">
        <f>VLOOKUP(K4733,RatingLookup!$A$2:$C$8,3,FALSE)</f>
        <v>0.6</v>
      </c>
      <c r="P4733">
        <f t="shared" si="220"/>
        <v>9.1906980195922028</v>
      </c>
      <c r="Q4733" t="str">
        <f t="shared" ca="1" si="221"/>
        <v>No</v>
      </c>
    </row>
    <row r="4734" spans="1:17" x14ac:dyDescent="0.45">
      <c r="A4734" t="s">
        <v>193</v>
      </c>
      <c r="B4734" t="s">
        <v>194</v>
      </c>
      <c r="C4734" t="s">
        <v>77</v>
      </c>
      <c r="D4734" t="s">
        <v>188</v>
      </c>
      <c r="E4734" t="s">
        <v>21</v>
      </c>
      <c r="F4734" s="1">
        <v>45413</v>
      </c>
      <c r="G4734">
        <v>0.93</v>
      </c>
      <c r="H4734">
        <v>82.570599999999999</v>
      </c>
      <c r="I4734">
        <v>17.53</v>
      </c>
      <c r="J4734">
        <v>81.58</v>
      </c>
      <c r="K4734" t="s">
        <v>31</v>
      </c>
      <c r="L4734">
        <v>4036.31</v>
      </c>
      <c r="M4734">
        <f>VLOOKUP(K4734,RatingLookup!$A$2:$C$8,2,FALSE)</f>
        <v>0.04</v>
      </c>
      <c r="N4734">
        <f t="shared" si="219"/>
        <v>3.3960531989175591E-3</v>
      </c>
      <c r="O4734">
        <f>VLOOKUP(K4734,RatingLookup!$A$2:$C$8,3,FALSE)</f>
        <v>0.6</v>
      </c>
      <c r="P4734">
        <f t="shared" si="220"/>
        <v>8.2245140923937594</v>
      </c>
      <c r="Q4734" t="str">
        <f t="shared" ca="1" si="221"/>
        <v>No</v>
      </c>
    </row>
    <row r="4735" spans="1:17" x14ac:dyDescent="0.45">
      <c r="A4735" t="s">
        <v>193</v>
      </c>
      <c r="B4735" t="s">
        <v>194</v>
      </c>
      <c r="C4735" t="s">
        <v>77</v>
      </c>
      <c r="D4735" t="s">
        <v>188</v>
      </c>
      <c r="E4735" t="s">
        <v>21</v>
      </c>
      <c r="F4735" s="1">
        <v>45444</v>
      </c>
      <c r="G4735">
        <v>0.66</v>
      </c>
      <c r="H4735">
        <v>82.527900000000002</v>
      </c>
      <c r="I4735">
        <v>19.52</v>
      </c>
      <c r="J4735">
        <v>100.48</v>
      </c>
      <c r="K4735" t="s">
        <v>31</v>
      </c>
      <c r="L4735">
        <v>4019.18</v>
      </c>
      <c r="M4735">
        <f>VLOOKUP(K4735,RatingLookup!$A$2:$C$8,2,FALSE)</f>
        <v>0.04</v>
      </c>
      <c r="N4735">
        <f t="shared" si="219"/>
        <v>3.3960531989175591E-3</v>
      </c>
      <c r="O4735">
        <f>VLOOKUP(K4735,RatingLookup!$A$2:$C$8,3,FALSE)</f>
        <v>0.6</v>
      </c>
      <c r="P4735">
        <f t="shared" si="220"/>
        <v>8.1896094576152851</v>
      </c>
      <c r="Q4735" t="str">
        <f t="shared" ca="1" si="221"/>
        <v>No</v>
      </c>
    </row>
    <row r="4736" spans="1:17" x14ac:dyDescent="0.45">
      <c r="A4736" t="s">
        <v>193</v>
      </c>
      <c r="B4736" t="s">
        <v>194</v>
      </c>
      <c r="C4736" t="s">
        <v>77</v>
      </c>
      <c r="D4736" t="s">
        <v>188</v>
      </c>
      <c r="E4736" t="s">
        <v>21</v>
      </c>
      <c r="F4736" s="1">
        <v>45474</v>
      </c>
      <c r="G4736">
        <v>1.57</v>
      </c>
      <c r="H4736">
        <v>82.226200000000006</v>
      </c>
      <c r="I4736">
        <v>26.54</v>
      </c>
      <c r="J4736">
        <v>86.14</v>
      </c>
      <c r="K4736" t="s">
        <v>31</v>
      </c>
      <c r="L4736">
        <v>4915.8900000000003</v>
      </c>
      <c r="M4736">
        <f>VLOOKUP(K4736,RatingLookup!$A$2:$C$8,2,FALSE)</f>
        <v>0.04</v>
      </c>
      <c r="N4736">
        <f t="shared" si="219"/>
        <v>3.3960531989175591E-3</v>
      </c>
      <c r="O4736">
        <f>VLOOKUP(K4736,RatingLookup!$A$2:$C$8,3,FALSE)</f>
        <v>0.6</v>
      </c>
      <c r="P4736">
        <f t="shared" si="220"/>
        <v>10.016774376016105</v>
      </c>
      <c r="Q4736" t="str">
        <f t="shared" ca="1" si="221"/>
        <v>No</v>
      </c>
    </row>
    <row r="4737" spans="1:17" x14ac:dyDescent="0.45">
      <c r="A4737" t="s">
        <v>193</v>
      </c>
      <c r="B4737" t="s">
        <v>194</v>
      </c>
      <c r="C4737" t="s">
        <v>77</v>
      </c>
      <c r="D4737" t="s">
        <v>188</v>
      </c>
      <c r="E4737" t="s">
        <v>21</v>
      </c>
      <c r="F4737" s="1">
        <v>45505</v>
      </c>
      <c r="G4737">
        <v>1.99</v>
      </c>
      <c r="H4737">
        <v>84.812100000000001</v>
      </c>
      <c r="I4737">
        <v>27.82</v>
      </c>
      <c r="J4737">
        <v>73.42</v>
      </c>
      <c r="K4737" t="s">
        <v>31</v>
      </c>
      <c r="L4737">
        <v>4466.26</v>
      </c>
      <c r="M4737">
        <f>VLOOKUP(K4737,RatingLookup!$A$2:$C$8,2,FALSE)</f>
        <v>0.04</v>
      </c>
      <c r="N4737">
        <f t="shared" si="219"/>
        <v>3.3960531989175591E-3</v>
      </c>
      <c r="O4737">
        <f>VLOOKUP(K4737,RatingLookup!$A$2:$C$8,3,FALSE)</f>
        <v>0.6</v>
      </c>
      <c r="P4737">
        <f t="shared" si="220"/>
        <v>9.1005939361185213</v>
      </c>
      <c r="Q4737" t="str">
        <f t="shared" ca="1" si="221"/>
        <v>No</v>
      </c>
    </row>
    <row r="4738" spans="1:17" x14ac:dyDescent="0.45">
      <c r="A4738" t="s">
        <v>193</v>
      </c>
      <c r="B4738" t="s">
        <v>194</v>
      </c>
      <c r="C4738" t="s">
        <v>77</v>
      </c>
      <c r="D4738" t="s">
        <v>188</v>
      </c>
      <c r="E4738" t="s">
        <v>21</v>
      </c>
      <c r="F4738" s="1">
        <v>45536</v>
      </c>
      <c r="G4738">
        <v>0.32</v>
      </c>
      <c r="H4738">
        <v>82.387299999999996</v>
      </c>
      <c r="I4738">
        <v>29.47</v>
      </c>
      <c r="J4738">
        <v>95.79</v>
      </c>
      <c r="K4738" t="s">
        <v>31</v>
      </c>
      <c r="L4738">
        <v>4575.4399999999996</v>
      </c>
      <c r="M4738">
        <f>VLOOKUP(K4738,RatingLookup!$A$2:$C$8,2,FALSE)</f>
        <v>0.04</v>
      </c>
      <c r="N4738">
        <f t="shared" ref="N4738:N4801" si="222">1-(1-M4738)^(1/12)</f>
        <v>3.3960531989175591E-3</v>
      </c>
      <c r="O4738">
        <f>VLOOKUP(K4738,RatingLookup!$A$2:$C$8,3,FALSE)</f>
        <v>0.6</v>
      </c>
      <c r="P4738">
        <f t="shared" ref="P4738:P4801" si="223">L4738*N4738*O4738</f>
        <v>9.3230625890732135</v>
      </c>
      <c r="Q4738" t="str">
        <f t="shared" ref="Q4738:Q4801" ca="1" si="224">IF(RAND()&lt;N4738,"Yes","No")</f>
        <v>No</v>
      </c>
    </row>
    <row r="4739" spans="1:17" x14ac:dyDescent="0.45">
      <c r="A4739" t="s">
        <v>193</v>
      </c>
      <c r="B4739" t="s">
        <v>194</v>
      </c>
      <c r="C4739" t="s">
        <v>77</v>
      </c>
      <c r="D4739" t="s">
        <v>188</v>
      </c>
      <c r="E4739" t="s">
        <v>21</v>
      </c>
      <c r="F4739" s="1">
        <v>45566</v>
      </c>
      <c r="G4739">
        <v>2.57</v>
      </c>
      <c r="H4739">
        <v>82.440799999999996</v>
      </c>
      <c r="I4739">
        <v>23.07</v>
      </c>
      <c r="J4739">
        <v>109.9</v>
      </c>
      <c r="K4739" t="s">
        <v>31</v>
      </c>
      <c r="L4739">
        <v>4486.43</v>
      </c>
      <c r="M4739">
        <f>VLOOKUP(K4739,RatingLookup!$A$2:$C$8,2,FALSE)</f>
        <v>0.04</v>
      </c>
      <c r="N4739">
        <f t="shared" si="222"/>
        <v>3.3960531989175591E-3</v>
      </c>
      <c r="O4739">
        <f>VLOOKUP(K4739,RatingLookup!$A$2:$C$8,3,FALSE)</f>
        <v>0.6</v>
      </c>
      <c r="P4739">
        <f t="shared" si="223"/>
        <v>9.141692971931823</v>
      </c>
      <c r="Q4739" t="str">
        <f t="shared" ca="1" si="224"/>
        <v>No</v>
      </c>
    </row>
    <row r="4740" spans="1:17" x14ac:dyDescent="0.45">
      <c r="A4740" t="s">
        <v>193</v>
      </c>
      <c r="B4740" t="s">
        <v>194</v>
      </c>
      <c r="C4740" t="s">
        <v>77</v>
      </c>
      <c r="D4740" t="s">
        <v>188</v>
      </c>
      <c r="E4740" t="s">
        <v>21</v>
      </c>
      <c r="F4740" s="1">
        <v>45597</v>
      </c>
      <c r="G4740">
        <v>0.98</v>
      </c>
      <c r="H4740">
        <v>81.130799999999994</v>
      </c>
      <c r="I4740">
        <v>13.76</v>
      </c>
      <c r="J4740">
        <v>82.99</v>
      </c>
      <c r="K4740" t="s">
        <v>31</v>
      </c>
      <c r="L4740">
        <v>4099.5600000000004</v>
      </c>
      <c r="M4740">
        <f>VLOOKUP(K4740,RatingLookup!$A$2:$C$8,2,FALSE)</f>
        <v>0.04</v>
      </c>
      <c r="N4740">
        <f t="shared" si="222"/>
        <v>3.3960531989175591E-3</v>
      </c>
      <c r="O4740">
        <f>VLOOKUP(K4740,RatingLookup!$A$2:$C$8,3,FALSE)</f>
        <v>0.6</v>
      </c>
      <c r="P4740">
        <f t="shared" si="223"/>
        <v>8.3533943112926821</v>
      </c>
      <c r="Q4740" t="str">
        <f t="shared" ca="1" si="224"/>
        <v>No</v>
      </c>
    </row>
    <row r="4741" spans="1:17" x14ac:dyDescent="0.45">
      <c r="A4741" t="s">
        <v>193</v>
      </c>
      <c r="B4741" t="s">
        <v>194</v>
      </c>
      <c r="C4741" t="s">
        <v>77</v>
      </c>
      <c r="D4741" t="s">
        <v>188</v>
      </c>
      <c r="E4741" t="s">
        <v>21</v>
      </c>
      <c r="F4741" s="1">
        <v>45627</v>
      </c>
      <c r="G4741">
        <v>1.79</v>
      </c>
      <c r="H4741">
        <v>84.041799999999995</v>
      </c>
      <c r="I4741">
        <v>23.17</v>
      </c>
      <c r="J4741">
        <v>89.68</v>
      </c>
      <c r="K4741" t="s">
        <v>31</v>
      </c>
      <c r="L4741">
        <v>4424.71</v>
      </c>
      <c r="M4741">
        <f>VLOOKUP(K4741,RatingLookup!$A$2:$C$8,2,FALSE)</f>
        <v>0.04</v>
      </c>
      <c r="N4741">
        <f t="shared" si="222"/>
        <v>3.3960531989175591E-3</v>
      </c>
      <c r="O4741">
        <f>VLOOKUP(K4741,RatingLookup!$A$2:$C$8,3,FALSE)</f>
        <v>0.6</v>
      </c>
      <c r="P4741">
        <f t="shared" si="223"/>
        <v>9.0159303298695068</v>
      </c>
      <c r="Q4741" t="str">
        <f t="shared" ca="1" si="224"/>
        <v>No</v>
      </c>
    </row>
    <row r="4742" spans="1:17" x14ac:dyDescent="0.45">
      <c r="A4742" t="s">
        <v>195</v>
      </c>
      <c r="B4742" t="s">
        <v>196</v>
      </c>
      <c r="C4742" t="s">
        <v>85</v>
      </c>
      <c r="D4742" t="s">
        <v>188</v>
      </c>
      <c r="E4742" t="s">
        <v>21</v>
      </c>
      <c r="F4742" s="1">
        <v>43831</v>
      </c>
      <c r="G4742">
        <v>1.41</v>
      </c>
      <c r="H4742">
        <v>82.349599999999995</v>
      </c>
      <c r="I4742">
        <v>12.05</v>
      </c>
      <c r="J4742">
        <v>59.82</v>
      </c>
      <c r="K4742" t="s">
        <v>30</v>
      </c>
      <c r="L4742">
        <v>526.53</v>
      </c>
      <c r="M4742">
        <f>VLOOKUP(K4742,RatingLookup!$A$2:$C$8,2,FALSE)</f>
        <v>1.4999999999999999E-2</v>
      </c>
      <c r="N4742">
        <f t="shared" si="222"/>
        <v>1.2586770182638762E-3</v>
      </c>
      <c r="O4742">
        <f>VLOOKUP(K4742,RatingLookup!$A$2:$C$8,3,FALSE)</f>
        <v>0.5</v>
      </c>
      <c r="P4742">
        <f t="shared" si="223"/>
        <v>0.33136560521323938</v>
      </c>
      <c r="Q4742" t="str">
        <f t="shared" ca="1" si="224"/>
        <v>No</v>
      </c>
    </row>
    <row r="4743" spans="1:17" x14ac:dyDescent="0.45">
      <c r="A4743" t="s">
        <v>195</v>
      </c>
      <c r="B4743" t="s">
        <v>196</v>
      </c>
      <c r="C4743" t="s">
        <v>85</v>
      </c>
      <c r="D4743" t="s">
        <v>188</v>
      </c>
      <c r="E4743" t="s">
        <v>21</v>
      </c>
      <c r="F4743" s="1">
        <v>43862</v>
      </c>
      <c r="G4743">
        <v>0.45</v>
      </c>
      <c r="H4743">
        <v>82.647800000000004</v>
      </c>
      <c r="I4743">
        <v>18.260000000000002</v>
      </c>
      <c r="J4743">
        <v>71.67</v>
      </c>
      <c r="K4743" t="s">
        <v>30</v>
      </c>
      <c r="L4743">
        <v>530.03</v>
      </c>
      <c r="M4743">
        <f>VLOOKUP(K4743,RatingLookup!$A$2:$C$8,2,FALSE)</f>
        <v>1.4999999999999999E-2</v>
      </c>
      <c r="N4743">
        <f t="shared" si="222"/>
        <v>1.2586770182638762E-3</v>
      </c>
      <c r="O4743">
        <f>VLOOKUP(K4743,RatingLookup!$A$2:$C$8,3,FALSE)</f>
        <v>0.5</v>
      </c>
      <c r="P4743">
        <f t="shared" si="223"/>
        <v>0.33356828999520116</v>
      </c>
      <c r="Q4743" t="str">
        <f t="shared" ca="1" si="224"/>
        <v>No</v>
      </c>
    </row>
    <row r="4744" spans="1:17" x14ac:dyDescent="0.45">
      <c r="A4744" t="s">
        <v>195</v>
      </c>
      <c r="B4744" t="s">
        <v>196</v>
      </c>
      <c r="C4744" t="s">
        <v>85</v>
      </c>
      <c r="D4744" t="s">
        <v>188</v>
      </c>
      <c r="E4744" t="s">
        <v>21</v>
      </c>
      <c r="F4744" s="1">
        <v>43891</v>
      </c>
      <c r="G4744">
        <v>1.18</v>
      </c>
      <c r="H4744">
        <v>82.549099999999996</v>
      </c>
      <c r="I4744">
        <v>27.95</v>
      </c>
      <c r="J4744">
        <v>76.900000000000006</v>
      </c>
      <c r="K4744" t="s">
        <v>22</v>
      </c>
      <c r="L4744">
        <v>599.23</v>
      </c>
      <c r="M4744">
        <f>VLOOKUP(K4744,RatingLookup!$A$2:$C$8,2,FALSE)</f>
        <v>5.0000000000000001E-3</v>
      </c>
      <c r="N4744">
        <f t="shared" si="222"/>
        <v>4.1762458919303302E-4</v>
      </c>
      <c r="O4744">
        <f>VLOOKUP(K4744,RatingLookup!$A$2:$C$8,3,FALSE)</f>
        <v>0.45</v>
      </c>
      <c r="P4744">
        <f t="shared" si="223"/>
        <v>0.11261393216196354</v>
      </c>
      <c r="Q4744" t="str">
        <f t="shared" ca="1" si="224"/>
        <v>No</v>
      </c>
    </row>
    <row r="4745" spans="1:17" x14ac:dyDescent="0.45">
      <c r="A4745" t="s">
        <v>195</v>
      </c>
      <c r="B4745" t="s">
        <v>196</v>
      </c>
      <c r="C4745" t="s">
        <v>85</v>
      </c>
      <c r="D4745" t="s">
        <v>188</v>
      </c>
      <c r="E4745" t="s">
        <v>21</v>
      </c>
      <c r="F4745" s="1">
        <v>43922</v>
      </c>
      <c r="G4745">
        <v>1.1200000000000001</v>
      </c>
      <c r="H4745">
        <v>85.191800000000001</v>
      </c>
      <c r="I4745">
        <v>26.03</v>
      </c>
      <c r="J4745">
        <v>95.51</v>
      </c>
      <c r="K4745" t="s">
        <v>22</v>
      </c>
      <c r="L4745">
        <v>625.11</v>
      </c>
      <c r="M4745">
        <f>VLOOKUP(K4745,RatingLookup!$A$2:$C$8,2,FALSE)</f>
        <v>5.0000000000000001E-3</v>
      </c>
      <c r="N4745">
        <f t="shared" si="222"/>
        <v>4.1762458919303302E-4</v>
      </c>
      <c r="O4745">
        <f>VLOOKUP(K4745,RatingLookup!$A$2:$C$8,3,FALSE)</f>
        <v>0.45</v>
      </c>
      <c r="P4745">
        <f t="shared" si="223"/>
        <v>0.11747758812770559</v>
      </c>
      <c r="Q4745" t="str">
        <f t="shared" ca="1" si="224"/>
        <v>No</v>
      </c>
    </row>
    <row r="4746" spans="1:17" x14ac:dyDescent="0.45">
      <c r="A4746" t="s">
        <v>195</v>
      </c>
      <c r="B4746" t="s">
        <v>196</v>
      </c>
      <c r="C4746" t="s">
        <v>85</v>
      </c>
      <c r="D4746" t="s">
        <v>188</v>
      </c>
      <c r="E4746" t="s">
        <v>21</v>
      </c>
      <c r="F4746" s="1">
        <v>43952</v>
      </c>
      <c r="G4746">
        <v>2.1800000000000002</v>
      </c>
      <c r="H4746">
        <v>80.268199999999993</v>
      </c>
      <c r="I4746">
        <v>19.329999999999998</v>
      </c>
      <c r="J4746">
        <v>46.27</v>
      </c>
      <c r="K4746" t="s">
        <v>22</v>
      </c>
      <c r="L4746">
        <v>546.82000000000005</v>
      </c>
      <c r="M4746">
        <f>VLOOKUP(K4746,RatingLookup!$A$2:$C$8,2,FALSE)</f>
        <v>5.0000000000000001E-3</v>
      </c>
      <c r="N4746">
        <f t="shared" si="222"/>
        <v>4.1762458919303302E-4</v>
      </c>
      <c r="O4746">
        <f>VLOOKUP(K4746,RatingLookup!$A$2:$C$8,3,FALSE)</f>
        <v>0.45</v>
      </c>
      <c r="P4746">
        <f t="shared" si="223"/>
        <v>0.10276446503814045</v>
      </c>
      <c r="Q4746" t="str">
        <f t="shared" ca="1" si="224"/>
        <v>No</v>
      </c>
    </row>
    <row r="4747" spans="1:17" x14ac:dyDescent="0.45">
      <c r="A4747" t="s">
        <v>195</v>
      </c>
      <c r="B4747" t="s">
        <v>196</v>
      </c>
      <c r="C4747" t="s">
        <v>85</v>
      </c>
      <c r="D4747" t="s">
        <v>188</v>
      </c>
      <c r="E4747" t="s">
        <v>21</v>
      </c>
      <c r="F4747" s="1">
        <v>43983</v>
      </c>
      <c r="G4747">
        <v>1.99</v>
      </c>
      <c r="H4747">
        <v>82.238399999999999</v>
      </c>
      <c r="I4747">
        <v>11.9</v>
      </c>
      <c r="J4747">
        <v>81.94</v>
      </c>
      <c r="K4747" t="s">
        <v>22</v>
      </c>
      <c r="L4747">
        <v>533.13</v>
      </c>
      <c r="M4747">
        <f>VLOOKUP(K4747,RatingLookup!$A$2:$C$8,2,FALSE)</f>
        <v>5.0000000000000001E-3</v>
      </c>
      <c r="N4747">
        <f t="shared" si="222"/>
        <v>4.1762458919303302E-4</v>
      </c>
      <c r="O4747">
        <f>VLOOKUP(K4747,RatingLookup!$A$2:$C$8,3,FALSE)</f>
        <v>0.45</v>
      </c>
      <c r="P4747">
        <f t="shared" si="223"/>
        <v>0.10019168875641676</v>
      </c>
      <c r="Q4747" t="str">
        <f t="shared" ca="1" si="224"/>
        <v>No</v>
      </c>
    </row>
    <row r="4748" spans="1:17" x14ac:dyDescent="0.45">
      <c r="A4748" t="s">
        <v>195</v>
      </c>
      <c r="B4748" t="s">
        <v>196</v>
      </c>
      <c r="C4748" t="s">
        <v>85</v>
      </c>
      <c r="D4748" t="s">
        <v>188</v>
      </c>
      <c r="E4748" t="s">
        <v>21</v>
      </c>
      <c r="F4748" s="1">
        <v>44013</v>
      </c>
      <c r="G4748">
        <v>1.81</v>
      </c>
      <c r="H4748">
        <v>79.865899999999996</v>
      </c>
      <c r="I4748">
        <v>22.65</v>
      </c>
      <c r="J4748">
        <v>83.64</v>
      </c>
      <c r="K4748" t="s">
        <v>22</v>
      </c>
      <c r="L4748">
        <v>571.23</v>
      </c>
      <c r="M4748">
        <f>VLOOKUP(K4748,RatingLookup!$A$2:$C$8,2,FALSE)</f>
        <v>5.0000000000000001E-3</v>
      </c>
      <c r="N4748">
        <f t="shared" si="222"/>
        <v>4.1762458919303302E-4</v>
      </c>
      <c r="O4748">
        <f>VLOOKUP(K4748,RatingLookup!$A$2:$C$8,3,FALSE)</f>
        <v>0.45</v>
      </c>
      <c r="P4748">
        <f t="shared" si="223"/>
        <v>0.10735186233813132</v>
      </c>
      <c r="Q4748" t="str">
        <f t="shared" ca="1" si="224"/>
        <v>No</v>
      </c>
    </row>
    <row r="4749" spans="1:17" x14ac:dyDescent="0.45">
      <c r="A4749" t="s">
        <v>195</v>
      </c>
      <c r="B4749" t="s">
        <v>196</v>
      </c>
      <c r="C4749" t="s">
        <v>85</v>
      </c>
      <c r="D4749" t="s">
        <v>188</v>
      </c>
      <c r="E4749" t="s">
        <v>21</v>
      </c>
      <c r="F4749" s="1">
        <v>44044</v>
      </c>
      <c r="G4749">
        <v>2.06</v>
      </c>
      <c r="H4749">
        <v>77.754599999999996</v>
      </c>
      <c r="I4749">
        <v>17.28</v>
      </c>
      <c r="J4749">
        <v>83.61</v>
      </c>
      <c r="K4749" t="s">
        <v>22</v>
      </c>
      <c r="L4749">
        <v>607.07000000000005</v>
      </c>
      <c r="M4749">
        <f>VLOOKUP(K4749,RatingLookup!$A$2:$C$8,2,FALSE)</f>
        <v>5.0000000000000001E-3</v>
      </c>
      <c r="N4749">
        <f t="shared" si="222"/>
        <v>4.1762458919303302E-4</v>
      </c>
      <c r="O4749">
        <f>VLOOKUP(K4749,RatingLookup!$A$2:$C$8,3,FALSE)</f>
        <v>0.45</v>
      </c>
      <c r="P4749">
        <f t="shared" si="223"/>
        <v>0.11408731171263656</v>
      </c>
      <c r="Q4749" t="str">
        <f t="shared" ca="1" si="224"/>
        <v>No</v>
      </c>
    </row>
    <row r="4750" spans="1:17" x14ac:dyDescent="0.45">
      <c r="A4750" t="s">
        <v>195</v>
      </c>
      <c r="B4750" t="s">
        <v>196</v>
      </c>
      <c r="C4750" t="s">
        <v>85</v>
      </c>
      <c r="D4750" t="s">
        <v>188</v>
      </c>
      <c r="E4750" t="s">
        <v>21</v>
      </c>
      <c r="F4750" s="1">
        <v>44075</v>
      </c>
      <c r="G4750">
        <v>2.0499999999999998</v>
      </c>
      <c r="H4750">
        <v>79.226600000000005</v>
      </c>
      <c r="I4750">
        <v>17.489999999999998</v>
      </c>
      <c r="J4750">
        <v>77.75</v>
      </c>
      <c r="K4750" t="s">
        <v>22</v>
      </c>
      <c r="L4750">
        <v>594.71</v>
      </c>
      <c r="M4750">
        <f>VLOOKUP(K4750,RatingLookup!$A$2:$C$8,2,FALSE)</f>
        <v>5.0000000000000001E-3</v>
      </c>
      <c r="N4750">
        <f t="shared" si="222"/>
        <v>4.1762458919303302E-4</v>
      </c>
      <c r="O4750">
        <f>VLOOKUP(K4750,RatingLookup!$A$2:$C$8,3,FALSE)</f>
        <v>0.45</v>
      </c>
      <c r="P4750">
        <f t="shared" si="223"/>
        <v>0.11176448374754491</v>
      </c>
      <c r="Q4750" t="str">
        <f t="shared" ca="1" si="224"/>
        <v>No</v>
      </c>
    </row>
    <row r="4751" spans="1:17" x14ac:dyDescent="0.45">
      <c r="A4751" t="s">
        <v>195</v>
      </c>
      <c r="B4751" t="s">
        <v>196</v>
      </c>
      <c r="C4751" t="s">
        <v>85</v>
      </c>
      <c r="D4751" t="s">
        <v>188</v>
      </c>
      <c r="E4751" t="s">
        <v>21</v>
      </c>
      <c r="F4751" s="1">
        <v>44105</v>
      </c>
      <c r="G4751">
        <v>1.99</v>
      </c>
      <c r="H4751">
        <v>81.195099999999996</v>
      </c>
      <c r="I4751">
        <v>11.38</v>
      </c>
      <c r="J4751">
        <v>73.63</v>
      </c>
      <c r="K4751" t="s">
        <v>22</v>
      </c>
      <c r="L4751">
        <v>597.78</v>
      </c>
      <c r="M4751">
        <f>VLOOKUP(K4751,RatingLookup!$A$2:$C$8,2,FALSE)</f>
        <v>5.0000000000000001E-3</v>
      </c>
      <c r="N4751">
        <f t="shared" si="222"/>
        <v>4.1762458919303302E-4</v>
      </c>
      <c r="O4751">
        <f>VLOOKUP(K4751,RatingLookup!$A$2:$C$8,3,FALSE)</f>
        <v>0.45</v>
      </c>
      <c r="P4751">
        <f t="shared" si="223"/>
        <v>0.11234143211751509</v>
      </c>
      <c r="Q4751" t="str">
        <f t="shared" ca="1" si="224"/>
        <v>No</v>
      </c>
    </row>
    <row r="4752" spans="1:17" x14ac:dyDescent="0.45">
      <c r="A4752" t="s">
        <v>195</v>
      </c>
      <c r="B4752" t="s">
        <v>196</v>
      </c>
      <c r="C4752" t="s">
        <v>85</v>
      </c>
      <c r="D4752" t="s">
        <v>188</v>
      </c>
      <c r="E4752" t="s">
        <v>21</v>
      </c>
      <c r="F4752" s="1">
        <v>44136</v>
      </c>
      <c r="G4752">
        <v>0.76</v>
      </c>
      <c r="H4752">
        <v>83.957899999999995</v>
      </c>
      <c r="I4752">
        <v>17.14</v>
      </c>
      <c r="J4752">
        <v>52.14</v>
      </c>
      <c r="K4752" t="s">
        <v>22</v>
      </c>
      <c r="L4752">
        <v>622.6</v>
      </c>
      <c r="M4752">
        <f>VLOOKUP(K4752,RatingLookup!$A$2:$C$8,2,FALSE)</f>
        <v>5.0000000000000001E-3</v>
      </c>
      <c r="N4752">
        <f t="shared" si="222"/>
        <v>4.1762458919303302E-4</v>
      </c>
      <c r="O4752">
        <f>VLOOKUP(K4752,RatingLookup!$A$2:$C$8,3,FALSE)</f>
        <v>0.45</v>
      </c>
      <c r="P4752">
        <f t="shared" si="223"/>
        <v>0.11700588115421207</v>
      </c>
      <c r="Q4752" t="str">
        <f t="shared" ca="1" si="224"/>
        <v>No</v>
      </c>
    </row>
    <row r="4753" spans="1:17" x14ac:dyDescent="0.45">
      <c r="A4753" t="s">
        <v>195</v>
      </c>
      <c r="B4753" t="s">
        <v>196</v>
      </c>
      <c r="C4753" t="s">
        <v>85</v>
      </c>
      <c r="D4753" t="s">
        <v>188</v>
      </c>
      <c r="E4753" t="s">
        <v>21</v>
      </c>
      <c r="F4753" s="1">
        <v>44166</v>
      </c>
      <c r="G4753">
        <v>0.8</v>
      </c>
      <c r="H4753">
        <v>88.887299999999996</v>
      </c>
      <c r="I4753">
        <v>14.12</v>
      </c>
      <c r="J4753">
        <v>70.319999999999993</v>
      </c>
      <c r="K4753" t="s">
        <v>22</v>
      </c>
      <c r="L4753">
        <v>596.75</v>
      </c>
      <c r="M4753">
        <f>VLOOKUP(K4753,RatingLookup!$A$2:$C$8,2,FALSE)</f>
        <v>5.0000000000000001E-3</v>
      </c>
      <c r="N4753">
        <f t="shared" si="222"/>
        <v>4.1762458919303302E-4</v>
      </c>
      <c r="O4753">
        <f>VLOOKUP(K4753,RatingLookup!$A$2:$C$8,3,FALSE)</f>
        <v>0.45</v>
      </c>
      <c r="P4753">
        <f t="shared" si="223"/>
        <v>0.1121478631204241</v>
      </c>
      <c r="Q4753" t="str">
        <f t="shared" ca="1" si="224"/>
        <v>No</v>
      </c>
    </row>
    <row r="4754" spans="1:17" x14ac:dyDescent="0.45">
      <c r="A4754" t="s">
        <v>195</v>
      </c>
      <c r="B4754" t="s">
        <v>196</v>
      </c>
      <c r="C4754" t="s">
        <v>85</v>
      </c>
      <c r="D4754" t="s">
        <v>188</v>
      </c>
      <c r="E4754" t="s">
        <v>21</v>
      </c>
      <c r="F4754" s="1">
        <v>44197</v>
      </c>
      <c r="G4754">
        <v>2.29</v>
      </c>
      <c r="H4754">
        <v>80.982100000000003</v>
      </c>
      <c r="I4754">
        <v>23.61</v>
      </c>
      <c r="J4754">
        <v>89.26</v>
      </c>
      <c r="K4754" t="s">
        <v>30</v>
      </c>
      <c r="L4754">
        <v>595.29999999999995</v>
      </c>
      <c r="M4754">
        <f>VLOOKUP(K4754,RatingLookup!$A$2:$C$8,2,FALSE)</f>
        <v>1.4999999999999999E-2</v>
      </c>
      <c r="N4754">
        <f t="shared" si="222"/>
        <v>1.2586770182638762E-3</v>
      </c>
      <c r="O4754">
        <f>VLOOKUP(K4754,RatingLookup!$A$2:$C$8,3,FALSE)</f>
        <v>0.5</v>
      </c>
      <c r="P4754">
        <f t="shared" si="223"/>
        <v>0.37464521448624272</v>
      </c>
      <c r="Q4754" t="str">
        <f t="shared" ca="1" si="224"/>
        <v>No</v>
      </c>
    </row>
    <row r="4755" spans="1:17" x14ac:dyDescent="0.45">
      <c r="A4755" t="s">
        <v>195</v>
      </c>
      <c r="B4755" t="s">
        <v>196</v>
      </c>
      <c r="C4755" t="s">
        <v>85</v>
      </c>
      <c r="D4755" t="s">
        <v>188</v>
      </c>
      <c r="E4755" t="s">
        <v>21</v>
      </c>
      <c r="F4755" s="1">
        <v>44228</v>
      </c>
      <c r="G4755">
        <v>1.78</v>
      </c>
      <c r="H4755">
        <v>87.374499999999998</v>
      </c>
      <c r="I4755">
        <v>14.51</v>
      </c>
      <c r="J4755">
        <v>73.61</v>
      </c>
      <c r="K4755" t="s">
        <v>30</v>
      </c>
      <c r="L4755">
        <v>610.46</v>
      </c>
      <c r="M4755">
        <f>VLOOKUP(K4755,RatingLookup!$A$2:$C$8,2,FALSE)</f>
        <v>1.4999999999999999E-2</v>
      </c>
      <c r="N4755">
        <f t="shared" si="222"/>
        <v>1.2586770182638762E-3</v>
      </c>
      <c r="O4755">
        <f>VLOOKUP(K4755,RatingLookup!$A$2:$C$8,3,FALSE)</f>
        <v>0.5</v>
      </c>
      <c r="P4755">
        <f t="shared" si="223"/>
        <v>0.38418598628468298</v>
      </c>
      <c r="Q4755" t="str">
        <f t="shared" ca="1" si="224"/>
        <v>No</v>
      </c>
    </row>
    <row r="4756" spans="1:17" x14ac:dyDescent="0.45">
      <c r="A4756" t="s">
        <v>195</v>
      </c>
      <c r="B4756" t="s">
        <v>196</v>
      </c>
      <c r="C4756" t="s">
        <v>85</v>
      </c>
      <c r="D4756" t="s">
        <v>188</v>
      </c>
      <c r="E4756" t="s">
        <v>21</v>
      </c>
      <c r="F4756" s="1">
        <v>44256</v>
      </c>
      <c r="G4756">
        <v>0.77</v>
      </c>
      <c r="H4756">
        <v>77.547600000000003</v>
      </c>
      <c r="I4756">
        <v>19.72</v>
      </c>
      <c r="J4756">
        <v>63.07</v>
      </c>
      <c r="K4756" t="s">
        <v>30</v>
      </c>
      <c r="L4756">
        <v>567.82000000000005</v>
      </c>
      <c r="M4756">
        <f>VLOOKUP(K4756,RatingLookup!$A$2:$C$8,2,FALSE)</f>
        <v>1.4999999999999999E-2</v>
      </c>
      <c r="N4756">
        <f t="shared" si="222"/>
        <v>1.2586770182638762E-3</v>
      </c>
      <c r="O4756">
        <f>VLOOKUP(K4756,RatingLookup!$A$2:$C$8,3,FALSE)</f>
        <v>0.5</v>
      </c>
      <c r="P4756">
        <f t="shared" si="223"/>
        <v>0.35735099225529715</v>
      </c>
      <c r="Q4756" t="str">
        <f t="shared" ca="1" si="224"/>
        <v>No</v>
      </c>
    </row>
    <row r="4757" spans="1:17" x14ac:dyDescent="0.45">
      <c r="A4757" t="s">
        <v>195</v>
      </c>
      <c r="B4757" t="s">
        <v>196</v>
      </c>
      <c r="C4757" t="s">
        <v>85</v>
      </c>
      <c r="D4757" t="s">
        <v>188</v>
      </c>
      <c r="E4757" t="s">
        <v>21</v>
      </c>
      <c r="F4757" s="1">
        <v>44287</v>
      </c>
      <c r="G4757">
        <v>2.11</v>
      </c>
      <c r="H4757">
        <v>85.625600000000006</v>
      </c>
      <c r="I4757">
        <v>5</v>
      </c>
      <c r="J4757">
        <v>76.28</v>
      </c>
      <c r="K4757" t="s">
        <v>30</v>
      </c>
      <c r="L4757">
        <v>669.7</v>
      </c>
      <c r="M4757">
        <f>VLOOKUP(K4757,RatingLookup!$A$2:$C$8,2,FALSE)</f>
        <v>1.4999999999999999E-2</v>
      </c>
      <c r="N4757">
        <f t="shared" si="222"/>
        <v>1.2586770182638762E-3</v>
      </c>
      <c r="O4757">
        <f>VLOOKUP(K4757,RatingLookup!$A$2:$C$8,3,FALSE)</f>
        <v>0.5</v>
      </c>
      <c r="P4757">
        <f t="shared" si="223"/>
        <v>0.421467999565659</v>
      </c>
      <c r="Q4757" t="str">
        <f t="shared" ca="1" si="224"/>
        <v>No</v>
      </c>
    </row>
    <row r="4758" spans="1:17" x14ac:dyDescent="0.45">
      <c r="A4758" t="s">
        <v>195</v>
      </c>
      <c r="B4758" t="s">
        <v>196</v>
      </c>
      <c r="C4758" t="s">
        <v>85</v>
      </c>
      <c r="D4758" t="s">
        <v>188</v>
      </c>
      <c r="E4758" t="s">
        <v>21</v>
      </c>
      <c r="F4758" s="1">
        <v>44317</v>
      </c>
      <c r="G4758">
        <v>1.62</v>
      </c>
      <c r="H4758">
        <v>80.305599999999998</v>
      </c>
      <c r="I4758">
        <v>17.63</v>
      </c>
      <c r="J4758">
        <v>80.849999999999994</v>
      </c>
      <c r="K4758" t="s">
        <v>30</v>
      </c>
      <c r="L4758">
        <v>613.55999999999995</v>
      </c>
      <c r="M4758">
        <f>VLOOKUP(K4758,RatingLookup!$A$2:$C$8,2,FALSE)</f>
        <v>1.4999999999999999E-2</v>
      </c>
      <c r="N4758">
        <f t="shared" si="222"/>
        <v>1.2586770182638762E-3</v>
      </c>
      <c r="O4758">
        <f>VLOOKUP(K4758,RatingLookup!$A$2:$C$8,3,FALSE)</f>
        <v>0.5</v>
      </c>
      <c r="P4758">
        <f t="shared" si="223"/>
        <v>0.3861369356629919</v>
      </c>
      <c r="Q4758" t="str">
        <f t="shared" ca="1" si="224"/>
        <v>No</v>
      </c>
    </row>
    <row r="4759" spans="1:17" x14ac:dyDescent="0.45">
      <c r="A4759" t="s">
        <v>195</v>
      </c>
      <c r="B4759" t="s">
        <v>196</v>
      </c>
      <c r="C4759" t="s">
        <v>85</v>
      </c>
      <c r="D4759" t="s">
        <v>188</v>
      </c>
      <c r="E4759" t="s">
        <v>21</v>
      </c>
      <c r="F4759" s="1">
        <v>44348</v>
      </c>
      <c r="G4759">
        <v>2.16</v>
      </c>
      <c r="H4759">
        <v>85.706599999999995</v>
      </c>
      <c r="I4759">
        <v>23.41</v>
      </c>
      <c r="J4759">
        <v>65.38</v>
      </c>
      <c r="K4759" t="s">
        <v>30</v>
      </c>
      <c r="L4759">
        <v>562.91999999999996</v>
      </c>
      <c r="M4759">
        <f>VLOOKUP(K4759,RatingLookup!$A$2:$C$8,2,FALSE)</f>
        <v>1.4999999999999999E-2</v>
      </c>
      <c r="N4759">
        <f t="shared" si="222"/>
        <v>1.2586770182638762E-3</v>
      </c>
      <c r="O4759">
        <f>VLOOKUP(K4759,RatingLookup!$A$2:$C$8,3,FALSE)</f>
        <v>0.5</v>
      </c>
      <c r="P4759">
        <f t="shared" si="223"/>
        <v>0.35426723356055057</v>
      </c>
      <c r="Q4759" t="str">
        <f t="shared" ca="1" si="224"/>
        <v>No</v>
      </c>
    </row>
    <row r="4760" spans="1:17" x14ac:dyDescent="0.45">
      <c r="A4760" t="s">
        <v>195</v>
      </c>
      <c r="B4760" t="s">
        <v>196</v>
      </c>
      <c r="C4760" t="s">
        <v>85</v>
      </c>
      <c r="D4760" t="s">
        <v>188</v>
      </c>
      <c r="E4760" t="s">
        <v>21</v>
      </c>
      <c r="F4760" s="1">
        <v>44378</v>
      </c>
      <c r="G4760">
        <v>2.21</v>
      </c>
      <c r="H4760">
        <v>81.157799999999995</v>
      </c>
      <c r="I4760">
        <v>22.12</v>
      </c>
      <c r="J4760">
        <v>82.52</v>
      </c>
      <c r="K4760" t="s">
        <v>30</v>
      </c>
      <c r="L4760">
        <v>578.84</v>
      </c>
      <c r="M4760">
        <f>VLOOKUP(K4760,RatingLookup!$A$2:$C$8,2,FALSE)</f>
        <v>1.4999999999999999E-2</v>
      </c>
      <c r="N4760">
        <f t="shared" si="222"/>
        <v>1.2586770182638762E-3</v>
      </c>
      <c r="O4760">
        <f>VLOOKUP(K4760,RatingLookup!$A$2:$C$8,3,FALSE)</f>
        <v>0.5</v>
      </c>
      <c r="P4760">
        <f t="shared" si="223"/>
        <v>0.36428630262593109</v>
      </c>
      <c r="Q4760" t="str">
        <f t="shared" ca="1" si="224"/>
        <v>No</v>
      </c>
    </row>
    <row r="4761" spans="1:17" x14ac:dyDescent="0.45">
      <c r="A4761" t="s">
        <v>195</v>
      </c>
      <c r="B4761" t="s">
        <v>196</v>
      </c>
      <c r="C4761" t="s">
        <v>85</v>
      </c>
      <c r="D4761" t="s">
        <v>188</v>
      </c>
      <c r="E4761" t="s">
        <v>21</v>
      </c>
      <c r="F4761" s="1">
        <v>44409</v>
      </c>
      <c r="G4761">
        <v>1.24</v>
      </c>
      <c r="H4761">
        <v>80.805000000000007</v>
      </c>
      <c r="I4761">
        <v>21.51</v>
      </c>
      <c r="J4761">
        <v>99.53</v>
      </c>
      <c r="K4761" t="s">
        <v>30</v>
      </c>
      <c r="L4761">
        <v>613.66</v>
      </c>
      <c r="M4761">
        <f>VLOOKUP(K4761,RatingLookup!$A$2:$C$8,2,FALSE)</f>
        <v>1.4999999999999999E-2</v>
      </c>
      <c r="N4761">
        <f t="shared" si="222"/>
        <v>1.2586770182638762E-3</v>
      </c>
      <c r="O4761">
        <f>VLOOKUP(K4761,RatingLookup!$A$2:$C$8,3,FALSE)</f>
        <v>0.5</v>
      </c>
      <c r="P4761">
        <f t="shared" si="223"/>
        <v>0.38619986951390511</v>
      </c>
      <c r="Q4761" t="str">
        <f t="shared" ca="1" si="224"/>
        <v>No</v>
      </c>
    </row>
    <row r="4762" spans="1:17" x14ac:dyDescent="0.45">
      <c r="A4762" t="s">
        <v>195</v>
      </c>
      <c r="B4762" t="s">
        <v>196</v>
      </c>
      <c r="C4762" t="s">
        <v>85</v>
      </c>
      <c r="D4762" t="s">
        <v>188</v>
      </c>
      <c r="E4762" t="s">
        <v>21</v>
      </c>
      <c r="F4762" s="1">
        <v>44440</v>
      </c>
      <c r="G4762">
        <v>2.13</v>
      </c>
      <c r="H4762">
        <v>80.392200000000003</v>
      </c>
      <c r="I4762">
        <v>27.4</v>
      </c>
      <c r="J4762">
        <v>83.85</v>
      </c>
      <c r="K4762" t="s">
        <v>30</v>
      </c>
      <c r="L4762">
        <v>592.34</v>
      </c>
      <c r="M4762">
        <f>VLOOKUP(K4762,RatingLookup!$A$2:$C$8,2,FALSE)</f>
        <v>1.4999999999999999E-2</v>
      </c>
      <c r="N4762">
        <f t="shared" si="222"/>
        <v>1.2586770182638762E-3</v>
      </c>
      <c r="O4762">
        <f>VLOOKUP(K4762,RatingLookup!$A$2:$C$8,3,FALSE)</f>
        <v>0.5</v>
      </c>
      <c r="P4762">
        <f t="shared" si="223"/>
        <v>0.37278237249921226</v>
      </c>
      <c r="Q4762" t="str">
        <f t="shared" ca="1" si="224"/>
        <v>No</v>
      </c>
    </row>
    <row r="4763" spans="1:17" x14ac:dyDescent="0.45">
      <c r="A4763" t="s">
        <v>195</v>
      </c>
      <c r="B4763" t="s">
        <v>196</v>
      </c>
      <c r="C4763" t="s">
        <v>85</v>
      </c>
      <c r="D4763" t="s">
        <v>188</v>
      </c>
      <c r="E4763" t="s">
        <v>21</v>
      </c>
      <c r="F4763" s="1">
        <v>44470</v>
      </c>
      <c r="G4763">
        <v>0.35</v>
      </c>
      <c r="H4763">
        <v>83.601500000000001</v>
      </c>
      <c r="I4763">
        <v>34.47</v>
      </c>
      <c r="J4763">
        <v>67.739999999999995</v>
      </c>
      <c r="K4763" t="s">
        <v>30</v>
      </c>
      <c r="L4763">
        <v>648.20000000000005</v>
      </c>
      <c r="M4763">
        <f>VLOOKUP(K4763,RatingLookup!$A$2:$C$8,2,FALSE)</f>
        <v>1.4999999999999999E-2</v>
      </c>
      <c r="N4763">
        <f t="shared" si="222"/>
        <v>1.2586770182638762E-3</v>
      </c>
      <c r="O4763">
        <f>VLOOKUP(K4763,RatingLookup!$A$2:$C$8,3,FALSE)</f>
        <v>0.5</v>
      </c>
      <c r="P4763">
        <f t="shared" si="223"/>
        <v>0.40793722161932233</v>
      </c>
      <c r="Q4763" t="str">
        <f t="shared" ca="1" si="224"/>
        <v>No</v>
      </c>
    </row>
    <row r="4764" spans="1:17" x14ac:dyDescent="0.45">
      <c r="A4764" t="s">
        <v>195</v>
      </c>
      <c r="B4764" t="s">
        <v>196</v>
      </c>
      <c r="C4764" t="s">
        <v>85</v>
      </c>
      <c r="D4764" t="s">
        <v>188</v>
      </c>
      <c r="E4764" t="s">
        <v>21</v>
      </c>
      <c r="F4764" s="1">
        <v>44501</v>
      </c>
      <c r="G4764">
        <v>1.69</v>
      </c>
      <c r="H4764">
        <v>84.526499999999999</v>
      </c>
      <c r="I4764">
        <v>14.15</v>
      </c>
      <c r="J4764">
        <v>101.14</v>
      </c>
      <c r="K4764" t="s">
        <v>30</v>
      </c>
      <c r="L4764">
        <v>569.24</v>
      </c>
      <c r="M4764">
        <f>VLOOKUP(K4764,RatingLookup!$A$2:$C$8,2,FALSE)</f>
        <v>1.4999999999999999E-2</v>
      </c>
      <c r="N4764">
        <f t="shared" si="222"/>
        <v>1.2586770182638762E-3</v>
      </c>
      <c r="O4764">
        <f>VLOOKUP(K4764,RatingLookup!$A$2:$C$8,3,FALSE)</f>
        <v>0.5</v>
      </c>
      <c r="P4764">
        <f t="shared" si="223"/>
        <v>0.35824465293826446</v>
      </c>
      <c r="Q4764" t="str">
        <f t="shared" ca="1" si="224"/>
        <v>No</v>
      </c>
    </row>
    <row r="4765" spans="1:17" x14ac:dyDescent="0.45">
      <c r="A4765" t="s">
        <v>195</v>
      </c>
      <c r="B4765" t="s">
        <v>196</v>
      </c>
      <c r="C4765" t="s">
        <v>85</v>
      </c>
      <c r="D4765" t="s">
        <v>188</v>
      </c>
      <c r="E4765" t="s">
        <v>21</v>
      </c>
      <c r="F4765" s="1">
        <v>44531</v>
      </c>
      <c r="G4765">
        <v>1.29</v>
      </c>
      <c r="H4765">
        <v>81.568299999999994</v>
      </c>
      <c r="I4765">
        <v>22.54</v>
      </c>
      <c r="J4765">
        <v>66.53</v>
      </c>
      <c r="K4765" t="s">
        <v>30</v>
      </c>
      <c r="L4765">
        <v>578.53</v>
      </c>
      <c r="M4765">
        <f>VLOOKUP(K4765,RatingLookup!$A$2:$C$8,2,FALSE)</f>
        <v>1.4999999999999999E-2</v>
      </c>
      <c r="N4765">
        <f t="shared" si="222"/>
        <v>1.2586770182638762E-3</v>
      </c>
      <c r="O4765">
        <f>VLOOKUP(K4765,RatingLookup!$A$2:$C$8,3,FALSE)</f>
        <v>0.5</v>
      </c>
      <c r="P4765">
        <f t="shared" si="223"/>
        <v>0.36409120768810016</v>
      </c>
      <c r="Q4765" t="str">
        <f t="shared" ca="1" si="224"/>
        <v>No</v>
      </c>
    </row>
    <row r="4766" spans="1:17" x14ac:dyDescent="0.45">
      <c r="A4766" t="s">
        <v>195</v>
      </c>
      <c r="B4766" t="s">
        <v>196</v>
      </c>
      <c r="C4766" t="s">
        <v>85</v>
      </c>
      <c r="D4766" t="s">
        <v>188</v>
      </c>
      <c r="E4766" t="s">
        <v>21</v>
      </c>
      <c r="F4766" s="1">
        <v>44562</v>
      </c>
      <c r="G4766">
        <v>0.24</v>
      </c>
      <c r="H4766">
        <v>84.681299999999993</v>
      </c>
      <c r="I4766">
        <v>16.11</v>
      </c>
      <c r="J4766">
        <v>83.61</v>
      </c>
      <c r="K4766" t="s">
        <v>30</v>
      </c>
      <c r="L4766">
        <v>621.21</v>
      </c>
      <c r="M4766">
        <f>VLOOKUP(K4766,RatingLookup!$A$2:$C$8,2,FALSE)</f>
        <v>1.4999999999999999E-2</v>
      </c>
      <c r="N4766">
        <f t="shared" si="222"/>
        <v>1.2586770182638762E-3</v>
      </c>
      <c r="O4766">
        <f>VLOOKUP(K4766,RatingLookup!$A$2:$C$8,3,FALSE)</f>
        <v>0.5</v>
      </c>
      <c r="P4766">
        <f t="shared" si="223"/>
        <v>0.39095137525785129</v>
      </c>
      <c r="Q4766" t="str">
        <f t="shared" ca="1" si="224"/>
        <v>No</v>
      </c>
    </row>
    <row r="4767" spans="1:17" x14ac:dyDescent="0.45">
      <c r="A4767" t="s">
        <v>195</v>
      </c>
      <c r="B4767" t="s">
        <v>196</v>
      </c>
      <c r="C4767" t="s">
        <v>85</v>
      </c>
      <c r="D4767" t="s">
        <v>188</v>
      </c>
      <c r="E4767" t="s">
        <v>21</v>
      </c>
      <c r="F4767" s="1">
        <v>44593</v>
      </c>
      <c r="G4767">
        <v>1.48</v>
      </c>
      <c r="H4767">
        <v>80.611199999999997</v>
      </c>
      <c r="I4767">
        <v>14.5</v>
      </c>
      <c r="J4767">
        <v>74.36</v>
      </c>
      <c r="K4767" t="s">
        <v>30</v>
      </c>
      <c r="L4767">
        <v>557.03</v>
      </c>
      <c r="M4767">
        <f>VLOOKUP(K4767,RatingLookup!$A$2:$C$8,2,FALSE)</f>
        <v>1.4999999999999999E-2</v>
      </c>
      <c r="N4767">
        <f t="shared" si="222"/>
        <v>1.2586770182638762E-3</v>
      </c>
      <c r="O4767">
        <f>VLOOKUP(K4767,RatingLookup!$A$2:$C$8,3,FALSE)</f>
        <v>0.5</v>
      </c>
      <c r="P4767">
        <f t="shared" si="223"/>
        <v>0.35056042974176349</v>
      </c>
      <c r="Q4767" t="str">
        <f t="shared" ca="1" si="224"/>
        <v>No</v>
      </c>
    </row>
    <row r="4768" spans="1:17" x14ac:dyDescent="0.45">
      <c r="A4768" t="s">
        <v>195</v>
      </c>
      <c r="B4768" t="s">
        <v>196</v>
      </c>
      <c r="C4768" t="s">
        <v>85</v>
      </c>
      <c r="D4768" t="s">
        <v>188</v>
      </c>
      <c r="E4768" t="s">
        <v>21</v>
      </c>
      <c r="F4768" s="1">
        <v>44621</v>
      </c>
      <c r="G4768">
        <v>1.22</v>
      </c>
      <c r="H4768">
        <v>82.005200000000002</v>
      </c>
      <c r="I4768">
        <v>23.02</v>
      </c>
      <c r="J4768">
        <v>89.98</v>
      </c>
      <c r="K4768" t="s">
        <v>30</v>
      </c>
      <c r="L4768">
        <v>648.07000000000005</v>
      </c>
      <c r="M4768">
        <f>VLOOKUP(K4768,RatingLookup!$A$2:$C$8,2,FALSE)</f>
        <v>1.4999999999999999E-2</v>
      </c>
      <c r="N4768">
        <f t="shared" si="222"/>
        <v>1.2586770182638762E-3</v>
      </c>
      <c r="O4768">
        <f>VLOOKUP(K4768,RatingLookup!$A$2:$C$8,3,FALSE)</f>
        <v>0.5</v>
      </c>
      <c r="P4768">
        <f t="shared" si="223"/>
        <v>0.40785540761313516</v>
      </c>
      <c r="Q4768" t="str">
        <f t="shared" ca="1" si="224"/>
        <v>No</v>
      </c>
    </row>
    <row r="4769" spans="1:17" x14ac:dyDescent="0.45">
      <c r="A4769" t="s">
        <v>195</v>
      </c>
      <c r="B4769" t="s">
        <v>196</v>
      </c>
      <c r="C4769" t="s">
        <v>85</v>
      </c>
      <c r="D4769" t="s">
        <v>188</v>
      </c>
      <c r="E4769" t="s">
        <v>21</v>
      </c>
      <c r="F4769" s="1">
        <v>44652</v>
      </c>
      <c r="G4769">
        <v>1.75</v>
      </c>
      <c r="H4769">
        <v>88.642200000000003</v>
      </c>
      <c r="I4769">
        <v>29.23</v>
      </c>
      <c r="J4769">
        <v>86.62</v>
      </c>
      <c r="K4769" t="s">
        <v>30</v>
      </c>
      <c r="L4769">
        <v>626.23</v>
      </c>
      <c r="M4769">
        <f>VLOOKUP(K4769,RatingLookup!$A$2:$C$8,2,FALSE)</f>
        <v>1.4999999999999999E-2</v>
      </c>
      <c r="N4769">
        <f t="shared" si="222"/>
        <v>1.2586770182638762E-3</v>
      </c>
      <c r="O4769">
        <f>VLOOKUP(K4769,RatingLookup!$A$2:$C$8,3,FALSE)</f>
        <v>0.5</v>
      </c>
      <c r="P4769">
        <f t="shared" si="223"/>
        <v>0.3941106545736936</v>
      </c>
      <c r="Q4769" t="str">
        <f t="shared" ca="1" si="224"/>
        <v>No</v>
      </c>
    </row>
    <row r="4770" spans="1:17" x14ac:dyDescent="0.45">
      <c r="A4770" t="s">
        <v>195</v>
      </c>
      <c r="B4770" t="s">
        <v>196</v>
      </c>
      <c r="C4770" t="s">
        <v>85</v>
      </c>
      <c r="D4770" t="s">
        <v>188</v>
      </c>
      <c r="E4770" t="s">
        <v>21</v>
      </c>
      <c r="F4770" s="1">
        <v>44682</v>
      </c>
      <c r="G4770">
        <v>2.0499999999999998</v>
      </c>
      <c r="H4770">
        <v>77.832800000000006</v>
      </c>
      <c r="I4770">
        <v>14.89</v>
      </c>
      <c r="J4770">
        <v>77.91</v>
      </c>
      <c r="K4770" t="s">
        <v>30</v>
      </c>
      <c r="L4770">
        <v>551.20000000000005</v>
      </c>
      <c r="M4770">
        <f>VLOOKUP(K4770,RatingLookup!$A$2:$C$8,2,FALSE)</f>
        <v>1.4999999999999999E-2</v>
      </c>
      <c r="N4770">
        <f t="shared" si="222"/>
        <v>1.2586770182638762E-3</v>
      </c>
      <c r="O4770">
        <f>VLOOKUP(K4770,RatingLookup!$A$2:$C$8,3,FALSE)</f>
        <v>0.5</v>
      </c>
      <c r="P4770">
        <f t="shared" si="223"/>
        <v>0.34689138623352433</v>
      </c>
      <c r="Q4770" t="str">
        <f t="shared" ca="1" si="224"/>
        <v>No</v>
      </c>
    </row>
    <row r="4771" spans="1:17" x14ac:dyDescent="0.45">
      <c r="A4771" t="s">
        <v>195</v>
      </c>
      <c r="B4771" t="s">
        <v>196</v>
      </c>
      <c r="C4771" t="s">
        <v>85</v>
      </c>
      <c r="D4771" t="s">
        <v>188</v>
      </c>
      <c r="E4771" t="s">
        <v>21</v>
      </c>
      <c r="F4771" s="1">
        <v>44713</v>
      </c>
      <c r="G4771">
        <v>0.61</v>
      </c>
      <c r="H4771">
        <v>86.355800000000002</v>
      </c>
      <c r="I4771">
        <v>15.9</v>
      </c>
      <c r="J4771">
        <v>96.71</v>
      </c>
      <c r="K4771" t="s">
        <v>30</v>
      </c>
      <c r="L4771">
        <v>586</v>
      </c>
      <c r="M4771">
        <f>VLOOKUP(K4771,RatingLookup!$A$2:$C$8,2,FALSE)</f>
        <v>1.4999999999999999E-2</v>
      </c>
      <c r="N4771">
        <f t="shared" si="222"/>
        <v>1.2586770182638762E-3</v>
      </c>
      <c r="O4771">
        <f>VLOOKUP(K4771,RatingLookup!$A$2:$C$8,3,FALSE)</f>
        <v>0.5</v>
      </c>
      <c r="P4771">
        <f t="shared" si="223"/>
        <v>0.36879236635131574</v>
      </c>
      <c r="Q4771" t="str">
        <f t="shared" ca="1" si="224"/>
        <v>No</v>
      </c>
    </row>
    <row r="4772" spans="1:17" x14ac:dyDescent="0.45">
      <c r="A4772" t="s">
        <v>195</v>
      </c>
      <c r="B4772" t="s">
        <v>196</v>
      </c>
      <c r="C4772" t="s">
        <v>85</v>
      </c>
      <c r="D4772" t="s">
        <v>188</v>
      </c>
      <c r="E4772" t="s">
        <v>21</v>
      </c>
      <c r="F4772" s="1">
        <v>44743</v>
      </c>
      <c r="G4772">
        <v>1.24</v>
      </c>
      <c r="H4772">
        <v>77.842299999999994</v>
      </c>
      <c r="I4772">
        <v>38.909999999999997</v>
      </c>
      <c r="J4772">
        <v>67.55</v>
      </c>
      <c r="K4772" t="s">
        <v>30</v>
      </c>
      <c r="L4772">
        <v>619.6</v>
      </c>
      <c r="M4772">
        <f>VLOOKUP(K4772,RatingLookup!$A$2:$C$8,2,FALSE)</f>
        <v>1.4999999999999999E-2</v>
      </c>
      <c r="N4772">
        <f t="shared" si="222"/>
        <v>1.2586770182638762E-3</v>
      </c>
      <c r="O4772">
        <f>VLOOKUP(K4772,RatingLookup!$A$2:$C$8,3,FALSE)</f>
        <v>0.5</v>
      </c>
      <c r="P4772">
        <f t="shared" si="223"/>
        <v>0.38993814025814888</v>
      </c>
      <c r="Q4772" t="str">
        <f t="shared" ca="1" si="224"/>
        <v>No</v>
      </c>
    </row>
    <row r="4773" spans="1:17" x14ac:dyDescent="0.45">
      <c r="A4773" t="s">
        <v>195</v>
      </c>
      <c r="B4773" t="s">
        <v>196</v>
      </c>
      <c r="C4773" t="s">
        <v>85</v>
      </c>
      <c r="D4773" t="s">
        <v>188</v>
      </c>
      <c r="E4773" t="s">
        <v>21</v>
      </c>
      <c r="F4773" s="1">
        <v>44774</v>
      </c>
      <c r="G4773">
        <v>1.21</v>
      </c>
      <c r="H4773">
        <v>84.993700000000004</v>
      </c>
      <c r="I4773">
        <v>21.67</v>
      </c>
      <c r="J4773">
        <v>80.52</v>
      </c>
      <c r="K4773" t="s">
        <v>30</v>
      </c>
      <c r="L4773">
        <v>627.37</v>
      </c>
      <c r="M4773">
        <f>VLOOKUP(K4773,RatingLookup!$A$2:$C$8,2,FALSE)</f>
        <v>1.4999999999999999E-2</v>
      </c>
      <c r="N4773">
        <f t="shared" si="222"/>
        <v>1.2586770182638762E-3</v>
      </c>
      <c r="O4773">
        <f>VLOOKUP(K4773,RatingLookup!$A$2:$C$8,3,FALSE)</f>
        <v>0.5</v>
      </c>
      <c r="P4773">
        <f t="shared" si="223"/>
        <v>0.39482810047410399</v>
      </c>
      <c r="Q4773" t="str">
        <f t="shared" ca="1" si="224"/>
        <v>No</v>
      </c>
    </row>
    <row r="4774" spans="1:17" x14ac:dyDescent="0.45">
      <c r="A4774" t="s">
        <v>195</v>
      </c>
      <c r="B4774" t="s">
        <v>196</v>
      </c>
      <c r="C4774" t="s">
        <v>85</v>
      </c>
      <c r="D4774" t="s">
        <v>188</v>
      </c>
      <c r="E4774" t="s">
        <v>21</v>
      </c>
      <c r="F4774" s="1">
        <v>44805</v>
      </c>
      <c r="G4774">
        <v>1.35</v>
      </c>
      <c r="H4774">
        <v>84.349500000000006</v>
      </c>
      <c r="I4774">
        <v>15.07</v>
      </c>
      <c r="J4774">
        <v>81.77</v>
      </c>
      <c r="K4774" t="s">
        <v>30</v>
      </c>
      <c r="L4774">
        <v>644.91</v>
      </c>
      <c r="M4774">
        <f>VLOOKUP(K4774,RatingLookup!$A$2:$C$8,2,FALSE)</f>
        <v>1.4999999999999999E-2</v>
      </c>
      <c r="N4774">
        <f t="shared" si="222"/>
        <v>1.2586770182638762E-3</v>
      </c>
      <c r="O4774">
        <f>VLOOKUP(K4774,RatingLookup!$A$2:$C$8,3,FALSE)</f>
        <v>0.5</v>
      </c>
      <c r="P4774">
        <f t="shared" si="223"/>
        <v>0.40586669792427821</v>
      </c>
      <c r="Q4774" t="str">
        <f t="shared" ca="1" si="224"/>
        <v>No</v>
      </c>
    </row>
    <row r="4775" spans="1:17" x14ac:dyDescent="0.45">
      <c r="A4775" t="s">
        <v>195</v>
      </c>
      <c r="B4775" t="s">
        <v>196</v>
      </c>
      <c r="C4775" t="s">
        <v>85</v>
      </c>
      <c r="D4775" t="s">
        <v>188</v>
      </c>
      <c r="E4775" t="s">
        <v>21</v>
      </c>
      <c r="F4775" s="1">
        <v>44835</v>
      </c>
      <c r="G4775">
        <v>1.08</v>
      </c>
      <c r="H4775">
        <v>83.9696</v>
      </c>
      <c r="I4775">
        <v>20.14</v>
      </c>
      <c r="J4775">
        <v>81.16</v>
      </c>
      <c r="K4775" t="s">
        <v>22</v>
      </c>
      <c r="L4775">
        <v>611.84</v>
      </c>
      <c r="M4775">
        <f>VLOOKUP(K4775,RatingLookup!$A$2:$C$8,2,FALSE)</f>
        <v>5.0000000000000001E-3</v>
      </c>
      <c r="N4775">
        <f t="shared" si="222"/>
        <v>4.1762458919303302E-4</v>
      </c>
      <c r="O4775">
        <f>VLOOKUP(K4775,RatingLookup!$A$2:$C$8,3,FALSE)</f>
        <v>0.45</v>
      </c>
      <c r="P4775">
        <f t="shared" si="223"/>
        <v>0.1149837428933394</v>
      </c>
      <c r="Q4775" t="str">
        <f t="shared" ca="1" si="224"/>
        <v>No</v>
      </c>
    </row>
    <row r="4776" spans="1:17" x14ac:dyDescent="0.45">
      <c r="A4776" t="s">
        <v>195</v>
      </c>
      <c r="B4776" t="s">
        <v>196</v>
      </c>
      <c r="C4776" t="s">
        <v>85</v>
      </c>
      <c r="D4776" t="s">
        <v>188</v>
      </c>
      <c r="E4776" t="s">
        <v>21</v>
      </c>
      <c r="F4776" s="1">
        <v>44866</v>
      </c>
      <c r="G4776">
        <v>2.13</v>
      </c>
      <c r="H4776">
        <v>82.787700000000001</v>
      </c>
      <c r="I4776">
        <v>19.09</v>
      </c>
      <c r="J4776">
        <v>84.06</v>
      </c>
      <c r="K4776" t="s">
        <v>22</v>
      </c>
      <c r="L4776">
        <v>580.53</v>
      </c>
      <c r="M4776">
        <f>VLOOKUP(K4776,RatingLookup!$A$2:$C$8,2,FALSE)</f>
        <v>5.0000000000000001E-3</v>
      </c>
      <c r="N4776">
        <f t="shared" si="222"/>
        <v>4.1762458919303302E-4</v>
      </c>
      <c r="O4776">
        <f>VLOOKUP(K4776,RatingLookup!$A$2:$C$8,3,FALSE)</f>
        <v>0.45</v>
      </c>
      <c r="P4776">
        <f t="shared" si="223"/>
        <v>0.10909962124390415</v>
      </c>
      <c r="Q4776" t="str">
        <f t="shared" ca="1" si="224"/>
        <v>No</v>
      </c>
    </row>
    <row r="4777" spans="1:17" x14ac:dyDescent="0.45">
      <c r="A4777" t="s">
        <v>195</v>
      </c>
      <c r="B4777" t="s">
        <v>196</v>
      </c>
      <c r="C4777" t="s">
        <v>85</v>
      </c>
      <c r="D4777" t="s">
        <v>188</v>
      </c>
      <c r="E4777" t="s">
        <v>21</v>
      </c>
      <c r="F4777" s="1">
        <v>44896</v>
      </c>
      <c r="G4777">
        <v>1.03</v>
      </c>
      <c r="H4777">
        <v>85.678799999999995</v>
      </c>
      <c r="I4777">
        <v>17.010000000000002</v>
      </c>
      <c r="J4777">
        <v>100.41</v>
      </c>
      <c r="K4777" t="s">
        <v>22</v>
      </c>
      <c r="L4777">
        <v>599.74</v>
      </c>
      <c r="M4777">
        <f>VLOOKUP(K4777,RatingLookup!$A$2:$C$8,2,FALSE)</f>
        <v>5.0000000000000001E-3</v>
      </c>
      <c r="N4777">
        <f t="shared" si="222"/>
        <v>4.1762458919303302E-4</v>
      </c>
      <c r="O4777">
        <f>VLOOKUP(K4777,RatingLookup!$A$2:$C$8,3,FALSE)</f>
        <v>0.45</v>
      </c>
      <c r="P4777">
        <f t="shared" si="223"/>
        <v>0.11270977700518334</v>
      </c>
      <c r="Q4777" t="str">
        <f t="shared" ca="1" si="224"/>
        <v>No</v>
      </c>
    </row>
    <row r="4778" spans="1:17" x14ac:dyDescent="0.45">
      <c r="A4778" t="s">
        <v>195</v>
      </c>
      <c r="B4778" t="s">
        <v>196</v>
      </c>
      <c r="C4778" t="s">
        <v>85</v>
      </c>
      <c r="D4778" t="s">
        <v>188</v>
      </c>
      <c r="E4778" t="s">
        <v>21</v>
      </c>
      <c r="F4778" s="1">
        <v>44927</v>
      </c>
      <c r="G4778">
        <v>0.16</v>
      </c>
      <c r="H4778">
        <v>82.031800000000004</v>
      </c>
      <c r="I4778">
        <v>13.67</v>
      </c>
      <c r="J4778">
        <v>80.95</v>
      </c>
      <c r="K4778" t="s">
        <v>22</v>
      </c>
      <c r="L4778">
        <v>654.25</v>
      </c>
      <c r="M4778">
        <f>VLOOKUP(K4778,RatingLookup!$A$2:$C$8,2,FALSE)</f>
        <v>5.0000000000000001E-3</v>
      </c>
      <c r="N4778">
        <f t="shared" si="222"/>
        <v>4.1762458919303302E-4</v>
      </c>
      <c r="O4778">
        <f>VLOOKUP(K4778,RatingLookup!$A$2:$C$8,3,FALSE)</f>
        <v>0.45</v>
      </c>
      <c r="P4778">
        <f t="shared" si="223"/>
        <v>0.12295389936579383</v>
      </c>
      <c r="Q4778" t="str">
        <f t="shared" ca="1" si="224"/>
        <v>No</v>
      </c>
    </row>
    <row r="4779" spans="1:17" x14ac:dyDescent="0.45">
      <c r="A4779" t="s">
        <v>195</v>
      </c>
      <c r="B4779" t="s">
        <v>196</v>
      </c>
      <c r="C4779" t="s">
        <v>85</v>
      </c>
      <c r="D4779" t="s">
        <v>188</v>
      </c>
      <c r="E4779" t="s">
        <v>21</v>
      </c>
      <c r="F4779" s="1">
        <v>44958</v>
      </c>
      <c r="G4779">
        <v>1.29</v>
      </c>
      <c r="H4779">
        <v>77.012</v>
      </c>
      <c r="I4779">
        <v>24.32</v>
      </c>
      <c r="J4779">
        <v>82.98</v>
      </c>
      <c r="K4779" t="s">
        <v>22</v>
      </c>
      <c r="L4779">
        <v>666.12</v>
      </c>
      <c r="M4779">
        <f>VLOOKUP(K4779,RatingLookup!$A$2:$C$8,2,FALSE)</f>
        <v>5.0000000000000001E-3</v>
      </c>
      <c r="N4779">
        <f t="shared" si="222"/>
        <v>4.1762458919303302E-4</v>
      </c>
      <c r="O4779">
        <f>VLOOKUP(K4779,RatingLookup!$A$2:$C$8,3,FALSE)</f>
        <v>0.45</v>
      </c>
      <c r="P4779">
        <f t="shared" si="223"/>
        <v>0.12518464110896843</v>
      </c>
      <c r="Q4779" t="str">
        <f t="shared" ca="1" si="224"/>
        <v>No</v>
      </c>
    </row>
    <row r="4780" spans="1:17" x14ac:dyDescent="0.45">
      <c r="A4780" t="s">
        <v>195</v>
      </c>
      <c r="B4780" t="s">
        <v>196</v>
      </c>
      <c r="C4780" t="s">
        <v>85</v>
      </c>
      <c r="D4780" t="s">
        <v>188</v>
      </c>
      <c r="E4780" t="s">
        <v>21</v>
      </c>
      <c r="F4780" s="1">
        <v>44986</v>
      </c>
      <c r="G4780">
        <v>1.68</v>
      </c>
      <c r="H4780">
        <v>83.092600000000004</v>
      </c>
      <c r="I4780">
        <v>15.83</v>
      </c>
      <c r="J4780">
        <v>77.849999999999994</v>
      </c>
      <c r="K4780" t="s">
        <v>22</v>
      </c>
      <c r="L4780">
        <v>586.15</v>
      </c>
      <c r="M4780">
        <f>VLOOKUP(K4780,RatingLookup!$A$2:$C$8,2,FALSE)</f>
        <v>5.0000000000000001E-3</v>
      </c>
      <c r="N4780">
        <f t="shared" si="222"/>
        <v>4.1762458919303302E-4</v>
      </c>
      <c r="O4780">
        <f>VLOOKUP(K4780,RatingLookup!$A$2:$C$8,3,FALSE)</f>
        <v>0.45</v>
      </c>
      <c r="P4780">
        <f t="shared" si="223"/>
        <v>0.11015579382997333</v>
      </c>
      <c r="Q4780" t="str">
        <f t="shared" ca="1" si="224"/>
        <v>No</v>
      </c>
    </row>
    <row r="4781" spans="1:17" x14ac:dyDescent="0.45">
      <c r="A4781" t="s">
        <v>195</v>
      </c>
      <c r="B4781" t="s">
        <v>196</v>
      </c>
      <c r="C4781" t="s">
        <v>85</v>
      </c>
      <c r="D4781" t="s">
        <v>188</v>
      </c>
      <c r="E4781" t="s">
        <v>21</v>
      </c>
      <c r="F4781" s="1">
        <v>45017</v>
      </c>
      <c r="G4781">
        <v>1.26</v>
      </c>
      <c r="H4781">
        <v>82.325699999999998</v>
      </c>
      <c r="I4781">
        <v>17.84</v>
      </c>
      <c r="J4781">
        <v>78.819999999999993</v>
      </c>
      <c r="K4781" t="s">
        <v>22</v>
      </c>
      <c r="L4781">
        <v>615.9</v>
      </c>
      <c r="M4781">
        <f>VLOOKUP(K4781,RatingLookup!$A$2:$C$8,2,FALSE)</f>
        <v>5.0000000000000001E-3</v>
      </c>
      <c r="N4781">
        <f t="shared" si="222"/>
        <v>4.1762458919303302E-4</v>
      </c>
      <c r="O4781">
        <f>VLOOKUP(K4781,RatingLookup!$A$2:$C$8,3,FALSE)</f>
        <v>0.45</v>
      </c>
      <c r="P4781">
        <f t="shared" si="223"/>
        <v>0.11574674301779507</v>
      </c>
      <c r="Q4781" t="str">
        <f t="shared" ca="1" si="224"/>
        <v>No</v>
      </c>
    </row>
    <row r="4782" spans="1:17" x14ac:dyDescent="0.45">
      <c r="A4782" t="s">
        <v>195</v>
      </c>
      <c r="B4782" t="s">
        <v>196</v>
      </c>
      <c r="C4782" t="s">
        <v>85</v>
      </c>
      <c r="D4782" t="s">
        <v>188</v>
      </c>
      <c r="E4782" t="s">
        <v>21</v>
      </c>
      <c r="F4782" s="1">
        <v>45047</v>
      </c>
      <c r="G4782">
        <v>1.18</v>
      </c>
      <c r="H4782">
        <v>79.053100000000001</v>
      </c>
      <c r="I4782">
        <v>22.03</v>
      </c>
      <c r="J4782">
        <v>85.76</v>
      </c>
      <c r="K4782" t="s">
        <v>22</v>
      </c>
      <c r="L4782">
        <v>589.04</v>
      </c>
      <c r="M4782">
        <f>VLOOKUP(K4782,RatingLookup!$A$2:$C$8,2,FALSE)</f>
        <v>5.0000000000000001E-3</v>
      </c>
      <c r="N4782">
        <f t="shared" si="222"/>
        <v>4.1762458919303302E-4</v>
      </c>
      <c r="O4782">
        <f>VLOOKUP(K4782,RatingLookup!$A$2:$C$8,3,FALSE)</f>
        <v>0.45</v>
      </c>
      <c r="P4782">
        <f t="shared" si="223"/>
        <v>0.11069891460821887</v>
      </c>
      <c r="Q4782" t="str">
        <f t="shared" ca="1" si="224"/>
        <v>No</v>
      </c>
    </row>
    <row r="4783" spans="1:17" x14ac:dyDescent="0.45">
      <c r="A4783" t="s">
        <v>195</v>
      </c>
      <c r="B4783" t="s">
        <v>196</v>
      </c>
      <c r="C4783" t="s">
        <v>85</v>
      </c>
      <c r="D4783" t="s">
        <v>188</v>
      </c>
      <c r="E4783" t="s">
        <v>21</v>
      </c>
      <c r="F4783" s="1">
        <v>45078</v>
      </c>
      <c r="G4783">
        <v>1.56</v>
      </c>
      <c r="H4783">
        <v>81.580799999999996</v>
      </c>
      <c r="I4783">
        <v>15.87</v>
      </c>
      <c r="J4783">
        <v>80.41</v>
      </c>
      <c r="K4783" t="s">
        <v>22</v>
      </c>
      <c r="L4783">
        <v>605.34</v>
      </c>
      <c r="M4783">
        <f>VLOOKUP(K4783,RatingLookup!$A$2:$C$8,2,FALSE)</f>
        <v>5.0000000000000001E-3</v>
      </c>
      <c r="N4783">
        <f t="shared" si="222"/>
        <v>4.1762458919303302E-4</v>
      </c>
      <c r="O4783">
        <f>VLOOKUP(K4783,RatingLookup!$A$2:$C$8,3,FALSE)</f>
        <v>0.45</v>
      </c>
      <c r="P4783">
        <f t="shared" si="223"/>
        <v>0.11376219096994979</v>
      </c>
      <c r="Q4783" t="str">
        <f t="shared" ca="1" si="224"/>
        <v>No</v>
      </c>
    </row>
    <row r="4784" spans="1:17" x14ac:dyDescent="0.45">
      <c r="A4784" t="s">
        <v>195</v>
      </c>
      <c r="B4784" t="s">
        <v>196</v>
      </c>
      <c r="C4784" t="s">
        <v>85</v>
      </c>
      <c r="D4784" t="s">
        <v>188</v>
      </c>
      <c r="E4784" t="s">
        <v>21</v>
      </c>
      <c r="F4784" s="1">
        <v>45108</v>
      </c>
      <c r="G4784">
        <v>1.23</v>
      </c>
      <c r="H4784">
        <v>81.902600000000007</v>
      </c>
      <c r="I4784">
        <v>18.920000000000002</v>
      </c>
      <c r="J4784">
        <v>77.58</v>
      </c>
      <c r="K4784" t="s">
        <v>22</v>
      </c>
      <c r="L4784">
        <v>634.55999999999995</v>
      </c>
      <c r="M4784">
        <f>VLOOKUP(K4784,RatingLookup!$A$2:$C$8,2,FALSE)</f>
        <v>5.0000000000000001E-3</v>
      </c>
      <c r="N4784">
        <f t="shared" si="222"/>
        <v>4.1762458919303302E-4</v>
      </c>
      <c r="O4784">
        <f>VLOOKUP(K4784,RatingLookup!$A$2:$C$8,3,FALSE)</f>
        <v>0.45</v>
      </c>
      <c r="P4784">
        <f t="shared" si="223"/>
        <v>0.11925353669324897</v>
      </c>
      <c r="Q4784" t="str">
        <f t="shared" ca="1" si="224"/>
        <v>No</v>
      </c>
    </row>
    <row r="4785" spans="1:17" x14ac:dyDescent="0.45">
      <c r="A4785" t="s">
        <v>195</v>
      </c>
      <c r="B4785" t="s">
        <v>196</v>
      </c>
      <c r="C4785" t="s">
        <v>85</v>
      </c>
      <c r="D4785" t="s">
        <v>188</v>
      </c>
      <c r="E4785" t="s">
        <v>21</v>
      </c>
      <c r="F4785" s="1">
        <v>45139</v>
      </c>
      <c r="G4785">
        <v>0.81</v>
      </c>
      <c r="H4785">
        <v>85.288300000000007</v>
      </c>
      <c r="I4785">
        <v>21.76</v>
      </c>
      <c r="J4785">
        <v>80.510000000000005</v>
      </c>
      <c r="K4785" t="s">
        <v>22</v>
      </c>
      <c r="L4785">
        <v>634.08000000000004</v>
      </c>
      <c r="M4785">
        <f>VLOOKUP(K4785,RatingLookup!$A$2:$C$8,2,FALSE)</f>
        <v>5.0000000000000001E-3</v>
      </c>
      <c r="N4785">
        <f t="shared" si="222"/>
        <v>4.1762458919303302E-4</v>
      </c>
      <c r="O4785">
        <f>VLOOKUP(K4785,RatingLookup!$A$2:$C$8,3,FALSE)</f>
        <v>0.45</v>
      </c>
      <c r="P4785">
        <f t="shared" si="223"/>
        <v>0.11916332978198328</v>
      </c>
      <c r="Q4785" t="str">
        <f t="shared" ca="1" si="224"/>
        <v>No</v>
      </c>
    </row>
    <row r="4786" spans="1:17" x14ac:dyDescent="0.45">
      <c r="A4786" t="s">
        <v>195</v>
      </c>
      <c r="B4786" t="s">
        <v>196</v>
      </c>
      <c r="C4786" t="s">
        <v>85</v>
      </c>
      <c r="D4786" t="s">
        <v>188</v>
      </c>
      <c r="E4786" t="s">
        <v>21</v>
      </c>
      <c r="F4786" s="1">
        <v>45170</v>
      </c>
      <c r="G4786">
        <v>1.7</v>
      </c>
      <c r="H4786">
        <v>82.440799999999996</v>
      </c>
      <c r="I4786">
        <v>33.24</v>
      </c>
      <c r="J4786">
        <v>90.55</v>
      </c>
      <c r="K4786" t="s">
        <v>22</v>
      </c>
      <c r="L4786">
        <v>573.24</v>
      </c>
      <c r="M4786">
        <f>VLOOKUP(K4786,RatingLookup!$A$2:$C$8,2,FALSE)</f>
        <v>5.0000000000000001E-3</v>
      </c>
      <c r="N4786">
        <f t="shared" si="222"/>
        <v>4.1762458919303302E-4</v>
      </c>
      <c r="O4786">
        <f>VLOOKUP(K4786,RatingLookup!$A$2:$C$8,3,FALSE)</f>
        <v>0.45</v>
      </c>
      <c r="P4786">
        <f t="shared" si="223"/>
        <v>0.10772960377905641</v>
      </c>
      <c r="Q4786" t="str">
        <f t="shared" ca="1" si="224"/>
        <v>No</v>
      </c>
    </row>
    <row r="4787" spans="1:17" x14ac:dyDescent="0.45">
      <c r="A4787" t="s">
        <v>195</v>
      </c>
      <c r="B4787" t="s">
        <v>196</v>
      </c>
      <c r="C4787" t="s">
        <v>85</v>
      </c>
      <c r="D4787" t="s">
        <v>188</v>
      </c>
      <c r="E4787" t="s">
        <v>21</v>
      </c>
      <c r="F4787" s="1">
        <v>45200</v>
      </c>
      <c r="G4787">
        <v>2.13</v>
      </c>
      <c r="H4787">
        <v>77.015900000000002</v>
      </c>
      <c r="I4787">
        <v>20.170000000000002</v>
      </c>
      <c r="J4787">
        <v>74.25</v>
      </c>
      <c r="K4787" t="s">
        <v>22</v>
      </c>
      <c r="L4787">
        <v>621.08000000000004</v>
      </c>
      <c r="M4787">
        <f>VLOOKUP(K4787,RatingLookup!$A$2:$C$8,2,FALSE)</f>
        <v>5.0000000000000001E-3</v>
      </c>
      <c r="N4787">
        <f t="shared" si="222"/>
        <v>4.1762458919303302E-4</v>
      </c>
      <c r="O4787">
        <f>VLOOKUP(K4787,RatingLookup!$A$2:$C$8,3,FALSE)</f>
        <v>0.45</v>
      </c>
      <c r="P4787">
        <f t="shared" si="223"/>
        <v>0.11672022593520404</v>
      </c>
      <c r="Q4787" t="str">
        <f t="shared" ca="1" si="224"/>
        <v>No</v>
      </c>
    </row>
    <row r="4788" spans="1:17" x14ac:dyDescent="0.45">
      <c r="A4788" t="s">
        <v>195</v>
      </c>
      <c r="B4788" t="s">
        <v>196</v>
      </c>
      <c r="C4788" t="s">
        <v>85</v>
      </c>
      <c r="D4788" t="s">
        <v>188</v>
      </c>
      <c r="E4788" t="s">
        <v>21</v>
      </c>
      <c r="F4788" s="1">
        <v>45231</v>
      </c>
      <c r="G4788">
        <v>0.57999999999999996</v>
      </c>
      <c r="H4788">
        <v>82.122</v>
      </c>
      <c r="I4788">
        <v>22.33</v>
      </c>
      <c r="J4788">
        <v>72.86</v>
      </c>
      <c r="K4788" t="s">
        <v>22</v>
      </c>
      <c r="L4788">
        <v>643.16999999999996</v>
      </c>
      <c r="M4788">
        <f>VLOOKUP(K4788,RatingLookup!$A$2:$C$8,2,FALSE)</f>
        <v>5.0000000000000001E-3</v>
      </c>
      <c r="N4788">
        <f t="shared" si="222"/>
        <v>4.1762458919303302E-4</v>
      </c>
      <c r="O4788">
        <f>VLOOKUP(K4788,RatingLookup!$A$2:$C$8,3,FALSE)</f>
        <v>0.45</v>
      </c>
      <c r="P4788">
        <f t="shared" si="223"/>
        <v>0.12087162316407737</v>
      </c>
      <c r="Q4788" t="str">
        <f t="shared" ca="1" si="224"/>
        <v>No</v>
      </c>
    </row>
    <row r="4789" spans="1:17" x14ac:dyDescent="0.45">
      <c r="A4789" t="s">
        <v>195</v>
      </c>
      <c r="B4789" t="s">
        <v>196</v>
      </c>
      <c r="C4789" t="s">
        <v>85</v>
      </c>
      <c r="D4789" t="s">
        <v>188</v>
      </c>
      <c r="E4789" t="s">
        <v>21</v>
      </c>
      <c r="F4789" s="1">
        <v>45261</v>
      </c>
      <c r="G4789">
        <v>1.0900000000000001</v>
      </c>
      <c r="H4789">
        <v>81.720399999999998</v>
      </c>
      <c r="I4789">
        <v>20.29</v>
      </c>
      <c r="J4789">
        <v>82.3</v>
      </c>
      <c r="K4789" t="s">
        <v>22</v>
      </c>
      <c r="L4789">
        <v>631.99</v>
      </c>
      <c r="M4789">
        <f>VLOOKUP(K4789,RatingLookup!$A$2:$C$8,2,FALSE)</f>
        <v>5.0000000000000001E-3</v>
      </c>
      <c r="N4789">
        <f t="shared" si="222"/>
        <v>4.1762458919303302E-4</v>
      </c>
      <c r="O4789">
        <f>VLOOKUP(K4789,RatingLookup!$A$2:$C$8,3,FALSE)</f>
        <v>0.45</v>
      </c>
      <c r="P4789">
        <f t="shared" si="223"/>
        <v>0.11877055385584723</v>
      </c>
      <c r="Q4789" t="str">
        <f t="shared" ca="1" si="224"/>
        <v>No</v>
      </c>
    </row>
    <row r="4790" spans="1:17" x14ac:dyDescent="0.45">
      <c r="A4790" t="s">
        <v>195</v>
      </c>
      <c r="B4790" t="s">
        <v>196</v>
      </c>
      <c r="C4790" t="s">
        <v>85</v>
      </c>
      <c r="D4790" t="s">
        <v>188</v>
      </c>
      <c r="E4790" t="s">
        <v>21</v>
      </c>
      <c r="F4790" s="1">
        <v>45292</v>
      </c>
      <c r="G4790">
        <v>1.1100000000000001</v>
      </c>
      <c r="H4790">
        <v>79.799700000000001</v>
      </c>
      <c r="I4790">
        <v>21.17</v>
      </c>
      <c r="J4790">
        <v>75.8</v>
      </c>
      <c r="K4790" t="s">
        <v>23</v>
      </c>
      <c r="L4790">
        <v>649.14</v>
      </c>
      <c r="M4790">
        <f>VLOOKUP(K4790,RatingLookup!$A$2:$C$8,2,FALSE)</f>
        <v>1E-3</v>
      </c>
      <c r="N4790">
        <f t="shared" si="222"/>
        <v>8.3371552197619714E-5</v>
      </c>
      <c r="O4790">
        <f>VLOOKUP(K4790,RatingLookup!$A$2:$C$8,3,FALSE)</f>
        <v>0.3</v>
      </c>
      <c r="P4790">
        <f t="shared" si="223"/>
        <v>1.6235942818068859E-2</v>
      </c>
      <c r="Q4790" t="str">
        <f t="shared" ca="1" si="224"/>
        <v>No</v>
      </c>
    </row>
    <row r="4791" spans="1:17" x14ac:dyDescent="0.45">
      <c r="A4791" t="s">
        <v>195</v>
      </c>
      <c r="B4791" t="s">
        <v>196</v>
      </c>
      <c r="C4791" t="s">
        <v>85</v>
      </c>
      <c r="D4791" t="s">
        <v>188</v>
      </c>
      <c r="E4791" t="s">
        <v>21</v>
      </c>
      <c r="F4791" s="1">
        <v>45323</v>
      </c>
      <c r="G4791">
        <v>1.94</v>
      </c>
      <c r="H4791">
        <v>81.543899999999994</v>
      </c>
      <c r="I4791">
        <v>19.62</v>
      </c>
      <c r="J4791">
        <v>78.12</v>
      </c>
      <c r="K4791" t="s">
        <v>23</v>
      </c>
      <c r="L4791">
        <v>639.61</v>
      </c>
      <c r="M4791">
        <f>VLOOKUP(K4791,RatingLookup!$A$2:$C$8,2,FALSE)</f>
        <v>1E-3</v>
      </c>
      <c r="N4791">
        <f t="shared" si="222"/>
        <v>8.3371552197619714E-5</v>
      </c>
      <c r="O4791">
        <f>VLOOKUP(K4791,RatingLookup!$A$2:$C$8,3,FALSE)</f>
        <v>0.3</v>
      </c>
      <c r="P4791">
        <f t="shared" si="223"/>
        <v>1.5997583550335863E-2</v>
      </c>
      <c r="Q4791" t="str">
        <f t="shared" ca="1" si="224"/>
        <v>No</v>
      </c>
    </row>
    <row r="4792" spans="1:17" x14ac:dyDescent="0.45">
      <c r="A4792" t="s">
        <v>195</v>
      </c>
      <c r="B4792" t="s">
        <v>196</v>
      </c>
      <c r="C4792" t="s">
        <v>85</v>
      </c>
      <c r="D4792" t="s">
        <v>188</v>
      </c>
      <c r="E4792" t="s">
        <v>21</v>
      </c>
      <c r="F4792" s="1">
        <v>45352</v>
      </c>
      <c r="G4792">
        <v>0.69</v>
      </c>
      <c r="H4792">
        <v>78.116200000000006</v>
      </c>
      <c r="I4792">
        <v>11.25</v>
      </c>
      <c r="J4792">
        <v>66.75</v>
      </c>
      <c r="K4792" t="s">
        <v>23</v>
      </c>
      <c r="L4792">
        <v>647.29</v>
      </c>
      <c r="M4792">
        <f>VLOOKUP(K4792,RatingLookup!$A$2:$C$8,2,FALSE)</f>
        <v>1E-3</v>
      </c>
      <c r="N4792">
        <f t="shared" si="222"/>
        <v>8.3371552197619714E-5</v>
      </c>
      <c r="O4792">
        <f>VLOOKUP(K4792,RatingLookup!$A$2:$C$8,3,FALSE)</f>
        <v>0.3</v>
      </c>
      <c r="P4792">
        <f t="shared" si="223"/>
        <v>1.6189671606599176E-2</v>
      </c>
      <c r="Q4792" t="str">
        <f t="shared" ca="1" si="224"/>
        <v>No</v>
      </c>
    </row>
    <row r="4793" spans="1:17" x14ac:dyDescent="0.45">
      <c r="A4793" t="s">
        <v>195</v>
      </c>
      <c r="B4793" t="s">
        <v>196</v>
      </c>
      <c r="C4793" t="s">
        <v>85</v>
      </c>
      <c r="D4793" t="s">
        <v>188</v>
      </c>
      <c r="E4793" t="s">
        <v>21</v>
      </c>
      <c r="F4793" s="1">
        <v>45383</v>
      </c>
      <c r="G4793">
        <v>1.47</v>
      </c>
      <c r="H4793">
        <v>86.427300000000002</v>
      </c>
      <c r="I4793">
        <v>17.850000000000001</v>
      </c>
      <c r="J4793">
        <v>87.53</v>
      </c>
      <c r="K4793" t="s">
        <v>23</v>
      </c>
      <c r="L4793">
        <v>638.05999999999995</v>
      </c>
      <c r="M4793">
        <f>VLOOKUP(K4793,RatingLookup!$A$2:$C$8,2,FALSE)</f>
        <v>1E-3</v>
      </c>
      <c r="N4793">
        <f t="shared" si="222"/>
        <v>8.3371552197619714E-5</v>
      </c>
      <c r="O4793">
        <f>VLOOKUP(K4793,RatingLookup!$A$2:$C$8,3,FALSE)</f>
        <v>0.3</v>
      </c>
      <c r="P4793">
        <f t="shared" si="223"/>
        <v>1.5958815778563968E-2</v>
      </c>
      <c r="Q4793" t="str">
        <f t="shared" ca="1" si="224"/>
        <v>No</v>
      </c>
    </row>
    <row r="4794" spans="1:17" x14ac:dyDescent="0.45">
      <c r="A4794" t="s">
        <v>195</v>
      </c>
      <c r="B4794" t="s">
        <v>196</v>
      </c>
      <c r="C4794" t="s">
        <v>85</v>
      </c>
      <c r="D4794" t="s">
        <v>188</v>
      </c>
      <c r="E4794" t="s">
        <v>21</v>
      </c>
      <c r="F4794" s="1">
        <v>45413</v>
      </c>
      <c r="G4794">
        <v>1.31</v>
      </c>
      <c r="H4794">
        <v>85.647199999999998</v>
      </c>
      <c r="I4794">
        <v>27.64</v>
      </c>
      <c r="J4794">
        <v>73.44</v>
      </c>
      <c r="K4794" t="s">
        <v>23</v>
      </c>
      <c r="L4794">
        <v>620.05999999999995</v>
      </c>
      <c r="M4794">
        <f>VLOOKUP(K4794,RatingLookup!$A$2:$C$8,2,FALSE)</f>
        <v>1E-3</v>
      </c>
      <c r="N4794">
        <f t="shared" si="222"/>
        <v>8.3371552197619714E-5</v>
      </c>
      <c r="O4794">
        <f>VLOOKUP(K4794,RatingLookup!$A$2:$C$8,3,FALSE)</f>
        <v>0.3</v>
      </c>
      <c r="P4794">
        <f t="shared" si="223"/>
        <v>1.5508609396696823E-2</v>
      </c>
      <c r="Q4794" t="str">
        <f t="shared" ca="1" si="224"/>
        <v>No</v>
      </c>
    </row>
    <row r="4795" spans="1:17" x14ac:dyDescent="0.45">
      <c r="A4795" t="s">
        <v>195</v>
      </c>
      <c r="B4795" t="s">
        <v>196</v>
      </c>
      <c r="C4795" t="s">
        <v>85</v>
      </c>
      <c r="D4795" t="s">
        <v>188</v>
      </c>
      <c r="E4795" t="s">
        <v>21</v>
      </c>
      <c r="F4795" s="1">
        <v>45444</v>
      </c>
      <c r="G4795">
        <v>1.1499999999999999</v>
      </c>
      <c r="H4795">
        <v>82.613100000000003</v>
      </c>
      <c r="I4795">
        <v>8.58</v>
      </c>
      <c r="J4795">
        <v>90</v>
      </c>
      <c r="K4795" t="s">
        <v>23</v>
      </c>
      <c r="L4795">
        <v>605.1</v>
      </c>
      <c r="M4795">
        <f>VLOOKUP(K4795,RatingLookup!$A$2:$C$8,2,FALSE)</f>
        <v>1E-3</v>
      </c>
      <c r="N4795">
        <f t="shared" si="222"/>
        <v>8.3371552197619714E-5</v>
      </c>
      <c r="O4795">
        <f>VLOOKUP(K4795,RatingLookup!$A$2:$C$8,3,FALSE)</f>
        <v>0.3</v>
      </c>
      <c r="P4795">
        <f t="shared" si="223"/>
        <v>1.5134437870433906E-2</v>
      </c>
      <c r="Q4795" t="str">
        <f t="shared" ca="1" si="224"/>
        <v>No</v>
      </c>
    </row>
    <row r="4796" spans="1:17" x14ac:dyDescent="0.45">
      <c r="A4796" t="s">
        <v>195</v>
      </c>
      <c r="B4796" t="s">
        <v>196</v>
      </c>
      <c r="C4796" t="s">
        <v>85</v>
      </c>
      <c r="D4796" t="s">
        <v>188</v>
      </c>
      <c r="E4796" t="s">
        <v>21</v>
      </c>
      <c r="F4796" s="1">
        <v>45474</v>
      </c>
      <c r="G4796">
        <v>1.24</v>
      </c>
      <c r="H4796">
        <v>80.791200000000003</v>
      </c>
      <c r="I4796">
        <v>16.21</v>
      </c>
      <c r="J4796">
        <v>96.37</v>
      </c>
      <c r="K4796" t="s">
        <v>23</v>
      </c>
      <c r="L4796">
        <v>600.38</v>
      </c>
      <c r="M4796">
        <f>VLOOKUP(K4796,RatingLookup!$A$2:$C$8,2,FALSE)</f>
        <v>1E-3</v>
      </c>
      <c r="N4796">
        <f t="shared" si="222"/>
        <v>8.3371552197619714E-5</v>
      </c>
      <c r="O4796">
        <f>VLOOKUP(K4796,RatingLookup!$A$2:$C$8,3,FALSE)</f>
        <v>0.3</v>
      </c>
      <c r="P4796">
        <f t="shared" si="223"/>
        <v>1.5016383752522077E-2</v>
      </c>
      <c r="Q4796" t="str">
        <f t="shared" ca="1" si="224"/>
        <v>No</v>
      </c>
    </row>
    <row r="4797" spans="1:17" x14ac:dyDescent="0.45">
      <c r="A4797" t="s">
        <v>195</v>
      </c>
      <c r="B4797" t="s">
        <v>196</v>
      </c>
      <c r="C4797" t="s">
        <v>85</v>
      </c>
      <c r="D4797" t="s">
        <v>188</v>
      </c>
      <c r="E4797" t="s">
        <v>21</v>
      </c>
      <c r="F4797" s="1">
        <v>45505</v>
      </c>
      <c r="G4797">
        <v>0.84</v>
      </c>
      <c r="H4797">
        <v>82.075199999999995</v>
      </c>
      <c r="I4797">
        <v>13.68</v>
      </c>
      <c r="J4797">
        <v>80.290000000000006</v>
      </c>
      <c r="K4797" t="s">
        <v>23</v>
      </c>
      <c r="L4797">
        <v>625.35</v>
      </c>
      <c r="M4797">
        <f>VLOOKUP(K4797,RatingLookup!$A$2:$C$8,2,FALSE)</f>
        <v>1E-3</v>
      </c>
      <c r="N4797">
        <f t="shared" si="222"/>
        <v>8.3371552197619714E-5</v>
      </c>
      <c r="O4797">
        <f>VLOOKUP(K4797,RatingLookup!$A$2:$C$8,3,FALSE)</f>
        <v>0.3</v>
      </c>
      <c r="P4797">
        <f t="shared" si="223"/>
        <v>1.5640920050034448E-2</v>
      </c>
      <c r="Q4797" t="str">
        <f t="shared" ca="1" si="224"/>
        <v>No</v>
      </c>
    </row>
    <row r="4798" spans="1:17" x14ac:dyDescent="0.45">
      <c r="A4798" t="s">
        <v>195</v>
      </c>
      <c r="B4798" t="s">
        <v>196</v>
      </c>
      <c r="C4798" t="s">
        <v>85</v>
      </c>
      <c r="D4798" t="s">
        <v>188</v>
      </c>
      <c r="E4798" t="s">
        <v>21</v>
      </c>
      <c r="F4798" s="1">
        <v>45536</v>
      </c>
      <c r="G4798">
        <v>1.21</v>
      </c>
      <c r="H4798">
        <v>86.330799999999996</v>
      </c>
      <c r="I4798">
        <v>16.02</v>
      </c>
      <c r="J4798">
        <v>73.38</v>
      </c>
      <c r="K4798" t="s">
        <v>23</v>
      </c>
      <c r="L4798">
        <v>645.54999999999995</v>
      </c>
      <c r="M4798">
        <f>VLOOKUP(K4798,RatingLookup!$A$2:$C$8,2,FALSE)</f>
        <v>1E-3</v>
      </c>
      <c r="N4798">
        <f t="shared" si="222"/>
        <v>8.3371552197619714E-5</v>
      </c>
      <c r="O4798">
        <f>VLOOKUP(K4798,RatingLookup!$A$2:$C$8,3,FALSE)</f>
        <v>0.3</v>
      </c>
      <c r="P4798">
        <f t="shared" si="223"/>
        <v>1.6146151656352019E-2</v>
      </c>
      <c r="Q4798" t="str">
        <f t="shared" ca="1" si="224"/>
        <v>No</v>
      </c>
    </row>
    <row r="4799" spans="1:17" x14ac:dyDescent="0.45">
      <c r="A4799" t="s">
        <v>195</v>
      </c>
      <c r="B4799" t="s">
        <v>196</v>
      </c>
      <c r="C4799" t="s">
        <v>85</v>
      </c>
      <c r="D4799" t="s">
        <v>188</v>
      </c>
      <c r="E4799" t="s">
        <v>21</v>
      </c>
      <c r="F4799" s="1">
        <v>45566</v>
      </c>
      <c r="G4799">
        <v>1.6</v>
      </c>
      <c r="H4799">
        <v>84.326099999999997</v>
      </c>
      <c r="I4799">
        <v>20.100000000000001</v>
      </c>
      <c r="J4799">
        <v>86.47</v>
      </c>
      <c r="K4799" t="s">
        <v>23</v>
      </c>
      <c r="L4799">
        <v>626.24</v>
      </c>
      <c r="M4799">
        <f>VLOOKUP(K4799,RatingLookup!$A$2:$C$8,2,FALSE)</f>
        <v>1E-3</v>
      </c>
      <c r="N4799">
        <f t="shared" si="222"/>
        <v>8.3371552197619714E-5</v>
      </c>
      <c r="O4799">
        <f>VLOOKUP(K4799,RatingLookup!$A$2:$C$8,3,FALSE)</f>
        <v>0.3</v>
      </c>
      <c r="P4799">
        <f t="shared" si="223"/>
        <v>1.566318025447121E-2</v>
      </c>
      <c r="Q4799" t="str">
        <f t="shared" ca="1" si="224"/>
        <v>No</v>
      </c>
    </row>
    <row r="4800" spans="1:17" x14ac:dyDescent="0.45">
      <c r="A4800" t="s">
        <v>195</v>
      </c>
      <c r="B4800" t="s">
        <v>196</v>
      </c>
      <c r="C4800" t="s">
        <v>85</v>
      </c>
      <c r="D4800" t="s">
        <v>188</v>
      </c>
      <c r="E4800" t="s">
        <v>21</v>
      </c>
      <c r="F4800" s="1">
        <v>45597</v>
      </c>
      <c r="G4800">
        <v>1.34</v>
      </c>
      <c r="H4800">
        <v>82.417599999999993</v>
      </c>
      <c r="I4800">
        <v>23.64</v>
      </c>
      <c r="J4800">
        <v>97.4</v>
      </c>
      <c r="K4800" t="s">
        <v>23</v>
      </c>
      <c r="L4800">
        <v>582.03</v>
      </c>
      <c r="M4800">
        <f>VLOOKUP(K4800,RatingLookup!$A$2:$C$8,2,FALSE)</f>
        <v>1E-3</v>
      </c>
      <c r="N4800">
        <f t="shared" si="222"/>
        <v>8.3371552197619714E-5</v>
      </c>
      <c r="O4800">
        <f>VLOOKUP(K4800,RatingLookup!$A$2:$C$8,3,FALSE)</f>
        <v>0.3</v>
      </c>
      <c r="P4800">
        <f t="shared" si="223"/>
        <v>1.455742335767418E-2</v>
      </c>
      <c r="Q4800" t="str">
        <f t="shared" ca="1" si="224"/>
        <v>No</v>
      </c>
    </row>
    <row r="4801" spans="1:17" x14ac:dyDescent="0.45">
      <c r="A4801" t="s">
        <v>195</v>
      </c>
      <c r="B4801" t="s">
        <v>196</v>
      </c>
      <c r="C4801" t="s">
        <v>85</v>
      </c>
      <c r="D4801" t="s">
        <v>188</v>
      </c>
      <c r="E4801" t="s">
        <v>21</v>
      </c>
      <c r="F4801" s="1">
        <v>45627</v>
      </c>
      <c r="G4801">
        <v>1.31</v>
      </c>
      <c r="H4801">
        <v>82.724599999999995</v>
      </c>
      <c r="I4801">
        <v>18.649999999999999</v>
      </c>
      <c r="J4801">
        <v>84.57</v>
      </c>
      <c r="K4801" t="s">
        <v>23</v>
      </c>
      <c r="L4801">
        <v>627.76</v>
      </c>
      <c r="M4801">
        <f>VLOOKUP(K4801,RatingLookup!$A$2:$C$8,2,FALSE)</f>
        <v>1E-3</v>
      </c>
      <c r="N4801">
        <f t="shared" si="222"/>
        <v>8.3371552197619714E-5</v>
      </c>
      <c r="O4801">
        <f>VLOOKUP(K4801,RatingLookup!$A$2:$C$8,3,FALSE)</f>
        <v>0.3</v>
      </c>
      <c r="P4801">
        <f t="shared" si="223"/>
        <v>1.5701197682273325E-2</v>
      </c>
      <c r="Q4801" t="str">
        <f t="shared" ca="1" si="224"/>
        <v>No</v>
      </c>
    </row>
    <row r="4802" spans="1:17" x14ac:dyDescent="0.45">
      <c r="A4802" t="s">
        <v>197</v>
      </c>
      <c r="B4802" t="s">
        <v>198</v>
      </c>
      <c r="C4802" t="s">
        <v>19</v>
      </c>
      <c r="D4802" t="s">
        <v>188</v>
      </c>
      <c r="E4802" t="s">
        <v>21</v>
      </c>
      <c r="F4802" s="1">
        <v>43831</v>
      </c>
      <c r="G4802">
        <v>2.2999999999999998</v>
      </c>
      <c r="H4802">
        <v>86.958299999999994</v>
      </c>
      <c r="I4802">
        <v>15.97</v>
      </c>
      <c r="J4802">
        <v>71.83</v>
      </c>
      <c r="K4802" t="s">
        <v>82</v>
      </c>
      <c r="L4802">
        <v>491.09</v>
      </c>
      <c r="M4802">
        <f>VLOOKUP(K4802,RatingLookup!$A$2:$C$8,2,FALSE)</f>
        <v>1E-4</v>
      </c>
      <c r="N4802">
        <f t="shared" ref="N4802:N4865" si="225">1-(1-M4802)^(1/12)</f>
        <v>8.3337153021778576E-6</v>
      </c>
      <c r="O4802">
        <f>VLOOKUP(K4802,RatingLookup!$A$2:$C$8,3,FALSE)</f>
        <v>0.2</v>
      </c>
      <c r="P4802">
        <f t="shared" ref="P4802:P4865" si="226">L4802*N4802*O4802</f>
        <v>8.185208495493047E-4</v>
      </c>
      <c r="Q4802" t="str">
        <f t="shared" ref="Q4802:Q4865" ca="1" si="227">IF(RAND()&lt;N4802,"Yes","No")</f>
        <v>No</v>
      </c>
    </row>
    <row r="4803" spans="1:17" x14ac:dyDescent="0.45">
      <c r="A4803" t="s">
        <v>197</v>
      </c>
      <c r="B4803" t="s">
        <v>198</v>
      </c>
      <c r="C4803" t="s">
        <v>19</v>
      </c>
      <c r="D4803" t="s">
        <v>188</v>
      </c>
      <c r="E4803" t="s">
        <v>21</v>
      </c>
      <c r="F4803" s="1">
        <v>43862</v>
      </c>
      <c r="G4803">
        <v>1.58</v>
      </c>
      <c r="H4803">
        <v>79.981399999999994</v>
      </c>
      <c r="I4803">
        <v>22.17</v>
      </c>
      <c r="J4803">
        <v>72.31</v>
      </c>
      <c r="K4803" t="s">
        <v>82</v>
      </c>
      <c r="L4803">
        <v>531.04</v>
      </c>
      <c r="M4803">
        <f>VLOOKUP(K4803,RatingLookup!$A$2:$C$8,2,FALSE)</f>
        <v>1E-4</v>
      </c>
      <c r="N4803">
        <f t="shared" si="225"/>
        <v>8.3337153021778576E-6</v>
      </c>
      <c r="O4803">
        <f>VLOOKUP(K4803,RatingLookup!$A$2:$C$8,3,FALSE)</f>
        <v>0.2</v>
      </c>
      <c r="P4803">
        <f t="shared" si="226"/>
        <v>8.8510723481370591E-4</v>
      </c>
      <c r="Q4803" t="str">
        <f t="shared" ca="1" si="227"/>
        <v>No</v>
      </c>
    </row>
    <row r="4804" spans="1:17" x14ac:dyDescent="0.45">
      <c r="A4804" t="s">
        <v>197</v>
      </c>
      <c r="B4804" t="s">
        <v>198</v>
      </c>
      <c r="C4804" t="s">
        <v>19</v>
      </c>
      <c r="D4804" t="s">
        <v>188</v>
      </c>
      <c r="E4804" t="s">
        <v>21</v>
      </c>
      <c r="F4804" s="1">
        <v>43891</v>
      </c>
      <c r="G4804">
        <v>2.29</v>
      </c>
      <c r="H4804">
        <v>81.706400000000002</v>
      </c>
      <c r="I4804">
        <v>18.91</v>
      </c>
      <c r="J4804">
        <v>82.23</v>
      </c>
      <c r="K4804" t="s">
        <v>82</v>
      </c>
      <c r="L4804">
        <v>505.81</v>
      </c>
      <c r="M4804">
        <f>VLOOKUP(K4804,RatingLookup!$A$2:$C$8,2,FALSE)</f>
        <v>1E-4</v>
      </c>
      <c r="N4804">
        <f t="shared" si="225"/>
        <v>8.3337153021778576E-6</v>
      </c>
      <c r="O4804">
        <f>VLOOKUP(K4804,RatingLookup!$A$2:$C$8,3,FALSE)</f>
        <v>0.2</v>
      </c>
      <c r="P4804">
        <f t="shared" si="226"/>
        <v>8.4305530739891643E-4</v>
      </c>
      <c r="Q4804" t="str">
        <f t="shared" ca="1" si="227"/>
        <v>No</v>
      </c>
    </row>
    <row r="4805" spans="1:17" x14ac:dyDescent="0.45">
      <c r="A4805" t="s">
        <v>197</v>
      </c>
      <c r="B4805" t="s">
        <v>198</v>
      </c>
      <c r="C4805" t="s">
        <v>19</v>
      </c>
      <c r="D4805" t="s">
        <v>188</v>
      </c>
      <c r="E4805" t="s">
        <v>21</v>
      </c>
      <c r="F4805" s="1">
        <v>43922</v>
      </c>
      <c r="G4805">
        <v>1.07</v>
      </c>
      <c r="H4805">
        <v>87.533500000000004</v>
      </c>
      <c r="I4805">
        <v>19.739999999999998</v>
      </c>
      <c r="J4805">
        <v>55.53</v>
      </c>
      <c r="K4805" t="s">
        <v>82</v>
      </c>
      <c r="L4805">
        <v>474.58</v>
      </c>
      <c r="M4805">
        <f>VLOOKUP(K4805,RatingLookup!$A$2:$C$8,2,FALSE)</f>
        <v>1E-4</v>
      </c>
      <c r="N4805">
        <f t="shared" si="225"/>
        <v>8.3337153021778576E-6</v>
      </c>
      <c r="O4805">
        <f>VLOOKUP(K4805,RatingLookup!$A$2:$C$8,3,FALSE)</f>
        <v>0.2</v>
      </c>
      <c r="P4805">
        <f t="shared" si="226"/>
        <v>7.9100292162151355E-4</v>
      </c>
      <c r="Q4805" t="str">
        <f t="shared" ca="1" si="227"/>
        <v>No</v>
      </c>
    </row>
    <row r="4806" spans="1:17" x14ac:dyDescent="0.45">
      <c r="A4806" t="s">
        <v>197</v>
      </c>
      <c r="B4806" t="s">
        <v>198</v>
      </c>
      <c r="C4806" t="s">
        <v>19</v>
      </c>
      <c r="D4806" t="s">
        <v>188</v>
      </c>
      <c r="E4806" t="s">
        <v>21</v>
      </c>
      <c r="F4806" s="1">
        <v>43952</v>
      </c>
      <c r="G4806">
        <v>2.87</v>
      </c>
      <c r="H4806">
        <v>82.389700000000005</v>
      </c>
      <c r="I4806">
        <v>18.059999999999999</v>
      </c>
      <c r="J4806">
        <v>64.91</v>
      </c>
      <c r="K4806" t="s">
        <v>82</v>
      </c>
      <c r="L4806">
        <v>495.65</v>
      </c>
      <c r="M4806">
        <f>VLOOKUP(K4806,RatingLookup!$A$2:$C$8,2,FALSE)</f>
        <v>1E-4</v>
      </c>
      <c r="N4806">
        <f t="shared" si="225"/>
        <v>8.3337153021778576E-6</v>
      </c>
      <c r="O4806">
        <f>VLOOKUP(K4806,RatingLookup!$A$2:$C$8,3,FALSE)</f>
        <v>0.2</v>
      </c>
      <c r="P4806">
        <f t="shared" si="226"/>
        <v>8.2612119790489112E-4</v>
      </c>
      <c r="Q4806" t="str">
        <f t="shared" ca="1" si="227"/>
        <v>No</v>
      </c>
    </row>
    <row r="4807" spans="1:17" x14ac:dyDescent="0.45">
      <c r="A4807" t="s">
        <v>197</v>
      </c>
      <c r="B4807" t="s">
        <v>198</v>
      </c>
      <c r="C4807" t="s">
        <v>19</v>
      </c>
      <c r="D4807" t="s">
        <v>188</v>
      </c>
      <c r="E4807" t="s">
        <v>21</v>
      </c>
      <c r="F4807" s="1">
        <v>43983</v>
      </c>
      <c r="G4807">
        <v>1.3</v>
      </c>
      <c r="H4807">
        <v>84.205600000000004</v>
      </c>
      <c r="I4807">
        <v>16.87</v>
      </c>
      <c r="J4807">
        <v>50.41</v>
      </c>
      <c r="K4807" t="s">
        <v>82</v>
      </c>
      <c r="L4807">
        <v>460.44</v>
      </c>
      <c r="M4807">
        <f>VLOOKUP(K4807,RatingLookup!$A$2:$C$8,2,FALSE)</f>
        <v>1E-4</v>
      </c>
      <c r="N4807">
        <f t="shared" si="225"/>
        <v>8.3337153021778576E-6</v>
      </c>
      <c r="O4807">
        <f>VLOOKUP(K4807,RatingLookup!$A$2:$C$8,3,FALSE)</f>
        <v>0.2</v>
      </c>
      <c r="P4807">
        <f t="shared" si="226"/>
        <v>7.6743517474695466E-4</v>
      </c>
      <c r="Q4807" t="str">
        <f t="shared" ca="1" si="227"/>
        <v>No</v>
      </c>
    </row>
    <row r="4808" spans="1:17" x14ac:dyDescent="0.45">
      <c r="A4808" t="s">
        <v>197</v>
      </c>
      <c r="B4808" t="s">
        <v>198</v>
      </c>
      <c r="C4808" t="s">
        <v>19</v>
      </c>
      <c r="D4808" t="s">
        <v>188</v>
      </c>
      <c r="E4808" t="s">
        <v>21</v>
      </c>
      <c r="F4808" s="1">
        <v>44013</v>
      </c>
      <c r="G4808">
        <v>1.86</v>
      </c>
      <c r="H4808">
        <v>82.239900000000006</v>
      </c>
      <c r="I4808">
        <v>16.95</v>
      </c>
      <c r="J4808">
        <v>61.45</v>
      </c>
      <c r="K4808" t="s">
        <v>82</v>
      </c>
      <c r="L4808">
        <v>474.73</v>
      </c>
      <c r="M4808">
        <f>VLOOKUP(K4808,RatingLookup!$A$2:$C$8,2,FALSE)</f>
        <v>1E-4</v>
      </c>
      <c r="N4808">
        <f t="shared" si="225"/>
        <v>8.3337153021778576E-6</v>
      </c>
      <c r="O4808">
        <f>VLOOKUP(K4808,RatingLookup!$A$2:$C$8,3,FALSE)</f>
        <v>0.2</v>
      </c>
      <c r="P4808">
        <f t="shared" si="226"/>
        <v>7.9125293308057894E-4</v>
      </c>
      <c r="Q4808" t="str">
        <f t="shared" ca="1" si="227"/>
        <v>No</v>
      </c>
    </row>
    <row r="4809" spans="1:17" x14ac:dyDescent="0.45">
      <c r="A4809" t="s">
        <v>197</v>
      </c>
      <c r="B4809" t="s">
        <v>198</v>
      </c>
      <c r="C4809" t="s">
        <v>19</v>
      </c>
      <c r="D4809" t="s">
        <v>188</v>
      </c>
      <c r="E4809" t="s">
        <v>21</v>
      </c>
      <c r="F4809" s="1">
        <v>44044</v>
      </c>
      <c r="G4809">
        <v>2.0699999999999998</v>
      </c>
      <c r="H4809">
        <v>78.6614</v>
      </c>
      <c r="I4809">
        <v>13.75</v>
      </c>
      <c r="J4809">
        <v>79.42</v>
      </c>
      <c r="K4809" t="s">
        <v>82</v>
      </c>
      <c r="L4809">
        <v>453.1</v>
      </c>
      <c r="M4809">
        <f>VLOOKUP(K4809,RatingLookup!$A$2:$C$8,2,FALSE)</f>
        <v>1E-4</v>
      </c>
      <c r="N4809">
        <f t="shared" si="225"/>
        <v>8.3337153021778576E-6</v>
      </c>
      <c r="O4809">
        <f>VLOOKUP(K4809,RatingLookup!$A$2:$C$8,3,FALSE)</f>
        <v>0.2</v>
      </c>
      <c r="P4809">
        <f t="shared" si="226"/>
        <v>7.5520128068335757E-4</v>
      </c>
      <c r="Q4809" t="str">
        <f t="shared" ca="1" si="227"/>
        <v>No</v>
      </c>
    </row>
    <row r="4810" spans="1:17" x14ac:dyDescent="0.45">
      <c r="A4810" t="s">
        <v>197</v>
      </c>
      <c r="B4810" t="s">
        <v>198</v>
      </c>
      <c r="C4810" t="s">
        <v>19</v>
      </c>
      <c r="D4810" t="s">
        <v>188</v>
      </c>
      <c r="E4810" t="s">
        <v>21</v>
      </c>
      <c r="F4810" s="1">
        <v>44075</v>
      </c>
      <c r="G4810">
        <v>0.84</v>
      </c>
      <c r="H4810">
        <v>78.848399999999998</v>
      </c>
      <c r="I4810">
        <v>15.19</v>
      </c>
      <c r="J4810">
        <v>60.59</v>
      </c>
      <c r="K4810" t="s">
        <v>82</v>
      </c>
      <c r="L4810">
        <v>468.11</v>
      </c>
      <c r="M4810">
        <f>VLOOKUP(K4810,RatingLookup!$A$2:$C$8,2,FALSE)</f>
        <v>1E-4</v>
      </c>
      <c r="N4810">
        <f t="shared" si="225"/>
        <v>8.3337153021778576E-6</v>
      </c>
      <c r="O4810">
        <f>VLOOKUP(K4810,RatingLookup!$A$2:$C$8,3,FALSE)</f>
        <v>0.2</v>
      </c>
      <c r="P4810">
        <f t="shared" si="226"/>
        <v>7.8021909402049546E-4</v>
      </c>
      <c r="Q4810" t="str">
        <f t="shared" ca="1" si="227"/>
        <v>No</v>
      </c>
    </row>
    <row r="4811" spans="1:17" x14ac:dyDescent="0.45">
      <c r="A4811" t="s">
        <v>197</v>
      </c>
      <c r="B4811" t="s">
        <v>198</v>
      </c>
      <c r="C4811" t="s">
        <v>19</v>
      </c>
      <c r="D4811" t="s">
        <v>188</v>
      </c>
      <c r="E4811" t="s">
        <v>21</v>
      </c>
      <c r="F4811" s="1">
        <v>44105</v>
      </c>
      <c r="G4811">
        <v>0.95</v>
      </c>
      <c r="H4811">
        <v>82.153599999999997</v>
      </c>
      <c r="I4811">
        <v>22.19</v>
      </c>
      <c r="J4811">
        <v>98.1</v>
      </c>
      <c r="K4811" t="s">
        <v>82</v>
      </c>
      <c r="L4811">
        <v>440.59</v>
      </c>
      <c r="M4811">
        <f>VLOOKUP(K4811,RatingLookup!$A$2:$C$8,2,FALSE)</f>
        <v>1E-4</v>
      </c>
      <c r="N4811">
        <f t="shared" si="225"/>
        <v>8.3337153021778576E-6</v>
      </c>
      <c r="O4811">
        <f>VLOOKUP(K4811,RatingLookup!$A$2:$C$8,3,FALSE)</f>
        <v>0.2</v>
      </c>
      <c r="P4811">
        <f t="shared" si="226"/>
        <v>7.3435032499730851E-4</v>
      </c>
      <c r="Q4811" t="str">
        <f t="shared" ca="1" si="227"/>
        <v>No</v>
      </c>
    </row>
    <row r="4812" spans="1:17" x14ac:dyDescent="0.45">
      <c r="A4812" t="s">
        <v>197</v>
      </c>
      <c r="B4812" t="s">
        <v>198</v>
      </c>
      <c r="C4812" t="s">
        <v>19</v>
      </c>
      <c r="D4812" t="s">
        <v>188</v>
      </c>
      <c r="E4812" t="s">
        <v>21</v>
      </c>
      <c r="F4812" s="1">
        <v>44136</v>
      </c>
      <c r="G4812">
        <v>1.08</v>
      </c>
      <c r="H4812">
        <v>83.141499999999994</v>
      </c>
      <c r="I4812">
        <v>28.82</v>
      </c>
      <c r="J4812">
        <v>82.44</v>
      </c>
      <c r="K4812" t="s">
        <v>82</v>
      </c>
      <c r="L4812">
        <v>490.92</v>
      </c>
      <c r="M4812">
        <f>VLOOKUP(K4812,RatingLookup!$A$2:$C$8,2,FALSE)</f>
        <v>1E-4</v>
      </c>
      <c r="N4812">
        <f t="shared" si="225"/>
        <v>8.3337153021778576E-6</v>
      </c>
      <c r="O4812">
        <f>VLOOKUP(K4812,RatingLookup!$A$2:$C$8,3,FALSE)</f>
        <v>0.2</v>
      </c>
      <c r="P4812">
        <f t="shared" si="226"/>
        <v>8.182375032290308E-4</v>
      </c>
      <c r="Q4812" t="str">
        <f t="shared" ca="1" si="227"/>
        <v>No</v>
      </c>
    </row>
    <row r="4813" spans="1:17" x14ac:dyDescent="0.45">
      <c r="A4813" t="s">
        <v>197</v>
      </c>
      <c r="B4813" t="s">
        <v>198</v>
      </c>
      <c r="C4813" t="s">
        <v>19</v>
      </c>
      <c r="D4813" t="s">
        <v>188</v>
      </c>
      <c r="E4813" t="s">
        <v>21</v>
      </c>
      <c r="F4813" s="1">
        <v>44166</v>
      </c>
      <c r="G4813">
        <v>2.12</v>
      </c>
      <c r="H4813">
        <v>83.437600000000003</v>
      </c>
      <c r="I4813">
        <v>12.45</v>
      </c>
      <c r="J4813">
        <v>72.709999999999994</v>
      </c>
      <c r="K4813" t="s">
        <v>82</v>
      </c>
      <c r="L4813">
        <v>432.25</v>
      </c>
      <c r="M4813">
        <f>VLOOKUP(K4813,RatingLookup!$A$2:$C$8,2,FALSE)</f>
        <v>1E-4</v>
      </c>
      <c r="N4813">
        <f t="shared" si="225"/>
        <v>8.3337153021778576E-6</v>
      </c>
      <c r="O4813">
        <f>VLOOKUP(K4813,RatingLookup!$A$2:$C$8,3,FALSE)</f>
        <v>0.2</v>
      </c>
      <c r="P4813">
        <f t="shared" si="226"/>
        <v>7.2044968787327588E-4</v>
      </c>
      <c r="Q4813" t="str">
        <f t="shared" ca="1" si="227"/>
        <v>No</v>
      </c>
    </row>
    <row r="4814" spans="1:17" x14ac:dyDescent="0.45">
      <c r="A4814" t="s">
        <v>197</v>
      </c>
      <c r="B4814" t="s">
        <v>198</v>
      </c>
      <c r="C4814" t="s">
        <v>19</v>
      </c>
      <c r="D4814" t="s">
        <v>188</v>
      </c>
      <c r="E4814" t="s">
        <v>21</v>
      </c>
      <c r="F4814" s="1">
        <v>44197</v>
      </c>
      <c r="G4814">
        <v>1.07</v>
      </c>
      <c r="H4814">
        <v>83.123999999999995</v>
      </c>
      <c r="I4814">
        <v>6.55</v>
      </c>
      <c r="J4814">
        <v>86.52</v>
      </c>
      <c r="K4814" t="s">
        <v>82</v>
      </c>
      <c r="L4814">
        <v>492.15</v>
      </c>
      <c r="M4814">
        <f>VLOOKUP(K4814,RatingLookup!$A$2:$C$8,2,FALSE)</f>
        <v>1E-4</v>
      </c>
      <c r="N4814">
        <f t="shared" si="225"/>
        <v>8.3337153021778576E-6</v>
      </c>
      <c r="O4814">
        <f>VLOOKUP(K4814,RatingLookup!$A$2:$C$8,3,FALSE)</f>
        <v>0.2</v>
      </c>
      <c r="P4814">
        <f t="shared" si="226"/>
        <v>8.2028759719336665E-4</v>
      </c>
      <c r="Q4814" t="str">
        <f t="shared" ca="1" si="227"/>
        <v>No</v>
      </c>
    </row>
    <row r="4815" spans="1:17" x14ac:dyDescent="0.45">
      <c r="A4815" t="s">
        <v>197</v>
      </c>
      <c r="B4815" t="s">
        <v>198</v>
      </c>
      <c r="C4815" t="s">
        <v>19</v>
      </c>
      <c r="D4815" t="s">
        <v>188</v>
      </c>
      <c r="E4815" t="s">
        <v>21</v>
      </c>
      <c r="F4815" s="1">
        <v>44228</v>
      </c>
      <c r="G4815">
        <v>1.24</v>
      </c>
      <c r="H4815">
        <v>88.771000000000001</v>
      </c>
      <c r="I4815">
        <v>12.76</v>
      </c>
      <c r="J4815">
        <v>79.53</v>
      </c>
      <c r="K4815" t="s">
        <v>82</v>
      </c>
      <c r="L4815">
        <v>472.18</v>
      </c>
      <c r="M4815">
        <f>VLOOKUP(K4815,RatingLookup!$A$2:$C$8,2,FALSE)</f>
        <v>1E-4</v>
      </c>
      <c r="N4815">
        <f t="shared" si="225"/>
        <v>8.3337153021778576E-6</v>
      </c>
      <c r="O4815">
        <f>VLOOKUP(K4815,RatingLookup!$A$2:$C$8,3,FALSE)</f>
        <v>0.2</v>
      </c>
      <c r="P4815">
        <f t="shared" si="226"/>
        <v>7.8700273827646814E-4</v>
      </c>
      <c r="Q4815" t="str">
        <f t="shared" ca="1" si="227"/>
        <v>No</v>
      </c>
    </row>
    <row r="4816" spans="1:17" x14ac:dyDescent="0.45">
      <c r="A4816" t="s">
        <v>197</v>
      </c>
      <c r="B4816" t="s">
        <v>198</v>
      </c>
      <c r="C4816" t="s">
        <v>19</v>
      </c>
      <c r="D4816" t="s">
        <v>188</v>
      </c>
      <c r="E4816" t="s">
        <v>21</v>
      </c>
      <c r="F4816" s="1">
        <v>44256</v>
      </c>
      <c r="G4816">
        <v>1.83</v>
      </c>
      <c r="H4816">
        <v>81.387600000000006</v>
      </c>
      <c r="I4816">
        <v>11.31</v>
      </c>
      <c r="J4816">
        <v>69.08</v>
      </c>
      <c r="K4816" t="s">
        <v>82</v>
      </c>
      <c r="L4816">
        <v>467.3</v>
      </c>
      <c r="M4816">
        <f>VLOOKUP(K4816,RatingLookup!$A$2:$C$8,2,FALSE)</f>
        <v>1E-4</v>
      </c>
      <c r="N4816">
        <f t="shared" si="225"/>
        <v>8.3337153021778576E-6</v>
      </c>
      <c r="O4816">
        <f>VLOOKUP(K4816,RatingLookup!$A$2:$C$8,3,FALSE)</f>
        <v>0.2</v>
      </c>
      <c r="P4816">
        <f t="shared" si="226"/>
        <v>7.7886903214154264E-4</v>
      </c>
      <c r="Q4816" t="str">
        <f t="shared" ca="1" si="227"/>
        <v>No</v>
      </c>
    </row>
    <row r="4817" spans="1:17" x14ac:dyDescent="0.45">
      <c r="A4817" t="s">
        <v>197</v>
      </c>
      <c r="B4817" t="s">
        <v>198</v>
      </c>
      <c r="C4817" t="s">
        <v>19</v>
      </c>
      <c r="D4817" t="s">
        <v>188</v>
      </c>
      <c r="E4817" t="s">
        <v>21</v>
      </c>
      <c r="F4817" s="1">
        <v>44287</v>
      </c>
      <c r="G4817">
        <v>1.1399999999999999</v>
      </c>
      <c r="H4817">
        <v>79.695499999999996</v>
      </c>
      <c r="I4817">
        <v>20.99</v>
      </c>
      <c r="J4817">
        <v>62.94</v>
      </c>
      <c r="K4817" t="s">
        <v>82</v>
      </c>
      <c r="L4817">
        <v>476.72</v>
      </c>
      <c r="M4817">
        <f>VLOOKUP(K4817,RatingLookup!$A$2:$C$8,2,FALSE)</f>
        <v>1E-4</v>
      </c>
      <c r="N4817">
        <f t="shared" si="225"/>
        <v>8.3337153021778576E-6</v>
      </c>
      <c r="O4817">
        <f>VLOOKUP(K4817,RatingLookup!$A$2:$C$8,3,FALSE)</f>
        <v>0.2</v>
      </c>
      <c r="P4817">
        <f t="shared" si="226"/>
        <v>7.9456975177084584E-4</v>
      </c>
      <c r="Q4817" t="str">
        <f t="shared" ca="1" si="227"/>
        <v>No</v>
      </c>
    </row>
    <row r="4818" spans="1:17" x14ac:dyDescent="0.45">
      <c r="A4818" t="s">
        <v>197</v>
      </c>
      <c r="B4818" t="s">
        <v>198</v>
      </c>
      <c r="C4818" t="s">
        <v>19</v>
      </c>
      <c r="D4818" t="s">
        <v>188</v>
      </c>
      <c r="E4818" t="s">
        <v>21</v>
      </c>
      <c r="F4818" s="1">
        <v>44317</v>
      </c>
      <c r="G4818">
        <v>1.1299999999999999</v>
      </c>
      <c r="H4818">
        <v>80.501000000000005</v>
      </c>
      <c r="I4818">
        <v>12.95</v>
      </c>
      <c r="J4818">
        <v>93.65</v>
      </c>
      <c r="K4818" t="s">
        <v>82</v>
      </c>
      <c r="L4818">
        <v>510.49</v>
      </c>
      <c r="M4818">
        <f>VLOOKUP(K4818,RatingLookup!$A$2:$C$8,2,FALSE)</f>
        <v>1E-4</v>
      </c>
      <c r="N4818">
        <f t="shared" si="225"/>
        <v>8.3337153021778576E-6</v>
      </c>
      <c r="O4818">
        <f>VLOOKUP(K4818,RatingLookup!$A$2:$C$8,3,FALSE)</f>
        <v>0.2</v>
      </c>
      <c r="P4818">
        <f t="shared" si="226"/>
        <v>8.50855664921755E-4</v>
      </c>
      <c r="Q4818" t="str">
        <f t="shared" ca="1" si="227"/>
        <v>No</v>
      </c>
    </row>
    <row r="4819" spans="1:17" x14ac:dyDescent="0.45">
      <c r="A4819" t="s">
        <v>197</v>
      </c>
      <c r="B4819" t="s">
        <v>198</v>
      </c>
      <c r="C4819" t="s">
        <v>19</v>
      </c>
      <c r="D4819" t="s">
        <v>188</v>
      </c>
      <c r="E4819" t="s">
        <v>21</v>
      </c>
      <c r="F4819" s="1">
        <v>44348</v>
      </c>
      <c r="G4819">
        <v>1.53</v>
      </c>
      <c r="H4819">
        <v>83.584199999999996</v>
      </c>
      <c r="I4819">
        <v>16.809999999999999</v>
      </c>
      <c r="J4819">
        <v>71.09</v>
      </c>
      <c r="K4819" t="s">
        <v>82</v>
      </c>
      <c r="L4819">
        <v>497.39</v>
      </c>
      <c r="M4819">
        <f>VLOOKUP(K4819,RatingLookup!$A$2:$C$8,2,FALSE)</f>
        <v>1E-4</v>
      </c>
      <c r="N4819">
        <f t="shared" si="225"/>
        <v>8.3337153021778576E-6</v>
      </c>
      <c r="O4819">
        <f>VLOOKUP(K4819,RatingLookup!$A$2:$C$8,3,FALSE)</f>
        <v>0.2</v>
      </c>
      <c r="P4819">
        <f t="shared" si="226"/>
        <v>8.2902133083004889E-4</v>
      </c>
      <c r="Q4819" t="str">
        <f t="shared" ca="1" si="227"/>
        <v>No</v>
      </c>
    </row>
    <row r="4820" spans="1:17" x14ac:dyDescent="0.45">
      <c r="A4820" t="s">
        <v>197</v>
      </c>
      <c r="B4820" t="s">
        <v>198</v>
      </c>
      <c r="C4820" t="s">
        <v>19</v>
      </c>
      <c r="D4820" t="s">
        <v>188</v>
      </c>
      <c r="E4820" t="s">
        <v>21</v>
      </c>
      <c r="F4820" s="1">
        <v>44378</v>
      </c>
      <c r="G4820">
        <v>1.6</v>
      </c>
      <c r="H4820">
        <v>82.956900000000005</v>
      </c>
      <c r="I4820">
        <v>18.63</v>
      </c>
      <c r="J4820">
        <v>81.849999999999994</v>
      </c>
      <c r="K4820" t="s">
        <v>82</v>
      </c>
      <c r="L4820">
        <v>469.57</v>
      </c>
      <c r="M4820">
        <f>VLOOKUP(K4820,RatingLookup!$A$2:$C$8,2,FALSE)</f>
        <v>1E-4</v>
      </c>
      <c r="N4820">
        <f t="shared" si="225"/>
        <v>8.3337153021778576E-6</v>
      </c>
      <c r="O4820">
        <f>VLOOKUP(K4820,RatingLookup!$A$2:$C$8,3,FALSE)</f>
        <v>0.2</v>
      </c>
      <c r="P4820">
        <f t="shared" si="226"/>
        <v>7.8265253888873138E-4</v>
      </c>
      <c r="Q4820" t="str">
        <f t="shared" ca="1" si="227"/>
        <v>No</v>
      </c>
    </row>
    <row r="4821" spans="1:17" x14ac:dyDescent="0.45">
      <c r="A4821" t="s">
        <v>197</v>
      </c>
      <c r="B4821" t="s">
        <v>198</v>
      </c>
      <c r="C4821" t="s">
        <v>19</v>
      </c>
      <c r="D4821" t="s">
        <v>188</v>
      </c>
      <c r="E4821" t="s">
        <v>21</v>
      </c>
      <c r="F4821" s="1">
        <v>44409</v>
      </c>
      <c r="G4821">
        <v>1.5</v>
      </c>
      <c r="H4821">
        <v>84.137</v>
      </c>
      <c r="I4821">
        <v>21.68</v>
      </c>
      <c r="J4821">
        <v>86.79</v>
      </c>
      <c r="K4821" t="s">
        <v>82</v>
      </c>
      <c r="L4821">
        <v>453.52</v>
      </c>
      <c r="M4821">
        <f>VLOOKUP(K4821,RatingLookup!$A$2:$C$8,2,FALSE)</f>
        <v>1E-4</v>
      </c>
      <c r="N4821">
        <f t="shared" si="225"/>
        <v>8.3337153021778576E-6</v>
      </c>
      <c r="O4821">
        <f>VLOOKUP(K4821,RatingLookup!$A$2:$C$8,3,FALSE)</f>
        <v>0.2</v>
      </c>
      <c r="P4821">
        <f t="shared" si="226"/>
        <v>7.5590131276874039E-4</v>
      </c>
      <c r="Q4821" t="str">
        <f t="shared" ca="1" si="227"/>
        <v>No</v>
      </c>
    </row>
    <row r="4822" spans="1:17" x14ac:dyDescent="0.45">
      <c r="A4822" t="s">
        <v>197</v>
      </c>
      <c r="B4822" t="s">
        <v>198</v>
      </c>
      <c r="C4822" t="s">
        <v>19</v>
      </c>
      <c r="D4822" t="s">
        <v>188</v>
      </c>
      <c r="E4822" t="s">
        <v>21</v>
      </c>
      <c r="F4822" s="1">
        <v>44440</v>
      </c>
      <c r="G4822">
        <v>1.1499999999999999</v>
      </c>
      <c r="H4822">
        <v>86.891099999999994</v>
      </c>
      <c r="I4822">
        <v>9.0399999999999991</v>
      </c>
      <c r="J4822">
        <v>71.349999999999994</v>
      </c>
      <c r="K4822" t="s">
        <v>82</v>
      </c>
      <c r="L4822">
        <v>465.79</v>
      </c>
      <c r="M4822">
        <f>VLOOKUP(K4822,RatingLookup!$A$2:$C$8,2,FALSE)</f>
        <v>1E-4</v>
      </c>
      <c r="N4822">
        <f t="shared" si="225"/>
        <v>8.3337153021778576E-6</v>
      </c>
      <c r="O4822">
        <f>VLOOKUP(K4822,RatingLookup!$A$2:$C$8,3,FALSE)</f>
        <v>0.2</v>
      </c>
      <c r="P4822">
        <f t="shared" si="226"/>
        <v>7.7635225012028495E-4</v>
      </c>
      <c r="Q4822" t="str">
        <f t="shared" ca="1" si="227"/>
        <v>No</v>
      </c>
    </row>
    <row r="4823" spans="1:17" x14ac:dyDescent="0.45">
      <c r="A4823" t="s">
        <v>197</v>
      </c>
      <c r="B4823" t="s">
        <v>198</v>
      </c>
      <c r="C4823" t="s">
        <v>19</v>
      </c>
      <c r="D4823" t="s">
        <v>188</v>
      </c>
      <c r="E4823" t="s">
        <v>21</v>
      </c>
      <c r="F4823" s="1">
        <v>44470</v>
      </c>
      <c r="G4823">
        <v>1.96</v>
      </c>
      <c r="H4823">
        <v>75.867999999999995</v>
      </c>
      <c r="I4823">
        <v>17.93</v>
      </c>
      <c r="J4823">
        <v>78.33</v>
      </c>
      <c r="K4823" t="s">
        <v>82</v>
      </c>
      <c r="L4823">
        <v>485.96</v>
      </c>
      <c r="M4823">
        <f>VLOOKUP(K4823,RatingLookup!$A$2:$C$8,2,FALSE)</f>
        <v>1E-4</v>
      </c>
      <c r="N4823">
        <f t="shared" si="225"/>
        <v>8.3337153021778576E-6</v>
      </c>
      <c r="O4823">
        <f>VLOOKUP(K4823,RatingLookup!$A$2:$C$8,3,FALSE)</f>
        <v>0.2</v>
      </c>
      <c r="P4823">
        <f t="shared" si="226"/>
        <v>8.0997045764927039E-4</v>
      </c>
      <c r="Q4823" t="str">
        <f t="shared" ca="1" si="227"/>
        <v>No</v>
      </c>
    </row>
    <row r="4824" spans="1:17" x14ac:dyDescent="0.45">
      <c r="A4824" t="s">
        <v>197</v>
      </c>
      <c r="B4824" t="s">
        <v>198</v>
      </c>
      <c r="C4824" t="s">
        <v>19</v>
      </c>
      <c r="D4824" t="s">
        <v>188</v>
      </c>
      <c r="E4824" t="s">
        <v>21</v>
      </c>
      <c r="F4824" s="1">
        <v>44501</v>
      </c>
      <c r="G4824">
        <v>0.97</v>
      </c>
      <c r="H4824">
        <v>79.863100000000003</v>
      </c>
      <c r="I4824">
        <v>14.77</v>
      </c>
      <c r="J4824">
        <v>103.22</v>
      </c>
      <c r="K4824" t="s">
        <v>82</v>
      </c>
      <c r="L4824">
        <v>472</v>
      </c>
      <c r="M4824">
        <f>VLOOKUP(K4824,RatingLookup!$A$2:$C$8,2,FALSE)</f>
        <v>1E-4</v>
      </c>
      <c r="N4824">
        <f t="shared" si="225"/>
        <v>8.3337153021778576E-6</v>
      </c>
      <c r="O4824">
        <f>VLOOKUP(K4824,RatingLookup!$A$2:$C$8,3,FALSE)</f>
        <v>0.2</v>
      </c>
      <c r="P4824">
        <f t="shared" si="226"/>
        <v>7.8670272452558982E-4</v>
      </c>
      <c r="Q4824" t="str">
        <f t="shared" ca="1" si="227"/>
        <v>No</v>
      </c>
    </row>
    <row r="4825" spans="1:17" x14ac:dyDescent="0.45">
      <c r="A4825" t="s">
        <v>197</v>
      </c>
      <c r="B4825" t="s">
        <v>198</v>
      </c>
      <c r="C4825" t="s">
        <v>19</v>
      </c>
      <c r="D4825" t="s">
        <v>188</v>
      </c>
      <c r="E4825" t="s">
        <v>21</v>
      </c>
      <c r="F4825" s="1">
        <v>44531</v>
      </c>
      <c r="G4825">
        <v>2.19</v>
      </c>
      <c r="H4825">
        <v>85.284999999999997</v>
      </c>
      <c r="I4825">
        <v>8.15</v>
      </c>
      <c r="J4825">
        <v>76.73</v>
      </c>
      <c r="K4825" t="s">
        <v>82</v>
      </c>
      <c r="L4825">
        <v>503.45</v>
      </c>
      <c r="M4825">
        <f>VLOOKUP(K4825,RatingLookup!$A$2:$C$8,2,FALSE)</f>
        <v>1E-4</v>
      </c>
      <c r="N4825">
        <f t="shared" si="225"/>
        <v>8.3337153021778576E-6</v>
      </c>
      <c r="O4825">
        <f>VLOOKUP(K4825,RatingLookup!$A$2:$C$8,3,FALSE)</f>
        <v>0.2</v>
      </c>
      <c r="P4825">
        <f t="shared" si="226"/>
        <v>8.3912179377628848E-4</v>
      </c>
      <c r="Q4825" t="str">
        <f t="shared" ca="1" si="227"/>
        <v>No</v>
      </c>
    </row>
    <row r="4826" spans="1:17" x14ac:dyDescent="0.45">
      <c r="A4826" t="s">
        <v>197</v>
      </c>
      <c r="B4826" t="s">
        <v>198</v>
      </c>
      <c r="C4826" t="s">
        <v>19</v>
      </c>
      <c r="D4826" t="s">
        <v>188</v>
      </c>
      <c r="E4826" t="s">
        <v>21</v>
      </c>
      <c r="F4826" s="1">
        <v>44562</v>
      </c>
      <c r="G4826">
        <v>1.32</v>
      </c>
      <c r="H4826">
        <v>82.550899999999999</v>
      </c>
      <c r="I4826">
        <v>19.600000000000001</v>
      </c>
      <c r="J4826">
        <v>74.7</v>
      </c>
      <c r="K4826" t="s">
        <v>82</v>
      </c>
      <c r="L4826">
        <v>481.91</v>
      </c>
      <c r="M4826">
        <f>VLOOKUP(K4826,RatingLookup!$A$2:$C$8,2,FALSE)</f>
        <v>1E-4</v>
      </c>
      <c r="N4826">
        <f t="shared" si="225"/>
        <v>8.3337153021778576E-6</v>
      </c>
      <c r="O4826">
        <f>VLOOKUP(K4826,RatingLookup!$A$2:$C$8,3,FALSE)</f>
        <v>0.2</v>
      </c>
      <c r="P4826">
        <f t="shared" si="226"/>
        <v>8.0322014825450643E-4</v>
      </c>
      <c r="Q4826" t="str">
        <f t="shared" ca="1" si="227"/>
        <v>No</v>
      </c>
    </row>
    <row r="4827" spans="1:17" x14ac:dyDescent="0.45">
      <c r="A4827" t="s">
        <v>197</v>
      </c>
      <c r="B4827" t="s">
        <v>198</v>
      </c>
      <c r="C4827" t="s">
        <v>19</v>
      </c>
      <c r="D4827" t="s">
        <v>188</v>
      </c>
      <c r="E4827" t="s">
        <v>21</v>
      </c>
      <c r="F4827" s="1">
        <v>44593</v>
      </c>
      <c r="G4827">
        <v>1.57</v>
      </c>
      <c r="H4827">
        <v>78.978800000000007</v>
      </c>
      <c r="I4827">
        <v>14.07</v>
      </c>
      <c r="J4827">
        <v>91.77</v>
      </c>
      <c r="K4827" t="s">
        <v>82</v>
      </c>
      <c r="L4827">
        <v>491.53</v>
      </c>
      <c r="M4827">
        <f>VLOOKUP(K4827,RatingLookup!$A$2:$C$8,2,FALSE)</f>
        <v>1E-4</v>
      </c>
      <c r="N4827">
        <f t="shared" si="225"/>
        <v>8.3337153021778576E-6</v>
      </c>
      <c r="O4827">
        <f>VLOOKUP(K4827,RatingLookup!$A$2:$C$8,3,FALSE)</f>
        <v>0.2</v>
      </c>
      <c r="P4827">
        <f t="shared" si="226"/>
        <v>8.1925421649589646E-4</v>
      </c>
      <c r="Q4827" t="str">
        <f t="shared" ca="1" si="227"/>
        <v>No</v>
      </c>
    </row>
    <row r="4828" spans="1:17" x14ac:dyDescent="0.45">
      <c r="A4828" t="s">
        <v>197</v>
      </c>
      <c r="B4828" t="s">
        <v>198</v>
      </c>
      <c r="C4828" t="s">
        <v>19</v>
      </c>
      <c r="D4828" t="s">
        <v>188</v>
      </c>
      <c r="E4828" t="s">
        <v>21</v>
      </c>
      <c r="F4828" s="1">
        <v>44621</v>
      </c>
      <c r="G4828">
        <v>0.98</v>
      </c>
      <c r="H4828">
        <v>84.335300000000004</v>
      </c>
      <c r="I4828">
        <v>20.03</v>
      </c>
      <c r="J4828">
        <v>84.42</v>
      </c>
      <c r="K4828" t="s">
        <v>82</v>
      </c>
      <c r="L4828">
        <v>467.86</v>
      </c>
      <c r="M4828">
        <f>VLOOKUP(K4828,RatingLookup!$A$2:$C$8,2,FALSE)</f>
        <v>1E-4</v>
      </c>
      <c r="N4828">
        <f t="shared" si="225"/>
        <v>8.3337153021778576E-6</v>
      </c>
      <c r="O4828">
        <f>VLOOKUP(K4828,RatingLookup!$A$2:$C$8,3,FALSE)</f>
        <v>0.2</v>
      </c>
      <c r="P4828">
        <f t="shared" si="226"/>
        <v>7.7980240825538654E-4</v>
      </c>
      <c r="Q4828" t="str">
        <f t="shared" ca="1" si="227"/>
        <v>No</v>
      </c>
    </row>
    <row r="4829" spans="1:17" x14ac:dyDescent="0.45">
      <c r="A4829" t="s">
        <v>197</v>
      </c>
      <c r="B4829" t="s">
        <v>198</v>
      </c>
      <c r="C4829" t="s">
        <v>19</v>
      </c>
      <c r="D4829" t="s">
        <v>188</v>
      </c>
      <c r="E4829" t="s">
        <v>21</v>
      </c>
      <c r="F4829" s="1">
        <v>44652</v>
      </c>
      <c r="G4829">
        <v>2.1</v>
      </c>
      <c r="H4829">
        <v>79.560900000000004</v>
      </c>
      <c r="I4829">
        <v>14.98</v>
      </c>
      <c r="J4829">
        <v>73.72</v>
      </c>
      <c r="K4829" t="s">
        <v>82</v>
      </c>
      <c r="L4829">
        <v>494.5</v>
      </c>
      <c r="M4829">
        <f>VLOOKUP(K4829,RatingLookup!$A$2:$C$8,2,FALSE)</f>
        <v>1E-4</v>
      </c>
      <c r="N4829">
        <f t="shared" si="225"/>
        <v>8.3337153021778576E-6</v>
      </c>
      <c r="O4829">
        <f>VLOOKUP(K4829,RatingLookup!$A$2:$C$8,3,FALSE)</f>
        <v>0.2</v>
      </c>
      <c r="P4829">
        <f t="shared" si="226"/>
        <v>8.2420444338539018E-4</v>
      </c>
      <c r="Q4829" t="str">
        <f t="shared" ca="1" si="227"/>
        <v>No</v>
      </c>
    </row>
    <row r="4830" spans="1:17" x14ac:dyDescent="0.45">
      <c r="A4830" t="s">
        <v>197</v>
      </c>
      <c r="B4830" t="s">
        <v>198</v>
      </c>
      <c r="C4830" t="s">
        <v>19</v>
      </c>
      <c r="D4830" t="s">
        <v>188</v>
      </c>
      <c r="E4830" t="s">
        <v>21</v>
      </c>
      <c r="F4830" s="1">
        <v>44682</v>
      </c>
      <c r="G4830">
        <v>1.17</v>
      </c>
      <c r="H4830">
        <v>80.144599999999997</v>
      </c>
      <c r="I4830">
        <v>18.62</v>
      </c>
      <c r="J4830">
        <v>102.17</v>
      </c>
      <c r="K4830" t="s">
        <v>82</v>
      </c>
      <c r="L4830">
        <v>452.2</v>
      </c>
      <c r="M4830">
        <f>VLOOKUP(K4830,RatingLookup!$A$2:$C$8,2,FALSE)</f>
        <v>1E-4</v>
      </c>
      <c r="N4830">
        <f t="shared" si="225"/>
        <v>8.3337153021778576E-6</v>
      </c>
      <c r="O4830">
        <f>VLOOKUP(K4830,RatingLookup!$A$2:$C$8,3,FALSE)</f>
        <v>0.2</v>
      </c>
      <c r="P4830">
        <f t="shared" si="226"/>
        <v>7.5370121192896555E-4</v>
      </c>
      <c r="Q4830" t="str">
        <f t="shared" ca="1" si="227"/>
        <v>No</v>
      </c>
    </row>
    <row r="4831" spans="1:17" x14ac:dyDescent="0.45">
      <c r="A4831" t="s">
        <v>197</v>
      </c>
      <c r="B4831" t="s">
        <v>198</v>
      </c>
      <c r="C4831" t="s">
        <v>19</v>
      </c>
      <c r="D4831" t="s">
        <v>188</v>
      </c>
      <c r="E4831" t="s">
        <v>21</v>
      </c>
      <c r="F4831" s="1">
        <v>44713</v>
      </c>
      <c r="G4831">
        <v>2.2400000000000002</v>
      </c>
      <c r="H4831">
        <v>82.5608</v>
      </c>
      <c r="I4831">
        <v>18.61</v>
      </c>
      <c r="J4831">
        <v>71.87</v>
      </c>
      <c r="K4831" t="s">
        <v>82</v>
      </c>
      <c r="L4831">
        <v>489.65</v>
      </c>
      <c r="M4831">
        <f>VLOOKUP(K4831,RatingLookup!$A$2:$C$8,2,FALSE)</f>
        <v>1E-4</v>
      </c>
      <c r="N4831">
        <f t="shared" si="225"/>
        <v>8.3337153021778576E-6</v>
      </c>
      <c r="O4831">
        <f>VLOOKUP(K4831,RatingLookup!$A$2:$C$8,3,FALSE)</f>
        <v>0.2</v>
      </c>
      <c r="P4831">
        <f t="shared" si="226"/>
        <v>8.1612073954227772E-4</v>
      </c>
      <c r="Q4831" t="str">
        <f t="shared" ca="1" si="227"/>
        <v>No</v>
      </c>
    </row>
    <row r="4832" spans="1:17" x14ac:dyDescent="0.45">
      <c r="A4832" t="s">
        <v>197</v>
      </c>
      <c r="B4832" t="s">
        <v>198</v>
      </c>
      <c r="C4832" t="s">
        <v>19</v>
      </c>
      <c r="D4832" t="s">
        <v>188</v>
      </c>
      <c r="E4832" t="s">
        <v>21</v>
      </c>
      <c r="F4832" s="1">
        <v>44743</v>
      </c>
      <c r="G4832">
        <v>1.67</v>
      </c>
      <c r="H4832">
        <v>80.870099999999994</v>
      </c>
      <c r="I4832">
        <v>29.32</v>
      </c>
      <c r="J4832">
        <v>73.47</v>
      </c>
      <c r="K4832" t="s">
        <v>82</v>
      </c>
      <c r="L4832">
        <v>456.37</v>
      </c>
      <c r="M4832">
        <f>VLOOKUP(K4832,RatingLookup!$A$2:$C$8,2,FALSE)</f>
        <v>1E-4</v>
      </c>
      <c r="N4832">
        <f t="shared" si="225"/>
        <v>8.3337153021778576E-6</v>
      </c>
      <c r="O4832">
        <f>VLOOKUP(K4832,RatingLookup!$A$2:$C$8,3,FALSE)</f>
        <v>0.2</v>
      </c>
      <c r="P4832">
        <f t="shared" si="226"/>
        <v>7.6065153049098186E-4</v>
      </c>
      <c r="Q4832" t="str">
        <f t="shared" ca="1" si="227"/>
        <v>No</v>
      </c>
    </row>
    <row r="4833" spans="1:17" x14ac:dyDescent="0.45">
      <c r="A4833" t="s">
        <v>197</v>
      </c>
      <c r="B4833" t="s">
        <v>198</v>
      </c>
      <c r="C4833" t="s">
        <v>19</v>
      </c>
      <c r="D4833" t="s">
        <v>188</v>
      </c>
      <c r="E4833" t="s">
        <v>21</v>
      </c>
      <c r="F4833" s="1">
        <v>44774</v>
      </c>
      <c r="G4833">
        <v>1.67</v>
      </c>
      <c r="H4833">
        <v>80.210400000000007</v>
      </c>
      <c r="I4833">
        <v>15.62</v>
      </c>
      <c r="J4833">
        <v>84.37</v>
      </c>
      <c r="K4833" t="s">
        <v>82</v>
      </c>
      <c r="L4833">
        <v>547.33000000000004</v>
      </c>
      <c r="M4833">
        <f>VLOOKUP(K4833,RatingLookup!$A$2:$C$8,2,FALSE)</f>
        <v>1E-4</v>
      </c>
      <c r="N4833">
        <f t="shared" si="225"/>
        <v>8.3337153021778576E-6</v>
      </c>
      <c r="O4833">
        <f>VLOOKUP(K4833,RatingLookup!$A$2:$C$8,3,FALSE)</f>
        <v>0.2</v>
      </c>
      <c r="P4833">
        <f t="shared" si="226"/>
        <v>9.1225847926820151E-4</v>
      </c>
      <c r="Q4833" t="str">
        <f t="shared" ca="1" si="227"/>
        <v>No</v>
      </c>
    </row>
    <row r="4834" spans="1:17" x14ac:dyDescent="0.45">
      <c r="A4834" t="s">
        <v>197</v>
      </c>
      <c r="B4834" t="s">
        <v>198</v>
      </c>
      <c r="C4834" t="s">
        <v>19</v>
      </c>
      <c r="D4834" t="s">
        <v>188</v>
      </c>
      <c r="E4834" t="s">
        <v>21</v>
      </c>
      <c r="F4834" s="1">
        <v>44805</v>
      </c>
      <c r="G4834">
        <v>1.2</v>
      </c>
      <c r="H4834">
        <v>83.307699999999997</v>
      </c>
      <c r="I4834">
        <v>7.13</v>
      </c>
      <c r="J4834">
        <v>64.88</v>
      </c>
      <c r="K4834" t="s">
        <v>82</v>
      </c>
      <c r="L4834">
        <v>477.58</v>
      </c>
      <c r="M4834">
        <f>VLOOKUP(K4834,RatingLookup!$A$2:$C$8,2,FALSE)</f>
        <v>1E-4</v>
      </c>
      <c r="N4834">
        <f t="shared" si="225"/>
        <v>8.3337153021778576E-6</v>
      </c>
      <c r="O4834">
        <f>VLOOKUP(K4834,RatingLookup!$A$2:$C$8,3,FALSE)</f>
        <v>0.2</v>
      </c>
      <c r="P4834">
        <f t="shared" si="226"/>
        <v>7.9600315080282031E-4</v>
      </c>
      <c r="Q4834" t="str">
        <f t="shared" ca="1" si="227"/>
        <v>No</v>
      </c>
    </row>
    <row r="4835" spans="1:17" x14ac:dyDescent="0.45">
      <c r="A4835" t="s">
        <v>197</v>
      </c>
      <c r="B4835" t="s">
        <v>198</v>
      </c>
      <c r="C4835" t="s">
        <v>19</v>
      </c>
      <c r="D4835" t="s">
        <v>188</v>
      </c>
      <c r="E4835" t="s">
        <v>21</v>
      </c>
      <c r="F4835" s="1">
        <v>44835</v>
      </c>
      <c r="G4835">
        <v>1.71</v>
      </c>
      <c r="H4835">
        <v>81.565299999999993</v>
      </c>
      <c r="I4835">
        <v>28.13</v>
      </c>
      <c r="J4835">
        <v>71.05</v>
      </c>
      <c r="K4835" t="s">
        <v>82</v>
      </c>
      <c r="L4835">
        <v>470.9</v>
      </c>
      <c r="M4835">
        <f>VLOOKUP(K4835,RatingLookup!$A$2:$C$8,2,FALSE)</f>
        <v>1E-4</v>
      </c>
      <c r="N4835">
        <f t="shared" si="225"/>
        <v>8.3337153021778576E-6</v>
      </c>
      <c r="O4835">
        <f>VLOOKUP(K4835,RatingLookup!$A$2:$C$8,3,FALSE)</f>
        <v>0.2</v>
      </c>
      <c r="P4835">
        <f t="shared" si="226"/>
        <v>7.8486930715911075E-4</v>
      </c>
      <c r="Q4835" t="str">
        <f t="shared" ca="1" si="227"/>
        <v>No</v>
      </c>
    </row>
    <row r="4836" spans="1:17" x14ac:dyDescent="0.45">
      <c r="A4836" t="s">
        <v>197</v>
      </c>
      <c r="B4836" t="s">
        <v>198</v>
      </c>
      <c r="C4836" t="s">
        <v>19</v>
      </c>
      <c r="D4836" t="s">
        <v>188</v>
      </c>
      <c r="E4836" t="s">
        <v>21</v>
      </c>
      <c r="F4836" s="1">
        <v>44866</v>
      </c>
      <c r="G4836">
        <v>1.0900000000000001</v>
      </c>
      <c r="H4836">
        <v>84.156499999999994</v>
      </c>
      <c r="I4836">
        <v>20.260000000000002</v>
      </c>
      <c r="J4836">
        <v>76.81</v>
      </c>
      <c r="K4836" t="s">
        <v>82</v>
      </c>
      <c r="L4836">
        <v>448.81</v>
      </c>
      <c r="M4836">
        <f>VLOOKUP(K4836,RatingLookup!$A$2:$C$8,2,FALSE)</f>
        <v>1E-4</v>
      </c>
      <c r="N4836">
        <f t="shared" si="225"/>
        <v>8.3337153021778576E-6</v>
      </c>
      <c r="O4836">
        <f>VLOOKUP(K4836,RatingLookup!$A$2:$C$8,3,FALSE)</f>
        <v>0.2</v>
      </c>
      <c r="P4836">
        <f t="shared" si="226"/>
        <v>7.480509529540889E-4</v>
      </c>
      <c r="Q4836" t="str">
        <f t="shared" ca="1" si="227"/>
        <v>No</v>
      </c>
    </row>
    <row r="4837" spans="1:17" x14ac:dyDescent="0.45">
      <c r="A4837" t="s">
        <v>197</v>
      </c>
      <c r="B4837" t="s">
        <v>198</v>
      </c>
      <c r="C4837" t="s">
        <v>19</v>
      </c>
      <c r="D4837" t="s">
        <v>188</v>
      </c>
      <c r="E4837" t="s">
        <v>21</v>
      </c>
      <c r="F4837" s="1">
        <v>44896</v>
      </c>
      <c r="G4837">
        <v>1.45</v>
      </c>
      <c r="H4837">
        <v>81.976500000000001</v>
      </c>
      <c r="I4837">
        <v>12.82</v>
      </c>
      <c r="J4837">
        <v>60.79</v>
      </c>
      <c r="K4837" t="s">
        <v>82</v>
      </c>
      <c r="L4837">
        <v>501.11</v>
      </c>
      <c r="M4837">
        <f>VLOOKUP(K4837,RatingLookup!$A$2:$C$8,2,FALSE)</f>
        <v>1E-4</v>
      </c>
      <c r="N4837">
        <f t="shared" si="225"/>
        <v>8.3337153021778576E-6</v>
      </c>
      <c r="O4837">
        <f>VLOOKUP(K4837,RatingLookup!$A$2:$C$8,3,FALSE)</f>
        <v>0.2</v>
      </c>
      <c r="P4837">
        <f t="shared" si="226"/>
        <v>8.3522161501486936E-4</v>
      </c>
      <c r="Q4837" t="str">
        <f t="shared" ca="1" si="227"/>
        <v>No</v>
      </c>
    </row>
    <row r="4838" spans="1:17" x14ac:dyDescent="0.45">
      <c r="A4838" t="s">
        <v>197</v>
      </c>
      <c r="B4838" t="s">
        <v>198</v>
      </c>
      <c r="C4838" t="s">
        <v>19</v>
      </c>
      <c r="D4838" t="s">
        <v>188</v>
      </c>
      <c r="E4838" t="s">
        <v>21</v>
      </c>
      <c r="F4838" s="1">
        <v>44927</v>
      </c>
      <c r="G4838">
        <v>1.19</v>
      </c>
      <c r="H4838">
        <v>81.222800000000007</v>
      </c>
      <c r="I4838">
        <v>18.149999999999999</v>
      </c>
      <c r="J4838">
        <v>70.25</v>
      </c>
      <c r="K4838" t="s">
        <v>82</v>
      </c>
      <c r="L4838">
        <v>464.28</v>
      </c>
      <c r="M4838">
        <f>VLOOKUP(K4838,RatingLookup!$A$2:$C$8,2,FALSE)</f>
        <v>1E-4</v>
      </c>
      <c r="N4838">
        <f t="shared" si="225"/>
        <v>8.3337153021778576E-6</v>
      </c>
      <c r="O4838">
        <f>VLOOKUP(K4838,RatingLookup!$A$2:$C$8,3,FALSE)</f>
        <v>0.2</v>
      </c>
      <c r="P4838">
        <f t="shared" si="226"/>
        <v>7.7383546809902716E-4</v>
      </c>
      <c r="Q4838" t="str">
        <f t="shared" ca="1" si="227"/>
        <v>No</v>
      </c>
    </row>
    <row r="4839" spans="1:17" x14ac:dyDescent="0.45">
      <c r="A4839" t="s">
        <v>197</v>
      </c>
      <c r="B4839" t="s">
        <v>198</v>
      </c>
      <c r="C4839" t="s">
        <v>19</v>
      </c>
      <c r="D4839" t="s">
        <v>188</v>
      </c>
      <c r="E4839" t="s">
        <v>21</v>
      </c>
      <c r="F4839" s="1">
        <v>44958</v>
      </c>
      <c r="G4839">
        <v>1.93</v>
      </c>
      <c r="H4839">
        <v>82.166700000000006</v>
      </c>
      <c r="I4839">
        <v>7.19</v>
      </c>
      <c r="J4839">
        <v>62</v>
      </c>
      <c r="K4839" t="s">
        <v>82</v>
      </c>
      <c r="L4839">
        <v>460.65</v>
      </c>
      <c r="M4839">
        <f>VLOOKUP(K4839,RatingLookup!$A$2:$C$8,2,FALSE)</f>
        <v>1E-4</v>
      </c>
      <c r="N4839">
        <f t="shared" si="225"/>
        <v>8.3337153021778576E-6</v>
      </c>
      <c r="O4839">
        <f>VLOOKUP(K4839,RatingLookup!$A$2:$C$8,3,FALSE)</f>
        <v>0.2</v>
      </c>
      <c r="P4839">
        <f t="shared" si="226"/>
        <v>7.6778519078964601E-4</v>
      </c>
      <c r="Q4839" t="str">
        <f t="shared" ca="1" si="227"/>
        <v>No</v>
      </c>
    </row>
    <row r="4840" spans="1:17" x14ac:dyDescent="0.45">
      <c r="A4840" t="s">
        <v>197</v>
      </c>
      <c r="B4840" t="s">
        <v>198</v>
      </c>
      <c r="C4840" t="s">
        <v>19</v>
      </c>
      <c r="D4840" t="s">
        <v>188</v>
      </c>
      <c r="E4840" t="s">
        <v>21</v>
      </c>
      <c r="F4840" s="1">
        <v>44986</v>
      </c>
      <c r="G4840">
        <v>1.92</v>
      </c>
      <c r="H4840">
        <v>84.888099999999994</v>
      </c>
      <c r="I4840">
        <v>13.7</v>
      </c>
      <c r="J4840">
        <v>69.930000000000007</v>
      </c>
      <c r="K4840" t="s">
        <v>82</v>
      </c>
      <c r="L4840">
        <v>482.23</v>
      </c>
      <c r="M4840">
        <f>VLOOKUP(K4840,RatingLookup!$A$2:$C$8,2,FALSE)</f>
        <v>1E-4</v>
      </c>
      <c r="N4840">
        <f t="shared" si="225"/>
        <v>8.3337153021778576E-6</v>
      </c>
      <c r="O4840">
        <f>VLOOKUP(K4840,RatingLookup!$A$2:$C$8,3,FALSE)</f>
        <v>0.2</v>
      </c>
      <c r="P4840">
        <f t="shared" si="226"/>
        <v>8.0375350603384573E-4</v>
      </c>
      <c r="Q4840" t="str">
        <f t="shared" ca="1" si="227"/>
        <v>No</v>
      </c>
    </row>
    <row r="4841" spans="1:17" x14ac:dyDescent="0.45">
      <c r="A4841" t="s">
        <v>197</v>
      </c>
      <c r="B4841" t="s">
        <v>198</v>
      </c>
      <c r="C4841" t="s">
        <v>19</v>
      </c>
      <c r="D4841" t="s">
        <v>188</v>
      </c>
      <c r="E4841" t="s">
        <v>21</v>
      </c>
      <c r="F4841" s="1">
        <v>45017</v>
      </c>
      <c r="G4841">
        <v>2.5</v>
      </c>
      <c r="H4841">
        <v>81.736099999999993</v>
      </c>
      <c r="I4841">
        <v>24.4</v>
      </c>
      <c r="J4841">
        <v>78.64</v>
      </c>
      <c r="K4841" t="s">
        <v>82</v>
      </c>
      <c r="L4841">
        <v>473.62</v>
      </c>
      <c r="M4841">
        <f>VLOOKUP(K4841,RatingLookup!$A$2:$C$8,2,FALSE)</f>
        <v>1E-4</v>
      </c>
      <c r="N4841">
        <f t="shared" si="225"/>
        <v>8.3337153021778576E-6</v>
      </c>
      <c r="O4841">
        <f>VLOOKUP(K4841,RatingLookup!$A$2:$C$8,3,FALSE)</f>
        <v>0.2</v>
      </c>
      <c r="P4841">
        <f t="shared" si="226"/>
        <v>7.8940284828349534E-4</v>
      </c>
      <c r="Q4841" t="str">
        <f t="shared" ca="1" si="227"/>
        <v>No</v>
      </c>
    </row>
    <row r="4842" spans="1:17" x14ac:dyDescent="0.45">
      <c r="A4842" t="s">
        <v>197</v>
      </c>
      <c r="B4842" t="s">
        <v>198</v>
      </c>
      <c r="C4842" t="s">
        <v>19</v>
      </c>
      <c r="D4842" t="s">
        <v>188</v>
      </c>
      <c r="E4842" t="s">
        <v>21</v>
      </c>
      <c r="F4842" s="1">
        <v>45047</v>
      </c>
      <c r="G4842">
        <v>2.69</v>
      </c>
      <c r="H4842">
        <v>84.937299999999993</v>
      </c>
      <c r="I4842">
        <v>11.72</v>
      </c>
      <c r="J4842">
        <v>76.459999999999994</v>
      </c>
      <c r="K4842" t="s">
        <v>82</v>
      </c>
      <c r="L4842">
        <v>428.15</v>
      </c>
      <c r="M4842">
        <f>VLOOKUP(K4842,RatingLookup!$A$2:$C$8,2,FALSE)</f>
        <v>1E-4</v>
      </c>
      <c r="N4842">
        <f t="shared" si="225"/>
        <v>8.3337153021778576E-6</v>
      </c>
      <c r="O4842">
        <f>VLOOKUP(K4842,RatingLookup!$A$2:$C$8,3,FALSE)</f>
        <v>0.2</v>
      </c>
      <c r="P4842">
        <f t="shared" si="226"/>
        <v>7.1361604132548994E-4</v>
      </c>
      <c r="Q4842" t="str">
        <f t="shared" ca="1" si="227"/>
        <v>No</v>
      </c>
    </row>
    <row r="4843" spans="1:17" x14ac:dyDescent="0.45">
      <c r="A4843" t="s">
        <v>197</v>
      </c>
      <c r="B4843" t="s">
        <v>198</v>
      </c>
      <c r="C4843" t="s">
        <v>19</v>
      </c>
      <c r="D4843" t="s">
        <v>188</v>
      </c>
      <c r="E4843" t="s">
        <v>21</v>
      </c>
      <c r="F4843" s="1">
        <v>45078</v>
      </c>
      <c r="G4843">
        <v>2.73</v>
      </c>
      <c r="H4843">
        <v>83.475899999999996</v>
      </c>
      <c r="I4843">
        <v>30.13</v>
      </c>
      <c r="J4843">
        <v>70.739999999999995</v>
      </c>
      <c r="K4843" t="s">
        <v>82</v>
      </c>
      <c r="L4843">
        <v>458.43</v>
      </c>
      <c r="M4843">
        <f>VLOOKUP(K4843,RatingLookup!$A$2:$C$8,2,FALSE)</f>
        <v>1E-4</v>
      </c>
      <c r="N4843">
        <f t="shared" si="225"/>
        <v>8.3337153021778576E-6</v>
      </c>
      <c r="O4843">
        <f>VLOOKUP(K4843,RatingLookup!$A$2:$C$8,3,FALSE)</f>
        <v>0.2</v>
      </c>
      <c r="P4843">
        <f t="shared" si="226"/>
        <v>7.6408502119547914E-4</v>
      </c>
      <c r="Q4843" t="str">
        <f t="shared" ca="1" si="227"/>
        <v>No</v>
      </c>
    </row>
    <row r="4844" spans="1:17" x14ac:dyDescent="0.45">
      <c r="A4844" t="s">
        <v>197</v>
      </c>
      <c r="B4844" t="s">
        <v>198</v>
      </c>
      <c r="C4844" t="s">
        <v>19</v>
      </c>
      <c r="D4844" t="s">
        <v>188</v>
      </c>
      <c r="E4844" t="s">
        <v>21</v>
      </c>
      <c r="F4844" s="1">
        <v>45108</v>
      </c>
      <c r="G4844">
        <v>1.42</v>
      </c>
      <c r="H4844">
        <v>77.444400000000002</v>
      </c>
      <c r="I4844">
        <v>20.86</v>
      </c>
      <c r="J4844">
        <v>88.7</v>
      </c>
      <c r="K4844" t="s">
        <v>82</v>
      </c>
      <c r="L4844">
        <v>459.06</v>
      </c>
      <c r="M4844">
        <f>VLOOKUP(K4844,RatingLookup!$A$2:$C$8,2,FALSE)</f>
        <v>1E-4</v>
      </c>
      <c r="N4844">
        <f t="shared" si="225"/>
        <v>8.3337153021778576E-6</v>
      </c>
      <c r="O4844">
        <f>VLOOKUP(K4844,RatingLookup!$A$2:$C$8,3,FALSE)</f>
        <v>0.2</v>
      </c>
      <c r="P4844">
        <f t="shared" si="226"/>
        <v>7.6513506932355353E-4</v>
      </c>
      <c r="Q4844" t="str">
        <f t="shared" ca="1" si="227"/>
        <v>No</v>
      </c>
    </row>
    <row r="4845" spans="1:17" x14ac:dyDescent="0.45">
      <c r="A4845" t="s">
        <v>197</v>
      </c>
      <c r="B4845" t="s">
        <v>198</v>
      </c>
      <c r="C4845" t="s">
        <v>19</v>
      </c>
      <c r="D4845" t="s">
        <v>188</v>
      </c>
      <c r="E4845" t="s">
        <v>21</v>
      </c>
      <c r="F4845" s="1">
        <v>45139</v>
      </c>
      <c r="G4845">
        <v>1.47</v>
      </c>
      <c r="H4845">
        <v>78.719499999999996</v>
      </c>
      <c r="I4845">
        <v>14.92</v>
      </c>
      <c r="J4845">
        <v>76.239999999999995</v>
      </c>
      <c r="K4845" t="s">
        <v>82</v>
      </c>
      <c r="L4845">
        <v>489.72</v>
      </c>
      <c r="M4845">
        <f>VLOOKUP(K4845,RatingLookup!$A$2:$C$8,2,FALSE)</f>
        <v>1E-4</v>
      </c>
      <c r="N4845">
        <f t="shared" si="225"/>
        <v>8.3337153021778576E-6</v>
      </c>
      <c r="O4845">
        <f>VLOOKUP(K4845,RatingLookup!$A$2:$C$8,3,FALSE)</f>
        <v>0.2</v>
      </c>
      <c r="P4845">
        <f t="shared" si="226"/>
        <v>8.162374115565082E-4</v>
      </c>
      <c r="Q4845" t="str">
        <f t="shared" ca="1" si="227"/>
        <v>No</v>
      </c>
    </row>
    <row r="4846" spans="1:17" x14ac:dyDescent="0.45">
      <c r="A4846" t="s">
        <v>197</v>
      </c>
      <c r="B4846" t="s">
        <v>198</v>
      </c>
      <c r="C4846" t="s">
        <v>19</v>
      </c>
      <c r="D4846" t="s">
        <v>188</v>
      </c>
      <c r="E4846" t="s">
        <v>21</v>
      </c>
      <c r="F4846" s="1">
        <v>45170</v>
      </c>
      <c r="G4846">
        <v>1.1499999999999999</v>
      </c>
      <c r="H4846">
        <v>86.029399999999995</v>
      </c>
      <c r="I4846">
        <v>10.94</v>
      </c>
      <c r="J4846">
        <v>89.68</v>
      </c>
      <c r="K4846" t="s">
        <v>82</v>
      </c>
      <c r="L4846">
        <v>493.53</v>
      </c>
      <c r="M4846">
        <f>VLOOKUP(K4846,RatingLookup!$A$2:$C$8,2,FALSE)</f>
        <v>1E-4</v>
      </c>
      <c r="N4846">
        <f t="shared" si="225"/>
        <v>8.3337153021778576E-6</v>
      </c>
      <c r="O4846">
        <f>VLOOKUP(K4846,RatingLookup!$A$2:$C$8,3,FALSE)</f>
        <v>0.2</v>
      </c>
      <c r="P4846">
        <f t="shared" si="226"/>
        <v>8.2258770261676756E-4</v>
      </c>
      <c r="Q4846" t="str">
        <f t="shared" ca="1" si="227"/>
        <v>No</v>
      </c>
    </row>
    <row r="4847" spans="1:17" x14ac:dyDescent="0.45">
      <c r="A4847" t="s">
        <v>197</v>
      </c>
      <c r="B4847" t="s">
        <v>198</v>
      </c>
      <c r="C4847" t="s">
        <v>19</v>
      </c>
      <c r="D4847" t="s">
        <v>188</v>
      </c>
      <c r="E4847" t="s">
        <v>21</v>
      </c>
      <c r="F4847" s="1">
        <v>45200</v>
      </c>
      <c r="G4847">
        <v>2.23</v>
      </c>
      <c r="H4847">
        <v>78.411900000000003</v>
      </c>
      <c r="I4847">
        <v>26.75</v>
      </c>
      <c r="J4847">
        <v>84.45</v>
      </c>
      <c r="K4847" t="s">
        <v>82</v>
      </c>
      <c r="L4847">
        <v>457.45</v>
      </c>
      <c r="M4847">
        <f>VLOOKUP(K4847,RatingLookup!$A$2:$C$8,2,FALSE)</f>
        <v>1E-4</v>
      </c>
      <c r="N4847">
        <f t="shared" si="225"/>
        <v>8.3337153021778576E-6</v>
      </c>
      <c r="O4847">
        <f>VLOOKUP(K4847,RatingLookup!$A$2:$C$8,3,FALSE)</f>
        <v>0.2</v>
      </c>
      <c r="P4847">
        <f t="shared" si="226"/>
        <v>7.6245161299625221E-4</v>
      </c>
      <c r="Q4847" t="str">
        <f t="shared" ca="1" si="227"/>
        <v>No</v>
      </c>
    </row>
    <row r="4848" spans="1:17" x14ac:dyDescent="0.45">
      <c r="A4848" t="s">
        <v>197</v>
      </c>
      <c r="B4848" t="s">
        <v>198</v>
      </c>
      <c r="C4848" t="s">
        <v>19</v>
      </c>
      <c r="D4848" t="s">
        <v>188</v>
      </c>
      <c r="E4848" t="s">
        <v>21</v>
      </c>
      <c r="F4848" s="1">
        <v>45231</v>
      </c>
      <c r="G4848">
        <v>2.93</v>
      </c>
      <c r="H4848">
        <v>84.2239</v>
      </c>
      <c r="I4848">
        <v>16.010000000000002</v>
      </c>
      <c r="J4848">
        <v>103.29</v>
      </c>
      <c r="K4848" t="s">
        <v>82</v>
      </c>
      <c r="L4848">
        <v>485.92</v>
      </c>
      <c r="M4848">
        <f>VLOOKUP(K4848,RatingLookup!$A$2:$C$8,2,FALSE)</f>
        <v>1E-4</v>
      </c>
      <c r="N4848">
        <f t="shared" si="225"/>
        <v>8.3337153021778576E-6</v>
      </c>
      <c r="O4848">
        <f>VLOOKUP(K4848,RatingLookup!$A$2:$C$8,3,FALSE)</f>
        <v>0.2</v>
      </c>
      <c r="P4848">
        <f t="shared" si="226"/>
        <v>8.0990378792685294E-4</v>
      </c>
      <c r="Q4848" t="str">
        <f t="shared" ca="1" si="227"/>
        <v>No</v>
      </c>
    </row>
    <row r="4849" spans="1:17" x14ac:dyDescent="0.45">
      <c r="A4849" t="s">
        <v>197</v>
      </c>
      <c r="B4849" t="s">
        <v>198</v>
      </c>
      <c r="C4849" t="s">
        <v>19</v>
      </c>
      <c r="D4849" t="s">
        <v>188</v>
      </c>
      <c r="E4849" t="s">
        <v>21</v>
      </c>
      <c r="F4849" s="1">
        <v>45261</v>
      </c>
      <c r="G4849">
        <v>1.91</v>
      </c>
      <c r="H4849">
        <v>76.774799999999999</v>
      </c>
      <c r="I4849">
        <v>19.86</v>
      </c>
      <c r="J4849">
        <v>87.66</v>
      </c>
      <c r="K4849" t="s">
        <v>82</v>
      </c>
      <c r="L4849">
        <v>508.91</v>
      </c>
      <c r="M4849">
        <f>VLOOKUP(K4849,RatingLookup!$A$2:$C$8,2,FALSE)</f>
        <v>1E-4</v>
      </c>
      <c r="N4849">
        <f t="shared" si="225"/>
        <v>8.3337153021778576E-6</v>
      </c>
      <c r="O4849">
        <f>VLOOKUP(K4849,RatingLookup!$A$2:$C$8,3,FALSE)</f>
        <v>0.2</v>
      </c>
      <c r="P4849">
        <f t="shared" si="226"/>
        <v>8.4822221088626682E-4</v>
      </c>
      <c r="Q4849" t="str">
        <f t="shared" ca="1" si="227"/>
        <v>No</v>
      </c>
    </row>
    <row r="4850" spans="1:17" x14ac:dyDescent="0.45">
      <c r="A4850" t="s">
        <v>197</v>
      </c>
      <c r="B4850" t="s">
        <v>198</v>
      </c>
      <c r="C4850" t="s">
        <v>19</v>
      </c>
      <c r="D4850" t="s">
        <v>188</v>
      </c>
      <c r="E4850" t="s">
        <v>21</v>
      </c>
      <c r="F4850" s="1">
        <v>45292</v>
      </c>
      <c r="G4850">
        <v>1.63</v>
      </c>
      <c r="H4850">
        <v>83.135999999999996</v>
      </c>
      <c r="I4850">
        <v>14.77</v>
      </c>
      <c r="J4850">
        <v>85.26</v>
      </c>
      <c r="K4850" t="s">
        <v>82</v>
      </c>
      <c r="L4850">
        <v>518.91999999999996</v>
      </c>
      <c r="M4850">
        <f>VLOOKUP(K4850,RatingLookup!$A$2:$C$8,2,FALSE)</f>
        <v>1E-4</v>
      </c>
      <c r="N4850">
        <f t="shared" si="225"/>
        <v>8.3337153021778576E-6</v>
      </c>
      <c r="O4850">
        <f>VLOOKUP(K4850,RatingLookup!$A$2:$C$8,3,FALSE)</f>
        <v>0.2</v>
      </c>
      <c r="P4850">
        <f t="shared" si="226"/>
        <v>8.6490630892122663E-4</v>
      </c>
      <c r="Q4850" t="str">
        <f t="shared" ca="1" si="227"/>
        <v>No</v>
      </c>
    </row>
    <row r="4851" spans="1:17" x14ac:dyDescent="0.45">
      <c r="A4851" t="s">
        <v>197</v>
      </c>
      <c r="B4851" t="s">
        <v>198</v>
      </c>
      <c r="C4851" t="s">
        <v>19</v>
      </c>
      <c r="D4851" t="s">
        <v>188</v>
      </c>
      <c r="E4851" t="s">
        <v>21</v>
      </c>
      <c r="F4851" s="1">
        <v>45323</v>
      </c>
      <c r="G4851">
        <v>1.28</v>
      </c>
      <c r="H4851">
        <v>83.716099999999997</v>
      </c>
      <c r="I4851">
        <v>19.39</v>
      </c>
      <c r="J4851">
        <v>89</v>
      </c>
      <c r="K4851" t="s">
        <v>48</v>
      </c>
      <c r="L4851">
        <v>498.06</v>
      </c>
      <c r="M4851">
        <f>VLOOKUP(K4851,RatingLookup!$A$2:$C$8,2,FALSE)</f>
        <v>5.0000000000000001E-4</v>
      </c>
      <c r="N4851">
        <f t="shared" si="225"/>
        <v>4.167621832917856E-5</v>
      </c>
      <c r="O4851">
        <f>VLOOKUP(K4851,RatingLookup!$A$2:$C$8,3,FALSE)</f>
        <v>0.25</v>
      </c>
      <c r="P4851">
        <f t="shared" si="226"/>
        <v>5.1893143252576684E-3</v>
      </c>
      <c r="Q4851" t="str">
        <f t="shared" ca="1" si="227"/>
        <v>No</v>
      </c>
    </row>
    <row r="4852" spans="1:17" x14ac:dyDescent="0.45">
      <c r="A4852" t="s">
        <v>197</v>
      </c>
      <c r="B4852" t="s">
        <v>198</v>
      </c>
      <c r="C4852" t="s">
        <v>19</v>
      </c>
      <c r="D4852" t="s">
        <v>188</v>
      </c>
      <c r="E4852" t="s">
        <v>21</v>
      </c>
      <c r="F4852" s="1">
        <v>45352</v>
      </c>
      <c r="G4852">
        <v>2.2000000000000002</v>
      </c>
      <c r="H4852">
        <v>84.840900000000005</v>
      </c>
      <c r="I4852">
        <v>22.1</v>
      </c>
      <c r="J4852">
        <v>74.73</v>
      </c>
      <c r="K4852" t="s">
        <v>48</v>
      </c>
      <c r="L4852">
        <v>471.53</v>
      </c>
      <c r="M4852">
        <f>VLOOKUP(K4852,RatingLookup!$A$2:$C$8,2,FALSE)</f>
        <v>5.0000000000000001E-4</v>
      </c>
      <c r="N4852">
        <f t="shared" si="225"/>
        <v>4.167621832917856E-5</v>
      </c>
      <c r="O4852">
        <f>VLOOKUP(K4852,RatingLookup!$A$2:$C$8,3,FALSE)</f>
        <v>0.25</v>
      </c>
      <c r="P4852">
        <f t="shared" si="226"/>
        <v>4.9128968071893916E-3</v>
      </c>
      <c r="Q4852" t="str">
        <f t="shared" ca="1" si="227"/>
        <v>No</v>
      </c>
    </row>
    <row r="4853" spans="1:17" x14ac:dyDescent="0.45">
      <c r="A4853" t="s">
        <v>197</v>
      </c>
      <c r="B4853" t="s">
        <v>198</v>
      </c>
      <c r="C4853" t="s">
        <v>19</v>
      </c>
      <c r="D4853" t="s">
        <v>188</v>
      </c>
      <c r="E4853" t="s">
        <v>21</v>
      </c>
      <c r="F4853" s="1">
        <v>45383</v>
      </c>
      <c r="G4853">
        <v>1.72</v>
      </c>
      <c r="H4853">
        <v>82.886600000000001</v>
      </c>
      <c r="I4853">
        <v>9.48</v>
      </c>
      <c r="J4853">
        <v>83.31</v>
      </c>
      <c r="K4853" t="s">
        <v>48</v>
      </c>
      <c r="L4853">
        <v>467.93</v>
      </c>
      <c r="M4853">
        <f>VLOOKUP(K4853,RatingLookup!$A$2:$C$8,2,FALSE)</f>
        <v>5.0000000000000001E-4</v>
      </c>
      <c r="N4853">
        <f t="shared" si="225"/>
        <v>4.167621832917856E-5</v>
      </c>
      <c r="O4853">
        <f>VLOOKUP(K4853,RatingLookup!$A$2:$C$8,3,FALSE)</f>
        <v>0.25</v>
      </c>
      <c r="P4853">
        <f t="shared" si="226"/>
        <v>4.8753882106931309E-3</v>
      </c>
      <c r="Q4853" t="str">
        <f t="shared" ca="1" si="227"/>
        <v>No</v>
      </c>
    </row>
    <row r="4854" spans="1:17" x14ac:dyDescent="0.45">
      <c r="A4854" t="s">
        <v>197</v>
      </c>
      <c r="B4854" t="s">
        <v>198</v>
      </c>
      <c r="C4854" t="s">
        <v>19</v>
      </c>
      <c r="D4854" t="s">
        <v>188</v>
      </c>
      <c r="E4854" t="s">
        <v>21</v>
      </c>
      <c r="F4854" s="1">
        <v>45413</v>
      </c>
      <c r="G4854">
        <v>1.83</v>
      </c>
      <c r="H4854">
        <v>86.024299999999997</v>
      </c>
      <c r="I4854">
        <v>22.59</v>
      </c>
      <c r="J4854">
        <v>76.36</v>
      </c>
      <c r="K4854" t="s">
        <v>48</v>
      </c>
      <c r="L4854">
        <v>501.13</v>
      </c>
      <c r="M4854">
        <f>VLOOKUP(K4854,RatingLookup!$A$2:$C$8,2,FALSE)</f>
        <v>5.0000000000000001E-4</v>
      </c>
      <c r="N4854">
        <f t="shared" si="225"/>
        <v>4.167621832917856E-5</v>
      </c>
      <c r="O4854">
        <f>VLOOKUP(K4854,RatingLookup!$A$2:$C$8,3,FALSE)</f>
        <v>0.25</v>
      </c>
      <c r="P4854">
        <f t="shared" si="226"/>
        <v>5.221300822825313E-3</v>
      </c>
      <c r="Q4854" t="str">
        <f t="shared" ca="1" si="227"/>
        <v>No</v>
      </c>
    </row>
    <row r="4855" spans="1:17" x14ac:dyDescent="0.45">
      <c r="A4855" t="s">
        <v>197</v>
      </c>
      <c r="B4855" t="s">
        <v>198</v>
      </c>
      <c r="C4855" t="s">
        <v>19</v>
      </c>
      <c r="D4855" t="s">
        <v>188</v>
      </c>
      <c r="E4855" t="s">
        <v>21</v>
      </c>
      <c r="F4855" s="1">
        <v>45444</v>
      </c>
      <c r="G4855">
        <v>2.4</v>
      </c>
      <c r="H4855">
        <v>83.468500000000006</v>
      </c>
      <c r="I4855">
        <v>25.96</v>
      </c>
      <c r="J4855">
        <v>93.54</v>
      </c>
      <c r="K4855" t="s">
        <v>48</v>
      </c>
      <c r="L4855">
        <v>454.2</v>
      </c>
      <c r="M4855">
        <f>VLOOKUP(K4855,RatingLookup!$A$2:$C$8,2,FALSE)</f>
        <v>5.0000000000000001E-4</v>
      </c>
      <c r="N4855">
        <f t="shared" si="225"/>
        <v>4.167621832917856E-5</v>
      </c>
      <c r="O4855">
        <f>VLOOKUP(K4855,RatingLookup!$A$2:$C$8,3,FALSE)</f>
        <v>0.25</v>
      </c>
      <c r="P4855">
        <f t="shared" si="226"/>
        <v>4.7323345912782255E-3</v>
      </c>
      <c r="Q4855" t="str">
        <f t="shared" ca="1" si="227"/>
        <v>No</v>
      </c>
    </row>
    <row r="4856" spans="1:17" x14ac:dyDescent="0.45">
      <c r="A4856" t="s">
        <v>197</v>
      </c>
      <c r="B4856" t="s">
        <v>198</v>
      </c>
      <c r="C4856" t="s">
        <v>19</v>
      </c>
      <c r="D4856" t="s">
        <v>188</v>
      </c>
      <c r="E4856" t="s">
        <v>21</v>
      </c>
      <c r="F4856" s="1">
        <v>45474</v>
      </c>
      <c r="G4856">
        <v>1.73</v>
      </c>
      <c r="H4856">
        <v>85.859899999999996</v>
      </c>
      <c r="I4856">
        <v>17.54</v>
      </c>
      <c r="J4856">
        <v>90.32</v>
      </c>
      <c r="K4856" t="s">
        <v>48</v>
      </c>
      <c r="L4856">
        <v>472.49</v>
      </c>
      <c r="M4856">
        <f>VLOOKUP(K4856,RatingLookup!$A$2:$C$8,2,FALSE)</f>
        <v>5.0000000000000001E-4</v>
      </c>
      <c r="N4856">
        <f t="shared" si="225"/>
        <v>4.167621832917856E-5</v>
      </c>
      <c r="O4856">
        <f>VLOOKUP(K4856,RatingLookup!$A$2:$C$8,3,FALSE)</f>
        <v>0.25</v>
      </c>
      <c r="P4856">
        <f t="shared" si="226"/>
        <v>4.9228990995883945E-3</v>
      </c>
      <c r="Q4856" t="str">
        <f t="shared" ca="1" si="227"/>
        <v>No</v>
      </c>
    </row>
    <row r="4857" spans="1:17" x14ac:dyDescent="0.45">
      <c r="A4857" t="s">
        <v>197</v>
      </c>
      <c r="B4857" t="s">
        <v>198</v>
      </c>
      <c r="C4857" t="s">
        <v>19</v>
      </c>
      <c r="D4857" t="s">
        <v>188</v>
      </c>
      <c r="E4857" t="s">
        <v>21</v>
      </c>
      <c r="F4857" s="1">
        <v>45505</v>
      </c>
      <c r="G4857">
        <v>1.23</v>
      </c>
      <c r="H4857">
        <v>84.708600000000004</v>
      </c>
      <c r="I4857">
        <v>26.62</v>
      </c>
      <c r="J4857">
        <v>81.56</v>
      </c>
      <c r="K4857" t="s">
        <v>48</v>
      </c>
      <c r="L4857">
        <v>445.17</v>
      </c>
      <c r="M4857">
        <f>VLOOKUP(K4857,RatingLookup!$A$2:$C$8,2,FALSE)</f>
        <v>5.0000000000000001E-4</v>
      </c>
      <c r="N4857">
        <f t="shared" si="225"/>
        <v>4.167621832917856E-5</v>
      </c>
      <c r="O4857">
        <f>VLOOKUP(K4857,RatingLookup!$A$2:$C$8,3,FALSE)</f>
        <v>0.25</v>
      </c>
      <c r="P4857">
        <f t="shared" si="226"/>
        <v>4.6382505284001049E-3</v>
      </c>
      <c r="Q4857" t="str">
        <f t="shared" ca="1" si="227"/>
        <v>No</v>
      </c>
    </row>
    <row r="4858" spans="1:17" x14ac:dyDescent="0.45">
      <c r="A4858" t="s">
        <v>197</v>
      </c>
      <c r="B4858" t="s">
        <v>198</v>
      </c>
      <c r="C4858" t="s">
        <v>19</v>
      </c>
      <c r="D4858" t="s">
        <v>188</v>
      </c>
      <c r="E4858" t="s">
        <v>21</v>
      </c>
      <c r="F4858" s="1">
        <v>45536</v>
      </c>
      <c r="G4858">
        <v>2.87</v>
      </c>
      <c r="H4858">
        <v>80.934899999999999</v>
      </c>
      <c r="I4858">
        <v>5.47</v>
      </c>
      <c r="J4858">
        <v>76.75</v>
      </c>
      <c r="K4858" t="s">
        <v>48</v>
      </c>
      <c r="L4858">
        <v>472.46</v>
      </c>
      <c r="M4858">
        <f>VLOOKUP(K4858,RatingLookup!$A$2:$C$8,2,FALSE)</f>
        <v>5.0000000000000001E-4</v>
      </c>
      <c r="N4858">
        <f t="shared" si="225"/>
        <v>4.167621832917856E-5</v>
      </c>
      <c r="O4858">
        <f>VLOOKUP(K4858,RatingLookup!$A$2:$C$8,3,FALSE)</f>
        <v>0.25</v>
      </c>
      <c r="P4858">
        <f t="shared" si="226"/>
        <v>4.9225865279509257E-3</v>
      </c>
      <c r="Q4858" t="str">
        <f t="shared" ca="1" si="227"/>
        <v>No</v>
      </c>
    </row>
    <row r="4859" spans="1:17" x14ac:dyDescent="0.45">
      <c r="A4859" t="s">
        <v>197</v>
      </c>
      <c r="B4859" t="s">
        <v>198</v>
      </c>
      <c r="C4859" t="s">
        <v>19</v>
      </c>
      <c r="D4859" t="s">
        <v>188</v>
      </c>
      <c r="E4859" t="s">
        <v>21</v>
      </c>
      <c r="F4859" s="1">
        <v>45566</v>
      </c>
      <c r="G4859">
        <v>1.52</v>
      </c>
      <c r="H4859">
        <v>83.2941</v>
      </c>
      <c r="I4859">
        <v>13.2</v>
      </c>
      <c r="J4859">
        <v>89.75</v>
      </c>
      <c r="K4859" t="s">
        <v>48</v>
      </c>
      <c r="L4859">
        <v>441.84</v>
      </c>
      <c r="M4859">
        <f>VLOOKUP(K4859,RatingLookup!$A$2:$C$8,2,FALSE)</f>
        <v>5.0000000000000001E-4</v>
      </c>
      <c r="N4859">
        <f t="shared" si="225"/>
        <v>4.167621832917856E-5</v>
      </c>
      <c r="O4859">
        <f>VLOOKUP(K4859,RatingLookup!$A$2:$C$8,3,FALSE)</f>
        <v>0.25</v>
      </c>
      <c r="P4859">
        <f t="shared" si="226"/>
        <v>4.6035550766410638E-3</v>
      </c>
      <c r="Q4859" t="str">
        <f t="shared" ca="1" si="227"/>
        <v>No</v>
      </c>
    </row>
    <row r="4860" spans="1:17" x14ac:dyDescent="0.45">
      <c r="A4860" t="s">
        <v>197</v>
      </c>
      <c r="B4860" t="s">
        <v>198</v>
      </c>
      <c r="C4860" t="s">
        <v>19</v>
      </c>
      <c r="D4860" t="s">
        <v>188</v>
      </c>
      <c r="E4860" t="s">
        <v>21</v>
      </c>
      <c r="F4860" s="1">
        <v>45597</v>
      </c>
      <c r="G4860">
        <v>2.0699999999999998</v>
      </c>
      <c r="H4860">
        <v>81.984499999999997</v>
      </c>
      <c r="I4860">
        <v>12.86</v>
      </c>
      <c r="J4860">
        <v>91.34</v>
      </c>
      <c r="K4860" t="s">
        <v>48</v>
      </c>
      <c r="L4860">
        <v>423.24</v>
      </c>
      <c r="M4860">
        <f>VLOOKUP(K4860,RatingLookup!$A$2:$C$8,2,FALSE)</f>
        <v>5.0000000000000001E-4</v>
      </c>
      <c r="N4860">
        <f t="shared" si="225"/>
        <v>4.167621832917856E-5</v>
      </c>
      <c r="O4860">
        <f>VLOOKUP(K4860,RatingLookup!$A$2:$C$8,3,FALSE)</f>
        <v>0.25</v>
      </c>
      <c r="P4860">
        <f t="shared" si="226"/>
        <v>4.4097606614103835E-3</v>
      </c>
      <c r="Q4860" t="str">
        <f t="shared" ca="1" si="227"/>
        <v>No</v>
      </c>
    </row>
    <row r="4861" spans="1:17" x14ac:dyDescent="0.45">
      <c r="A4861" t="s">
        <v>197</v>
      </c>
      <c r="B4861" t="s">
        <v>198</v>
      </c>
      <c r="C4861" t="s">
        <v>19</v>
      </c>
      <c r="D4861" t="s">
        <v>188</v>
      </c>
      <c r="E4861" t="s">
        <v>21</v>
      </c>
      <c r="F4861" s="1">
        <v>45627</v>
      </c>
      <c r="G4861">
        <v>1.92</v>
      </c>
      <c r="H4861">
        <v>84.022199999999998</v>
      </c>
      <c r="I4861">
        <v>34.31</v>
      </c>
      <c r="J4861">
        <v>87.41</v>
      </c>
      <c r="K4861" t="s">
        <v>48</v>
      </c>
      <c r="L4861">
        <v>479.2</v>
      </c>
      <c r="M4861">
        <f>VLOOKUP(K4861,RatingLookup!$A$2:$C$8,2,FALSE)</f>
        <v>5.0000000000000001E-4</v>
      </c>
      <c r="N4861">
        <f t="shared" si="225"/>
        <v>4.167621832917856E-5</v>
      </c>
      <c r="O4861">
        <f>VLOOKUP(K4861,RatingLookup!$A$2:$C$8,3,FALSE)</f>
        <v>0.25</v>
      </c>
      <c r="P4861">
        <f t="shared" si="226"/>
        <v>4.9928109558355915E-3</v>
      </c>
      <c r="Q4861" t="str">
        <f t="shared" ca="1" si="227"/>
        <v>No</v>
      </c>
    </row>
    <row r="4862" spans="1:17" x14ac:dyDescent="0.45">
      <c r="A4862" t="s">
        <v>199</v>
      </c>
      <c r="B4862" t="s">
        <v>200</v>
      </c>
      <c r="C4862" t="s">
        <v>85</v>
      </c>
      <c r="D4862" t="s">
        <v>188</v>
      </c>
      <c r="E4862" t="s">
        <v>21</v>
      </c>
      <c r="F4862" s="1">
        <v>43831</v>
      </c>
      <c r="G4862">
        <v>1.66</v>
      </c>
      <c r="H4862">
        <v>85.555199999999999</v>
      </c>
      <c r="I4862">
        <v>13.39</v>
      </c>
      <c r="J4862">
        <v>56.62</v>
      </c>
      <c r="K4862" t="s">
        <v>22</v>
      </c>
      <c r="L4862">
        <v>697.39</v>
      </c>
      <c r="M4862">
        <f>VLOOKUP(K4862,RatingLookup!$A$2:$C$8,2,FALSE)</f>
        <v>5.0000000000000001E-3</v>
      </c>
      <c r="N4862">
        <f t="shared" si="225"/>
        <v>4.1762458919303302E-4</v>
      </c>
      <c r="O4862">
        <f>VLOOKUP(K4862,RatingLookup!$A$2:$C$8,3,FALSE)</f>
        <v>0.45</v>
      </c>
      <c r="P4862">
        <f t="shared" si="226"/>
        <v>0.1310612455157982</v>
      </c>
      <c r="Q4862" t="str">
        <f t="shared" ca="1" si="227"/>
        <v>No</v>
      </c>
    </row>
    <row r="4863" spans="1:17" x14ac:dyDescent="0.45">
      <c r="A4863" t="s">
        <v>199</v>
      </c>
      <c r="B4863" t="s">
        <v>200</v>
      </c>
      <c r="C4863" t="s">
        <v>85</v>
      </c>
      <c r="D4863" t="s">
        <v>188</v>
      </c>
      <c r="E4863" t="s">
        <v>21</v>
      </c>
      <c r="F4863" s="1">
        <v>43862</v>
      </c>
      <c r="G4863">
        <v>0.54</v>
      </c>
      <c r="H4863">
        <v>84.597099999999998</v>
      </c>
      <c r="I4863">
        <v>15</v>
      </c>
      <c r="J4863">
        <v>91.3</v>
      </c>
      <c r="K4863" t="s">
        <v>22</v>
      </c>
      <c r="L4863">
        <v>669.7</v>
      </c>
      <c r="M4863">
        <f>VLOOKUP(K4863,RatingLookup!$A$2:$C$8,2,FALSE)</f>
        <v>5.0000000000000001E-3</v>
      </c>
      <c r="N4863">
        <f t="shared" si="225"/>
        <v>4.1762458919303302E-4</v>
      </c>
      <c r="O4863">
        <f>VLOOKUP(K4863,RatingLookup!$A$2:$C$8,3,FALSE)</f>
        <v>0.45</v>
      </c>
      <c r="P4863">
        <f t="shared" si="226"/>
        <v>0.12585743432215843</v>
      </c>
      <c r="Q4863" t="str">
        <f t="shared" ca="1" si="227"/>
        <v>No</v>
      </c>
    </row>
    <row r="4864" spans="1:17" x14ac:dyDescent="0.45">
      <c r="A4864" t="s">
        <v>199</v>
      </c>
      <c r="B4864" t="s">
        <v>200</v>
      </c>
      <c r="C4864" t="s">
        <v>85</v>
      </c>
      <c r="D4864" t="s">
        <v>188</v>
      </c>
      <c r="E4864" t="s">
        <v>21</v>
      </c>
      <c r="F4864" s="1">
        <v>43891</v>
      </c>
      <c r="G4864">
        <v>1.29</v>
      </c>
      <c r="H4864">
        <v>82.437700000000007</v>
      </c>
      <c r="I4864">
        <v>24.13</v>
      </c>
      <c r="J4864">
        <v>64.209999999999994</v>
      </c>
      <c r="K4864" t="s">
        <v>22</v>
      </c>
      <c r="L4864">
        <v>678.58</v>
      </c>
      <c r="M4864">
        <f>VLOOKUP(K4864,RatingLookup!$A$2:$C$8,2,FALSE)</f>
        <v>5.0000000000000001E-3</v>
      </c>
      <c r="N4864">
        <f t="shared" si="225"/>
        <v>4.1762458919303302E-4</v>
      </c>
      <c r="O4864">
        <f>VLOOKUP(K4864,RatingLookup!$A$2:$C$8,3,FALSE)</f>
        <v>0.45</v>
      </c>
      <c r="P4864">
        <f t="shared" si="226"/>
        <v>0.12752626218057378</v>
      </c>
      <c r="Q4864" t="str">
        <f t="shared" ca="1" si="227"/>
        <v>No</v>
      </c>
    </row>
    <row r="4865" spans="1:17" x14ac:dyDescent="0.45">
      <c r="A4865" t="s">
        <v>199</v>
      </c>
      <c r="B4865" t="s">
        <v>200</v>
      </c>
      <c r="C4865" t="s">
        <v>85</v>
      </c>
      <c r="D4865" t="s">
        <v>188</v>
      </c>
      <c r="E4865" t="s">
        <v>21</v>
      </c>
      <c r="F4865" s="1">
        <v>43922</v>
      </c>
      <c r="G4865">
        <v>1.1499999999999999</v>
      </c>
      <c r="H4865">
        <v>82.989800000000002</v>
      </c>
      <c r="I4865">
        <v>20.22</v>
      </c>
      <c r="J4865">
        <v>75.31</v>
      </c>
      <c r="K4865" t="s">
        <v>22</v>
      </c>
      <c r="L4865">
        <v>706.03</v>
      </c>
      <c r="M4865">
        <f>VLOOKUP(K4865,RatingLookup!$A$2:$C$8,2,FALSE)</f>
        <v>5.0000000000000001E-3</v>
      </c>
      <c r="N4865">
        <f t="shared" si="225"/>
        <v>4.1762458919303302E-4</v>
      </c>
      <c r="O4865">
        <f>VLOOKUP(K4865,RatingLookup!$A$2:$C$8,3,FALSE)</f>
        <v>0.45</v>
      </c>
      <c r="P4865">
        <f t="shared" si="226"/>
        <v>0.1326849699185807</v>
      </c>
      <c r="Q4865" t="str">
        <f t="shared" ca="1" si="227"/>
        <v>No</v>
      </c>
    </row>
    <row r="4866" spans="1:17" x14ac:dyDescent="0.45">
      <c r="A4866" t="s">
        <v>199</v>
      </c>
      <c r="B4866" t="s">
        <v>200</v>
      </c>
      <c r="C4866" t="s">
        <v>85</v>
      </c>
      <c r="D4866" t="s">
        <v>188</v>
      </c>
      <c r="E4866" t="s">
        <v>21</v>
      </c>
      <c r="F4866" s="1">
        <v>43952</v>
      </c>
      <c r="G4866">
        <v>1.57</v>
      </c>
      <c r="H4866">
        <v>80.657499999999999</v>
      </c>
      <c r="I4866">
        <v>11.52</v>
      </c>
      <c r="J4866">
        <v>69.209999999999994</v>
      </c>
      <c r="K4866" t="s">
        <v>22</v>
      </c>
      <c r="L4866">
        <v>707.57</v>
      </c>
      <c r="M4866">
        <f>VLOOKUP(K4866,RatingLookup!$A$2:$C$8,2,FALSE)</f>
        <v>5.0000000000000001E-3</v>
      </c>
      <c r="N4866">
        <f t="shared" ref="N4866:N4929" si="228">1-(1-M4866)^(1/12)</f>
        <v>4.1762458919303302E-4</v>
      </c>
      <c r="O4866">
        <f>VLOOKUP(K4866,RatingLookup!$A$2:$C$8,3,FALSE)</f>
        <v>0.45</v>
      </c>
      <c r="P4866">
        <f t="shared" ref="P4866:P4929" si="229">L4866*N4866*O4866</f>
        <v>0.13297438375889148</v>
      </c>
      <c r="Q4866" t="str">
        <f t="shared" ref="Q4866:Q4929" ca="1" si="230">IF(RAND()&lt;N4866,"Yes","No")</f>
        <v>No</v>
      </c>
    </row>
    <row r="4867" spans="1:17" x14ac:dyDescent="0.45">
      <c r="A4867" t="s">
        <v>199</v>
      </c>
      <c r="B4867" t="s">
        <v>200</v>
      </c>
      <c r="C4867" t="s">
        <v>85</v>
      </c>
      <c r="D4867" t="s">
        <v>188</v>
      </c>
      <c r="E4867" t="s">
        <v>21</v>
      </c>
      <c r="F4867" s="1">
        <v>43983</v>
      </c>
      <c r="G4867">
        <v>0.72</v>
      </c>
      <c r="H4867">
        <v>82.783199999999994</v>
      </c>
      <c r="I4867">
        <v>9.0299999999999994</v>
      </c>
      <c r="J4867">
        <v>65.540000000000006</v>
      </c>
      <c r="K4867" t="s">
        <v>22</v>
      </c>
      <c r="L4867">
        <v>723.29</v>
      </c>
      <c r="M4867">
        <f>VLOOKUP(K4867,RatingLookup!$A$2:$C$8,2,FALSE)</f>
        <v>5.0000000000000001E-3</v>
      </c>
      <c r="N4867">
        <f t="shared" si="228"/>
        <v>4.1762458919303302E-4</v>
      </c>
      <c r="O4867">
        <f>VLOOKUP(K4867,RatingLookup!$A$2:$C$8,3,FALSE)</f>
        <v>0.45</v>
      </c>
      <c r="P4867">
        <f t="shared" si="229"/>
        <v>0.13592866010284299</v>
      </c>
      <c r="Q4867" t="str">
        <f t="shared" ca="1" si="230"/>
        <v>No</v>
      </c>
    </row>
    <row r="4868" spans="1:17" x14ac:dyDescent="0.45">
      <c r="A4868" t="s">
        <v>199</v>
      </c>
      <c r="B4868" t="s">
        <v>200</v>
      </c>
      <c r="C4868" t="s">
        <v>85</v>
      </c>
      <c r="D4868" t="s">
        <v>188</v>
      </c>
      <c r="E4868" t="s">
        <v>21</v>
      </c>
      <c r="F4868" s="1">
        <v>44013</v>
      </c>
      <c r="G4868">
        <v>1.47</v>
      </c>
      <c r="H4868">
        <v>86.014300000000006</v>
      </c>
      <c r="I4868">
        <v>18.940000000000001</v>
      </c>
      <c r="J4868">
        <v>65.37</v>
      </c>
      <c r="K4868" t="s">
        <v>22</v>
      </c>
      <c r="L4868">
        <v>722.78</v>
      </c>
      <c r="M4868">
        <f>VLOOKUP(K4868,RatingLookup!$A$2:$C$8,2,FALSE)</f>
        <v>5.0000000000000001E-3</v>
      </c>
      <c r="N4868">
        <f t="shared" si="228"/>
        <v>4.1762458919303302E-4</v>
      </c>
      <c r="O4868">
        <f>VLOOKUP(K4868,RatingLookup!$A$2:$C$8,3,FALSE)</f>
        <v>0.45</v>
      </c>
      <c r="P4868">
        <f t="shared" si="229"/>
        <v>0.13583281525962318</v>
      </c>
      <c r="Q4868" t="str">
        <f t="shared" ca="1" si="230"/>
        <v>No</v>
      </c>
    </row>
    <row r="4869" spans="1:17" x14ac:dyDescent="0.45">
      <c r="A4869" t="s">
        <v>199</v>
      </c>
      <c r="B4869" t="s">
        <v>200</v>
      </c>
      <c r="C4869" t="s">
        <v>85</v>
      </c>
      <c r="D4869" t="s">
        <v>188</v>
      </c>
      <c r="E4869" t="s">
        <v>21</v>
      </c>
      <c r="F4869" s="1">
        <v>44044</v>
      </c>
      <c r="G4869">
        <v>0.87</v>
      </c>
      <c r="H4869">
        <v>82.880600000000001</v>
      </c>
      <c r="I4869">
        <v>22.67</v>
      </c>
      <c r="J4869">
        <v>87.43</v>
      </c>
      <c r="K4869" t="s">
        <v>22</v>
      </c>
      <c r="L4869">
        <v>701.21</v>
      </c>
      <c r="M4869">
        <f>VLOOKUP(K4869,RatingLookup!$A$2:$C$8,2,FALSE)</f>
        <v>5.0000000000000001E-3</v>
      </c>
      <c r="N4869">
        <f t="shared" si="228"/>
        <v>4.1762458919303302E-4</v>
      </c>
      <c r="O4869">
        <f>VLOOKUP(K4869,RatingLookup!$A$2:$C$8,3,FALSE)</f>
        <v>0.45</v>
      </c>
      <c r="P4869">
        <f t="shared" si="229"/>
        <v>0.131779142184621</v>
      </c>
      <c r="Q4869" t="str">
        <f t="shared" ca="1" si="230"/>
        <v>No</v>
      </c>
    </row>
    <row r="4870" spans="1:17" x14ac:dyDescent="0.45">
      <c r="A4870" t="s">
        <v>199</v>
      </c>
      <c r="B4870" t="s">
        <v>200</v>
      </c>
      <c r="C4870" t="s">
        <v>85</v>
      </c>
      <c r="D4870" t="s">
        <v>188</v>
      </c>
      <c r="E4870" t="s">
        <v>21</v>
      </c>
      <c r="F4870" s="1">
        <v>44075</v>
      </c>
      <c r="G4870">
        <v>1.06</v>
      </c>
      <c r="H4870">
        <v>80.7196</v>
      </c>
      <c r="I4870">
        <v>18.510000000000002</v>
      </c>
      <c r="J4870">
        <v>75.739999999999995</v>
      </c>
      <c r="K4870" t="s">
        <v>22</v>
      </c>
      <c r="L4870">
        <v>712.2</v>
      </c>
      <c r="M4870">
        <f>VLOOKUP(K4870,RatingLookup!$A$2:$C$8,2,FALSE)</f>
        <v>5.0000000000000001E-3</v>
      </c>
      <c r="N4870">
        <f t="shared" si="228"/>
        <v>4.1762458919303302E-4</v>
      </c>
      <c r="O4870">
        <f>VLOOKUP(K4870,RatingLookup!$A$2:$C$8,3,FALSE)</f>
        <v>0.45</v>
      </c>
      <c r="P4870">
        <f t="shared" si="229"/>
        <v>0.13384450459047517</v>
      </c>
      <c r="Q4870" t="str">
        <f t="shared" ca="1" si="230"/>
        <v>No</v>
      </c>
    </row>
    <row r="4871" spans="1:17" x14ac:dyDescent="0.45">
      <c r="A4871" t="s">
        <v>199</v>
      </c>
      <c r="B4871" t="s">
        <v>200</v>
      </c>
      <c r="C4871" t="s">
        <v>85</v>
      </c>
      <c r="D4871" t="s">
        <v>188</v>
      </c>
      <c r="E4871" t="s">
        <v>21</v>
      </c>
      <c r="F4871" s="1">
        <v>44105</v>
      </c>
      <c r="G4871">
        <v>1.2</v>
      </c>
      <c r="H4871">
        <v>79.419700000000006</v>
      </c>
      <c r="I4871">
        <v>15.8</v>
      </c>
      <c r="J4871">
        <v>77.59</v>
      </c>
      <c r="K4871" t="s">
        <v>22</v>
      </c>
      <c r="L4871">
        <v>684.65</v>
      </c>
      <c r="M4871">
        <f>VLOOKUP(K4871,RatingLookup!$A$2:$C$8,2,FALSE)</f>
        <v>5.0000000000000001E-3</v>
      </c>
      <c r="N4871">
        <f t="shared" si="228"/>
        <v>4.1762458919303302E-4</v>
      </c>
      <c r="O4871">
        <f>VLOOKUP(K4871,RatingLookup!$A$2:$C$8,3,FALSE)</f>
        <v>0.45</v>
      </c>
      <c r="P4871">
        <f t="shared" si="229"/>
        <v>0.12866700374595452</v>
      </c>
      <c r="Q4871" t="str">
        <f t="shared" ca="1" si="230"/>
        <v>No</v>
      </c>
    </row>
    <row r="4872" spans="1:17" x14ac:dyDescent="0.45">
      <c r="A4872" t="s">
        <v>199</v>
      </c>
      <c r="B4872" t="s">
        <v>200</v>
      </c>
      <c r="C4872" t="s">
        <v>85</v>
      </c>
      <c r="D4872" t="s">
        <v>188</v>
      </c>
      <c r="E4872" t="s">
        <v>21</v>
      </c>
      <c r="F4872" s="1">
        <v>44136</v>
      </c>
      <c r="G4872">
        <v>1.35</v>
      </c>
      <c r="H4872">
        <v>81.146900000000002</v>
      </c>
      <c r="I4872">
        <v>20.9</v>
      </c>
      <c r="J4872">
        <v>82.33</v>
      </c>
      <c r="K4872" t="s">
        <v>22</v>
      </c>
      <c r="L4872">
        <v>721.31</v>
      </c>
      <c r="M4872">
        <f>VLOOKUP(K4872,RatingLookup!$A$2:$C$8,2,FALSE)</f>
        <v>5.0000000000000001E-3</v>
      </c>
      <c r="N4872">
        <f t="shared" si="228"/>
        <v>4.1762458919303302E-4</v>
      </c>
      <c r="O4872">
        <f>VLOOKUP(K4872,RatingLookup!$A$2:$C$8,3,FALSE)</f>
        <v>0.45</v>
      </c>
      <c r="P4872">
        <f t="shared" si="229"/>
        <v>0.13555655659387197</v>
      </c>
      <c r="Q4872" t="str">
        <f t="shared" ca="1" si="230"/>
        <v>No</v>
      </c>
    </row>
    <row r="4873" spans="1:17" x14ac:dyDescent="0.45">
      <c r="A4873" t="s">
        <v>199</v>
      </c>
      <c r="B4873" t="s">
        <v>200</v>
      </c>
      <c r="C4873" t="s">
        <v>85</v>
      </c>
      <c r="D4873" t="s">
        <v>188</v>
      </c>
      <c r="E4873" t="s">
        <v>21</v>
      </c>
      <c r="F4873" s="1">
        <v>44166</v>
      </c>
      <c r="G4873">
        <v>0.39</v>
      </c>
      <c r="H4873">
        <v>83.700599999999994</v>
      </c>
      <c r="I4873">
        <v>17.16</v>
      </c>
      <c r="J4873">
        <v>76.34</v>
      </c>
      <c r="K4873" t="s">
        <v>22</v>
      </c>
      <c r="L4873">
        <v>686.54</v>
      </c>
      <c r="M4873">
        <f>VLOOKUP(K4873,RatingLookup!$A$2:$C$8,2,FALSE)</f>
        <v>5.0000000000000001E-3</v>
      </c>
      <c r="N4873">
        <f t="shared" si="228"/>
        <v>4.1762458919303302E-4</v>
      </c>
      <c r="O4873">
        <f>VLOOKUP(K4873,RatingLookup!$A$2:$C$8,3,FALSE)</f>
        <v>0.45</v>
      </c>
      <c r="P4873">
        <f t="shared" si="229"/>
        <v>0.12902219345906321</v>
      </c>
      <c r="Q4873" t="str">
        <f t="shared" ca="1" si="230"/>
        <v>No</v>
      </c>
    </row>
    <row r="4874" spans="1:17" x14ac:dyDescent="0.45">
      <c r="A4874" t="s">
        <v>199</v>
      </c>
      <c r="B4874" t="s">
        <v>200</v>
      </c>
      <c r="C4874" t="s">
        <v>85</v>
      </c>
      <c r="D4874" t="s">
        <v>188</v>
      </c>
      <c r="E4874" t="s">
        <v>21</v>
      </c>
      <c r="F4874" s="1">
        <v>44197</v>
      </c>
      <c r="G4874">
        <v>1.77</v>
      </c>
      <c r="H4874">
        <v>79.752099999999999</v>
      </c>
      <c r="I4874">
        <v>15.36</v>
      </c>
      <c r="J4874">
        <v>75.81</v>
      </c>
      <c r="K4874" t="s">
        <v>22</v>
      </c>
      <c r="L4874">
        <v>640.52</v>
      </c>
      <c r="M4874">
        <f>VLOOKUP(K4874,RatingLookup!$A$2:$C$8,2,FALSE)</f>
        <v>5.0000000000000001E-3</v>
      </c>
      <c r="N4874">
        <f t="shared" si="228"/>
        <v>4.1762458919303302E-4</v>
      </c>
      <c r="O4874">
        <f>VLOOKUP(K4874,RatingLookup!$A$2:$C$8,3,FALSE)</f>
        <v>0.45</v>
      </c>
      <c r="P4874">
        <f t="shared" si="229"/>
        <v>0.1203736058414647</v>
      </c>
      <c r="Q4874" t="str">
        <f t="shared" ca="1" si="230"/>
        <v>No</v>
      </c>
    </row>
    <row r="4875" spans="1:17" x14ac:dyDescent="0.45">
      <c r="A4875" t="s">
        <v>199</v>
      </c>
      <c r="B4875" t="s">
        <v>200</v>
      </c>
      <c r="C4875" t="s">
        <v>85</v>
      </c>
      <c r="D4875" t="s">
        <v>188</v>
      </c>
      <c r="E4875" t="s">
        <v>21</v>
      </c>
      <c r="F4875" s="1">
        <v>44228</v>
      </c>
      <c r="G4875">
        <v>0.66</v>
      </c>
      <c r="H4875">
        <v>84.818899999999999</v>
      </c>
      <c r="I4875">
        <v>8.68</v>
      </c>
      <c r="J4875">
        <v>74.52</v>
      </c>
      <c r="K4875" t="s">
        <v>22</v>
      </c>
      <c r="L4875">
        <v>718.21</v>
      </c>
      <c r="M4875">
        <f>VLOOKUP(K4875,RatingLookup!$A$2:$C$8,2,FALSE)</f>
        <v>5.0000000000000001E-3</v>
      </c>
      <c r="N4875">
        <f t="shared" si="228"/>
        <v>4.1762458919303302E-4</v>
      </c>
      <c r="O4875">
        <f>VLOOKUP(K4875,RatingLookup!$A$2:$C$8,3,FALSE)</f>
        <v>0.45</v>
      </c>
      <c r="P4875">
        <f t="shared" si="229"/>
        <v>0.13497397029194771</v>
      </c>
      <c r="Q4875" t="str">
        <f t="shared" ca="1" si="230"/>
        <v>No</v>
      </c>
    </row>
    <row r="4876" spans="1:17" x14ac:dyDescent="0.45">
      <c r="A4876" t="s">
        <v>199</v>
      </c>
      <c r="B4876" t="s">
        <v>200</v>
      </c>
      <c r="C4876" t="s">
        <v>85</v>
      </c>
      <c r="D4876" t="s">
        <v>188</v>
      </c>
      <c r="E4876" t="s">
        <v>21</v>
      </c>
      <c r="F4876" s="1">
        <v>44256</v>
      </c>
      <c r="G4876">
        <v>1.59</v>
      </c>
      <c r="H4876">
        <v>79.959800000000001</v>
      </c>
      <c r="I4876">
        <v>22.77</v>
      </c>
      <c r="J4876">
        <v>92.31</v>
      </c>
      <c r="K4876" t="s">
        <v>22</v>
      </c>
      <c r="L4876">
        <v>664.76</v>
      </c>
      <c r="M4876">
        <f>VLOOKUP(K4876,RatingLookup!$A$2:$C$8,2,FALSE)</f>
        <v>5.0000000000000001E-3</v>
      </c>
      <c r="N4876">
        <f t="shared" si="228"/>
        <v>4.1762458919303302E-4</v>
      </c>
      <c r="O4876">
        <f>VLOOKUP(K4876,RatingLookup!$A$2:$C$8,3,FALSE)</f>
        <v>0.45</v>
      </c>
      <c r="P4876">
        <f t="shared" si="229"/>
        <v>0.12492905486038228</v>
      </c>
      <c r="Q4876" t="str">
        <f t="shared" ca="1" si="230"/>
        <v>No</v>
      </c>
    </row>
    <row r="4877" spans="1:17" x14ac:dyDescent="0.45">
      <c r="A4877" t="s">
        <v>199</v>
      </c>
      <c r="B4877" t="s">
        <v>200</v>
      </c>
      <c r="C4877" t="s">
        <v>85</v>
      </c>
      <c r="D4877" t="s">
        <v>188</v>
      </c>
      <c r="E4877" t="s">
        <v>21</v>
      </c>
      <c r="F4877" s="1">
        <v>44287</v>
      </c>
      <c r="G4877">
        <v>1.82</v>
      </c>
      <c r="H4877">
        <v>80.703699999999998</v>
      </c>
      <c r="I4877">
        <v>27.85</v>
      </c>
      <c r="J4877">
        <v>84.23</v>
      </c>
      <c r="K4877" t="s">
        <v>22</v>
      </c>
      <c r="L4877">
        <v>725.77</v>
      </c>
      <c r="M4877">
        <f>VLOOKUP(K4877,RatingLookup!$A$2:$C$8,2,FALSE)</f>
        <v>5.0000000000000001E-3</v>
      </c>
      <c r="N4877">
        <f t="shared" si="228"/>
        <v>4.1762458919303302E-4</v>
      </c>
      <c r="O4877">
        <f>VLOOKUP(K4877,RatingLookup!$A$2:$C$8,3,FALSE)</f>
        <v>0.45</v>
      </c>
      <c r="P4877">
        <f t="shared" si="229"/>
        <v>0.13639472914438242</v>
      </c>
      <c r="Q4877" t="str">
        <f t="shared" ca="1" si="230"/>
        <v>No</v>
      </c>
    </row>
    <row r="4878" spans="1:17" x14ac:dyDescent="0.45">
      <c r="A4878" t="s">
        <v>199</v>
      </c>
      <c r="B4878" t="s">
        <v>200</v>
      </c>
      <c r="C4878" t="s">
        <v>85</v>
      </c>
      <c r="D4878" t="s">
        <v>188</v>
      </c>
      <c r="E4878" t="s">
        <v>21</v>
      </c>
      <c r="F4878" s="1">
        <v>44317</v>
      </c>
      <c r="G4878">
        <v>0.6</v>
      </c>
      <c r="H4878">
        <v>84.005700000000004</v>
      </c>
      <c r="I4878">
        <v>25.02</v>
      </c>
      <c r="J4878">
        <v>62.94</v>
      </c>
      <c r="K4878" t="s">
        <v>22</v>
      </c>
      <c r="L4878">
        <v>712.32</v>
      </c>
      <c r="M4878">
        <f>VLOOKUP(K4878,RatingLookup!$A$2:$C$8,2,FALSE)</f>
        <v>5.0000000000000001E-3</v>
      </c>
      <c r="N4878">
        <f t="shared" si="228"/>
        <v>4.1762458919303302E-4</v>
      </c>
      <c r="O4878">
        <f>VLOOKUP(K4878,RatingLookup!$A$2:$C$8,3,FALSE)</f>
        <v>0.45</v>
      </c>
      <c r="P4878">
        <f t="shared" si="229"/>
        <v>0.1338670563182916</v>
      </c>
      <c r="Q4878" t="str">
        <f t="shared" ca="1" si="230"/>
        <v>No</v>
      </c>
    </row>
    <row r="4879" spans="1:17" x14ac:dyDescent="0.45">
      <c r="A4879" t="s">
        <v>199</v>
      </c>
      <c r="B4879" t="s">
        <v>200</v>
      </c>
      <c r="C4879" t="s">
        <v>85</v>
      </c>
      <c r="D4879" t="s">
        <v>188</v>
      </c>
      <c r="E4879" t="s">
        <v>21</v>
      </c>
      <c r="F4879" s="1">
        <v>44348</v>
      </c>
      <c r="G4879">
        <v>2.1</v>
      </c>
      <c r="H4879">
        <v>82.450999999999993</v>
      </c>
      <c r="I4879">
        <v>24.85</v>
      </c>
      <c r="J4879">
        <v>78.31</v>
      </c>
      <c r="K4879" t="s">
        <v>22</v>
      </c>
      <c r="L4879">
        <v>732.55</v>
      </c>
      <c r="M4879">
        <f>VLOOKUP(K4879,RatingLookup!$A$2:$C$8,2,FALSE)</f>
        <v>5.0000000000000001E-3</v>
      </c>
      <c r="N4879">
        <f t="shared" si="228"/>
        <v>4.1762458919303302E-4</v>
      </c>
      <c r="O4879">
        <f>VLOOKUP(K4879,RatingLookup!$A$2:$C$8,3,FALSE)</f>
        <v>0.45</v>
      </c>
      <c r="P4879">
        <f t="shared" si="229"/>
        <v>0.13766890176601035</v>
      </c>
      <c r="Q4879" t="str">
        <f t="shared" ca="1" si="230"/>
        <v>No</v>
      </c>
    </row>
    <row r="4880" spans="1:17" x14ac:dyDescent="0.45">
      <c r="A4880" t="s">
        <v>199</v>
      </c>
      <c r="B4880" t="s">
        <v>200</v>
      </c>
      <c r="C4880" t="s">
        <v>85</v>
      </c>
      <c r="D4880" t="s">
        <v>188</v>
      </c>
      <c r="E4880" t="s">
        <v>21</v>
      </c>
      <c r="F4880" s="1">
        <v>44378</v>
      </c>
      <c r="G4880">
        <v>0.95</v>
      </c>
      <c r="H4880">
        <v>78.73</v>
      </c>
      <c r="I4880">
        <v>16.07</v>
      </c>
      <c r="J4880">
        <v>84.92</v>
      </c>
      <c r="K4880" t="s">
        <v>22</v>
      </c>
      <c r="L4880">
        <v>725.83</v>
      </c>
      <c r="M4880">
        <f>VLOOKUP(K4880,RatingLookup!$A$2:$C$8,2,FALSE)</f>
        <v>5.0000000000000001E-3</v>
      </c>
      <c r="N4880">
        <f t="shared" si="228"/>
        <v>4.1762458919303302E-4</v>
      </c>
      <c r="O4880">
        <f>VLOOKUP(K4880,RatingLookup!$A$2:$C$8,3,FALSE)</f>
        <v>0.45</v>
      </c>
      <c r="P4880">
        <f t="shared" si="229"/>
        <v>0.13640600500829062</v>
      </c>
      <c r="Q4880" t="str">
        <f t="shared" ca="1" si="230"/>
        <v>No</v>
      </c>
    </row>
    <row r="4881" spans="1:17" x14ac:dyDescent="0.45">
      <c r="A4881" t="s">
        <v>199</v>
      </c>
      <c r="B4881" t="s">
        <v>200</v>
      </c>
      <c r="C4881" t="s">
        <v>85</v>
      </c>
      <c r="D4881" t="s">
        <v>188</v>
      </c>
      <c r="E4881" t="s">
        <v>21</v>
      </c>
      <c r="F4881" s="1">
        <v>44409</v>
      </c>
      <c r="G4881">
        <v>1.48</v>
      </c>
      <c r="H4881">
        <v>83.211200000000005</v>
      </c>
      <c r="I4881">
        <v>20</v>
      </c>
      <c r="J4881">
        <v>74.260000000000005</v>
      </c>
      <c r="K4881" t="s">
        <v>30</v>
      </c>
      <c r="L4881">
        <v>747.98</v>
      </c>
      <c r="M4881">
        <f>VLOOKUP(K4881,RatingLookup!$A$2:$C$8,2,FALSE)</f>
        <v>1.4999999999999999E-2</v>
      </c>
      <c r="N4881">
        <f t="shared" si="228"/>
        <v>1.2586770182638762E-3</v>
      </c>
      <c r="O4881">
        <f>VLOOKUP(K4881,RatingLookup!$A$2:$C$8,3,FALSE)</f>
        <v>0.5</v>
      </c>
      <c r="P4881">
        <f t="shared" si="229"/>
        <v>0.47073261806050709</v>
      </c>
      <c r="Q4881" t="str">
        <f t="shared" ca="1" si="230"/>
        <v>No</v>
      </c>
    </row>
    <row r="4882" spans="1:17" x14ac:dyDescent="0.45">
      <c r="A4882" t="s">
        <v>199</v>
      </c>
      <c r="B4882" t="s">
        <v>200</v>
      </c>
      <c r="C4882" t="s">
        <v>85</v>
      </c>
      <c r="D4882" t="s">
        <v>188</v>
      </c>
      <c r="E4882" t="s">
        <v>21</v>
      </c>
      <c r="F4882" s="1">
        <v>44440</v>
      </c>
      <c r="G4882">
        <v>0.69</v>
      </c>
      <c r="H4882">
        <v>80.758399999999995</v>
      </c>
      <c r="I4882">
        <v>11.53</v>
      </c>
      <c r="J4882">
        <v>54.11</v>
      </c>
      <c r="K4882" t="s">
        <v>30</v>
      </c>
      <c r="L4882">
        <v>690.34</v>
      </c>
      <c r="M4882">
        <f>VLOOKUP(K4882,RatingLookup!$A$2:$C$8,2,FALSE)</f>
        <v>1.4999999999999999E-2</v>
      </c>
      <c r="N4882">
        <f t="shared" si="228"/>
        <v>1.2586770182638762E-3</v>
      </c>
      <c r="O4882">
        <f>VLOOKUP(K4882,RatingLookup!$A$2:$C$8,3,FALSE)</f>
        <v>0.5</v>
      </c>
      <c r="P4882">
        <f t="shared" si="229"/>
        <v>0.43445754639414219</v>
      </c>
      <c r="Q4882" t="str">
        <f t="shared" ca="1" si="230"/>
        <v>No</v>
      </c>
    </row>
    <row r="4883" spans="1:17" x14ac:dyDescent="0.45">
      <c r="A4883" t="s">
        <v>199</v>
      </c>
      <c r="B4883" t="s">
        <v>200</v>
      </c>
      <c r="C4883" t="s">
        <v>85</v>
      </c>
      <c r="D4883" t="s">
        <v>188</v>
      </c>
      <c r="E4883" t="s">
        <v>21</v>
      </c>
      <c r="F4883" s="1">
        <v>44470</v>
      </c>
      <c r="G4883">
        <v>1.99</v>
      </c>
      <c r="H4883">
        <v>83.144300000000001</v>
      </c>
      <c r="I4883">
        <v>22.19</v>
      </c>
      <c r="J4883">
        <v>82.38</v>
      </c>
      <c r="K4883" t="s">
        <v>30</v>
      </c>
      <c r="L4883">
        <v>705.27</v>
      </c>
      <c r="M4883">
        <f>VLOOKUP(K4883,RatingLookup!$A$2:$C$8,2,FALSE)</f>
        <v>1.4999999999999999E-2</v>
      </c>
      <c r="N4883">
        <f t="shared" si="228"/>
        <v>1.2586770182638762E-3</v>
      </c>
      <c r="O4883">
        <f>VLOOKUP(K4883,RatingLookup!$A$2:$C$8,3,FALSE)</f>
        <v>0.5</v>
      </c>
      <c r="P4883">
        <f t="shared" si="229"/>
        <v>0.44385357033548201</v>
      </c>
      <c r="Q4883" t="str">
        <f t="shared" ca="1" si="230"/>
        <v>No</v>
      </c>
    </row>
    <row r="4884" spans="1:17" x14ac:dyDescent="0.45">
      <c r="A4884" t="s">
        <v>199</v>
      </c>
      <c r="B4884" t="s">
        <v>200</v>
      </c>
      <c r="C4884" t="s">
        <v>85</v>
      </c>
      <c r="D4884" t="s">
        <v>188</v>
      </c>
      <c r="E4884" t="s">
        <v>21</v>
      </c>
      <c r="F4884" s="1">
        <v>44501</v>
      </c>
      <c r="G4884">
        <v>1.65</v>
      </c>
      <c r="H4884">
        <v>89.586600000000004</v>
      </c>
      <c r="I4884">
        <v>10.62</v>
      </c>
      <c r="J4884">
        <v>87.18</v>
      </c>
      <c r="K4884" t="s">
        <v>30</v>
      </c>
      <c r="L4884">
        <v>698.92</v>
      </c>
      <c r="M4884">
        <f>VLOOKUP(K4884,RatingLookup!$A$2:$C$8,2,FALSE)</f>
        <v>1.4999999999999999E-2</v>
      </c>
      <c r="N4884">
        <f t="shared" si="228"/>
        <v>1.2586770182638762E-3</v>
      </c>
      <c r="O4884">
        <f>VLOOKUP(K4884,RatingLookup!$A$2:$C$8,3,FALSE)</f>
        <v>0.5</v>
      </c>
      <c r="P4884">
        <f t="shared" si="229"/>
        <v>0.43985727080249415</v>
      </c>
      <c r="Q4884" t="str">
        <f t="shared" ca="1" si="230"/>
        <v>No</v>
      </c>
    </row>
    <row r="4885" spans="1:17" x14ac:dyDescent="0.45">
      <c r="A4885" t="s">
        <v>199</v>
      </c>
      <c r="B4885" t="s">
        <v>200</v>
      </c>
      <c r="C4885" t="s">
        <v>85</v>
      </c>
      <c r="D4885" t="s">
        <v>188</v>
      </c>
      <c r="E4885" t="s">
        <v>21</v>
      </c>
      <c r="F4885" s="1">
        <v>44531</v>
      </c>
      <c r="G4885">
        <v>2.37</v>
      </c>
      <c r="H4885">
        <v>81.870400000000004</v>
      </c>
      <c r="I4885">
        <v>22.76</v>
      </c>
      <c r="J4885">
        <v>94.2</v>
      </c>
      <c r="K4885" t="s">
        <v>30</v>
      </c>
      <c r="L4885">
        <v>748.43</v>
      </c>
      <c r="M4885">
        <f>VLOOKUP(K4885,RatingLookup!$A$2:$C$8,2,FALSE)</f>
        <v>1.4999999999999999E-2</v>
      </c>
      <c r="N4885">
        <f t="shared" si="228"/>
        <v>1.2586770182638762E-3</v>
      </c>
      <c r="O4885">
        <f>VLOOKUP(K4885,RatingLookup!$A$2:$C$8,3,FALSE)</f>
        <v>0.5</v>
      </c>
      <c r="P4885">
        <f t="shared" si="229"/>
        <v>0.47101582038961642</v>
      </c>
      <c r="Q4885" t="str">
        <f t="shared" ca="1" si="230"/>
        <v>No</v>
      </c>
    </row>
    <row r="4886" spans="1:17" x14ac:dyDescent="0.45">
      <c r="A4886" t="s">
        <v>199</v>
      </c>
      <c r="B4886" t="s">
        <v>200</v>
      </c>
      <c r="C4886" t="s">
        <v>85</v>
      </c>
      <c r="D4886" t="s">
        <v>188</v>
      </c>
      <c r="E4886" t="s">
        <v>21</v>
      </c>
      <c r="F4886" s="1">
        <v>44562</v>
      </c>
      <c r="G4886">
        <v>2.46</v>
      </c>
      <c r="H4886">
        <v>83.642499999999998</v>
      </c>
      <c r="I4886">
        <v>17.7</v>
      </c>
      <c r="J4886">
        <v>63.26</v>
      </c>
      <c r="K4886" t="s">
        <v>30</v>
      </c>
      <c r="L4886">
        <v>765.53</v>
      </c>
      <c r="M4886">
        <f>VLOOKUP(K4886,RatingLookup!$A$2:$C$8,2,FALSE)</f>
        <v>1.4999999999999999E-2</v>
      </c>
      <c r="N4886">
        <f t="shared" si="228"/>
        <v>1.2586770182638762E-3</v>
      </c>
      <c r="O4886">
        <f>VLOOKUP(K4886,RatingLookup!$A$2:$C$8,3,FALSE)</f>
        <v>0.5</v>
      </c>
      <c r="P4886">
        <f t="shared" si="229"/>
        <v>0.48177750889577259</v>
      </c>
      <c r="Q4886" t="str">
        <f t="shared" ca="1" si="230"/>
        <v>No</v>
      </c>
    </row>
    <row r="4887" spans="1:17" x14ac:dyDescent="0.45">
      <c r="A4887" t="s">
        <v>199</v>
      </c>
      <c r="B4887" t="s">
        <v>200</v>
      </c>
      <c r="C4887" t="s">
        <v>85</v>
      </c>
      <c r="D4887" t="s">
        <v>188</v>
      </c>
      <c r="E4887" t="s">
        <v>21</v>
      </c>
      <c r="F4887" s="1">
        <v>44593</v>
      </c>
      <c r="G4887">
        <v>1.42</v>
      </c>
      <c r="H4887">
        <v>84.43</v>
      </c>
      <c r="I4887">
        <v>12.96</v>
      </c>
      <c r="J4887">
        <v>69.959999999999994</v>
      </c>
      <c r="K4887" t="s">
        <v>30</v>
      </c>
      <c r="L4887">
        <v>741.51</v>
      </c>
      <c r="M4887">
        <f>VLOOKUP(K4887,RatingLookup!$A$2:$C$8,2,FALSE)</f>
        <v>1.4999999999999999E-2</v>
      </c>
      <c r="N4887">
        <f t="shared" si="228"/>
        <v>1.2586770182638762E-3</v>
      </c>
      <c r="O4887">
        <f>VLOOKUP(K4887,RatingLookup!$A$2:$C$8,3,FALSE)</f>
        <v>0.5</v>
      </c>
      <c r="P4887">
        <f t="shared" si="229"/>
        <v>0.46666079790642345</v>
      </c>
      <c r="Q4887" t="str">
        <f t="shared" ca="1" si="230"/>
        <v>No</v>
      </c>
    </row>
    <row r="4888" spans="1:17" x14ac:dyDescent="0.45">
      <c r="A4888" t="s">
        <v>199</v>
      </c>
      <c r="B4888" t="s">
        <v>200</v>
      </c>
      <c r="C4888" t="s">
        <v>85</v>
      </c>
      <c r="D4888" t="s">
        <v>188</v>
      </c>
      <c r="E4888" t="s">
        <v>21</v>
      </c>
      <c r="F4888" s="1">
        <v>44621</v>
      </c>
      <c r="G4888">
        <v>1.38</v>
      </c>
      <c r="H4888">
        <v>80.793599999999998</v>
      </c>
      <c r="I4888">
        <v>25.91</v>
      </c>
      <c r="J4888">
        <v>84.17</v>
      </c>
      <c r="K4888" t="s">
        <v>30</v>
      </c>
      <c r="L4888">
        <v>682.82</v>
      </c>
      <c r="M4888">
        <f>VLOOKUP(K4888,RatingLookup!$A$2:$C$8,2,FALSE)</f>
        <v>1.4999999999999999E-2</v>
      </c>
      <c r="N4888">
        <f t="shared" si="228"/>
        <v>1.2586770182638762E-3</v>
      </c>
      <c r="O4888">
        <f>VLOOKUP(K4888,RatingLookup!$A$2:$C$8,3,FALSE)</f>
        <v>0.5</v>
      </c>
      <c r="P4888">
        <f t="shared" si="229"/>
        <v>0.42972492080547003</v>
      </c>
      <c r="Q4888" t="str">
        <f t="shared" ca="1" si="230"/>
        <v>No</v>
      </c>
    </row>
    <row r="4889" spans="1:17" x14ac:dyDescent="0.45">
      <c r="A4889" t="s">
        <v>199</v>
      </c>
      <c r="B4889" t="s">
        <v>200</v>
      </c>
      <c r="C4889" t="s">
        <v>85</v>
      </c>
      <c r="D4889" t="s">
        <v>188</v>
      </c>
      <c r="E4889" t="s">
        <v>21</v>
      </c>
      <c r="F4889" s="1">
        <v>44652</v>
      </c>
      <c r="G4889">
        <v>2.5</v>
      </c>
      <c r="H4889">
        <v>91.166399999999996</v>
      </c>
      <c r="I4889">
        <v>7.74</v>
      </c>
      <c r="J4889">
        <v>81.19</v>
      </c>
      <c r="K4889" t="s">
        <v>30</v>
      </c>
      <c r="L4889">
        <v>669.21</v>
      </c>
      <c r="M4889">
        <f>VLOOKUP(K4889,RatingLookup!$A$2:$C$8,2,FALSE)</f>
        <v>1.4999999999999999E-2</v>
      </c>
      <c r="N4889">
        <f t="shared" si="228"/>
        <v>1.2586770182638762E-3</v>
      </c>
      <c r="O4889">
        <f>VLOOKUP(K4889,RatingLookup!$A$2:$C$8,3,FALSE)</f>
        <v>0.5</v>
      </c>
      <c r="P4889">
        <f t="shared" si="229"/>
        <v>0.42115962369618432</v>
      </c>
      <c r="Q4889" t="str">
        <f t="shared" ca="1" si="230"/>
        <v>No</v>
      </c>
    </row>
    <row r="4890" spans="1:17" x14ac:dyDescent="0.45">
      <c r="A4890" t="s">
        <v>199</v>
      </c>
      <c r="B4890" t="s">
        <v>200</v>
      </c>
      <c r="C4890" t="s">
        <v>85</v>
      </c>
      <c r="D4890" t="s">
        <v>188</v>
      </c>
      <c r="E4890" t="s">
        <v>21</v>
      </c>
      <c r="F4890" s="1">
        <v>44682</v>
      </c>
      <c r="G4890">
        <v>2.38</v>
      </c>
      <c r="H4890">
        <v>81.639899999999997</v>
      </c>
      <c r="I4890">
        <v>24.63</v>
      </c>
      <c r="J4890">
        <v>79.52</v>
      </c>
      <c r="K4890" t="s">
        <v>30</v>
      </c>
      <c r="L4890">
        <v>788.45</v>
      </c>
      <c r="M4890">
        <f>VLOOKUP(K4890,RatingLookup!$A$2:$C$8,2,FALSE)</f>
        <v>1.4999999999999999E-2</v>
      </c>
      <c r="N4890">
        <f t="shared" si="228"/>
        <v>1.2586770182638762E-3</v>
      </c>
      <c r="O4890">
        <f>VLOOKUP(K4890,RatingLookup!$A$2:$C$8,3,FALSE)</f>
        <v>0.5</v>
      </c>
      <c r="P4890">
        <f t="shared" si="229"/>
        <v>0.49620194752507663</v>
      </c>
      <c r="Q4890" t="str">
        <f t="shared" ca="1" si="230"/>
        <v>No</v>
      </c>
    </row>
    <row r="4891" spans="1:17" x14ac:dyDescent="0.45">
      <c r="A4891" t="s">
        <v>199</v>
      </c>
      <c r="B4891" t="s">
        <v>200</v>
      </c>
      <c r="C4891" t="s">
        <v>85</v>
      </c>
      <c r="D4891" t="s">
        <v>188</v>
      </c>
      <c r="E4891" t="s">
        <v>21</v>
      </c>
      <c r="F4891" s="1">
        <v>44713</v>
      </c>
      <c r="G4891">
        <v>0.77</v>
      </c>
      <c r="H4891">
        <v>81.645700000000005</v>
      </c>
      <c r="I4891">
        <v>9.02</v>
      </c>
      <c r="J4891">
        <v>82.19</v>
      </c>
      <c r="K4891" t="s">
        <v>30</v>
      </c>
      <c r="L4891">
        <v>739.07</v>
      </c>
      <c r="M4891">
        <f>VLOOKUP(K4891,RatingLookup!$A$2:$C$8,2,FALSE)</f>
        <v>1.4999999999999999E-2</v>
      </c>
      <c r="N4891">
        <f t="shared" si="228"/>
        <v>1.2586770182638762E-3</v>
      </c>
      <c r="O4891">
        <f>VLOOKUP(K4891,RatingLookup!$A$2:$C$8,3,FALSE)</f>
        <v>0.5</v>
      </c>
      <c r="P4891">
        <f t="shared" si="229"/>
        <v>0.46512521194414153</v>
      </c>
      <c r="Q4891" t="str">
        <f t="shared" ca="1" si="230"/>
        <v>No</v>
      </c>
    </row>
    <row r="4892" spans="1:17" x14ac:dyDescent="0.45">
      <c r="A4892" t="s">
        <v>199</v>
      </c>
      <c r="B4892" t="s">
        <v>200</v>
      </c>
      <c r="C4892" t="s">
        <v>85</v>
      </c>
      <c r="D4892" t="s">
        <v>188</v>
      </c>
      <c r="E4892" t="s">
        <v>21</v>
      </c>
      <c r="F4892" s="1">
        <v>44743</v>
      </c>
      <c r="G4892">
        <v>2.2999999999999998</v>
      </c>
      <c r="H4892">
        <v>85.187100000000001</v>
      </c>
      <c r="I4892">
        <v>15.61</v>
      </c>
      <c r="J4892">
        <v>66.430000000000007</v>
      </c>
      <c r="K4892" t="s">
        <v>30</v>
      </c>
      <c r="L4892">
        <v>666.49</v>
      </c>
      <c r="M4892">
        <f>VLOOKUP(K4892,RatingLookup!$A$2:$C$8,2,FALSE)</f>
        <v>1.4999999999999999E-2</v>
      </c>
      <c r="N4892">
        <f t="shared" si="228"/>
        <v>1.2586770182638762E-3</v>
      </c>
      <c r="O4892">
        <f>VLOOKUP(K4892,RatingLookup!$A$2:$C$8,3,FALSE)</f>
        <v>0.5</v>
      </c>
      <c r="P4892">
        <f t="shared" si="229"/>
        <v>0.41944782295134542</v>
      </c>
      <c r="Q4892" t="str">
        <f t="shared" ca="1" si="230"/>
        <v>No</v>
      </c>
    </row>
    <row r="4893" spans="1:17" x14ac:dyDescent="0.45">
      <c r="A4893" t="s">
        <v>199</v>
      </c>
      <c r="B4893" t="s">
        <v>200</v>
      </c>
      <c r="C4893" t="s">
        <v>85</v>
      </c>
      <c r="D4893" t="s">
        <v>188</v>
      </c>
      <c r="E4893" t="s">
        <v>21</v>
      </c>
      <c r="F4893" s="1">
        <v>44774</v>
      </c>
      <c r="G4893">
        <v>1.38</v>
      </c>
      <c r="H4893">
        <v>78.542599999999993</v>
      </c>
      <c r="I4893">
        <v>19.46</v>
      </c>
      <c r="J4893">
        <v>83.38</v>
      </c>
      <c r="K4893" t="s">
        <v>30</v>
      </c>
      <c r="L4893">
        <v>703.99</v>
      </c>
      <c r="M4893">
        <f>VLOOKUP(K4893,RatingLookup!$A$2:$C$8,2,FALSE)</f>
        <v>1.4999999999999999E-2</v>
      </c>
      <c r="N4893">
        <f t="shared" si="228"/>
        <v>1.2586770182638762E-3</v>
      </c>
      <c r="O4893">
        <f>VLOOKUP(K4893,RatingLookup!$A$2:$C$8,3,FALSE)</f>
        <v>0.5</v>
      </c>
      <c r="P4893">
        <f t="shared" si="229"/>
        <v>0.4430480170437931</v>
      </c>
      <c r="Q4893" t="str">
        <f t="shared" ca="1" si="230"/>
        <v>No</v>
      </c>
    </row>
    <row r="4894" spans="1:17" x14ac:dyDescent="0.45">
      <c r="A4894" t="s">
        <v>199</v>
      </c>
      <c r="B4894" t="s">
        <v>200</v>
      </c>
      <c r="C4894" t="s">
        <v>85</v>
      </c>
      <c r="D4894" t="s">
        <v>188</v>
      </c>
      <c r="E4894" t="s">
        <v>21</v>
      </c>
      <c r="F4894" s="1">
        <v>44805</v>
      </c>
      <c r="G4894">
        <v>1.64</v>
      </c>
      <c r="H4894">
        <v>84.169200000000004</v>
      </c>
      <c r="I4894">
        <v>22.85</v>
      </c>
      <c r="J4894">
        <v>80.47</v>
      </c>
      <c r="K4894" t="s">
        <v>31</v>
      </c>
      <c r="L4894">
        <v>602.99</v>
      </c>
      <c r="M4894">
        <f>VLOOKUP(K4894,RatingLookup!$A$2:$C$8,2,FALSE)</f>
        <v>0.04</v>
      </c>
      <c r="N4894">
        <f t="shared" si="228"/>
        <v>3.3960531989175591E-3</v>
      </c>
      <c r="O4894">
        <f>VLOOKUP(K4894,RatingLookup!$A$2:$C$8,3,FALSE)</f>
        <v>0.6</v>
      </c>
      <c r="P4894">
        <f t="shared" si="229"/>
        <v>1.2286716710491792</v>
      </c>
      <c r="Q4894" t="str">
        <f t="shared" ca="1" si="230"/>
        <v>No</v>
      </c>
    </row>
    <row r="4895" spans="1:17" x14ac:dyDescent="0.45">
      <c r="A4895" t="s">
        <v>199</v>
      </c>
      <c r="B4895" t="s">
        <v>200</v>
      </c>
      <c r="C4895" t="s">
        <v>85</v>
      </c>
      <c r="D4895" t="s">
        <v>188</v>
      </c>
      <c r="E4895" t="s">
        <v>21</v>
      </c>
      <c r="F4895" s="1">
        <v>44835</v>
      </c>
      <c r="G4895">
        <v>1.7</v>
      </c>
      <c r="H4895">
        <v>81.729799999999997</v>
      </c>
      <c r="I4895">
        <v>20.41</v>
      </c>
      <c r="J4895">
        <v>63.6</v>
      </c>
      <c r="K4895" t="s">
        <v>31</v>
      </c>
      <c r="L4895">
        <v>627.22</v>
      </c>
      <c r="M4895">
        <f>VLOOKUP(K4895,RatingLookup!$A$2:$C$8,2,FALSE)</f>
        <v>0.04</v>
      </c>
      <c r="N4895">
        <f t="shared" si="228"/>
        <v>3.3960531989175591E-3</v>
      </c>
      <c r="O4895">
        <f>VLOOKUP(K4895,RatingLookup!$A$2:$C$8,3,FALSE)</f>
        <v>0.6</v>
      </c>
      <c r="P4895">
        <f t="shared" si="229"/>
        <v>1.278043492455043</v>
      </c>
      <c r="Q4895" t="str">
        <f t="shared" ca="1" si="230"/>
        <v>No</v>
      </c>
    </row>
    <row r="4896" spans="1:17" x14ac:dyDescent="0.45">
      <c r="A4896" t="s">
        <v>199</v>
      </c>
      <c r="B4896" t="s">
        <v>200</v>
      </c>
      <c r="C4896" t="s">
        <v>85</v>
      </c>
      <c r="D4896" t="s">
        <v>188</v>
      </c>
      <c r="E4896" t="s">
        <v>21</v>
      </c>
      <c r="F4896" s="1">
        <v>44866</v>
      </c>
      <c r="G4896">
        <v>1.24</v>
      </c>
      <c r="H4896">
        <v>83.943700000000007</v>
      </c>
      <c r="I4896">
        <v>21.56</v>
      </c>
      <c r="J4896">
        <v>82.37</v>
      </c>
      <c r="K4896" t="s">
        <v>31</v>
      </c>
      <c r="L4896">
        <v>701.28</v>
      </c>
      <c r="M4896">
        <f>VLOOKUP(K4896,RatingLookup!$A$2:$C$8,2,FALSE)</f>
        <v>0.04</v>
      </c>
      <c r="N4896">
        <f t="shared" si="228"/>
        <v>3.3960531989175591E-3</v>
      </c>
      <c r="O4896">
        <f>VLOOKUP(K4896,RatingLookup!$A$2:$C$8,3,FALSE)</f>
        <v>0.6</v>
      </c>
      <c r="P4896">
        <f t="shared" si="229"/>
        <v>1.4289505124021433</v>
      </c>
      <c r="Q4896" t="str">
        <f t="shared" ca="1" si="230"/>
        <v>No</v>
      </c>
    </row>
    <row r="4897" spans="1:17" x14ac:dyDescent="0.45">
      <c r="A4897" t="s">
        <v>199</v>
      </c>
      <c r="B4897" t="s">
        <v>200</v>
      </c>
      <c r="C4897" t="s">
        <v>85</v>
      </c>
      <c r="D4897" t="s">
        <v>188</v>
      </c>
      <c r="E4897" t="s">
        <v>21</v>
      </c>
      <c r="F4897" s="1">
        <v>44896</v>
      </c>
      <c r="G4897">
        <v>1.19</v>
      </c>
      <c r="H4897">
        <v>78.7346</v>
      </c>
      <c r="I4897">
        <v>19.059999999999999</v>
      </c>
      <c r="J4897">
        <v>77.010000000000005</v>
      </c>
      <c r="K4897" t="s">
        <v>31</v>
      </c>
      <c r="L4897">
        <v>698.69</v>
      </c>
      <c r="M4897">
        <f>VLOOKUP(K4897,RatingLookup!$A$2:$C$8,2,FALSE)</f>
        <v>0.04</v>
      </c>
      <c r="N4897">
        <f t="shared" si="228"/>
        <v>3.3960531989175591E-3</v>
      </c>
      <c r="O4897">
        <f>VLOOKUP(K4897,RatingLookup!$A$2:$C$8,3,FALSE)</f>
        <v>0.6</v>
      </c>
      <c r="P4897">
        <f t="shared" si="229"/>
        <v>1.4236730457310256</v>
      </c>
      <c r="Q4897" t="str">
        <f t="shared" ca="1" si="230"/>
        <v>No</v>
      </c>
    </row>
    <row r="4898" spans="1:17" x14ac:dyDescent="0.45">
      <c r="A4898" t="s">
        <v>199</v>
      </c>
      <c r="B4898" t="s">
        <v>200</v>
      </c>
      <c r="C4898" t="s">
        <v>85</v>
      </c>
      <c r="D4898" t="s">
        <v>188</v>
      </c>
      <c r="E4898" t="s">
        <v>21</v>
      </c>
      <c r="F4898" s="1">
        <v>44927</v>
      </c>
      <c r="G4898">
        <v>2.4300000000000002</v>
      </c>
      <c r="H4898">
        <v>84.239400000000003</v>
      </c>
      <c r="I4898">
        <v>18.96</v>
      </c>
      <c r="J4898">
        <v>67.41</v>
      </c>
      <c r="K4898" t="s">
        <v>31</v>
      </c>
      <c r="L4898">
        <v>686.49</v>
      </c>
      <c r="M4898">
        <f>VLOOKUP(K4898,RatingLookup!$A$2:$C$8,2,FALSE)</f>
        <v>0.04</v>
      </c>
      <c r="N4898">
        <f t="shared" si="228"/>
        <v>3.3960531989175591E-3</v>
      </c>
      <c r="O4898">
        <f>VLOOKUP(K4898,RatingLookup!$A$2:$C$8,3,FALSE)</f>
        <v>0.6</v>
      </c>
      <c r="P4898">
        <f t="shared" si="229"/>
        <v>1.3988139363149492</v>
      </c>
      <c r="Q4898" t="str">
        <f t="shared" ca="1" si="230"/>
        <v>No</v>
      </c>
    </row>
    <row r="4899" spans="1:17" x14ac:dyDescent="0.45">
      <c r="A4899" t="s">
        <v>199</v>
      </c>
      <c r="B4899" t="s">
        <v>200</v>
      </c>
      <c r="C4899" t="s">
        <v>85</v>
      </c>
      <c r="D4899" t="s">
        <v>188</v>
      </c>
      <c r="E4899" t="s">
        <v>21</v>
      </c>
      <c r="F4899" s="1">
        <v>44958</v>
      </c>
      <c r="G4899">
        <v>0.99</v>
      </c>
      <c r="H4899">
        <v>81.878100000000003</v>
      </c>
      <c r="I4899">
        <v>24.92</v>
      </c>
      <c r="J4899">
        <v>88.44</v>
      </c>
      <c r="K4899" t="s">
        <v>31</v>
      </c>
      <c r="L4899">
        <v>705.22</v>
      </c>
      <c r="M4899">
        <f>VLOOKUP(K4899,RatingLookup!$A$2:$C$8,2,FALSE)</f>
        <v>0.04</v>
      </c>
      <c r="N4899">
        <f t="shared" si="228"/>
        <v>3.3960531989175591E-3</v>
      </c>
      <c r="O4899">
        <f>VLOOKUP(K4899,RatingLookup!$A$2:$C$8,3,FALSE)</f>
        <v>0.6</v>
      </c>
      <c r="P4899">
        <f t="shared" si="229"/>
        <v>1.4369787821643845</v>
      </c>
      <c r="Q4899" t="str">
        <f t="shared" ca="1" si="230"/>
        <v>No</v>
      </c>
    </row>
    <row r="4900" spans="1:17" x14ac:dyDescent="0.45">
      <c r="A4900" t="s">
        <v>199</v>
      </c>
      <c r="B4900" t="s">
        <v>200</v>
      </c>
      <c r="C4900" t="s">
        <v>85</v>
      </c>
      <c r="D4900" t="s">
        <v>188</v>
      </c>
      <c r="E4900" t="s">
        <v>21</v>
      </c>
      <c r="F4900" s="1">
        <v>44986</v>
      </c>
      <c r="G4900">
        <v>1.83</v>
      </c>
      <c r="H4900">
        <v>84.368200000000002</v>
      </c>
      <c r="I4900">
        <v>20.9</v>
      </c>
      <c r="J4900">
        <v>83.89</v>
      </c>
      <c r="K4900" t="s">
        <v>31</v>
      </c>
      <c r="L4900">
        <v>679.36</v>
      </c>
      <c r="M4900">
        <f>VLOOKUP(K4900,RatingLookup!$A$2:$C$8,2,FALSE)</f>
        <v>0.04</v>
      </c>
      <c r="N4900">
        <f t="shared" si="228"/>
        <v>3.3960531989175591E-3</v>
      </c>
      <c r="O4900">
        <f>VLOOKUP(K4900,RatingLookup!$A$2:$C$8,3,FALSE)</f>
        <v>0.6</v>
      </c>
      <c r="P4900">
        <f t="shared" si="229"/>
        <v>1.3842856207299798</v>
      </c>
      <c r="Q4900" t="str">
        <f t="shared" ca="1" si="230"/>
        <v>No</v>
      </c>
    </row>
    <row r="4901" spans="1:17" x14ac:dyDescent="0.45">
      <c r="A4901" t="s">
        <v>199</v>
      </c>
      <c r="B4901" t="s">
        <v>200</v>
      </c>
      <c r="C4901" t="s">
        <v>85</v>
      </c>
      <c r="D4901" t="s">
        <v>188</v>
      </c>
      <c r="E4901" t="s">
        <v>21</v>
      </c>
      <c r="F4901" s="1">
        <v>45017</v>
      </c>
      <c r="G4901">
        <v>1.33</v>
      </c>
      <c r="H4901">
        <v>77.229100000000003</v>
      </c>
      <c r="I4901">
        <v>16.739999999999998</v>
      </c>
      <c r="J4901">
        <v>71.67</v>
      </c>
      <c r="K4901" t="s">
        <v>31</v>
      </c>
      <c r="L4901">
        <v>684.65</v>
      </c>
      <c r="M4901">
        <f>VLOOKUP(K4901,RatingLookup!$A$2:$C$8,2,FALSE)</f>
        <v>0.04</v>
      </c>
      <c r="N4901">
        <f t="shared" si="228"/>
        <v>3.3960531989175591E-3</v>
      </c>
      <c r="O4901">
        <f>VLOOKUP(K4901,RatingLookup!$A$2:$C$8,3,FALSE)</f>
        <v>0.6</v>
      </c>
      <c r="P4901">
        <f t="shared" si="229"/>
        <v>1.395064693583344</v>
      </c>
      <c r="Q4901" t="str">
        <f t="shared" ca="1" si="230"/>
        <v>No</v>
      </c>
    </row>
    <row r="4902" spans="1:17" x14ac:dyDescent="0.45">
      <c r="A4902" t="s">
        <v>199</v>
      </c>
      <c r="B4902" t="s">
        <v>200</v>
      </c>
      <c r="C4902" t="s">
        <v>85</v>
      </c>
      <c r="D4902" t="s">
        <v>188</v>
      </c>
      <c r="E4902" t="s">
        <v>21</v>
      </c>
      <c r="F4902" s="1">
        <v>45047</v>
      </c>
      <c r="G4902">
        <v>0.38</v>
      </c>
      <c r="H4902">
        <v>80.390500000000003</v>
      </c>
      <c r="I4902">
        <v>14.51</v>
      </c>
      <c r="J4902">
        <v>68.5</v>
      </c>
      <c r="K4902" t="s">
        <v>31</v>
      </c>
      <c r="L4902">
        <v>795.86</v>
      </c>
      <c r="M4902">
        <f>VLOOKUP(K4902,RatingLookup!$A$2:$C$8,2,FALSE)</f>
        <v>0.04</v>
      </c>
      <c r="N4902">
        <f t="shared" si="228"/>
        <v>3.3960531989175591E-3</v>
      </c>
      <c r="O4902">
        <f>VLOOKUP(K4902,RatingLookup!$A$2:$C$8,3,FALSE)</f>
        <v>0.6</v>
      </c>
      <c r="P4902">
        <f t="shared" si="229"/>
        <v>1.6216697393343171</v>
      </c>
      <c r="Q4902" t="str">
        <f t="shared" ca="1" si="230"/>
        <v>No</v>
      </c>
    </row>
    <row r="4903" spans="1:17" x14ac:dyDescent="0.45">
      <c r="A4903" t="s">
        <v>199</v>
      </c>
      <c r="B4903" t="s">
        <v>200</v>
      </c>
      <c r="C4903" t="s">
        <v>85</v>
      </c>
      <c r="D4903" t="s">
        <v>188</v>
      </c>
      <c r="E4903" t="s">
        <v>21</v>
      </c>
      <c r="F4903" s="1">
        <v>45078</v>
      </c>
      <c r="G4903">
        <v>0.28000000000000003</v>
      </c>
      <c r="H4903">
        <v>81.716300000000004</v>
      </c>
      <c r="I4903">
        <v>20.81</v>
      </c>
      <c r="J4903">
        <v>85.2</v>
      </c>
      <c r="K4903" t="s">
        <v>31</v>
      </c>
      <c r="L4903">
        <v>685.26</v>
      </c>
      <c r="M4903">
        <f>VLOOKUP(K4903,RatingLookup!$A$2:$C$8,2,FALSE)</f>
        <v>0.04</v>
      </c>
      <c r="N4903">
        <f t="shared" si="228"/>
        <v>3.3960531989175591E-3</v>
      </c>
      <c r="O4903">
        <f>VLOOKUP(K4903,RatingLookup!$A$2:$C$8,3,FALSE)</f>
        <v>0.6</v>
      </c>
      <c r="P4903">
        <f t="shared" si="229"/>
        <v>1.3963076490541477</v>
      </c>
      <c r="Q4903" t="str">
        <f t="shared" ca="1" si="230"/>
        <v>No</v>
      </c>
    </row>
    <row r="4904" spans="1:17" x14ac:dyDescent="0.45">
      <c r="A4904" t="s">
        <v>199</v>
      </c>
      <c r="B4904" t="s">
        <v>200</v>
      </c>
      <c r="C4904" t="s">
        <v>85</v>
      </c>
      <c r="D4904" t="s">
        <v>188</v>
      </c>
      <c r="E4904" t="s">
        <v>21</v>
      </c>
      <c r="F4904" s="1">
        <v>45108</v>
      </c>
      <c r="G4904">
        <v>2.08</v>
      </c>
      <c r="H4904">
        <v>87.998999999999995</v>
      </c>
      <c r="I4904">
        <v>10.57</v>
      </c>
      <c r="J4904">
        <v>77.48</v>
      </c>
      <c r="K4904" t="s">
        <v>31</v>
      </c>
      <c r="L4904">
        <v>679.31</v>
      </c>
      <c r="M4904">
        <f>VLOOKUP(K4904,RatingLookup!$A$2:$C$8,2,FALSE)</f>
        <v>0.04</v>
      </c>
      <c r="N4904">
        <f t="shared" si="228"/>
        <v>3.3960531989175591E-3</v>
      </c>
      <c r="O4904">
        <f>VLOOKUP(K4904,RatingLookup!$A$2:$C$8,3,FALSE)</f>
        <v>0.6</v>
      </c>
      <c r="P4904">
        <f t="shared" si="229"/>
        <v>1.3841837391340122</v>
      </c>
      <c r="Q4904" t="str">
        <f t="shared" ca="1" si="230"/>
        <v>No</v>
      </c>
    </row>
    <row r="4905" spans="1:17" x14ac:dyDescent="0.45">
      <c r="A4905" t="s">
        <v>199</v>
      </c>
      <c r="B4905" t="s">
        <v>200</v>
      </c>
      <c r="C4905" t="s">
        <v>85</v>
      </c>
      <c r="D4905" t="s">
        <v>188</v>
      </c>
      <c r="E4905" t="s">
        <v>21</v>
      </c>
      <c r="F4905" s="1">
        <v>45139</v>
      </c>
      <c r="G4905">
        <v>1.44</v>
      </c>
      <c r="H4905">
        <v>78.676299999999998</v>
      </c>
      <c r="I4905">
        <v>25.47</v>
      </c>
      <c r="J4905">
        <v>89.27</v>
      </c>
      <c r="K4905" t="s">
        <v>31</v>
      </c>
      <c r="L4905">
        <v>692.85</v>
      </c>
      <c r="M4905">
        <f>VLOOKUP(K4905,RatingLookup!$A$2:$C$8,2,FALSE)</f>
        <v>0.04</v>
      </c>
      <c r="N4905">
        <f t="shared" si="228"/>
        <v>3.3960531989175591E-3</v>
      </c>
      <c r="O4905">
        <f>VLOOKUP(K4905,RatingLookup!$A$2:$C$8,3,FALSE)</f>
        <v>0.6</v>
      </c>
      <c r="P4905">
        <f t="shared" si="229"/>
        <v>1.4117732753220185</v>
      </c>
      <c r="Q4905" t="str">
        <f t="shared" ca="1" si="230"/>
        <v>No</v>
      </c>
    </row>
    <row r="4906" spans="1:17" x14ac:dyDescent="0.45">
      <c r="A4906" t="s">
        <v>199</v>
      </c>
      <c r="B4906" t="s">
        <v>200</v>
      </c>
      <c r="C4906" t="s">
        <v>85</v>
      </c>
      <c r="D4906" t="s">
        <v>188</v>
      </c>
      <c r="E4906" t="s">
        <v>21</v>
      </c>
      <c r="F4906" s="1">
        <v>45170</v>
      </c>
      <c r="G4906">
        <v>1.33</v>
      </c>
      <c r="H4906">
        <v>79.403000000000006</v>
      </c>
      <c r="I4906">
        <v>23.09</v>
      </c>
      <c r="J4906">
        <v>79.64</v>
      </c>
      <c r="K4906" t="s">
        <v>31</v>
      </c>
      <c r="L4906">
        <v>703.32</v>
      </c>
      <c r="M4906">
        <f>VLOOKUP(K4906,RatingLookup!$A$2:$C$8,2,FALSE)</f>
        <v>0.04</v>
      </c>
      <c r="N4906">
        <f t="shared" si="228"/>
        <v>3.3960531989175591E-3</v>
      </c>
      <c r="O4906">
        <f>VLOOKUP(K4906,RatingLookup!$A$2:$C$8,3,FALSE)</f>
        <v>0.6</v>
      </c>
      <c r="P4906">
        <f t="shared" si="229"/>
        <v>1.4331072815176187</v>
      </c>
      <c r="Q4906" t="str">
        <f t="shared" ca="1" si="230"/>
        <v>No</v>
      </c>
    </row>
    <row r="4907" spans="1:17" x14ac:dyDescent="0.45">
      <c r="A4907" t="s">
        <v>199</v>
      </c>
      <c r="B4907" t="s">
        <v>200</v>
      </c>
      <c r="C4907" t="s">
        <v>85</v>
      </c>
      <c r="D4907" t="s">
        <v>188</v>
      </c>
      <c r="E4907" t="s">
        <v>21</v>
      </c>
      <c r="F4907" s="1">
        <v>45200</v>
      </c>
      <c r="G4907">
        <v>1.66</v>
      </c>
      <c r="H4907">
        <v>86.184299999999993</v>
      </c>
      <c r="I4907">
        <v>22.26</v>
      </c>
      <c r="J4907">
        <v>75.7</v>
      </c>
      <c r="K4907" t="s">
        <v>31</v>
      </c>
      <c r="L4907">
        <v>698.54</v>
      </c>
      <c r="M4907">
        <f>VLOOKUP(K4907,RatingLookup!$A$2:$C$8,2,FALSE)</f>
        <v>0.04</v>
      </c>
      <c r="N4907">
        <f t="shared" si="228"/>
        <v>3.3960531989175591E-3</v>
      </c>
      <c r="O4907">
        <f>VLOOKUP(K4907,RatingLookup!$A$2:$C$8,3,FALSE)</f>
        <v>0.6</v>
      </c>
      <c r="P4907">
        <f t="shared" si="229"/>
        <v>1.423367400943123</v>
      </c>
      <c r="Q4907" t="str">
        <f t="shared" ca="1" si="230"/>
        <v>No</v>
      </c>
    </row>
    <row r="4908" spans="1:17" x14ac:dyDescent="0.45">
      <c r="A4908" t="s">
        <v>199</v>
      </c>
      <c r="B4908" t="s">
        <v>200</v>
      </c>
      <c r="C4908" t="s">
        <v>85</v>
      </c>
      <c r="D4908" t="s">
        <v>188</v>
      </c>
      <c r="E4908" t="s">
        <v>21</v>
      </c>
      <c r="F4908" s="1">
        <v>45231</v>
      </c>
      <c r="G4908">
        <v>0.69</v>
      </c>
      <c r="H4908">
        <v>83.411900000000003</v>
      </c>
      <c r="I4908">
        <v>18.100000000000001</v>
      </c>
      <c r="J4908">
        <v>79.73</v>
      </c>
      <c r="K4908" t="s">
        <v>31</v>
      </c>
      <c r="L4908">
        <v>701.35</v>
      </c>
      <c r="M4908">
        <f>VLOOKUP(K4908,RatingLookup!$A$2:$C$8,2,FALSE)</f>
        <v>0.04</v>
      </c>
      <c r="N4908">
        <f t="shared" si="228"/>
        <v>3.3960531989175591E-3</v>
      </c>
      <c r="O4908">
        <f>VLOOKUP(K4908,RatingLookup!$A$2:$C$8,3,FALSE)</f>
        <v>0.6</v>
      </c>
      <c r="P4908">
        <f t="shared" si="229"/>
        <v>1.4290931466364982</v>
      </c>
      <c r="Q4908" t="str">
        <f t="shared" ca="1" si="230"/>
        <v>No</v>
      </c>
    </row>
    <row r="4909" spans="1:17" x14ac:dyDescent="0.45">
      <c r="A4909" t="s">
        <v>199</v>
      </c>
      <c r="B4909" t="s">
        <v>200</v>
      </c>
      <c r="C4909" t="s">
        <v>85</v>
      </c>
      <c r="D4909" t="s">
        <v>188</v>
      </c>
      <c r="E4909" t="s">
        <v>21</v>
      </c>
      <c r="F4909" s="1">
        <v>45261</v>
      </c>
      <c r="G4909">
        <v>2.1</v>
      </c>
      <c r="H4909">
        <v>78.648099999999999</v>
      </c>
      <c r="I4909">
        <v>16.649999999999999</v>
      </c>
      <c r="J4909">
        <v>80.040000000000006</v>
      </c>
      <c r="K4909" t="s">
        <v>31</v>
      </c>
      <c r="L4909">
        <v>691.39</v>
      </c>
      <c r="M4909">
        <f>VLOOKUP(K4909,RatingLookup!$A$2:$C$8,2,FALSE)</f>
        <v>0.04</v>
      </c>
      <c r="N4909">
        <f t="shared" si="228"/>
        <v>3.3960531989175591E-3</v>
      </c>
      <c r="O4909">
        <f>VLOOKUP(K4909,RatingLookup!$A$2:$C$8,3,FALSE)</f>
        <v>0.6</v>
      </c>
      <c r="P4909">
        <f t="shared" si="229"/>
        <v>1.4087983327197666</v>
      </c>
      <c r="Q4909" t="str">
        <f t="shared" ca="1" si="230"/>
        <v>No</v>
      </c>
    </row>
    <row r="4910" spans="1:17" x14ac:dyDescent="0.45">
      <c r="A4910" t="s">
        <v>199</v>
      </c>
      <c r="B4910" t="s">
        <v>200</v>
      </c>
      <c r="C4910" t="s">
        <v>85</v>
      </c>
      <c r="D4910" t="s">
        <v>188</v>
      </c>
      <c r="E4910" t="s">
        <v>21</v>
      </c>
      <c r="F4910" s="1">
        <v>45292</v>
      </c>
      <c r="G4910">
        <v>2.58</v>
      </c>
      <c r="H4910">
        <v>83.200599999999994</v>
      </c>
      <c r="I4910">
        <v>21.13</v>
      </c>
      <c r="J4910">
        <v>72.150000000000006</v>
      </c>
      <c r="K4910" t="s">
        <v>31</v>
      </c>
      <c r="L4910">
        <v>680.06</v>
      </c>
      <c r="M4910">
        <f>VLOOKUP(K4910,RatingLookup!$A$2:$C$8,2,FALSE)</f>
        <v>0.04</v>
      </c>
      <c r="N4910">
        <f t="shared" si="228"/>
        <v>3.3960531989175591E-3</v>
      </c>
      <c r="O4910">
        <f>VLOOKUP(K4910,RatingLookup!$A$2:$C$8,3,FALSE)</f>
        <v>0.6</v>
      </c>
      <c r="P4910">
        <f t="shared" si="229"/>
        <v>1.3857119630735251</v>
      </c>
      <c r="Q4910" t="str">
        <f t="shared" ca="1" si="230"/>
        <v>No</v>
      </c>
    </row>
    <row r="4911" spans="1:17" x14ac:dyDescent="0.45">
      <c r="A4911" t="s">
        <v>199</v>
      </c>
      <c r="B4911" t="s">
        <v>200</v>
      </c>
      <c r="C4911" t="s">
        <v>85</v>
      </c>
      <c r="D4911" t="s">
        <v>188</v>
      </c>
      <c r="E4911" t="s">
        <v>21</v>
      </c>
      <c r="F4911" s="1">
        <v>45323</v>
      </c>
      <c r="G4911">
        <v>1.62</v>
      </c>
      <c r="H4911">
        <v>83.392300000000006</v>
      </c>
      <c r="I4911">
        <v>19.53</v>
      </c>
      <c r="J4911">
        <v>83.07</v>
      </c>
      <c r="K4911" t="s">
        <v>31</v>
      </c>
      <c r="L4911">
        <v>664.41</v>
      </c>
      <c r="M4911">
        <f>VLOOKUP(K4911,RatingLookup!$A$2:$C$8,2,FALSE)</f>
        <v>0.04</v>
      </c>
      <c r="N4911">
        <f t="shared" si="228"/>
        <v>3.3960531989175591E-3</v>
      </c>
      <c r="O4911">
        <f>VLOOKUP(K4911,RatingLookup!$A$2:$C$8,3,FALSE)</f>
        <v>0.6</v>
      </c>
      <c r="P4911">
        <f t="shared" si="229"/>
        <v>1.3538230235356892</v>
      </c>
      <c r="Q4911" t="str">
        <f t="shared" ca="1" si="230"/>
        <v>No</v>
      </c>
    </row>
    <row r="4912" spans="1:17" x14ac:dyDescent="0.45">
      <c r="A4912" t="s">
        <v>199</v>
      </c>
      <c r="B4912" t="s">
        <v>200</v>
      </c>
      <c r="C4912" t="s">
        <v>85</v>
      </c>
      <c r="D4912" t="s">
        <v>188</v>
      </c>
      <c r="E4912" t="s">
        <v>21</v>
      </c>
      <c r="F4912" s="1">
        <v>45352</v>
      </c>
      <c r="G4912">
        <v>1.51</v>
      </c>
      <c r="H4912">
        <v>88.442800000000005</v>
      </c>
      <c r="I4912">
        <v>19.329999999999998</v>
      </c>
      <c r="J4912">
        <v>90.71</v>
      </c>
      <c r="K4912" t="s">
        <v>31</v>
      </c>
      <c r="L4912">
        <v>727.55</v>
      </c>
      <c r="M4912">
        <f>VLOOKUP(K4912,RatingLookup!$A$2:$C$8,2,FALSE)</f>
        <v>0.04</v>
      </c>
      <c r="N4912">
        <f t="shared" si="228"/>
        <v>3.3960531989175591E-3</v>
      </c>
      <c r="O4912">
        <f>VLOOKUP(K4912,RatingLookup!$A$2:$C$8,3,FALSE)</f>
        <v>0.6</v>
      </c>
      <c r="P4912">
        <f t="shared" si="229"/>
        <v>1.4824791029234818</v>
      </c>
      <c r="Q4912" t="str">
        <f t="shared" ca="1" si="230"/>
        <v>No</v>
      </c>
    </row>
    <row r="4913" spans="1:17" x14ac:dyDescent="0.45">
      <c r="A4913" t="s">
        <v>199</v>
      </c>
      <c r="B4913" t="s">
        <v>200</v>
      </c>
      <c r="C4913" t="s">
        <v>85</v>
      </c>
      <c r="D4913" t="s">
        <v>188</v>
      </c>
      <c r="E4913" t="s">
        <v>21</v>
      </c>
      <c r="F4913" s="1">
        <v>45383</v>
      </c>
      <c r="G4913">
        <v>0.63</v>
      </c>
      <c r="H4913">
        <v>88.055499999999995</v>
      </c>
      <c r="I4913">
        <v>30.32</v>
      </c>
      <c r="J4913">
        <v>65.56</v>
      </c>
      <c r="K4913" t="s">
        <v>31</v>
      </c>
      <c r="L4913">
        <v>643.94000000000005</v>
      </c>
      <c r="M4913">
        <f>VLOOKUP(K4913,RatingLookup!$A$2:$C$8,2,FALSE)</f>
        <v>0.04</v>
      </c>
      <c r="N4913">
        <f t="shared" si="228"/>
        <v>3.3960531989175591E-3</v>
      </c>
      <c r="O4913">
        <f>VLOOKUP(K4913,RatingLookup!$A$2:$C$8,3,FALSE)</f>
        <v>0.6</v>
      </c>
      <c r="P4913">
        <f t="shared" si="229"/>
        <v>1.3121126981465838</v>
      </c>
      <c r="Q4913" t="str">
        <f t="shared" ca="1" si="230"/>
        <v>No</v>
      </c>
    </row>
    <row r="4914" spans="1:17" x14ac:dyDescent="0.45">
      <c r="A4914" t="s">
        <v>199</v>
      </c>
      <c r="B4914" t="s">
        <v>200</v>
      </c>
      <c r="C4914" t="s">
        <v>85</v>
      </c>
      <c r="D4914" t="s">
        <v>188</v>
      </c>
      <c r="E4914" t="s">
        <v>21</v>
      </c>
      <c r="F4914" s="1">
        <v>45413</v>
      </c>
      <c r="G4914">
        <v>1.89</v>
      </c>
      <c r="H4914">
        <v>82.492599999999996</v>
      </c>
      <c r="I4914">
        <v>12.61</v>
      </c>
      <c r="J4914">
        <v>93.24</v>
      </c>
      <c r="K4914" t="s">
        <v>31</v>
      </c>
      <c r="L4914">
        <v>652.64</v>
      </c>
      <c r="M4914">
        <f>VLOOKUP(K4914,RatingLookup!$A$2:$C$8,2,FALSE)</f>
        <v>0.04</v>
      </c>
      <c r="N4914">
        <f t="shared" si="228"/>
        <v>3.3960531989175591E-3</v>
      </c>
      <c r="O4914">
        <f>VLOOKUP(K4914,RatingLookup!$A$2:$C$8,3,FALSE)</f>
        <v>0.6</v>
      </c>
      <c r="P4914">
        <f t="shared" si="229"/>
        <v>1.3298400958449335</v>
      </c>
      <c r="Q4914" t="str">
        <f t="shared" ca="1" si="230"/>
        <v>No</v>
      </c>
    </row>
    <row r="4915" spans="1:17" x14ac:dyDescent="0.45">
      <c r="A4915" t="s">
        <v>199</v>
      </c>
      <c r="B4915" t="s">
        <v>200</v>
      </c>
      <c r="C4915" t="s">
        <v>85</v>
      </c>
      <c r="D4915" t="s">
        <v>188</v>
      </c>
      <c r="E4915" t="s">
        <v>21</v>
      </c>
      <c r="F4915" s="1">
        <v>45444</v>
      </c>
      <c r="G4915">
        <v>1.42</v>
      </c>
      <c r="H4915">
        <v>83.207899999999995</v>
      </c>
      <c r="I4915">
        <v>13.35</v>
      </c>
      <c r="J4915">
        <v>95.38</v>
      </c>
      <c r="K4915" t="s">
        <v>31</v>
      </c>
      <c r="L4915">
        <v>700.17</v>
      </c>
      <c r="M4915">
        <f>VLOOKUP(K4915,RatingLookup!$A$2:$C$8,2,FALSE)</f>
        <v>0.04</v>
      </c>
      <c r="N4915">
        <f t="shared" si="228"/>
        <v>3.3960531989175591E-3</v>
      </c>
      <c r="O4915">
        <f>VLOOKUP(K4915,RatingLookup!$A$2:$C$8,3,FALSE)</f>
        <v>0.6</v>
      </c>
      <c r="P4915">
        <f t="shared" si="229"/>
        <v>1.4266887409716644</v>
      </c>
      <c r="Q4915" t="str">
        <f t="shared" ca="1" si="230"/>
        <v>No</v>
      </c>
    </row>
    <row r="4916" spans="1:17" x14ac:dyDescent="0.45">
      <c r="A4916" t="s">
        <v>199</v>
      </c>
      <c r="B4916" t="s">
        <v>200</v>
      </c>
      <c r="C4916" t="s">
        <v>85</v>
      </c>
      <c r="D4916" t="s">
        <v>188</v>
      </c>
      <c r="E4916" t="s">
        <v>21</v>
      </c>
      <c r="F4916" s="1">
        <v>45474</v>
      </c>
      <c r="G4916">
        <v>1.98</v>
      </c>
      <c r="H4916">
        <v>82.347700000000003</v>
      </c>
      <c r="I4916">
        <v>17.489999999999998</v>
      </c>
      <c r="J4916">
        <v>84.84</v>
      </c>
      <c r="K4916" t="s">
        <v>31</v>
      </c>
      <c r="L4916">
        <v>590.6</v>
      </c>
      <c r="M4916">
        <f>VLOOKUP(K4916,RatingLookup!$A$2:$C$8,2,FALSE)</f>
        <v>0.04</v>
      </c>
      <c r="N4916">
        <f t="shared" si="228"/>
        <v>3.3960531989175591E-3</v>
      </c>
      <c r="O4916">
        <f>VLOOKUP(K4916,RatingLookup!$A$2:$C$8,3,FALSE)</f>
        <v>0.6</v>
      </c>
      <c r="P4916">
        <f t="shared" si="229"/>
        <v>1.2034254115684262</v>
      </c>
      <c r="Q4916" t="str">
        <f t="shared" ca="1" si="230"/>
        <v>No</v>
      </c>
    </row>
    <row r="4917" spans="1:17" x14ac:dyDescent="0.45">
      <c r="A4917" t="s">
        <v>199</v>
      </c>
      <c r="B4917" t="s">
        <v>200</v>
      </c>
      <c r="C4917" t="s">
        <v>85</v>
      </c>
      <c r="D4917" t="s">
        <v>188</v>
      </c>
      <c r="E4917" t="s">
        <v>21</v>
      </c>
      <c r="F4917" s="1">
        <v>45505</v>
      </c>
      <c r="G4917">
        <v>1.23</v>
      </c>
      <c r="H4917">
        <v>80.208500000000001</v>
      </c>
      <c r="I4917">
        <v>18.37</v>
      </c>
      <c r="J4917">
        <v>71.63</v>
      </c>
      <c r="K4917" t="s">
        <v>31</v>
      </c>
      <c r="L4917">
        <v>725.76</v>
      </c>
      <c r="M4917">
        <f>VLOOKUP(K4917,RatingLookup!$A$2:$C$8,2,FALSE)</f>
        <v>0.04</v>
      </c>
      <c r="N4917">
        <f t="shared" si="228"/>
        <v>3.3960531989175591E-3</v>
      </c>
      <c r="O4917">
        <f>VLOOKUP(K4917,RatingLookup!$A$2:$C$8,3,FALSE)</f>
        <v>0.6</v>
      </c>
      <c r="P4917">
        <f t="shared" si="229"/>
        <v>1.4788317417878445</v>
      </c>
      <c r="Q4917" t="str">
        <f t="shared" ca="1" si="230"/>
        <v>No</v>
      </c>
    </row>
    <row r="4918" spans="1:17" x14ac:dyDescent="0.45">
      <c r="A4918" t="s">
        <v>199</v>
      </c>
      <c r="B4918" t="s">
        <v>200</v>
      </c>
      <c r="C4918" t="s">
        <v>85</v>
      </c>
      <c r="D4918" t="s">
        <v>188</v>
      </c>
      <c r="E4918" t="s">
        <v>21</v>
      </c>
      <c r="F4918" s="1">
        <v>45536</v>
      </c>
      <c r="G4918">
        <v>2.08</v>
      </c>
      <c r="H4918">
        <v>83.013499999999993</v>
      </c>
      <c r="I4918">
        <v>15.35</v>
      </c>
      <c r="J4918">
        <v>61.33</v>
      </c>
      <c r="K4918" t="s">
        <v>31</v>
      </c>
      <c r="L4918">
        <v>681.58</v>
      </c>
      <c r="M4918">
        <f>VLOOKUP(K4918,RatingLookup!$A$2:$C$8,2,FALSE)</f>
        <v>0.04</v>
      </c>
      <c r="N4918">
        <f t="shared" si="228"/>
        <v>3.3960531989175591E-3</v>
      </c>
      <c r="O4918">
        <f>VLOOKUP(K4918,RatingLookup!$A$2:$C$8,3,FALSE)</f>
        <v>0.6</v>
      </c>
      <c r="P4918">
        <f t="shared" si="229"/>
        <v>1.3888091635909381</v>
      </c>
      <c r="Q4918" t="str">
        <f t="shared" ca="1" si="230"/>
        <v>No</v>
      </c>
    </row>
    <row r="4919" spans="1:17" x14ac:dyDescent="0.45">
      <c r="A4919" t="s">
        <v>199</v>
      </c>
      <c r="B4919" t="s">
        <v>200</v>
      </c>
      <c r="C4919" t="s">
        <v>85</v>
      </c>
      <c r="D4919" t="s">
        <v>188</v>
      </c>
      <c r="E4919" t="s">
        <v>21</v>
      </c>
      <c r="F4919" s="1">
        <v>45566</v>
      </c>
      <c r="G4919">
        <v>1.32</v>
      </c>
      <c r="H4919">
        <v>79.411500000000004</v>
      </c>
      <c r="I4919">
        <v>12.19</v>
      </c>
      <c r="J4919">
        <v>96.02</v>
      </c>
      <c r="K4919" t="s">
        <v>31</v>
      </c>
      <c r="L4919">
        <v>743.66</v>
      </c>
      <c r="M4919">
        <f>VLOOKUP(K4919,RatingLookup!$A$2:$C$8,2,FALSE)</f>
        <v>0.04</v>
      </c>
      <c r="N4919">
        <f t="shared" si="228"/>
        <v>3.3960531989175591E-3</v>
      </c>
      <c r="O4919">
        <f>VLOOKUP(K4919,RatingLookup!$A$2:$C$8,3,FALSE)</f>
        <v>0.6</v>
      </c>
      <c r="P4919">
        <f t="shared" si="229"/>
        <v>1.5153053531442191</v>
      </c>
      <c r="Q4919" t="str">
        <f t="shared" ca="1" si="230"/>
        <v>No</v>
      </c>
    </row>
    <row r="4920" spans="1:17" x14ac:dyDescent="0.45">
      <c r="A4920" t="s">
        <v>199</v>
      </c>
      <c r="B4920" t="s">
        <v>200</v>
      </c>
      <c r="C4920" t="s">
        <v>85</v>
      </c>
      <c r="D4920" t="s">
        <v>188</v>
      </c>
      <c r="E4920" t="s">
        <v>21</v>
      </c>
      <c r="F4920" s="1">
        <v>45597</v>
      </c>
      <c r="G4920">
        <v>0.45</v>
      </c>
      <c r="H4920">
        <v>83.313100000000006</v>
      </c>
      <c r="I4920">
        <v>19.68</v>
      </c>
      <c r="J4920">
        <v>79.64</v>
      </c>
      <c r="K4920" t="s">
        <v>31</v>
      </c>
      <c r="L4920">
        <v>657.94</v>
      </c>
      <c r="M4920">
        <f>VLOOKUP(K4920,RatingLookup!$A$2:$C$8,2,FALSE)</f>
        <v>0.04</v>
      </c>
      <c r="N4920">
        <f t="shared" si="228"/>
        <v>3.3960531989175591E-3</v>
      </c>
      <c r="O4920">
        <f>VLOOKUP(K4920,RatingLookup!$A$2:$C$8,3,FALSE)</f>
        <v>0.6</v>
      </c>
      <c r="P4920">
        <f t="shared" si="229"/>
        <v>1.3406395450174915</v>
      </c>
      <c r="Q4920" t="str">
        <f t="shared" ca="1" si="230"/>
        <v>No</v>
      </c>
    </row>
    <row r="4921" spans="1:17" x14ac:dyDescent="0.45">
      <c r="A4921" t="s">
        <v>199</v>
      </c>
      <c r="B4921" t="s">
        <v>200</v>
      </c>
      <c r="C4921" t="s">
        <v>85</v>
      </c>
      <c r="D4921" t="s">
        <v>188</v>
      </c>
      <c r="E4921" t="s">
        <v>21</v>
      </c>
      <c r="F4921" s="1">
        <v>45627</v>
      </c>
      <c r="G4921">
        <v>1.65</v>
      </c>
      <c r="H4921">
        <v>84.808099999999996</v>
      </c>
      <c r="I4921">
        <v>23.34</v>
      </c>
      <c r="J4921">
        <v>93.1</v>
      </c>
      <c r="K4921" t="s">
        <v>31</v>
      </c>
      <c r="L4921">
        <v>662.7</v>
      </c>
      <c r="M4921">
        <f>VLOOKUP(K4921,RatingLookup!$A$2:$C$8,2,FALSE)</f>
        <v>0.04</v>
      </c>
      <c r="N4921">
        <f t="shared" si="228"/>
        <v>3.3960531989175591E-3</v>
      </c>
      <c r="O4921">
        <f>VLOOKUP(K4921,RatingLookup!$A$2:$C$8,3,FALSE)</f>
        <v>0.6</v>
      </c>
      <c r="P4921">
        <f t="shared" si="229"/>
        <v>1.3503386729535998</v>
      </c>
      <c r="Q4921" t="str">
        <f t="shared" ca="1" si="230"/>
        <v>No</v>
      </c>
    </row>
    <row r="4922" spans="1:17" x14ac:dyDescent="0.45">
      <c r="A4922" t="s">
        <v>201</v>
      </c>
      <c r="B4922" t="s">
        <v>202</v>
      </c>
      <c r="C4922" t="s">
        <v>29</v>
      </c>
      <c r="D4922" t="s">
        <v>188</v>
      </c>
      <c r="E4922" t="s">
        <v>21</v>
      </c>
      <c r="F4922" s="1">
        <v>43831</v>
      </c>
      <c r="G4922">
        <v>1.25</v>
      </c>
      <c r="H4922">
        <v>83.292199999999994</v>
      </c>
      <c r="I4922">
        <v>11.56</v>
      </c>
      <c r="J4922">
        <v>62.33</v>
      </c>
      <c r="K4922" t="s">
        <v>31</v>
      </c>
      <c r="L4922">
        <v>725.66</v>
      </c>
      <c r="M4922">
        <f>VLOOKUP(K4922,RatingLookup!$A$2:$C$8,2,FALSE)</f>
        <v>0.04</v>
      </c>
      <c r="N4922">
        <f t="shared" si="228"/>
        <v>3.3960531989175591E-3</v>
      </c>
      <c r="O4922">
        <f>VLOOKUP(K4922,RatingLookup!$A$2:$C$8,3,FALSE)</f>
        <v>0.6</v>
      </c>
      <c r="P4922">
        <f t="shared" si="229"/>
        <v>1.4786279785959093</v>
      </c>
      <c r="Q4922" t="str">
        <f t="shared" ca="1" si="230"/>
        <v>No</v>
      </c>
    </row>
    <row r="4923" spans="1:17" x14ac:dyDescent="0.45">
      <c r="A4923" t="s">
        <v>201</v>
      </c>
      <c r="B4923" t="s">
        <v>202</v>
      </c>
      <c r="C4923" t="s">
        <v>29</v>
      </c>
      <c r="D4923" t="s">
        <v>188</v>
      </c>
      <c r="E4923" t="s">
        <v>21</v>
      </c>
      <c r="F4923" s="1">
        <v>43862</v>
      </c>
      <c r="G4923">
        <v>1.27</v>
      </c>
      <c r="H4923">
        <v>88.239400000000003</v>
      </c>
      <c r="I4923">
        <v>17.8</v>
      </c>
      <c r="J4923">
        <v>72.099999999999994</v>
      </c>
      <c r="K4923" t="s">
        <v>31</v>
      </c>
      <c r="L4923">
        <v>707.78</v>
      </c>
      <c r="M4923">
        <f>VLOOKUP(K4923,RatingLookup!$A$2:$C$8,2,FALSE)</f>
        <v>0.04</v>
      </c>
      <c r="N4923">
        <f t="shared" si="228"/>
        <v>3.3960531989175591E-3</v>
      </c>
      <c r="O4923">
        <f>VLOOKUP(K4923,RatingLookup!$A$2:$C$8,3,FALSE)</f>
        <v>0.6</v>
      </c>
      <c r="P4923">
        <f t="shared" si="229"/>
        <v>1.4421951198779217</v>
      </c>
      <c r="Q4923" t="str">
        <f t="shared" ca="1" si="230"/>
        <v>No</v>
      </c>
    </row>
    <row r="4924" spans="1:17" x14ac:dyDescent="0.45">
      <c r="A4924" t="s">
        <v>201</v>
      </c>
      <c r="B4924" t="s">
        <v>202</v>
      </c>
      <c r="C4924" t="s">
        <v>29</v>
      </c>
      <c r="D4924" t="s">
        <v>188</v>
      </c>
      <c r="E4924" t="s">
        <v>21</v>
      </c>
      <c r="F4924" s="1">
        <v>43891</v>
      </c>
      <c r="G4924">
        <v>1.65</v>
      </c>
      <c r="H4924">
        <v>83.831900000000005</v>
      </c>
      <c r="I4924">
        <v>25.86</v>
      </c>
      <c r="J4924">
        <v>67.92</v>
      </c>
      <c r="K4924" t="s">
        <v>31</v>
      </c>
      <c r="L4924">
        <v>684.32</v>
      </c>
      <c r="M4924">
        <f>VLOOKUP(K4924,RatingLookup!$A$2:$C$8,2,FALSE)</f>
        <v>0.04</v>
      </c>
      <c r="N4924">
        <f t="shared" si="228"/>
        <v>3.3960531989175591E-3</v>
      </c>
      <c r="O4924">
        <f>VLOOKUP(K4924,RatingLookup!$A$2:$C$8,3,FALSE)</f>
        <v>0.6</v>
      </c>
      <c r="P4924">
        <f t="shared" si="229"/>
        <v>1.3943922750499584</v>
      </c>
      <c r="Q4924" t="str">
        <f t="shared" ca="1" si="230"/>
        <v>No</v>
      </c>
    </row>
    <row r="4925" spans="1:17" x14ac:dyDescent="0.45">
      <c r="A4925" t="s">
        <v>201</v>
      </c>
      <c r="B4925" t="s">
        <v>202</v>
      </c>
      <c r="C4925" t="s">
        <v>29</v>
      </c>
      <c r="D4925" t="s">
        <v>188</v>
      </c>
      <c r="E4925" t="s">
        <v>21</v>
      </c>
      <c r="F4925" s="1">
        <v>43922</v>
      </c>
      <c r="G4925">
        <v>1.07</v>
      </c>
      <c r="H4925">
        <v>82.55</v>
      </c>
      <c r="I4925">
        <v>23.93</v>
      </c>
      <c r="J4925">
        <v>82.99</v>
      </c>
      <c r="K4925" t="s">
        <v>31</v>
      </c>
      <c r="L4925">
        <v>695.72</v>
      </c>
      <c r="M4925">
        <f>VLOOKUP(K4925,RatingLookup!$A$2:$C$8,2,FALSE)</f>
        <v>0.04</v>
      </c>
      <c r="N4925">
        <f t="shared" si="228"/>
        <v>3.3960531989175591E-3</v>
      </c>
      <c r="O4925">
        <f>VLOOKUP(K4925,RatingLookup!$A$2:$C$8,3,FALSE)</f>
        <v>0.6</v>
      </c>
      <c r="P4925">
        <f t="shared" si="229"/>
        <v>1.4176212789305547</v>
      </c>
      <c r="Q4925" t="str">
        <f t="shared" ca="1" si="230"/>
        <v>No</v>
      </c>
    </row>
    <row r="4926" spans="1:17" x14ac:dyDescent="0.45">
      <c r="A4926" t="s">
        <v>201</v>
      </c>
      <c r="B4926" t="s">
        <v>202</v>
      </c>
      <c r="C4926" t="s">
        <v>29</v>
      </c>
      <c r="D4926" t="s">
        <v>188</v>
      </c>
      <c r="E4926" t="s">
        <v>21</v>
      </c>
      <c r="F4926" s="1">
        <v>43952</v>
      </c>
      <c r="G4926">
        <v>1.82</v>
      </c>
      <c r="H4926">
        <v>83.314499999999995</v>
      </c>
      <c r="I4926">
        <v>7.26</v>
      </c>
      <c r="J4926">
        <v>51.79</v>
      </c>
      <c r="K4926" t="s">
        <v>31</v>
      </c>
      <c r="L4926">
        <v>742.53</v>
      </c>
      <c r="M4926">
        <f>VLOOKUP(K4926,RatingLookup!$A$2:$C$8,2,FALSE)</f>
        <v>0.04</v>
      </c>
      <c r="N4926">
        <f t="shared" si="228"/>
        <v>3.3960531989175591E-3</v>
      </c>
      <c r="O4926">
        <f>VLOOKUP(K4926,RatingLookup!$A$2:$C$8,3,FALSE)</f>
        <v>0.6</v>
      </c>
      <c r="P4926">
        <f t="shared" si="229"/>
        <v>1.513002829075353</v>
      </c>
      <c r="Q4926" t="str">
        <f t="shared" ca="1" si="230"/>
        <v>No</v>
      </c>
    </row>
    <row r="4927" spans="1:17" x14ac:dyDescent="0.45">
      <c r="A4927" t="s">
        <v>201</v>
      </c>
      <c r="B4927" t="s">
        <v>202</v>
      </c>
      <c r="C4927" t="s">
        <v>29</v>
      </c>
      <c r="D4927" t="s">
        <v>188</v>
      </c>
      <c r="E4927" t="s">
        <v>21</v>
      </c>
      <c r="F4927" s="1">
        <v>43983</v>
      </c>
      <c r="G4927">
        <v>1.93</v>
      </c>
      <c r="H4927">
        <v>82.625799999999998</v>
      </c>
      <c r="I4927">
        <v>10.130000000000001</v>
      </c>
      <c r="J4927">
        <v>72.39</v>
      </c>
      <c r="K4927" t="s">
        <v>31</v>
      </c>
      <c r="L4927">
        <v>714.21</v>
      </c>
      <c r="M4927">
        <f>VLOOKUP(K4927,RatingLookup!$A$2:$C$8,2,FALSE)</f>
        <v>0.04</v>
      </c>
      <c r="N4927">
        <f t="shared" si="228"/>
        <v>3.3960531989175591E-3</v>
      </c>
      <c r="O4927">
        <f>VLOOKUP(K4927,RatingLookup!$A$2:$C$8,3,FALSE)</f>
        <v>0.6</v>
      </c>
      <c r="P4927">
        <f t="shared" si="229"/>
        <v>1.4552970931193459</v>
      </c>
      <c r="Q4927" t="str">
        <f t="shared" ca="1" si="230"/>
        <v>No</v>
      </c>
    </row>
    <row r="4928" spans="1:17" x14ac:dyDescent="0.45">
      <c r="A4928" t="s">
        <v>201</v>
      </c>
      <c r="B4928" t="s">
        <v>202</v>
      </c>
      <c r="C4928" t="s">
        <v>29</v>
      </c>
      <c r="D4928" t="s">
        <v>188</v>
      </c>
      <c r="E4928" t="s">
        <v>21</v>
      </c>
      <c r="F4928" s="1">
        <v>44013</v>
      </c>
      <c r="G4928">
        <v>1.44</v>
      </c>
      <c r="H4928">
        <v>80.048900000000003</v>
      </c>
      <c r="I4928">
        <v>5.33</v>
      </c>
      <c r="J4928">
        <v>76.67</v>
      </c>
      <c r="K4928" t="s">
        <v>31</v>
      </c>
      <c r="L4928">
        <v>762.65</v>
      </c>
      <c r="M4928">
        <f>VLOOKUP(K4928,RatingLookup!$A$2:$C$8,2,FALSE)</f>
        <v>0.04</v>
      </c>
      <c r="N4928">
        <f t="shared" si="228"/>
        <v>3.3960531989175591E-3</v>
      </c>
      <c r="O4928">
        <f>VLOOKUP(K4928,RatingLookup!$A$2:$C$8,3,FALSE)</f>
        <v>0.6</v>
      </c>
      <c r="P4928">
        <f t="shared" si="229"/>
        <v>1.5539999832926856</v>
      </c>
      <c r="Q4928" t="str">
        <f t="shared" ca="1" si="230"/>
        <v>No</v>
      </c>
    </row>
    <row r="4929" spans="1:17" x14ac:dyDescent="0.45">
      <c r="A4929" t="s">
        <v>201</v>
      </c>
      <c r="B4929" t="s">
        <v>202</v>
      </c>
      <c r="C4929" t="s">
        <v>29</v>
      </c>
      <c r="D4929" t="s">
        <v>188</v>
      </c>
      <c r="E4929" t="s">
        <v>21</v>
      </c>
      <c r="F4929" s="1">
        <v>44044</v>
      </c>
      <c r="G4929">
        <v>0.18</v>
      </c>
      <c r="H4929">
        <v>83.84</v>
      </c>
      <c r="I4929">
        <v>20.43</v>
      </c>
      <c r="J4929">
        <v>86.23</v>
      </c>
      <c r="K4929" t="s">
        <v>31</v>
      </c>
      <c r="L4929">
        <v>686.65</v>
      </c>
      <c r="M4929">
        <f>VLOOKUP(K4929,RatingLookup!$A$2:$C$8,2,FALSE)</f>
        <v>0.04</v>
      </c>
      <c r="N4929">
        <f t="shared" si="228"/>
        <v>3.3960531989175591E-3</v>
      </c>
      <c r="O4929">
        <f>VLOOKUP(K4929,RatingLookup!$A$2:$C$8,3,FALSE)</f>
        <v>0.6</v>
      </c>
      <c r="P4929">
        <f t="shared" si="229"/>
        <v>1.3991399574220449</v>
      </c>
      <c r="Q4929" t="str">
        <f t="shared" ca="1" si="230"/>
        <v>No</v>
      </c>
    </row>
    <row r="4930" spans="1:17" x14ac:dyDescent="0.45">
      <c r="A4930" t="s">
        <v>201</v>
      </c>
      <c r="B4930" t="s">
        <v>202</v>
      </c>
      <c r="C4930" t="s">
        <v>29</v>
      </c>
      <c r="D4930" t="s">
        <v>188</v>
      </c>
      <c r="E4930" t="s">
        <v>21</v>
      </c>
      <c r="F4930" s="1">
        <v>44075</v>
      </c>
      <c r="G4930">
        <v>1.62</v>
      </c>
      <c r="H4930">
        <v>83.933400000000006</v>
      </c>
      <c r="I4930">
        <v>26.58</v>
      </c>
      <c r="J4930">
        <v>66.97</v>
      </c>
      <c r="K4930" t="s">
        <v>31</v>
      </c>
      <c r="L4930">
        <v>647.16</v>
      </c>
      <c r="M4930">
        <f>VLOOKUP(K4930,RatingLookup!$A$2:$C$8,2,FALSE)</f>
        <v>0.04</v>
      </c>
      <c r="N4930">
        <f t="shared" ref="N4930:N4993" si="231">1-(1-M4930)^(1/12)</f>
        <v>3.3960531989175591E-3</v>
      </c>
      <c r="O4930">
        <f>VLOOKUP(K4930,RatingLookup!$A$2:$C$8,3,FALSE)</f>
        <v>0.6</v>
      </c>
      <c r="P4930">
        <f t="shared" ref="P4930:P4993" si="232">L4930*N4930*O4930</f>
        <v>1.3186738729268923</v>
      </c>
      <c r="Q4930" t="str">
        <f t="shared" ref="Q4930:Q4993" ca="1" si="233">IF(RAND()&lt;N4930,"Yes","No")</f>
        <v>No</v>
      </c>
    </row>
    <row r="4931" spans="1:17" x14ac:dyDescent="0.45">
      <c r="A4931" t="s">
        <v>201</v>
      </c>
      <c r="B4931" t="s">
        <v>202</v>
      </c>
      <c r="C4931" t="s">
        <v>29</v>
      </c>
      <c r="D4931" t="s">
        <v>188</v>
      </c>
      <c r="E4931" t="s">
        <v>21</v>
      </c>
      <c r="F4931" s="1">
        <v>44105</v>
      </c>
      <c r="G4931">
        <v>0.48</v>
      </c>
      <c r="H4931">
        <v>83.421499999999995</v>
      </c>
      <c r="I4931">
        <v>23.9</v>
      </c>
      <c r="J4931">
        <v>65.150000000000006</v>
      </c>
      <c r="K4931" t="s">
        <v>31</v>
      </c>
      <c r="L4931">
        <v>796.53</v>
      </c>
      <c r="M4931">
        <f>VLOOKUP(K4931,RatingLookup!$A$2:$C$8,2,FALSE)</f>
        <v>0.04</v>
      </c>
      <c r="N4931">
        <f t="shared" si="231"/>
        <v>3.3960531989175591E-3</v>
      </c>
      <c r="O4931">
        <f>VLOOKUP(K4931,RatingLookup!$A$2:$C$8,3,FALSE)</f>
        <v>0.6</v>
      </c>
      <c r="P4931">
        <f t="shared" si="232"/>
        <v>1.6230349527202819</v>
      </c>
      <c r="Q4931" t="str">
        <f t="shared" ca="1" si="233"/>
        <v>No</v>
      </c>
    </row>
    <row r="4932" spans="1:17" x14ac:dyDescent="0.45">
      <c r="A4932" t="s">
        <v>201</v>
      </c>
      <c r="B4932" t="s">
        <v>202</v>
      </c>
      <c r="C4932" t="s">
        <v>29</v>
      </c>
      <c r="D4932" t="s">
        <v>188</v>
      </c>
      <c r="E4932" t="s">
        <v>21</v>
      </c>
      <c r="F4932" s="1">
        <v>44136</v>
      </c>
      <c r="G4932">
        <v>2.93</v>
      </c>
      <c r="H4932">
        <v>83.683899999999994</v>
      </c>
      <c r="I4932">
        <v>17.8</v>
      </c>
      <c r="J4932">
        <v>66.63</v>
      </c>
      <c r="K4932" t="s">
        <v>31</v>
      </c>
      <c r="L4932">
        <v>676.4</v>
      </c>
      <c r="M4932">
        <f>VLOOKUP(K4932,RatingLookup!$A$2:$C$8,2,FALSE)</f>
        <v>0.04</v>
      </c>
      <c r="N4932">
        <f t="shared" si="231"/>
        <v>3.3960531989175591E-3</v>
      </c>
      <c r="O4932">
        <f>VLOOKUP(K4932,RatingLookup!$A$2:$C$8,3,FALSE)</f>
        <v>0.6</v>
      </c>
      <c r="P4932">
        <f t="shared" si="232"/>
        <v>1.3782542302487022</v>
      </c>
      <c r="Q4932" t="str">
        <f t="shared" ca="1" si="233"/>
        <v>No</v>
      </c>
    </row>
    <row r="4933" spans="1:17" x14ac:dyDescent="0.45">
      <c r="A4933" t="s">
        <v>201</v>
      </c>
      <c r="B4933" t="s">
        <v>202</v>
      </c>
      <c r="C4933" t="s">
        <v>29</v>
      </c>
      <c r="D4933" t="s">
        <v>188</v>
      </c>
      <c r="E4933" t="s">
        <v>21</v>
      </c>
      <c r="F4933" s="1">
        <v>44166</v>
      </c>
      <c r="G4933">
        <v>2.06</v>
      </c>
      <c r="H4933">
        <v>79.378200000000007</v>
      </c>
      <c r="I4933">
        <v>21.49</v>
      </c>
      <c r="J4933">
        <v>76.84</v>
      </c>
      <c r="K4933" t="s">
        <v>31</v>
      </c>
      <c r="L4933">
        <v>677.07</v>
      </c>
      <c r="M4933">
        <f>VLOOKUP(K4933,RatingLookup!$A$2:$C$8,2,FALSE)</f>
        <v>0.04</v>
      </c>
      <c r="N4933">
        <f t="shared" si="231"/>
        <v>3.3960531989175591E-3</v>
      </c>
      <c r="O4933">
        <f>VLOOKUP(K4933,RatingLookup!$A$2:$C$8,3,FALSE)</f>
        <v>0.6</v>
      </c>
      <c r="P4933">
        <f t="shared" si="232"/>
        <v>1.3796194436346669</v>
      </c>
      <c r="Q4933" t="str">
        <f t="shared" ca="1" si="233"/>
        <v>No</v>
      </c>
    </row>
    <row r="4934" spans="1:17" x14ac:dyDescent="0.45">
      <c r="A4934" t="s">
        <v>201</v>
      </c>
      <c r="B4934" t="s">
        <v>202</v>
      </c>
      <c r="C4934" t="s">
        <v>29</v>
      </c>
      <c r="D4934" t="s">
        <v>188</v>
      </c>
      <c r="E4934" t="s">
        <v>21</v>
      </c>
      <c r="F4934" s="1">
        <v>44197</v>
      </c>
      <c r="G4934">
        <v>0.65</v>
      </c>
      <c r="H4934">
        <v>82.336399999999998</v>
      </c>
      <c r="I4934">
        <v>22.35</v>
      </c>
      <c r="J4934">
        <v>86.81</v>
      </c>
      <c r="K4934" t="s">
        <v>31</v>
      </c>
      <c r="L4934">
        <v>722.83</v>
      </c>
      <c r="M4934">
        <f>VLOOKUP(K4934,RatingLookup!$A$2:$C$8,2,FALSE)</f>
        <v>0.04</v>
      </c>
      <c r="N4934">
        <f t="shared" si="231"/>
        <v>3.3960531989175591E-3</v>
      </c>
      <c r="O4934">
        <f>VLOOKUP(K4934,RatingLookup!$A$2:$C$8,3,FALSE)</f>
        <v>0.6</v>
      </c>
      <c r="P4934">
        <f t="shared" si="232"/>
        <v>1.4728614802641478</v>
      </c>
      <c r="Q4934" t="str">
        <f t="shared" ca="1" si="233"/>
        <v>No</v>
      </c>
    </row>
    <row r="4935" spans="1:17" x14ac:dyDescent="0.45">
      <c r="A4935" t="s">
        <v>201</v>
      </c>
      <c r="B4935" t="s">
        <v>202</v>
      </c>
      <c r="C4935" t="s">
        <v>29</v>
      </c>
      <c r="D4935" t="s">
        <v>188</v>
      </c>
      <c r="E4935" t="s">
        <v>21</v>
      </c>
      <c r="F4935" s="1">
        <v>44228</v>
      </c>
      <c r="G4935">
        <v>1.02</v>
      </c>
      <c r="H4935">
        <v>80.349199999999996</v>
      </c>
      <c r="I4935">
        <v>15.43</v>
      </c>
      <c r="J4935">
        <v>76.59</v>
      </c>
      <c r="K4935" t="s">
        <v>31</v>
      </c>
      <c r="L4935">
        <v>722.06</v>
      </c>
      <c r="M4935">
        <f>VLOOKUP(K4935,RatingLookup!$A$2:$C$8,2,FALSE)</f>
        <v>0.04</v>
      </c>
      <c r="N4935">
        <f t="shared" si="231"/>
        <v>3.3960531989175591E-3</v>
      </c>
      <c r="O4935">
        <f>VLOOKUP(K4935,RatingLookup!$A$2:$C$8,3,FALSE)</f>
        <v>0.6</v>
      </c>
      <c r="P4935">
        <f t="shared" si="232"/>
        <v>1.4712925036862474</v>
      </c>
      <c r="Q4935" t="str">
        <f t="shared" ca="1" si="233"/>
        <v>No</v>
      </c>
    </row>
    <row r="4936" spans="1:17" x14ac:dyDescent="0.45">
      <c r="A4936" t="s">
        <v>201</v>
      </c>
      <c r="B4936" t="s">
        <v>202</v>
      </c>
      <c r="C4936" t="s">
        <v>29</v>
      </c>
      <c r="D4936" t="s">
        <v>188</v>
      </c>
      <c r="E4936" t="s">
        <v>21</v>
      </c>
      <c r="F4936" s="1">
        <v>44256</v>
      </c>
      <c r="G4936">
        <v>1.58</v>
      </c>
      <c r="H4936">
        <v>83.522000000000006</v>
      </c>
      <c r="I4936">
        <v>19.12</v>
      </c>
      <c r="J4936">
        <v>79.319999999999993</v>
      </c>
      <c r="K4936" t="s">
        <v>31</v>
      </c>
      <c r="L4936">
        <v>722.95</v>
      </c>
      <c r="M4936">
        <f>VLOOKUP(K4936,RatingLookup!$A$2:$C$8,2,FALSE)</f>
        <v>0.04</v>
      </c>
      <c r="N4936">
        <f t="shared" si="231"/>
        <v>3.3960531989175591E-3</v>
      </c>
      <c r="O4936">
        <f>VLOOKUP(K4936,RatingLookup!$A$2:$C$8,3,FALSE)</f>
        <v>0.6</v>
      </c>
      <c r="P4936">
        <f t="shared" si="232"/>
        <v>1.4731059960944697</v>
      </c>
      <c r="Q4936" t="str">
        <f t="shared" ca="1" si="233"/>
        <v>No</v>
      </c>
    </row>
    <row r="4937" spans="1:17" x14ac:dyDescent="0.45">
      <c r="A4937" t="s">
        <v>201</v>
      </c>
      <c r="B4937" t="s">
        <v>202</v>
      </c>
      <c r="C4937" t="s">
        <v>29</v>
      </c>
      <c r="D4937" t="s">
        <v>188</v>
      </c>
      <c r="E4937" t="s">
        <v>21</v>
      </c>
      <c r="F4937" s="1">
        <v>44287</v>
      </c>
      <c r="G4937">
        <v>1.01</v>
      </c>
      <c r="H4937">
        <v>80.412700000000001</v>
      </c>
      <c r="I4937">
        <v>9.5500000000000007</v>
      </c>
      <c r="J4937">
        <v>71.33</v>
      </c>
      <c r="K4937" t="s">
        <v>31</v>
      </c>
      <c r="L4937">
        <v>689.04</v>
      </c>
      <c r="M4937">
        <f>VLOOKUP(K4937,RatingLookup!$A$2:$C$8,2,FALSE)</f>
        <v>0.04</v>
      </c>
      <c r="N4937">
        <f t="shared" si="231"/>
        <v>3.3960531989175591E-3</v>
      </c>
      <c r="O4937">
        <f>VLOOKUP(K4937,RatingLookup!$A$2:$C$8,3,FALSE)</f>
        <v>0.6</v>
      </c>
      <c r="P4937">
        <f t="shared" si="232"/>
        <v>1.4040098977092927</v>
      </c>
      <c r="Q4937" t="str">
        <f t="shared" ca="1" si="233"/>
        <v>No</v>
      </c>
    </row>
    <row r="4938" spans="1:17" x14ac:dyDescent="0.45">
      <c r="A4938" t="s">
        <v>201</v>
      </c>
      <c r="B4938" t="s">
        <v>202</v>
      </c>
      <c r="C4938" t="s">
        <v>29</v>
      </c>
      <c r="D4938" t="s">
        <v>188</v>
      </c>
      <c r="E4938" t="s">
        <v>21</v>
      </c>
      <c r="F4938" s="1">
        <v>44317</v>
      </c>
      <c r="G4938">
        <v>1.27</v>
      </c>
      <c r="H4938">
        <v>83.116</v>
      </c>
      <c r="I4938">
        <v>25.46</v>
      </c>
      <c r="J4938">
        <v>84.73</v>
      </c>
      <c r="K4938" t="s">
        <v>31</v>
      </c>
      <c r="L4938">
        <v>644.73</v>
      </c>
      <c r="M4938">
        <f>VLOOKUP(K4938,RatingLookup!$A$2:$C$8,2,FALSE)</f>
        <v>0.04</v>
      </c>
      <c r="N4938">
        <f t="shared" si="231"/>
        <v>3.3960531989175591E-3</v>
      </c>
      <c r="O4938">
        <f>VLOOKUP(K4938,RatingLookup!$A$2:$C$8,3,FALSE)</f>
        <v>0.6</v>
      </c>
      <c r="P4938">
        <f t="shared" si="232"/>
        <v>1.3137224273628707</v>
      </c>
      <c r="Q4938" t="str">
        <f t="shared" ca="1" si="233"/>
        <v>No</v>
      </c>
    </row>
    <row r="4939" spans="1:17" x14ac:dyDescent="0.45">
      <c r="A4939" t="s">
        <v>201</v>
      </c>
      <c r="B4939" t="s">
        <v>202</v>
      </c>
      <c r="C4939" t="s">
        <v>29</v>
      </c>
      <c r="D4939" t="s">
        <v>188</v>
      </c>
      <c r="E4939" t="s">
        <v>21</v>
      </c>
      <c r="F4939" s="1">
        <v>44348</v>
      </c>
      <c r="G4939">
        <v>2.1</v>
      </c>
      <c r="H4939">
        <v>80.745599999999996</v>
      </c>
      <c r="I4939">
        <v>12.29</v>
      </c>
      <c r="J4939">
        <v>85.35</v>
      </c>
      <c r="K4939" t="s">
        <v>31</v>
      </c>
      <c r="L4939">
        <v>740.03</v>
      </c>
      <c r="M4939">
        <f>VLOOKUP(K4939,RatingLookup!$A$2:$C$8,2,FALSE)</f>
        <v>0.04</v>
      </c>
      <c r="N4939">
        <f t="shared" si="231"/>
        <v>3.3960531989175591E-3</v>
      </c>
      <c r="O4939">
        <f>VLOOKUP(K4939,RatingLookup!$A$2:$C$8,3,FALSE)</f>
        <v>0.6</v>
      </c>
      <c r="P4939">
        <f t="shared" si="232"/>
        <v>1.5079087492769765</v>
      </c>
      <c r="Q4939" t="str">
        <f t="shared" ca="1" si="233"/>
        <v>No</v>
      </c>
    </row>
    <row r="4940" spans="1:17" x14ac:dyDescent="0.45">
      <c r="A4940" t="s">
        <v>201</v>
      </c>
      <c r="B4940" t="s">
        <v>202</v>
      </c>
      <c r="C4940" t="s">
        <v>29</v>
      </c>
      <c r="D4940" t="s">
        <v>188</v>
      </c>
      <c r="E4940" t="s">
        <v>21</v>
      </c>
      <c r="F4940" s="1">
        <v>44378</v>
      </c>
      <c r="G4940">
        <v>1.79</v>
      </c>
      <c r="H4940">
        <v>83.231800000000007</v>
      </c>
      <c r="I4940">
        <v>18.14</v>
      </c>
      <c r="J4940">
        <v>77.72</v>
      </c>
      <c r="K4940" t="s">
        <v>31</v>
      </c>
      <c r="L4940">
        <v>683.74</v>
      </c>
      <c r="M4940">
        <f>VLOOKUP(K4940,RatingLookup!$A$2:$C$8,2,FALSE)</f>
        <v>0.04</v>
      </c>
      <c r="N4940">
        <f t="shared" si="231"/>
        <v>3.3960531989175591E-3</v>
      </c>
      <c r="O4940">
        <f>VLOOKUP(K4940,RatingLookup!$A$2:$C$8,3,FALSE)</f>
        <v>0.6</v>
      </c>
      <c r="P4940">
        <f t="shared" si="232"/>
        <v>1.3932104485367349</v>
      </c>
      <c r="Q4940" t="str">
        <f t="shared" ca="1" si="233"/>
        <v>No</v>
      </c>
    </row>
    <row r="4941" spans="1:17" x14ac:dyDescent="0.45">
      <c r="A4941" t="s">
        <v>201</v>
      </c>
      <c r="B4941" t="s">
        <v>202</v>
      </c>
      <c r="C4941" t="s">
        <v>29</v>
      </c>
      <c r="D4941" t="s">
        <v>188</v>
      </c>
      <c r="E4941" t="s">
        <v>21</v>
      </c>
      <c r="F4941" s="1">
        <v>44409</v>
      </c>
      <c r="G4941">
        <v>1.38</v>
      </c>
      <c r="H4941">
        <v>78.955399999999997</v>
      </c>
      <c r="I4941">
        <v>11.76</v>
      </c>
      <c r="J4941">
        <v>108.77</v>
      </c>
      <c r="K4941" t="s">
        <v>31</v>
      </c>
      <c r="L4941">
        <v>647.42999999999995</v>
      </c>
      <c r="M4941">
        <f>VLOOKUP(K4941,RatingLookup!$A$2:$C$8,2,FALSE)</f>
        <v>0.04</v>
      </c>
      <c r="N4941">
        <f t="shared" si="231"/>
        <v>3.3960531989175591E-3</v>
      </c>
      <c r="O4941">
        <f>VLOOKUP(K4941,RatingLookup!$A$2:$C$8,3,FALSE)</f>
        <v>0.6</v>
      </c>
      <c r="P4941">
        <f t="shared" si="232"/>
        <v>1.3192240335451171</v>
      </c>
      <c r="Q4941" t="str">
        <f t="shared" ca="1" si="233"/>
        <v>No</v>
      </c>
    </row>
    <row r="4942" spans="1:17" x14ac:dyDescent="0.45">
      <c r="A4942" t="s">
        <v>201</v>
      </c>
      <c r="B4942" t="s">
        <v>202</v>
      </c>
      <c r="C4942" t="s">
        <v>29</v>
      </c>
      <c r="D4942" t="s">
        <v>188</v>
      </c>
      <c r="E4942" t="s">
        <v>21</v>
      </c>
      <c r="F4942" s="1">
        <v>44440</v>
      </c>
      <c r="G4942">
        <v>1.68</v>
      </c>
      <c r="H4942">
        <v>79.732600000000005</v>
      </c>
      <c r="I4942">
        <v>22.78</v>
      </c>
      <c r="J4942">
        <v>58.82</v>
      </c>
      <c r="K4942" t="s">
        <v>31</v>
      </c>
      <c r="L4942">
        <v>694.23</v>
      </c>
      <c r="M4942">
        <f>VLOOKUP(K4942,RatingLookup!$A$2:$C$8,2,FALSE)</f>
        <v>0.04</v>
      </c>
      <c r="N4942">
        <f t="shared" si="231"/>
        <v>3.3960531989175591E-3</v>
      </c>
      <c r="O4942">
        <f>VLOOKUP(K4942,RatingLookup!$A$2:$C$8,3,FALSE)</f>
        <v>0.6</v>
      </c>
      <c r="P4942">
        <f t="shared" si="232"/>
        <v>1.4145852073707224</v>
      </c>
      <c r="Q4942" t="str">
        <f t="shared" ca="1" si="233"/>
        <v>No</v>
      </c>
    </row>
    <row r="4943" spans="1:17" x14ac:dyDescent="0.45">
      <c r="A4943" t="s">
        <v>201</v>
      </c>
      <c r="B4943" t="s">
        <v>202</v>
      </c>
      <c r="C4943" t="s">
        <v>29</v>
      </c>
      <c r="D4943" t="s">
        <v>188</v>
      </c>
      <c r="E4943" t="s">
        <v>21</v>
      </c>
      <c r="F4943" s="1">
        <v>44470</v>
      </c>
      <c r="G4943">
        <v>1.51</v>
      </c>
      <c r="H4943">
        <v>81.340800000000002</v>
      </c>
      <c r="I4943">
        <v>16.75</v>
      </c>
      <c r="J4943">
        <v>82.83</v>
      </c>
      <c r="K4943" t="s">
        <v>31</v>
      </c>
      <c r="L4943">
        <v>669.4</v>
      </c>
      <c r="M4943">
        <f>VLOOKUP(K4943,RatingLookup!$A$2:$C$8,2,FALSE)</f>
        <v>0.04</v>
      </c>
      <c r="N4943">
        <f t="shared" si="231"/>
        <v>3.3960531989175591E-3</v>
      </c>
      <c r="O4943">
        <f>VLOOKUP(K4943,RatingLookup!$A$2:$C$8,3,FALSE)</f>
        <v>0.6</v>
      </c>
      <c r="P4943">
        <f t="shared" si="232"/>
        <v>1.3639908068132485</v>
      </c>
      <c r="Q4943" t="str">
        <f t="shared" ca="1" si="233"/>
        <v>No</v>
      </c>
    </row>
    <row r="4944" spans="1:17" x14ac:dyDescent="0.45">
      <c r="A4944" t="s">
        <v>201</v>
      </c>
      <c r="B4944" t="s">
        <v>202</v>
      </c>
      <c r="C4944" t="s">
        <v>29</v>
      </c>
      <c r="D4944" t="s">
        <v>188</v>
      </c>
      <c r="E4944" t="s">
        <v>21</v>
      </c>
      <c r="F4944" s="1">
        <v>44501</v>
      </c>
      <c r="G4944">
        <v>0.97</v>
      </c>
      <c r="H4944">
        <v>78.952699999999993</v>
      </c>
      <c r="I4944">
        <v>5</v>
      </c>
      <c r="J4944">
        <v>94.72</v>
      </c>
      <c r="K4944" t="s">
        <v>31</v>
      </c>
      <c r="L4944">
        <v>646.87</v>
      </c>
      <c r="M4944">
        <f>VLOOKUP(K4944,RatingLookup!$A$2:$C$8,2,FALSE)</f>
        <v>0.04</v>
      </c>
      <c r="N4944">
        <f t="shared" si="231"/>
        <v>3.3960531989175591E-3</v>
      </c>
      <c r="O4944">
        <f>VLOOKUP(K4944,RatingLookup!$A$2:$C$8,3,FALSE)</f>
        <v>0.6</v>
      </c>
      <c r="P4944">
        <f t="shared" si="232"/>
        <v>1.3180829596702808</v>
      </c>
      <c r="Q4944" t="str">
        <f t="shared" ca="1" si="233"/>
        <v>No</v>
      </c>
    </row>
    <row r="4945" spans="1:17" x14ac:dyDescent="0.45">
      <c r="A4945" t="s">
        <v>201</v>
      </c>
      <c r="B4945" t="s">
        <v>202</v>
      </c>
      <c r="C4945" t="s">
        <v>29</v>
      </c>
      <c r="D4945" t="s">
        <v>188</v>
      </c>
      <c r="E4945" t="s">
        <v>21</v>
      </c>
      <c r="F4945" s="1">
        <v>44531</v>
      </c>
      <c r="G4945">
        <v>1.79</v>
      </c>
      <c r="H4945">
        <v>82.176599999999993</v>
      </c>
      <c r="I4945">
        <v>16.059999999999999</v>
      </c>
      <c r="J4945">
        <v>79.53</v>
      </c>
      <c r="K4945" t="s">
        <v>31</v>
      </c>
      <c r="L4945">
        <v>696.81</v>
      </c>
      <c r="M4945">
        <f>VLOOKUP(K4945,RatingLookup!$A$2:$C$8,2,FALSE)</f>
        <v>0.04</v>
      </c>
      <c r="N4945">
        <f t="shared" si="231"/>
        <v>3.3960531989175591E-3</v>
      </c>
      <c r="O4945">
        <f>VLOOKUP(K4945,RatingLookup!$A$2:$C$8,3,FALSE)</f>
        <v>0.6</v>
      </c>
      <c r="P4945">
        <f t="shared" si="232"/>
        <v>1.4198422977226466</v>
      </c>
      <c r="Q4945" t="str">
        <f t="shared" ca="1" si="233"/>
        <v>No</v>
      </c>
    </row>
    <row r="4946" spans="1:17" x14ac:dyDescent="0.45">
      <c r="A4946" t="s">
        <v>201</v>
      </c>
      <c r="B4946" t="s">
        <v>202</v>
      </c>
      <c r="C4946" t="s">
        <v>29</v>
      </c>
      <c r="D4946" t="s">
        <v>188</v>
      </c>
      <c r="E4946" t="s">
        <v>21</v>
      </c>
      <c r="F4946" s="1">
        <v>44562</v>
      </c>
      <c r="G4946">
        <v>1.88</v>
      </c>
      <c r="H4946">
        <v>83.978399999999993</v>
      </c>
      <c r="I4946">
        <v>17.73</v>
      </c>
      <c r="J4946">
        <v>74.87</v>
      </c>
      <c r="K4946" t="s">
        <v>31</v>
      </c>
      <c r="L4946">
        <v>730.43</v>
      </c>
      <c r="M4946">
        <f>VLOOKUP(K4946,RatingLookup!$A$2:$C$8,2,FALSE)</f>
        <v>0.04</v>
      </c>
      <c r="N4946">
        <f t="shared" si="231"/>
        <v>3.3960531989175591E-3</v>
      </c>
      <c r="O4946">
        <f>VLOOKUP(K4946,RatingLookup!$A$2:$C$8,3,FALSE)</f>
        <v>0.6</v>
      </c>
      <c r="P4946">
        <f t="shared" si="232"/>
        <v>1.4883474828512115</v>
      </c>
      <c r="Q4946" t="str">
        <f t="shared" ca="1" si="233"/>
        <v>No</v>
      </c>
    </row>
    <row r="4947" spans="1:17" x14ac:dyDescent="0.45">
      <c r="A4947" t="s">
        <v>201</v>
      </c>
      <c r="B4947" t="s">
        <v>202</v>
      </c>
      <c r="C4947" t="s">
        <v>29</v>
      </c>
      <c r="D4947" t="s">
        <v>188</v>
      </c>
      <c r="E4947" t="s">
        <v>21</v>
      </c>
      <c r="F4947" s="1">
        <v>44593</v>
      </c>
      <c r="G4947">
        <v>0.98</v>
      </c>
      <c r="H4947">
        <v>79.585999999999999</v>
      </c>
      <c r="I4947">
        <v>10.45</v>
      </c>
      <c r="J4947">
        <v>79.89</v>
      </c>
      <c r="K4947" t="s">
        <v>31</v>
      </c>
      <c r="L4947">
        <v>749.7</v>
      </c>
      <c r="M4947">
        <f>VLOOKUP(K4947,RatingLookup!$A$2:$C$8,2,FALSE)</f>
        <v>0.04</v>
      </c>
      <c r="N4947">
        <f t="shared" si="231"/>
        <v>3.3960531989175591E-3</v>
      </c>
      <c r="O4947">
        <f>VLOOKUP(K4947,RatingLookup!$A$2:$C$8,3,FALSE)</f>
        <v>0.6</v>
      </c>
      <c r="P4947">
        <f t="shared" si="232"/>
        <v>1.5276126499370966</v>
      </c>
      <c r="Q4947" t="str">
        <f t="shared" ca="1" si="233"/>
        <v>No</v>
      </c>
    </row>
    <row r="4948" spans="1:17" x14ac:dyDescent="0.45">
      <c r="A4948" t="s">
        <v>201</v>
      </c>
      <c r="B4948" t="s">
        <v>202</v>
      </c>
      <c r="C4948" t="s">
        <v>29</v>
      </c>
      <c r="D4948" t="s">
        <v>188</v>
      </c>
      <c r="E4948" t="s">
        <v>21</v>
      </c>
      <c r="F4948" s="1">
        <v>44621</v>
      </c>
      <c r="G4948">
        <v>1.19</v>
      </c>
      <c r="H4948">
        <v>83.1708</v>
      </c>
      <c r="I4948">
        <v>19.34</v>
      </c>
      <c r="J4948">
        <v>82.43</v>
      </c>
      <c r="K4948" t="s">
        <v>31</v>
      </c>
      <c r="L4948">
        <v>629.49</v>
      </c>
      <c r="M4948">
        <f>VLOOKUP(K4948,RatingLookup!$A$2:$C$8,2,FALSE)</f>
        <v>0.04</v>
      </c>
      <c r="N4948">
        <f t="shared" si="231"/>
        <v>3.3960531989175591E-3</v>
      </c>
      <c r="O4948">
        <f>VLOOKUP(K4948,RatingLookup!$A$2:$C$8,3,FALSE)</f>
        <v>0.6</v>
      </c>
      <c r="P4948">
        <f t="shared" si="232"/>
        <v>1.2826689169119685</v>
      </c>
      <c r="Q4948" t="str">
        <f t="shared" ca="1" si="233"/>
        <v>No</v>
      </c>
    </row>
    <row r="4949" spans="1:17" x14ac:dyDescent="0.45">
      <c r="A4949" t="s">
        <v>201</v>
      </c>
      <c r="B4949" t="s">
        <v>202</v>
      </c>
      <c r="C4949" t="s">
        <v>29</v>
      </c>
      <c r="D4949" t="s">
        <v>188</v>
      </c>
      <c r="E4949" t="s">
        <v>21</v>
      </c>
      <c r="F4949" s="1">
        <v>44652</v>
      </c>
      <c r="G4949">
        <v>1.76</v>
      </c>
      <c r="H4949">
        <v>84.116600000000005</v>
      </c>
      <c r="I4949">
        <v>22.18</v>
      </c>
      <c r="J4949">
        <v>76.489999999999995</v>
      </c>
      <c r="K4949" t="s">
        <v>31</v>
      </c>
      <c r="L4949">
        <v>774.1</v>
      </c>
      <c r="M4949">
        <f>VLOOKUP(K4949,RatingLookup!$A$2:$C$8,2,FALSE)</f>
        <v>0.04</v>
      </c>
      <c r="N4949">
        <f t="shared" si="231"/>
        <v>3.3960531989175591E-3</v>
      </c>
      <c r="O4949">
        <f>VLOOKUP(K4949,RatingLookup!$A$2:$C$8,3,FALSE)</f>
        <v>0.6</v>
      </c>
      <c r="P4949">
        <f t="shared" si="232"/>
        <v>1.5773308687692493</v>
      </c>
      <c r="Q4949" t="str">
        <f t="shared" ca="1" si="233"/>
        <v>No</v>
      </c>
    </row>
    <row r="4950" spans="1:17" x14ac:dyDescent="0.45">
      <c r="A4950" t="s">
        <v>201</v>
      </c>
      <c r="B4950" t="s">
        <v>202</v>
      </c>
      <c r="C4950" t="s">
        <v>29</v>
      </c>
      <c r="D4950" t="s">
        <v>188</v>
      </c>
      <c r="E4950" t="s">
        <v>21</v>
      </c>
      <c r="F4950" s="1">
        <v>44682</v>
      </c>
      <c r="G4950">
        <v>2.06</v>
      </c>
      <c r="H4950">
        <v>86.189099999999996</v>
      </c>
      <c r="I4950">
        <v>21.28</v>
      </c>
      <c r="J4950">
        <v>77.81</v>
      </c>
      <c r="K4950" t="s">
        <v>31</v>
      </c>
      <c r="L4950">
        <v>729.99</v>
      </c>
      <c r="M4950">
        <f>VLOOKUP(K4950,RatingLookup!$A$2:$C$8,2,FALSE)</f>
        <v>0.04</v>
      </c>
      <c r="N4950">
        <f t="shared" si="231"/>
        <v>3.3960531989175591E-3</v>
      </c>
      <c r="O4950">
        <f>VLOOKUP(K4950,RatingLookup!$A$2:$C$8,3,FALSE)</f>
        <v>0.6</v>
      </c>
      <c r="P4950">
        <f t="shared" si="232"/>
        <v>1.4874509248066974</v>
      </c>
      <c r="Q4950" t="str">
        <f t="shared" ca="1" si="233"/>
        <v>No</v>
      </c>
    </row>
    <row r="4951" spans="1:17" x14ac:dyDescent="0.45">
      <c r="A4951" t="s">
        <v>201</v>
      </c>
      <c r="B4951" t="s">
        <v>202</v>
      </c>
      <c r="C4951" t="s">
        <v>29</v>
      </c>
      <c r="D4951" t="s">
        <v>188</v>
      </c>
      <c r="E4951" t="s">
        <v>21</v>
      </c>
      <c r="F4951" s="1">
        <v>44713</v>
      </c>
      <c r="G4951">
        <v>1.1200000000000001</v>
      </c>
      <c r="H4951">
        <v>81.608699999999999</v>
      </c>
      <c r="I4951">
        <v>14.08</v>
      </c>
      <c r="J4951">
        <v>73.66</v>
      </c>
      <c r="K4951" t="s">
        <v>31</v>
      </c>
      <c r="L4951">
        <v>728.02</v>
      </c>
      <c r="M4951">
        <f>VLOOKUP(K4951,RatingLookup!$A$2:$C$8,2,FALSE)</f>
        <v>0.04</v>
      </c>
      <c r="N4951">
        <f t="shared" si="231"/>
        <v>3.3960531989175591E-3</v>
      </c>
      <c r="O4951">
        <f>VLOOKUP(K4951,RatingLookup!$A$2:$C$8,3,FALSE)</f>
        <v>0.6</v>
      </c>
      <c r="P4951">
        <f t="shared" si="232"/>
        <v>1.4834367899255769</v>
      </c>
      <c r="Q4951" t="str">
        <f t="shared" ca="1" si="233"/>
        <v>No</v>
      </c>
    </row>
    <row r="4952" spans="1:17" x14ac:dyDescent="0.45">
      <c r="A4952" t="s">
        <v>201</v>
      </c>
      <c r="B4952" t="s">
        <v>202</v>
      </c>
      <c r="C4952" t="s">
        <v>29</v>
      </c>
      <c r="D4952" t="s">
        <v>188</v>
      </c>
      <c r="E4952" t="s">
        <v>21</v>
      </c>
      <c r="F4952" s="1">
        <v>44743</v>
      </c>
      <c r="G4952">
        <v>2.69</v>
      </c>
      <c r="H4952">
        <v>84.815899999999999</v>
      </c>
      <c r="I4952">
        <v>24.61</v>
      </c>
      <c r="J4952">
        <v>87.34</v>
      </c>
      <c r="K4952" t="s">
        <v>31</v>
      </c>
      <c r="L4952">
        <v>693.76</v>
      </c>
      <c r="M4952">
        <f>VLOOKUP(K4952,RatingLookup!$A$2:$C$8,2,FALSE)</f>
        <v>0.04</v>
      </c>
      <c r="N4952">
        <f t="shared" si="231"/>
        <v>3.3960531989175591E-3</v>
      </c>
      <c r="O4952">
        <f>VLOOKUP(K4952,RatingLookup!$A$2:$C$8,3,FALSE)</f>
        <v>0.6</v>
      </c>
      <c r="P4952">
        <f t="shared" si="232"/>
        <v>1.4136275203686273</v>
      </c>
      <c r="Q4952" t="str">
        <f t="shared" ca="1" si="233"/>
        <v>No</v>
      </c>
    </row>
    <row r="4953" spans="1:17" x14ac:dyDescent="0.45">
      <c r="A4953" t="s">
        <v>201</v>
      </c>
      <c r="B4953" t="s">
        <v>202</v>
      </c>
      <c r="C4953" t="s">
        <v>29</v>
      </c>
      <c r="D4953" t="s">
        <v>188</v>
      </c>
      <c r="E4953" t="s">
        <v>21</v>
      </c>
      <c r="F4953" s="1">
        <v>44774</v>
      </c>
      <c r="G4953">
        <v>1.42</v>
      </c>
      <c r="H4953">
        <v>80.185900000000004</v>
      </c>
      <c r="I4953">
        <v>29.79</v>
      </c>
      <c r="J4953">
        <v>76.09</v>
      </c>
      <c r="K4953" t="s">
        <v>30</v>
      </c>
      <c r="L4953">
        <v>757.57</v>
      </c>
      <c r="M4953">
        <f>VLOOKUP(K4953,RatingLookup!$A$2:$C$8,2,FALSE)</f>
        <v>1.4999999999999999E-2</v>
      </c>
      <c r="N4953">
        <f t="shared" si="231"/>
        <v>1.2586770182638762E-3</v>
      </c>
      <c r="O4953">
        <f>VLOOKUP(K4953,RatingLookup!$A$2:$C$8,3,FALSE)</f>
        <v>0.5</v>
      </c>
      <c r="P4953">
        <f t="shared" si="232"/>
        <v>0.47676797436308238</v>
      </c>
      <c r="Q4953" t="str">
        <f t="shared" ca="1" si="233"/>
        <v>No</v>
      </c>
    </row>
    <row r="4954" spans="1:17" x14ac:dyDescent="0.45">
      <c r="A4954" t="s">
        <v>201</v>
      </c>
      <c r="B4954" t="s">
        <v>202</v>
      </c>
      <c r="C4954" t="s">
        <v>29</v>
      </c>
      <c r="D4954" t="s">
        <v>188</v>
      </c>
      <c r="E4954" t="s">
        <v>21</v>
      </c>
      <c r="F4954" s="1">
        <v>44805</v>
      </c>
      <c r="G4954">
        <v>0.83</v>
      </c>
      <c r="H4954">
        <v>80.704999999999998</v>
      </c>
      <c r="I4954">
        <v>12.73</v>
      </c>
      <c r="J4954">
        <v>74.61</v>
      </c>
      <c r="K4954" t="s">
        <v>30</v>
      </c>
      <c r="L4954">
        <v>777.68</v>
      </c>
      <c r="M4954">
        <f>VLOOKUP(K4954,RatingLookup!$A$2:$C$8,2,FALSE)</f>
        <v>1.4999999999999999E-2</v>
      </c>
      <c r="N4954">
        <f t="shared" si="231"/>
        <v>1.2586770182638762E-3</v>
      </c>
      <c r="O4954">
        <f>VLOOKUP(K4954,RatingLookup!$A$2:$C$8,3,FALSE)</f>
        <v>0.5</v>
      </c>
      <c r="P4954">
        <f t="shared" si="232"/>
        <v>0.48942397178172559</v>
      </c>
      <c r="Q4954" t="str">
        <f t="shared" ca="1" si="233"/>
        <v>No</v>
      </c>
    </row>
    <row r="4955" spans="1:17" x14ac:dyDescent="0.45">
      <c r="A4955" t="s">
        <v>201</v>
      </c>
      <c r="B4955" t="s">
        <v>202</v>
      </c>
      <c r="C4955" t="s">
        <v>29</v>
      </c>
      <c r="D4955" t="s">
        <v>188</v>
      </c>
      <c r="E4955" t="s">
        <v>21</v>
      </c>
      <c r="F4955" s="1">
        <v>44835</v>
      </c>
      <c r="G4955">
        <v>1.78</v>
      </c>
      <c r="H4955">
        <v>82.360399999999998</v>
      </c>
      <c r="I4955">
        <v>17.71</v>
      </c>
      <c r="J4955">
        <v>77.790000000000006</v>
      </c>
      <c r="K4955" t="s">
        <v>31</v>
      </c>
      <c r="L4955">
        <v>717.33</v>
      </c>
      <c r="M4955">
        <f>VLOOKUP(K4955,RatingLookup!$A$2:$C$8,2,FALSE)</f>
        <v>0.04</v>
      </c>
      <c r="N4955">
        <f t="shared" si="231"/>
        <v>3.3960531989175591E-3</v>
      </c>
      <c r="O4955">
        <f>VLOOKUP(K4955,RatingLookup!$A$2:$C$8,3,FALSE)</f>
        <v>0.6</v>
      </c>
      <c r="P4955">
        <f t="shared" si="232"/>
        <v>1.4616545047077196</v>
      </c>
      <c r="Q4955" t="str">
        <f t="shared" ca="1" si="233"/>
        <v>No</v>
      </c>
    </row>
    <row r="4956" spans="1:17" x14ac:dyDescent="0.45">
      <c r="A4956" t="s">
        <v>201</v>
      </c>
      <c r="B4956" t="s">
        <v>202</v>
      </c>
      <c r="C4956" t="s">
        <v>29</v>
      </c>
      <c r="D4956" t="s">
        <v>188</v>
      </c>
      <c r="E4956" t="s">
        <v>21</v>
      </c>
      <c r="F4956" s="1">
        <v>44866</v>
      </c>
      <c r="G4956">
        <v>1.22</v>
      </c>
      <c r="H4956">
        <v>84.810100000000006</v>
      </c>
      <c r="I4956">
        <v>19.46</v>
      </c>
      <c r="J4956">
        <v>72.97</v>
      </c>
      <c r="K4956" t="s">
        <v>31</v>
      </c>
      <c r="L4956">
        <v>694.54</v>
      </c>
      <c r="M4956">
        <f>VLOOKUP(K4956,RatingLookup!$A$2:$C$8,2,FALSE)</f>
        <v>0.04</v>
      </c>
      <c r="N4956">
        <f t="shared" si="231"/>
        <v>3.3960531989175591E-3</v>
      </c>
      <c r="O4956">
        <f>VLOOKUP(K4956,RatingLookup!$A$2:$C$8,3,FALSE)</f>
        <v>0.6</v>
      </c>
      <c r="P4956">
        <f t="shared" si="232"/>
        <v>1.4152168732657209</v>
      </c>
      <c r="Q4956" t="str">
        <f t="shared" ca="1" si="233"/>
        <v>No</v>
      </c>
    </row>
    <row r="4957" spans="1:17" x14ac:dyDescent="0.45">
      <c r="A4957" t="s">
        <v>201</v>
      </c>
      <c r="B4957" t="s">
        <v>202</v>
      </c>
      <c r="C4957" t="s">
        <v>29</v>
      </c>
      <c r="D4957" t="s">
        <v>188</v>
      </c>
      <c r="E4957" t="s">
        <v>21</v>
      </c>
      <c r="F4957" s="1">
        <v>44896</v>
      </c>
      <c r="G4957">
        <v>2.19</v>
      </c>
      <c r="H4957">
        <v>83.894900000000007</v>
      </c>
      <c r="I4957">
        <v>12.25</v>
      </c>
      <c r="J4957">
        <v>64.03</v>
      </c>
      <c r="K4957" t="s">
        <v>31</v>
      </c>
      <c r="L4957">
        <v>694.88</v>
      </c>
      <c r="M4957">
        <f>VLOOKUP(K4957,RatingLookup!$A$2:$C$8,2,FALSE)</f>
        <v>0.04</v>
      </c>
      <c r="N4957">
        <f t="shared" si="231"/>
        <v>3.3960531989175591E-3</v>
      </c>
      <c r="O4957">
        <f>VLOOKUP(K4957,RatingLookup!$A$2:$C$8,3,FALSE)</f>
        <v>0.6</v>
      </c>
      <c r="P4957">
        <f t="shared" si="232"/>
        <v>1.4159096681183001</v>
      </c>
      <c r="Q4957" t="str">
        <f t="shared" ca="1" si="233"/>
        <v>No</v>
      </c>
    </row>
    <row r="4958" spans="1:17" x14ac:dyDescent="0.45">
      <c r="A4958" t="s">
        <v>201</v>
      </c>
      <c r="B4958" t="s">
        <v>202</v>
      </c>
      <c r="C4958" t="s">
        <v>29</v>
      </c>
      <c r="D4958" t="s">
        <v>188</v>
      </c>
      <c r="E4958" t="s">
        <v>21</v>
      </c>
      <c r="F4958" s="1">
        <v>44927</v>
      </c>
      <c r="G4958">
        <v>0.98</v>
      </c>
      <c r="H4958">
        <v>84.401300000000006</v>
      </c>
      <c r="I4958">
        <v>12.31</v>
      </c>
      <c r="J4958">
        <v>88.83</v>
      </c>
      <c r="K4958" t="s">
        <v>31</v>
      </c>
      <c r="L4958">
        <v>805.87</v>
      </c>
      <c r="M4958">
        <f>VLOOKUP(K4958,RatingLookup!$A$2:$C$8,2,FALSE)</f>
        <v>0.04</v>
      </c>
      <c r="N4958">
        <f t="shared" si="231"/>
        <v>3.3960531989175591E-3</v>
      </c>
      <c r="O4958">
        <f>VLOOKUP(K4958,RatingLookup!$A$2:$C$8,3,FALSE)</f>
        <v>0.6</v>
      </c>
      <c r="P4958">
        <f t="shared" si="232"/>
        <v>1.642066434847016</v>
      </c>
      <c r="Q4958" t="str">
        <f t="shared" ca="1" si="233"/>
        <v>No</v>
      </c>
    </row>
    <row r="4959" spans="1:17" x14ac:dyDescent="0.45">
      <c r="A4959" t="s">
        <v>201</v>
      </c>
      <c r="B4959" t="s">
        <v>202</v>
      </c>
      <c r="C4959" t="s">
        <v>29</v>
      </c>
      <c r="D4959" t="s">
        <v>188</v>
      </c>
      <c r="E4959" t="s">
        <v>21</v>
      </c>
      <c r="F4959" s="1">
        <v>44958</v>
      </c>
      <c r="G4959">
        <v>1.01</v>
      </c>
      <c r="H4959">
        <v>80.760199999999998</v>
      </c>
      <c r="I4959">
        <v>28.3</v>
      </c>
      <c r="J4959">
        <v>82.77</v>
      </c>
      <c r="K4959" t="s">
        <v>31</v>
      </c>
      <c r="L4959">
        <v>748.73</v>
      </c>
      <c r="M4959">
        <f>VLOOKUP(K4959,RatingLookup!$A$2:$C$8,2,FALSE)</f>
        <v>0.04</v>
      </c>
      <c r="N4959">
        <f t="shared" si="231"/>
        <v>3.3960531989175591E-3</v>
      </c>
      <c r="O4959">
        <f>VLOOKUP(K4959,RatingLookup!$A$2:$C$8,3,FALSE)</f>
        <v>0.6</v>
      </c>
      <c r="P4959">
        <f t="shared" si="232"/>
        <v>1.5256361469753263</v>
      </c>
      <c r="Q4959" t="str">
        <f t="shared" ca="1" si="233"/>
        <v>No</v>
      </c>
    </row>
    <row r="4960" spans="1:17" x14ac:dyDescent="0.45">
      <c r="A4960" t="s">
        <v>201</v>
      </c>
      <c r="B4960" t="s">
        <v>202</v>
      </c>
      <c r="C4960" t="s">
        <v>29</v>
      </c>
      <c r="D4960" t="s">
        <v>188</v>
      </c>
      <c r="E4960" t="s">
        <v>21</v>
      </c>
      <c r="F4960" s="1">
        <v>44986</v>
      </c>
      <c r="G4960">
        <v>2.91</v>
      </c>
      <c r="H4960">
        <v>82.491200000000006</v>
      </c>
      <c r="I4960">
        <v>22.08</v>
      </c>
      <c r="J4960">
        <v>67.650000000000006</v>
      </c>
      <c r="K4960" t="s">
        <v>31</v>
      </c>
      <c r="L4960">
        <v>688.9</v>
      </c>
      <c r="M4960">
        <f>VLOOKUP(K4960,RatingLookup!$A$2:$C$8,2,FALSE)</f>
        <v>0.04</v>
      </c>
      <c r="N4960">
        <f t="shared" si="231"/>
        <v>3.3960531989175591E-3</v>
      </c>
      <c r="O4960">
        <f>VLOOKUP(K4960,RatingLookup!$A$2:$C$8,3,FALSE)</f>
        <v>0.6</v>
      </c>
      <c r="P4960">
        <f t="shared" si="232"/>
        <v>1.4037246292405838</v>
      </c>
      <c r="Q4960" t="str">
        <f t="shared" ca="1" si="233"/>
        <v>No</v>
      </c>
    </row>
    <row r="4961" spans="1:17" x14ac:dyDescent="0.45">
      <c r="A4961" t="s">
        <v>201</v>
      </c>
      <c r="B4961" t="s">
        <v>202</v>
      </c>
      <c r="C4961" t="s">
        <v>29</v>
      </c>
      <c r="D4961" t="s">
        <v>188</v>
      </c>
      <c r="E4961" t="s">
        <v>21</v>
      </c>
      <c r="F4961" s="1">
        <v>45017</v>
      </c>
      <c r="G4961">
        <v>1.45</v>
      </c>
      <c r="H4961">
        <v>86.651700000000005</v>
      </c>
      <c r="I4961">
        <v>22.58</v>
      </c>
      <c r="J4961">
        <v>84.07</v>
      </c>
      <c r="K4961" t="s">
        <v>31</v>
      </c>
      <c r="L4961">
        <v>780.77</v>
      </c>
      <c r="M4961">
        <f>VLOOKUP(K4961,RatingLookup!$A$2:$C$8,2,FALSE)</f>
        <v>0.04</v>
      </c>
      <c r="N4961">
        <f t="shared" si="231"/>
        <v>3.3960531989175591E-3</v>
      </c>
      <c r="O4961">
        <f>VLOOKUP(K4961,RatingLookup!$A$2:$C$8,3,FALSE)</f>
        <v>0.6</v>
      </c>
      <c r="P4961">
        <f t="shared" si="232"/>
        <v>1.5909218736713173</v>
      </c>
      <c r="Q4961" t="str">
        <f t="shared" ca="1" si="233"/>
        <v>No</v>
      </c>
    </row>
    <row r="4962" spans="1:17" x14ac:dyDescent="0.45">
      <c r="A4962" t="s">
        <v>201</v>
      </c>
      <c r="B4962" t="s">
        <v>202</v>
      </c>
      <c r="C4962" t="s">
        <v>29</v>
      </c>
      <c r="D4962" t="s">
        <v>188</v>
      </c>
      <c r="E4962" t="s">
        <v>21</v>
      </c>
      <c r="F4962" s="1">
        <v>45047</v>
      </c>
      <c r="G4962">
        <v>1.1599999999999999</v>
      </c>
      <c r="H4962">
        <v>84.357399999999998</v>
      </c>
      <c r="I4962">
        <v>28.11</v>
      </c>
      <c r="J4962">
        <v>77.510000000000005</v>
      </c>
      <c r="K4962" t="s">
        <v>31</v>
      </c>
      <c r="L4962">
        <v>736.42</v>
      </c>
      <c r="M4962">
        <f>VLOOKUP(K4962,RatingLookup!$A$2:$C$8,2,FALSE)</f>
        <v>0.04</v>
      </c>
      <c r="N4962">
        <f t="shared" si="231"/>
        <v>3.3960531989175591E-3</v>
      </c>
      <c r="O4962">
        <f>VLOOKUP(K4962,RatingLookup!$A$2:$C$8,3,FALSE)</f>
        <v>0.6</v>
      </c>
      <c r="P4962">
        <f t="shared" si="232"/>
        <v>1.5005528980481213</v>
      </c>
      <c r="Q4962" t="str">
        <f t="shared" ca="1" si="233"/>
        <v>No</v>
      </c>
    </row>
    <row r="4963" spans="1:17" x14ac:dyDescent="0.45">
      <c r="A4963" t="s">
        <v>201</v>
      </c>
      <c r="B4963" t="s">
        <v>202</v>
      </c>
      <c r="C4963" t="s">
        <v>29</v>
      </c>
      <c r="D4963" t="s">
        <v>188</v>
      </c>
      <c r="E4963" t="s">
        <v>21</v>
      </c>
      <c r="F4963" s="1">
        <v>45078</v>
      </c>
      <c r="G4963">
        <v>2.52</v>
      </c>
      <c r="H4963">
        <v>79.833100000000002</v>
      </c>
      <c r="I4963">
        <v>30.72</v>
      </c>
      <c r="J4963">
        <v>80.2</v>
      </c>
      <c r="K4963" t="s">
        <v>31</v>
      </c>
      <c r="L4963">
        <v>715.75</v>
      </c>
      <c r="M4963">
        <f>VLOOKUP(K4963,RatingLookup!$A$2:$C$8,2,FALSE)</f>
        <v>0.04</v>
      </c>
      <c r="N4963">
        <f t="shared" si="231"/>
        <v>3.3960531989175591E-3</v>
      </c>
      <c r="O4963">
        <f>VLOOKUP(K4963,RatingLookup!$A$2:$C$8,3,FALSE)</f>
        <v>0.6</v>
      </c>
      <c r="P4963">
        <f t="shared" si="232"/>
        <v>1.4584350462751456</v>
      </c>
      <c r="Q4963" t="str">
        <f t="shared" ca="1" si="233"/>
        <v>No</v>
      </c>
    </row>
    <row r="4964" spans="1:17" x14ac:dyDescent="0.45">
      <c r="A4964" t="s">
        <v>201</v>
      </c>
      <c r="B4964" t="s">
        <v>202</v>
      </c>
      <c r="C4964" t="s">
        <v>29</v>
      </c>
      <c r="D4964" t="s">
        <v>188</v>
      </c>
      <c r="E4964" t="s">
        <v>21</v>
      </c>
      <c r="F4964" s="1">
        <v>45108</v>
      </c>
      <c r="G4964">
        <v>1.84</v>
      </c>
      <c r="H4964">
        <v>86.419899999999998</v>
      </c>
      <c r="I4964">
        <v>14.14</v>
      </c>
      <c r="J4964">
        <v>75.069999999999993</v>
      </c>
      <c r="K4964" t="s">
        <v>31</v>
      </c>
      <c r="L4964">
        <v>669.18</v>
      </c>
      <c r="M4964">
        <f>VLOOKUP(K4964,RatingLookup!$A$2:$C$8,2,FALSE)</f>
        <v>0.04</v>
      </c>
      <c r="N4964">
        <f t="shared" si="231"/>
        <v>3.3960531989175591E-3</v>
      </c>
      <c r="O4964">
        <f>VLOOKUP(K4964,RatingLookup!$A$2:$C$8,3,FALSE)</f>
        <v>0.6</v>
      </c>
      <c r="P4964">
        <f t="shared" si="232"/>
        <v>1.3635425277909912</v>
      </c>
      <c r="Q4964" t="str">
        <f t="shared" ca="1" si="233"/>
        <v>No</v>
      </c>
    </row>
    <row r="4965" spans="1:17" x14ac:dyDescent="0.45">
      <c r="A4965" t="s">
        <v>201</v>
      </c>
      <c r="B4965" t="s">
        <v>202</v>
      </c>
      <c r="C4965" t="s">
        <v>29</v>
      </c>
      <c r="D4965" t="s">
        <v>188</v>
      </c>
      <c r="E4965" t="s">
        <v>21</v>
      </c>
      <c r="F4965" s="1">
        <v>45139</v>
      </c>
      <c r="G4965">
        <v>0.26</v>
      </c>
      <c r="H4965">
        <v>85.266400000000004</v>
      </c>
      <c r="I4965">
        <v>15.22</v>
      </c>
      <c r="J4965">
        <v>65.83</v>
      </c>
      <c r="K4965" t="s">
        <v>31</v>
      </c>
      <c r="L4965">
        <v>741.38</v>
      </c>
      <c r="M4965">
        <f>VLOOKUP(K4965,RatingLookup!$A$2:$C$8,2,FALSE)</f>
        <v>0.04</v>
      </c>
      <c r="N4965">
        <f t="shared" si="231"/>
        <v>3.3960531989175591E-3</v>
      </c>
      <c r="O4965">
        <f>VLOOKUP(K4965,RatingLookup!$A$2:$C$8,3,FALSE)</f>
        <v>0.6</v>
      </c>
      <c r="P4965">
        <f t="shared" si="232"/>
        <v>1.5106595523680999</v>
      </c>
      <c r="Q4965" t="str">
        <f t="shared" ca="1" si="233"/>
        <v>No</v>
      </c>
    </row>
    <row r="4966" spans="1:17" x14ac:dyDescent="0.45">
      <c r="A4966" t="s">
        <v>201</v>
      </c>
      <c r="B4966" t="s">
        <v>202</v>
      </c>
      <c r="C4966" t="s">
        <v>29</v>
      </c>
      <c r="D4966" t="s">
        <v>188</v>
      </c>
      <c r="E4966" t="s">
        <v>21</v>
      </c>
      <c r="F4966" s="1">
        <v>45170</v>
      </c>
      <c r="G4966">
        <v>2.5499999999999998</v>
      </c>
      <c r="H4966">
        <v>80.878799999999998</v>
      </c>
      <c r="I4966">
        <v>19.45</v>
      </c>
      <c r="J4966">
        <v>71.760000000000005</v>
      </c>
      <c r="K4966" t="s">
        <v>31</v>
      </c>
      <c r="L4966">
        <v>674.65</v>
      </c>
      <c r="M4966">
        <f>VLOOKUP(K4966,RatingLookup!$A$2:$C$8,2,FALSE)</f>
        <v>0.04</v>
      </c>
      <c r="N4966">
        <f t="shared" si="231"/>
        <v>3.3960531989175591E-3</v>
      </c>
      <c r="O4966">
        <f>VLOOKUP(K4966,RatingLookup!$A$2:$C$8,3,FALSE)</f>
        <v>0.6</v>
      </c>
      <c r="P4966">
        <f t="shared" si="232"/>
        <v>1.3746883743898386</v>
      </c>
      <c r="Q4966" t="str">
        <f t="shared" ca="1" si="233"/>
        <v>No</v>
      </c>
    </row>
    <row r="4967" spans="1:17" x14ac:dyDescent="0.45">
      <c r="A4967" t="s">
        <v>201</v>
      </c>
      <c r="B4967" t="s">
        <v>202</v>
      </c>
      <c r="C4967" t="s">
        <v>29</v>
      </c>
      <c r="D4967" t="s">
        <v>188</v>
      </c>
      <c r="E4967" t="s">
        <v>21</v>
      </c>
      <c r="F4967" s="1">
        <v>45200</v>
      </c>
      <c r="G4967">
        <v>1.86</v>
      </c>
      <c r="H4967">
        <v>78.440799999999996</v>
      </c>
      <c r="I4967">
        <v>18.79</v>
      </c>
      <c r="J4967">
        <v>74.39</v>
      </c>
      <c r="K4967" t="s">
        <v>31</v>
      </c>
      <c r="L4967">
        <v>694.02</v>
      </c>
      <c r="M4967">
        <f>VLOOKUP(K4967,RatingLookup!$A$2:$C$8,2,FALSE)</f>
        <v>0.04</v>
      </c>
      <c r="N4967">
        <f t="shared" si="231"/>
        <v>3.3960531989175591E-3</v>
      </c>
      <c r="O4967">
        <f>VLOOKUP(K4967,RatingLookup!$A$2:$C$8,3,FALSE)</f>
        <v>0.6</v>
      </c>
      <c r="P4967">
        <f t="shared" si="232"/>
        <v>1.4141573046676585</v>
      </c>
      <c r="Q4967" t="str">
        <f t="shared" ca="1" si="233"/>
        <v>No</v>
      </c>
    </row>
    <row r="4968" spans="1:17" x14ac:dyDescent="0.45">
      <c r="A4968" t="s">
        <v>201</v>
      </c>
      <c r="B4968" t="s">
        <v>202</v>
      </c>
      <c r="C4968" t="s">
        <v>29</v>
      </c>
      <c r="D4968" t="s">
        <v>188</v>
      </c>
      <c r="E4968" t="s">
        <v>21</v>
      </c>
      <c r="F4968" s="1">
        <v>45231</v>
      </c>
      <c r="G4968">
        <v>1.39</v>
      </c>
      <c r="H4968">
        <v>82.482200000000006</v>
      </c>
      <c r="I4968">
        <v>29.37</v>
      </c>
      <c r="J4968">
        <v>67.400000000000006</v>
      </c>
      <c r="K4968" t="s">
        <v>31</v>
      </c>
      <c r="L4968">
        <v>665.13</v>
      </c>
      <c r="M4968">
        <f>VLOOKUP(K4968,RatingLookup!$A$2:$C$8,2,FALSE)</f>
        <v>0.04</v>
      </c>
      <c r="N4968">
        <f t="shared" si="231"/>
        <v>3.3960531989175591E-3</v>
      </c>
      <c r="O4968">
        <f>VLOOKUP(K4968,RatingLookup!$A$2:$C$8,3,FALSE)</f>
        <v>0.6</v>
      </c>
      <c r="P4968">
        <f t="shared" si="232"/>
        <v>1.3552901185176216</v>
      </c>
      <c r="Q4968" t="str">
        <f t="shared" ca="1" si="233"/>
        <v>No</v>
      </c>
    </row>
    <row r="4969" spans="1:17" x14ac:dyDescent="0.45">
      <c r="A4969" t="s">
        <v>201</v>
      </c>
      <c r="B4969" t="s">
        <v>202</v>
      </c>
      <c r="C4969" t="s">
        <v>29</v>
      </c>
      <c r="D4969" t="s">
        <v>188</v>
      </c>
      <c r="E4969" t="s">
        <v>21</v>
      </c>
      <c r="F4969" s="1">
        <v>45261</v>
      </c>
      <c r="G4969">
        <v>2.61</v>
      </c>
      <c r="H4969">
        <v>88.297600000000003</v>
      </c>
      <c r="I4969">
        <v>22.41</v>
      </c>
      <c r="J4969">
        <v>72.61</v>
      </c>
      <c r="K4969" t="s">
        <v>31</v>
      </c>
      <c r="L4969">
        <v>702.07</v>
      </c>
      <c r="M4969">
        <f>VLOOKUP(K4969,RatingLookup!$A$2:$C$8,2,FALSE)</f>
        <v>0.04</v>
      </c>
      <c r="N4969">
        <f t="shared" si="231"/>
        <v>3.3960531989175591E-3</v>
      </c>
      <c r="O4969">
        <f>VLOOKUP(K4969,RatingLookup!$A$2:$C$8,3,FALSE)</f>
        <v>0.6</v>
      </c>
      <c r="P4969">
        <f t="shared" si="232"/>
        <v>1.4305602416184304</v>
      </c>
      <c r="Q4969" t="str">
        <f t="shared" ca="1" si="233"/>
        <v>No</v>
      </c>
    </row>
    <row r="4970" spans="1:17" x14ac:dyDescent="0.45">
      <c r="A4970" t="s">
        <v>201</v>
      </c>
      <c r="B4970" t="s">
        <v>202</v>
      </c>
      <c r="C4970" t="s">
        <v>29</v>
      </c>
      <c r="D4970" t="s">
        <v>188</v>
      </c>
      <c r="E4970" t="s">
        <v>21</v>
      </c>
      <c r="F4970" s="1">
        <v>45292</v>
      </c>
      <c r="G4970">
        <v>1.25</v>
      </c>
      <c r="H4970">
        <v>80.016400000000004</v>
      </c>
      <c r="I4970">
        <v>11.03</v>
      </c>
      <c r="J4970">
        <v>81.95</v>
      </c>
      <c r="K4970" t="s">
        <v>31</v>
      </c>
      <c r="L4970">
        <v>673.99</v>
      </c>
      <c r="M4970">
        <f>VLOOKUP(K4970,RatingLookup!$A$2:$C$8,2,FALSE)</f>
        <v>0.04</v>
      </c>
      <c r="N4970">
        <f t="shared" si="231"/>
        <v>3.3960531989175591E-3</v>
      </c>
      <c r="O4970">
        <f>VLOOKUP(K4970,RatingLookup!$A$2:$C$8,3,FALSE)</f>
        <v>0.6</v>
      </c>
      <c r="P4970">
        <f t="shared" si="232"/>
        <v>1.3733435373230674</v>
      </c>
      <c r="Q4970" t="str">
        <f t="shared" ca="1" si="233"/>
        <v>No</v>
      </c>
    </row>
    <row r="4971" spans="1:17" x14ac:dyDescent="0.45">
      <c r="A4971" t="s">
        <v>201</v>
      </c>
      <c r="B4971" t="s">
        <v>202</v>
      </c>
      <c r="C4971" t="s">
        <v>29</v>
      </c>
      <c r="D4971" t="s">
        <v>188</v>
      </c>
      <c r="E4971" t="s">
        <v>21</v>
      </c>
      <c r="F4971" s="1">
        <v>45323</v>
      </c>
      <c r="G4971">
        <v>0.65</v>
      </c>
      <c r="H4971">
        <v>83.706100000000006</v>
      </c>
      <c r="I4971">
        <v>26.85</v>
      </c>
      <c r="J4971">
        <v>90.32</v>
      </c>
      <c r="K4971" t="s">
        <v>31</v>
      </c>
      <c r="L4971">
        <v>647.46</v>
      </c>
      <c r="M4971">
        <f>VLOOKUP(K4971,RatingLookup!$A$2:$C$8,2,FALSE)</f>
        <v>0.04</v>
      </c>
      <c r="N4971">
        <f t="shared" si="231"/>
        <v>3.3960531989175591E-3</v>
      </c>
      <c r="O4971">
        <f>VLOOKUP(K4971,RatingLookup!$A$2:$C$8,3,FALSE)</f>
        <v>0.6</v>
      </c>
      <c r="P4971">
        <f t="shared" si="232"/>
        <v>1.3192851625026978</v>
      </c>
      <c r="Q4971" t="str">
        <f t="shared" ca="1" si="233"/>
        <v>No</v>
      </c>
    </row>
    <row r="4972" spans="1:17" x14ac:dyDescent="0.45">
      <c r="A4972" t="s">
        <v>201</v>
      </c>
      <c r="B4972" t="s">
        <v>202</v>
      </c>
      <c r="C4972" t="s">
        <v>29</v>
      </c>
      <c r="D4972" t="s">
        <v>188</v>
      </c>
      <c r="E4972" t="s">
        <v>21</v>
      </c>
      <c r="F4972" s="1">
        <v>45352</v>
      </c>
      <c r="G4972">
        <v>1.52</v>
      </c>
      <c r="H4972">
        <v>86.363600000000005</v>
      </c>
      <c r="I4972">
        <v>13.47</v>
      </c>
      <c r="J4972">
        <v>88.45</v>
      </c>
      <c r="K4972" t="s">
        <v>31</v>
      </c>
      <c r="L4972">
        <v>636.19000000000005</v>
      </c>
      <c r="M4972">
        <f>VLOOKUP(K4972,RatingLookup!$A$2:$C$8,2,FALSE)</f>
        <v>0.04</v>
      </c>
      <c r="N4972">
        <f t="shared" si="231"/>
        <v>3.3960531989175591E-3</v>
      </c>
      <c r="O4972">
        <f>VLOOKUP(K4972,RatingLookup!$A$2:$C$8,3,FALSE)</f>
        <v>0.6</v>
      </c>
      <c r="P4972">
        <f t="shared" si="232"/>
        <v>1.2963210507716172</v>
      </c>
      <c r="Q4972" t="str">
        <f t="shared" ca="1" si="233"/>
        <v>No</v>
      </c>
    </row>
    <row r="4973" spans="1:17" x14ac:dyDescent="0.45">
      <c r="A4973" t="s">
        <v>201</v>
      </c>
      <c r="B4973" t="s">
        <v>202</v>
      </c>
      <c r="C4973" t="s">
        <v>29</v>
      </c>
      <c r="D4973" t="s">
        <v>188</v>
      </c>
      <c r="E4973" t="s">
        <v>21</v>
      </c>
      <c r="F4973" s="1">
        <v>45383</v>
      </c>
      <c r="G4973">
        <v>1.32</v>
      </c>
      <c r="H4973">
        <v>81.984200000000001</v>
      </c>
      <c r="I4973">
        <v>15.4</v>
      </c>
      <c r="J4973">
        <v>78.13</v>
      </c>
      <c r="K4973" t="s">
        <v>31</v>
      </c>
      <c r="L4973">
        <v>665.89</v>
      </c>
      <c r="M4973">
        <f>VLOOKUP(K4973,RatingLookup!$A$2:$C$8,2,FALSE)</f>
        <v>0.04</v>
      </c>
      <c r="N4973">
        <f t="shared" si="231"/>
        <v>3.3960531989175591E-3</v>
      </c>
      <c r="O4973">
        <f>VLOOKUP(K4973,RatingLookup!$A$2:$C$8,3,FALSE)</f>
        <v>0.6</v>
      </c>
      <c r="P4973">
        <f t="shared" si="232"/>
        <v>1.356838718776328</v>
      </c>
      <c r="Q4973" t="str">
        <f t="shared" ca="1" si="233"/>
        <v>No</v>
      </c>
    </row>
    <row r="4974" spans="1:17" x14ac:dyDescent="0.45">
      <c r="A4974" t="s">
        <v>201</v>
      </c>
      <c r="B4974" t="s">
        <v>202</v>
      </c>
      <c r="C4974" t="s">
        <v>29</v>
      </c>
      <c r="D4974" t="s">
        <v>188</v>
      </c>
      <c r="E4974" t="s">
        <v>21</v>
      </c>
      <c r="F4974" s="1">
        <v>45413</v>
      </c>
      <c r="G4974">
        <v>1.69</v>
      </c>
      <c r="H4974">
        <v>85.153999999999996</v>
      </c>
      <c r="I4974">
        <v>14.63</v>
      </c>
      <c r="J4974">
        <v>65.64</v>
      </c>
      <c r="K4974" t="s">
        <v>31</v>
      </c>
      <c r="L4974">
        <v>680.14</v>
      </c>
      <c r="M4974">
        <f>VLOOKUP(K4974,RatingLookup!$A$2:$C$8,2,FALSE)</f>
        <v>0.04</v>
      </c>
      <c r="N4974">
        <f t="shared" si="231"/>
        <v>3.3960531989175591E-3</v>
      </c>
      <c r="O4974">
        <f>VLOOKUP(K4974,RatingLookup!$A$2:$C$8,3,FALSE)</f>
        <v>0.6</v>
      </c>
      <c r="P4974">
        <f t="shared" si="232"/>
        <v>1.385874973627073</v>
      </c>
      <c r="Q4974" t="str">
        <f t="shared" ca="1" si="233"/>
        <v>No</v>
      </c>
    </row>
    <row r="4975" spans="1:17" x14ac:dyDescent="0.45">
      <c r="A4975" t="s">
        <v>201</v>
      </c>
      <c r="B4975" t="s">
        <v>202</v>
      </c>
      <c r="C4975" t="s">
        <v>29</v>
      </c>
      <c r="D4975" t="s">
        <v>188</v>
      </c>
      <c r="E4975" t="s">
        <v>21</v>
      </c>
      <c r="F4975" s="1">
        <v>45444</v>
      </c>
      <c r="G4975">
        <v>1.26</v>
      </c>
      <c r="H4975">
        <v>86.714699999999993</v>
      </c>
      <c r="I4975">
        <v>19.079999999999998</v>
      </c>
      <c r="J4975">
        <v>59.14</v>
      </c>
      <c r="K4975" t="s">
        <v>31</v>
      </c>
      <c r="L4975">
        <v>679.82</v>
      </c>
      <c r="M4975">
        <f>VLOOKUP(K4975,RatingLookup!$A$2:$C$8,2,FALSE)</f>
        <v>0.04</v>
      </c>
      <c r="N4975">
        <f t="shared" si="231"/>
        <v>3.3960531989175591E-3</v>
      </c>
      <c r="O4975">
        <f>VLOOKUP(K4975,RatingLookup!$A$2:$C$8,3,FALSE)</f>
        <v>0.6</v>
      </c>
      <c r="P4975">
        <f t="shared" si="232"/>
        <v>1.3852229314128812</v>
      </c>
      <c r="Q4975" t="str">
        <f t="shared" ca="1" si="233"/>
        <v>No</v>
      </c>
    </row>
    <row r="4976" spans="1:17" x14ac:dyDescent="0.45">
      <c r="A4976" t="s">
        <v>201</v>
      </c>
      <c r="B4976" t="s">
        <v>202</v>
      </c>
      <c r="C4976" t="s">
        <v>29</v>
      </c>
      <c r="D4976" t="s">
        <v>188</v>
      </c>
      <c r="E4976" t="s">
        <v>21</v>
      </c>
      <c r="F4976" s="1">
        <v>45474</v>
      </c>
      <c r="G4976">
        <v>1.36</v>
      </c>
      <c r="H4976">
        <v>84.098100000000002</v>
      </c>
      <c r="I4976">
        <v>17.260000000000002</v>
      </c>
      <c r="J4976">
        <v>85.81</v>
      </c>
      <c r="K4976" t="s">
        <v>31</v>
      </c>
      <c r="L4976">
        <v>677.64</v>
      </c>
      <c r="M4976">
        <f>VLOOKUP(K4976,RatingLookup!$A$2:$C$8,2,FALSE)</f>
        <v>0.04</v>
      </c>
      <c r="N4976">
        <f t="shared" si="231"/>
        <v>3.3960531989175591E-3</v>
      </c>
      <c r="O4976">
        <f>VLOOKUP(K4976,RatingLookup!$A$2:$C$8,3,FALSE)</f>
        <v>0.6</v>
      </c>
      <c r="P4976">
        <f t="shared" si="232"/>
        <v>1.3807808938286967</v>
      </c>
      <c r="Q4976" t="str">
        <f t="shared" ca="1" si="233"/>
        <v>No</v>
      </c>
    </row>
    <row r="4977" spans="1:17" x14ac:dyDescent="0.45">
      <c r="A4977" t="s">
        <v>201</v>
      </c>
      <c r="B4977" t="s">
        <v>202</v>
      </c>
      <c r="C4977" t="s">
        <v>29</v>
      </c>
      <c r="D4977" t="s">
        <v>188</v>
      </c>
      <c r="E4977" t="s">
        <v>21</v>
      </c>
      <c r="F4977" s="1">
        <v>45505</v>
      </c>
      <c r="G4977">
        <v>0.5</v>
      </c>
      <c r="H4977">
        <v>83.920199999999994</v>
      </c>
      <c r="I4977">
        <v>21.51</v>
      </c>
      <c r="J4977">
        <v>81.69</v>
      </c>
      <c r="K4977" t="s">
        <v>31</v>
      </c>
      <c r="L4977">
        <v>633.72</v>
      </c>
      <c r="M4977">
        <f>VLOOKUP(K4977,RatingLookup!$A$2:$C$8,2,FALSE)</f>
        <v>0.04</v>
      </c>
      <c r="N4977">
        <f t="shared" si="231"/>
        <v>3.3960531989175591E-3</v>
      </c>
      <c r="O4977">
        <f>VLOOKUP(K4977,RatingLookup!$A$2:$C$8,3,FALSE)</f>
        <v>0.6</v>
      </c>
      <c r="P4977">
        <f t="shared" si="232"/>
        <v>1.2912880999308214</v>
      </c>
      <c r="Q4977" t="str">
        <f t="shared" ca="1" si="233"/>
        <v>No</v>
      </c>
    </row>
    <row r="4978" spans="1:17" x14ac:dyDescent="0.45">
      <c r="A4978" t="s">
        <v>201</v>
      </c>
      <c r="B4978" t="s">
        <v>202</v>
      </c>
      <c r="C4978" t="s">
        <v>29</v>
      </c>
      <c r="D4978" t="s">
        <v>188</v>
      </c>
      <c r="E4978" t="s">
        <v>21</v>
      </c>
      <c r="F4978" s="1">
        <v>45536</v>
      </c>
      <c r="G4978">
        <v>1.06</v>
      </c>
      <c r="H4978">
        <v>84.542400000000001</v>
      </c>
      <c r="I4978">
        <v>18.190000000000001</v>
      </c>
      <c r="J4978">
        <v>87.18</v>
      </c>
      <c r="K4978" t="s">
        <v>31</v>
      </c>
      <c r="L4978">
        <v>740.18</v>
      </c>
      <c r="M4978">
        <f>VLOOKUP(K4978,RatingLookup!$A$2:$C$8,2,FALSE)</f>
        <v>0.04</v>
      </c>
      <c r="N4978">
        <f t="shared" si="231"/>
        <v>3.3960531989175591E-3</v>
      </c>
      <c r="O4978">
        <f>VLOOKUP(K4978,RatingLookup!$A$2:$C$8,3,FALSE)</f>
        <v>0.6</v>
      </c>
      <c r="P4978">
        <f t="shared" si="232"/>
        <v>1.5082143940648791</v>
      </c>
      <c r="Q4978" t="str">
        <f t="shared" ca="1" si="233"/>
        <v>No</v>
      </c>
    </row>
    <row r="4979" spans="1:17" x14ac:dyDescent="0.45">
      <c r="A4979" t="s">
        <v>201</v>
      </c>
      <c r="B4979" t="s">
        <v>202</v>
      </c>
      <c r="C4979" t="s">
        <v>29</v>
      </c>
      <c r="D4979" t="s">
        <v>188</v>
      </c>
      <c r="E4979" t="s">
        <v>21</v>
      </c>
      <c r="F4979" s="1">
        <v>45566</v>
      </c>
      <c r="G4979">
        <v>1.77</v>
      </c>
      <c r="H4979">
        <v>83.287599999999998</v>
      </c>
      <c r="I4979">
        <v>9.52</v>
      </c>
      <c r="J4979">
        <v>68.63</v>
      </c>
      <c r="K4979" t="s">
        <v>31</v>
      </c>
      <c r="L4979">
        <v>708.47</v>
      </c>
      <c r="M4979">
        <f>VLOOKUP(K4979,RatingLookup!$A$2:$C$8,2,FALSE)</f>
        <v>0.04</v>
      </c>
      <c r="N4979">
        <f t="shared" si="231"/>
        <v>3.3960531989175591E-3</v>
      </c>
      <c r="O4979">
        <f>VLOOKUP(K4979,RatingLookup!$A$2:$C$8,3,FALSE)</f>
        <v>0.6</v>
      </c>
      <c r="P4979">
        <f t="shared" si="232"/>
        <v>1.4436010859022737</v>
      </c>
      <c r="Q4979" t="str">
        <f t="shared" ca="1" si="233"/>
        <v>No</v>
      </c>
    </row>
    <row r="4980" spans="1:17" x14ac:dyDescent="0.45">
      <c r="A4980" t="s">
        <v>201</v>
      </c>
      <c r="B4980" t="s">
        <v>202</v>
      </c>
      <c r="C4980" t="s">
        <v>29</v>
      </c>
      <c r="D4980" t="s">
        <v>188</v>
      </c>
      <c r="E4980" t="s">
        <v>21</v>
      </c>
      <c r="F4980" s="1">
        <v>45597</v>
      </c>
      <c r="G4980">
        <v>2.0499999999999998</v>
      </c>
      <c r="H4980">
        <v>83.284099999999995</v>
      </c>
      <c r="I4980">
        <v>5</v>
      </c>
      <c r="J4980">
        <v>61.82</v>
      </c>
      <c r="K4980" t="s">
        <v>31</v>
      </c>
      <c r="L4980">
        <v>782.16</v>
      </c>
      <c r="M4980">
        <f>VLOOKUP(K4980,RatingLookup!$A$2:$C$8,2,FALSE)</f>
        <v>0.04</v>
      </c>
      <c r="N4980">
        <f t="shared" si="231"/>
        <v>3.3960531989175591E-3</v>
      </c>
      <c r="O4980">
        <f>VLOOKUP(K4980,RatingLookup!$A$2:$C$8,3,FALSE)</f>
        <v>0.6</v>
      </c>
      <c r="P4980">
        <f t="shared" si="232"/>
        <v>1.5937541820392147</v>
      </c>
      <c r="Q4980" t="str">
        <f t="shared" ca="1" si="233"/>
        <v>No</v>
      </c>
    </row>
    <row r="4981" spans="1:17" x14ac:dyDescent="0.45">
      <c r="A4981" t="s">
        <v>201</v>
      </c>
      <c r="B4981" t="s">
        <v>202</v>
      </c>
      <c r="C4981" t="s">
        <v>29</v>
      </c>
      <c r="D4981" t="s">
        <v>188</v>
      </c>
      <c r="E4981" t="s">
        <v>21</v>
      </c>
      <c r="F4981" s="1">
        <v>45627</v>
      </c>
      <c r="G4981">
        <v>1.17</v>
      </c>
      <c r="H4981">
        <v>80.682299999999998</v>
      </c>
      <c r="I4981">
        <v>12.78</v>
      </c>
      <c r="J4981">
        <v>65.55</v>
      </c>
      <c r="K4981" t="s">
        <v>31</v>
      </c>
      <c r="L4981">
        <v>717.64</v>
      </c>
      <c r="M4981">
        <f>VLOOKUP(K4981,RatingLookup!$A$2:$C$8,2,FALSE)</f>
        <v>0.04</v>
      </c>
      <c r="N4981">
        <f t="shared" si="231"/>
        <v>3.3960531989175591E-3</v>
      </c>
      <c r="O4981">
        <f>VLOOKUP(K4981,RatingLookup!$A$2:$C$8,3,FALSE)</f>
        <v>0.6</v>
      </c>
      <c r="P4981">
        <f t="shared" si="232"/>
        <v>1.4622861706027181</v>
      </c>
      <c r="Q4981" t="str">
        <f t="shared" ca="1" si="233"/>
        <v>No</v>
      </c>
    </row>
    <row r="4982" spans="1:17" x14ac:dyDescent="0.45">
      <c r="A4982" t="s">
        <v>203</v>
      </c>
      <c r="B4982" t="s">
        <v>204</v>
      </c>
      <c r="C4982" t="s">
        <v>77</v>
      </c>
      <c r="D4982" t="s">
        <v>188</v>
      </c>
      <c r="E4982" t="s">
        <v>21</v>
      </c>
      <c r="F4982" s="1">
        <v>43831</v>
      </c>
      <c r="G4982">
        <v>1.73</v>
      </c>
      <c r="H4982">
        <v>80.648700000000005</v>
      </c>
      <c r="I4982">
        <v>5.55</v>
      </c>
      <c r="J4982">
        <v>72.5</v>
      </c>
      <c r="K4982" t="s">
        <v>31</v>
      </c>
      <c r="L4982">
        <v>1656.23</v>
      </c>
      <c r="M4982">
        <f>VLOOKUP(K4982,RatingLookup!$A$2:$C$8,2,FALSE)</f>
        <v>0.04</v>
      </c>
      <c r="N4982">
        <f t="shared" si="231"/>
        <v>3.3960531989175591E-3</v>
      </c>
      <c r="O4982">
        <f>VLOOKUP(K4982,RatingLookup!$A$2:$C$8,3,FALSE)</f>
        <v>0.6</v>
      </c>
      <c r="P4982">
        <f t="shared" si="232"/>
        <v>3.3747871137859375</v>
      </c>
      <c r="Q4982" t="str">
        <f t="shared" ca="1" si="233"/>
        <v>No</v>
      </c>
    </row>
    <row r="4983" spans="1:17" x14ac:dyDescent="0.45">
      <c r="A4983" t="s">
        <v>203</v>
      </c>
      <c r="B4983" t="s">
        <v>204</v>
      </c>
      <c r="C4983" t="s">
        <v>77</v>
      </c>
      <c r="D4983" t="s">
        <v>188</v>
      </c>
      <c r="E4983" t="s">
        <v>21</v>
      </c>
      <c r="F4983" s="1">
        <v>43862</v>
      </c>
      <c r="G4983">
        <v>2.83</v>
      </c>
      <c r="H4983">
        <v>82.952799999999996</v>
      </c>
      <c r="I4983">
        <v>21.59</v>
      </c>
      <c r="J4983">
        <v>82.23</v>
      </c>
      <c r="K4983" t="s">
        <v>32</v>
      </c>
      <c r="L4983">
        <v>1587.03</v>
      </c>
      <c r="M4983">
        <f>VLOOKUP(K4983,RatingLookup!$A$2:$C$8,2,FALSE)</f>
        <v>0.12</v>
      </c>
      <c r="N4983">
        <f t="shared" si="231"/>
        <v>1.0596241035318976E-2</v>
      </c>
      <c r="O4983">
        <f>VLOOKUP(K4983,RatingLookup!$A$2:$C$8,3,FALSE)</f>
        <v>0.7</v>
      </c>
      <c r="P4983">
        <f t="shared" si="232"/>
        <v>11.77158668719759</v>
      </c>
      <c r="Q4983" t="str">
        <f t="shared" ca="1" si="233"/>
        <v>No</v>
      </c>
    </row>
    <row r="4984" spans="1:17" x14ac:dyDescent="0.45">
      <c r="A4984" t="s">
        <v>203</v>
      </c>
      <c r="B4984" t="s">
        <v>204</v>
      </c>
      <c r="C4984" t="s">
        <v>77</v>
      </c>
      <c r="D4984" t="s">
        <v>188</v>
      </c>
      <c r="E4984" t="s">
        <v>21</v>
      </c>
      <c r="F4984" s="1">
        <v>43891</v>
      </c>
      <c r="G4984">
        <v>1.2</v>
      </c>
      <c r="H4984">
        <v>83.889399999999995</v>
      </c>
      <c r="I4984">
        <v>13.51</v>
      </c>
      <c r="J4984">
        <v>78.55</v>
      </c>
      <c r="K4984" t="s">
        <v>32</v>
      </c>
      <c r="L4984">
        <v>1641.92</v>
      </c>
      <c r="M4984">
        <f>VLOOKUP(K4984,RatingLookup!$A$2:$C$8,2,FALSE)</f>
        <v>0.12</v>
      </c>
      <c r="N4984">
        <f t="shared" si="231"/>
        <v>1.0596241035318976E-2</v>
      </c>
      <c r="O4984">
        <f>VLOOKUP(K4984,RatingLookup!$A$2:$C$8,3,FALSE)</f>
        <v>0.7</v>
      </c>
      <c r="P4984">
        <f t="shared" si="232"/>
        <v>12.178726056497652</v>
      </c>
      <c r="Q4984" t="str">
        <f t="shared" ca="1" si="233"/>
        <v>No</v>
      </c>
    </row>
    <row r="4985" spans="1:17" x14ac:dyDescent="0.45">
      <c r="A4985" t="s">
        <v>203</v>
      </c>
      <c r="B4985" t="s">
        <v>204</v>
      </c>
      <c r="C4985" t="s">
        <v>77</v>
      </c>
      <c r="D4985" t="s">
        <v>188</v>
      </c>
      <c r="E4985" t="s">
        <v>21</v>
      </c>
      <c r="F4985" s="1">
        <v>43922</v>
      </c>
      <c r="G4985">
        <v>1.89</v>
      </c>
      <c r="H4985">
        <v>86.035700000000006</v>
      </c>
      <c r="I4985">
        <v>12.06</v>
      </c>
      <c r="J4985">
        <v>76.790000000000006</v>
      </c>
      <c r="K4985" t="s">
        <v>32</v>
      </c>
      <c r="L4985">
        <v>1662.18</v>
      </c>
      <c r="M4985">
        <f>VLOOKUP(K4985,RatingLookup!$A$2:$C$8,2,FALSE)</f>
        <v>0.12</v>
      </c>
      <c r="N4985">
        <f t="shared" si="231"/>
        <v>1.0596241035318976E-2</v>
      </c>
      <c r="O4985">
        <f>VLOOKUP(K4985,RatingLookup!$A$2:$C$8,3,FALSE)</f>
        <v>0.7</v>
      </c>
      <c r="P4985">
        <f t="shared" si="232"/>
        <v>12.329001946860547</v>
      </c>
      <c r="Q4985" t="str">
        <f t="shared" ca="1" si="233"/>
        <v>No</v>
      </c>
    </row>
    <row r="4986" spans="1:17" x14ac:dyDescent="0.45">
      <c r="A4986" t="s">
        <v>203</v>
      </c>
      <c r="B4986" t="s">
        <v>204</v>
      </c>
      <c r="C4986" t="s">
        <v>77</v>
      </c>
      <c r="D4986" t="s">
        <v>188</v>
      </c>
      <c r="E4986" t="s">
        <v>21</v>
      </c>
      <c r="F4986" s="1">
        <v>43952</v>
      </c>
      <c r="G4986">
        <v>1.47</v>
      </c>
      <c r="H4986">
        <v>79.918599999999998</v>
      </c>
      <c r="I4986">
        <v>17.87</v>
      </c>
      <c r="J4986">
        <v>79.06</v>
      </c>
      <c r="K4986" t="s">
        <v>32</v>
      </c>
      <c r="L4986">
        <v>1640.69</v>
      </c>
      <c r="M4986">
        <f>VLOOKUP(K4986,RatingLookup!$A$2:$C$8,2,FALSE)</f>
        <v>0.12</v>
      </c>
      <c r="N4986">
        <f t="shared" si="231"/>
        <v>1.0596241035318976E-2</v>
      </c>
      <c r="O4986">
        <f>VLOOKUP(K4986,RatingLookup!$A$2:$C$8,3,FALSE)</f>
        <v>0.7</v>
      </c>
      <c r="P4986">
        <f t="shared" si="232"/>
        <v>12.169602692966244</v>
      </c>
      <c r="Q4986" t="str">
        <f t="shared" ca="1" si="233"/>
        <v>No</v>
      </c>
    </row>
    <row r="4987" spans="1:17" x14ac:dyDescent="0.45">
      <c r="A4987" t="s">
        <v>203</v>
      </c>
      <c r="B4987" t="s">
        <v>204</v>
      </c>
      <c r="C4987" t="s">
        <v>77</v>
      </c>
      <c r="D4987" t="s">
        <v>188</v>
      </c>
      <c r="E4987" t="s">
        <v>21</v>
      </c>
      <c r="F4987" s="1">
        <v>43983</v>
      </c>
      <c r="G4987">
        <v>1.44</v>
      </c>
      <c r="H4987">
        <v>81.459500000000006</v>
      </c>
      <c r="I4987">
        <v>7.51</v>
      </c>
      <c r="J4987">
        <v>70.3</v>
      </c>
      <c r="K4987" t="s">
        <v>32</v>
      </c>
      <c r="L4987">
        <v>1525.12</v>
      </c>
      <c r="M4987">
        <f>VLOOKUP(K4987,RatingLookup!$A$2:$C$8,2,FALSE)</f>
        <v>0.12</v>
      </c>
      <c r="N4987">
        <f t="shared" si="231"/>
        <v>1.0596241035318976E-2</v>
      </c>
      <c r="O4987">
        <f>VLOOKUP(K4987,RatingLookup!$A$2:$C$8,3,FALSE)</f>
        <v>0.7</v>
      </c>
      <c r="P4987">
        <f t="shared" si="232"/>
        <v>11.312377389449972</v>
      </c>
      <c r="Q4987" t="str">
        <f t="shared" ca="1" si="233"/>
        <v>No</v>
      </c>
    </row>
    <row r="4988" spans="1:17" x14ac:dyDescent="0.45">
      <c r="A4988" t="s">
        <v>203</v>
      </c>
      <c r="B4988" t="s">
        <v>204</v>
      </c>
      <c r="C4988" t="s">
        <v>77</v>
      </c>
      <c r="D4988" t="s">
        <v>188</v>
      </c>
      <c r="E4988" t="s">
        <v>21</v>
      </c>
      <c r="F4988" s="1">
        <v>44013</v>
      </c>
      <c r="G4988">
        <v>1.71</v>
      </c>
      <c r="H4988">
        <v>85.090699999999998</v>
      </c>
      <c r="I4988">
        <v>16.2</v>
      </c>
      <c r="J4988">
        <v>78.319999999999993</v>
      </c>
      <c r="K4988" t="s">
        <v>32</v>
      </c>
      <c r="L4988">
        <v>1568.08</v>
      </c>
      <c r="M4988">
        <f>VLOOKUP(K4988,RatingLookup!$A$2:$C$8,2,FALSE)</f>
        <v>0.12</v>
      </c>
      <c r="N4988">
        <f t="shared" si="231"/>
        <v>1.0596241035318976E-2</v>
      </c>
      <c r="O4988">
        <f>VLOOKUP(K4988,RatingLookup!$A$2:$C$8,3,FALSE)</f>
        <v>0.7</v>
      </c>
      <c r="P4988">
        <f t="shared" si="232"/>
        <v>11.631027549864086</v>
      </c>
      <c r="Q4988" t="str">
        <f t="shared" ca="1" si="233"/>
        <v>No</v>
      </c>
    </row>
    <row r="4989" spans="1:17" x14ac:dyDescent="0.45">
      <c r="A4989" t="s">
        <v>203</v>
      </c>
      <c r="B4989" t="s">
        <v>204</v>
      </c>
      <c r="C4989" t="s">
        <v>77</v>
      </c>
      <c r="D4989" t="s">
        <v>188</v>
      </c>
      <c r="E4989" t="s">
        <v>21</v>
      </c>
      <c r="F4989" s="1">
        <v>44044</v>
      </c>
      <c r="G4989">
        <v>1.44</v>
      </c>
      <c r="H4989">
        <v>80.454300000000003</v>
      </c>
      <c r="I4989">
        <v>18.77</v>
      </c>
      <c r="J4989">
        <v>74.03</v>
      </c>
      <c r="K4989" t="s">
        <v>32</v>
      </c>
      <c r="L4989">
        <v>1574.99</v>
      </c>
      <c r="M4989">
        <f>VLOOKUP(K4989,RatingLookup!$A$2:$C$8,2,FALSE)</f>
        <v>0.12</v>
      </c>
      <c r="N4989">
        <f t="shared" si="231"/>
        <v>1.0596241035318976E-2</v>
      </c>
      <c r="O4989">
        <f>VLOOKUP(K4989,RatingLookup!$A$2:$C$8,3,FALSE)</f>
        <v>0.7</v>
      </c>
      <c r="P4989">
        <f t="shared" si="232"/>
        <v>11.682281567751923</v>
      </c>
      <c r="Q4989" t="str">
        <f t="shared" ca="1" si="233"/>
        <v>No</v>
      </c>
    </row>
    <row r="4990" spans="1:17" x14ac:dyDescent="0.45">
      <c r="A4990" t="s">
        <v>203</v>
      </c>
      <c r="B4990" t="s">
        <v>204</v>
      </c>
      <c r="C4990" t="s">
        <v>77</v>
      </c>
      <c r="D4990" t="s">
        <v>188</v>
      </c>
      <c r="E4990" t="s">
        <v>21</v>
      </c>
      <c r="F4990" s="1">
        <v>44075</v>
      </c>
      <c r="G4990">
        <v>0.79</v>
      </c>
      <c r="H4990">
        <v>83.241299999999995</v>
      </c>
      <c r="I4990">
        <v>17.55</v>
      </c>
      <c r="J4990">
        <v>82.23</v>
      </c>
      <c r="K4990" t="s">
        <v>32</v>
      </c>
      <c r="L4990">
        <v>1689.55</v>
      </c>
      <c r="M4990">
        <f>VLOOKUP(K4990,RatingLookup!$A$2:$C$8,2,FALSE)</f>
        <v>0.12</v>
      </c>
      <c r="N4990">
        <f t="shared" si="231"/>
        <v>1.0596241035318976E-2</v>
      </c>
      <c r="O4990">
        <f>VLOOKUP(K4990,RatingLookup!$A$2:$C$8,3,FALSE)</f>
        <v>0.7</v>
      </c>
      <c r="P4990">
        <f t="shared" si="232"/>
        <v>12.532015328856223</v>
      </c>
      <c r="Q4990" t="str">
        <f t="shared" ca="1" si="233"/>
        <v>No</v>
      </c>
    </row>
    <row r="4991" spans="1:17" x14ac:dyDescent="0.45">
      <c r="A4991" t="s">
        <v>203</v>
      </c>
      <c r="B4991" t="s">
        <v>204</v>
      </c>
      <c r="C4991" t="s">
        <v>77</v>
      </c>
      <c r="D4991" t="s">
        <v>188</v>
      </c>
      <c r="E4991" t="s">
        <v>21</v>
      </c>
      <c r="F4991" s="1">
        <v>44105</v>
      </c>
      <c r="G4991">
        <v>1.47</v>
      </c>
      <c r="H4991">
        <v>81.088899999999995</v>
      </c>
      <c r="I4991">
        <v>26.97</v>
      </c>
      <c r="J4991">
        <v>82.46</v>
      </c>
      <c r="K4991" t="s">
        <v>32</v>
      </c>
      <c r="L4991">
        <v>1708.99</v>
      </c>
      <c r="M4991">
        <f>VLOOKUP(K4991,RatingLookup!$A$2:$C$8,2,FALSE)</f>
        <v>0.12</v>
      </c>
      <c r="N4991">
        <f t="shared" si="231"/>
        <v>1.0596241035318976E-2</v>
      </c>
      <c r="O4991">
        <f>VLOOKUP(K4991,RatingLookup!$A$2:$C$8,3,FALSE)</f>
        <v>0.7</v>
      </c>
      <c r="P4991">
        <f t="shared" si="232"/>
        <v>12.676208976864842</v>
      </c>
      <c r="Q4991" t="str">
        <f t="shared" ca="1" si="233"/>
        <v>No</v>
      </c>
    </row>
    <row r="4992" spans="1:17" x14ac:dyDescent="0.45">
      <c r="A4992" t="s">
        <v>203</v>
      </c>
      <c r="B4992" t="s">
        <v>204</v>
      </c>
      <c r="C4992" t="s">
        <v>77</v>
      </c>
      <c r="D4992" t="s">
        <v>188</v>
      </c>
      <c r="E4992" t="s">
        <v>21</v>
      </c>
      <c r="F4992" s="1">
        <v>44136</v>
      </c>
      <c r="G4992">
        <v>1.69</v>
      </c>
      <c r="H4992">
        <v>80.157600000000002</v>
      </c>
      <c r="I4992">
        <v>9.2100000000000009</v>
      </c>
      <c r="J4992">
        <v>74.5</v>
      </c>
      <c r="K4992" t="s">
        <v>32</v>
      </c>
      <c r="L4992">
        <v>1606.4</v>
      </c>
      <c r="M4992">
        <f>VLOOKUP(K4992,RatingLookup!$A$2:$C$8,2,FALSE)</f>
        <v>0.12</v>
      </c>
      <c r="N4992">
        <f t="shared" si="231"/>
        <v>1.0596241035318976E-2</v>
      </c>
      <c r="O4992">
        <f>VLOOKUP(K4992,RatingLookup!$A$2:$C$8,3,FALSE)</f>
        <v>0.7</v>
      </c>
      <c r="P4992">
        <f t="shared" si="232"/>
        <v>11.915261119395481</v>
      </c>
      <c r="Q4992" t="str">
        <f t="shared" ca="1" si="233"/>
        <v>No</v>
      </c>
    </row>
    <row r="4993" spans="1:17" x14ac:dyDescent="0.45">
      <c r="A4993" t="s">
        <v>203</v>
      </c>
      <c r="B4993" t="s">
        <v>204</v>
      </c>
      <c r="C4993" t="s">
        <v>77</v>
      </c>
      <c r="D4993" t="s">
        <v>188</v>
      </c>
      <c r="E4993" t="s">
        <v>21</v>
      </c>
      <c r="F4993" s="1">
        <v>44166</v>
      </c>
      <c r="G4993">
        <v>1.1499999999999999</v>
      </c>
      <c r="H4993">
        <v>83.450400000000002</v>
      </c>
      <c r="I4993">
        <v>14.92</v>
      </c>
      <c r="J4993">
        <v>66.19</v>
      </c>
      <c r="K4993" t="s">
        <v>31</v>
      </c>
      <c r="L4993">
        <v>1537.27</v>
      </c>
      <c r="M4993">
        <f>VLOOKUP(K4993,RatingLookup!$A$2:$C$8,2,FALSE)</f>
        <v>0.04</v>
      </c>
      <c r="N4993">
        <f t="shared" si="231"/>
        <v>3.3960531989175591E-3</v>
      </c>
      <c r="O4993">
        <f>VLOOKUP(K4993,RatingLookup!$A$2:$C$8,3,FALSE)</f>
        <v>0.6</v>
      </c>
      <c r="P4993">
        <f t="shared" si="232"/>
        <v>3.1323904206599975</v>
      </c>
      <c r="Q4993" t="str">
        <f t="shared" ca="1" si="233"/>
        <v>No</v>
      </c>
    </row>
    <row r="4994" spans="1:17" x14ac:dyDescent="0.45">
      <c r="A4994" t="s">
        <v>203</v>
      </c>
      <c r="B4994" t="s">
        <v>204</v>
      </c>
      <c r="C4994" t="s">
        <v>77</v>
      </c>
      <c r="D4994" t="s">
        <v>188</v>
      </c>
      <c r="E4994" t="s">
        <v>21</v>
      </c>
      <c r="F4994" s="1">
        <v>44197</v>
      </c>
      <c r="G4994">
        <v>1.35</v>
      </c>
      <c r="H4994">
        <v>80.903199999999998</v>
      </c>
      <c r="I4994">
        <v>26.9</v>
      </c>
      <c r="J4994">
        <v>70.94</v>
      </c>
      <c r="K4994" t="s">
        <v>31</v>
      </c>
      <c r="L4994">
        <v>1558.47</v>
      </c>
      <c r="M4994">
        <f>VLOOKUP(K4994,RatingLookup!$A$2:$C$8,2,FALSE)</f>
        <v>0.04</v>
      </c>
      <c r="N4994">
        <f t="shared" ref="N4994:N5057" si="234">1-(1-M4994)^(1/12)</f>
        <v>3.3960531989175591E-3</v>
      </c>
      <c r="O4994">
        <f>VLOOKUP(K4994,RatingLookup!$A$2:$C$8,3,FALSE)</f>
        <v>0.6</v>
      </c>
      <c r="P4994">
        <f t="shared" ref="P4994:P5057" si="235">L4994*N4994*O4994</f>
        <v>3.1755882173502288</v>
      </c>
      <c r="Q4994" t="str">
        <f t="shared" ref="Q4994:Q5057" ca="1" si="236">IF(RAND()&lt;N4994,"Yes","No")</f>
        <v>No</v>
      </c>
    </row>
    <row r="4995" spans="1:17" x14ac:dyDescent="0.45">
      <c r="A4995" t="s">
        <v>203</v>
      </c>
      <c r="B4995" t="s">
        <v>204</v>
      </c>
      <c r="C4995" t="s">
        <v>77</v>
      </c>
      <c r="D4995" t="s">
        <v>188</v>
      </c>
      <c r="E4995" t="s">
        <v>21</v>
      </c>
      <c r="F4995" s="1">
        <v>44228</v>
      </c>
      <c r="G4995">
        <v>1.74</v>
      </c>
      <c r="H4995">
        <v>80.087000000000003</v>
      </c>
      <c r="I4995">
        <v>15.23</v>
      </c>
      <c r="J4995">
        <v>66.19</v>
      </c>
      <c r="K4995" t="s">
        <v>31</v>
      </c>
      <c r="L4995">
        <v>1678.86</v>
      </c>
      <c r="M4995">
        <f>VLOOKUP(K4995,RatingLookup!$A$2:$C$8,2,FALSE)</f>
        <v>0.04</v>
      </c>
      <c r="N4995">
        <f t="shared" si="234"/>
        <v>3.3960531989175591E-3</v>
      </c>
      <c r="O4995">
        <f>VLOOKUP(K4995,RatingLookup!$A$2:$C$8,3,FALSE)</f>
        <v>0.6</v>
      </c>
      <c r="P4995">
        <f t="shared" si="235"/>
        <v>3.42089872412084</v>
      </c>
      <c r="Q4995" t="str">
        <f t="shared" ca="1" si="236"/>
        <v>No</v>
      </c>
    </row>
    <row r="4996" spans="1:17" x14ac:dyDescent="0.45">
      <c r="A4996" t="s">
        <v>203</v>
      </c>
      <c r="B4996" t="s">
        <v>204</v>
      </c>
      <c r="C4996" t="s">
        <v>77</v>
      </c>
      <c r="D4996" t="s">
        <v>188</v>
      </c>
      <c r="E4996" t="s">
        <v>21</v>
      </c>
      <c r="F4996" s="1">
        <v>44256</v>
      </c>
      <c r="G4996">
        <v>0.23</v>
      </c>
      <c r="H4996">
        <v>82.482399999999998</v>
      </c>
      <c r="I4996">
        <v>27.66</v>
      </c>
      <c r="J4996">
        <v>70.45</v>
      </c>
      <c r="K4996" t="s">
        <v>31</v>
      </c>
      <c r="L4996">
        <v>1601.05</v>
      </c>
      <c r="M4996">
        <f>VLOOKUP(K4996,RatingLookup!$A$2:$C$8,2,FALSE)</f>
        <v>0.04</v>
      </c>
      <c r="N4996">
        <f t="shared" si="234"/>
        <v>3.3960531989175591E-3</v>
      </c>
      <c r="O4996">
        <f>VLOOKUP(K4996,RatingLookup!$A$2:$C$8,3,FALSE)</f>
        <v>0.6</v>
      </c>
      <c r="P4996">
        <f t="shared" si="235"/>
        <v>3.2623505844761742</v>
      </c>
      <c r="Q4996" t="str">
        <f t="shared" ca="1" si="236"/>
        <v>No</v>
      </c>
    </row>
    <row r="4997" spans="1:17" x14ac:dyDescent="0.45">
      <c r="A4997" t="s">
        <v>203</v>
      </c>
      <c r="B4997" t="s">
        <v>204</v>
      </c>
      <c r="C4997" t="s">
        <v>77</v>
      </c>
      <c r="D4997" t="s">
        <v>188</v>
      </c>
      <c r="E4997" t="s">
        <v>21</v>
      </c>
      <c r="F4997" s="1">
        <v>44287</v>
      </c>
      <c r="G4997">
        <v>2.12</v>
      </c>
      <c r="H4997">
        <v>81.845200000000006</v>
      </c>
      <c r="I4997">
        <v>17.149999999999999</v>
      </c>
      <c r="J4997">
        <v>62.6</v>
      </c>
      <c r="K4997" t="s">
        <v>31</v>
      </c>
      <c r="L4997">
        <v>1518.53</v>
      </c>
      <c r="M4997">
        <f>VLOOKUP(K4997,RatingLookup!$A$2:$C$8,2,FALSE)</f>
        <v>0.04</v>
      </c>
      <c r="N4997">
        <f t="shared" si="234"/>
        <v>3.3960531989175591E-3</v>
      </c>
      <c r="O4997">
        <f>VLOOKUP(K4997,RatingLookup!$A$2:$C$8,3,FALSE)</f>
        <v>0.6</v>
      </c>
      <c r="P4997">
        <f t="shared" si="235"/>
        <v>3.0942051984913683</v>
      </c>
      <c r="Q4997" t="str">
        <f t="shared" ca="1" si="236"/>
        <v>No</v>
      </c>
    </row>
    <row r="4998" spans="1:17" x14ac:dyDescent="0.45">
      <c r="A4998" t="s">
        <v>203</v>
      </c>
      <c r="B4998" t="s">
        <v>204</v>
      </c>
      <c r="C4998" t="s">
        <v>77</v>
      </c>
      <c r="D4998" t="s">
        <v>188</v>
      </c>
      <c r="E4998" t="s">
        <v>21</v>
      </c>
      <c r="F4998" s="1">
        <v>44317</v>
      </c>
      <c r="G4998">
        <v>3.04</v>
      </c>
      <c r="H4998">
        <v>84.271799999999999</v>
      </c>
      <c r="I4998">
        <v>16.23</v>
      </c>
      <c r="J4998">
        <v>81.7</v>
      </c>
      <c r="K4998" t="s">
        <v>31</v>
      </c>
      <c r="L4998">
        <v>1462.71</v>
      </c>
      <c r="M4998">
        <f>VLOOKUP(K4998,RatingLookup!$A$2:$C$8,2,FALSE)</f>
        <v>0.04</v>
      </c>
      <c r="N4998">
        <f t="shared" si="234"/>
        <v>3.3960531989175591E-3</v>
      </c>
      <c r="O4998">
        <f>VLOOKUP(K4998,RatingLookup!$A$2:$C$8,3,FALSE)</f>
        <v>0.6</v>
      </c>
      <c r="P4998">
        <f t="shared" si="235"/>
        <v>2.9804645847532218</v>
      </c>
      <c r="Q4998" t="str">
        <f t="shared" ca="1" si="236"/>
        <v>No</v>
      </c>
    </row>
    <row r="4999" spans="1:17" x14ac:dyDescent="0.45">
      <c r="A4999" t="s">
        <v>203</v>
      </c>
      <c r="B4999" t="s">
        <v>204</v>
      </c>
      <c r="C4999" t="s">
        <v>77</v>
      </c>
      <c r="D4999" t="s">
        <v>188</v>
      </c>
      <c r="E4999" t="s">
        <v>21</v>
      </c>
      <c r="F4999" s="1">
        <v>44348</v>
      </c>
      <c r="G4999">
        <v>1.55</v>
      </c>
      <c r="H4999">
        <v>82.174400000000006</v>
      </c>
      <c r="I4999">
        <v>21.76</v>
      </c>
      <c r="J4999">
        <v>74.010000000000005</v>
      </c>
      <c r="K4999" t="s">
        <v>31</v>
      </c>
      <c r="L4999">
        <v>1628.67</v>
      </c>
      <c r="M4999">
        <f>VLOOKUP(K4999,RatingLookup!$A$2:$C$8,2,FALSE)</f>
        <v>0.04</v>
      </c>
      <c r="N4999">
        <f t="shared" si="234"/>
        <v>3.3960531989175591E-3</v>
      </c>
      <c r="O4999">
        <f>VLOOKUP(K4999,RatingLookup!$A$2:$C$8,3,FALSE)</f>
        <v>0.6</v>
      </c>
      <c r="P4999">
        <f t="shared" si="235"/>
        <v>3.3186299780886368</v>
      </c>
      <c r="Q4999" t="str">
        <f t="shared" ca="1" si="236"/>
        <v>No</v>
      </c>
    </row>
    <row r="5000" spans="1:17" x14ac:dyDescent="0.45">
      <c r="A5000" t="s">
        <v>203</v>
      </c>
      <c r="B5000" t="s">
        <v>204</v>
      </c>
      <c r="C5000" t="s">
        <v>77</v>
      </c>
      <c r="D5000" t="s">
        <v>188</v>
      </c>
      <c r="E5000" t="s">
        <v>21</v>
      </c>
      <c r="F5000" s="1">
        <v>44378</v>
      </c>
      <c r="G5000">
        <v>2.2599999999999998</v>
      </c>
      <c r="H5000">
        <v>81.896799999999999</v>
      </c>
      <c r="I5000">
        <v>21.01</v>
      </c>
      <c r="J5000">
        <v>68.95</v>
      </c>
      <c r="K5000" t="s">
        <v>31</v>
      </c>
      <c r="L5000">
        <v>1508.56</v>
      </c>
      <c r="M5000">
        <f>VLOOKUP(K5000,RatingLookup!$A$2:$C$8,2,FALSE)</f>
        <v>0.04</v>
      </c>
      <c r="N5000">
        <f t="shared" si="234"/>
        <v>3.3960531989175591E-3</v>
      </c>
      <c r="O5000">
        <f>VLOOKUP(K5000,RatingLookup!$A$2:$C$8,3,FALSE)</f>
        <v>0.6</v>
      </c>
      <c r="P5000">
        <f t="shared" si="235"/>
        <v>3.0738900082554435</v>
      </c>
      <c r="Q5000" t="str">
        <f t="shared" ca="1" si="236"/>
        <v>No</v>
      </c>
    </row>
    <row r="5001" spans="1:17" x14ac:dyDescent="0.45">
      <c r="A5001" t="s">
        <v>203</v>
      </c>
      <c r="B5001" t="s">
        <v>204</v>
      </c>
      <c r="C5001" t="s">
        <v>77</v>
      </c>
      <c r="D5001" t="s">
        <v>188</v>
      </c>
      <c r="E5001" t="s">
        <v>21</v>
      </c>
      <c r="F5001" s="1">
        <v>44409</v>
      </c>
      <c r="G5001">
        <v>1.17</v>
      </c>
      <c r="H5001">
        <v>82.898200000000003</v>
      </c>
      <c r="I5001">
        <v>22.47</v>
      </c>
      <c r="J5001">
        <v>68.08</v>
      </c>
      <c r="K5001" t="s">
        <v>31</v>
      </c>
      <c r="L5001">
        <v>1614.52</v>
      </c>
      <c r="M5001">
        <f>VLOOKUP(K5001,RatingLookup!$A$2:$C$8,2,FALSE)</f>
        <v>0.04</v>
      </c>
      <c r="N5001">
        <f t="shared" si="234"/>
        <v>3.3960531989175591E-3</v>
      </c>
      <c r="O5001">
        <f>VLOOKUP(K5001,RatingLookup!$A$2:$C$8,3,FALSE)</f>
        <v>0.6</v>
      </c>
      <c r="P5001">
        <f t="shared" si="235"/>
        <v>3.2897974864298263</v>
      </c>
      <c r="Q5001" t="str">
        <f t="shared" ca="1" si="236"/>
        <v>No</v>
      </c>
    </row>
    <row r="5002" spans="1:17" x14ac:dyDescent="0.45">
      <c r="A5002" t="s">
        <v>203</v>
      </c>
      <c r="B5002" t="s">
        <v>204</v>
      </c>
      <c r="C5002" t="s">
        <v>77</v>
      </c>
      <c r="D5002" t="s">
        <v>188</v>
      </c>
      <c r="E5002" t="s">
        <v>21</v>
      </c>
      <c r="F5002" s="1">
        <v>44440</v>
      </c>
      <c r="G5002">
        <v>1.6</v>
      </c>
      <c r="H5002">
        <v>80.232900000000001</v>
      </c>
      <c r="I5002">
        <v>17.52</v>
      </c>
      <c r="J5002">
        <v>76.86</v>
      </c>
      <c r="K5002" t="s">
        <v>31</v>
      </c>
      <c r="L5002">
        <v>1526.41</v>
      </c>
      <c r="M5002">
        <f>VLOOKUP(K5002,RatingLookup!$A$2:$C$8,2,FALSE)</f>
        <v>0.04</v>
      </c>
      <c r="N5002">
        <f t="shared" si="234"/>
        <v>3.3960531989175591E-3</v>
      </c>
      <c r="O5002">
        <f>VLOOKUP(K5002,RatingLookup!$A$2:$C$8,3,FALSE)</f>
        <v>0.6</v>
      </c>
      <c r="P5002">
        <f t="shared" si="235"/>
        <v>3.110261738015851</v>
      </c>
      <c r="Q5002" t="str">
        <f t="shared" ca="1" si="236"/>
        <v>No</v>
      </c>
    </row>
    <row r="5003" spans="1:17" x14ac:dyDescent="0.45">
      <c r="A5003" t="s">
        <v>203</v>
      </c>
      <c r="B5003" t="s">
        <v>204</v>
      </c>
      <c r="C5003" t="s">
        <v>77</v>
      </c>
      <c r="D5003" t="s">
        <v>188</v>
      </c>
      <c r="E5003" t="s">
        <v>21</v>
      </c>
      <c r="F5003" s="1">
        <v>44470</v>
      </c>
      <c r="G5003">
        <v>1.29</v>
      </c>
      <c r="H5003">
        <v>87.144000000000005</v>
      </c>
      <c r="I5003">
        <v>12.61</v>
      </c>
      <c r="J5003">
        <v>90.63</v>
      </c>
      <c r="K5003" t="s">
        <v>31</v>
      </c>
      <c r="L5003">
        <v>1523.61</v>
      </c>
      <c r="M5003">
        <f>VLOOKUP(K5003,RatingLookup!$A$2:$C$8,2,FALSE)</f>
        <v>0.04</v>
      </c>
      <c r="N5003">
        <f t="shared" si="234"/>
        <v>3.3960531989175591E-3</v>
      </c>
      <c r="O5003">
        <f>VLOOKUP(K5003,RatingLookup!$A$2:$C$8,3,FALSE)</f>
        <v>0.6</v>
      </c>
      <c r="P5003">
        <f t="shared" si="235"/>
        <v>3.1045563686416693</v>
      </c>
      <c r="Q5003" t="str">
        <f t="shared" ca="1" si="236"/>
        <v>No</v>
      </c>
    </row>
    <row r="5004" spans="1:17" x14ac:dyDescent="0.45">
      <c r="A5004" t="s">
        <v>203</v>
      </c>
      <c r="B5004" t="s">
        <v>204</v>
      </c>
      <c r="C5004" t="s">
        <v>77</v>
      </c>
      <c r="D5004" t="s">
        <v>188</v>
      </c>
      <c r="E5004" t="s">
        <v>21</v>
      </c>
      <c r="F5004" s="1">
        <v>44501</v>
      </c>
      <c r="G5004">
        <v>1.76</v>
      </c>
      <c r="H5004">
        <v>76.553399999999996</v>
      </c>
      <c r="I5004">
        <v>24.95</v>
      </c>
      <c r="J5004">
        <v>80.430000000000007</v>
      </c>
      <c r="K5004" t="s">
        <v>31</v>
      </c>
      <c r="L5004">
        <v>1549.05</v>
      </c>
      <c r="M5004">
        <f>VLOOKUP(K5004,RatingLookup!$A$2:$C$8,2,FALSE)</f>
        <v>0.04</v>
      </c>
      <c r="N5004">
        <f t="shared" si="234"/>
        <v>3.3960531989175591E-3</v>
      </c>
      <c r="O5004">
        <f>VLOOKUP(K5004,RatingLookup!$A$2:$C$8,3,FALSE)</f>
        <v>0.6</v>
      </c>
      <c r="P5004">
        <f t="shared" si="235"/>
        <v>3.1563937246699467</v>
      </c>
      <c r="Q5004" t="str">
        <f t="shared" ca="1" si="236"/>
        <v>No</v>
      </c>
    </row>
    <row r="5005" spans="1:17" x14ac:dyDescent="0.45">
      <c r="A5005" t="s">
        <v>203</v>
      </c>
      <c r="B5005" t="s">
        <v>204</v>
      </c>
      <c r="C5005" t="s">
        <v>77</v>
      </c>
      <c r="D5005" t="s">
        <v>188</v>
      </c>
      <c r="E5005" t="s">
        <v>21</v>
      </c>
      <c r="F5005" s="1">
        <v>44531</v>
      </c>
      <c r="G5005">
        <v>1.42</v>
      </c>
      <c r="H5005">
        <v>80.761700000000005</v>
      </c>
      <c r="I5005">
        <v>21.71</v>
      </c>
      <c r="J5005">
        <v>74.489999999999995</v>
      </c>
      <c r="K5005" t="s">
        <v>31</v>
      </c>
      <c r="L5005">
        <v>1605.28</v>
      </c>
      <c r="M5005">
        <f>VLOOKUP(K5005,RatingLookup!$A$2:$C$8,2,FALSE)</f>
        <v>0.04</v>
      </c>
      <c r="N5005">
        <f t="shared" si="234"/>
        <v>3.3960531989175591E-3</v>
      </c>
      <c r="O5005">
        <f>VLOOKUP(K5005,RatingLookup!$A$2:$C$8,3,FALSE)</f>
        <v>0.6</v>
      </c>
      <c r="P5005">
        <f t="shared" si="235"/>
        <v>3.2709697674950275</v>
      </c>
      <c r="Q5005" t="str">
        <f t="shared" ca="1" si="236"/>
        <v>No</v>
      </c>
    </row>
    <row r="5006" spans="1:17" x14ac:dyDescent="0.45">
      <c r="A5006" t="s">
        <v>203</v>
      </c>
      <c r="B5006" t="s">
        <v>204</v>
      </c>
      <c r="C5006" t="s">
        <v>77</v>
      </c>
      <c r="D5006" t="s">
        <v>188</v>
      </c>
      <c r="E5006" t="s">
        <v>21</v>
      </c>
      <c r="F5006" s="1">
        <v>44562</v>
      </c>
      <c r="G5006">
        <v>0.86</v>
      </c>
      <c r="H5006">
        <v>85.072999999999993</v>
      </c>
      <c r="I5006">
        <v>12.13</v>
      </c>
      <c r="J5006">
        <v>69.75</v>
      </c>
      <c r="K5006" t="s">
        <v>31</v>
      </c>
      <c r="L5006">
        <v>1487.1</v>
      </c>
      <c r="M5006">
        <f>VLOOKUP(K5006,RatingLookup!$A$2:$C$8,2,FALSE)</f>
        <v>0.04</v>
      </c>
      <c r="N5006">
        <f t="shared" si="234"/>
        <v>3.3960531989175591E-3</v>
      </c>
      <c r="O5006">
        <f>VLOOKUP(K5006,RatingLookup!$A$2:$C$8,3,FALSE)</f>
        <v>0.6</v>
      </c>
      <c r="P5006">
        <f t="shared" si="235"/>
        <v>3.0301624272661809</v>
      </c>
      <c r="Q5006" t="str">
        <f t="shared" ca="1" si="236"/>
        <v>No</v>
      </c>
    </row>
    <row r="5007" spans="1:17" x14ac:dyDescent="0.45">
      <c r="A5007" t="s">
        <v>203</v>
      </c>
      <c r="B5007" t="s">
        <v>204</v>
      </c>
      <c r="C5007" t="s">
        <v>77</v>
      </c>
      <c r="D5007" t="s">
        <v>188</v>
      </c>
      <c r="E5007" t="s">
        <v>21</v>
      </c>
      <c r="F5007" s="1">
        <v>44593</v>
      </c>
      <c r="G5007">
        <v>2</v>
      </c>
      <c r="H5007">
        <v>80.185199999999995</v>
      </c>
      <c r="I5007">
        <v>23.26</v>
      </c>
      <c r="J5007">
        <v>97.93</v>
      </c>
      <c r="K5007" t="s">
        <v>31</v>
      </c>
      <c r="L5007">
        <v>1626.33</v>
      </c>
      <c r="M5007">
        <f>VLOOKUP(K5007,RatingLookup!$A$2:$C$8,2,FALSE)</f>
        <v>0.04</v>
      </c>
      <c r="N5007">
        <f t="shared" si="234"/>
        <v>3.3960531989175591E-3</v>
      </c>
      <c r="O5007">
        <f>VLOOKUP(K5007,RatingLookup!$A$2:$C$8,3,FALSE)</f>
        <v>0.6</v>
      </c>
      <c r="P5007">
        <f t="shared" si="235"/>
        <v>3.3138619193973557</v>
      </c>
      <c r="Q5007" t="str">
        <f t="shared" ca="1" si="236"/>
        <v>No</v>
      </c>
    </row>
    <row r="5008" spans="1:17" x14ac:dyDescent="0.45">
      <c r="A5008" t="s">
        <v>203</v>
      </c>
      <c r="B5008" t="s">
        <v>204</v>
      </c>
      <c r="C5008" t="s">
        <v>77</v>
      </c>
      <c r="D5008" t="s">
        <v>188</v>
      </c>
      <c r="E5008" t="s">
        <v>21</v>
      </c>
      <c r="F5008" s="1">
        <v>44621</v>
      </c>
      <c r="G5008">
        <v>2.19</v>
      </c>
      <c r="H5008">
        <v>81.86</v>
      </c>
      <c r="I5008">
        <v>12.15</v>
      </c>
      <c r="J5008">
        <v>75.930000000000007</v>
      </c>
      <c r="K5008" t="s">
        <v>31</v>
      </c>
      <c r="L5008">
        <v>1678.2</v>
      </c>
      <c r="M5008">
        <f>VLOOKUP(K5008,RatingLookup!$A$2:$C$8,2,FALSE)</f>
        <v>0.04</v>
      </c>
      <c r="N5008">
        <f t="shared" si="234"/>
        <v>3.3960531989175591E-3</v>
      </c>
      <c r="O5008">
        <f>VLOOKUP(K5008,RatingLookup!$A$2:$C$8,3,FALSE)</f>
        <v>0.6</v>
      </c>
      <c r="P5008">
        <f t="shared" si="235"/>
        <v>3.4195538870540685</v>
      </c>
      <c r="Q5008" t="str">
        <f t="shared" ca="1" si="236"/>
        <v>No</v>
      </c>
    </row>
    <row r="5009" spans="1:17" x14ac:dyDescent="0.45">
      <c r="A5009" t="s">
        <v>203</v>
      </c>
      <c r="B5009" t="s">
        <v>204</v>
      </c>
      <c r="C5009" t="s">
        <v>77</v>
      </c>
      <c r="D5009" t="s">
        <v>188</v>
      </c>
      <c r="E5009" t="s">
        <v>21</v>
      </c>
      <c r="F5009" s="1">
        <v>44652</v>
      </c>
      <c r="G5009">
        <v>1.1599999999999999</v>
      </c>
      <c r="H5009">
        <v>79.425200000000004</v>
      </c>
      <c r="I5009">
        <v>18.059999999999999</v>
      </c>
      <c r="J5009">
        <v>78.14</v>
      </c>
      <c r="K5009" t="s">
        <v>31</v>
      </c>
      <c r="L5009">
        <v>1514.65</v>
      </c>
      <c r="M5009">
        <f>VLOOKUP(K5009,RatingLookup!$A$2:$C$8,2,FALSE)</f>
        <v>0.04</v>
      </c>
      <c r="N5009">
        <f t="shared" si="234"/>
        <v>3.3960531989175591E-3</v>
      </c>
      <c r="O5009">
        <f>VLOOKUP(K5009,RatingLookup!$A$2:$C$8,3,FALSE)</f>
        <v>0.6</v>
      </c>
      <c r="P5009">
        <f t="shared" si="235"/>
        <v>3.0862991866442884</v>
      </c>
      <c r="Q5009" t="str">
        <f t="shared" ca="1" si="236"/>
        <v>No</v>
      </c>
    </row>
    <row r="5010" spans="1:17" x14ac:dyDescent="0.45">
      <c r="A5010" t="s">
        <v>203</v>
      </c>
      <c r="B5010" t="s">
        <v>204</v>
      </c>
      <c r="C5010" t="s">
        <v>77</v>
      </c>
      <c r="D5010" t="s">
        <v>188</v>
      </c>
      <c r="E5010" t="s">
        <v>21</v>
      </c>
      <c r="F5010" s="1">
        <v>44682</v>
      </c>
      <c r="G5010">
        <v>1.95</v>
      </c>
      <c r="H5010">
        <v>87.136899999999997</v>
      </c>
      <c r="I5010">
        <v>8.86</v>
      </c>
      <c r="J5010">
        <v>94.88</v>
      </c>
      <c r="K5010" t="s">
        <v>31</v>
      </c>
      <c r="L5010">
        <v>1526.61</v>
      </c>
      <c r="M5010">
        <f>VLOOKUP(K5010,RatingLookup!$A$2:$C$8,2,FALSE)</f>
        <v>0.04</v>
      </c>
      <c r="N5010">
        <f t="shared" si="234"/>
        <v>3.3960531989175591E-3</v>
      </c>
      <c r="O5010">
        <f>VLOOKUP(K5010,RatingLookup!$A$2:$C$8,3,FALSE)</f>
        <v>0.6</v>
      </c>
      <c r="P5010">
        <f t="shared" si="235"/>
        <v>3.1106692643997205</v>
      </c>
      <c r="Q5010" t="str">
        <f t="shared" ca="1" si="236"/>
        <v>No</v>
      </c>
    </row>
    <row r="5011" spans="1:17" x14ac:dyDescent="0.45">
      <c r="A5011" t="s">
        <v>203</v>
      </c>
      <c r="B5011" t="s">
        <v>204</v>
      </c>
      <c r="C5011" t="s">
        <v>77</v>
      </c>
      <c r="D5011" t="s">
        <v>188</v>
      </c>
      <c r="E5011" t="s">
        <v>21</v>
      </c>
      <c r="F5011" s="1">
        <v>44713</v>
      </c>
      <c r="G5011">
        <v>0.71</v>
      </c>
      <c r="H5011">
        <v>85.288200000000003</v>
      </c>
      <c r="I5011">
        <v>19.61</v>
      </c>
      <c r="J5011">
        <v>70.86</v>
      </c>
      <c r="K5011" t="s">
        <v>31</v>
      </c>
      <c r="L5011">
        <v>1668.65</v>
      </c>
      <c r="M5011">
        <f>VLOOKUP(K5011,RatingLookup!$A$2:$C$8,2,FALSE)</f>
        <v>0.04</v>
      </c>
      <c r="N5011">
        <f t="shared" si="234"/>
        <v>3.3960531989175591E-3</v>
      </c>
      <c r="O5011">
        <f>VLOOKUP(K5011,RatingLookup!$A$2:$C$8,3,FALSE)</f>
        <v>0.6</v>
      </c>
      <c r="P5011">
        <f t="shared" si="235"/>
        <v>3.4000945022242712</v>
      </c>
      <c r="Q5011" t="str">
        <f t="shared" ca="1" si="236"/>
        <v>No</v>
      </c>
    </row>
    <row r="5012" spans="1:17" x14ac:dyDescent="0.45">
      <c r="A5012" t="s">
        <v>203</v>
      </c>
      <c r="B5012" t="s">
        <v>204</v>
      </c>
      <c r="C5012" t="s">
        <v>77</v>
      </c>
      <c r="D5012" t="s">
        <v>188</v>
      </c>
      <c r="E5012" t="s">
        <v>21</v>
      </c>
      <c r="F5012" s="1">
        <v>44743</v>
      </c>
      <c r="G5012">
        <v>1.42</v>
      </c>
      <c r="H5012">
        <v>82.688599999999994</v>
      </c>
      <c r="I5012">
        <v>22.36</v>
      </c>
      <c r="J5012">
        <v>71.69</v>
      </c>
      <c r="K5012" t="s">
        <v>31</v>
      </c>
      <c r="L5012">
        <v>1504.77</v>
      </c>
      <c r="M5012">
        <f>VLOOKUP(K5012,RatingLookup!$A$2:$C$8,2,FALSE)</f>
        <v>0.04</v>
      </c>
      <c r="N5012">
        <f t="shared" si="234"/>
        <v>3.3960531989175591E-3</v>
      </c>
      <c r="O5012">
        <f>VLOOKUP(K5012,RatingLookup!$A$2:$C$8,3,FALSE)</f>
        <v>0.6</v>
      </c>
      <c r="P5012">
        <f t="shared" si="235"/>
        <v>3.0661673832811052</v>
      </c>
      <c r="Q5012" t="str">
        <f t="shared" ca="1" si="236"/>
        <v>No</v>
      </c>
    </row>
    <row r="5013" spans="1:17" x14ac:dyDescent="0.45">
      <c r="A5013" t="s">
        <v>203</v>
      </c>
      <c r="B5013" t="s">
        <v>204</v>
      </c>
      <c r="C5013" t="s">
        <v>77</v>
      </c>
      <c r="D5013" t="s">
        <v>188</v>
      </c>
      <c r="E5013" t="s">
        <v>21</v>
      </c>
      <c r="F5013" s="1">
        <v>44774</v>
      </c>
      <c r="G5013">
        <v>1.42</v>
      </c>
      <c r="H5013">
        <v>80.116600000000005</v>
      </c>
      <c r="I5013">
        <v>16.75</v>
      </c>
      <c r="J5013">
        <v>69.13</v>
      </c>
      <c r="K5013" t="s">
        <v>31</v>
      </c>
      <c r="L5013">
        <v>1558.68</v>
      </c>
      <c r="M5013">
        <f>VLOOKUP(K5013,RatingLookup!$A$2:$C$8,2,FALSE)</f>
        <v>0.04</v>
      </c>
      <c r="N5013">
        <f t="shared" si="234"/>
        <v>3.3960531989175591E-3</v>
      </c>
      <c r="O5013">
        <f>VLOOKUP(K5013,RatingLookup!$A$2:$C$8,3,FALSE)</f>
        <v>0.6</v>
      </c>
      <c r="P5013">
        <f t="shared" si="235"/>
        <v>3.1760161200532924</v>
      </c>
      <c r="Q5013" t="str">
        <f t="shared" ca="1" si="236"/>
        <v>No</v>
      </c>
    </row>
    <row r="5014" spans="1:17" x14ac:dyDescent="0.45">
      <c r="A5014" t="s">
        <v>203</v>
      </c>
      <c r="B5014" t="s">
        <v>204</v>
      </c>
      <c r="C5014" t="s">
        <v>77</v>
      </c>
      <c r="D5014" t="s">
        <v>188</v>
      </c>
      <c r="E5014" t="s">
        <v>21</v>
      </c>
      <c r="F5014" s="1">
        <v>44805</v>
      </c>
      <c r="G5014">
        <v>1.73</v>
      </c>
      <c r="H5014">
        <v>78.118300000000005</v>
      </c>
      <c r="I5014">
        <v>16.66</v>
      </c>
      <c r="J5014">
        <v>69.95</v>
      </c>
      <c r="K5014" t="s">
        <v>31</v>
      </c>
      <c r="L5014">
        <v>1589.27</v>
      </c>
      <c r="M5014">
        <f>VLOOKUP(K5014,RatingLookup!$A$2:$C$8,2,FALSE)</f>
        <v>0.04</v>
      </c>
      <c r="N5014">
        <f t="shared" si="234"/>
        <v>3.3960531989175591E-3</v>
      </c>
      <c r="O5014">
        <f>VLOOKUP(K5014,RatingLookup!$A$2:$C$8,3,FALSE)</f>
        <v>0.6</v>
      </c>
      <c r="P5014">
        <f t="shared" si="235"/>
        <v>3.2383472804662254</v>
      </c>
      <c r="Q5014" t="str">
        <f t="shared" ca="1" si="236"/>
        <v>No</v>
      </c>
    </row>
    <row r="5015" spans="1:17" x14ac:dyDescent="0.45">
      <c r="A5015" t="s">
        <v>203</v>
      </c>
      <c r="B5015" t="s">
        <v>204</v>
      </c>
      <c r="C5015" t="s">
        <v>77</v>
      </c>
      <c r="D5015" t="s">
        <v>188</v>
      </c>
      <c r="E5015" t="s">
        <v>21</v>
      </c>
      <c r="F5015" s="1">
        <v>44835</v>
      </c>
      <c r="G5015">
        <v>1.17</v>
      </c>
      <c r="H5015">
        <v>85.472399999999993</v>
      </c>
      <c r="I5015">
        <v>6.11</v>
      </c>
      <c r="J5015">
        <v>78.7</v>
      </c>
      <c r="K5015" t="s">
        <v>31</v>
      </c>
      <c r="L5015">
        <v>1594.55</v>
      </c>
      <c r="M5015">
        <f>VLOOKUP(K5015,RatingLookup!$A$2:$C$8,2,FALSE)</f>
        <v>0.04</v>
      </c>
      <c r="N5015">
        <f t="shared" si="234"/>
        <v>3.3960531989175591E-3</v>
      </c>
      <c r="O5015">
        <f>VLOOKUP(K5015,RatingLookup!$A$2:$C$8,3,FALSE)</f>
        <v>0.6</v>
      </c>
      <c r="P5015">
        <f t="shared" si="235"/>
        <v>3.2491059770003958</v>
      </c>
      <c r="Q5015" t="str">
        <f t="shared" ca="1" si="236"/>
        <v>No</v>
      </c>
    </row>
    <row r="5016" spans="1:17" x14ac:dyDescent="0.45">
      <c r="A5016" t="s">
        <v>203</v>
      </c>
      <c r="B5016" t="s">
        <v>204</v>
      </c>
      <c r="C5016" t="s">
        <v>77</v>
      </c>
      <c r="D5016" t="s">
        <v>188</v>
      </c>
      <c r="E5016" t="s">
        <v>21</v>
      </c>
      <c r="F5016" s="1">
        <v>44866</v>
      </c>
      <c r="G5016">
        <v>1.79</v>
      </c>
      <c r="H5016">
        <v>85.397199999999998</v>
      </c>
      <c r="I5016">
        <v>16.97</v>
      </c>
      <c r="J5016">
        <v>74.010000000000005</v>
      </c>
      <c r="K5016" t="s">
        <v>31</v>
      </c>
      <c r="L5016">
        <v>1536.18</v>
      </c>
      <c r="M5016">
        <f>VLOOKUP(K5016,RatingLookup!$A$2:$C$8,2,FALSE)</f>
        <v>0.04</v>
      </c>
      <c r="N5016">
        <f t="shared" si="234"/>
        <v>3.3960531989175591E-3</v>
      </c>
      <c r="O5016">
        <f>VLOOKUP(K5016,RatingLookup!$A$2:$C$8,3,FALSE)</f>
        <v>0.6</v>
      </c>
      <c r="P5016">
        <f t="shared" si="235"/>
        <v>3.1301694018679056</v>
      </c>
      <c r="Q5016" t="str">
        <f t="shared" ca="1" si="236"/>
        <v>No</v>
      </c>
    </row>
    <row r="5017" spans="1:17" x14ac:dyDescent="0.45">
      <c r="A5017" t="s">
        <v>203</v>
      </c>
      <c r="B5017" t="s">
        <v>204</v>
      </c>
      <c r="C5017" t="s">
        <v>77</v>
      </c>
      <c r="D5017" t="s">
        <v>188</v>
      </c>
      <c r="E5017" t="s">
        <v>21</v>
      </c>
      <c r="F5017" s="1">
        <v>44896</v>
      </c>
      <c r="G5017">
        <v>1.53</v>
      </c>
      <c r="H5017">
        <v>78.642799999999994</v>
      </c>
      <c r="I5017">
        <v>18.309999999999999</v>
      </c>
      <c r="J5017">
        <v>64.7</v>
      </c>
      <c r="K5017" t="s">
        <v>31</v>
      </c>
      <c r="L5017">
        <v>1578.47</v>
      </c>
      <c r="M5017">
        <f>VLOOKUP(K5017,RatingLookup!$A$2:$C$8,2,FALSE)</f>
        <v>0.04</v>
      </c>
      <c r="N5017">
        <f t="shared" si="234"/>
        <v>3.3960531989175591E-3</v>
      </c>
      <c r="O5017">
        <f>VLOOKUP(K5017,RatingLookup!$A$2:$C$8,3,FALSE)</f>
        <v>0.6</v>
      </c>
      <c r="P5017">
        <f t="shared" si="235"/>
        <v>3.2163408557372395</v>
      </c>
      <c r="Q5017" t="str">
        <f t="shared" ca="1" si="236"/>
        <v>No</v>
      </c>
    </row>
    <row r="5018" spans="1:17" x14ac:dyDescent="0.45">
      <c r="A5018" t="s">
        <v>203</v>
      </c>
      <c r="B5018" t="s">
        <v>204</v>
      </c>
      <c r="C5018" t="s">
        <v>77</v>
      </c>
      <c r="D5018" t="s">
        <v>188</v>
      </c>
      <c r="E5018" t="s">
        <v>21</v>
      </c>
      <c r="F5018" s="1">
        <v>44927</v>
      </c>
      <c r="G5018">
        <v>1.49</v>
      </c>
      <c r="H5018">
        <v>78.658799999999999</v>
      </c>
      <c r="I5018">
        <v>21.57</v>
      </c>
      <c r="J5018">
        <v>77.81</v>
      </c>
      <c r="K5018" t="s">
        <v>31</v>
      </c>
      <c r="L5018">
        <v>1566.98</v>
      </c>
      <c r="M5018">
        <f>VLOOKUP(K5018,RatingLookup!$A$2:$C$8,2,FALSE)</f>
        <v>0.04</v>
      </c>
      <c r="N5018">
        <f t="shared" si="234"/>
        <v>3.3960531989175591E-3</v>
      </c>
      <c r="O5018">
        <f>VLOOKUP(K5018,RatingLookup!$A$2:$C$8,3,FALSE)</f>
        <v>0.6</v>
      </c>
      <c r="P5018">
        <f t="shared" si="235"/>
        <v>3.1929284649839018</v>
      </c>
      <c r="Q5018" t="str">
        <f t="shared" ca="1" si="236"/>
        <v>No</v>
      </c>
    </row>
    <row r="5019" spans="1:17" x14ac:dyDescent="0.45">
      <c r="A5019" t="s">
        <v>203</v>
      </c>
      <c r="B5019" t="s">
        <v>204</v>
      </c>
      <c r="C5019" t="s">
        <v>77</v>
      </c>
      <c r="D5019" t="s">
        <v>188</v>
      </c>
      <c r="E5019" t="s">
        <v>21</v>
      </c>
      <c r="F5019" s="1">
        <v>44958</v>
      </c>
      <c r="G5019">
        <v>1.58</v>
      </c>
      <c r="H5019">
        <v>82.697400000000002</v>
      </c>
      <c r="I5019">
        <v>15.94</v>
      </c>
      <c r="J5019">
        <v>91.72</v>
      </c>
      <c r="K5019" t="s">
        <v>31</v>
      </c>
      <c r="L5019">
        <v>1548.72</v>
      </c>
      <c r="M5019">
        <f>VLOOKUP(K5019,RatingLookup!$A$2:$C$8,2,FALSE)</f>
        <v>0.04</v>
      </c>
      <c r="N5019">
        <f t="shared" si="234"/>
        <v>3.3960531989175591E-3</v>
      </c>
      <c r="O5019">
        <f>VLOOKUP(K5019,RatingLookup!$A$2:$C$8,3,FALSE)</f>
        <v>0.6</v>
      </c>
      <c r="P5019">
        <f t="shared" si="235"/>
        <v>3.1557213061365612</v>
      </c>
      <c r="Q5019" t="str">
        <f t="shared" ca="1" si="236"/>
        <v>No</v>
      </c>
    </row>
    <row r="5020" spans="1:17" x14ac:dyDescent="0.45">
      <c r="A5020" t="s">
        <v>203</v>
      </c>
      <c r="B5020" t="s">
        <v>204</v>
      </c>
      <c r="C5020" t="s">
        <v>77</v>
      </c>
      <c r="D5020" t="s">
        <v>188</v>
      </c>
      <c r="E5020" t="s">
        <v>21</v>
      </c>
      <c r="F5020" s="1">
        <v>44986</v>
      </c>
      <c r="G5020">
        <v>1.34</v>
      </c>
      <c r="H5020">
        <v>81.032799999999995</v>
      </c>
      <c r="I5020">
        <v>20.93</v>
      </c>
      <c r="J5020">
        <v>81.02</v>
      </c>
      <c r="K5020" t="s">
        <v>31</v>
      </c>
      <c r="L5020">
        <v>1622.37</v>
      </c>
      <c r="M5020">
        <f>VLOOKUP(K5020,RatingLookup!$A$2:$C$8,2,FALSE)</f>
        <v>0.04</v>
      </c>
      <c r="N5020">
        <f t="shared" si="234"/>
        <v>3.3960531989175591E-3</v>
      </c>
      <c r="O5020">
        <f>VLOOKUP(K5020,RatingLookup!$A$2:$C$8,3,FALSE)</f>
        <v>0.6</v>
      </c>
      <c r="P5020">
        <f t="shared" si="235"/>
        <v>3.3057928969967283</v>
      </c>
      <c r="Q5020" t="str">
        <f t="shared" ca="1" si="236"/>
        <v>No</v>
      </c>
    </row>
    <row r="5021" spans="1:17" x14ac:dyDescent="0.45">
      <c r="A5021" t="s">
        <v>203</v>
      </c>
      <c r="B5021" t="s">
        <v>204</v>
      </c>
      <c r="C5021" t="s">
        <v>77</v>
      </c>
      <c r="D5021" t="s">
        <v>188</v>
      </c>
      <c r="E5021" t="s">
        <v>21</v>
      </c>
      <c r="F5021" s="1">
        <v>45017</v>
      </c>
      <c r="G5021">
        <v>0.74</v>
      </c>
      <c r="H5021">
        <v>84.837999999999994</v>
      </c>
      <c r="I5021">
        <v>16.420000000000002</v>
      </c>
      <c r="J5021">
        <v>96.75</v>
      </c>
      <c r="K5021" t="s">
        <v>31</v>
      </c>
      <c r="L5021">
        <v>1569.33</v>
      </c>
      <c r="M5021">
        <f>VLOOKUP(K5021,RatingLookup!$A$2:$C$8,2,FALSE)</f>
        <v>0.04</v>
      </c>
      <c r="N5021">
        <f t="shared" si="234"/>
        <v>3.3960531989175591E-3</v>
      </c>
      <c r="O5021">
        <f>VLOOKUP(K5021,RatingLookup!$A$2:$C$8,3,FALSE)</f>
        <v>0.6</v>
      </c>
      <c r="P5021">
        <f t="shared" si="235"/>
        <v>3.1977168999943757</v>
      </c>
      <c r="Q5021" t="str">
        <f t="shared" ca="1" si="236"/>
        <v>No</v>
      </c>
    </row>
    <row r="5022" spans="1:17" x14ac:dyDescent="0.45">
      <c r="A5022" t="s">
        <v>203</v>
      </c>
      <c r="B5022" t="s">
        <v>204</v>
      </c>
      <c r="C5022" t="s">
        <v>77</v>
      </c>
      <c r="D5022" t="s">
        <v>188</v>
      </c>
      <c r="E5022" t="s">
        <v>21</v>
      </c>
      <c r="F5022" s="1">
        <v>45047</v>
      </c>
      <c r="G5022">
        <v>2.33</v>
      </c>
      <c r="H5022">
        <v>82.6922</v>
      </c>
      <c r="I5022">
        <v>23.32</v>
      </c>
      <c r="J5022">
        <v>74.77</v>
      </c>
      <c r="K5022" t="s">
        <v>31</v>
      </c>
      <c r="L5022">
        <v>1546.98</v>
      </c>
      <c r="M5022">
        <f>VLOOKUP(K5022,RatingLookup!$A$2:$C$8,2,FALSE)</f>
        <v>0.04</v>
      </c>
      <c r="N5022">
        <f t="shared" si="234"/>
        <v>3.3960531989175591E-3</v>
      </c>
      <c r="O5022">
        <f>VLOOKUP(K5022,RatingLookup!$A$2:$C$8,3,FALSE)</f>
        <v>0.6</v>
      </c>
      <c r="P5022">
        <f t="shared" si="235"/>
        <v>3.1521758265968916</v>
      </c>
      <c r="Q5022" t="str">
        <f t="shared" ca="1" si="236"/>
        <v>No</v>
      </c>
    </row>
    <row r="5023" spans="1:17" x14ac:dyDescent="0.45">
      <c r="A5023" t="s">
        <v>203</v>
      </c>
      <c r="B5023" t="s">
        <v>204</v>
      </c>
      <c r="C5023" t="s">
        <v>77</v>
      </c>
      <c r="D5023" t="s">
        <v>188</v>
      </c>
      <c r="E5023" t="s">
        <v>21</v>
      </c>
      <c r="F5023" s="1">
        <v>45078</v>
      </c>
      <c r="G5023">
        <v>2.17</v>
      </c>
      <c r="H5023">
        <v>84.271500000000003</v>
      </c>
      <c r="I5023">
        <v>16.760000000000002</v>
      </c>
      <c r="J5023">
        <v>82.09</v>
      </c>
      <c r="K5023" t="s">
        <v>31</v>
      </c>
      <c r="L5023">
        <v>1620.04</v>
      </c>
      <c r="M5023">
        <f>VLOOKUP(K5023,RatingLookup!$A$2:$C$8,2,FALSE)</f>
        <v>0.04</v>
      </c>
      <c r="N5023">
        <f t="shared" si="234"/>
        <v>3.3960531989175591E-3</v>
      </c>
      <c r="O5023">
        <f>VLOOKUP(K5023,RatingLookup!$A$2:$C$8,3,FALSE)</f>
        <v>0.6</v>
      </c>
      <c r="P5023">
        <f t="shared" si="235"/>
        <v>3.3010452146246414</v>
      </c>
      <c r="Q5023" t="str">
        <f t="shared" ca="1" si="236"/>
        <v>No</v>
      </c>
    </row>
    <row r="5024" spans="1:17" x14ac:dyDescent="0.45">
      <c r="A5024" t="s">
        <v>203</v>
      </c>
      <c r="B5024" t="s">
        <v>204</v>
      </c>
      <c r="C5024" t="s">
        <v>77</v>
      </c>
      <c r="D5024" t="s">
        <v>188</v>
      </c>
      <c r="E5024" t="s">
        <v>21</v>
      </c>
      <c r="F5024" s="1">
        <v>45108</v>
      </c>
      <c r="G5024">
        <v>0.71</v>
      </c>
      <c r="H5024">
        <v>79.524100000000004</v>
      </c>
      <c r="I5024">
        <v>25.76</v>
      </c>
      <c r="J5024">
        <v>75.34</v>
      </c>
      <c r="K5024" t="s">
        <v>31</v>
      </c>
      <c r="L5024">
        <v>1524.24</v>
      </c>
      <c r="M5024">
        <f>VLOOKUP(K5024,RatingLookup!$A$2:$C$8,2,FALSE)</f>
        <v>0.04</v>
      </c>
      <c r="N5024">
        <f t="shared" si="234"/>
        <v>3.3960531989175591E-3</v>
      </c>
      <c r="O5024">
        <f>VLOOKUP(K5024,RatingLookup!$A$2:$C$8,3,FALSE)</f>
        <v>0.6</v>
      </c>
      <c r="P5024">
        <f t="shared" si="235"/>
        <v>3.10584007675086</v>
      </c>
      <c r="Q5024" t="str">
        <f t="shared" ca="1" si="236"/>
        <v>No</v>
      </c>
    </row>
    <row r="5025" spans="1:17" x14ac:dyDescent="0.45">
      <c r="A5025" t="s">
        <v>203</v>
      </c>
      <c r="B5025" t="s">
        <v>204</v>
      </c>
      <c r="C5025" t="s">
        <v>77</v>
      </c>
      <c r="D5025" t="s">
        <v>188</v>
      </c>
      <c r="E5025" t="s">
        <v>21</v>
      </c>
      <c r="F5025" s="1">
        <v>45139</v>
      </c>
      <c r="G5025">
        <v>1.72</v>
      </c>
      <c r="H5025">
        <v>85.308400000000006</v>
      </c>
      <c r="I5025">
        <v>23.53</v>
      </c>
      <c r="J5025">
        <v>83.92</v>
      </c>
      <c r="K5025" t="s">
        <v>31</v>
      </c>
      <c r="L5025">
        <v>1669.73</v>
      </c>
      <c r="M5025">
        <f>VLOOKUP(K5025,RatingLookup!$A$2:$C$8,2,FALSE)</f>
        <v>0.04</v>
      </c>
      <c r="N5025">
        <f t="shared" si="234"/>
        <v>3.3960531989175591E-3</v>
      </c>
      <c r="O5025">
        <f>VLOOKUP(K5025,RatingLookup!$A$2:$C$8,3,FALSE)</f>
        <v>0.6</v>
      </c>
      <c r="P5025">
        <f t="shared" si="235"/>
        <v>3.4022951446971694</v>
      </c>
      <c r="Q5025" t="str">
        <f t="shared" ca="1" si="236"/>
        <v>No</v>
      </c>
    </row>
    <row r="5026" spans="1:17" x14ac:dyDescent="0.45">
      <c r="A5026" t="s">
        <v>203</v>
      </c>
      <c r="B5026" t="s">
        <v>204</v>
      </c>
      <c r="C5026" t="s">
        <v>77</v>
      </c>
      <c r="D5026" t="s">
        <v>188</v>
      </c>
      <c r="E5026" t="s">
        <v>21</v>
      </c>
      <c r="F5026" s="1">
        <v>45170</v>
      </c>
      <c r="G5026">
        <v>1.66</v>
      </c>
      <c r="H5026">
        <v>84.838300000000004</v>
      </c>
      <c r="I5026">
        <v>14.02</v>
      </c>
      <c r="J5026">
        <v>73.72</v>
      </c>
      <c r="K5026" t="s">
        <v>31</v>
      </c>
      <c r="L5026">
        <v>1590.62</v>
      </c>
      <c r="M5026">
        <f>VLOOKUP(K5026,RatingLookup!$A$2:$C$8,2,FALSE)</f>
        <v>0.04</v>
      </c>
      <c r="N5026">
        <f t="shared" si="234"/>
        <v>3.3960531989175591E-3</v>
      </c>
      <c r="O5026">
        <f>VLOOKUP(K5026,RatingLookup!$A$2:$C$8,3,FALSE)</f>
        <v>0.6</v>
      </c>
      <c r="P5026">
        <f t="shared" si="235"/>
        <v>3.2410980835573482</v>
      </c>
      <c r="Q5026" t="str">
        <f t="shared" ca="1" si="236"/>
        <v>No</v>
      </c>
    </row>
    <row r="5027" spans="1:17" x14ac:dyDescent="0.45">
      <c r="A5027" t="s">
        <v>203</v>
      </c>
      <c r="B5027" t="s">
        <v>204</v>
      </c>
      <c r="C5027" t="s">
        <v>77</v>
      </c>
      <c r="D5027" t="s">
        <v>188</v>
      </c>
      <c r="E5027" t="s">
        <v>21</v>
      </c>
      <c r="F5027" s="1">
        <v>45200</v>
      </c>
      <c r="G5027">
        <v>1.91</v>
      </c>
      <c r="H5027">
        <v>82.841899999999995</v>
      </c>
      <c r="I5027">
        <v>20.45</v>
      </c>
      <c r="J5027">
        <v>54.63</v>
      </c>
      <c r="K5027" t="s">
        <v>31</v>
      </c>
      <c r="L5027">
        <v>1705.27</v>
      </c>
      <c r="M5027">
        <f>VLOOKUP(K5027,RatingLookup!$A$2:$C$8,2,FALSE)</f>
        <v>0.04</v>
      </c>
      <c r="N5027">
        <f t="shared" si="234"/>
        <v>3.3960531989175591E-3</v>
      </c>
      <c r="O5027">
        <f>VLOOKUP(K5027,RatingLookup!$A$2:$C$8,3,FALSE)</f>
        <v>0.6</v>
      </c>
      <c r="P5027">
        <f t="shared" si="235"/>
        <v>3.4747125831108874</v>
      </c>
      <c r="Q5027" t="str">
        <f t="shared" ca="1" si="236"/>
        <v>No</v>
      </c>
    </row>
    <row r="5028" spans="1:17" x14ac:dyDescent="0.45">
      <c r="A5028" t="s">
        <v>203</v>
      </c>
      <c r="B5028" t="s">
        <v>204</v>
      </c>
      <c r="C5028" t="s">
        <v>77</v>
      </c>
      <c r="D5028" t="s">
        <v>188</v>
      </c>
      <c r="E5028" t="s">
        <v>21</v>
      </c>
      <c r="F5028" s="1">
        <v>45231</v>
      </c>
      <c r="G5028">
        <v>1.89</v>
      </c>
      <c r="H5028">
        <v>84.746799999999993</v>
      </c>
      <c r="I5028">
        <v>27.27</v>
      </c>
      <c r="J5028">
        <v>90.79</v>
      </c>
      <c r="K5028" t="s">
        <v>31</v>
      </c>
      <c r="L5028">
        <v>1607.45</v>
      </c>
      <c r="M5028">
        <f>VLOOKUP(K5028,RatingLookup!$A$2:$C$8,2,FALSE)</f>
        <v>0.04</v>
      </c>
      <c r="N5028">
        <f t="shared" si="234"/>
        <v>3.3960531989175591E-3</v>
      </c>
      <c r="O5028">
        <f>VLOOKUP(K5028,RatingLookup!$A$2:$C$8,3,FALSE)</f>
        <v>0.6</v>
      </c>
      <c r="P5028">
        <f t="shared" si="235"/>
        <v>3.2753914287600185</v>
      </c>
      <c r="Q5028" t="str">
        <f t="shared" ca="1" si="236"/>
        <v>No</v>
      </c>
    </row>
    <row r="5029" spans="1:17" x14ac:dyDescent="0.45">
      <c r="A5029" t="s">
        <v>203</v>
      </c>
      <c r="B5029" t="s">
        <v>204</v>
      </c>
      <c r="C5029" t="s">
        <v>77</v>
      </c>
      <c r="D5029" t="s">
        <v>188</v>
      </c>
      <c r="E5029" t="s">
        <v>21</v>
      </c>
      <c r="F5029" s="1">
        <v>45261</v>
      </c>
      <c r="G5029">
        <v>1.98</v>
      </c>
      <c r="H5029">
        <v>81.669499999999999</v>
      </c>
      <c r="I5029">
        <v>16.420000000000002</v>
      </c>
      <c r="J5029">
        <v>78</v>
      </c>
      <c r="K5029" t="s">
        <v>31</v>
      </c>
      <c r="L5029">
        <v>1554.04</v>
      </c>
      <c r="M5029">
        <f>VLOOKUP(K5029,RatingLookup!$A$2:$C$8,2,FALSE)</f>
        <v>0.04</v>
      </c>
      <c r="N5029">
        <f t="shared" si="234"/>
        <v>3.3960531989175591E-3</v>
      </c>
      <c r="O5029">
        <f>VLOOKUP(K5029,RatingLookup!$A$2:$C$8,3,FALSE)</f>
        <v>0.6</v>
      </c>
      <c r="P5029">
        <f t="shared" si="235"/>
        <v>3.1665615079475056</v>
      </c>
      <c r="Q5029" t="str">
        <f t="shared" ca="1" si="236"/>
        <v>No</v>
      </c>
    </row>
    <row r="5030" spans="1:17" x14ac:dyDescent="0.45">
      <c r="A5030" t="s">
        <v>203</v>
      </c>
      <c r="B5030" t="s">
        <v>204</v>
      </c>
      <c r="C5030" t="s">
        <v>77</v>
      </c>
      <c r="D5030" t="s">
        <v>188</v>
      </c>
      <c r="E5030" t="s">
        <v>21</v>
      </c>
      <c r="F5030" s="1">
        <v>45292</v>
      </c>
      <c r="G5030">
        <v>1.94</v>
      </c>
      <c r="H5030">
        <v>81.796099999999996</v>
      </c>
      <c r="I5030">
        <v>17.010000000000002</v>
      </c>
      <c r="J5030">
        <v>87.34</v>
      </c>
      <c r="K5030" t="s">
        <v>31</v>
      </c>
      <c r="L5030">
        <v>1586.76</v>
      </c>
      <c r="M5030">
        <f>VLOOKUP(K5030,RatingLookup!$A$2:$C$8,2,FALSE)</f>
        <v>0.04</v>
      </c>
      <c r="N5030">
        <f t="shared" si="234"/>
        <v>3.3960531989175591E-3</v>
      </c>
      <c r="O5030">
        <f>VLOOKUP(K5030,RatingLookup!$A$2:$C$8,3,FALSE)</f>
        <v>0.6</v>
      </c>
      <c r="P5030">
        <f t="shared" si="235"/>
        <v>3.2332328243486557</v>
      </c>
      <c r="Q5030" t="str">
        <f t="shared" ca="1" si="236"/>
        <v>No</v>
      </c>
    </row>
    <row r="5031" spans="1:17" x14ac:dyDescent="0.45">
      <c r="A5031" t="s">
        <v>203</v>
      </c>
      <c r="B5031" t="s">
        <v>204</v>
      </c>
      <c r="C5031" t="s">
        <v>77</v>
      </c>
      <c r="D5031" t="s">
        <v>188</v>
      </c>
      <c r="E5031" t="s">
        <v>21</v>
      </c>
      <c r="F5031" s="1">
        <v>45323</v>
      </c>
      <c r="G5031">
        <v>2.0299999999999998</v>
      </c>
      <c r="H5031">
        <v>83.546000000000006</v>
      </c>
      <c r="I5031">
        <v>22.58</v>
      </c>
      <c r="J5031">
        <v>72.94</v>
      </c>
      <c r="K5031" t="s">
        <v>31</v>
      </c>
      <c r="L5031">
        <v>1481.96</v>
      </c>
      <c r="M5031">
        <f>VLOOKUP(K5031,RatingLookup!$A$2:$C$8,2,FALSE)</f>
        <v>0.04</v>
      </c>
      <c r="N5031">
        <f t="shared" si="234"/>
        <v>3.3960531989175591E-3</v>
      </c>
      <c r="O5031">
        <f>VLOOKUP(K5031,RatingLookup!$A$2:$C$8,3,FALSE)</f>
        <v>0.6</v>
      </c>
      <c r="P5031">
        <f t="shared" si="235"/>
        <v>3.0196889992007194</v>
      </c>
      <c r="Q5031" t="str">
        <f t="shared" ca="1" si="236"/>
        <v>No</v>
      </c>
    </row>
    <row r="5032" spans="1:17" x14ac:dyDescent="0.45">
      <c r="A5032" t="s">
        <v>203</v>
      </c>
      <c r="B5032" t="s">
        <v>204</v>
      </c>
      <c r="C5032" t="s">
        <v>77</v>
      </c>
      <c r="D5032" t="s">
        <v>188</v>
      </c>
      <c r="E5032" t="s">
        <v>21</v>
      </c>
      <c r="F5032" s="1">
        <v>45352</v>
      </c>
      <c r="G5032">
        <v>-0.49</v>
      </c>
      <c r="H5032">
        <v>84.501999999999995</v>
      </c>
      <c r="I5032">
        <v>14.44</v>
      </c>
      <c r="J5032">
        <v>76.98</v>
      </c>
      <c r="K5032" t="s">
        <v>31</v>
      </c>
      <c r="L5032">
        <v>1589.24</v>
      </c>
      <c r="M5032">
        <f>VLOOKUP(K5032,RatingLookup!$A$2:$C$8,2,FALSE)</f>
        <v>0.04</v>
      </c>
      <c r="N5032">
        <f t="shared" si="234"/>
        <v>3.3960531989175591E-3</v>
      </c>
      <c r="O5032">
        <f>VLOOKUP(K5032,RatingLookup!$A$2:$C$8,3,FALSE)</f>
        <v>0.6</v>
      </c>
      <c r="P5032">
        <f t="shared" si="235"/>
        <v>3.2382861515086447</v>
      </c>
      <c r="Q5032" t="str">
        <f t="shared" ca="1" si="236"/>
        <v>No</v>
      </c>
    </row>
    <row r="5033" spans="1:17" x14ac:dyDescent="0.45">
      <c r="A5033" t="s">
        <v>203</v>
      </c>
      <c r="B5033" t="s">
        <v>204</v>
      </c>
      <c r="C5033" t="s">
        <v>77</v>
      </c>
      <c r="D5033" t="s">
        <v>188</v>
      </c>
      <c r="E5033" t="s">
        <v>21</v>
      </c>
      <c r="F5033" s="1">
        <v>45383</v>
      </c>
      <c r="G5033">
        <v>1.48</v>
      </c>
      <c r="H5033">
        <v>82.823700000000002</v>
      </c>
      <c r="I5033">
        <v>35.56</v>
      </c>
      <c r="J5033">
        <v>70.7</v>
      </c>
      <c r="K5033" t="s">
        <v>31</v>
      </c>
      <c r="L5033">
        <v>1540.1</v>
      </c>
      <c r="M5033">
        <f>VLOOKUP(K5033,RatingLookup!$A$2:$C$8,2,FALSE)</f>
        <v>0.04</v>
      </c>
      <c r="N5033">
        <f t="shared" si="234"/>
        <v>3.3960531989175591E-3</v>
      </c>
      <c r="O5033">
        <f>VLOOKUP(K5033,RatingLookup!$A$2:$C$8,3,FALSE)</f>
        <v>0.6</v>
      </c>
      <c r="P5033">
        <f t="shared" si="235"/>
        <v>3.1381569189917595</v>
      </c>
      <c r="Q5033" t="str">
        <f t="shared" ca="1" si="236"/>
        <v>No</v>
      </c>
    </row>
    <row r="5034" spans="1:17" x14ac:dyDescent="0.45">
      <c r="A5034" t="s">
        <v>203</v>
      </c>
      <c r="B5034" t="s">
        <v>204</v>
      </c>
      <c r="C5034" t="s">
        <v>77</v>
      </c>
      <c r="D5034" t="s">
        <v>188</v>
      </c>
      <c r="E5034" t="s">
        <v>21</v>
      </c>
      <c r="F5034" s="1">
        <v>45413</v>
      </c>
      <c r="G5034">
        <v>1.51</v>
      </c>
      <c r="H5034">
        <v>83.226200000000006</v>
      </c>
      <c r="I5034">
        <v>24.98</v>
      </c>
      <c r="J5034">
        <v>56.91</v>
      </c>
      <c r="K5034" t="s">
        <v>31</v>
      </c>
      <c r="L5034">
        <v>1693.04</v>
      </c>
      <c r="M5034">
        <f>VLOOKUP(K5034,RatingLookup!$A$2:$C$8,2,FALSE)</f>
        <v>0.04</v>
      </c>
      <c r="N5034">
        <f t="shared" si="234"/>
        <v>3.3960531989175591E-3</v>
      </c>
      <c r="O5034">
        <f>VLOOKUP(K5034,RatingLookup!$A$2:$C$8,3,FALSE)</f>
        <v>0.6</v>
      </c>
      <c r="P5034">
        <f t="shared" si="235"/>
        <v>3.4497923447372303</v>
      </c>
      <c r="Q5034" t="str">
        <f t="shared" ca="1" si="236"/>
        <v>No</v>
      </c>
    </row>
    <row r="5035" spans="1:17" x14ac:dyDescent="0.45">
      <c r="A5035" t="s">
        <v>203</v>
      </c>
      <c r="B5035" t="s">
        <v>204</v>
      </c>
      <c r="C5035" t="s">
        <v>77</v>
      </c>
      <c r="D5035" t="s">
        <v>188</v>
      </c>
      <c r="E5035" t="s">
        <v>21</v>
      </c>
      <c r="F5035" s="1">
        <v>45444</v>
      </c>
      <c r="G5035">
        <v>0.38</v>
      </c>
      <c r="H5035">
        <v>81.116699999999994</v>
      </c>
      <c r="I5035">
        <v>19.37</v>
      </c>
      <c r="J5035">
        <v>84.4</v>
      </c>
      <c r="K5035" t="s">
        <v>31</v>
      </c>
      <c r="L5035">
        <v>1552.22</v>
      </c>
      <c r="M5035">
        <f>VLOOKUP(K5035,RatingLookup!$A$2:$C$8,2,FALSE)</f>
        <v>0.04</v>
      </c>
      <c r="N5035">
        <f t="shared" si="234"/>
        <v>3.3960531989175591E-3</v>
      </c>
      <c r="O5035">
        <f>VLOOKUP(K5035,RatingLookup!$A$2:$C$8,3,FALSE)</f>
        <v>0.6</v>
      </c>
      <c r="P5035">
        <f t="shared" si="235"/>
        <v>3.1628530178542884</v>
      </c>
      <c r="Q5035" t="str">
        <f t="shared" ca="1" si="236"/>
        <v>No</v>
      </c>
    </row>
    <row r="5036" spans="1:17" x14ac:dyDescent="0.45">
      <c r="A5036" t="s">
        <v>203</v>
      </c>
      <c r="B5036" t="s">
        <v>204</v>
      </c>
      <c r="C5036" t="s">
        <v>77</v>
      </c>
      <c r="D5036" t="s">
        <v>188</v>
      </c>
      <c r="E5036" t="s">
        <v>21</v>
      </c>
      <c r="F5036" s="1">
        <v>45474</v>
      </c>
      <c r="G5036">
        <v>1.21</v>
      </c>
      <c r="H5036">
        <v>83.098200000000006</v>
      </c>
      <c r="I5036">
        <v>16.690000000000001</v>
      </c>
      <c r="J5036">
        <v>91.24</v>
      </c>
      <c r="K5036" t="s">
        <v>31</v>
      </c>
      <c r="L5036">
        <v>1622.11</v>
      </c>
      <c r="M5036">
        <f>VLOOKUP(K5036,RatingLookup!$A$2:$C$8,2,FALSE)</f>
        <v>0.04</v>
      </c>
      <c r="N5036">
        <f t="shared" si="234"/>
        <v>3.3960531989175591E-3</v>
      </c>
      <c r="O5036">
        <f>VLOOKUP(K5036,RatingLookup!$A$2:$C$8,3,FALSE)</f>
        <v>0.6</v>
      </c>
      <c r="P5036">
        <f t="shared" si="235"/>
        <v>3.3052631126976966</v>
      </c>
      <c r="Q5036" t="str">
        <f t="shared" ca="1" si="236"/>
        <v>No</v>
      </c>
    </row>
    <row r="5037" spans="1:17" x14ac:dyDescent="0.45">
      <c r="A5037" t="s">
        <v>203</v>
      </c>
      <c r="B5037" t="s">
        <v>204</v>
      </c>
      <c r="C5037" t="s">
        <v>77</v>
      </c>
      <c r="D5037" t="s">
        <v>188</v>
      </c>
      <c r="E5037" t="s">
        <v>21</v>
      </c>
      <c r="F5037" s="1">
        <v>45505</v>
      </c>
      <c r="G5037">
        <v>1.77</v>
      </c>
      <c r="H5037">
        <v>82.503600000000006</v>
      </c>
      <c r="I5037">
        <v>9.4499999999999993</v>
      </c>
      <c r="J5037">
        <v>99.13</v>
      </c>
      <c r="K5037" t="s">
        <v>31</v>
      </c>
      <c r="L5037">
        <v>1656.61</v>
      </c>
      <c r="M5037">
        <f>VLOOKUP(K5037,RatingLookup!$A$2:$C$8,2,FALSE)</f>
        <v>0.04</v>
      </c>
      <c r="N5037">
        <f t="shared" si="234"/>
        <v>3.3960531989175591E-3</v>
      </c>
      <c r="O5037">
        <f>VLOOKUP(K5037,RatingLookup!$A$2:$C$8,3,FALSE)</f>
        <v>0.6</v>
      </c>
      <c r="P5037">
        <f t="shared" si="235"/>
        <v>3.3755614139152903</v>
      </c>
      <c r="Q5037" t="str">
        <f t="shared" ca="1" si="236"/>
        <v>No</v>
      </c>
    </row>
    <row r="5038" spans="1:17" x14ac:dyDescent="0.45">
      <c r="A5038" t="s">
        <v>203</v>
      </c>
      <c r="B5038" t="s">
        <v>204</v>
      </c>
      <c r="C5038" t="s">
        <v>77</v>
      </c>
      <c r="D5038" t="s">
        <v>188</v>
      </c>
      <c r="E5038" t="s">
        <v>21</v>
      </c>
      <c r="F5038" s="1">
        <v>45536</v>
      </c>
      <c r="G5038">
        <v>0.77</v>
      </c>
      <c r="H5038">
        <v>84.950800000000001</v>
      </c>
      <c r="I5038">
        <v>21.89</v>
      </c>
      <c r="J5038">
        <v>71.17</v>
      </c>
      <c r="K5038" t="s">
        <v>31</v>
      </c>
      <c r="L5038">
        <v>1677.63</v>
      </c>
      <c r="M5038">
        <f>VLOOKUP(K5038,RatingLookup!$A$2:$C$8,2,FALSE)</f>
        <v>0.04</v>
      </c>
      <c r="N5038">
        <f t="shared" si="234"/>
        <v>3.3960531989175591E-3</v>
      </c>
      <c r="O5038">
        <f>VLOOKUP(K5038,RatingLookup!$A$2:$C$8,3,FALSE)</f>
        <v>0.6</v>
      </c>
      <c r="P5038">
        <f t="shared" si="235"/>
        <v>3.4183924368600391</v>
      </c>
      <c r="Q5038" t="str">
        <f t="shared" ca="1" si="236"/>
        <v>No</v>
      </c>
    </row>
    <row r="5039" spans="1:17" x14ac:dyDescent="0.45">
      <c r="A5039" t="s">
        <v>203</v>
      </c>
      <c r="B5039" t="s">
        <v>204</v>
      </c>
      <c r="C5039" t="s">
        <v>77</v>
      </c>
      <c r="D5039" t="s">
        <v>188</v>
      </c>
      <c r="E5039" t="s">
        <v>21</v>
      </c>
      <c r="F5039" s="1">
        <v>45566</v>
      </c>
      <c r="G5039">
        <v>1.6</v>
      </c>
      <c r="H5039">
        <v>84.179900000000004</v>
      </c>
      <c r="I5039">
        <v>13.41</v>
      </c>
      <c r="J5039">
        <v>73.349999999999994</v>
      </c>
      <c r="K5039" t="s">
        <v>31</v>
      </c>
      <c r="L5039">
        <v>1598.13</v>
      </c>
      <c r="M5039">
        <f>VLOOKUP(K5039,RatingLookup!$A$2:$C$8,2,FALSE)</f>
        <v>0.04</v>
      </c>
      <c r="N5039">
        <f t="shared" si="234"/>
        <v>3.3960531989175591E-3</v>
      </c>
      <c r="O5039">
        <f>VLOOKUP(K5039,RatingLookup!$A$2:$C$8,3,FALSE)</f>
        <v>0.6</v>
      </c>
      <c r="P5039">
        <f t="shared" si="235"/>
        <v>3.2564006992716714</v>
      </c>
      <c r="Q5039" t="str">
        <f t="shared" ca="1" si="236"/>
        <v>No</v>
      </c>
    </row>
    <row r="5040" spans="1:17" x14ac:dyDescent="0.45">
      <c r="A5040" t="s">
        <v>203</v>
      </c>
      <c r="B5040" t="s">
        <v>204</v>
      </c>
      <c r="C5040" t="s">
        <v>77</v>
      </c>
      <c r="D5040" t="s">
        <v>188</v>
      </c>
      <c r="E5040" t="s">
        <v>21</v>
      </c>
      <c r="F5040" s="1">
        <v>45597</v>
      </c>
      <c r="G5040">
        <v>1.03</v>
      </c>
      <c r="H5040">
        <v>84.841300000000004</v>
      </c>
      <c r="I5040">
        <v>26.59</v>
      </c>
      <c r="J5040">
        <v>63.74</v>
      </c>
      <c r="K5040" t="s">
        <v>31</v>
      </c>
      <c r="L5040">
        <v>1488.66</v>
      </c>
      <c r="M5040">
        <f>VLOOKUP(K5040,RatingLookup!$A$2:$C$8,2,FALSE)</f>
        <v>0.04</v>
      </c>
      <c r="N5040">
        <f t="shared" si="234"/>
        <v>3.3960531989175591E-3</v>
      </c>
      <c r="O5040">
        <f>VLOOKUP(K5040,RatingLookup!$A$2:$C$8,3,FALSE)</f>
        <v>0.6</v>
      </c>
      <c r="P5040">
        <f t="shared" si="235"/>
        <v>3.0333411330603681</v>
      </c>
      <c r="Q5040" t="str">
        <f t="shared" ca="1" si="236"/>
        <v>No</v>
      </c>
    </row>
    <row r="5041" spans="1:17" x14ac:dyDescent="0.45">
      <c r="A5041" t="s">
        <v>203</v>
      </c>
      <c r="B5041" t="s">
        <v>204</v>
      </c>
      <c r="C5041" t="s">
        <v>77</v>
      </c>
      <c r="D5041" t="s">
        <v>188</v>
      </c>
      <c r="E5041" t="s">
        <v>21</v>
      </c>
      <c r="F5041" s="1">
        <v>45627</v>
      </c>
      <c r="G5041">
        <v>0.15</v>
      </c>
      <c r="H5041">
        <v>80.805700000000002</v>
      </c>
      <c r="I5041">
        <v>16.559999999999999</v>
      </c>
      <c r="J5041">
        <v>85.48</v>
      </c>
      <c r="K5041" t="s">
        <v>31</v>
      </c>
      <c r="L5041">
        <v>1689.07</v>
      </c>
      <c r="M5041">
        <f>VLOOKUP(K5041,RatingLookup!$A$2:$C$8,2,FALSE)</f>
        <v>0.04</v>
      </c>
      <c r="N5041">
        <f t="shared" si="234"/>
        <v>3.3960531989175591E-3</v>
      </c>
      <c r="O5041">
        <f>VLOOKUP(K5041,RatingLookup!$A$2:$C$8,3,FALSE)</f>
        <v>0.6</v>
      </c>
      <c r="P5041">
        <f t="shared" si="235"/>
        <v>3.4417029460174087</v>
      </c>
      <c r="Q5041" t="str">
        <f t="shared" ca="1" si="236"/>
        <v>No</v>
      </c>
    </row>
    <row r="5042" spans="1:17" x14ac:dyDescent="0.45">
      <c r="A5042" t="s">
        <v>205</v>
      </c>
      <c r="B5042" t="s">
        <v>206</v>
      </c>
      <c r="C5042" t="s">
        <v>29</v>
      </c>
      <c r="D5042" t="s">
        <v>188</v>
      </c>
      <c r="E5042" t="s">
        <v>21</v>
      </c>
      <c r="F5042" s="1">
        <v>43831</v>
      </c>
      <c r="G5042">
        <v>1.8</v>
      </c>
      <c r="H5042">
        <v>84.134799999999998</v>
      </c>
      <c r="I5042">
        <v>29</v>
      </c>
      <c r="J5042">
        <v>80.84</v>
      </c>
      <c r="K5042" t="s">
        <v>23</v>
      </c>
      <c r="L5042">
        <v>228.63</v>
      </c>
      <c r="M5042">
        <f>VLOOKUP(K5042,RatingLookup!$A$2:$C$8,2,FALSE)</f>
        <v>1E-3</v>
      </c>
      <c r="N5042">
        <f t="shared" si="234"/>
        <v>8.3371552197619714E-5</v>
      </c>
      <c r="O5042">
        <f>VLOOKUP(K5042,RatingLookup!$A$2:$C$8,3,FALSE)</f>
        <v>0.3</v>
      </c>
      <c r="P5042">
        <f t="shared" si="235"/>
        <v>5.7183713936825378E-3</v>
      </c>
      <c r="Q5042" t="str">
        <f t="shared" ca="1" si="236"/>
        <v>No</v>
      </c>
    </row>
    <row r="5043" spans="1:17" x14ac:dyDescent="0.45">
      <c r="A5043" t="s">
        <v>205</v>
      </c>
      <c r="B5043" t="s">
        <v>206</v>
      </c>
      <c r="C5043" t="s">
        <v>29</v>
      </c>
      <c r="D5043" t="s">
        <v>188</v>
      </c>
      <c r="E5043" t="s">
        <v>21</v>
      </c>
      <c r="F5043" s="1">
        <v>43862</v>
      </c>
      <c r="G5043">
        <v>2.2200000000000002</v>
      </c>
      <c r="H5043">
        <v>85.030600000000007</v>
      </c>
      <c r="I5043">
        <v>10.27</v>
      </c>
      <c r="J5043">
        <v>76.650000000000006</v>
      </c>
      <c r="K5043" t="s">
        <v>23</v>
      </c>
      <c r="L5043">
        <v>211.06</v>
      </c>
      <c r="M5043">
        <f>VLOOKUP(K5043,RatingLookup!$A$2:$C$8,2,FALSE)</f>
        <v>1E-3</v>
      </c>
      <c r="N5043">
        <f t="shared" si="234"/>
        <v>8.3371552197619714E-5</v>
      </c>
      <c r="O5043">
        <f>VLOOKUP(K5043,RatingLookup!$A$2:$C$8,3,FALSE)</f>
        <v>0.3</v>
      </c>
      <c r="P5043">
        <f t="shared" si="235"/>
        <v>5.2789199420488842E-3</v>
      </c>
      <c r="Q5043" t="str">
        <f t="shared" ca="1" si="236"/>
        <v>No</v>
      </c>
    </row>
    <row r="5044" spans="1:17" x14ac:dyDescent="0.45">
      <c r="A5044" t="s">
        <v>205</v>
      </c>
      <c r="B5044" t="s">
        <v>206</v>
      </c>
      <c r="C5044" t="s">
        <v>29</v>
      </c>
      <c r="D5044" t="s">
        <v>188</v>
      </c>
      <c r="E5044" t="s">
        <v>21</v>
      </c>
      <c r="F5044" s="1">
        <v>43891</v>
      </c>
      <c r="G5044">
        <v>0.86</v>
      </c>
      <c r="H5044">
        <v>87.201599999999999</v>
      </c>
      <c r="I5044">
        <v>22.45</v>
      </c>
      <c r="J5044">
        <v>67.959999999999994</v>
      </c>
      <c r="K5044" t="s">
        <v>23</v>
      </c>
      <c r="L5044">
        <v>188.77</v>
      </c>
      <c r="M5044">
        <f>VLOOKUP(K5044,RatingLookup!$A$2:$C$8,2,FALSE)</f>
        <v>1E-3</v>
      </c>
      <c r="N5044">
        <f t="shared" si="234"/>
        <v>8.3371552197619714E-5</v>
      </c>
      <c r="O5044">
        <f>VLOOKUP(K5044,RatingLookup!$A$2:$C$8,3,FALSE)</f>
        <v>0.3</v>
      </c>
      <c r="P5044">
        <f t="shared" si="235"/>
        <v>4.7214143725034024E-3</v>
      </c>
      <c r="Q5044" t="str">
        <f t="shared" ca="1" si="236"/>
        <v>No</v>
      </c>
    </row>
    <row r="5045" spans="1:17" x14ac:dyDescent="0.45">
      <c r="A5045" t="s">
        <v>205</v>
      </c>
      <c r="B5045" t="s">
        <v>206</v>
      </c>
      <c r="C5045" t="s">
        <v>29</v>
      </c>
      <c r="D5045" t="s">
        <v>188</v>
      </c>
      <c r="E5045" t="s">
        <v>21</v>
      </c>
      <c r="F5045" s="1">
        <v>43922</v>
      </c>
      <c r="G5045">
        <v>0.98</v>
      </c>
      <c r="H5045">
        <v>84.039699999999996</v>
      </c>
      <c r="I5045">
        <v>9.6</v>
      </c>
      <c r="J5045">
        <v>86.17</v>
      </c>
      <c r="K5045" t="s">
        <v>23</v>
      </c>
      <c r="L5045">
        <v>186.55</v>
      </c>
      <c r="M5045">
        <f>VLOOKUP(K5045,RatingLookup!$A$2:$C$8,2,FALSE)</f>
        <v>1E-3</v>
      </c>
      <c r="N5045">
        <f t="shared" si="234"/>
        <v>8.3371552197619714E-5</v>
      </c>
      <c r="O5045">
        <f>VLOOKUP(K5045,RatingLookup!$A$2:$C$8,3,FALSE)</f>
        <v>0.3</v>
      </c>
      <c r="P5045">
        <f t="shared" si="235"/>
        <v>4.6658889187397874E-3</v>
      </c>
      <c r="Q5045" t="str">
        <f t="shared" ca="1" si="236"/>
        <v>No</v>
      </c>
    </row>
    <row r="5046" spans="1:17" x14ac:dyDescent="0.45">
      <c r="A5046" t="s">
        <v>205</v>
      </c>
      <c r="B5046" t="s">
        <v>206</v>
      </c>
      <c r="C5046" t="s">
        <v>29</v>
      </c>
      <c r="D5046" t="s">
        <v>188</v>
      </c>
      <c r="E5046" t="s">
        <v>21</v>
      </c>
      <c r="F5046" s="1">
        <v>43952</v>
      </c>
      <c r="G5046">
        <v>2.1</v>
      </c>
      <c r="H5046">
        <v>85.681100000000001</v>
      </c>
      <c r="I5046">
        <v>22.93</v>
      </c>
      <c r="J5046">
        <v>79.83</v>
      </c>
      <c r="K5046" t="s">
        <v>23</v>
      </c>
      <c r="L5046">
        <v>201.76</v>
      </c>
      <c r="M5046">
        <f>VLOOKUP(K5046,RatingLookup!$A$2:$C$8,2,FALSE)</f>
        <v>1E-3</v>
      </c>
      <c r="N5046">
        <f t="shared" si="234"/>
        <v>8.3371552197619714E-5</v>
      </c>
      <c r="O5046">
        <f>VLOOKUP(K5046,RatingLookup!$A$2:$C$8,3,FALSE)</f>
        <v>0.3</v>
      </c>
      <c r="P5046">
        <f t="shared" si="235"/>
        <v>5.0463133114175265E-3</v>
      </c>
      <c r="Q5046" t="str">
        <f t="shared" ca="1" si="236"/>
        <v>No</v>
      </c>
    </row>
    <row r="5047" spans="1:17" x14ac:dyDescent="0.45">
      <c r="A5047" t="s">
        <v>205</v>
      </c>
      <c r="B5047" t="s">
        <v>206</v>
      </c>
      <c r="C5047" t="s">
        <v>29</v>
      </c>
      <c r="D5047" t="s">
        <v>188</v>
      </c>
      <c r="E5047" t="s">
        <v>21</v>
      </c>
      <c r="F5047" s="1">
        <v>43983</v>
      </c>
      <c r="G5047">
        <v>2.2999999999999998</v>
      </c>
      <c r="H5047">
        <v>84.811499999999995</v>
      </c>
      <c r="I5047">
        <v>23.6</v>
      </c>
      <c r="J5047">
        <v>80.790000000000006</v>
      </c>
      <c r="K5047" t="s">
        <v>23</v>
      </c>
      <c r="L5047">
        <v>210</v>
      </c>
      <c r="M5047">
        <f>VLOOKUP(K5047,RatingLookup!$A$2:$C$8,2,FALSE)</f>
        <v>1E-3</v>
      </c>
      <c r="N5047">
        <f t="shared" si="234"/>
        <v>8.3371552197619714E-5</v>
      </c>
      <c r="O5047">
        <f>VLOOKUP(K5047,RatingLookup!$A$2:$C$8,3,FALSE)</f>
        <v>0.3</v>
      </c>
      <c r="P5047">
        <f t="shared" si="235"/>
        <v>5.252407788450042E-3</v>
      </c>
      <c r="Q5047" t="str">
        <f t="shared" ca="1" si="236"/>
        <v>No</v>
      </c>
    </row>
    <row r="5048" spans="1:17" x14ac:dyDescent="0.45">
      <c r="A5048" t="s">
        <v>205</v>
      </c>
      <c r="B5048" t="s">
        <v>206</v>
      </c>
      <c r="C5048" t="s">
        <v>29</v>
      </c>
      <c r="D5048" t="s">
        <v>188</v>
      </c>
      <c r="E5048" t="s">
        <v>21</v>
      </c>
      <c r="F5048" s="1">
        <v>44013</v>
      </c>
      <c r="G5048">
        <v>1.54</v>
      </c>
      <c r="H5048">
        <v>82.959100000000007</v>
      </c>
      <c r="I5048">
        <v>8.43</v>
      </c>
      <c r="J5048">
        <v>98.13</v>
      </c>
      <c r="K5048" t="s">
        <v>23</v>
      </c>
      <c r="L5048">
        <v>194.78</v>
      </c>
      <c r="M5048">
        <f>VLOOKUP(K5048,RatingLookup!$A$2:$C$8,2,FALSE)</f>
        <v>1E-3</v>
      </c>
      <c r="N5048">
        <f t="shared" si="234"/>
        <v>8.3371552197619714E-5</v>
      </c>
      <c r="O5048">
        <f>VLOOKUP(K5048,RatingLookup!$A$2:$C$8,3,FALSE)</f>
        <v>0.3</v>
      </c>
      <c r="P5048">
        <f t="shared" si="235"/>
        <v>4.8717332811157102E-3</v>
      </c>
      <c r="Q5048" t="str">
        <f t="shared" ca="1" si="236"/>
        <v>No</v>
      </c>
    </row>
    <row r="5049" spans="1:17" x14ac:dyDescent="0.45">
      <c r="A5049" t="s">
        <v>205</v>
      </c>
      <c r="B5049" t="s">
        <v>206</v>
      </c>
      <c r="C5049" t="s">
        <v>29</v>
      </c>
      <c r="D5049" t="s">
        <v>188</v>
      </c>
      <c r="E5049" t="s">
        <v>21</v>
      </c>
      <c r="F5049" s="1">
        <v>44044</v>
      </c>
      <c r="G5049">
        <v>0.75</v>
      </c>
      <c r="H5049">
        <v>81.727099999999993</v>
      </c>
      <c r="I5049">
        <v>21.95</v>
      </c>
      <c r="J5049">
        <v>68.33</v>
      </c>
      <c r="K5049" t="s">
        <v>23</v>
      </c>
      <c r="L5049">
        <v>201.29</v>
      </c>
      <c r="M5049">
        <f>VLOOKUP(K5049,RatingLookup!$A$2:$C$8,2,FALSE)</f>
        <v>1E-3</v>
      </c>
      <c r="N5049">
        <f t="shared" si="234"/>
        <v>8.3371552197619714E-5</v>
      </c>
      <c r="O5049">
        <f>VLOOKUP(K5049,RatingLookup!$A$2:$C$8,3,FALSE)</f>
        <v>0.3</v>
      </c>
      <c r="P5049">
        <f t="shared" si="235"/>
        <v>5.0345579225576616E-3</v>
      </c>
      <c r="Q5049" t="str">
        <f t="shared" ca="1" si="236"/>
        <v>No</v>
      </c>
    </row>
    <row r="5050" spans="1:17" x14ac:dyDescent="0.45">
      <c r="A5050" t="s">
        <v>205</v>
      </c>
      <c r="B5050" t="s">
        <v>206</v>
      </c>
      <c r="C5050" t="s">
        <v>29</v>
      </c>
      <c r="D5050" t="s">
        <v>188</v>
      </c>
      <c r="E5050" t="s">
        <v>21</v>
      </c>
      <c r="F5050" s="1">
        <v>44075</v>
      </c>
      <c r="G5050">
        <v>2.82</v>
      </c>
      <c r="H5050">
        <v>78.333399999999997</v>
      </c>
      <c r="I5050">
        <v>17.760000000000002</v>
      </c>
      <c r="J5050">
        <v>76.650000000000006</v>
      </c>
      <c r="K5050" t="s">
        <v>23</v>
      </c>
      <c r="L5050">
        <v>206.44</v>
      </c>
      <c r="M5050">
        <f>VLOOKUP(K5050,RatingLookup!$A$2:$C$8,2,FALSE)</f>
        <v>1E-3</v>
      </c>
      <c r="N5050">
        <f t="shared" si="234"/>
        <v>8.3371552197619714E-5</v>
      </c>
      <c r="O5050">
        <f>VLOOKUP(K5050,RatingLookup!$A$2:$C$8,3,FALSE)</f>
        <v>0.3</v>
      </c>
      <c r="P5050">
        <f t="shared" si="235"/>
        <v>5.1633669707029841E-3</v>
      </c>
      <c r="Q5050" t="str">
        <f t="shared" ca="1" si="236"/>
        <v>No</v>
      </c>
    </row>
    <row r="5051" spans="1:17" x14ac:dyDescent="0.45">
      <c r="A5051" t="s">
        <v>205</v>
      </c>
      <c r="B5051" t="s">
        <v>206</v>
      </c>
      <c r="C5051" t="s">
        <v>29</v>
      </c>
      <c r="D5051" t="s">
        <v>188</v>
      </c>
      <c r="E5051" t="s">
        <v>21</v>
      </c>
      <c r="F5051" s="1">
        <v>44105</v>
      </c>
      <c r="G5051">
        <v>1.62</v>
      </c>
      <c r="H5051">
        <v>83.148099999999999</v>
      </c>
      <c r="I5051">
        <v>9.11</v>
      </c>
      <c r="J5051">
        <v>62.72</v>
      </c>
      <c r="K5051" t="s">
        <v>23</v>
      </c>
      <c r="L5051">
        <v>215.58</v>
      </c>
      <c r="M5051">
        <f>VLOOKUP(K5051,RatingLookup!$A$2:$C$8,2,FALSE)</f>
        <v>1E-3</v>
      </c>
      <c r="N5051">
        <f t="shared" si="234"/>
        <v>8.3371552197619714E-5</v>
      </c>
      <c r="O5051">
        <f>VLOOKUP(K5051,RatingLookup!$A$2:$C$8,3,FALSE)</f>
        <v>0.3</v>
      </c>
      <c r="P5051">
        <f t="shared" si="235"/>
        <v>5.3919717668288571E-3</v>
      </c>
      <c r="Q5051" t="str">
        <f t="shared" ca="1" si="236"/>
        <v>No</v>
      </c>
    </row>
    <row r="5052" spans="1:17" x14ac:dyDescent="0.45">
      <c r="A5052" t="s">
        <v>205</v>
      </c>
      <c r="B5052" t="s">
        <v>206</v>
      </c>
      <c r="C5052" t="s">
        <v>29</v>
      </c>
      <c r="D5052" t="s">
        <v>188</v>
      </c>
      <c r="E5052" t="s">
        <v>21</v>
      </c>
      <c r="F5052" s="1">
        <v>44136</v>
      </c>
      <c r="G5052">
        <v>1.22</v>
      </c>
      <c r="H5052">
        <v>85.860500000000002</v>
      </c>
      <c r="I5052">
        <v>16.02</v>
      </c>
      <c r="J5052">
        <v>81.349999999999994</v>
      </c>
      <c r="K5052" t="s">
        <v>23</v>
      </c>
      <c r="L5052">
        <v>205.74</v>
      </c>
      <c r="M5052">
        <f>VLOOKUP(K5052,RatingLookup!$A$2:$C$8,2,FALSE)</f>
        <v>1E-3</v>
      </c>
      <c r="N5052">
        <f t="shared" si="234"/>
        <v>8.3371552197619714E-5</v>
      </c>
      <c r="O5052">
        <f>VLOOKUP(K5052,RatingLookup!$A$2:$C$8,3,FALSE)</f>
        <v>0.3</v>
      </c>
      <c r="P5052">
        <f t="shared" si="235"/>
        <v>5.1458589447414835E-3</v>
      </c>
      <c r="Q5052" t="str">
        <f t="shared" ca="1" si="236"/>
        <v>No</v>
      </c>
    </row>
    <row r="5053" spans="1:17" x14ac:dyDescent="0.45">
      <c r="A5053" t="s">
        <v>205</v>
      </c>
      <c r="B5053" t="s">
        <v>206</v>
      </c>
      <c r="C5053" t="s">
        <v>29</v>
      </c>
      <c r="D5053" t="s">
        <v>188</v>
      </c>
      <c r="E5053" t="s">
        <v>21</v>
      </c>
      <c r="F5053" s="1">
        <v>44166</v>
      </c>
      <c r="G5053">
        <v>1.26</v>
      </c>
      <c r="H5053">
        <v>83.904600000000002</v>
      </c>
      <c r="I5053">
        <v>10.97</v>
      </c>
      <c r="J5053">
        <v>79.45</v>
      </c>
      <c r="K5053" t="s">
        <v>23</v>
      </c>
      <c r="L5053">
        <v>224.18</v>
      </c>
      <c r="M5053">
        <f>VLOOKUP(K5053,RatingLookup!$A$2:$C$8,2,FALSE)</f>
        <v>1E-3</v>
      </c>
      <c r="N5053">
        <f t="shared" si="234"/>
        <v>8.3371552197619714E-5</v>
      </c>
      <c r="O5053">
        <f>VLOOKUP(K5053,RatingLookup!$A$2:$C$8,3,FALSE)</f>
        <v>0.3</v>
      </c>
      <c r="P5053">
        <f t="shared" si="235"/>
        <v>5.6070703714987159E-3</v>
      </c>
      <c r="Q5053" t="str">
        <f t="shared" ca="1" si="236"/>
        <v>No</v>
      </c>
    </row>
    <row r="5054" spans="1:17" x14ac:dyDescent="0.45">
      <c r="A5054" t="s">
        <v>205</v>
      </c>
      <c r="B5054" t="s">
        <v>206</v>
      </c>
      <c r="C5054" t="s">
        <v>29</v>
      </c>
      <c r="D5054" t="s">
        <v>188</v>
      </c>
      <c r="E5054" t="s">
        <v>21</v>
      </c>
      <c r="F5054" s="1">
        <v>44197</v>
      </c>
      <c r="G5054">
        <v>2.54</v>
      </c>
      <c r="H5054">
        <v>82.649900000000002</v>
      </c>
      <c r="I5054">
        <v>17.87</v>
      </c>
      <c r="J5054">
        <v>80.5</v>
      </c>
      <c r="K5054" t="s">
        <v>23</v>
      </c>
      <c r="L5054">
        <v>220.69</v>
      </c>
      <c r="M5054">
        <f>VLOOKUP(K5054,RatingLookup!$A$2:$C$8,2,FALSE)</f>
        <v>1E-3</v>
      </c>
      <c r="N5054">
        <f t="shared" si="234"/>
        <v>8.3371552197619714E-5</v>
      </c>
      <c r="O5054">
        <f>VLOOKUP(K5054,RatingLookup!$A$2:$C$8,3,FALSE)</f>
        <v>0.3</v>
      </c>
      <c r="P5054">
        <f t="shared" si="235"/>
        <v>5.5197803563478082E-3</v>
      </c>
      <c r="Q5054" t="str">
        <f t="shared" ca="1" si="236"/>
        <v>No</v>
      </c>
    </row>
    <row r="5055" spans="1:17" x14ac:dyDescent="0.45">
      <c r="A5055" t="s">
        <v>205</v>
      </c>
      <c r="B5055" t="s">
        <v>206</v>
      </c>
      <c r="C5055" t="s">
        <v>29</v>
      </c>
      <c r="D5055" t="s">
        <v>188</v>
      </c>
      <c r="E5055" t="s">
        <v>21</v>
      </c>
      <c r="F5055" s="1">
        <v>44228</v>
      </c>
      <c r="G5055">
        <v>1.4</v>
      </c>
      <c r="H5055">
        <v>79.393299999999996</v>
      </c>
      <c r="I5055">
        <v>20.420000000000002</v>
      </c>
      <c r="J5055">
        <v>85.58</v>
      </c>
      <c r="K5055" t="s">
        <v>23</v>
      </c>
      <c r="L5055">
        <v>211.42</v>
      </c>
      <c r="M5055">
        <f>VLOOKUP(K5055,RatingLookup!$A$2:$C$8,2,FALSE)</f>
        <v>1E-3</v>
      </c>
      <c r="N5055">
        <f t="shared" si="234"/>
        <v>8.3371552197619714E-5</v>
      </c>
      <c r="O5055">
        <f>VLOOKUP(K5055,RatingLookup!$A$2:$C$8,3,FALSE)</f>
        <v>0.3</v>
      </c>
      <c r="P5055">
        <f t="shared" si="235"/>
        <v>5.2879240696862275E-3</v>
      </c>
      <c r="Q5055" t="str">
        <f t="shared" ca="1" si="236"/>
        <v>No</v>
      </c>
    </row>
    <row r="5056" spans="1:17" x14ac:dyDescent="0.45">
      <c r="A5056" t="s">
        <v>205</v>
      </c>
      <c r="B5056" t="s">
        <v>206</v>
      </c>
      <c r="C5056" t="s">
        <v>29</v>
      </c>
      <c r="D5056" t="s">
        <v>188</v>
      </c>
      <c r="E5056" t="s">
        <v>21</v>
      </c>
      <c r="F5056" s="1">
        <v>44256</v>
      </c>
      <c r="G5056">
        <v>1.76</v>
      </c>
      <c r="H5056">
        <v>82.183599999999998</v>
      </c>
      <c r="I5056">
        <v>16.87</v>
      </c>
      <c r="J5056">
        <v>89.11</v>
      </c>
      <c r="K5056" t="s">
        <v>23</v>
      </c>
      <c r="L5056">
        <v>189.83</v>
      </c>
      <c r="M5056">
        <f>VLOOKUP(K5056,RatingLookup!$A$2:$C$8,2,FALSE)</f>
        <v>1E-3</v>
      </c>
      <c r="N5056">
        <f t="shared" si="234"/>
        <v>8.3371552197619714E-5</v>
      </c>
      <c r="O5056">
        <f>VLOOKUP(K5056,RatingLookup!$A$2:$C$8,3,FALSE)</f>
        <v>0.3</v>
      </c>
      <c r="P5056">
        <f t="shared" si="235"/>
        <v>4.7479265261022455E-3</v>
      </c>
      <c r="Q5056" t="str">
        <f t="shared" ca="1" si="236"/>
        <v>No</v>
      </c>
    </row>
    <row r="5057" spans="1:17" x14ac:dyDescent="0.45">
      <c r="A5057" t="s">
        <v>205</v>
      </c>
      <c r="B5057" t="s">
        <v>206</v>
      </c>
      <c r="C5057" t="s">
        <v>29</v>
      </c>
      <c r="D5057" t="s">
        <v>188</v>
      </c>
      <c r="E5057" t="s">
        <v>21</v>
      </c>
      <c r="F5057" s="1">
        <v>44287</v>
      </c>
      <c r="G5057">
        <v>1.56</v>
      </c>
      <c r="H5057">
        <v>82.959900000000005</v>
      </c>
      <c r="I5057">
        <v>21.34</v>
      </c>
      <c r="J5057">
        <v>77.92</v>
      </c>
      <c r="K5057" t="s">
        <v>23</v>
      </c>
      <c r="L5057">
        <v>222.81</v>
      </c>
      <c r="M5057">
        <f>VLOOKUP(K5057,RatingLookup!$A$2:$C$8,2,FALSE)</f>
        <v>1E-3</v>
      </c>
      <c r="N5057">
        <f t="shared" si="234"/>
        <v>8.3371552197619714E-5</v>
      </c>
      <c r="O5057">
        <f>VLOOKUP(K5057,RatingLookup!$A$2:$C$8,3,FALSE)</f>
        <v>0.3</v>
      </c>
      <c r="P5057">
        <f t="shared" si="235"/>
        <v>5.5728046635454944E-3</v>
      </c>
      <c r="Q5057" t="str">
        <f t="shared" ca="1" si="236"/>
        <v>No</v>
      </c>
    </row>
    <row r="5058" spans="1:17" x14ac:dyDescent="0.45">
      <c r="A5058" t="s">
        <v>205</v>
      </c>
      <c r="B5058" t="s">
        <v>206</v>
      </c>
      <c r="C5058" t="s">
        <v>29</v>
      </c>
      <c r="D5058" t="s">
        <v>188</v>
      </c>
      <c r="E5058" t="s">
        <v>21</v>
      </c>
      <c r="F5058" s="1">
        <v>44317</v>
      </c>
      <c r="G5058">
        <v>2.12</v>
      </c>
      <c r="H5058">
        <v>83.161500000000004</v>
      </c>
      <c r="I5058">
        <v>12.56</v>
      </c>
      <c r="J5058">
        <v>83.91</v>
      </c>
      <c r="K5058" t="s">
        <v>23</v>
      </c>
      <c r="L5058">
        <v>202.42</v>
      </c>
      <c r="M5058">
        <f>VLOOKUP(K5058,RatingLookup!$A$2:$C$8,2,FALSE)</f>
        <v>1E-3</v>
      </c>
      <c r="N5058">
        <f t="shared" ref="N5058:N5121" si="237">1-(1-M5058)^(1/12)</f>
        <v>8.3371552197619714E-5</v>
      </c>
      <c r="O5058">
        <f>VLOOKUP(K5058,RatingLookup!$A$2:$C$8,3,FALSE)</f>
        <v>0.3</v>
      </c>
      <c r="P5058">
        <f t="shared" ref="P5058:P5121" si="238">L5058*N5058*O5058</f>
        <v>5.062820878752654E-3</v>
      </c>
      <c r="Q5058" t="str">
        <f t="shared" ref="Q5058:Q5121" ca="1" si="239">IF(RAND()&lt;N5058,"Yes","No")</f>
        <v>No</v>
      </c>
    </row>
    <row r="5059" spans="1:17" x14ac:dyDescent="0.45">
      <c r="A5059" t="s">
        <v>205</v>
      </c>
      <c r="B5059" t="s">
        <v>206</v>
      </c>
      <c r="C5059" t="s">
        <v>29</v>
      </c>
      <c r="D5059" t="s">
        <v>188</v>
      </c>
      <c r="E5059" t="s">
        <v>21</v>
      </c>
      <c r="F5059" s="1">
        <v>44348</v>
      </c>
      <c r="G5059">
        <v>2.06</v>
      </c>
      <c r="H5059">
        <v>82.026399999999995</v>
      </c>
      <c r="I5059">
        <v>10.76</v>
      </c>
      <c r="J5059">
        <v>73.239999999999995</v>
      </c>
      <c r="K5059" t="s">
        <v>22</v>
      </c>
      <c r="L5059">
        <v>204.88</v>
      </c>
      <c r="M5059">
        <f>VLOOKUP(K5059,RatingLookup!$A$2:$C$8,2,FALSE)</f>
        <v>5.0000000000000001E-3</v>
      </c>
      <c r="N5059">
        <f t="shared" si="237"/>
        <v>4.1762458919303302E-4</v>
      </c>
      <c r="O5059">
        <f>VLOOKUP(K5059,RatingLookup!$A$2:$C$8,3,FALSE)</f>
        <v>0.45</v>
      </c>
      <c r="P5059">
        <f t="shared" si="238"/>
        <v>3.8503316625240876E-2</v>
      </c>
      <c r="Q5059" t="str">
        <f t="shared" ca="1" si="239"/>
        <v>No</v>
      </c>
    </row>
    <row r="5060" spans="1:17" x14ac:dyDescent="0.45">
      <c r="A5060" t="s">
        <v>205</v>
      </c>
      <c r="B5060" t="s">
        <v>206</v>
      </c>
      <c r="C5060" t="s">
        <v>29</v>
      </c>
      <c r="D5060" t="s">
        <v>188</v>
      </c>
      <c r="E5060" t="s">
        <v>21</v>
      </c>
      <c r="F5060" s="1">
        <v>44378</v>
      </c>
      <c r="G5060">
        <v>1.07</v>
      </c>
      <c r="H5060">
        <v>83.089299999999994</v>
      </c>
      <c r="I5060">
        <v>20.88</v>
      </c>
      <c r="J5060">
        <v>59.45</v>
      </c>
      <c r="K5060" t="s">
        <v>22</v>
      </c>
      <c r="L5060">
        <v>231.59</v>
      </c>
      <c r="M5060">
        <f>VLOOKUP(K5060,RatingLookup!$A$2:$C$8,2,FALSE)</f>
        <v>5.0000000000000001E-3</v>
      </c>
      <c r="N5060">
        <f t="shared" si="237"/>
        <v>4.1762458919303302E-4</v>
      </c>
      <c r="O5060">
        <f>VLOOKUP(K5060,RatingLookup!$A$2:$C$8,3,FALSE)</f>
        <v>0.45</v>
      </c>
      <c r="P5060">
        <f t="shared" si="238"/>
        <v>4.3522955375046538E-2</v>
      </c>
      <c r="Q5060" t="str">
        <f t="shared" ca="1" si="239"/>
        <v>No</v>
      </c>
    </row>
    <row r="5061" spans="1:17" x14ac:dyDescent="0.45">
      <c r="A5061" t="s">
        <v>205</v>
      </c>
      <c r="B5061" t="s">
        <v>206</v>
      </c>
      <c r="C5061" t="s">
        <v>29</v>
      </c>
      <c r="D5061" t="s">
        <v>188</v>
      </c>
      <c r="E5061" t="s">
        <v>21</v>
      </c>
      <c r="F5061" s="1">
        <v>44409</v>
      </c>
      <c r="G5061">
        <v>1.39</v>
      </c>
      <c r="H5061">
        <v>81.710099999999997</v>
      </c>
      <c r="I5061">
        <v>14.42</v>
      </c>
      <c r="J5061">
        <v>86.54</v>
      </c>
      <c r="K5061" t="s">
        <v>30</v>
      </c>
      <c r="L5061">
        <v>185.36</v>
      </c>
      <c r="M5061">
        <f>VLOOKUP(K5061,RatingLookup!$A$2:$C$8,2,FALSE)</f>
        <v>1.4999999999999999E-2</v>
      </c>
      <c r="N5061">
        <f t="shared" si="237"/>
        <v>1.2586770182638762E-3</v>
      </c>
      <c r="O5061">
        <f>VLOOKUP(K5061,RatingLookup!$A$2:$C$8,3,FALSE)</f>
        <v>0.5</v>
      </c>
      <c r="P5061">
        <f t="shared" si="238"/>
        <v>0.11665418605269606</v>
      </c>
      <c r="Q5061" t="str">
        <f t="shared" ca="1" si="239"/>
        <v>No</v>
      </c>
    </row>
    <row r="5062" spans="1:17" x14ac:dyDescent="0.45">
      <c r="A5062" t="s">
        <v>205</v>
      </c>
      <c r="B5062" t="s">
        <v>206</v>
      </c>
      <c r="C5062" t="s">
        <v>29</v>
      </c>
      <c r="D5062" t="s">
        <v>188</v>
      </c>
      <c r="E5062" t="s">
        <v>21</v>
      </c>
      <c r="F5062" s="1">
        <v>44440</v>
      </c>
      <c r="G5062">
        <v>0.41</v>
      </c>
      <c r="H5062">
        <v>83.200599999999994</v>
      </c>
      <c r="I5062">
        <v>16.190000000000001</v>
      </c>
      <c r="J5062">
        <v>85.45</v>
      </c>
      <c r="K5062" t="s">
        <v>30</v>
      </c>
      <c r="L5062">
        <v>204.02</v>
      </c>
      <c r="M5062">
        <f>VLOOKUP(K5062,RatingLookup!$A$2:$C$8,2,FALSE)</f>
        <v>1.4999999999999999E-2</v>
      </c>
      <c r="N5062">
        <f t="shared" si="237"/>
        <v>1.2586770182638762E-3</v>
      </c>
      <c r="O5062">
        <f>VLOOKUP(K5062,RatingLookup!$A$2:$C$8,3,FALSE)</f>
        <v>0.5</v>
      </c>
      <c r="P5062">
        <f t="shared" si="238"/>
        <v>0.12839764263309802</v>
      </c>
      <c r="Q5062" t="str">
        <f t="shared" ca="1" si="239"/>
        <v>No</v>
      </c>
    </row>
    <row r="5063" spans="1:17" x14ac:dyDescent="0.45">
      <c r="A5063" t="s">
        <v>205</v>
      </c>
      <c r="B5063" t="s">
        <v>206</v>
      </c>
      <c r="C5063" t="s">
        <v>29</v>
      </c>
      <c r="D5063" t="s">
        <v>188</v>
      </c>
      <c r="E5063" t="s">
        <v>21</v>
      </c>
      <c r="F5063" s="1">
        <v>44470</v>
      </c>
      <c r="G5063">
        <v>0.5</v>
      </c>
      <c r="H5063">
        <v>82.254099999999994</v>
      </c>
      <c r="I5063">
        <v>16.809999999999999</v>
      </c>
      <c r="J5063">
        <v>66.28</v>
      </c>
      <c r="K5063" t="s">
        <v>30</v>
      </c>
      <c r="L5063">
        <v>218.08</v>
      </c>
      <c r="M5063">
        <f>VLOOKUP(K5063,RatingLookup!$A$2:$C$8,2,FALSE)</f>
        <v>1.4999999999999999E-2</v>
      </c>
      <c r="N5063">
        <f t="shared" si="237"/>
        <v>1.2586770182638762E-3</v>
      </c>
      <c r="O5063">
        <f>VLOOKUP(K5063,RatingLookup!$A$2:$C$8,3,FALSE)</f>
        <v>0.5</v>
      </c>
      <c r="P5063">
        <f t="shared" si="238"/>
        <v>0.13724614207149308</v>
      </c>
      <c r="Q5063" t="str">
        <f t="shared" ca="1" si="239"/>
        <v>No</v>
      </c>
    </row>
    <row r="5064" spans="1:17" x14ac:dyDescent="0.45">
      <c r="A5064" t="s">
        <v>205</v>
      </c>
      <c r="B5064" t="s">
        <v>206</v>
      </c>
      <c r="C5064" t="s">
        <v>29</v>
      </c>
      <c r="D5064" t="s">
        <v>188</v>
      </c>
      <c r="E5064" t="s">
        <v>21</v>
      </c>
      <c r="F5064" s="1">
        <v>44501</v>
      </c>
      <c r="G5064">
        <v>0.57999999999999996</v>
      </c>
      <c r="H5064">
        <v>83.3279</v>
      </c>
      <c r="I5064">
        <v>12.7</v>
      </c>
      <c r="J5064">
        <v>67.61</v>
      </c>
      <c r="K5064" t="s">
        <v>30</v>
      </c>
      <c r="L5064">
        <v>208.84</v>
      </c>
      <c r="M5064">
        <f>VLOOKUP(K5064,RatingLookup!$A$2:$C$8,2,FALSE)</f>
        <v>1.4999999999999999E-2</v>
      </c>
      <c r="N5064">
        <f t="shared" si="237"/>
        <v>1.2586770182638762E-3</v>
      </c>
      <c r="O5064">
        <f>VLOOKUP(K5064,RatingLookup!$A$2:$C$8,3,FALSE)</f>
        <v>0.5</v>
      </c>
      <c r="P5064">
        <f t="shared" si="238"/>
        <v>0.13143105424711396</v>
      </c>
      <c r="Q5064" t="str">
        <f t="shared" ca="1" si="239"/>
        <v>No</v>
      </c>
    </row>
    <row r="5065" spans="1:17" x14ac:dyDescent="0.45">
      <c r="A5065" t="s">
        <v>205</v>
      </c>
      <c r="B5065" t="s">
        <v>206</v>
      </c>
      <c r="C5065" t="s">
        <v>29</v>
      </c>
      <c r="D5065" t="s">
        <v>188</v>
      </c>
      <c r="E5065" t="s">
        <v>21</v>
      </c>
      <c r="F5065" s="1">
        <v>44531</v>
      </c>
      <c r="G5065">
        <v>1.53</v>
      </c>
      <c r="H5065">
        <v>81.300700000000006</v>
      </c>
      <c r="I5065">
        <v>21.99</v>
      </c>
      <c r="J5065">
        <v>75.56</v>
      </c>
      <c r="K5065" t="s">
        <v>30</v>
      </c>
      <c r="L5065">
        <v>223.03</v>
      </c>
      <c r="M5065">
        <f>VLOOKUP(K5065,RatingLookup!$A$2:$C$8,2,FALSE)</f>
        <v>1.4999999999999999E-2</v>
      </c>
      <c r="N5065">
        <f t="shared" si="237"/>
        <v>1.2586770182638762E-3</v>
      </c>
      <c r="O5065">
        <f>VLOOKUP(K5065,RatingLookup!$A$2:$C$8,3,FALSE)</f>
        <v>0.5</v>
      </c>
      <c r="P5065">
        <f t="shared" si="238"/>
        <v>0.14036136769169616</v>
      </c>
      <c r="Q5065" t="str">
        <f t="shared" ca="1" si="239"/>
        <v>No</v>
      </c>
    </row>
    <row r="5066" spans="1:17" x14ac:dyDescent="0.45">
      <c r="A5066" t="s">
        <v>205</v>
      </c>
      <c r="B5066" t="s">
        <v>206</v>
      </c>
      <c r="C5066" t="s">
        <v>29</v>
      </c>
      <c r="D5066" t="s">
        <v>188</v>
      </c>
      <c r="E5066" t="s">
        <v>21</v>
      </c>
      <c r="F5066" s="1">
        <v>44562</v>
      </c>
      <c r="G5066">
        <v>1.19</v>
      </c>
      <c r="H5066">
        <v>80.7928</v>
      </c>
      <c r="I5066">
        <v>16.57</v>
      </c>
      <c r="J5066">
        <v>85.39</v>
      </c>
      <c r="K5066" t="s">
        <v>30</v>
      </c>
      <c r="L5066">
        <v>192.42</v>
      </c>
      <c r="M5066">
        <f>VLOOKUP(K5066,RatingLookup!$A$2:$C$8,2,FALSE)</f>
        <v>1.4999999999999999E-2</v>
      </c>
      <c r="N5066">
        <f t="shared" si="237"/>
        <v>1.2586770182638762E-3</v>
      </c>
      <c r="O5066">
        <f>VLOOKUP(K5066,RatingLookup!$A$2:$C$8,3,FALSE)</f>
        <v>0.5</v>
      </c>
      <c r="P5066">
        <f t="shared" si="238"/>
        <v>0.12109731592716752</v>
      </c>
      <c r="Q5066" t="str">
        <f t="shared" ca="1" si="239"/>
        <v>No</v>
      </c>
    </row>
    <row r="5067" spans="1:17" x14ac:dyDescent="0.45">
      <c r="A5067" t="s">
        <v>205</v>
      </c>
      <c r="B5067" t="s">
        <v>206</v>
      </c>
      <c r="C5067" t="s">
        <v>29</v>
      </c>
      <c r="D5067" t="s">
        <v>188</v>
      </c>
      <c r="E5067" t="s">
        <v>21</v>
      </c>
      <c r="F5067" s="1">
        <v>44593</v>
      </c>
      <c r="G5067">
        <v>1.33</v>
      </c>
      <c r="H5067">
        <v>85.178899999999999</v>
      </c>
      <c r="I5067">
        <v>8.7200000000000006</v>
      </c>
      <c r="J5067">
        <v>80.680000000000007</v>
      </c>
      <c r="K5067" t="s">
        <v>30</v>
      </c>
      <c r="L5067">
        <v>220.43</v>
      </c>
      <c r="M5067">
        <f>VLOOKUP(K5067,RatingLookup!$A$2:$C$8,2,FALSE)</f>
        <v>1.4999999999999999E-2</v>
      </c>
      <c r="N5067">
        <f t="shared" si="237"/>
        <v>1.2586770182638762E-3</v>
      </c>
      <c r="O5067">
        <f>VLOOKUP(K5067,RatingLookup!$A$2:$C$8,3,FALSE)</f>
        <v>0.5</v>
      </c>
      <c r="P5067">
        <f t="shared" si="238"/>
        <v>0.13872508756795313</v>
      </c>
      <c r="Q5067" t="str">
        <f t="shared" ca="1" si="239"/>
        <v>No</v>
      </c>
    </row>
    <row r="5068" spans="1:17" x14ac:dyDescent="0.45">
      <c r="A5068" t="s">
        <v>205</v>
      </c>
      <c r="B5068" t="s">
        <v>206</v>
      </c>
      <c r="C5068" t="s">
        <v>29</v>
      </c>
      <c r="D5068" t="s">
        <v>188</v>
      </c>
      <c r="E5068" t="s">
        <v>21</v>
      </c>
      <c r="F5068" s="1">
        <v>44621</v>
      </c>
      <c r="G5068">
        <v>2.0699999999999998</v>
      </c>
      <c r="H5068">
        <v>79.651499999999999</v>
      </c>
      <c r="I5068">
        <v>15.1</v>
      </c>
      <c r="J5068">
        <v>67.09</v>
      </c>
      <c r="K5068" t="s">
        <v>30</v>
      </c>
      <c r="L5068">
        <v>217.63</v>
      </c>
      <c r="M5068">
        <f>VLOOKUP(K5068,RatingLookup!$A$2:$C$8,2,FALSE)</f>
        <v>1.4999999999999999E-2</v>
      </c>
      <c r="N5068">
        <f t="shared" si="237"/>
        <v>1.2586770182638762E-3</v>
      </c>
      <c r="O5068">
        <f>VLOOKUP(K5068,RatingLookup!$A$2:$C$8,3,FALSE)</f>
        <v>0.5</v>
      </c>
      <c r="P5068">
        <f t="shared" si="238"/>
        <v>0.13696293974238369</v>
      </c>
      <c r="Q5068" t="str">
        <f t="shared" ca="1" si="239"/>
        <v>No</v>
      </c>
    </row>
    <row r="5069" spans="1:17" x14ac:dyDescent="0.45">
      <c r="A5069" t="s">
        <v>205</v>
      </c>
      <c r="B5069" t="s">
        <v>206</v>
      </c>
      <c r="C5069" t="s">
        <v>29</v>
      </c>
      <c r="D5069" t="s">
        <v>188</v>
      </c>
      <c r="E5069" t="s">
        <v>21</v>
      </c>
      <c r="F5069" s="1">
        <v>44652</v>
      </c>
      <c r="G5069">
        <v>1.76</v>
      </c>
      <c r="H5069">
        <v>81.458200000000005</v>
      </c>
      <c r="I5069">
        <v>5</v>
      </c>
      <c r="J5069">
        <v>97.21</v>
      </c>
      <c r="K5069" t="s">
        <v>30</v>
      </c>
      <c r="L5069">
        <v>212.85</v>
      </c>
      <c r="M5069">
        <f>VLOOKUP(K5069,RatingLookup!$A$2:$C$8,2,FALSE)</f>
        <v>1.4999999999999999E-2</v>
      </c>
      <c r="N5069">
        <f t="shared" si="237"/>
        <v>1.2586770182638762E-3</v>
      </c>
      <c r="O5069">
        <f>VLOOKUP(K5069,RatingLookup!$A$2:$C$8,3,FALSE)</f>
        <v>0.5</v>
      </c>
      <c r="P5069">
        <f t="shared" si="238"/>
        <v>0.13395470166873302</v>
      </c>
      <c r="Q5069" t="str">
        <f t="shared" ca="1" si="239"/>
        <v>No</v>
      </c>
    </row>
    <row r="5070" spans="1:17" x14ac:dyDescent="0.45">
      <c r="A5070" t="s">
        <v>205</v>
      </c>
      <c r="B5070" t="s">
        <v>206</v>
      </c>
      <c r="C5070" t="s">
        <v>29</v>
      </c>
      <c r="D5070" t="s">
        <v>188</v>
      </c>
      <c r="E5070" t="s">
        <v>21</v>
      </c>
      <c r="F5070" s="1">
        <v>44682</v>
      </c>
      <c r="G5070">
        <v>1.65</v>
      </c>
      <c r="H5070">
        <v>81.199399999999997</v>
      </c>
      <c r="I5070">
        <v>25.98</v>
      </c>
      <c r="J5070">
        <v>77.739999999999995</v>
      </c>
      <c r="K5070" t="s">
        <v>31</v>
      </c>
      <c r="L5070">
        <v>204.41</v>
      </c>
      <c r="M5070">
        <f>VLOOKUP(K5070,RatingLookup!$A$2:$C$8,2,FALSE)</f>
        <v>0.04</v>
      </c>
      <c r="N5070">
        <f t="shared" si="237"/>
        <v>3.3960531989175591E-3</v>
      </c>
      <c r="O5070">
        <f>VLOOKUP(K5070,RatingLookup!$A$2:$C$8,3,FALSE)</f>
        <v>0.6</v>
      </c>
      <c r="P5070">
        <f t="shared" si="238"/>
        <v>0.41651234063444292</v>
      </c>
      <c r="Q5070" t="str">
        <f t="shared" ca="1" si="239"/>
        <v>No</v>
      </c>
    </row>
    <row r="5071" spans="1:17" x14ac:dyDescent="0.45">
      <c r="A5071" t="s">
        <v>205</v>
      </c>
      <c r="B5071" t="s">
        <v>206</v>
      </c>
      <c r="C5071" t="s">
        <v>29</v>
      </c>
      <c r="D5071" t="s">
        <v>188</v>
      </c>
      <c r="E5071" t="s">
        <v>21</v>
      </c>
      <c r="F5071" s="1">
        <v>44713</v>
      </c>
      <c r="G5071">
        <v>0.92</v>
      </c>
      <c r="H5071">
        <v>87.152900000000002</v>
      </c>
      <c r="I5071">
        <v>22.45</v>
      </c>
      <c r="J5071">
        <v>73.58</v>
      </c>
      <c r="K5071" t="s">
        <v>31</v>
      </c>
      <c r="L5071">
        <v>206.14</v>
      </c>
      <c r="M5071">
        <f>VLOOKUP(K5071,RatingLookup!$A$2:$C$8,2,FALSE)</f>
        <v>0.04</v>
      </c>
      <c r="N5071">
        <f t="shared" si="237"/>
        <v>3.3960531989175591E-3</v>
      </c>
      <c r="O5071">
        <f>VLOOKUP(K5071,RatingLookup!$A$2:$C$8,3,FALSE)</f>
        <v>0.6</v>
      </c>
      <c r="P5071">
        <f t="shared" si="238"/>
        <v>0.42003744385491937</v>
      </c>
      <c r="Q5071" t="str">
        <f t="shared" ca="1" si="239"/>
        <v>No</v>
      </c>
    </row>
    <row r="5072" spans="1:17" x14ac:dyDescent="0.45">
      <c r="A5072" t="s">
        <v>205</v>
      </c>
      <c r="B5072" t="s">
        <v>206</v>
      </c>
      <c r="C5072" t="s">
        <v>29</v>
      </c>
      <c r="D5072" t="s">
        <v>188</v>
      </c>
      <c r="E5072" t="s">
        <v>21</v>
      </c>
      <c r="F5072" s="1">
        <v>44743</v>
      </c>
      <c r="G5072">
        <v>2.0099999999999998</v>
      </c>
      <c r="H5072">
        <v>77.829700000000003</v>
      </c>
      <c r="I5072">
        <v>14.83</v>
      </c>
      <c r="J5072">
        <v>68.2</v>
      </c>
      <c r="K5072" t="s">
        <v>31</v>
      </c>
      <c r="L5072">
        <v>202.24</v>
      </c>
      <c r="M5072">
        <f>VLOOKUP(K5072,RatingLookup!$A$2:$C$8,2,FALSE)</f>
        <v>0.04</v>
      </c>
      <c r="N5072">
        <f t="shared" si="237"/>
        <v>3.3960531989175591E-3</v>
      </c>
      <c r="O5072">
        <f>VLOOKUP(K5072,RatingLookup!$A$2:$C$8,3,FALSE)</f>
        <v>0.6</v>
      </c>
      <c r="P5072">
        <f t="shared" si="238"/>
        <v>0.41209067936945232</v>
      </c>
      <c r="Q5072" t="str">
        <f t="shared" ca="1" si="239"/>
        <v>No</v>
      </c>
    </row>
    <row r="5073" spans="1:17" x14ac:dyDescent="0.45">
      <c r="A5073" t="s">
        <v>205</v>
      </c>
      <c r="B5073" t="s">
        <v>206</v>
      </c>
      <c r="C5073" t="s">
        <v>29</v>
      </c>
      <c r="D5073" t="s">
        <v>188</v>
      </c>
      <c r="E5073" t="s">
        <v>21</v>
      </c>
      <c r="F5073" s="1">
        <v>44774</v>
      </c>
      <c r="G5073">
        <v>1.63</v>
      </c>
      <c r="H5073">
        <v>82.7761</v>
      </c>
      <c r="I5073">
        <v>24.4</v>
      </c>
      <c r="J5073">
        <v>78.430000000000007</v>
      </c>
      <c r="K5073" t="s">
        <v>31</v>
      </c>
      <c r="L5073">
        <v>201.89</v>
      </c>
      <c r="M5073">
        <f>VLOOKUP(K5073,RatingLookup!$A$2:$C$8,2,FALSE)</f>
        <v>0.04</v>
      </c>
      <c r="N5073">
        <f t="shared" si="237"/>
        <v>3.3960531989175591E-3</v>
      </c>
      <c r="O5073">
        <f>VLOOKUP(K5073,RatingLookup!$A$2:$C$8,3,FALSE)</f>
        <v>0.6</v>
      </c>
      <c r="P5073">
        <f t="shared" si="238"/>
        <v>0.41137750819767954</v>
      </c>
      <c r="Q5073" t="str">
        <f t="shared" ca="1" si="239"/>
        <v>No</v>
      </c>
    </row>
    <row r="5074" spans="1:17" x14ac:dyDescent="0.45">
      <c r="A5074" t="s">
        <v>205</v>
      </c>
      <c r="B5074" t="s">
        <v>206</v>
      </c>
      <c r="C5074" t="s">
        <v>29</v>
      </c>
      <c r="D5074" t="s">
        <v>188</v>
      </c>
      <c r="E5074" t="s">
        <v>21</v>
      </c>
      <c r="F5074" s="1">
        <v>44805</v>
      </c>
      <c r="G5074">
        <v>1.37</v>
      </c>
      <c r="H5074">
        <v>84.38</v>
      </c>
      <c r="I5074">
        <v>15.94</v>
      </c>
      <c r="J5074">
        <v>71.010000000000005</v>
      </c>
      <c r="K5074" t="s">
        <v>31</v>
      </c>
      <c r="L5074">
        <v>191.18</v>
      </c>
      <c r="M5074">
        <f>VLOOKUP(K5074,RatingLookup!$A$2:$C$8,2,FALSE)</f>
        <v>0.04</v>
      </c>
      <c r="N5074">
        <f t="shared" si="237"/>
        <v>3.3960531989175591E-3</v>
      </c>
      <c r="O5074">
        <f>VLOOKUP(K5074,RatingLookup!$A$2:$C$8,3,FALSE)</f>
        <v>0.6</v>
      </c>
      <c r="P5074">
        <f t="shared" si="238"/>
        <v>0.38955447034143537</v>
      </c>
      <c r="Q5074" t="str">
        <f t="shared" ca="1" si="239"/>
        <v>No</v>
      </c>
    </row>
    <row r="5075" spans="1:17" x14ac:dyDescent="0.45">
      <c r="A5075" t="s">
        <v>205</v>
      </c>
      <c r="B5075" t="s">
        <v>206</v>
      </c>
      <c r="C5075" t="s">
        <v>29</v>
      </c>
      <c r="D5075" t="s">
        <v>188</v>
      </c>
      <c r="E5075" t="s">
        <v>21</v>
      </c>
      <c r="F5075" s="1">
        <v>44835</v>
      </c>
      <c r="G5075">
        <v>1.72</v>
      </c>
      <c r="H5075">
        <v>82.176000000000002</v>
      </c>
      <c r="I5075">
        <v>14.14</v>
      </c>
      <c r="J5075">
        <v>68.52</v>
      </c>
      <c r="K5075" t="s">
        <v>31</v>
      </c>
      <c r="L5075">
        <v>184.56</v>
      </c>
      <c r="M5075">
        <f>VLOOKUP(K5075,RatingLookup!$A$2:$C$8,2,FALSE)</f>
        <v>0.04</v>
      </c>
      <c r="N5075">
        <f t="shared" si="237"/>
        <v>3.3960531989175591E-3</v>
      </c>
      <c r="O5075">
        <f>VLOOKUP(K5075,RatingLookup!$A$2:$C$8,3,FALSE)</f>
        <v>0.6</v>
      </c>
      <c r="P5075">
        <f t="shared" si="238"/>
        <v>0.37606534703533484</v>
      </c>
      <c r="Q5075" t="str">
        <f t="shared" ca="1" si="239"/>
        <v>No</v>
      </c>
    </row>
    <row r="5076" spans="1:17" x14ac:dyDescent="0.45">
      <c r="A5076" t="s">
        <v>205</v>
      </c>
      <c r="B5076" t="s">
        <v>206</v>
      </c>
      <c r="C5076" t="s">
        <v>29</v>
      </c>
      <c r="D5076" t="s">
        <v>188</v>
      </c>
      <c r="E5076" t="s">
        <v>21</v>
      </c>
      <c r="F5076" s="1">
        <v>44866</v>
      </c>
      <c r="G5076">
        <v>0.28000000000000003</v>
      </c>
      <c r="H5076">
        <v>80.573599999999999</v>
      </c>
      <c r="I5076">
        <v>22.56</v>
      </c>
      <c r="J5076">
        <v>88.22</v>
      </c>
      <c r="K5076" t="s">
        <v>31</v>
      </c>
      <c r="L5076">
        <v>203.55</v>
      </c>
      <c r="M5076">
        <f>VLOOKUP(K5076,RatingLookup!$A$2:$C$8,2,FALSE)</f>
        <v>0.04</v>
      </c>
      <c r="N5076">
        <f t="shared" si="237"/>
        <v>3.3960531989175591E-3</v>
      </c>
      <c r="O5076">
        <f>VLOOKUP(K5076,RatingLookup!$A$2:$C$8,3,FALSE)</f>
        <v>0.6</v>
      </c>
      <c r="P5076">
        <f t="shared" si="238"/>
        <v>0.41475997718380148</v>
      </c>
      <c r="Q5076" t="str">
        <f t="shared" ca="1" si="239"/>
        <v>No</v>
      </c>
    </row>
    <row r="5077" spans="1:17" x14ac:dyDescent="0.45">
      <c r="A5077" t="s">
        <v>205</v>
      </c>
      <c r="B5077" t="s">
        <v>206</v>
      </c>
      <c r="C5077" t="s">
        <v>29</v>
      </c>
      <c r="D5077" t="s">
        <v>188</v>
      </c>
      <c r="E5077" t="s">
        <v>21</v>
      </c>
      <c r="F5077" s="1">
        <v>44896</v>
      </c>
      <c r="G5077">
        <v>1.99</v>
      </c>
      <c r="H5077">
        <v>84.414599999999993</v>
      </c>
      <c r="I5077">
        <v>21.62</v>
      </c>
      <c r="J5077">
        <v>73.099999999999994</v>
      </c>
      <c r="K5077" t="s">
        <v>31</v>
      </c>
      <c r="L5077">
        <v>193.59</v>
      </c>
      <c r="M5077">
        <f>VLOOKUP(K5077,RatingLookup!$A$2:$C$8,2,FALSE)</f>
        <v>0.04</v>
      </c>
      <c r="N5077">
        <f t="shared" si="237"/>
        <v>3.3960531989175591E-3</v>
      </c>
      <c r="O5077">
        <f>VLOOKUP(K5077,RatingLookup!$A$2:$C$8,3,FALSE)</f>
        <v>0.6</v>
      </c>
      <c r="P5077">
        <f t="shared" si="238"/>
        <v>0.39446516326707015</v>
      </c>
      <c r="Q5077" t="str">
        <f t="shared" ca="1" si="239"/>
        <v>No</v>
      </c>
    </row>
    <row r="5078" spans="1:17" x14ac:dyDescent="0.45">
      <c r="A5078" t="s">
        <v>205</v>
      </c>
      <c r="B5078" t="s">
        <v>206</v>
      </c>
      <c r="C5078" t="s">
        <v>29</v>
      </c>
      <c r="D5078" t="s">
        <v>188</v>
      </c>
      <c r="E5078" t="s">
        <v>21</v>
      </c>
      <c r="F5078" s="1">
        <v>44927</v>
      </c>
      <c r="G5078">
        <v>1.27</v>
      </c>
      <c r="H5078">
        <v>75.121700000000004</v>
      </c>
      <c r="I5078">
        <v>21.32</v>
      </c>
      <c r="J5078">
        <v>67.510000000000005</v>
      </c>
      <c r="K5078" t="s">
        <v>31</v>
      </c>
      <c r="L5078">
        <v>204.1</v>
      </c>
      <c r="M5078">
        <f>VLOOKUP(K5078,RatingLookup!$A$2:$C$8,2,FALSE)</f>
        <v>0.04</v>
      </c>
      <c r="N5078">
        <f t="shared" si="237"/>
        <v>3.3960531989175591E-3</v>
      </c>
      <c r="O5078">
        <f>VLOOKUP(K5078,RatingLookup!$A$2:$C$8,3,FALSE)</f>
        <v>0.6</v>
      </c>
      <c r="P5078">
        <f t="shared" si="238"/>
        <v>0.41588067473944429</v>
      </c>
      <c r="Q5078" t="str">
        <f t="shared" ca="1" si="239"/>
        <v>No</v>
      </c>
    </row>
    <row r="5079" spans="1:17" x14ac:dyDescent="0.45">
      <c r="A5079" t="s">
        <v>205</v>
      </c>
      <c r="B5079" t="s">
        <v>206</v>
      </c>
      <c r="C5079" t="s">
        <v>29</v>
      </c>
      <c r="D5079" t="s">
        <v>188</v>
      </c>
      <c r="E5079" t="s">
        <v>21</v>
      </c>
      <c r="F5079" s="1">
        <v>44958</v>
      </c>
      <c r="G5079">
        <v>1.74</v>
      </c>
      <c r="H5079">
        <v>86.586399999999998</v>
      </c>
      <c r="I5079">
        <v>18.14</v>
      </c>
      <c r="J5079">
        <v>83.66</v>
      </c>
      <c r="K5079" t="s">
        <v>31</v>
      </c>
      <c r="L5079">
        <v>200.85</v>
      </c>
      <c r="M5079">
        <f>VLOOKUP(K5079,RatingLookup!$A$2:$C$8,2,FALSE)</f>
        <v>0.04</v>
      </c>
      <c r="N5079">
        <f t="shared" si="237"/>
        <v>3.3960531989175591E-3</v>
      </c>
      <c r="O5079">
        <f>VLOOKUP(K5079,RatingLookup!$A$2:$C$8,3,FALSE)</f>
        <v>0.6</v>
      </c>
      <c r="P5079">
        <f t="shared" si="238"/>
        <v>0.40925837100155499</v>
      </c>
      <c r="Q5079" t="str">
        <f t="shared" ca="1" si="239"/>
        <v>No</v>
      </c>
    </row>
    <row r="5080" spans="1:17" x14ac:dyDescent="0.45">
      <c r="A5080" t="s">
        <v>205</v>
      </c>
      <c r="B5080" t="s">
        <v>206</v>
      </c>
      <c r="C5080" t="s">
        <v>29</v>
      </c>
      <c r="D5080" t="s">
        <v>188</v>
      </c>
      <c r="E5080" t="s">
        <v>21</v>
      </c>
      <c r="F5080" s="1">
        <v>44986</v>
      </c>
      <c r="G5080">
        <v>2.0299999999999998</v>
      </c>
      <c r="H5080">
        <v>73.884600000000006</v>
      </c>
      <c r="I5080">
        <v>14.7</v>
      </c>
      <c r="J5080">
        <v>76.33</v>
      </c>
      <c r="K5080" t="s">
        <v>31</v>
      </c>
      <c r="L5080">
        <v>199.87</v>
      </c>
      <c r="M5080">
        <f>VLOOKUP(K5080,RatingLookup!$A$2:$C$8,2,FALSE)</f>
        <v>0.04</v>
      </c>
      <c r="N5080">
        <f t="shared" si="237"/>
        <v>3.3960531989175591E-3</v>
      </c>
      <c r="O5080">
        <f>VLOOKUP(K5080,RatingLookup!$A$2:$C$8,3,FALSE)</f>
        <v>0.6</v>
      </c>
      <c r="P5080">
        <f t="shared" si="238"/>
        <v>0.40726149172059156</v>
      </c>
      <c r="Q5080" t="str">
        <f t="shared" ca="1" si="239"/>
        <v>No</v>
      </c>
    </row>
    <row r="5081" spans="1:17" x14ac:dyDescent="0.45">
      <c r="A5081" t="s">
        <v>205</v>
      </c>
      <c r="B5081" t="s">
        <v>206</v>
      </c>
      <c r="C5081" t="s">
        <v>29</v>
      </c>
      <c r="D5081" t="s">
        <v>188</v>
      </c>
      <c r="E5081" t="s">
        <v>21</v>
      </c>
      <c r="F5081" s="1">
        <v>45017</v>
      </c>
      <c r="G5081">
        <v>0.77</v>
      </c>
      <c r="H5081">
        <v>81.048199999999994</v>
      </c>
      <c r="I5081">
        <v>12.95</v>
      </c>
      <c r="J5081">
        <v>82.85</v>
      </c>
      <c r="K5081" t="s">
        <v>31</v>
      </c>
      <c r="L5081">
        <v>200.9</v>
      </c>
      <c r="M5081">
        <f>VLOOKUP(K5081,RatingLookup!$A$2:$C$8,2,FALSE)</f>
        <v>0.04</v>
      </c>
      <c r="N5081">
        <f t="shared" si="237"/>
        <v>3.3960531989175591E-3</v>
      </c>
      <c r="O5081">
        <f>VLOOKUP(K5081,RatingLookup!$A$2:$C$8,3,FALSE)</f>
        <v>0.6</v>
      </c>
      <c r="P5081">
        <f t="shared" si="238"/>
        <v>0.40936025259752257</v>
      </c>
      <c r="Q5081" t="str">
        <f t="shared" ca="1" si="239"/>
        <v>No</v>
      </c>
    </row>
    <row r="5082" spans="1:17" x14ac:dyDescent="0.45">
      <c r="A5082" t="s">
        <v>205</v>
      </c>
      <c r="B5082" t="s">
        <v>206</v>
      </c>
      <c r="C5082" t="s">
        <v>29</v>
      </c>
      <c r="D5082" t="s">
        <v>188</v>
      </c>
      <c r="E5082" t="s">
        <v>21</v>
      </c>
      <c r="F5082" s="1">
        <v>45047</v>
      </c>
      <c r="G5082">
        <v>1.07</v>
      </c>
      <c r="H5082">
        <v>90.251900000000006</v>
      </c>
      <c r="I5082">
        <v>8.33</v>
      </c>
      <c r="J5082">
        <v>79.930000000000007</v>
      </c>
      <c r="K5082" t="s">
        <v>32</v>
      </c>
      <c r="L5082">
        <v>206.45</v>
      </c>
      <c r="M5082">
        <f>VLOOKUP(K5082,RatingLookup!$A$2:$C$8,2,FALSE)</f>
        <v>0.12</v>
      </c>
      <c r="N5082">
        <f t="shared" si="237"/>
        <v>1.0596241035318976E-2</v>
      </c>
      <c r="O5082">
        <f>VLOOKUP(K5082,RatingLookup!$A$2:$C$8,3,FALSE)</f>
        <v>0.7</v>
      </c>
      <c r="P5082">
        <f t="shared" si="238"/>
        <v>1.5313157732191216</v>
      </c>
      <c r="Q5082" t="str">
        <f t="shared" ca="1" si="239"/>
        <v>No</v>
      </c>
    </row>
    <row r="5083" spans="1:17" x14ac:dyDescent="0.45">
      <c r="A5083" t="s">
        <v>205</v>
      </c>
      <c r="B5083" t="s">
        <v>206</v>
      </c>
      <c r="C5083" t="s">
        <v>29</v>
      </c>
      <c r="D5083" t="s">
        <v>188</v>
      </c>
      <c r="E5083" t="s">
        <v>21</v>
      </c>
      <c r="F5083" s="1">
        <v>45078</v>
      </c>
      <c r="G5083">
        <v>2</v>
      </c>
      <c r="H5083">
        <v>85.082599999999999</v>
      </c>
      <c r="I5083">
        <v>19.47</v>
      </c>
      <c r="J5083">
        <v>81.39</v>
      </c>
      <c r="K5083" t="s">
        <v>32</v>
      </c>
      <c r="L5083">
        <v>205.59</v>
      </c>
      <c r="M5083">
        <f>VLOOKUP(K5083,RatingLookup!$A$2:$C$8,2,FALSE)</f>
        <v>0.12</v>
      </c>
      <c r="N5083">
        <f t="shared" si="237"/>
        <v>1.0596241035318976E-2</v>
      </c>
      <c r="O5083">
        <f>VLOOKUP(K5083,RatingLookup!$A$2:$C$8,3,FALSE)</f>
        <v>0.7</v>
      </c>
      <c r="P5083">
        <f t="shared" si="238"/>
        <v>1.52493683611586</v>
      </c>
      <c r="Q5083" t="str">
        <f t="shared" ca="1" si="239"/>
        <v>No</v>
      </c>
    </row>
    <row r="5084" spans="1:17" x14ac:dyDescent="0.45">
      <c r="A5084" t="s">
        <v>205</v>
      </c>
      <c r="B5084" t="s">
        <v>206</v>
      </c>
      <c r="C5084" t="s">
        <v>29</v>
      </c>
      <c r="D5084" t="s">
        <v>188</v>
      </c>
      <c r="E5084" t="s">
        <v>21</v>
      </c>
      <c r="F5084" s="1">
        <v>45108</v>
      </c>
      <c r="G5084">
        <v>2.1</v>
      </c>
      <c r="H5084">
        <v>82.074200000000005</v>
      </c>
      <c r="I5084">
        <v>14.53</v>
      </c>
      <c r="J5084">
        <v>86.93</v>
      </c>
      <c r="K5084" t="s">
        <v>32</v>
      </c>
      <c r="L5084">
        <v>199.86</v>
      </c>
      <c r="M5084">
        <f>VLOOKUP(K5084,RatingLookup!$A$2:$C$8,2,FALSE)</f>
        <v>0.12</v>
      </c>
      <c r="N5084">
        <f t="shared" si="237"/>
        <v>1.0596241035318976E-2</v>
      </c>
      <c r="O5084">
        <f>VLOOKUP(K5084,RatingLookup!$A$2:$C$8,3,FALSE)</f>
        <v>0.7</v>
      </c>
      <c r="P5084">
        <f t="shared" si="238"/>
        <v>1.4824353133231953</v>
      </c>
      <c r="Q5084" t="str">
        <f t="shared" ca="1" si="239"/>
        <v>No</v>
      </c>
    </row>
    <row r="5085" spans="1:17" x14ac:dyDescent="0.45">
      <c r="A5085" t="s">
        <v>205</v>
      </c>
      <c r="B5085" t="s">
        <v>206</v>
      </c>
      <c r="C5085" t="s">
        <v>29</v>
      </c>
      <c r="D5085" t="s">
        <v>188</v>
      </c>
      <c r="E5085" t="s">
        <v>21</v>
      </c>
      <c r="F5085" s="1">
        <v>45139</v>
      </c>
      <c r="G5085">
        <v>1.1399999999999999</v>
      </c>
      <c r="H5085">
        <v>81.697599999999994</v>
      </c>
      <c r="I5085">
        <v>27.54</v>
      </c>
      <c r="J5085">
        <v>69.319999999999993</v>
      </c>
      <c r="K5085" t="s">
        <v>32</v>
      </c>
      <c r="L5085">
        <v>193.98</v>
      </c>
      <c r="M5085">
        <f>VLOOKUP(K5085,RatingLookup!$A$2:$C$8,2,FALSE)</f>
        <v>0.12</v>
      </c>
      <c r="N5085">
        <f t="shared" si="237"/>
        <v>1.0596241035318976E-2</v>
      </c>
      <c r="O5085">
        <f>VLOOKUP(K5085,RatingLookup!$A$2:$C$8,3,FALSE)</f>
        <v>0.7</v>
      </c>
      <c r="P5085">
        <f t="shared" si="238"/>
        <v>1.4388211852218222</v>
      </c>
      <c r="Q5085" t="str">
        <f t="shared" ca="1" si="239"/>
        <v>No</v>
      </c>
    </row>
    <row r="5086" spans="1:17" x14ac:dyDescent="0.45">
      <c r="A5086" t="s">
        <v>205</v>
      </c>
      <c r="B5086" t="s">
        <v>206</v>
      </c>
      <c r="C5086" t="s">
        <v>29</v>
      </c>
      <c r="D5086" t="s">
        <v>188</v>
      </c>
      <c r="E5086" t="s">
        <v>21</v>
      </c>
      <c r="F5086" s="1">
        <v>45170</v>
      </c>
      <c r="G5086">
        <v>0.94</v>
      </c>
      <c r="H5086">
        <v>79.832499999999996</v>
      </c>
      <c r="I5086">
        <v>14.1</v>
      </c>
      <c r="J5086">
        <v>74.31</v>
      </c>
      <c r="K5086" t="s">
        <v>32</v>
      </c>
      <c r="L5086">
        <v>194.67</v>
      </c>
      <c r="M5086">
        <f>VLOOKUP(K5086,RatingLookup!$A$2:$C$8,2,FALSE)</f>
        <v>0.12</v>
      </c>
      <c r="N5086">
        <f t="shared" si="237"/>
        <v>1.0596241035318976E-2</v>
      </c>
      <c r="O5086">
        <f>VLOOKUP(K5086,RatingLookup!$A$2:$C$8,3,FALSE)</f>
        <v>0.7</v>
      </c>
      <c r="P5086">
        <f t="shared" si="238"/>
        <v>1.4439391696418813</v>
      </c>
      <c r="Q5086" t="str">
        <f t="shared" ca="1" si="239"/>
        <v>No</v>
      </c>
    </row>
    <row r="5087" spans="1:17" x14ac:dyDescent="0.45">
      <c r="A5087" t="s">
        <v>205</v>
      </c>
      <c r="B5087" t="s">
        <v>206</v>
      </c>
      <c r="C5087" t="s">
        <v>29</v>
      </c>
      <c r="D5087" t="s">
        <v>188</v>
      </c>
      <c r="E5087" t="s">
        <v>21</v>
      </c>
      <c r="F5087" s="1">
        <v>45200</v>
      </c>
      <c r="G5087">
        <v>0.2</v>
      </c>
      <c r="H5087">
        <v>81.144000000000005</v>
      </c>
      <c r="I5087">
        <v>25.15</v>
      </c>
      <c r="J5087">
        <v>77.08</v>
      </c>
      <c r="K5087" t="s">
        <v>32</v>
      </c>
      <c r="L5087">
        <v>204.67</v>
      </c>
      <c r="M5087">
        <f>VLOOKUP(K5087,RatingLookup!$A$2:$C$8,2,FALSE)</f>
        <v>0.12</v>
      </c>
      <c r="N5087">
        <f t="shared" si="237"/>
        <v>1.0596241035318976E-2</v>
      </c>
      <c r="O5087">
        <f>VLOOKUP(K5087,RatingLookup!$A$2:$C$8,3,FALSE)</f>
        <v>0.7</v>
      </c>
      <c r="P5087">
        <f t="shared" si="238"/>
        <v>1.5181128568891145</v>
      </c>
      <c r="Q5087" t="str">
        <f t="shared" ca="1" si="239"/>
        <v>No</v>
      </c>
    </row>
    <row r="5088" spans="1:17" x14ac:dyDescent="0.45">
      <c r="A5088" t="s">
        <v>205</v>
      </c>
      <c r="B5088" t="s">
        <v>206</v>
      </c>
      <c r="C5088" t="s">
        <v>29</v>
      </c>
      <c r="D5088" t="s">
        <v>188</v>
      </c>
      <c r="E5088" t="s">
        <v>21</v>
      </c>
      <c r="F5088" s="1">
        <v>45231</v>
      </c>
      <c r="G5088">
        <v>0.1</v>
      </c>
      <c r="H5088">
        <v>83.186599999999999</v>
      </c>
      <c r="I5088">
        <v>28.1</v>
      </c>
      <c r="J5088">
        <v>65.03</v>
      </c>
      <c r="K5088" t="s">
        <v>32</v>
      </c>
      <c r="L5088">
        <v>206.21</v>
      </c>
      <c r="M5088">
        <f>VLOOKUP(K5088,RatingLookup!$A$2:$C$8,2,FALSE)</f>
        <v>0.12</v>
      </c>
      <c r="N5088">
        <f t="shared" si="237"/>
        <v>1.0596241035318976E-2</v>
      </c>
      <c r="O5088">
        <f>VLOOKUP(K5088,RatingLookup!$A$2:$C$8,3,FALSE)</f>
        <v>0.7</v>
      </c>
      <c r="P5088">
        <f t="shared" si="238"/>
        <v>1.5295356047251882</v>
      </c>
      <c r="Q5088" t="str">
        <f t="shared" ca="1" si="239"/>
        <v>No</v>
      </c>
    </row>
    <row r="5089" spans="1:17" x14ac:dyDescent="0.45">
      <c r="A5089" t="s">
        <v>205</v>
      </c>
      <c r="B5089" t="s">
        <v>206</v>
      </c>
      <c r="C5089" t="s">
        <v>29</v>
      </c>
      <c r="D5089" t="s">
        <v>188</v>
      </c>
      <c r="E5089" t="s">
        <v>21</v>
      </c>
      <c r="F5089" s="1">
        <v>45261</v>
      </c>
      <c r="G5089">
        <v>1.74</v>
      </c>
      <c r="H5089">
        <v>83.792400000000001</v>
      </c>
      <c r="I5089">
        <v>18.39</v>
      </c>
      <c r="J5089">
        <v>91.11</v>
      </c>
      <c r="K5089" t="s">
        <v>32</v>
      </c>
      <c r="L5089">
        <v>208.7</v>
      </c>
      <c r="M5089">
        <f>VLOOKUP(K5089,RatingLookup!$A$2:$C$8,2,FALSE)</f>
        <v>0.12</v>
      </c>
      <c r="N5089">
        <f t="shared" si="237"/>
        <v>1.0596241035318976E-2</v>
      </c>
      <c r="O5089">
        <f>VLOOKUP(K5089,RatingLookup!$A$2:$C$8,3,FALSE)</f>
        <v>0.7</v>
      </c>
      <c r="P5089">
        <f t="shared" si="238"/>
        <v>1.548004852849749</v>
      </c>
      <c r="Q5089" t="str">
        <f t="shared" ca="1" si="239"/>
        <v>No</v>
      </c>
    </row>
    <row r="5090" spans="1:17" x14ac:dyDescent="0.45">
      <c r="A5090" t="s">
        <v>205</v>
      </c>
      <c r="B5090" t="s">
        <v>206</v>
      </c>
      <c r="C5090" t="s">
        <v>29</v>
      </c>
      <c r="D5090" t="s">
        <v>188</v>
      </c>
      <c r="E5090" t="s">
        <v>21</v>
      </c>
      <c r="F5090" s="1">
        <v>45292</v>
      </c>
      <c r="G5090">
        <v>1.01</v>
      </c>
      <c r="H5090">
        <v>81.652100000000004</v>
      </c>
      <c r="I5090">
        <v>15.01</v>
      </c>
      <c r="J5090">
        <v>74.69</v>
      </c>
      <c r="K5090" t="s">
        <v>32</v>
      </c>
      <c r="L5090">
        <v>193.57</v>
      </c>
      <c r="M5090">
        <f>VLOOKUP(K5090,RatingLookup!$A$2:$C$8,2,FALSE)</f>
        <v>0.12</v>
      </c>
      <c r="N5090">
        <f t="shared" si="237"/>
        <v>1.0596241035318976E-2</v>
      </c>
      <c r="O5090">
        <f>VLOOKUP(K5090,RatingLookup!$A$2:$C$8,3,FALSE)</f>
        <v>0.7</v>
      </c>
      <c r="P5090">
        <f t="shared" si="238"/>
        <v>1.4357800640446856</v>
      </c>
      <c r="Q5090" t="str">
        <f t="shared" ca="1" si="239"/>
        <v>No</v>
      </c>
    </row>
    <row r="5091" spans="1:17" x14ac:dyDescent="0.45">
      <c r="A5091" t="s">
        <v>205</v>
      </c>
      <c r="B5091" t="s">
        <v>206</v>
      </c>
      <c r="C5091" t="s">
        <v>29</v>
      </c>
      <c r="D5091" t="s">
        <v>188</v>
      </c>
      <c r="E5091" t="s">
        <v>21</v>
      </c>
      <c r="F5091" s="1">
        <v>45323</v>
      </c>
      <c r="G5091">
        <v>1.42</v>
      </c>
      <c r="H5091">
        <v>84.964399999999998</v>
      </c>
      <c r="I5091">
        <v>13.73</v>
      </c>
      <c r="J5091">
        <v>95.64</v>
      </c>
      <c r="K5091" t="s">
        <v>32</v>
      </c>
      <c r="L5091">
        <v>206.45</v>
      </c>
      <c r="M5091">
        <f>VLOOKUP(K5091,RatingLookup!$A$2:$C$8,2,FALSE)</f>
        <v>0.12</v>
      </c>
      <c r="N5091">
        <f t="shared" si="237"/>
        <v>1.0596241035318976E-2</v>
      </c>
      <c r="O5091">
        <f>VLOOKUP(K5091,RatingLookup!$A$2:$C$8,3,FALSE)</f>
        <v>0.7</v>
      </c>
      <c r="P5091">
        <f t="shared" si="238"/>
        <v>1.5313157732191216</v>
      </c>
      <c r="Q5091" t="str">
        <f t="shared" ca="1" si="239"/>
        <v>No</v>
      </c>
    </row>
    <row r="5092" spans="1:17" x14ac:dyDescent="0.45">
      <c r="A5092" t="s">
        <v>205</v>
      </c>
      <c r="B5092" t="s">
        <v>206</v>
      </c>
      <c r="C5092" t="s">
        <v>29</v>
      </c>
      <c r="D5092" t="s">
        <v>188</v>
      </c>
      <c r="E5092" t="s">
        <v>21</v>
      </c>
      <c r="F5092" s="1">
        <v>45352</v>
      </c>
      <c r="G5092">
        <v>0.65</v>
      </c>
      <c r="H5092">
        <v>86.185500000000005</v>
      </c>
      <c r="I5092">
        <v>19.03</v>
      </c>
      <c r="J5092">
        <v>79.67</v>
      </c>
      <c r="K5092" t="s">
        <v>32</v>
      </c>
      <c r="L5092">
        <v>200.39</v>
      </c>
      <c r="M5092">
        <f>VLOOKUP(K5092,RatingLookup!$A$2:$C$8,2,FALSE)</f>
        <v>0.12</v>
      </c>
      <c r="N5092">
        <f t="shared" si="237"/>
        <v>1.0596241035318976E-2</v>
      </c>
      <c r="O5092">
        <f>VLOOKUP(K5092,RatingLookup!$A$2:$C$8,3,FALSE)</f>
        <v>0.7</v>
      </c>
      <c r="P5092">
        <f t="shared" si="238"/>
        <v>1.4863665187472985</v>
      </c>
      <c r="Q5092" t="str">
        <f t="shared" ca="1" si="239"/>
        <v>No</v>
      </c>
    </row>
    <row r="5093" spans="1:17" x14ac:dyDescent="0.45">
      <c r="A5093" t="s">
        <v>205</v>
      </c>
      <c r="B5093" t="s">
        <v>206</v>
      </c>
      <c r="C5093" t="s">
        <v>29</v>
      </c>
      <c r="D5093" t="s">
        <v>188</v>
      </c>
      <c r="E5093" t="s">
        <v>21</v>
      </c>
      <c r="F5093" s="1">
        <v>45383</v>
      </c>
      <c r="G5093">
        <v>1.4</v>
      </c>
      <c r="H5093">
        <v>81.372699999999995</v>
      </c>
      <c r="I5093">
        <v>18.440000000000001</v>
      </c>
      <c r="J5093">
        <v>92.64</v>
      </c>
      <c r="K5093" t="s">
        <v>32</v>
      </c>
      <c r="L5093">
        <v>192.65</v>
      </c>
      <c r="M5093">
        <f>VLOOKUP(K5093,RatingLookup!$A$2:$C$8,2,FALSE)</f>
        <v>0.12</v>
      </c>
      <c r="N5093">
        <f t="shared" si="237"/>
        <v>1.0596241035318976E-2</v>
      </c>
      <c r="O5093">
        <f>VLOOKUP(K5093,RatingLookup!$A$2:$C$8,3,FALSE)</f>
        <v>0.7</v>
      </c>
      <c r="P5093">
        <f t="shared" si="238"/>
        <v>1.4289560848179406</v>
      </c>
      <c r="Q5093" t="str">
        <f t="shared" ca="1" si="239"/>
        <v>No</v>
      </c>
    </row>
    <row r="5094" spans="1:17" x14ac:dyDescent="0.45">
      <c r="A5094" t="s">
        <v>205</v>
      </c>
      <c r="B5094" t="s">
        <v>206</v>
      </c>
      <c r="C5094" t="s">
        <v>29</v>
      </c>
      <c r="D5094" t="s">
        <v>188</v>
      </c>
      <c r="E5094" t="s">
        <v>21</v>
      </c>
      <c r="F5094" s="1">
        <v>45413</v>
      </c>
      <c r="G5094">
        <v>1.61</v>
      </c>
      <c r="H5094">
        <v>87.942700000000002</v>
      </c>
      <c r="I5094">
        <v>22.43</v>
      </c>
      <c r="J5094">
        <v>83.74</v>
      </c>
      <c r="K5094" t="s">
        <v>32</v>
      </c>
      <c r="L5094">
        <v>204.56</v>
      </c>
      <c r="M5094">
        <f>VLOOKUP(K5094,RatingLookup!$A$2:$C$8,2,FALSE)</f>
        <v>0.12</v>
      </c>
      <c r="N5094">
        <f t="shared" si="237"/>
        <v>1.0596241035318976E-2</v>
      </c>
      <c r="O5094">
        <f>VLOOKUP(K5094,RatingLookup!$A$2:$C$8,3,FALSE)</f>
        <v>0.7</v>
      </c>
      <c r="P5094">
        <f t="shared" si="238"/>
        <v>1.5172969463293946</v>
      </c>
      <c r="Q5094" t="str">
        <f t="shared" ca="1" si="239"/>
        <v>No</v>
      </c>
    </row>
    <row r="5095" spans="1:17" x14ac:dyDescent="0.45">
      <c r="A5095" t="s">
        <v>205</v>
      </c>
      <c r="B5095" t="s">
        <v>206</v>
      </c>
      <c r="C5095" t="s">
        <v>29</v>
      </c>
      <c r="D5095" t="s">
        <v>188</v>
      </c>
      <c r="E5095" t="s">
        <v>21</v>
      </c>
      <c r="F5095" s="1">
        <v>45444</v>
      </c>
      <c r="G5095">
        <v>2.1</v>
      </c>
      <c r="H5095">
        <v>83.704899999999995</v>
      </c>
      <c r="I5095">
        <v>6.06</v>
      </c>
      <c r="J5095">
        <v>82.78</v>
      </c>
      <c r="K5095" t="s">
        <v>32</v>
      </c>
      <c r="L5095">
        <v>188.33</v>
      </c>
      <c r="M5095">
        <f>VLOOKUP(K5095,RatingLookup!$A$2:$C$8,2,FALSE)</f>
        <v>0.12</v>
      </c>
      <c r="N5095">
        <f t="shared" si="237"/>
        <v>1.0596241035318976E-2</v>
      </c>
      <c r="O5095">
        <f>VLOOKUP(K5095,RatingLookup!$A$2:$C$8,3,FALSE)</f>
        <v>0.7</v>
      </c>
      <c r="P5095">
        <f t="shared" si="238"/>
        <v>1.396913051927136</v>
      </c>
      <c r="Q5095" t="str">
        <f t="shared" ca="1" si="239"/>
        <v>No</v>
      </c>
    </row>
    <row r="5096" spans="1:17" x14ac:dyDescent="0.45">
      <c r="A5096" t="s">
        <v>205</v>
      </c>
      <c r="B5096" t="s">
        <v>206</v>
      </c>
      <c r="C5096" t="s">
        <v>29</v>
      </c>
      <c r="D5096" t="s">
        <v>188</v>
      </c>
      <c r="E5096" t="s">
        <v>21</v>
      </c>
      <c r="F5096" s="1">
        <v>45474</v>
      </c>
      <c r="G5096">
        <v>0.22</v>
      </c>
      <c r="H5096">
        <v>87.756</v>
      </c>
      <c r="I5096">
        <v>10.85</v>
      </c>
      <c r="J5096">
        <v>73.88</v>
      </c>
      <c r="K5096" t="s">
        <v>32</v>
      </c>
      <c r="L5096">
        <v>192.15</v>
      </c>
      <c r="M5096">
        <f>VLOOKUP(K5096,RatingLookup!$A$2:$C$8,2,FALSE)</f>
        <v>0.12</v>
      </c>
      <c r="N5096">
        <f t="shared" si="237"/>
        <v>1.0596241035318976E-2</v>
      </c>
      <c r="O5096">
        <f>VLOOKUP(K5096,RatingLookup!$A$2:$C$8,3,FALSE)</f>
        <v>0.7</v>
      </c>
      <c r="P5096">
        <f t="shared" si="238"/>
        <v>1.4252474004555786</v>
      </c>
      <c r="Q5096" t="str">
        <f t="shared" ca="1" si="239"/>
        <v>No</v>
      </c>
    </row>
    <row r="5097" spans="1:17" x14ac:dyDescent="0.45">
      <c r="A5097" t="s">
        <v>205</v>
      </c>
      <c r="B5097" t="s">
        <v>206</v>
      </c>
      <c r="C5097" t="s">
        <v>29</v>
      </c>
      <c r="D5097" t="s">
        <v>188</v>
      </c>
      <c r="E5097" t="s">
        <v>21</v>
      </c>
      <c r="F5097" s="1">
        <v>45505</v>
      </c>
      <c r="G5097">
        <v>2.38</v>
      </c>
      <c r="H5097">
        <v>82.919700000000006</v>
      </c>
      <c r="I5097">
        <v>19.37</v>
      </c>
      <c r="J5097">
        <v>84.37</v>
      </c>
      <c r="K5097" t="s">
        <v>32</v>
      </c>
      <c r="L5097">
        <v>187.15</v>
      </c>
      <c r="M5097">
        <f>VLOOKUP(K5097,RatingLookup!$A$2:$C$8,2,FALSE)</f>
        <v>0.12</v>
      </c>
      <c r="N5097">
        <f t="shared" si="237"/>
        <v>1.0596241035318976E-2</v>
      </c>
      <c r="O5097">
        <f>VLOOKUP(K5097,RatingLookup!$A$2:$C$8,3,FALSE)</f>
        <v>0.7</v>
      </c>
      <c r="P5097">
        <f t="shared" si="238"/>
        <v>1.3881605568319624</v>
      </c>
      <c r="Q5097" t="str">
        <f t="shared" ca="1" si="239"/>
        <v>No</v>
      </c>
    </row>
    <row r="5098" spans="1:17" x14ac:dyDescent="0.45">
      <c r="A5098" t="s">
        <v>205</v>
      </c>
      <c r="B5098" t="s">
        <v>206</v>
      </c>
      <c r="C5098" t="s">
        <v>29</v>
      </c>
      <c r="D5098" t="s">
        <v>188</v>
      </c>
      <c r="E5098" t="s">
        <v>21</v>
      </c>
      <c r="F5098" s="1">
        <v>45536</v>
      </c>
      <c r="G5098">
        <v>1.46</v>
      </c>
      <c r="H5098">
        <v>85.197900000000004</v>
      </c>
      <c r="I5098">
        <v>24.84</v>
      </c>
      <c r="J5098">
        <v>67.010000000000005</v>
      </c>
      <c r="K5098" t="s">
        <v>32</v>
      </c>
      <c r="L5098">
        <v>201.59</v>
      </c>
      <c r="M5098">
        <f>VLOOKUP(K5098,RatingLookup!$A$2:$C$8,2,FALSE)</f>
        <v>0.12</v>
      </c>
      <c r="N5098">
        <f t="shared" si="237"/>
        <v>1.0596241035318976E-2</v>
      </c>
      <c r="O5098">
        <f>VLOOKUP(K5098,RatingLookup!$A$2:$C$8,3,FALSE)</f>
        <v>0.7</v>
      </c>
      <c r="P5098">
        <f t="shared" si="238"/>
        <v>1.4952673612169667</v>
      </c>
      <c r="Q5098" t="str">
        <f t="shared" ca="1" si="239"/>
        <v>No</v>
      </c>
    </row>
    <row r="5099" spans="1:17" x14ac:dyDescent="0.45">
      <c r="A5099" t="s">
        <v>205</v>
      </c>
      <c r="B5099" t="s">
        <v>206</v>
      </c>
      <c r="C5099" t="s">
        <v>29</v>
      </c>
      <c r="D5099" t="s">
        <v>188</v>
      </c>
      <c r="E5099" t="s">
        <v>21</v>
      </c>
      <c r="F5099" s="1">
        <v>45566</v>
      </c>
      <c r="G5099">
        <v>2.4</v>
      </c>
      <c r="H5099">
        <v>83.426400000000001</v>
      </c>
      <c r="I5099">
        <v>18.54</v>
      </c>
      <c r="J5099">
        <v>78.69</v>
      </c>
      <c r="K5099" t="s">
        <v>32</v>
      </c>
      <c r="L5099">
        <v>186.81</v>
      </c>
      <c r="M5099">
        <f>VLOOKUP(K5099,RatingLookup!$A$2:$C$8,2,FALSE)</f>
        <v>0.12</v>
      </c>
      <c r="N5099">
        <f t="shared" si="237"/>
        <v>1.0596241035318976E-2</v>
      </c>
      <c r="O5099">
        <f>VLOOKUP(K5099,RatingLookup!$A$2:$C$8,3,FALSE)</f>
        <v>0.7</v>
      </c>
      <c r="P5099">
        <f t="shared" si="238"/>
        <v>1.3856386514655565</v>
      </c>
      <c r="Q5099" t="str">
        <f t="shared" ca="1" si="239"/>
        <v>No</v>
      </c>
    </row>
    <row r="5100" spans="1:17" x14ac:dyDescent="0.45">
      <c r="A5100" t="s">
        <v>205</v>
      </c>
      <c r="B5100" t="s">
        <v>206</v>
      </c>
      <c r="C5100" t="s">
        <v>29</v>
      </c>
      <c r="D5100" t="s">
        <v>188</v>
      </c>
      <c r="E5100" t="s">
        <v>21</v>
      </c>
      <c r="F5100" s="1">
        <v>45597</v>
      </c>
      <c r="G5100">
        <v>1.73</v>
      </c>
      <c r="H5100">
        <v>81.296000000000006</v>
      </c>
      <c r="I5100">
        <v>14.84</v>
      </c>
      <c r="J5100">
        <v>61.93</v>
      </c>
      <c r="K5100" t="s">
        <v>32</v>
      </c>
      <c r="L5100">
        <v>183.81</v>
      </c>
      <c r="M5100">
        <f>VLOOKUP(K5100,RatingLookup!$A$2:$C$8,2,FALSE)</f>
        <v>0.12</v>
      </c>
      <c r="N5100">
        <f t="shared" si="237"/>
        <v>1.0596241035318976E-2</v>
      </c>
      <c r="O5100">
        <f>VLOOKUP(K5100,RatingLookup!$A$2:$C$8,3,FALSE)</f>
        <v>0.7</v>
      </c>
      <c r="P5100">
        <f t="shared" si="238"/>
        <v>1.3633865452913867</v>
      </c>
      <c r="Q5100" t="str">
        <f t="shared" ca="1" si="239"/>
        <v>No</v>
      </c>
    </row>
    <row r="5101" spans="1:17" x14ac:dyDescent="0.45">
      <c r="A5101" t="s">
        <v>205</v>
      </c>
      <c r="B5101" t="s">
        <v>206</v>
      </c>
      <c r="C5101" t="s">
        <v>29</v>
      </c>
      <c r="D5101" t="s">
        <v>188</v>
      </c>
      <c r="E5101" t="s">
        <v>21</v>
      </c>
      <c r="F5101" s="1">
        <v>45627</v>
      </c>
      <c r="G5101">
        <v>2.39</v>
      </c>
      <c r="H5101">
        <v>83.374099999999999</v>
      </c>
      <c r="I5101">
        <v>23.62</v>
      </c>
      <c r="J5101">
        <v>72.03</v>
      </c>
      <c r="K5101" t="s">
        <v>32</v>
      </c>
      <c r="L5101">
        <v>179</v>
      </c>
      <c r="M5101">
        <f>VLOOKUP(K5101,RatingLookup!$A$2:$C$8,2,FALSE)</f>
        <v>0.12</v>
      </c>
      <c r="N5101">
        <f t="shared" si="237"/>
        <v>1.0596241035318976E-2</v>
      </c>
      <c r="O5101">
        <f>VLOOKUP(K5101,RatingLookup!$A$2:$C$8,3,FALSE)</f>
        <v>0.7</v>
      </c>
      <c r="P5101">
        <f t="shared" si="238"/>
        <v>1.3277090017254678</v>
      </c>
      <c r="Q5101" t="str">
        <f t="shared" ca="1" si="239"/>
        <v>No</v>
      </c>
    </row>
    <row r="5102" spans="1:17" x14ac:dyDescent="0.45">
      <c r="A5102" t="s">
        <v>207</v>
      </c>
      <c r="B5102" t="s">
        <v>208</v>
      </c>
      <c r="C5102" t="s">
        <v>29</v>
      </c>
      <c r="D5102" t="s">
        <v>188</v>
      </c>
      <c r="E5102" t="s">
        <v>21</v>
      </c>
      <c r="F5102" s="1">
        <v>43831</v>
      </c>
      <c r="G5102">
        <v>1.08</v>
      </c>
      <c r="H5102">
        <v>84.876400000000004</v>
      </c>
      <c r="I5102">
        <v>17.41</v>
      </c>
      <c r="J5102">
        <v>89.49</v>
      </c>
      <c r="K5102" t="s">
        <v>30</v>
      </c>
      <c r="L5102">
        <v>1446.77</v>
      </c>
      <c r="M5102">
        <f>VLOOKUP(K5102,RatingLookup!$A$2:$C$8,2,FALSE)</f>
        <v>1.4999999999999999E-2</v>
      </c>
      <c r="N5102">
        <f t="shared" si="237"/>
        <v>1.2586770182638762E-3</v>
      </c>
      <c r="O5102">
        <f>VLOOKUP(K5102,RatingLookup!$A$2:$C$8,3,FALSE)</f>
        <v>0.5</v>
      </c>
      <c r="P5102">
        <f t="shared" si="238"/>
        <v>0.91050807485681406</v>
      </c>
      <c r="Q5102" t="str">
        <f t="shared" ca="1" si="239"/>
        <v>No</v>
      </c>
    </row>
    <row r="5103" spans="1:17" x14ac:dyDescent="0.45">
      <c r="A5103" t="s">
        <v>207</v>
      </c>
      <c r="B5103" t="s">
        <v>208</v>
      </c>
      <c r="C5103" t="s">
        <v>29</v>
      </c>
      <c r="D5103" t="s">
        <v>188</v>
      </c>
      <c r="E5103" t="s">
        <v>21</v>
      </c>
      <c r="F5103" s="1">
        <v>43862</v>
      </c>
      <c r="G5103">
        <v>2.14</v>
      </c>
      <c r="H5103">
        <v>79.480599999999995</v>
      </c>
      <c r="I5103">
        <v>25.37</v>
      </c>
      <c r="J5103">
        <v>76.89</v>
      </c>
      <c r="K5103" t="s">
        <v>30</v>
      </c>
      <c r="L5103">
        <v>1314.67</v>
      </c>
      <c r="M5103">
        <f>VLOOKUP(K5103,RatingLookup!$A$2:$C$8,2,FALSE)</f>
        <v>1.4999999999999999E-2</v>
      </c>
      <c r="N5103">
        <f t="shared" si="237"/>
        <v>1.2586770182638762E-3</v>
      </c>
      <c r="O5103">
        <f>VLOOKUP(K5103,RatingLookup!$A$2:$C$8,3,FALSE)</f>
        <v>0.5</v>
      </c>
      <c r="P5103">
        <f t="shared" si="238"/>
        <v>0.82737245780048518</v>
      </c>
      <c r="Q5103" t="str">
        <f t="shared" ca="1" si="239"/>
        <v>No</v>
      </c>
    </row>
    <row r="5104" spans="1:17" x14ac:dyDescent="0.45">
      <c r="A5104" t="s">
        <v>207</v>
      </c>
      <c r="B5104" t="s">
        <v>208</v>
      </c>
      <c r="C5104" t="s">
        <v>29</v>
      </c>
      <c r="D5104" t="s">
        <v>188</v>
      </c>
      <c r="E5104" t="s">
        <v>21</v>
      </c>
      <c r="F5104" s="1">
        <v>43891</v>
      </c>
      <c r="G5104">
        <v>1.78</v>
      </c>
      <c r="H5104">
        <v>81.393199999999993</v>
      </c>
      <c r="I5104">
        <v>22.18</v>
      </c>
      <c r="J5104">
        <v>72.56</v>
      </c>
      <c r="K5104" t="s">
        <v>30</v>
      </c>
      <c r="L5104">
        <v>1462.39</v>
      </c>
      <c r="M5104">
        <f>VLOOKUP(K5104,RatingLookup!$A$2:$C$8,2,FALSE)</f>
        <v>1.4999999999999999E-2</v>
      </c>
      <c r="N5104">
        <f t="shared" si="237"/>
        <v>1.2586770182638762E-3</v>
      </c>
      <c r="O5104">
        <f>VLOOKUP(K5104,RatingLookup!$A$2:$C$8,3,FALSE)</f>
        <v>0.5</v>
      </c>
      <c r="P5104">
        <f t="shared" si="238"/>
        <v>0.920338342369455</v>
      </c>
      <c r="Q5104" t="str">
        <f t="shared" ca="1" si="239"/>
        <v>No</v>
      </c>
    </row>
    <row r="5105" spans="1:17" x14ac:dyDescent="0.45">
      <c r="A5105" t="s">
        <v>207</v>
      </c>
      <c r="B5105" t="s">
        <v>208</v>
      </c>
      <c r="C5105" t="s">
        <v>29</v>
      </c>
      <c r="D5105" t="s">
        <v>188</v>
      </c>
      <c r="E5105" t="s">
        <v>21</v>
      </c>
      <c r="F5105" s="1">
        <v>43922</v>
      </c>
      <c r="G5105">
        <v>0.57999999999999996</v>
      </c>
      <c r="H5105">
        <v>82.993799999999993</v>
      </c>
      <c r="I5105">
        <v>16.21</v>
      </c>
      <c r="J5105">
        <v>66.36</v>
      </c>
      <c r="K5105" t="s">
        <v>30</v>
      </c>
      <c r="L5105">
        <v>1405.04</v>
      </c>
      <c r="M5105">
        <f>VLOOKUP(K5105,RatingLookup!$A$2:$C$8,2,FALSE)</f>
        <v>1.4999999999999999E-2</v>
      </c>
      <c r="N5105">
        <f t="shared" si="237"/>
        <v>1.2586770182638762E-3</v>
      </c>
      <c r="O5105">
        <f>VLOOKUP(K5105,RatingLookup!$A$2:$C$8,3,FALSE)</f>
        <v>0.5</v>
      </c>
      <c r="P5105">
        <f t="shared" si="238"/>
        <v>0.8842457788707383</v>
      </c>
      <c r="Q5105" t="str">
        <f t="shared" ca="1" si="239"/>
        <v>No</v>
      </c>
    </row>
    <row r="5106" spans="1:17" x14ac:dyDescent="0.45">
      <c r="A5106" t="s">
        <v>207</v>
      </c>
      <c r="B5106" t="s">
        <v>208</v>
      </c>
      <c r="C5106" t="s">
        <v>29</v>
      </c>
      <c r="D5106" t="s">
        <v>188</v>
      </c>
      <c r="E5106" t="s">
        <v>21</v>
      </c>
      <c r="F5106" s="1">
        <v>43952</v>
      </c>
      <c r="G5106">
        <v>1.62</v>
      </c>
      <c r="H5106">
        <v>80.396299999999997</v>
      </c>
      <c r="I5106">
        <v>6.29</v>
      </c>
      <c r="J5106">
        <v>76.150000000000006</v>
      </c>
      <c r="K5106" t="s">
        <v>30</v>
      </c>
      <c r="L5106">
        <v>1718.36</v>
      </c>
      <c r="M5106">
        <f>VLOOKUP(K5106,RatingLookup!$A$2:$C$8,2,FALSE)</f>
        <v>1.4999999999999999E-2</v>
      </c>
      <c r="N5106">
        <f t="shared" si="237"/>
        <v>1.2586770182638762E-3</v>
      </c>
      <c r="O5106">
        <f>VLOOKUP(K5106,RatingLookup!$A$2:$C$8,3,FALSE)</f>
        <v>0.5</v>
      </c>
      <c r="P5106">
        <f t="shared" si="238"/>
        <v>1.0814301205519572</v>
      </c>
      <c r="Q5106" t="str">
        <f t="shared" ca="1" si="239"/>
        <v>No</v>
      </c>
    </row>
    <row r="5107" spans="1:17" x14ac:dyDescent="0.45">
      <c r="A5107" t="s">
        <v>207</v>
      </c>
      <c r="B5107" t="s">
        <v>208</v>
      </c>
      <c r="C5107" t="s">
        <v>29</v>
      </c>
      <c r="D5107" t="s">
        <v>188</v>
      </c>
      <c r="E5107" t="s">
        <v>21</v>
      </c>
      <c r="F5107" s="1">
        <v>43983</v>
      </c>
      <c r="G5107">
        <v>0.7</v>
      </c>
      <c r="H5107">
        <v>84.496399999999994</v>
      </c>
      <c r="I5107">
        <v>5</v>
      </c>
      <c r="J5107">
        <v>74.95</v>
      </c>
      <c r="K5107" t="s">
        <v>30</v>
      </c>
      <c r="L5107">
        <v>1321.35</v>
      </c>
      <c r="M5107">
        <f>VLOOKUP(K5107,RatingLookup!$A$2:$C$8,2,FALSE)</f>
        <v>1.4999999999999999E-2</v>
      </c>
      <c r="N5107">
        <f t="shared" si="237"/>
        <v>1.2586770182638762E-3</v>
      </c>
      <c r="O5107">
        <f>VLOOKUP(K5107,RatingLookup!$A$2:$C$8,3,FALSE)</f>
        <v>0.5</v>
      </c>
      <c r="P5107">
        <f t="shared" si="238"/>
        <v>0.83157643904148637</v>
      </c>
      <c r="Q5107" t="str">
        <f t="shared" ca="1" si="239"/>
        <v>No</v>
      </c>
    </row>
    <row r="5108" spans="1:17" x14ac:dyDescent="0.45">
      <c r="A5108" t="s">
        <v>207</v>
      </c>
      <c r="B5108" t="s">
        <v>208</v>
      </c>
      <c r="C5108" t="s">
        <v>29</v>
      </c>
      <c r="D5108" t="s">
        <v>188</v>
      </c>
      <c r="E5108" t="s">
        <v>21</v>
      </c>
      <c r="F5108" s="1">
        <v>44013</v>
      </c>
      <c r="G5108">
        <v>1.76</v>
      </c>
      <c r="H5108">
        <v>80.7393</v>
      </c>
      <c r="I5108">
        <v>14.59</v>
      </c>
      <c r="J5108">
        <v>64.27</v>
      </c>
      <c r="K5108" t="s">
        <v>30</v>
      </c>
      <c r="L5108">
        <v>1274.19</v>
      </c>
      <c r="M5108">
        <f>VLOOKUP(K5108,RatingLookup!$A$2:$C$8,2,FALSE)</f>
        <v>1.4999999999999999E-2</v>
      </c>
      <c r="N5108">
        <f t="shared" si="237"/>
        <v>1.2586770182638762E-3</v>
      </c>
      <c r="O5108">
        <f>VLOOKUP(K5108,RatingLookup!$A$2:$C$8,3,FALSE)</f>
        <v>0.5</v>
      </c>
      <c r="P5108">
        <f t="shared" si="238"/>
        <v>0.80189683495082431</v>
      </c>
      <c r="Q5108" t="str">
        <f t="shared" ca="1" si="239"/>
        <v>No</v>
      </c>
    </row>
    <row r="5109" spans="1:17" x14ac:dyDescent="0.45">
      <c r="A5109" t="s">
        <v>207</v>
      </c>
      <c r="B5109" t="s">
        <v>208</v>
      </c>
      <c r="C5109" t="s">
        <v>29</v>
      </c>
      <c r="D5109" t="s">
        <v>188</v>
      </c>
      <c r="E5109" t="s">
        <v>21</v>
      </c>
      <c r="F5109" s="1">
        <v>44044</v>
      </c>
      <c r="G5109">
        <v>1.32</v>
      </c>
      <c r="H5109">
        <v>80.758200000000002</v>
      </c>
      <c r="I5109">
        <v>16.96</v>
      </c>
      <c r="J5109">
        <v>81.94</v>
      </c>
      <c r="K5109" t="s">
        <v>22</v>
      </c>
      <c r="L5109">
        <v>1533.05</v>
      </c>
      <c r="M5109">
        <f>VLOOKUP(K5109,RatingLookup!$A$2:$C$8,2,FALSE)</f>
        <v>5.0000000000000001E-3</v>
      </c>
      <c r="N5109">
        <f t="shared" si="237"/>
        <v>4.1762458919303302E-4</v>
      </c>
      <c r="O5109">
        <f>VLOOKUP(K5109,RatingLookup!$A$2:$C$8,3,FALSE)</f>
        <v>0.45</v>
      </c>
      <c r="P5109">
        <f t="shared" si="238"/>
        <v>0.28810771940807067</v>
      </c>
      <c r="Q5109" t="str">
        <f t="shared" ca="1" si="239"/>
        <v>No</v>
      </c>
    </row>
    <row r="5110" spans="1:17" x14ac:dyDescent="0.45">
      <c r="A5110" t="s">
        <v>207</v>
      </c>
      <c r="B5110" t="s">
        <v>208</v>
      </c>
      <c r="C5110" t="s">
        <v>29</v>
      </c>
      <c r="D5110" t="s">
        <v>188</v>
      </c>
      <c r="E5110" t="s">
        <v>21</v>
      </c>
      <c r="F5110" s="1">
        <v>44075</v>
      </c>
      <c r="G5110">
        <v>1.84</v>
      </c>
      <c r="H5110">
        <v>82.385300000000001</v>
      </c>
      <c r="I5110">
        <v>9.15</v>
      </c>
      <c r="J5110">
        <v>88.46</v>
      </c>
      <c r="K5110" t="s">
        <v>22</v>
      </c>
      <c r="L5110">
        <v>1519.76</v>
      </c>
      <c r="M5110">
        <f>VLOOKUP(K5110,RatingLookup!$A$2:$C$8,2,FALSE)</f>
        <v>5.0000000000000001E-3</v>
      </c>
      <c r="N5110">
        <f t="shared" si="237"/>
        <v>4.1762458919303302E-4</v>
      </c>
      <c r="O5110">
        <f>VLOOKUP(K5110,RatingLookup!$A$2:$C$8,3,FALSE)</f>
        <v>0.45</v>
      </c>
      <c r="P5110">
        <f t="shared" si="238"/>
        <v>0.28561011555240173</v>
      </c>
      <c r="Q5110" t="str">
        <f t="shared" ca="1" si="239"/>
        <v>No</v>
      </c>
    </row>
    <row r="5111" spans="1:17" x14ac:dyDescent="0.45">
      <c r="A5111" t="s">
        <v>207</v>
      </c>
      <c r="B5111" t="s">
        <v>208</v>
      </c>
      <c r="C5111" t="s">
        <v>29</v>
      </c>
      <c r="D5111" t="s">
        <v>188</v>
      </c>
      <c r="E5111" t="s">
        <v>21</v>
      </c>
      <c r="F5111" s="1">
        <v>44105</v>
      </c>
      <c r="G5111">
        <v>0.49</v>
      </c>
      <c r="H5111">
        <v>81.223699999999994</v>
      </c>
      <c r="I5111">
        <v>27.39</v>
      </c>
      <c r="J5111">
        <v>78.09</v>
      </c>
      <c r="K5111" t="s">
        <v>22</v>
      </c>
      <c r="L5111">
        <v>1355.62</v>
      </c>
      <c r="M5111">
        <f>VLOOKUP(K5111,RatingLookup!$A$2:$C$8,2,FALSE)</f>
        <v>5.0000000000000001E-3</v>
      </c>
      <c r="N5111">
        <f t="shared" si="237"/>
        <v>4.1762458919303302E-4</v>
      </c>
      <c r="O5111">
        <f>VLOOKUP(K5111,RatingLookup!$A$2:$C$8,3,FALSE)</f>
        <v>0.45</v>
      </c>
      <c r="P5111">
        <f t="shared" si="238"/>
        <v>0.25476311052083672</v>
      </c>
      <c r="Q5111" t="str">
        <f t="shared" ca="1" si="239"/>
        <v>No</v>
      </c>
    </row>
    <row r="5112" spans="1:17" x14ac:dyDescent="0.45">
      <c r="A5112" t="s">
        <v>207</v>
      </c>
      <c r="B5112" t="s">
        <v>208</v>
      </c>
      <c r="C5112" t="s">
        <v>29</v>
      </c>
      <c r="D5112" t="s">
        <v>188</v>
      </c>
      <c r="E5112" t="s">
        <v>21</v>
      </c>
      <c r="F5112" s="1">
        <v>44136</v>
      </c>
      <c r="G5112">
        <v>2.2799999999999998</v>
      </c>
      <c r="H5112">
        <v>82.413300000000007</v>
      </c>
      <c r="I5112">
        <v>5.27</v>
      </c>
      <c r="J5112">
        <v>94.07</v>
      </c>
      <c r="K5112" t="s">
        <v>22</v>
      </c>
      <c r="L5112">
        <v>1350.32</v>
      </c>
      <c r="M5112">
        <f>VLOOKUP(K5112,RatingLookup!$A$2:$C$8,2,FALSE)</f>
        <v>5.0000000000000001E-3</v>
      </c>
      <c r="N5112">
        <f t="shared" si="237"/>
        <v>4.1762458919303302E-4</v>
      </c>
      <c r="O5112">
        <f>VLOOKUP(K5112,RatingLookup!$A$2:$C$8,3,FALSE)</f>
        <v>0.45</v>
      </c>
      <c r="P5112">
        <f t="shared" si="238"/>
        <v>0.25376707587561137</v>
      </c>
      <c r="Q5112" t="str">
        <f t="shared" ca="1" si="239"/>
        <v>No</v>
      </c>
    </row>
    <row r="5113" spans="1:17" x14ac:dyDescent="0.45">
      <c r="A5113" t="s">
        <v>207</v>
      </c>
      <c r="B5113" t="s">
        <v>208</v>
      </c>
      <c r="C5113" t="s">
        <v>29</v>
      </c>
      <c r="D5113" t="s">
        <v>188</v>
      </c>
      <c r="E5113" t="s">
        <v>21</v>
      </c>
      <c r="F5113" s="1">
        <v>44166</v>
      </c>
      <c r="G5113">
        <v>1.24</v>
      </c>
      <c r="H5113">
        <v>82.055400000000006</v>
      </c>
      <c r="I5113">
        <v>20.37</v>
      </c>
      <c r="J5113">
        <v>64.239999999999995</v>
      </c>
      <c r="K5113" t="s">
        <v>22</v>
      </c>
      <c r="L5113">
        <v>1409.65</v>
      </c>
      <c r="M5113">
        <f>VLOOKUP(K5113,RatingLookup!$A$2:$C$8,2,FALSE)</f>
        <v>5.0000000000000001E-3</v>
      </c>
      <c r="N5113">
        <f t="shared" si="237"/>
        <v>4.1762458919303302E-4</v>
      </c>
      <c r="O5113">
        <f>VLOOKUP(K5113,RatingLookup!$A$2:$C$8,3,FALSE)</f>
        <v>0.45</v>
      </c>
      <c r="P5113">
        <f t="shared" si="238"/>
        <v>0.26491702597018157</v>
      </c>
      <c r="Q5113" t="str">
        <f t="shared" ca="1" si="239"/>
        <v>No</v>
      </c>
    </row>
    <row r="5114" spans="1:17" x14ac:dyDescent="0.45">
      <c r="A5114" t="s">
        <v>207</v>
      </c>
      <c r="B5114" t="s">
        <v>208</v>
      </c>
      <c r="C5114" t="s">
        <v>29</v>
      </c>
      <c r="D5114" t="s">
        <v>188</v>
      </c>
      <c r="E5114" t="s">
        <v>21</v>
      </c>
      <c r="F5114" s="1">
        <v>44197</v>
      </c>
      <c r="G5114">
        <v>2.54</v>
      </c>
      <c r="H5114">
        <v>78.748800000000003</v>
      </c>
      <c r="I5114">
        <v>9.61</v>
      </c>
      <c r="J5114">
        <v>69.349999999999994</v>
      </c>
      <c r="K5114" t="s">
        <v>22</v>
      </c>
      <c r="L5114">
        <v>1386.58</v>
      </c>
      <c r="M5114">
        <f>VLOOKUP(K5114,RatingLookup!$A$2:$C$8,2,FALSE)</f>
        <v>5.0000000000000001E-3</v>
      </c>
      <c r="N5114">
        <f t="shared" si="237"/>
        <v>4.1762458919303302E-4</v>
      </c>
      <c r="O5114">
        <f>VLOOKUP(K5114,RatingLookup!$A$2:$C$8,3,FALSE)</f>
        <v>0.45</v>
      </c>
      <c r="P5114">
        <f t="shared" si="238"/>
        <v>0.26058145629747409</v>
      </c>
      <c r="Q5114" t="str">
        <f t="shared" ca="1" si="239"/>
        <v>No</v>
      </c>
    </row>
    <row r="5115" spans="1:17" x14ac:dyDescent="0.45">
      <c r="A5115" t="s">
        <v>207</v>
      </c>
      <c r="B5115" t="s">
        <v>208</v>
      </c>
      <c r="C5115" t="s">
        <v>29</v>
      </c>
      <c r="D5115" t="s">
        <v>188</v>
      </c>
      <c r="E5115" t="s">
        <v>21</v>
      </c>
      <c r="F5115" s="1">
        <v>44228</v>
      </c>
      <c r="G5115">
        <v>2.0699999999999998</v>
      </c>
      <c r="H5115">
        <v>83.253399999999999</v>
      </c>
      <c r="I5115">
        <v>13.65</v>
      </c>
      <c r="J5115">
        <v>65.36</v>
      </c>
      <c r="K5115" t="s">
        <v>22</v>
      </c>
      <c r="L5115">
        <v>1511.56</v>
      </c>
      <c r="M5115">
        <f>VLOOKUP(K5115,RatingLookup!$A$2:$C$8,2,FALSE)</f>
        <v>5.0000000000000001E-3</v>
      </c>
      <c r="N5115">
        <f t="shared" si="237"/>
        <v>4.1762458919303302E-4</v>
      </c>
      <c r="O5115">
        <f>VLOOKUP(K5115,RatingLookup!$A$2:$C$8,3,FALSE)</f>
        <v>0.45</v>
      </c>
      <c r="P5115">
        <f t="shared" si="238"/>
        <v>0.28406908081827947</v>
      </c>
      <c r="Q5115" t="str">
        <f t="shared" ca="1" si="239"/>
        <v>No</v>
      </c>
    </row>
    <row r="5116" spans="1:17" x14ac:dyDescent="0.45">
      <c r="A5116" t="s">
        <v>207</v>
      </c>
      <c r="B5116" t="s">
        <v>208</v>
      </c>
      <c r="C5116" t="s">
        <v>29</v>
      </c>
      <c r="D5116" t="s">
        <v>188</v>
      </c>
      <c r="E5116" t="s">
        <v>21</v>
      </c>
      <c r="F5116" s="1">
        <v>44256</v>
      </c>
      <c r="G5116">
        <v>1</v>
      </c>
      <c r="H5116">
        <v>80.806600000000003</v>
      </c>
      <c r="I5116">
        <v>21.54</v>
      </c>
      <c r="J5116">
        <v>83.82</v>
      </c>
      <c r="K5116" t="s">
        <v>22</v>
      </c>
      <c r="L5116">
        <v>1419.23</v>
      </c>
      <c r="M5116">
        <f>VLOOKUP(K5116,RatingLookup!$A$2:$C$8,2,FALSE)</f>
        <v>5.0000000000000001E-3</v>
      </c>
      <c r="N5116">
        <f t="shared" si="237"/>
        <v>4.1762458919303302E-4</v>
      </c>
      <c r="O5116">
        <f>VLOOKUP(K5116,RatingLookup!$A$2:$C$8,3,FALSE)</f>
        <v>0.45</v>
      </c>
      <c r="P5116">
        <f t="shared" si="238"/>
        <v>0.26671740557419271</v>
      </c>
      <c r="Q5116" t="str">
        <f t="shared" ca="1" si="239"/>
        <v>No</v>
      </c>
    </row>
    <row r="5117" spans="1:17" x14ac:dyDescent="0.45">
      <c r="A5117" t="s">
        <v>207</v>
      </c>
      <c r="B5117" t="s">
        <v>208</v>
      </c>
      <c r="C5117" t="s">
        <v>29</v>
      </c>
      <c r="D5117" t="s">
        <v>188</v>
      </c>
      <c r="E5117" t="s">
        <v>21</v>
      </c>
      <c r="F5117" s="1">
        <v>44287</v>
      </c>
      <c r="G5117">
        <v>2.2200000000000002</v>
      </c>
      <c r="H5117">
        <v>87.8386</v>
      </c>
      <c r="I5117">
        <v>18.21</v>
      </c>
      <c r="J5117">
        <v>71.72</v>
      </c>
      <c r="K5117" t="s">
        <v>22</v>
      </c>
      <c r="L5117">
        <v>1472.24</v>
      </c>
      <c r="M5117">
        <f>VLOOKUP(K5117,RatingLookup!$A$2:$C$8,2,FALSE)</f>
        <v>5.0000000000000001E-3</v>
      </c>
      <c r="N5117">
        <f t="shared" si="237"/>
        <v>4.1762458919303302E-4</v>
      </c>
      <c r="O5117">
        <f>VLOOKUP(K5117,RatingLookup!$A$2:$C$8,3,FALSE)</f>
        <v>0.45</v>
      </c>
      <c r="P5117">
        <f t="shared" si="238"/>
        <v>0.27667963133709794</v>
      </c>
      <c r="Q5117" t="str">
        <f t="shared" ca="1" si="239"/>
        <v>No</v>
      </c>
    </row>
    <row r="5118" spans="1:17" x14ac:dyDescent="0.45">
      <c r="A5118" t="s">
        <v>207</v>
      </c>
      <c r="B5118" t="s">
        <v>208</v>
      </c>
      <c r="C5118" t="s">
        <v>29</v>
      </c>
      <c r="D5118" t="s">
        <v>188</v>
      </c>
      <c r="E5118" t="s">
        <v>21</v>
      </c>
      <c r="F5118" s="1">
        <v>44317</v>
      </c>
      <c r="G5118">
        <v>3.3</v>
      </c>
      <c r="H5118">
        <v>80.172899999999998</v>
      </c>
      <c r="I5118">
        <v>19.649999999999999</v>
      </c>
      <c r="J5118">
        <v>78.34</v>
      </c>
      <c r="K5118" t="s">
        <v>22</v>
      </c>
      <c r="L5118">
        <v>1475.94</v>
      </c>
      <c r="M5118">
        <f>VLOOKUP(K5118,RatingLookup!$A$2:$C$8,2,FALSE)</f>
        <v>5.0000000000000001E-3</v>
      </c>
      <c r="N5118">
        <f t="shared" si="237"/>
        <v>4.1762458919303302E-4</v>
      </c>
      <c r="O5118">
        <f>VLOOKUP(K5118,RatingLookup!$A$2:$C$8,3,FALSE)</f>
        <v>0.45</v>
      </c>
      <c r="P5118">
        <f t="shared" si="238"/>
        <v>0.27737497627810437</v>
      </c>
      <c r="Q5118" t="str">
        <f t="shared" ca="1" si="239"/>
        <v>No</v>
      </c>
    </row>
    <row r="5119" spans="1:17" x14ac:dyDescent="0.45">
      <c r="A5119" t="s">
        <v>207</v>
      </c>
      <c r="B5119" t="s">
        <v>208</v>
      </c>
      <c r="C5119" t="s">
        <v>29</v>
      </c>
      <c r="D5119" t="s">
        <v>188</v>
      </c>
      <c r="E5119" t="s">
        <v>21</v>
      </c>
      <c r="F5119" s="1">
        <v>44348</v>
      </c>
      <c r="G5119">
        <v>1.02</v>
      </c>
      <c r="H5119">
        <v>82.416399999999996</v>
      </c>
      <c r="I5119">
        <v>18.96</v>
      </c>
      <c r="J5119">
        <v>92.33</v>
      </c>
      <c r="K5119" t="s">
        <v>22</v>
      </c>
      <c r="L5119">
        <v>1421.62</v>
      </c>
      <c r="M5119">
        <f>VLOOKUP(K5119,RatingLookup!$A$2:$C$8,2,FALSE)</f>
        <v>5.0000000000000001E-3</v>
      </c>
      <c r="N5119">
        <f t="shared" si="237"/>
        <v>4.1762458919303302E-4</v>
      </c>
      <c r="O5119">
        <f>VLOOKUP(K5119,RatingLookup!$A$2:$C$8,3,FALSE)</f>
        <v>0.45</v>
      </c>
      <c r="P5119">
        <f t="shared" si="238"/>
        <v>0.26716656081986984</v>
      </c>
      <c r="Q5119" t="str">
        <f t="shared" ca="1" si="239"/>
        <v>No</v>
      </c>
    </row>
    <row r="5120" spans="1:17" x14ac:dyDescent="0.45">
      <c r="A5120" t="s">
        <v>207</v>
      </c>
      <c r="B5120" t="s">
        <v>208</v>
      </c>
      <c r="C5120" t="s">
        <v>29</v>
      </c>
      <c r="D5120" t="s">
        <v>188</v>
      </c>
      <c r="E5120" t="s">
        <v>21</v>
      </c>
      <c r="F5120" s="1">
        <v>44378</v>
      </c>
      <c r="G5120">
        <v>1.1399999999999999</v>
      </c>
      <c r="H5120">
        <v>87.368799999999993</v>
      </c>
      <c r="I5120">
        <v>14.07</v>
      </c>
      <c r="J5120">
        <v>73.010000000000005</v>
      </c>
      <c r="K5120" t="s">
        <v>22</v>
      </c>
      <c r="L5120">
        <v>1524.63</v>
      </c>
      <c r="M5120">
        <f>VLOOKUP(K5120,RatingLookup!$A$2:$C$8,2,FALSE)</f>
        <v>5.0000000000000001E-3</v>
      </c>
      <c r="N5120">
        <f t="shared" si="237"/>
        <v>4.1762458919303302E-4</v>
      </c>
      <c r="O5120">
        <f>VLOOKUP(K5120,RatingLookup!$A$2:$C$8,3,FALSE)</f>
        <v>0.45</v>
      </c>
      <c r="P5120">
        <f t="shared" si="238"/>
        <v>0.28652533983961831</v>
      </c>
      <c r="Q5120" t="str">
        <f t="shared" ca="1" si="239"/>
        <v>No</v>
      </c>
    </row>
    <row r="5121" spans="1:17" x14ac:dyDescent="0.45">
      <c r="A5121" t="s">
        <v>207</v>
      </c>
      <c r="B5121" t="s">
        <v>208</v>
      </c>
      <c r="C5121" t="s">
        <v>29</v>
      </c>
      <c r="D5121" t="s">
        <v>188</v>
      </c>
      <c r="E5121" t="s">
        <v>21</v>
      </c>
      <c r="F5121" s="1">
        <v>44409</v>
      </c>
      <c r="G5121">
        <v>2.64</v>
      </c>
      <c r="H5121">
        <v>79.249700000000004</v>
      </c>
      <c r="I5121">
        <v>21.47</v>
      </c>
      <c r="J5121">
        <v>73.83</v>
      </c>
      <c r="K5121" t="s">
        <v>22</v>
      </c>
      <c r="L5121">
        <v>1480.77</v>
      </c>
      <c r="M5121">
        <f>VLOOKUP(K5121,RatingLookup!$A$2:$C$8,2,FALSE)</f>
        <v>5.0000000000000001E-3</v>
      </c>
      <c r="N5121">
        <f t="shared" si="237"/>
        <v>4.1762458919303302E-4</v>
      </c>
      <c r="O5121">
        <f>VLOOKUP(K5121,RatingLookup!$A$2:$C$8,3,FALSE)</f>
        <v>0.45</v>
      </c>
      <c r="P5121">
        <f t="shared" si="238"/>
        <v>0.27828268332271539</v>
      </c>
      <c r="Q5121" t="str">
        <f t="shared" ca="1" si="239"/>
        <v>No</v>
      </c>
    </row>
    <row r="5122" spans="1:17" x14ac:dyDescent="0.45">
      <c r="A5122" t="s">
        <v>207</v>
      </c>
      <c r="B5122" t="s">
        <v>208</v>
      </c>
      <c r="C5122" t="s">
        <v>29</v>
      </c>
      <c r="D5122" t="s">
        <v>188</v>
      </c>
      <c r="E5122" t="s">
        <v>21</v>
      </c>
      <c r="F5122" s="1">
        <v>44440</v>
      </c>
      <c r="G5122">
        <v>0.63</v>
      </c>
      <c r="H5122">
        <v>82.191199999999995</v>
      </c>
      <c r="I5122">
        <v>19.43</v>
      </c>
      <c r="J5122">
        <v>56.12</v>
      </c>
      <c r="K5122" t="s">
        <v>22</v>
      </c>
      <c r="L5122">
        <v>1404.54</v>
      </c>
      <c r="M5122">
        <f>VLOOKUP(K5122,RatingLookup!$A$2:$C$8,2,FALSE)</f>
        <v>5.0000000000000001E-3</v>
      </c>
      <c r="N5122">
        <f t="shared" ref="N5122:N5185" si="240">1-(1-M5122)^(1/12)</f>
        <v>4.1762458919303302E-4</v>
      </c>
      <c r="O5122">
        <f>VLOOKUP(K5122,RatingLookup!$A$2:$C$8,3,FALSE)</f>
        <v>0.45</v>
      </c>
      <c r="P5122">
        <f t="shared" ref="P5122:P5185" si="241">L5122*N5122*O5122</f>
        <v>0.2639566982273322</v>
      </c>
      <c r="Q5122" t="str">
        <f t="shared" ref="Q5122:Q5185" ca="1" si="242">IF(RAND()&lt;N5122,"Yes","No")</f>
        <v>No</v>
      </c>
    </row>
    <row r="5123" spans="1:17" x14ac:dyDescent="0.45">
      <c r="A5123" t="s">
        <v>207</v>
      </c>
      <c r="B5123" t="s">
        <v>208</v>
      </c>
      <c r="C5123" t="s">
        <v>29</v>
      </c>
      <c r="D5123" t="s">
        <v>188</v>
      </c>
      <c r="E5123" t="s">
        <v>21</v>
      </c>
      <c r="F5123" s="1">
        <v>44470</v>
      </c>
      <c r="G5123">
        <v>1.34</v>
      </c>
      <c r="H5123">
        <v>83.991500000000002</v>
      </c>
      <c r="I5123">
        <v>20.100000000000001</v>
      </c>
      <c r="J5123">
        <v>85.79</v>
      </c>
      <c r="K5123" t="s">
        <v>22</v>
      </c>
      <c r="L5123">
        <v>1412.46</v>
      </c>
      <c r="M5123">
        <f>VLOOKUP(K5123,RatingLookup!$A$2:$C$8,2,FALSE)</f>
        <v>5.0000000000000001E-3</v>
      </c>
      <c r="N5123">
        <f t="shared" si="240"/>
        <v>4.1762458919303302E-4</v>
      </c>
      <c r="O5123">
        <f>VLOOKUP(K5123,RatingLookup!$A$2:$C$8,3,FALSE)</f>
        <v>0.45</v>
      </c>
      <c r="P5123">
        <f t="shared" si="241"/>
        <v>0.26544511226321615</v>
      </c>
      <c r="Q5123" t="str">
        <f t="shared" ca="1" si="242"/>
        <v>No</v>
      </c>
    </row>
    <row r="5124" spans="1:17" x14ac:dyDescent="0.45">
      <c r="A5124" t="s">
        <v>207</v>
      </c>
      <c r="B5124" t="s">
        <v>208</v>
      </c>
      <c r="C5124" t="s">
        <v>29</v>
      </c>
      <c r="D5124" t="s">
        <v>188</v>
      </c>
      <c r="E5124" t="s">
        <v>21</v>
      </c>
      <c r="F5124" s="1">
        <v>44501</v>
      </c>
      <c r="G5124">
        <v>0.89</v>
      </c>
      <c r="H5124">
        <v>82.273399999999995</v>
      </c>
      <c r="I5124">
        <v>24.38</v>
      </c>
      <c r="J5124">
        <v>70.53</v>
      </c>
      <c r="K5124" t="s">
        <v>22</v>
      </c>
      <c r="L5124">
        <v>1476.52</v>
      </c>
      <c r="M5124">
        <f>VLOOKUP(K5124,RatingLookup!$A$2:$C$8,2,FALSE)</f>
        <v>5.0000000000000001E-3</v>
      </c>
      <c r="N5124">
        <f t="shared" si="240"/>
        <v>4.1762458919303302E-4</v>
      </c>
      <c r="O5124">
        <f>VLOOKUP(K5124,RatingLookup!$A$2:$C$8,3,FALSE)</f>
        <v>0.45</v>
      </c>
      <c r="P5124">
        <f t="shared" si="241"/>
        <v>0.27748397629588367</v>
      </c>
      <c r="Q5124" t="str">
        <f t="shared" ca="1" si="242"/>
        <v>No</v>
      </c>
    </row>
    <row r="5125" spans="1:17" x14ac:dyDescent="0.45">
      <c r="A5125" t="s">
        <v>207</v>
      </c>
      <c r="B5125" t="s">
        <v>208</v>
      </c>
      <c r="C5125" t="s">
        <v>29</v>
      </c>
      <c r="D5125" t="s">
        <v>188</v>
      </c>
      <c r="E5125" t="s">
        <v>21</v>
      </c>
      <c r="F5125" s="1">
        <v>44531</v>
      </c>
      <c r="G5125">
        <v>1.5</v>
      </c>
      <c r="H5125">
        <v>83.794300000000007</v>
      </c>
      <c r="I5125">
        <v>17.46</v>
      </c>
      <c r="J5125">
        <v>72.12</v>
      </c>
      <c r="K5125" t="s">
        <v>22</v>
      </c>
      <c r="L5125">
        <v>1471.18</v>
      </c>
      <c r="M5125">
        <f>VLOOKUP(K5125,RatingLookup!$A$2:$C$8,2,FALSE)</f>
        <v>5.0000000000000001E-3</v>
      </c>
      <c r="N5125">
        <f t="shared" si="240"/>
        <v>4.1762458919303302E-4</v>
      </c>
      <c r="O5125">
        <f>VLOOKUP(K5125,RatingLookup!$A$2:$C$8,3,FALSE)</f>
        <v>0.45</v>
      </c>
      <c r="P5125">
        <f t="shared" si="241"/>
        <v>0.27648042440805287</v>
      </c>
      <c r="Q5125" t="str">
        <f t="shared" ca="1" si="242"/>
        <v>No</v>
      </c>
    </row>
    <row r="5126" spans="1:17" x14ac:dyDescent="0.45">
      <c r="A5126" t="s">
        <v>207</v>
      </c>
      <c r="B5126" t="s">
        <v>208</v>
      </c>
      <c r="C5126" t="s">
        <v>29</v>
      </c>
      <c r="D5126" t="s">
        <v>188</v>
      </c>
      <c r="E5126" t="s">
        <v>21</v>
      </c>
      <c r="F5126" s="1">
        <v>44562</v>
      </c>
      <c r="G5126">
        <v>1.66</v>
      </c>
      <c r="H5126">
        <v>77.346000000000004</v>
      </c>
      <c r="I5126">
        <v>21.02</v>
      </c>
      <c r="J5126">
        <v>70.28</v>
      </c>
      <c r="K5126" t="s">
        <v>22</v>
      </c>
      <c r="L5126">
        <v>1439.96</v>
      </c>
      <c r="M5126">
        <f>VLOOKUP(K5126,RatingLookup!$A$2:$C$8,2,FALSE)</f>
        <v>5.0000000000000001E-3</v>
      </c>
      <c r="N5126">
        <f t="shared" si="240"/>
        <v>4.1762458919303302E-4</v>
      </c>
      <c r="O5126">
        <f>VLOOKUP(K5126,RatingLookup!$A$2:$C$8,3,FALSE)</f>
        <v>0.45</v>
      </c>
      <c r="P5126">
        <f t="shared" si="241"/>
        <v>0.2706132165544799</v>
      </c>
      <c r="Q5126" t="str">
        <f t="shared" ca="1" si="242"/>
        <v>No</v>
      </c>
    </row>
    <row r="5127" spans="1:17" x14ac:dyDescent="0.45">
      <c r="A5127" t="s">
        <v>207</v>
      </c>
      <c r="B5127" t="s">
        <v>208</v>
      </c>
      <c r="C5127" t="s">
        <v>29</v>
      </c>
      <c r="D5127" t="s">
        <v>188</v>
      </c>
      <c r="E5127" t="s">
        <v>21</v>
      </c>
      <c r="F5127" s="1">
        <v>44593</v>
      </c>
      <c r="G5127">
        <v>1.1100000000000001</v>
      </c>
      <c r="H5127">
        <v>81.763599999999997</v>
      </c>
      <c r="I5127">
        <v>14.6</v>
      </c>
      <c r="J5127">
        <v>70.08</v>
      </c>
      <c r="K5127" t="s">
        <v>22</v>
      </c>
      <c r="L5127">
        <v>1406.51</v>
      </c>
      <c r="M5127">
        <f>VLOOKUP(K5127,RatingLookup!$A$2:$C$8,2,FALSE)</f>
        <v>5.0000000000000001E-3</v>
      </c>
      <c r="N5127">
        <f t="shared" si="240"/>
        <v>4.1762458919303302E-4</v>
      </c>
      <c r="O5127">
        <f>VLOOKUP(K5127,RatingLookup!$A$2:$C$8,3,FALSE)</f>
        <v>0.45</v>
      </c>
      <c r="P5127">
        <f t="shared" si="241"/>
        <v>0.26432692242565181</v>
      </c>
      <c r="Q5127" t="str">
        <f t="shared" ca="1" si="242"/>
        <v>No</v>
      </c>
    </row>
    <row r="5128" spans="1:17" x14ac:dyDescent="0.45">
      <c r="A5128" t="s">
        <v>207</v>
      </c>
      <c r="B5128" t="s">
        <v>208</v>
      </c>
      <c r="C5128" t="s">
        <v>29</v>
      </c>
      <c r="D5128" t="s">
        <v>188</v>
      </c>
      <c r="E5128" t="s">
        <v>21</v>
      </c>
      <c r="F5128" s="1">
        <v>44621</v>
      </c>
      <c r="G5128">
        <v>1.62</v>
      </c>
      <c r="H5128">
        <v>80.241500000000002</v>
      </c>
      <c r="I5128">
        <v>19.27</v>
      </c>
      <c r="J5128">
        <v>82.9</v>
      </c>
      <c r="K5128" t="s">
        <v>22</v>
      </c>
      <c r="L5128">
        <v>1450.9</v>
      </c>
      <c r="M5128">
        <f>VLOOKUP(K5128,RatingLookup!$A$2:$C$8,2,FALSE)</f>
        <v>5.0000000000000001E-3</v>
      </c>
      <c r="N5128">
        <f t="shared" si="240"/>
        <v>4.1762458919303302E-4</v>
      </c>
      <c r="O5128">
        <f>VLOOKUP(K5128,RatingLookup!$A$2:$C$8,3,FALSE)</f>
        <v>0.45</v>
      </c>
      <c r="P5128">
        <f t="shared" si="241"/>
        <v>0.27266918240707722</v>
      </c>
      <c r="Q5128" t="str">
        <f t="shared" ca="1" si="242"/>
        <v>No</v>
      </c>
    </row>
    <row r="5129" spans="1:17" x14ac:dyDescent="0.45">
      <c r="A5129" t="s">
        <v>207</v>
      </c>
      <c r="B5129" t="s">
        <v>208</v>
      </c>
      <c r="C5129" t="s">
        <v>29</v>
      </c>
      <c r="D5129" t="s">
        <v>188</v>
      </c>
      <c r="E5129" t="s">
        <v>21</v>
      </c>
      <c r="F5129" s="1">
        <v>44652</v>
      </c>
      <c r="G5129">
        <v>0.79</v>
      </c>
      <c r="H5129">
        <v>86.397900000000007</v>
      </c>
      <c r="I5129">
        <v>27</v>
      </c>
      <c r="J5129">
        <v>80.709999999999994</v>
      </c>
      <c r="K5129" t="s">
        <v>22</v>
      </c>
      <c r="L5129">
        <v>1485.91</v>
      </c>
      <c r="M5129">
        <f>VLOOKUP(K5129,RatingLookup!$A$2:$C$8,2,FALSE)</f>
        <v>5.0000000000000001E-3</v>
      </c>
      <c r="N5129">
        <f t="shared" si="240"/>
        <v>4.1762458919303302E-4</v>
      </c>
      <c r="O5129">
        <f>VLOOKUP(K5129,RatingLookup!$A$2:$C$8,3,FALSE)</f>
        <v>0.45</v>
      </c>
      <c r="P5129">
        <f t="shared" si="241"/>
        <v>0.27924864899751889</v>
      </c>
      <c r="Q5129" t="str">
        <f t="shared" ca="1" si="242"/>
        <v>No</v>
      </c>
    </row>
    <row r="5130" spans="1:17" x14ac:dyDescent="0.45">
      <c r="A5130" t="s">
        <v>207</v>
      </c>
      <c r="B5130" t="s">
        <v>208</v>
      </c>
      <c r="C5130" t="s">
        <v>29</v>
      </c>
      <c r="D5130" t="s">
        <v>188</v>
      </c>
      <c r="E5130" t="s">
        <v>21</v>
      </c>
      <c r="F5130" s="1">
        <v>44682</v>
      </c>
      <c r="G5130">
        <v>1.06</v>
      </c>
      <c r="H5130">
        <v>80.444299999999998</v>
      </c>
      <c r="I5130">
        <v>7.33</v>
      </c>
      <c r="J5130">
        <v>84.8</v>
      </c>
      <c r="K5130" t="s">
        <v>22</v>
      </c>
      <c r="L5130">
        <v>1506.06</v>
      </c>
      <c r="M5130">
        <f>VLOOKUP(K5130,RatingLookup!$A$2:$C$8,2,FALSE)</f>
        <v>5.0000000000000001E-3</v>
      </c>
      <c r="N5130">
        <f t="shared" si="240"/>
        <v>4.1762458919303302E-4</v>
      </c>
      <c r="O5130">
        <f>VLOOKUP(K5130,RatingLookup!$A$2:$C$8,3,FALSE)</f>
        <v>0.45</v>
      </c>
      <c r="P5130">
        <f t="shared" si="241"/>
        <v>0.28303545996002666</v>
      </c>
      <c r="Q5130" t="str">
        <f t="shared" ca="1" si="242"/>
        <v>No</v>
      </c>
    </row>
    <row r="5131" spans="1:17" x14ac:dyDescent="0.45">
      <c r="A5131" t="s">
        <v>207</v>
      </c>
      <c r="B5131" t="s">
        <v>208</v>
      </c>
      <c r="C5131" t="s">
        <v>29</v>
      </c>
      <c r="D5131" t="s">
        <v>188</v>
      </c>
      <c r="E5131" t="s">
        <v>21</v>
      </c>
      <c r="F5131" s="1">
        <v>44713</v>
      </c>
      <c r="G5131">
        <v>1.27</v>
      </c>
      <c r="H5131">
        <v>78.857900000000001</v>
      </c>
      <c r="I5131">
        <v>21.98</v>
      </c>
      <c r="J5131">
        <v>77.69</v>
      </c>
      <c r="K5131" t="s">
        <v>22</v>
      </c>
      <c r="L5131">
        <v>1590.28</v>
      </c>
      <c r="M5131">
        <f>VLOOKUP(K5131,RatingLookup!$A$2:$C$8,2,FALSE)</f>
        <v>5.0000000000000001E-3</v>
      </c>
      <c r="N5131">
        <f t="shared" si="240"/>
        <v>4.1762458919303302E-4</v>
      </c>
      <c r="O5131">
        <f>VLOOKUP(K5131,RatingLookup!$A$2:$C$8,3,FALSE)</f>
        <v>0.45</v>
      </c>
      <c r="P5131">
        <f t="shared" si="241"/>
        <v>0.29886301426585343</v>
      </c>
      <c r="Q5131" t="str">
        <f t="shared" ca="1" si="242"/>
        <v>No</v>
      </c>
    </row>
    <row r="5132" spans="1:17" x14ac:dyDescent="0.45">
      <c r="A5132" t="s">
        <v>207</v>
      </c>
      <c r="B5132" t="s">
        <v>208</v>
      </c>
      <c r="C5132" t="s">
        <v>29</v>
      </c>
      <c r="D5132" t="s">
        <v>188</v>
      </c>
      <c r="E5132" t="s">
        <v>21</v>
      </c>
      <c r="F5132" s="1">
        <v>44743</v>
      </c>
      <c r="G5132">
        <v>1.19</v>
      </c>
      <c r="H5132">
        <v>85.255200000000002</v>
      </c>
      <c r="I5132">
        <v>22.73</v>
      </c>
      <c r="J5132">
        <v>89.53</v>
      </c>
      <c r="K5132" t="s">
        <v>22</v>
      </c>
      <c r="L5132">
        <v>1417.1</v>
      </c>
      <c r="M5132">
        <f>VLOOKUP(K5132,RatingLookup!$A$2:$C$8,2,FALSE)</f>
        <v>5.0000000000000001E-3</v>
      </c>
      <c r="N5132">
        <f t="shared" si="240"/>
        <v>4.1762458919303302E-4</v>
      </c>
      <c r="O5132">
        <f>VLOOKUP(K5132,RatingLookup!$A$2:$C$8,3,FALSE)</f>
        <v>0.45</v>
      </c>
      <c r="P5132">
        <f t="shared" si="241"/>
        <v>0.2663171124054512</v>
      </c>
      <c r="Q5132" t="str">
        <f t="shared" ca="1" si="242"/>
        <v>No</v>
      </c>
    </row>
    <row r="5133" spans="1:17" x14ac:dyDescent="0.45">
      <c r="A5133" t="s">
        <v>207</v>
      </c>
      <c r="B5133" t="s">
        <v>208</v>
      </c>
      <c r="C5133" t="s">
        <v>29</v>
      </c>
      <c r="D5133" t="s">
        <v>188</v>
      </c>
      <c r="E5133" t="s">
        <v>21</v>
      </c>
      <c r="F5133" s="1">
        <v>44774</v>
      </c>
      <c r="G5133">
        <v>1.27</v>
      </c>
      <c r="H5133">
        <v>83.174599999999998</v>
      </c>
      <c r="I5133">
        <v>7.23</v>
      </c>
      <c r="J5133">
        <v>89.96</v>
      </c>
      <c r="K5133" t="s">
        <v>22</v>
      </c>
      <c r="L5133">
        <v>1569.98</v>
      </c>
      <c r="M5133">
        <f>VLOOKUP(K5133,RatingLookup!$A$2:$C$8,2,FALSE)</f>
        <v>5.0000000000000001E-3</v>
      </c>
      <c r="N5133">
        <f t="shared" si="240"/>
        <v>4.1762458919303302E-4</v>
      </c>
      <c r="O5133">
        <f>VLOOKUP(K5133,RatingLookup!$A$2:$C$8,3,FALSE)</f>
        <v>0.45</v>
      </c>
      <c r="P5133">
        <f t="shared" si="241"/>
        <v>0.29504801364357508</v>
      </c>
      <c r="Q5133" t="str">
        <f t="shared" ca="1" si="242"/>
        <v>No</v>
      </c>
    </row>
    <row r="5134" spans="1:17" x14ac:dyDescent="0.45">
      <c r="A5134" t="s">
        <v>207</v>
      </c>
      <c r="B5134" t="s">
        <v>208</v>
      </c>
      <c r="C5134" t="s">
        <v>29</v>
      </c>
      <c r="D5134" t="s">
        <v>188</v>
      </c>
      <c r="E5134" t="s">
        <v>21</v>
      </c>
      <c r="F5134" s="1">
        <v>44805</v>
      </c>
      <c r="G5134">
        <v>1.17</v>
      </c>
      <c r="H5134">
        <v>84.766999999999996</v>
      </c>
      <c r="I5134">
        <v>21.59</v>
      </c>
      <c r="J5134">
        <v>69.290000000000006</v>
      </c>
      <c r="K5134" t="s">
        <v>22</v>
      </c>
      <c r="L5134">
        <v>1540.52</v>
      </c>
      <c r="M5134">
        <f>VLOOKUP(K5134,RatingLookup!$A$2:$C$8,2,FALSE)</f>
        <v>5.0000000000000001E-3</v>
      </c>
      <c r="N5134">
        <f t="shared" si="240"/>
        <v>4.1762458919303302E-4</v>
      </c>
      <c r="O5134">
        <f>VLOOKUP(K5134,RatingLookup!$A$2:$C$8,3,FALSE)</f>
        <v>0.45</v>
      </c>
      <c r="P5134">
        <f t="shared" si="241"/>
        <v>0.28951156446464305</v>
      </c>
      <c r="Q5134" t="str">
        <f t="shared" ca="1" si="242"/>
        <v>No</v>
      </c>
    </row>
    <row r="5135" spans="1:17" x14ac:dyDescent="0.45">
      <c r="A5135" t="s">
        <v>207</v>
      </c>
      <c r="B5135" t="s">
        <v>208</v>
      </c>
      <c r="C5135" t="s">
        <v>29</v>
      </c>
      <c r="D5135" t="s">
        <v>188</v>
      </c>
      <c r="E5135" t="s">
        <v>21</v>
      </c>
      <c r="F5135" s="1">
        <v>44835</v>
      </c>
      <c r="G5135">
        <v>1.47</v>
      </c>
      <c r="H5135">
        <v>87.947000000000003</v>
      </c>
      <c r="I5135">
        <v>5</v>
      </c>
      <c r="J5135">
        <v>81.36</v>
      </c>
      <c r="K5135" t="s">
        <v>22</v>
      </c>
      <c r="L5135">
        <v>1495.49</v>
      </c>
      <c r="M5135">
        <f>VLOOKUP(K5135,RatingLookup!$A$2:$C$8,2,FALSE)</f>
        <v>5.0000000000000001E-3</v>
      </c>
      <c r="N5135">
        <f t="shared" si="240"/>
        <v>4.1762458919303302E-4</v>
      </c>
      <c r="O5135">
        <f>VLOOKUP(K5135,RatingLookup!$A$2:$C$8,3,FALSE)</f>
        <v>0.45</v>
      </c>
      <c r="P5135">
        <f t="shared" si="241"/>
        <v>0.28104902860153003</v>
      </c>
      <c r="Q5135" t="str">
        <f t="shared" ca="1" si="242"/>
        <v>No</v>
      </c>
    </row>
    <row r="5136" spans="1:17" x14ac:dyDescent="0.45">
      <c r="A5136" t="s">
        <v>207</v>
      </c>
      <c r="B5136" t="s">
        <v>208</v>
      </c>
      <c r="C5136" t="s">
        <v>29</v>
      </c>
      <c r="D5136" t="s">
        <v>188</v>
      </c>
      <c r="E5136" t="s">
        <v>21</v>
      </c>
      <c r="F5136" s="1">
        <v>44866</v>
      </c>
      <c r="G5136">
        <v>0.84</v>
      </c>
      <c r="H5136">
        <v>82.891099999999994</v>
      </c>
      <c r="I5136">
        <v>14.19</v>
      </c>
      <c r="J5136">
        <v>68.14</v>
      </c>
      <c r="K5136" t="s">
        <v>22</v>
      </c>
      <c r="L5136">
        <v>1505.5</v>
      </c>
      <c r="M5136">
        <f>VLOOKUP(K5136,RatingLookup!$A$2:$C$8,2,FALSE)</f>
        <v>5.0000000000000001E-3</v>
      </c>
      <c r="N5136">
        <f t="shared" si="240"/>
        <v>4.1762458919303302E-4</v>
      </c>
      <c r="O5136">
        <f>VLOOKUP(K5136,RatingLookup!$A$2:$C$8,3,FALSE)</f>
        <v>0.45</v>
      </c>
      <c r="P5136">
        <f t="shared" si="241"/>
        <v>0.28293021856355011</v>
      </c>
      <c r="Q5136" t="str">
        <f t="shared" ca="1" si="242"/>
        <v>No</v>
      </c>
    </row>
    <row r="5137" spans="1:17" x14ac:dyDescent="0.45">
      <c r="A5137" t="s">
        <v>207</v>
      </c>
      <c r="B5137" t="s">
        <v>208</v>
      </c>
      <c r="C5137" t="s">
        <v>29</v>
      </c>
      <c r="D5137" t="s">
        <v>188</v>
      </c>
      <c r="E5137" t="s">
        <v>21</v>
      </c>
      <c r="F5137" s="1">
        <v>44896</v>
      </c>
      <c r="G5137">
        <v>1.07</v>
      </c>
      <c r="H5137">
        <v>84.8506</v>
      </c>
      <c r="I5137">
        <v>23.49</v>
      </c>
      <c r="J5137">
        <v>90.39</v>
      </c>
      <c r="K5137" t="s">
        <v>22</v>
      </c>
      <c r="L5137">
        <v>1458.57</v>
      </c>
      <c r="M5137">
        <f>VLOOKUP(K5137,RatingLookup!$A$2:$C$8,2,FALSE)</f>
        <v>5.0000000000000001E-3</v>
      </c>
      <c r="N5137">
        <f t="shared" si="240"/>
        <v>4.1762458919303302E-4</v>
      </c>
      <c r="O5137">
        <f>VLOOKUP(K5137,RatingLookup!$A$2:$C$8,3,FALSE)</f>
        <v>0.45</v>
      </c>
      <c r="P5137">
        <f t="shared" si="241"/>
        <v>0.274110613676677</v>
      </c>
      <c r="Q5137" t="str">
        <f t="shared" ca="1" si="242"/>
        <v>No</v>
      </c>
    </row>
    <row r="5138" spans="1:17" x14ac:dyDescent="0.45">
      <c r="A5138" t="s">
        <v>207</v>
      </c>
      <c r="B5138" t="s">
        <v>208</v>
      </c>
      <c r="C5138" t="s">
        <v>29</v>
      </c>
      <c r="D5138" t="s">
        <v>188</v>
      </c>
      <c r="E5138" t="s">
        <v>21</v>
      </c>
      <c r="F5138" s="1">
        <v>44927</v>
      </c>
      <c r="G5138">
        <v>1.58</v>
      </c>
      <c r="H5138">
        <v>80.721699999999998</v>
      </c>
      <c r="I5138">
        <v>25.53</v>
      </c>
      <c r="J5138">
        <v>69.44</v>
      </c>
      <c r="K5138" t="s">
        <v>22</v>
      </c>
      <c r="L5138">
        <v>1450.1</v>
      </c>
      <c r="M5138">
        <f>VLOOKUP(K5138,RatingLookup!$A$2:$C$8,2,FALSE)</f>
        <v>5.0000000000000001E-3</v>
      </c>
      <c r="N5138">
        <f t="shared" si="240"/>
        <v>4.1762458919303302E-4</v>
      </c>
      <c r="O5138">
        <f>VLOOKUP(K5138,RatingLookup!$A$2:$C$8,3,FALSE)</f>
        <v>0.45</v>
      </c>
      <c r="P5138">
        <f t="shared" si="241"/>
        <v>0.27251883755496775</v>
      </c>
      <c r="Q5138" t="str">
        <f t="shared" ca="1" si="242"/>
        <v>No</v>
      </c>
    </row>
    <row r="5139" spans="1:17" x14ac:dyDescent="0.45">
      <c r="A5139" t="s">
        <v>207</v>
      </c>
      <c r="B5139" t="s">
        <v>208</v>
      </c>
      <c r="C5139" t="s">
        <v>29</v>
      </c>
      <c r="D5139" t="s">
        <v>188</v>
      </c>
      <c r="E5139" t="s">
        <v>21</v>
      </c>
      <c r="F5139" s="1">
        <v>44958</v>
      </c>
      <c r="G5139">
        <v>1.83</v>
      </c>
      <c r="H5139">
        <v>79.231499999999997</v>
      </c>
      <c r="I5139">
        <v>24.38</v>
      </c>
      <c r="J5139">
        <v>75.59</v>
      </c>
      <c r="K5139" t="s">
        <v>23</v>
      </c>
      <c r="L5139">
        <v>1393.74</v>
      </c>
      <c r="M5139">
        <f>VLOOKUP(K5139,RatingLookup!$A$2:$C$8,2,FALSE)</f>
        <v>1E-3</v>
      </c>
      <c r="N5139">
        <f t="shared" si="240"/>
        <v>8.3371552197619714E-5</v>
      </c>
      <c r="O5139">
        <f>VLOOKUP(K5139,RatingLookup!$A$2:$C$8,3,FALSE)</f>
        <v>0.3</v>
      </c>
      <c r="P5139">
        <f t="shared" si="241"/>
        <v>3.4859480147973146E-2</v>
      </c>
      <c r="Q5139" t="str">
        <f t="shared" ca="1" si="242"/>
        <v>No</v>
      </c>
    </row>
    <row r="5140" spans="1:17" x14ac:dyDescent="0.45">
      <c r="A5140" t="s">
        <v>207</v>
      </c>
      <c r="B5140" t="s">
        <v>208</v>
      </c>
      <c r="C5140" t="s">
        <v>29</v>
      </c>
      <c r="D5140" t="s">
        <v>188</v>
      </c>
      <c r="E5140" t="s">
        <v>21</v>
      </c>
      <c r="F5140" s="1">
        <v>44986</v>
      </c>
      <c r="G5140">
        <v>2.79</v>
      </c>
      <c r="H5140">
        <v>86.542100000000005</v>
      </c>
      <c r="I5140">
        <v>22.67</v>
      </c>
      <c r="J5140">
        <v>84.04</v>
      </c>
      <c r="K5140" t="s">
        <v>23</v>
      </c>
      <c r="L5140">
        <v>1607.3</v>
      </c>
      <c r="M5140">
        <f>VLOOKUP(K5140,RatingLookup!$A$2:$C$8,2,FALSE)</f>
        <v>1E-3</v>
      </c>
      <c r="N5140">
        <f t="shared" si="240"/>
        <v>8.3371552197619714E-5</v>
      </c>
      <c r="O5140">
        <f>VLOOKUP(K5140,RatingLookup!$A$2:$C$8,3,FALSE)</f>
        <v>0.3</v>
      </c>
      <c r="P5140">
        <f t="shared" si="241"/>
        <v>4.0200928754170244E-2</v>
      </c>
      <c r="Q5140" t="str">
        <f t="shared" ca="1" si="242"/>
        <v>No</v>
      </c>
    </row>
    <row r="5141" spans="1:17" x14ac:dyDescent="0.45">
      <c r="A5141" t="s">
        <v>207</v>
      </c>
      <c r="B5141" t="s">
        <v>208</v>
      </c>
      <c r="C5141" t="s">
        <v>29</v>
      </c>
      <c r="D5141" t="s">
        <v>188</v>
      </c>
      <c r="E5141" t="s">
        <v>21</v>
      </c>
      <c r="F5141" s="1">
        <v>45017</v>
      </c>
      <c r="G5141">
        <v>1.21</v>
      </c>
      <c r="H5141">
        <v>86.812799999999996</v>
      </c>
      <c r="I5141">
        <v>24.77</v>
      </c>
      <c r="J5141">
        <v>79.22</v>
      </c>
      <c r="K5141" t="s">
        <v>23</v>
      </c>
      <c r="L5141">
        <v>1591.45</v>
      </c>
      <c r="M5141">
        <f>VLOOKUP(K5141,RatingLookup!$A$2:$C$8,2,FALSE)</f>
        <v>1E-3</v>
      </c>
      <c r="N5141">
        <f t="shared" si="240"/>
        <v>8.3371552197619714E-5</v>
      </c>
      <c r="O5141">
        <f>VLOOKUP(K5141,RatingLookup!$A$2:$C$8,3,FALSE)</f>
        <v>0.3</v>
      </c>
      <c r="P5141">
        <f t="shared" si="241"/>
        <v>3.9804497023470567E-2</v>
      </c>
      <c r="Q5141" t="str">
        <f t="shared" ca="1" si="242"/>
        <v>No</v>
      </c>
    </row>
    <row r="5142" spans="1:17" x14ac:dyDescent="0.45">
      <c r="A5142" t="s">
        <v>207</v>
      </c>
      <c r="B5142" t="s">
        <v>208</v>
      </c>
      <c r="C5142" t="s">
        <v>29</v>
      </c>
      <c r="D5142" t="s">
        <v>188</v>
      </c>
      <c r="E5142" t="s">
        <v>21</v>
      </c>
      <c r="F5142" s="1">
        <v>45047</v>
      </c>
      <c r="G5142">
        <v>1.99</v>
      </c>
      <c r="H5142">
        <v>86.401300000000006</v>
      </c>
      <c r="I5142">
        <v>18.8</v>
      </c>
      <c r="J5142">
        <v>95.48</v>
      </c>
      <c r="K5142" t="s">
        <v>23</v>
      </c>
      <c r="L5142">
        <v>1386.2</v>
      </c>
      <c r="M5142">
        <f>VLOOKUP(K5142,RatingLookup!$A$2:$C$8,2,FALSE)</f>
        <v>1E-3</v>
      </c>
      <c r="N5142">
        <f t="shared" si="240"/>
        <v>8.3371552197619714E-5</v>
      </c>
      <c r="O5142">
        <f>VLOOKUP(K5142,RatingLookup!$A$2:$C$8,3,FALSE)</f>
        <v>0.3</v>
      </c>
      <c r="P5142">
        <f t="shared" si="241"/>
        <v>3.4670893696902134E-2</v>
      </c>
      <c r="Q5142" t="str">
        <f t="shared" ca="1" si="242"/>
        <v>No</v>
      </c>
    </row>
    <row r="5143" spans="1:17" x14ac:dyDescent="0.45">
      <c r="A5143" t="s">
        <v>207</v>
      </c>
      <c r="B5143" t="s">
        <v>208</v>
      </c>
      <c r="C5143" t="s">
        <v>29</v>
      </c>
      <c r="D5143" t="s">
        <v>188</v>
      </c>
      <c r="E5143" t="s">
        <v>21</v>
      </c>
      <c r="F5143" s="1">
        <v>45078</v>
      </c>
      <c r="G5143">
        <v>1.44</v>
      </c>
      <c r="H5143">
        <v>80.686899999999994</v>
      </c>
      <c r="I5143">
        <v>13.58</v>
      </c>
      <c r="J5143">
        <v>78.78</v>
      </c>
      <c r="K5143" t="s">
        <v>23</v>
      </c>
      <c r="L5143">
        <v>1626.84</v>
      </c>
      <c r="M5143">
        <f>VLOOKUP(K5143,RatingLookup!$A$2:$C$8,2,FALSE)</f>
        <v>1E-3</v>
      </c>
      <c r="N5143">
        <f t="shared" si="240"/>
        <v>8.3371552197619714E-5</v>
      </c>
      <c r="O5143">
        <f>VLOOKUP(K5143,RatingLookup!$A$2:$C$8,3,FALSE)</f>
        <v>0.3</v>
      </c>
      <c r="P5143">
        <f t="shared" si="241"/>
        <v>4.0689652793152689E-2</v>
      </c>
      <c r="Q5143" t="str">
        <f t="shared" ca="1" si="242"/>
        <v>No</v>
      </c>
    </row>
    <row r="5144" spans="1:17" x14ac:dyDescent="0.45">
      <c r="A5144" t="s">
        <v>207</v>
      </c>
      <c r="B5144" t="s">
        <v>208</v>
      </c>
      <c r="C5144" t="s">
        <v>29</v>
      </c>
      <c r="D5144" t="s">
        <v>188</v>
      </c>
      <c r="E5144" t="s">
        <v>21</v>
      </c>
      <c r="F5144" s="1">
        <v>45108</v>
      </c>
      <c r="G5144">
        <v>2.29</v>
      </c>
      <c r="H5144">
        <v>86.328299999999999</v>
      </c>
      <c r="I5144">
        <v>21.51</v>
      </c>
      <c r="J5144">
        <v>76.33</v>
      </c>
      <c r="K5144" t="s">
        <v>23</v>
      </c>
      <c r="L5144">
        <v>1519.95</v>
      </c>
      <c r="M5144">
        <f>VLOOKUP(K5144,RatingLookup!$A$2:$C$8,2,FALSE)</f>
        <v>1E-3</v>
      </c>
      <c r="N5144">
        <f t="shared" si="240"/>
        <v>8.3371552197619714E-5</v>
      </c>
      <c r="O5144">
        <f>VLOOKUP(K5144,RatingLookup!$A$2:$C$8,3,FALSE)</f>
        <v>0.3</v>
      </c>
      <c r="P5144">
        <f t="shared" si="241"/>
        <v>3.8016177228831625E-2</v>
      </c>
      <c r="Q5144" t="str">
        <f t="shared" ca="1" si="242"/>
        <v>No</v>
      </c>
    </row>
    <row r="5145" spans="1:17" x14ac:dyDescent="0.45">
      <c r="A5145" t="s">
        <v>207</v>
      </c>
      <c r="B5145" t="s">
        <v>208</v>
      </c>
      <c r="C5145" t="s">
        <v>29</v>
      </c>
      <c r="D5145" t="s">
        <v>188</v>
      </c>
      <c r="E5145" t="s">
        <v>21</v>
      </c>
      <c r="F5145" s="1">
        <v>45139</v>
      </c>
      <c r="G5145">
        <v>0.65</v>
      </c>
      <c r="H5145">
        <v>82.540099999999995</v>
      </c>
      <c r="I5145">
        <v>18.86</v>
      </c>
      <c r="J5145">
        <v>87.77</v>
      </c>
      <c r="K5145" t="s">
        <v>23</v>
      </c>
      <c r="L5145">
        <v>1530.04</v>
      </c>
      <c r="M5145">
        <f>VLOOKUP(K5145,RatingLookup!$A$2:$C$8,2,FALSE)</f>
        <v>1E-3</v>
      </c>
      <c r="N5145">
        <f t="shared" si="240"/>
        <v>8.3371552197619714E-5</v>
      </c>
      <c r="O5145">
        <f>VLOOKUP(K5145,RatingLookup!$A$2:$C$8,3,FALSE)</f>
        <v>0.3</v>
      </c>
      <c r="P5145">
        <f t="shared" si="241"/>
        <v>3.8268542917333816E-2</v>
      </c>
      <c r="Q5145" t="str">
        <f t="shared" ca="1" si="242"/>
        <v>No</v>
      </c>
    </row>
    <row r="5146" spans="1:17" x14ac:dyDescent="0.45">
      <c r="A5146" t="s">
        <v>207</v>
      </c>
      <c r="B5146" t="s">
        <v>208</v>
      </c>
      <c r="C5146" t="s">
        <v>29</v>
      </c>
      <c r="D5146" t="s">
        <v>188</v>
      </c>
      <c r="E5146" t="s">
        <v>21</v>
      </c>
      <c r="F5146" s="1">
        <v>45170</v>
      </c>
      <c r="G5146">
        <v>1.4</v>
      </c>
      <c r="H5146">
        <v>81.295900000000003</v>
      </c>
      <c r="I5146">
        <v>19.78</v>
      </c>
      <c r="J5146">
        <v>78.08</v>
      </c>
      <c r="K5146" t="s">
        <v>23</v>
      </c>
      <c r="L5146">
        <v>1515.59</v>
      </c>
      <c r="M5146">
        <f>VLOOKUP(K5146,RatingLookup!$A$2:$C$8,2,FALSE)</f>
        <v>1E-3</v>
      </c>
      <c r="N5146">
        <f t="shared" si="240"/>
        <v>8.3371552197619714E-5</v>
      </c>
      <c r="O5146">
        <f>VLOOKUP(K5146,RatingLookup!$A$2:$C$8,3,FALSE)</f>
        <v>0.3</v>
      </c>
      <c r="P5146">
        <f t="shared" si="241"/>
        <v>3.7907127238557131E-2</v>
      </c>
      <c r="Q5146" t="str">
        <f t="shared" ca="1" si="242"/>
        <v>No</v>
      </c>
    </row>
    <row r="5147" spans="1:17" x14ac:dyDescent="0.45">
      <c r="A5147" t="s">
        <v>207</v>
      </c>
      <c r="B5147" t="s">
        <v>208</v>
      </c>
      <c r="C5147" t="s">
        <v>29</v>
      </c>
      <c r="D5147" t="s">
        <v>188</v>
      </c>
      <c r="E5147" t="s">
        <v>21</v>
      </c>
      <c r="F5147" s="1">
        <v>45200</v>
      </c>
      <c r="G5147">
        <v>0.78</v>
      </c>
      <c r="H5147">
        <v>88.222499999999997</v>
      </c>
      <c r="I5147">
        <v>27</v>
      </c>
      <c r="J5147">
        <v>61.2</v>
      </c>
      <c r="K5147" t="s">
        <v>23</v>
      </c>
      <c r="L5147">
        <v>1479.43</v>
      </c>
      <c r="M5147">
        <f>VLOOKUP(K5147,RatingLookup!$A$2:$C$8,2,FALSE)</f>
        <v>1E-3</v>
      </c>
      <c r="N5147">
        <f t="shared" si="240"/>
        <v>8.3371552197619714E-5</v>
      </c>
      <c r="O5147">
        <f>VLOOKUP(K5147,RatingLookup!$A$2:$C$8,3,FALSE)</f>
        <v>0.3</v>
      </c>
      <c r="P5147">
        <f t="shared" si="241"/>
        <v>3.7002712640317362E-2</v>
      </c>
      <c r="Q5147" t="str">
        <f t="shared" ca="1" si="242"/>
        <v>No</v>
      </c>
    </row>
    <row r="5148" spans="1:17" x14ac:dyDescent="0.45">
      <c r="A5148" t="s">
        <v>207</v>
      </c>
      <c r="B5148" t="s">
        <v>208</v>
      </c>
      <c r="C5148" t="s">
        <v>29</v>
      </c>
      <c r="D5148" t="s">
        <v>188</v>
      </c>
      <c r="E5148" t="s">
        <v>21</v>
      </c>
      <c r="F5148" s="1">
        <v>45231</v>
      </c>
      <c r="G5148">
        <v>2.2999999999999998</v>
      </c>
      <c r="H5148">
        <v>82.804699999999997</v>
      </c>
      <c r="I5148">
        <v>13.4</v>
      </c>
      <c r="J5148">
        <v>91.21</v>
      </c>
      <c r="K5148" t="s">
        <v>23</v>
      </c>
      <c r="L5148">
        <v>1531.32</v>
      </c>
      <c r="M5148">
        <f>VLOOKUP(K5148,RatingLookup!$A$2:$C$8,2,FALSE)</f>
        <v>1E-3</v>
      </c>
      <c r="N5148">
        <f t="shared" si="240"/>
        <v>8.3371552197619714E-5</v>
      </c>
      <c r="O5148">
        <f>VLOOKUP(K5148,RatingLookup!$A$2:$C$8,3,FALSE)</f>
        <v>0.3</v>
      </c>
      <c r="P5148">
        <f t="shared" si="241"/>
        <v>3.8300557593377707E-2</v>
      </c>
      <c r="Q5148" t="str">
        <f t="shared" ca="1" si="242"/>
        <v>No</v>
      </c>
    </row>
    <row r="5149" spans="1:17" x14ac:dyDescent="0.45">
      <c r="A5149" t="s">
        <v>207</v>
      </c>
      <c r="B5149" t="s">
        <v>208</v>
      </c>
      <c r="C5149" t="s">
        <v>29</v>
      </c>
      <c r="D5149" t="s">
        <v>188</v>
      </c>
      <c r="E5149" t="s">
        <v>21</v>
      </c>
      <c r="F5149" s="1">
        <v>45261</v>
      </c>
      <c r="G5149">
        <v>1.96</v>
      </c>
      <c r="H5149">
        <v>83.433400000000006</v>
      </c>
      <c r="I5149">
        <v>25.65</v>
      </c>
      <c r="J5149">
        <v>82.8</v>
      </c>
      <c r="K5149" t="s">
        <v>48</v>
      </c>
      <c r="L5149">
        <v>1481.14</v>
      </c>
      <c r="M5149">
        <f>VLOOKUP(K5149,RatingLookup!$A$2:$C$8,2,FALSE)</f>
        <v>5.0000000000000001E-4</v>
      </c>
      <c r="N5149">
        <f t="shared" si="240"/>
        <v>4.167621832917856E-5</v>
      </c>
      <c r="O5149">
        <f>VLOOKUP(K5149,RatingLookup!$A$2:$C$8,3,FALSE)</f>
        <v>0.25</v>
      </c>
      <c r="P5149">
        <f t="shared" si="241"/>
        <v>1.5432078504019885E-2</v>
      </c>
      <c r="Q5149" t="str">
        <f t="shared" ca="1" si="242"/>
        <v>No</v>
      </c>
    </row>
    <row r="5150" spans="1:17" x14ac:dyDescent="0.45">
      <c r="A5150" t="s">
        <v>207</v>
      </c>
      <c r="B5150" t="s">
        <v>208</v>
      </c>
      <c r="C5150" t="s">
        <v>29</v>
      </c>
      <c r="D5150" t="s">
        <v>188</v>
      </c>
      <c r="E5150" t="s">
        <v>21</v>
      </c>
      <c r="F5150" s="1">
        <v>45292</v>
      </c>
      <c r="G5150">
        <v>1.6</v>
      </c>
      <c r="H5150">
        <v>84.664299999999997</v>
      </c>
      <c r="I5150">
        <v>19.190000000000001</v>
      </c>
      <c r="J5150">
        <v>75.38</v>
      </c>
      <c r="K5150" t="s">
        <v>48</v>
      </c>
      <c r="L5150">
        <v>1519.41</v>
      </c>
      <c r="M5150">
        <f>VLOOKUP(K5150,RatingLookup!$A$2:$C$8,2,FALSE)</f>
        <v>5.0000000000000001E-4</v>
      </c>
      <c r="N5150">
        <f t="shared" si="240"/>
        <v>4.167621832917856E-5</v>
      </c>
      <c r="O5150">
        <f>VLOOKUP(K5150,RatingLookup!$A$2:$C$8,3,FALSE)</f>
        <v>0.25</v>
      </c>
      <c r="P5150">
        <f t="shared" si="241"/>
        <v>1.5830815722884299E-2</v>
      </c>
      <c r="Q5150" t="str">
        <f t="shared" ca="1" si="242"/>
        <v>No</v>
      </c>
    </row>
    <row r="5151" spans="1:17" x14ac:dyDescent="0.45">
      <c r="A5151" t="s">
        <v>207</v>
      </c>
      <c r="B5151" t="s">
        <v>208</v>
      </c>
      <c r="C5151" t="s">
        <v>29</v>
      </c>
      <c r="D5151" t="s">
        <v>188</v>
      </c>
      <c r="E5151" t="s">
        <v>21</v>
      </c>
      <c r="F5151" s="1">
        <v>45323</v>
      </c>
      <c r="G5151">
        <v>2.36</v>
      </c>
      <c r="H5151">
        <v>82.507999999999996</v>
      </c>
      <c r="I5151">
        <v>20.28</v>
      </c>
      <c r="J5151">
        <v>70.39</v>
      </c>
      <c r="K5151" t="s">
        <v>48</v>
      </c>
      <c r="L5151">
        <v>1496.05</v>
      </c>
      <c r="M5151">
        <f>VLOOKUP(K5151,RatingLookup!$A$2:$C$8,2,FALSE)</f>
        <v>5.0000000000000001E-4</v>
      </c>
      <c r="N5151">
        <f t="shared" si="240"/>
        <v>4.167621832917856E-5</v>
      </c>
      <c r="O5151">
        <f>VLOOKUP(K5151,RatingLookup!$A$2:$C$8,3,FALSE)</f>
        <v>0.25</v>
      </c>
      <c r="P5151">
        <f t="shared" si="241"/>
        <v>1.5587426607841896E-2</v>
      </c>
      <c r="Q5151" t="str">
        <f t="shared" ca="1" si="242"/>
        <v>No</v>
      </c>
    </row>
    <row r="5152" spans="1:17" x14ac:dyDescent="0.45">
      <c r="A5152" t="s">
        <v>207</v>
      </c>
      <c r="B5152" t="s">
        <v>208</v>
      </c>
      <c r="C5152" t="s">
        <v>29</v>
      </c>
      <c r="D5152" t="s">
        <v>188</v>
      </c>
      <c r="E5152" t="s">
        <v>21</v>
      </c>
      <c r="F5152" s="1">
        <v>45352</v>
      </c>
      <c r="G5152">
        <v>1.82</v>
      </c>
      <c r="H5152">
        <v>82.716800000000006</v>
      </c>
      <c r="I5152">
        <v>18.12</v>
      </c>
      <c r="J5152">
        <v>80.849999999999994</v>
      </c>
      <c r="K5152" t="s">
        <v>23</v>
      </c>
      <c r="L5152">
        <v>1529.28</v>
      </c>
      <c r="M5152">
        <f>VLOOKUP(K5152,RatingLookup!$A$2:$C$8,2,FALSE)</f>
        <v>1E-3</v>
      </c>
      <c r="N5152">
        <f t="shared" si="240"/>
        <v>8.3371552197619714E-5</v>
      </c>
      <c r="O5152">
        <f>VLOOKUP(K5152,RatingLookup!$A$2:$C$8,3,FALSE)</f>
        <v>0.3</v>
      </c>
      <c r="P5152">
        <f t="shared" si="241"/>
        <v>3.8249534203432758E-2</v>
      </c>
      <c r="Q5152" t="str">
        <f t="shared" ca="1" si="242"/>
        <v>No</v>
      </c>
    </row>
    <row r="5153" spans="1:17" x14ac:dyDescent="0.45">
      <c r="A5153" t="s">
        <v>207</v>
      </c>
      <c r="B5153" t="s">
        <v>208</v>
      </c>
      <c r="C5153" t="s">
        <v>29</v>
      </c>
      <c r="D5153" t="s">
        <v>188</v>
      </c>
      <c r="E5153" t="s">
        <v>21</v>
      </c>
      <c r="F5153" s="1">
        <v>45383</v>
      </c>
      <c r="G5153">
        <v>1.48</v>
      </c>
      <c r="H5153">
        <v>85.580500000000001</v>
      </c>
      <c r="I5153">
        <v>26.55</v>
      </c>
      <c r="J5153">
        <v>69.03</v>
      </c>
      <c r="K5153" t="s">
        <v>23</v>
      </c>
      <c r="L5153">
        <v>1517.95</v>
      </c>
      <c r="M5153">
        <f>VLOOKUP(K5153,RatingLookup!$A$2:$C$8,2,FALSE)</f>
        <v>1E-3</v>
      </c>
      <c r="N5153">
        <f t="shared" si="240"/>
        <v>8.3371552197619714E-5</v>
      </c>
      <c r="O5153">
        <f>VLOOKUP(K5153,RatingLookup!$A$2:$C$8,3,FALSE)</f>
        <v>0.3</v>
      </c>
      <c r="P5153">
        <f t="shared" si="241"/>
        <v>3.7966154297513051E-2</v>
      </c>
      <c r="Q5153" t="str">
        <f t="shared" ca="1" si="242"/>
        <v>No</v>
      </c>
    </row>
    <row r="5154" spans="1:17" x14ac:dyDescent="0.45">
      <c r="A5154" t="s">
        <v>207</v>
      </c>
      <c r="B5154" t="s">
        <v>208</v>
      </c>
      <c r="C5154" t="s">
        <v>29</v>
      </c>
      <c r="D5154" t="s">
        <v>188</v>
      </c>
      <c r="E5154" t="s">
        <v>21</v>
      </c>
      <c r="F5154" s="1">
        <v>45413</v>
      </c>
      <c r="G5154">
        <v>1.37</v>
      </c>
      <c r="H5154">
        <v>89.487399999999994</v>
      </c>
      <c r="I5154">
        <v>14.73</v>
      </c>
      <c r="J5154">
        <v>77.19</v>
      </c>
      <c r="K5154" t="s">
        <v>23</v>
      </c>
      <c r="L5154">
        <v>1593.49</v>
      </c>
      <c r="M5154">
        <f>VLOOKUP(K5154,RatingLookup!$A$2:$C$8,2,FALSE)</f>
        <v>1E-3</v>
      </c>
      <c r="N5154">
        <f t="shared" si="240"/>
        <v>8.3371552197619714E-5</v>
      </c>
      <c r="O5154">
        <f>VLOOKUP(K5154,RatingLookup!$A$2:$C$8,3,FALSE)</f>
        <v>0.3</v>
      </c>
      <c r="P5154">
        <f t="shared" si="241"/>
        <v>3.9855520413415509E-2</v>
      </c>
      <c r="Q5154" t="str">
        <f t="shared" ca="1" si="242"/>
        <v>No</v>
      </c>
    </row>
    <row r="5155" spans="1:17" x14ac:dyDescent="0.45">
      <c r="A5155" t="s">
        <v>207</v>
      </c>
      <c r="B5155" t="s">
        <v>208</v>
      </c>
      <c r="C5155" t="s">
        <v>29</v>
      </c>
      <c r="D5155" t="s">
        <v>188</v>
      </c>
      <c r="E5155" t="s">
        <v>21</v>
      </c>
      <c r="F5155" s="1">
        <v>45444</v>
      </c>
      <c r="G5155">
        <v>0.97</v>
      </c>
      <c r="H5155">
        <v>83.781899999999993</v>
      </c>
      <c r="I5155">
        <v>29.04</v>
      </c>
      <c r="J5155">
        <v>78.650000000000006</v>
      </c>
      <c r="K5155" t="s">
        <v>23</v>
      </c>
      <c r="L5155">
        <v>1590.95</v>
      </c>
      <c r="M5155">
        <f>VLOOKUP(K5155,RatingLookup!$A$2:$C$8,2,FALSE)</f>
        <v>1E-3</v>
      </c>
      <c r="N5155">
        <f t="shared" si="240"/>
        <v>8.3371552197619714E-5</v>
      </c>
      <c r="O5155">
        <f>VLOOKUP(K5155,RatingLookup!$A$2:$C$8,3,FALSE)</f>
        <v>0.3</v>
      </c>
      <c r="P5155">
        <f t="shared" si="241"/>
        <v>3.9791991290640927E-2</v>
      </c>
      <c r="Q5155" t="str">
        <f t="shared" ca="1" si="242"/>
        <v>No</v>
      </c>
    </row>
    <row r="5156" spans="1:17" x14ac:dyDescent="0.45">
      <c r="A5156" t="s">
        <v>207</v>
      </c>
      <c r="B5156" t="s">
        <v>208</v>
      </c>
      <c r="C5156" t="s">
        <v>29</v>
      </c>
      <c r="D5156" t="s">
        <v>188</v>
      </c>
      <c r="E5156" t="s">
        <v>21</v>
      </c>
      <c r="F5156" s="1">
        <v>45474</v>
      </c>
      <c r="G5156">
        <v>2.31</v>
      </c>
      <c r="H5156">
        <v>85.096699999999998</v>
      </c>
      <c r="I5156">
        <v>16.84</v>
      </c>
      <c r="J5156">
        <v>65.48</v>
      </c>
      <c r="K5156" t="s">
        <v>23</v>
      </c>
      <c r="L5156">
        <v>1610.64</v>
      </c>
      <c r="M5156">
        <f>VLOOKUP(K5156,RatingLookup!$A$2:$C$8,2,FALSE)</f>
        <v>1E-3</v>
      </c>
      <c r="N5156">
        <f t="shared" si="240"/>
        <v>8.3371552197619714E-5</v>
      </c>
      <c r="O5156">
        <f>VLOOKUP(K5156,RatingLookup!$A$2:$C$8,3,FALSE)</f>
        <v>0.3</v>
      </c>
      <c r="P5156">
        <f t="shared" si="241"/>
        <v>4.0284467049472264E-2</v>
      </c>
      <c r="Q5156" t="str">
        <f t="shared" ca="1" si="242"/>
        <v>No</v>
      </c>
    </row>
    <row r="5157" spans="1:17" x14ac:dyDescent="0.45">
      <c r="A5157" t="s">
        <v>207</v>
      </c>
      <c r="B5157" t="s">
        <v>208</v>
      </c>
      <c r="C5157" t="s">
        <v>29</v>
      </c>
      <c r="D5157" t="s">
        <v>188</v>
      </c>
      <c r="E5157" t="s">
        <v>21</v>
      </c>
      <c r="F5157" s="1">
        <v>45505</v>
      </c>
      <c r="G5157">
        <v>1</v>
      </c>
      <c r="H5157">
        <v>84.779799999999994</v>
      </c>
      <c r="I5157">
        <v>26.39</v>
      </c>
      <c r="J5157">
        <v>100.89</v>
      </c>
      <c r="K5157" t="s">
        <v>23</v>
      </c>
      <c r="L5157">
        <v>1534.87</v>
      </c>
      <c r="M5157">
        <f>VLOOKUP(K5157,RatingLookup!$A$2:$C$8,2,FALSE)</f>
        <v>1E-3</v>
      </c>
      <c r="N5157">
        <f t="shared" si="240"/>
        <v>8.3371552197619714E-5</v>
      </c>
      <c r="O5157">
        <f>VLOOKUP(K5157,RatingLookup!$A$2:$C$8,3,FALSE)</f>
        <v>0.3</v>
      </c>
      <c r="P5157">
        <f t="shared" si="241"/>
        <v>3.8389348296468166E-2</v>
      </c>
      <c r="Q5157" t="str">
        <f t="shared" ca="1" si="242"/>
        <v>No</v>
      </c>
    </row>
    <row r="5158" spans="1:17" x14ac:dyDescent="0.45">
      <c r="A5158" t="s">
        <v>207</v>
      </c>
      <c r="B5158" t="s">
        <v>208</v>
      </c>
      <c r="C5158" t="s">
        <v>29</v>
      </c>
      <c r="D5158" t="s">
        <v>188</v>
      </c>
      <c r="E5158" t="s">
        <v>21</v>
      </c>
      <c r="F5158" s="1">
        <v>45536</v>
      </c>
      <c r="G5158">
        <v>1.24</v>
      </c>
      <c r="H5158">
        <v>84.982900000000001</v>
      </c>
      <c r="I5158">
        <v>15.87</v>
      </c>
      <c r="J5158">
        <v>92.22</v>
      </c>
      <c r="K5158" t="s">
        <v>23</v>
      </c>
      <c r="L5158">
        <v>1455.23</v>
      </c>
      <c r="M5158">
        <f>VLOOKUP(K5158,RatingLookup!$A$2:$C$8,2,FALSE)</f>
        <v>1E-3</v>
      </c>
      <c r="N5158">
        <f t="shared" si="240"/>
        <v>8.3371552197619714E-5</v>
      </c>
      <c r="O5158">
        <f>VLOOKUP(K5158,RatingLookup!$A$2:$C$8,3,FALSE)</f>
        <v>0.3</v>
      </c>
      <c r="P5158">
        <f t="shared" si="241"/>
        <v>3.6397435171362638E-2</v>
      </c>
      <c r="Q5158" t="str">
        <f t="shared" ca="1" si="242"/>
        <v>No</v>
      </c>
    </row>
    <row r="5159" spans="1:17" x14ac:dyDescent="0.45">
      <c r="A5159" t="s">
        <v>207</v>
      </c>
      <c r="B5159" t="s">
        <v>208</v>
      </c>
      <c r="C5159" t="s">
        <v>29</v>
      </c>
      <c r="D5159" t="s">
        <v>188</v>
      </c>
      <c r="E5159" t="s">
        <v>21</v>
      </c>
      <c r="F5159" s="1">
        <v>45566</v>
      </c>
      <c r="G5159">
        <v>2.06</v>
      </c>
      <c r="H5159">
        <v>84.130099999999999</v>
      </c>
      <c r="I5159">
        <v>28.89</v>
      </c>
      <c r="J5159">
        <v>83.65</v>
      </c>
      <c r="K5159" t="s">
        <v>23</v>
      </c>
      <c r="L5159">
        <v>1536.88</v>
      </c>
      <c r="M5159">
        <f>VLOOKUP(K5159,RatingLookup!$A$2:$C$8,2,FALSE)</f>
        <v>1E-3</v>
      </c>
      <c r="N5159">
        <f t="shared" si="240"/>
        <v>8.3371552197619714E-5</v>
      </c>
      <c r="O5159">
        <f>VLOOKUP(K5159,RatingLookup!$A$2:$C$8,3,FALSE)</f>
        <v>0.3</v>
      </c>
      <c r="P5159">
        <f t="shared" si="241"/>
        <v>3.8439621342443338E-2</v>
      </c>
      <c r="Q5159" t="str">
        <f t="shared" ca="1" si="242"/>
        <v>No</v>
      </c>
    </row>
    <row r="5160" spans="1:17" x14ac:dyDescent="0.45">
      <c r="A5160" t="s">
        <v>207</v>
      </c>
      <c r="B5160" t="s">
        <v>208</v>
      </c>
      <c r="C5160" t="s">
        <v>29</v>
      </c>
      <c r="D5160" t="s">
        <v>188</v>
      </c>
      <c r="E5160" t="s">
        <v>21</v>
      </c>
      <c r="F5160" s="1">
        <v>45597</v>
      </c>
      <c r="G5160">
        <v>1.33</v>
      </c>
      <c r="H5160">
        <v>84.542100000000005</v>
      </c>
      <c r="I5160">
        <v>24.14</v>
      </c>
      <c r="J5160">
        <v>84.36</v>
      </c>
      <c r="K5160" t="s">
        <v>23</v>
      </c>
      <c r="L5160">
        <v>1622.54</v>
      </c>
      <c r="M5160">
        <f>VLOOKUP(K5160,RatingLookup!$A$2:$C$8,2,FALSE)</f>
        <v>1E-3</v>
      </c>
      <c r="N5160">
        <f t="shared" si="240"/>
        <v>8.3371552197619714E-5</v>
      </c>
      <c r="O5160">
        <f>VLOOKUP(K5160,RatingLookup!$A$2:$C$8,3,FALSE)</f>
        <v>0.3</v>
      </c>
      <c r="P5160">
        <f t="shared" si="241"/>
        <v>4.0582103490817763E-2</v>
      </c>
      <c r="Q5160" t="str">
        <f t="shared" ca="1" si="242"/>
        <v>No</v>
      </c>
    </row>
    <row r="5161" spans="1:17" x14ac:dyDescent="0.45">
      <c r="A5161" t="s">
        <v>207</v>
      </c>
      <c r="B5161" t="s">
        <v>208</v>
      </c>
      <c r="C5161" t="s">
        <v>29</v>
      </c>
      <c r="D5161" t="s">
        <v>188</v>
      </c>
      <c r="E5161" t="s">
        <v>21</v>
      </c>
      <c r="F5161" s="1">
        <v>45627</v>
      </c>
      <c r="G5161">
        <v>1.79</v>
      </c>
      <c r="H5161">
        <v>87.141099999999994</v>
      </c>
      <c r="I5161">
        <v>17.8</v>
      </c>
      <c r="J5161">
        <v>85.1</v>
      </c>
      <c r="K5161" t="s">
        <v>22</v>
      </c>
      <c r="L5161">
        <v>1610.89</v>
      </c>
      <c r="M5161">
        <f>VLOOKUP(K5161,RatingLookup!$A$2:$C$8,2,FALSE)</f>
        <v>5.0000000000000001E-3</v>
      </c>
      <c r="N5161">
        <f t="shared" si="240"/>
        <v>4.1762458919303302E-4</v>
      </c>
      <c r="O5161">
        <f>VLOOKUP(K5161,RatingLookup!$A$2:$C$8,3,FALSE)</f>
        <v>0.45</v>
      </c>
      <c r="P5161">
        <f t="shared" si="241"/>
        <v>0.30273627351832427</v>
      </c>
      <c r="Q5161" t="str">
        <f t="shared" ca="1" si="242"/>
        <v>No</v>
      </c>
    </row>
    <row r="5162" spans="1:17" x14ac:dyDescent="0.45">
      <c r="A5162" t="s">
        <v>209</v>
      </c>
      <c r="B5162" t="s">
        <v>210</v>
      </c>
      <c r="C5162" t="s">
        <v>43</v>
      </c>
      <c r="D5162" t="s">
        <v>188</v>
      </c>
      <c r="E5162" t="s">
        <v>21</v>
      </c>
      <c r="F5162" s="1">
        <v>43831</v>
      </c>
      <c r="G5162">
        <v>1.27</v>
      </c>
      <c r="H5162">
        <v>81.788399999999996</v>
      </c>
      <c r="I5162">
        <v>21.85</v>
      </c>
      <c r="J5162">
        <v>57.1</v>
      </c>
      <c r="K5162" t="s">
        <v>31</v>
      </c>
      <c r="L5162">
        <v>595.45000000000005</v>
      </c>
      <c r="M5162">
        <f>VLOOKUP(K5162,RatingLookup!$A$2:$C$8,2,FALSE)</f>
        <v>0.04</v>
      </c>
      <c r="N5162">
        <f t="shared" si="240"/>
        <v>3.3960531989175591E-3</v>
      </c>
      <c r="O5162">
        <f>VLOOKUP(K5162,RatingLookup!$A$2:$C$8,3,FALSE)</f>
        <v>0.6</v>
      </c>
      <c r="P5162">
        <f t="shared" si="241"/>
        <v>1.2133079263772764</v>
      </c>
      <c r="Q5162" t="str">
        <f t="shared" ca="1" si="242"/>
        <v>No</v>
      </c>
    </row>
    <row r="5163" spans="1:17" x14ac:dyDescent="0.45">
      <c r="A5163" t="s">
        <v>209</v>
      </c>
      <c r="B5163" t="s">
        <v>210</v>
      </c>
      <c r="C5163" t="s">
        <v>43</v>
      </c>
      <c r="D5163" t="s">
        <v>188</v>
      </c>
      <c r="E5163" t="s">
        <v>21</v>
      </c>
      <c r="F5163" s="1">
        <v>43862</v>
      </c>
      <c r="G5163">
        <v>0.41</v>
      </c>
      <c r="H5163">
        <v>83.327699999999993</v>
      </c>
      <c r="I5163">
        <v>16.149999999999999</v>
      </c>
      <c r="J5163">
        <v>60.23</v>
      </c>
      <c r="K5163" t="s">
        <v>31</v>
      </c>
      <c r="L5163">
        <v>685.19</v>
      </c>
      <c r="M5163">
        <f>VLOOKUP(K5163,RatingLookup!$A$2:$C$8,2,FALSE)</f>
        <v>0.04</v>
      </c>
      <c r="N5163">
        <f t="shared" si="240"/>
        <v>3.3960531989175591E-3</v>
      </c>
      <c r="O5163">
        <f>VLOOKUP(K5163,RatingLookup!$A$2:$C$8,3,FALSE)</f>
        <v>0.6</v>
      </c>
      <c r="P5163">
        <f t="shared" si="241"/>
        <v>1.3961650148197935</v>
      </c>
      <c r="Q5163" t="str">
        <f t="shared" ca="1" si="242"/>
        <v>No</v>
      </c>
    </row>
    <row r="5164" spans="1:17" x14ac:dyDescent="0.45">
      <c r="A5164" t="s">
        <v>209</v>
      </c>
      <c r="B5164" t="s">
        <v>210</v>
      </c>
      <c r="C5164" t="s">
        <v>43</v>
      </c>
      <c r="D5164" t="s">
        <v>188</v>
      </c>
      <c r="E5164" t="s">
        <v>21</v>
      </c>
      <c r="F5164" s="1">
        <v>43891</v>
      </c>
      <c r="G5164">
        <v>1.53</v>
      </c>
      <c r="H5164">
        <v>84.916600000000003</v>
      </c>
      <c r="I5164">
        <v>18.739999999999998</v>
      </c>
      <c r="J5164">
        <v>91.45</v>
      </c>
      <c r="K5164" t="s">
        <v>31</v>
      </c>
      <c r="L5164">
        <v>671.51</v>
      </c>
      <c r="M5164">
        <f>VLOOKUP(K5164,RatingLookup!$A$2:$C$8,2,FALSE)</f>
        <v>0.04</v>
      </c>
      <c r="N5164">
        <f t="shared" si="240"/>
        <v>3.3960531989175591E-3</v>
      </c>
      <c r="O5164">
        <f>VLOOKUP(K5164,RatingLookup!$A$2:$C$8,3,FALSE)</f>
        <v>0.6</v>
      </c>
      <c r="P5164">
        <f t="shared" si="241"/>
        <v>1.3682902101630781</v>
      </c>
      <c r="Q5164" t="str">
        <f t="shared" ca="1" si="242"/>
        <v>No</v>
      </c>
    </row>
    <row r="5165" spans="1:17" x14ac:dyDescent="0.45">
      <c r="A5165" t="s">
        <v>209</v>
      </c>
      <c r="B5165" t="s">
        <v>210</v>
      </c>
      <c r="C5165" t="s">
        <v>43</v>
      </c>
      <c r="D5165" t="s">
        <v>188</v>
      </c>
      <c r="E5165" t="s">
        <v>21</v>
      </c>
      <c r="F5165" s="1">
        <v>43922</v>
      </c>
      <c r="G5165">
        <v>0.73</v>
      </c>
      <c r="H5165">
        <v>76.618700000000004</v>
      </c>
      <c r="I5165">
        <v>23.92</v>
      </c>
      <c r="J5165">
        <v>80.53</v>
      </c>
      <c r="K5165" t="s">
        <v>31</v>
      </c>
      <c r="L5165">
        <v>699.23</v>
      </c>
      <c r="M5165">
        <f>VLOOKUP(K5165,RatingLookup!$A$2:$C$8,2,FALSE)</f>
        <v>0.04</v>
      </c>
      <c r="N5165">
        <f t="shared" si="240"/>
        <v>3.3960531989175591E-3</v>
      </c>
      <c r="O5165">
        <f>VLOOKUP(K5165,RatingLookup!$A$2:$C$8,3,FALSE)</f>
        <v>0.6</v>
      </c>
      <c r="P5165">
        <f t="shared" si="241"/>
        <v>1.4247733669674749</v>
      </c>
      <c r="Q5165" t="str">
        <f t="shared" ca="1" si="242"/>
        <v>No</v>
      </c>
    </row>
    <row r="5166" spans="1:17" x14ac:dyDescent="0.45">
      <c r="A5166" t="s">
        <v>209</v>
      </c>
      <c r="B5166" t="s">
        <v>210</v>
      </c>
      <c r="C5166" t="s">
        <v>43</v>
      </c>
      <c r="D5166" t="s">
        <v>188</v>
      </c>
      <c r="E5166" t="s">
        <v>21</v>
      </c>
      <c r="F5166" s="1">
        <v>43952</v>
      </c>
      <c r="G5166">
        <v>0.96</v>
      </c>
      <c r="H5166">
        <v>86.028400000000005</v>
      </c>
      <c r="I5166">
        <v>27.13</v>
      </c>
      <c r="J5166">
        <v>63.21</v>
      </c>
      <c r="K5166" t="s">
        <v>31</v>
      </c>
      <c r="L5166">
        <v>662.37</v>
      </c>
      <c r="M5166">
        <f>VLOOKUP(K5166,RatingLookup!$A$2:$C$8,2,FALSE)</f>
        <v>0.04</v>
      </c>
      <c r="N5166">
        <f t="shared" si="240"/>
        <v>3.3960531989175591E-3</v>
      </c>
      <c r="O5166">
        <f>VLOOKUP(K5166,RatingLookup!$A$2:$C$8,3,FALSE)</f>
        <v>0.6</v>
      </c>
      <c r="P5166">
        <f t="shared" si="241"/>
        <v>1.349666254420214</v>
      </c>
      <c r="Q5166" t="str">
        <f t="shared" ca="1" si="242"/>
        <v>No</v>
      </c>
    </row>
    <row r="5167" spans="1:17" x14ac:dyDescent="0.45">
      <c r="A5167" t="s">
        <v>209</v>
      </c>
      <c r="B5167" t="s">
        <v>210</v>
      </c>
      <c r="C5167" t="s">
        <v>43</v>
      </c>
      <c r="D5167" t="s">
        <v>188</v>
      </c>
      <c r="E5167" t="s">
        <v>21</v>
      </c>
      <c r="F5167" s="1">
        <v>43983</v>
      </c>
      <c r="G5167">
        <v>1.93</v>
      </c>
      <c r="H5167">
        <v>76.129000000000005</v>
      </c>
      <c r="I5167">
        <v>6.86</v>
      </c>
      <c r="J5167">
        <v>77.400000000000006</v>
      </c>
      <c r="K5167" t="s">
        <v>31</v>
      </c>
      <c r="L5167">
        <v>611.29</v>
      </c>
      <c r="M5167">
        <f>VLOOKUP(K5167,RatingLookup!$A$2:$C$8,2,FALSE)</f>
        <v>0.04</v>
      </c>
      <c r="N5167">
        <f t="shared" si="240"/>
        <v>3.3960531989175591E-3</v>
      </c>
      <c r="O5167">
        <f>VLOOKUP(K5167,RatingLookup!$A$2:$C$8,3,FALSE)</f>
        <v>0.6</v>
      </c>
      <c r="P5167">
        <f t="shared" si="241"/>
        <v>1.2455840159797886</v>
      </c>
      <c r="Q5167" t="str">
        <f t="shared" ca="1" si="242"/>
        <v>No</v>
      </c>
    </row>
    <row r="5168" spans="1:17" x14ac:dyDescent="0.45">
      <c r="A5168" t="s">
        <v>209</v>
      </c>
      <c r="B5168" t="s">
        <v>210</v>
      </c>
      <c r="C5168" t="s">
        <v>43</v>
      </c>
      <c r="D5168" t="s">
        <v>188</v>
      </c>
      <c r="E5168" t="s">
        <v>21</v>
      </c>
      <c r="F5168" s="1">
        <v>44013</v>
      </c>
      <c r="G5168">
        <v>1.92</v>
      </c>
      <c r="H5168">
        <v>82.257499999999993</v>
      </c>
      <c r="I5168">
        <v>29.5</v>
      </c>
      <c r="J5168">
        <v>68.099999999999994</v>
      </c>
      <c r="K5168" t="s">
        <v>31</v>
      </c>
      <c r="L5168">
        <v>703.27</v>
      </c>
      <c r="M5168">
        <f>VLOOKUP(K5168,RatingLookup!$A$2:$C$8,2,FALSE)</f>
        <v>0.04</v>
      </c>
      <c r="N5168">
        <f t="shared" si="240"/>
        <v>3.3960531989175591E-3</v>
      </c>
      <c r="O5168">
        <f>VLOOKUP(K5168,RatingLookup!$A$2:$C$8,3,FALSE)</f>
        <v>0.6</v>
      </c>
      <c r="P5168">
        <f t="shared" si="241"/>
        <v>1.433005399921651</v>
      </c>
      <c r="Q5168" t="str">
        <f t="shared" ca="1" si="242"/>
        <v>No</v>
      </c>
    </row>
    <row r="5169" spans="1:17" x14ac:dyDescent="0.45">
      <c r="A5169" t="s">
        <v>209</v>
      </c>
      <c r="B5169" t="s">
        <v>210</v>
      </c>
      <c r="C5169" t="s">
        <v>43</v>
      </c>
      <c r="D5169" t="s">
        <v>188</v>
      </c>
      <c r="E5169" t="s">
        <v>21</v>
      </c>
      <c r="F5169" s="1">
        <v>44044</v>
      </c>
      <c r="G5169">
        <v>2.0099999999999998</v>
      </c>
      <c r="H5169">
        <v>85.034599999999998</v>
      </c>
      <c r="I5169">
        <v>19.329999999999998</v>
      </c>
      <c r="J5169">
        <v>74.790000000000006</v>
      </c>
      <c r="K5169" t="s">
        <v>31</v>
      </c>
      <c r="L5169">
        <v>707.43</v>
      </c>
      <c r="M5169">
        <f>VLOOKUP(K5169,RatingLookup!$A$2:$C$8,2,FALSE)</f>
        <v>0.04</v>
      </c>
      <c r="N5169">
        <f t="shared" si="240"/>
        <v>3.3960531989175591E-3</v>
      </c>
      <c r="O5169">
        <f>VLOOKUP(K5169,RatingLookup!$A$2:$C$8,3,FALSE)</f>
        <v>0.6</v>
      </c>
      <c r="P5169">
        <f t="shared" si="241"/>
        <v>1.4414819487061492</v>
      </c>
      <c r="Q5169" t="str">
        <f t="shared" ca="1" si="242"/>
        <v>No</v>
      </c>
    </row>
    <row r="5170" spans="1:17" x14ac:dyDescent="0.45">
      <c r="A5170" t="s">
        <v>209</v>
      </c>
      <c r="B5170" t="s">
        <v>210</v>
      </c>
      <c r="C5170" t="s">
        <v>43</v>
      </c>
      <c r="D5170" t="s">
        <v>188</v>
      </c>
      <c r="E5170" t="s">
        <v>21</v>
      </c>
      <c r="F5170" s="1">
        <v>44075</v>
      </c>
      <c r="G5170">
        <v>1.19</v>
      </c>
      <c r="H5170">
        <v>83.326800000000006</v>
      </c>
      <c r="I5170">
        <v>19.77</v>
      </c>
      <c r="J5170">
        <v>83.39</v>
      </c>
      <c r="K5170" t="s">
        <v>31</v>
      </c>
      <c r="L5170">
        <v>674.44</v>
      </c>
      <c r="M5170">
        <f>VLOOKUP(K5170,RatingLookup!$A$2:$C$8,2,FALSE)</f>
        <v>0.04</v>
      </c>
      <c r="N5170">
        <f t="shared" si="240"/>
        <v>3.3960531989175591E-3</v>
      </c>
      <c r="O5170">
        <f>VLOOKUP(K5170,RatingLookup!$A$2:$C$8,3,FALSE)</f>
        <v>0.6</v>
      </c>
      <c r="P5170">
        <f t="shared" si="241"/>
        <v>1.3742604716867752</v>
      </c>
      <c r="Q5170" t="str">
        <f t="shared" ca="1" si="242"/>
        <v>No</v>
      </c>
    </row>
    <row r="5171" spans="1:17" x14ac:dyDescent="0.45">
      <c r="A5171" t="s">
        <v>209</v>
      </c>
      <c r="B5171" t="s">
        <v>210</v>
      </c>
      <c r="C5171" t="s">
        <v>43</v>
      </c>
      <c r="D5171" t="s">
        <v>188</v>
      </c>
      <c r="E5171" t="s">
        <v>21</v>
      </c>
      <c r="F5171" s="1">
        <v>44105</v>
      </c>
      <c r="G5171">
        <v>2.4500000000000002</v>
      </c>
      <c r="H5171">
        <v>84.558199999999999</v>
      </c>
      <c r="I5171">
        <v>19.93</v>
      </c>
      <c r="J5171">
        <v>74.52</v>
      </c>
      <c r="K5171" t="s">
        <v>31</v>
      </c>
      <c r="L5171">
        <v>658.7</v>
      </c>
      <c r="M5171">
        <f>VLOOKUP(K5171,RatingLookup!$A$2:$C$8,2,FALSE)</f>
        <v>0.04</v>
      </c>
      <c r="N5171">
        <f t="shared" si="240"/>
        <v>3.3960531989175591E-3</v>
      </c>
      <c r="O5171">
        <f>VLOOKUP(K5171,RatingLookup!$A$2:$C$8,3,FALSE)</f>
        <v>0.6</v>
      </c>
      <c r="P5171">
        <f t="shared" si="241"/>
        <v>1.3421881452761977</v>
      </c>
      <c r="Q5171" t="str">
        <f t="shared" ca="1" si="242"/>
        <v>No</v>
      </c>
    </row>
    <row r="5172" spans="1:17" x14ac:dyDescent="0.45">
      <c r="A5172" t="s">
        <v>209</v>
      </c>
      <c r="B5172" t="s">
        <v>210</v>
      </c>
      <c r="C5172" t="s">
        <v>43</v>
      </c>
      <c r="D5172" t="s">
        <v>188</v>
      </c>
      <c r="E5172" t="s">
        <v>21</v>
      </c>
      <c r="F5172" s="1">
        <v>44136</v>
      </c>
      <c r="G5172">
        <v>2.2999999999999998</v>
      </c>
      <c r="H5172">
        <v>81.206299999999999</v>
      </c>
      <c r="I5172">
        <v>6.81</v>
      </c>
      <c r="J5172">
        <v>62.86</v>
      </c>
      <c r="K5172" t="s">
        <v>31</v>
      </c>
      <c r="L5172">
        <v>635.54999999999995</v>
      </c>
      <c r="M5172">
        <f>VLOOKUP(K5172,RatingLookup!$A$2:$C$8,2,FALSE)</f>
        <v>0.04</v>
      </c>
      <c r="N5172">
        <f t="shared" si="240"/>
        <v>3.3960531989175591E-3</v>
      </c>
      <c r="O5172">
        <f>VLOOKUP(K5172,RatingLookup!$A$2:$C$8,3,FALSE)</f>
        <v>0.6</v>
      </c>
      <c r="P5172">
        <f t="shared" si="241"/>
        <v>1.2950169663432327</v>
      </c>
      <c r="Q5172" t="str">
        <f t="shared" ca="1" si="242"/>
        <v>No</v>
      </c>
    </row>
    <row r="5173" spans="1:17" x14ac:dyDescent="0.45">
      <c r="A5173" t="s">
        <v>209</v>
      </c>
      <c r="B5173" t="s">
        <v>210</v>
      </c>
      <c r="C5173" t="s">
        <v>43</v>
      </c>
      <c r="D5173" t="s">
        <v>188</v>
      </c>
      <c r="E5173" t="s">
        <v>21</v>
      </c>
      <c r="F5173" s="1">
        <v>44166</v>
      </c>
      <c r="G5173">
        <v>1.7</v>
      </c>
      <c r="H5173">
        <v>80.404300000000006</v>
      </c>
      <c r="I5173">
        <v>29.82</v>
      </c>
      <c r="J5173">
        <v>102.47</v>
      </c>
      <c r="K5173" t="s">
        <v>31</v>
      </c>
      <c r="L5173">
        <v>662.26</v>
      </c>
      <c r="M5173">
        <f>VLOOKUP(K5173,RatingLookup!$A$2:$C$8,2,FALSE)</f>
        <v>0.04</v>
      </c>
      <c r="N5173">
        <f t="shared" si="240"/>
        <v>3.3960531989175591E-3</v>
      </c>
      <c r="O5173">
        <f>VLOOKUP(K5173,RatingLookup!$A$2:$C$8,3,FALSE)</f>
        <v>0.6</v>
      </c>
      <c r="P5173">
        <f t="shared" si="241"/>
        <v>1.3494421149090854</v>
      </c>
      <c r="Q5173" t="str">
        <f t="shared" ca="1" si="242"/>
        <v>No</v>
      </c>
    </row>
    <row r="5174" spans="1:17" x14ac:dyDescent="0.45">
      <c r="A5174" t="s">
        <v>209</v>
      </c>
      <c r="B5174" t="s">
        <v>210</v>
      </c>
      <c r="C5174" t="s">
        <v>43</v>
      </c>
      <c r="D5174" t="s">
        <v>188</v>
      </c>
      <c r="E5174" t="s">
        <v>21</v>
      </c>
      <c r="F5174" s="1">
        <v>44197</v>
      </c>
      <c r="G5174">
        <v>0.42</v>
      </c>
      <c r="H5174">
        <v>85.693899999999999</v>
      </c>
      <c r="I5174">
        <v>19.43</v>
      </c>
      <c r="J5174">
        <v>60.72</v>
      </c>
      <c r="K5174" t="s">
        <v>31</v>
      </c>
      <c r="L5174">
        <v>626.15</v>
      </c>
      <c r="M5174">
        <f>VLOOKUP(K5174,RatingLookup!$A$2:$C$8,2,FALSE)</f>
        <v>0.04</v>
      </c>
      <c r="N5174">
        <f t="shared" si="240"/>
        <v>3.3960531989175591E-3</v>
      </c>
      <c r="O5174">
        <f>VLOOKUP(K5174,RatingLookup!$A$2:$C$8,3,FALSE)</f>
        <v>0.6</v>
      </c>
      <c r="P5174">
        <f t="shared" si="241"/>
        <v>1.2758632263013376</v>
      </c>
      <c r="Q5174" t="str">
        <f t="shared" ca="1" si="242"/>
        <v>No</v>
      </c>
    </row>
    <row r="5175" spans="1:17" x14ac:dyDescent="0.45">
      <c r="A5175" t="s">
        <v>209</v>
      </c>
      <c r="B5175" t="s">
        <v>210</v>
      </c>
      <c r="C5175" t="s">
        <v>43</v>
      </c>
      <c r="D5175" t="s">
        <v>188</v>
      </c>
      <c r="E5175" t="s">
        <v>21</v>
      </c>
      <c r="F5175" s="1">
        <v>44228</v>
      </c>
      <c r="G5175">
        <v>1.37</v>
      </c>
      <c r="H5175">
        <v>80.537800000000004</v>
      </c>
      <c r="I5175">
        <v>19.34</v>
      </c>
      <c r="J5175">
        <v>97.71</v>
      </c>
      <c r="K5175" t="s">
        <v>31</v>
      </c>
      <c r="L5175">
        <v>636.9</v>
      </c>
      <c r="M5175">
        <f>VLOOKUP(K5175,RatingLookup!$A$2:$C$8,2,FALSE)</f>
        <v>0.04</v>
      </c>
      <c r="N5175">
        <f t="shared" si="240"/>
        <v>3.3960531989175591E-3</v>
      </c>
      <c r="O5175">
        <f>VLOOKUP(K5175,RatingLookup!$A$2:$C$8,3,FALSE)</f>
        <v>0.6</v>
      </c>
      <c r="P5175">
        <f t="shared" si="241"/>
        <v>1.2977677694343559</v>
      </c>
      <c r="Q5175" t="str">
        <f t="shared" ca="1" si="242"/>
        <v>No</v>
      </c>
    </row>
    <row r="5176" spans="1:17" x14ac:dyDescent="0.45">
      <c r="A5176" t="s">
        <v>209</v>
      </c>
      <c r="B5176" t="s">
        <v>210</v>
      </c>
      <c r="C5176" t="s">
        <v>43</v>
      </c>
      <c r="D5176" t="s">
        <v>188</v>
      </c>
      <c r="E5176" t="s">
        <v>21</v>
      </c>
      <c r="F5176" s="1">
        <v>44256</v>
      </c>
      <c r="G5176">
        <v>1.23</v>
      </c>
      <c r="H5176">
        <v>82.729799999999997</v>
      </c>
      <c r="I5176">
        <v>16.3</v>
      </c>
      <c r="J5176">
        <v>72.95</v>
      </c>
      <c r="K5176" t="s">
        <v>31</v>
      </c>
      <c r="L5176">
        <v>675.75</v>
      </c>
      <c r="M5176">
        <f>VLOOKUP(K5176,RatingLookup!$A$2:$C$8,2,FALSE)</f>
        <v>0.04</v>
      </c>
      <c r="N5176">
        <f t="shared" si="240"/>
        <v>3.3960531989175591E-3</v>
      </c>
      <c r="O5176">
        <f>VLOOKUP(K5176,RatingLookup!$A$2:$C$8,3,FALSE)</f>
        <v>0.6</v>
      </c>
      <c r="P5176">
        <f t="shared" si="241"/>
        <v>1.3769297695011242</v>
      </c>
      <c r="Q5176" t="str">
        <f t="shared" ca="1" si="242"/>
        <v>No</v>
      </c>
    </row>
    <row r="5177" spans="1:17" x14ac:dyDescent="0.45">
      <c r="A5177" t="s">
        <v>209</v>
      </c>
      <c r="B5177" t="s">
        <v>210</v>
      </c>
      <c r="C5177" t="s">
        <v>43</v>
      </c>
      <c r="D5177" t="s">
        <v>188</v>
      </c>
      <c r="E5177" t="s">
        <v>21</v>
      </c>
      <c r="F5177" s="1">
        <v>44287</v>
      </c>
      <c r="G5177">
        <v>1.2</v>
      </c>
      <c r="H5177">
        <v>78.727400000000003</v>
      </c>
      <c r="I5177">
        <v>16.22</v>
      </c>
      <c r="J5177">
        <v>59.86</v>
      </c>
      <c r="K5177" t="s">
        <v>31</v>
      </c>
      <c r="L5177">
        <v>627.82000000000005</v>
      </c>
      <c r="M5177">
        <f>VLOOKUP(K5177,RatingLookup!$A$2:$C$8,2,FALSE)</f>
        <v>0.04</v>
      </c>
      <c r="N5177">
        <f t="shared" si="240"/>
        <v>3.3960531989175591E-3</v>
      </c>
      <c r="O5177">
        <f>VLOOKUP(K5177,RatingLookup!$A$2:$C$8,3,FALSE)</f>
        <v>0.6</v>
      </c>
      <c r="P5177">
        <f t="shared" si="241"/>
        <v>1.2792660716066533</v>
      </c>
      <c r="Q5177" t="str">
        <f t="shared" ca="1" si="242"/>
        <v>No</v>
      </c>
    </row>
    <row r="5178" spans="1:17" x14ac:dyDescent="0.45">
      <c r="A5178" t="s">
        <v>209</v>
      </c>
      <c r="B5178" t="s">
        <v>210</v>
      </c>
      <c r="C5178" t="s">
        <v>43</v>
      </c>
      <c r="D5178" t="s">
        <v>188</v>
      </c>
      <c r="E5178" t="s">
        <v>21</v>
      </c>
      <c r="F5178" s="1">
        <v>44317</v>
      </c>
      <c r="G5178">
        <v>1.27</v>
      </c>
      <c r="H5178">
        <v>83.022099999999995</v>
      </c>
      <c r="I5178">
        <v>11.61</v>
      </c>
      <c r="J5178">
        <v>80.5</v>
      </c>
      <c r="K5178" t="s">
        <v>31</v>
      </c>
      <c r="L5178">
        <v>627.27</v>
      </c>
      <c r="M5178">
        <f>VLOOKUP(K5178,RatingLookup!$A$2:$C$8,2,FALSE)</f>
        <v>0.04</v>
      </c>
      <c r="N5178">
        <f t="shared" si="240"/>
        <v>3.3960531989175591E-3</v>
      </c>
      <c r="O5178">
        <f>VLOOKUP(K5178,RatingLookup!$A$2:$C$8,3,FALSE)</f>
        <v>0.6</v>
      </c>
      <c r="P5178">
        <f t="shared" si="241"/>
        <v>1.2781453740510103</v>
      </c>
      <c r="Q5178" t="str">
        <f t="shared" ca="1" si="242"/>
        <v>No</v>
      </c>
    </row>
    <row r="5179" spans="1:17" x14ac:dyDescent="0.45">
      <c r="A5179" t="s">
        <v>209</v>
      </c>
      <c r="B5179" t="s">
        <v>210</v>
      </c>
      <c r="C5179" t="s">
        <v>43</v>
      </c>
      <c r="D5179" t="s">
        <v>188</v>
      </c>
      <c r="E5179" t="s">
        <v>21</v>
      </c>
      <c r="F5179" s="1">
        <v>44348</v>
      </c>
      <c r="G5179">
        <v>1.95</v>
      </c>
      <c r="H5179">
        <v>79.063999999999993</v>
      </c>
      <c r="I5179">
        <v>20.12</v>
      </c>
      <c r="J5179">
        <v>74.78</v>
      </c>
      <c r="K5179" t="s">
        <v>31</v>
      </c>
      <c r="L5179">
        <v>691.82</v>
      </c>
      <c r="M5179">
        <f>VLOOKUP(K5179,RatingLookup!$A$2:$C$8,2,FALSE)</f>
        <v>0.04</v>
      </c>
      <c r="N5179">
        <f t="shared" si="240"/>
        <v>3.3960531989175591E-3</v>
      </c>
      <c r="O5179">
        <f>VLOOKUP(K5179,RatingLookup!$A$2:$C$8,3,FALSE)</f>
        <v>0.6</v>
      </c>
      <c r="P5179">
        <f t="shared" si="241"/>
        <v>1.4096745144450875</v>
      </c>
      <c r="Q5179" t="str">
        <f t="shared" ca="1" si="242"/>
        <v>No</v>
      </c>
    </row>
    <row r="5180" spans="1:17" x14ac:dyDescent="0.45">
      <c r="A5180" t="s">
        <v>209</v>
      </c>
      <c r="B5180" t="s">
        <v>210</v>
      </c>
      <c r="C5180" t="s">
        <v>43</v>
      </c>
      <c r="D5180" t="s">
        <v>188</v>
      </c>
      <c r="E5180" t="s">
        <v>21</v>
      </c>
      <c r="F5180" s="1">
        <v>44378</v>
      </c>
      <c r="G5180">
        <v>0.09</v>
      </c>
      <c r="H5180">
        <v>84.576300000000003</v>
      </c>
      <c r="I5180">
        <v>15.17</v>
      </c>
      <c r="J5180">
        <v>73.3</v>
      </c>
      <c r="K5180" t="s">
        <v>31</v>
      </c>
      <c r="L5180">
        <v>682.26</v>
      </c>
      <c r="M5180">
        <f>VLOOKUP(K5180,RatingLookup!$A$2:$C$8,2,FALSE)</f>
        <v>0.04</v>
      </c>
      <c r="N5180">
        <f t="shared" si="240"/>
        <v>3.3960531989175591E-3</v>
      </c>
      <c r="O5180">
        <f>VLOOKUP(K5180,RatingLookup!$A$2:$C$8,3,FALSE)</f>
        <v>0.6</v>
      </c>
      <c r="P5180">
        <f t="shared" si="241"/>
        <v>1.3901947532960961</v>
      </c>
      <c r="Q5180" t="str">
        <f t="shared" ca="1" si="242"/>
        <v>No</v>
      </c>
    </row>
    <row r="5181" spans="1:17" x14ac:dyDescent="0.45">
      <c r="A5181" t="s">
        <v>209</v>
      </c>
      <c r="B5181" t="s">
        <v>210</v>
      </c>
      <c r="C5181" t="s">
        <v>43</v>
      </c>
      <c r="D5181" t="s">
        <v>188</v>
      </c>
      <c r="E5181" t="s">
        <v>21</v>
      </c>
      <c r="F5181" s="1">
        <v>44409</v>
      </c>
      <c r="G5181">
        <v>1.71</v>
      </c>
      <c r="H5181">
        <v>81.959299999999999</v>
      </c>
      <c r="I5181">
        <v>22.49</v>
      </c>
      <c r="J5181">
        <v>77.95</v>
      </c>
      <c r="K5181" t="s">
        <v>31</v>
      </c>
      <c r="L5181">
        <v>659.94</v>
      </c>
      <c r="M5181">
        <f>VLOOKUP(K5181,RatingLookup!$A$2:$C$8,2,FALSE)</f>
        <v>0.04</v>
      </c>
      <c r="N5181">
        <f t="shared" si="240"/>
        <v>3.3960531989175591E-3</v>
      </c>
      <c r="O5181">
        <f>VLOOKUP(K5181,RatingLookup!$A$2:$C$8,3,FALSE)</f>
        <v>0.6</v>
      </c>
      <c r="P5181">
        <f t="shared" si="241"/>
        <v>1.3447148088561924</v>
      </c>
      <c r="Q5181" t="str">
        <f t="shared" ca="1" si="242"/>
        <v>No</v>
      </c>
    </row>
    <row r="5182" spans="1:17" x14ac:dyDescent="0.45">
      <c r="A5182" t="s">
        <v>209</v>
      </c>
      <c r="B5182" t="s">
        <v>210</v>
      </c>
      <c r="C5182" t="s">
        <v>43</v>
      </c>
      <c r="D5182" t="s">
        <v>188</v>
      </c>
      <c r="E5182" t="s">
        <v>21</v>
      </c>
      <c r="F5182" s="1">
        <v>44440</v>
      </c>
      <c r="G5182">
        <v>0.73</v>
      </c>
      <c r="H5182">
        <v>81.315299999999993</v>
      </c>
      <c r="I5182">
        <v>17.87</v>
      </c>
      <c r="J5182">
        <v>78.209999999999994</v>
      </c>
      <c r="K5182" t="s">
        <v>31</v>
      </c>
      <c r="L5182">
        <v>602.16999999999996</v>
      </c>
      <c r="M5182">
        <f>VLOOKUP(K5182,RatingLookup!$A$2:$C$8,2,FALSE)</f>
        <v>0.04</v>
      </c>
      <c r="N5182">
        <f t="shared" si="240"/>
        <v>3.3960531989175591E-3</v>
      </c>
      <c r="O5182">
        <f>VLOOKUP(K5182,RatingLookup!$A$2:$C$8,3,FALSE)</f>
        <v>0.6</v>
      </c>
      <c r="P5182">
        <f t="shared" si="241"/>
        <v>1.2270008128753118</v>
      </c>
      <c r="Q5182" t="str">
        <f t="shared" ca="1" si="242"/>
        <v>No</v>
      </c>
    </row>
    <row r="5183" spans="1:17" x14ac:dyDescent="0.45">
      <c r="A5183" t="s">
        <v>209</v>
      </c>
      <c r="B5183" t="s">
        <v>210</v>
      </c>
      <c r="C5183" t="s">
        <v>43</v>
      </c>
      <c r="D5183" t="s">
        <v>188</v>
      </c>
      <c r="E5183" t="s">
        <v>21</v>
      </c>
      <c r="F5183" s="1">
        <v>44470</v>
      </c>
      <c r="G5183">
        <v>1.05</v>
      </c>
      <c r="H5183">
        <v>78.132199999999997</v>
      </c>
      <c r="I5183">
        <v>16.23</v>
      </c>
      <c r="J5183">
        <v>64.97</v>
      </c>
      <c r="K5183" t="s">
        <v>31</v>
      </c>
      <c r="L5183">
        <v>661.31</v>
      </c>
      <c r="M5183">
        <f>VLOOKUP(K5183,RatingLookup!$A$2:$C$8,2,FALSE)</f>
        <v>0.04</v>
      </c>
      <c r="N5183">
        <f t="shared" si="240"/>
        <v>3.3960531989175591E-3</v>
      </c>
      <c r="O5183">
        <f>VLOOKUP(K5183,RatingLookup!$A$2:$C$8,3,FALSE)</f>
        <v>0.6</v>
      </c>
      <c r="P5183">
        <f t="shared" si="241"/>
        <v>1.3475063645857026</v>
      </c>
      <c r="Q5183" t="str">
        <f t="shared" ca="1" si="242"/>
        <v>No</v>
      </c>
    </row>
    <row r="5184" spans="1:17" x14ac:dyDescent="0.45">
      <c r="A5184" t="s">
        <v>209</v>
      </c>
      <c r="B5184" t="s">
        <v>210</v>
      </c>
      <c r="C5184" t="s">
        <v>43</v>
      </c>
      <c r="D5184" t="s">
        <v>188</v>
      </c>
      <c r="E5184" t="s">
        <v>21</v>
      </c>
      <c r="F5184" s="1">
        <v>44501</v>
      </c>
      <c r="G5184">
        <v>1.63</v>
      </c>
      <c r="H5184">
        <v>79.755899999999997</v>
      </c>
      <c r="I5184">
        <v>5</v>
      </c>
      <c r="J5184">
        <v>88.63</v>
      </c>
      <c r="K5184" t="s">
        <v>31</v>
      </c>
      <c r="L5184">
        <v>627.87</v>
      </c>
      <c r="M5184">
        <f>VLOOKUP(K5184,RatingLookup!$A$2:$C$8,2,FALSE)</f>
        <v>0.04</v>
      </c>
      <c r="N5184">
        <f t="shared" si="240"/>
        <v>3.3960531989175591E-3</v>
      </c>
      <c r="O5184">
        <f>VLOOKUP(K5184,RatingLookup!$A$2:$C$8,3,FALSE)</f>
        <v>0.6</v>
      </c>
      <c r="P5184">
        <f t="shared" si="241"/>
        <v>1.2793679532026208</v>
      </c>
      <c r="Q5184" t="str">
        <f t="shared" ca="1" si="242"/>
        <v>No</v>
      </c>
    </row>
    <row r="5185" spans="1:17" x14ac:dyDescent="0.45">
      <c r="A5185" t="s">
        <v>209</v>
      </c>
      <c r="B5185" t="s">
        <v>210</v>
      </c>
      <c r="C5185" t="s">
        <v>43</v>
      </c>
      <c r="D5185" t="s">
        <v>188</v>
      </c>
      <c r="E5185" t="s">
        <v>21</v>
      </c>
      <c r="F5185" s="1">
        <v>44531</v>
      </c>
      <c r="G5185">
        <v>0.16</v>
      </c>
      <c r="H5185">
        <v>86.343000000000004</v>
      </c>
      <c r="I5185">
        <v>21.02</v>
      </c>
      <c r="J5185">
        <v>83.95</v>
      </c>
      <c r="K5185" t="s">
        <v>31</v>
      </c>
      <c r="L5185">
        <v>624.99</v>
      </c>
      <c r="M5185">
        <f>VLOOKUP(K5185,RatingLookup!$A$2:$C$8,2,FALSE)</f>
        <v>0.04</v>
      </c>
      <c r="N5185">
        <f t="shared" si="240"/>
        <v>3.3960531989175591E-3</v>
      </c>
      <c r="O5185">
        <f>VLOOKUP(K5185,RatingLookup!$A$2:$C$8,3,FALSE)</f>
        <v>0.6</v>
      </c>
      <c r="P5185">
        <f t="shared" si="241"/>
        <v>1.2734995732748911</v>
      </c>
      <c r="Q5185" t="str">
        <f t="shared" ca="1" si="242"/>
        <v>No</v>
      </c>
    </row>
    <row r="5186" spans="1:17" x14ac:dyDescent="0.45">
      <c r="A5186" t="s">
        <v>209</v>
      </c>
      <c r="B5186" t="s">
        <v>210</v>
      </c>
      <c r="C5186" t="s">
        <v>43</v>
      </c>
      <c r="D5186" t="s">
        <v>188</v>
      </c>
      <c r="E5186" t="s">
        <v>21</v>
      </c>
      <c r="F5186" s="1">
        <v>44562</v>
      </c>
      <c r="G5186">
        <v>2</v>
      </c>
      <c r="H5186">
        <v>81.589299999999994</v>
      </c>
      <c r="I5186">
        <v>10.62</v>
      </c>
      <c r="J5186">
        <v>88.85</v>
      </c>
      <c r="K5186" t="s">
        <v>31</v>
      </c>
      <c r="L5186">
        <v>642.64</v>
      </c>
      <c r="M5186">
        <f>VLOOKUP(K5186,RatingLookup!$A$2:$C$8,2,FALSE)</f>
        <v>0.04</v>
      </c>
      <c r="N5186">
        <f t="shared" ref="N5186:N5249" si="243">1-(1-M5186)^(1/12)</f>
        <v>3.3960531989175591E-3</v>
      </c>
      <c r="O5186">
        <f>VLOOKUP(K5186,RatingLookup!$A$2:$C$8,3,FALSE)</f>
        <v>0.6</v>
      </c>
      <c r="P5186">
        <f t="shared" ref="P5186:P5249" si="244">L5186*N5186*O5186</f>
        <v>1.3094637766514281</v>
      </c>
      <c r="Q5186" t="str">
        <f t="shared" ref="Q5186:Q5249" ca="1" si="245">IF(RAND()&lt;N5186,"Yes","No")</f>
        <v>No</v>
      </c>
    </row>
    <row r="5187" spans="1:17" x14ac:dyDescent="0.45">
      <c r="A5187" t="s">
        <v>209</v>
      </c>
      <c r="B5187" t="s">
        <v>210</v>
      </c>
      <c r="C5187" t="s">
        <v>43</v>
      </c>
      <c r="D5187" t="s">
        <v>188</v>
      </c>
      <c r="E5187" t="s">
        <v>21</v>
      </c>
      <c r="F5187" s="1">
        <v>44593</v>
      </c>
      <c r="G5187">
        <v>1.56</v>
      </c>
      <c r="H5187">
        <v>82.7136</v>
      </c>
      <c r="I5187">
        <v>13.1</v>
      </c>
      <c r="J5187">
        <v>79.59</v>
      </c>
      <c r="K5187" t="s">
        <v>31</v>
      </c>
      <c r="L5187">
        <v>671.7</v>
      </c>
      <c r="M5187">
        <f>VLOOKUP(K5187,RatingLookup!$A$2:$C$8,2,FALSE)</f>
        <v>0.04</v>
      </c>
      <c r="N5187">
        <f t="shared" si="243"/>
        <v>3.3960531989175591E-3</v>
      </c>
      <c r="O5187">
        <f>VLOOKUP(K5187,RatingLookup!$A$2:$C$8,3,FALSE)</f>
        <v>0.6</v>
      </c>
      <c r="P5187">
        <f t="shared" si="244"/>
        <v>1.3686773602277547</v>
      </c>
      <c r="Q5187" t="str">
        <f t="shared" ca="1" si="245"/>
        <v>No</v>
      </c>
    </row>
    <row r="5188" spans="1:17" x14ac:dyDescent="0.45">
      <c r="A5188" t="s">
        <v>209</v>
      </c>
      <c r="B5188" t="s">
        <v>210</v>
      </c>
      <c r="C5188" t="s">
        <v>43</v>
      </c>
      <c r="D5188" t="s">
        <v>188</v>
      </c>
      <c r="E5188" t="s">
        <v>21</v>
      </c>
      <c r="F5188" s="1">
        <v>44621</v>
      </c>
      <c r="G5188">
        <v>1.1599999999999999</v>
      </c>
      <c r="H5188">
        <v>83.104100000000003</v>
      </c>
      <c r="I5188">
        <v>17.82</v>
      </c>
      <c r="J5188">
        <v>107.12</v>
      </c>
      <c r="K5188" t="s">
        <v>31</v>
      </c>
      <c r="L5188">
        <v>623.42999999999995</v>
      </c>
      <c r="M5188">
        <f>VLOOKUP(K5188,RatingLookup!$A$2:$C$8,2,FALSE)</f>
        <v>0.04</v>
      </c>
      <c r="N5188">
        <f t="shared" si="243"/>
        <v>3.3960531989175591E-3</v>
      </c>
      <c r="O5188">
        <f>VLOOKUP(K5188,RatingLookup!$A$2:$C$8,3,FALSE)</f>
        <v>0.6</v>
      </c>
      <c r="P5188">
        <f t="shared" si="244"/>
        <v>1.2703208674807043</v>
      </c>
      <c r="Q5188" t="str">
        <f t="shared" ca="1" si="245"/>
        <v>No</v>
      </c>
    </row>
    <row r="5189" spans="1:17" x14ac:dyDescent="0.45">
      <c r="A5189" t="s">
        <v>209</v>
      </c>
      <c r="B5189" t="s">
        <v>210</v>
      </c>
      <c r="C5189" t="s">
        <v>43</v>
      </c>
      <c r="D5189" t="s">
        <v>188</v>
      </c>
      <c r="E5189" t="s">
        <v>21</v>
      </c>
      <c r="F5189" s="1">
        <v>44652</v>
      </c>
      <c r="G5189">
        <v>1.08</v>
      </c>
      <c r="H5189">
        <v>81.301400000000001</v>
      </c>
      <c r="I5189">
        <v>22.98</v>
      </c>
      <c r="J5189">
        <v>78.05</v>
      </c>
      <c r="K5189" t="s">
        <v>31</v>
      </c>
      <c r="L5189">
        <v>641.78</v>
      </c>
      <c r="M5189">
        <f>VLOOKUP(K5189,RatingLookup!$A$2:$C$8,2,FALSE)</f>
        <v>0.04</v>
      </c>
      <c r="N5189">
        <f t="shared" si="243"/>
        <v>3.3960531989175591E-3</v>
      </c>
      <c r="O5189">
        <f>VLOOKUP(K5189,RatingLookup!$A$2:$C$8,3,FALSE)</f>
        <v>0.6</v>
      </c>
      <c r="P5189">
        <f t="shared" si="244"/>
        <v>1.3077114132007865</v>
      </c>
      <c r="Q5189" t="str">
        <f t="shared" ca="1" si="245"/>
        <v>No</v>
      </c>
    </row>
    <row r="5190" spans="1:17" x14ac:dyDescent="0.45">
      <c r="A5190" t="s">
        <v>209</v>
      </c>
      <c r="B5190" t="s">
        <v>210</v>
      </c>
      <c r="C5190" t="s">
        <v>43</v>
      </c>
      <c r="D5190" t="s">
        <v>188</v>
      </c>
      <c r="E5190" t="s">
        <v>21</v>
      </c>
      <c r="F5190" s="1">
        <v>44682</v>
      </c>
      <c r="G5190">
        <v>1.58</v>
      </c>
      <c r="H5190">
        <v>84.303299999999993</v>
      </c>
      <c r="I5190">
        <v>20.92</v>
      </c>
      <c r="J5190">
        <v>63.14</v>
      </c>
      <c r="K5190" t="s">
        <v>31</v>
      </c>
      <c r="L5190">
        <v>604.04999999999995</v>
      </c>
      <c r="M5190">
        <f>VLOOKUP(K5190,RatingLookup!$A$2:$C$8,2,FALSE)</f>
        <v>0.04</v>
      </c>
      <c r="N5190">
        <f t="shared" si="243"/>
        <v>3.3960531989175591E-3</v>
      </c>
      <c r="O5190">
        <f>VLOOKUP(K5190,RatingLookup!$A$2:$C$8,3,FALSE)</f>
        <v>0.6</v>
      </c>
      <c r="P5190">
        <f t="shared" si="244"/>
        <v>1.2308315608836908</v>
      </c>
      <c r="Q5190" t="str">
        <f t="shared" ca="1" si="245"/>
        <v>No</v>
      </c>
    </row>
    <row r="5191" spans="1:17" x14ac:dyDescent="0.45">
      <c r="A5191" t="s">
        <v>209</v>
      </c>
      <c r="B5191" t="s">
        <v>210</v>
      </c>
      <c r="C5191" t="s">
        <v>43</v>
      </c>
      <c r="D5191" t="s">
        <v>188</v>
      </c>
      <c r="E5191" t="s">
        <v>21</v>
      </c>
      <c r="F5191" s="1">
        <v>44713</v>
      </c>
      <c r="G5191">
        <v>1.67</v>
      </c>
      <c r="H5191">
        <v>84.984899999999996</v>
      </c>
      <c r="I5191">
        <v>5.8</v>
      </c>
      <c r="J5191">
        <v>87.79</v>
      </c>
      <c r="K5191" t="s">
        <v>32</v>
      </c>
      <c r="L5191">
        <v>592.22</v>
      </c>
      <c r="M5191">
        <f>VLOOKUP(K5191,RatingLookup!$A$2:$C$8,2,FALSE)</f>
        <v>0.12</v>
      </c>
      <c r="N5191">
        <f t="shared" si="243"/>
        <v>1.0596241035318976E-2</v>
      </c>
      <c r="O5191">
        <f>VLOOKUP(K5191,RatingLookup!$A$2:$C$8,3,FALSE)</f>
        <v>0.7</v>
      </c>
      <c r="P5191">
        <f t="shared" si="244"/>
        <v>4.3927141061556227</v>
      </c>
      <c r="Q5191" t="str">
        <f t="shared" ca="1" si="245"/>
        <v>No</v>
      </c>
    </row>
    <row r="5192" spans="1:17" x14ac:dyDescent="0.45">
      <c r="A5192" t="s">
        <v>209</v>
      </c>
      <c r="B5192" t="s">
        <v>210</v>
      </c>
      <c r="C5192" t="s">
        <v>43</v>
      </c>
      <c r="D5192" t="s">
        <v>188</v>
      </c>
      <c r="E5192" t="s">
        <v>21</v>
      </c>
      <c r="F5192" s="1">
        <v>44743</v>
      </c>
      <c r="G5192">
        <v>1.1100000000000001</v>
      </c>
      <c r="H5192">
        <v>82.606399999999994</v>
      </c>
      <c r="I5192">
        <v>22.97</v>
      </c>
      <c r="J5192">
        <v>89.1</v>
      </c>
      <c r="K5192" t="s">
        <v>32</v>
      </c>
      <c r="L5192">
        <v>617.99</v>
      </c>
      <c r="M5192">
        <f>VLOOKUP(K5192,RatingLookup!$A$2:$C$8,2,FALSE)</f>
        <v>0.12</v>
      </c>
      <c r="N5192">
        <f t="shared" si="243"/>
        <v>1.0596241035318976E-2</v>
      </c>
      <c r="O5192">
        <f>VLOOKUP(K5192,RatingLookup!$A$2:$C$8,3,FALSE)</f>
        <v>0.7</v>
      </c>
      <c r="P5192">
        <f t="shared" si="244"/>
        <v>4.5838596981917421</v>
      </c>
      <c r="Q5192" t="str">
        <f t="shared" ca="1" si="245"/>
        <v>No</v>
      </c>
    </row>
    <row r="5193" spans="1:17" x14ac:dyDescent="0.45">
      <c r="A5193" t="s">
        <v>209</v>
      </c>
      <c r="B5193" t="s">
        <v>210</v>
      </c>
      <c r="C5193" t="s">
        <v>43</v>
      </c>
      <c r="D5193" t="s">
        <v>188</v>
      </c>
      <c r="E5193" t="s">
        <v>21</v>
      </c>
      <c r="F5193" s="1">
        <v>44774</v>
      </c>
      <c r="G5193">
        <v>1.87</v>
      </c>
      <c r="H5193">
        <v>86.547300000000007</v>
      </c>
      <c r="I5193">
        <v>27.77</v>
      </c>
      <c r="J5193">
        <v>75.05</v>
      </c>
      <c r="K5193" t="s">
        <v>32</v>
      </c>
      <c r="L5193">
        <v>595.16999999999996</v>
      </c>
      <c r="M5193">
        <f>VLOOKUP(K5193,RatingLookup!$A$2:$C$8,2,FALSE)</f>
        <v>0.12</v>
      </c>
      <c r="N5193">
        <f t="shared" si="243"/>
        <v>1.0596241035318976E-2</v>
      </c>
      <c r="O5193">
        <f>VLOOKUP(K5193,RatingLookup!$A$2:$C$8,3,FALSE)</f>
        <v>0.7</v>
      </c>
      <c r="P5193">
        <f t="shared" si="244"/>
        <v>4.4145953438935557</v>
      </c>
      <c r="Q5193" t="str">
        <f t="shared" ca="1" si="245"/>
        <v>No</v>
      </c>
    </row>
    <row r="5194" spans="1:17" x14ac:dyDescent="0.45">
      <c r="A5194" t="s">
        <v>209</v>
      </c>
      <c r="B5194" t="s">
        <v>210</v>
      </c>
      <c r="C5194" t="s">
        <v>43</v>
      </c>
      <c r="D5194" t="s">
        <v>188</v>
      </c>
      <c r="E5194" t="s">
        <v>21</v>
      </c>
      <c r="F5194" s="1">
        <v>44805</v>
      </c>
      <c r="G5194">
        <v>1.75</v>
      </c>
      <c r="H5194">
        <v>79.976600000000005</v>
      </c>
      <c r="I5194">
        <v>19.73</v>
      </c>
      <c r="J5194">
        <v>70.47</v>
      </c>
      <c r="K5194" t="s">
        <v>32</v>
      </c>
      <c r="L5194">
        <v>590.6</v>
      </c>
      <c r="M5194">
        <f>VLOOKUP(K5194,RatingLookup!$A$2:$C$8,2,FALSE)</f>
        <v>0.12</v>
      </c>
      <c r="N5194">
        <f t="shared" si="243"/>
        <v>1.0596241035318976E-2</v>
      </c>
      <c r="O5194">
        <f>VLOOKUP(K5194,RatingLookup!$A$2:$C$8,3,FALSE)</f>
        <v>0.7</v>
      </c>
      <c r="P5194">
        <f t="shared" si="244"/>
        <v>4.380697968821571</v>
      </c>
      <c r="Q5194" t="str">
        <f t="shared" ca="1" si="245"/>
        <v>No</v>
      </c>
    </row>
    <row r="5195" spans="1:17" x14ac:dyDescent="0.45">
      <c r="A5195" t="s">
        <v>209</v>
      </c>
      <c r="B5195" t="s">
        <v>210</v>
      </c>
      <c r="C5195" t="s">
        <v>43</v>
      </c>
      <c r="D5195" t="s">
        <v>188</v>
      </c>
      <c r="E5195" t="s">
        <v>21</v>
      </c>
      <c r="F5195" s="1">
        <v>44835</v>
      </c>
      <c r="G5195">
        <v>0.87</v>
      </c>
      <c r="H5195">
        <v>82.321799999999996</v>
      </c>
      <c r="I5195">
        <v>12.05</v>
      </c>
      <c r="J5195">
        <v>90.15</v>
      </c>
      <c r="K5195" t="s">
        <v>32</v>
      </c>
      <c r="L5195">
        <v>631.82000000000005</v>
      </c>
      <c r="M5195">
        <f>VLOOKUP(K5195,RatingLookup!$A$2:$C$8,2,FALSE)</f>
        <v>0.12</v>
      </c>
      <c r="N5195">
        <f t="shared" si="243"/>
        <v>1.0596241035318976E-2</v>
      </c>
      <c r="O5195">
        <f>VLOOKUP(K5195,RatingLookup!$A$2:$C$8,3,FALSE)</f>
        <v>0.7</v>
      </c>
      <c r="P5195">
        <f t="shared" si="244"/>
        <v>4.6864419076546646</v>
      </c>
      <c r="Q5195" t="str">
        <f t="shared" ca="1" si="245"/>
        <v>No</v>
      </c>
    </row>
    <row r="5196" spans="1:17" x14ac:dyDescent="0.45">
      <c r="A5196" t="s">
        <v>209</v>
      </c>
      <c r="B5196" t="s">
        <v>210</v>
      </c>
      <c r="C5196" t="s">
        <v>43</v>
      </c>
      <c r="D5196" t="s">
        <v>188</v>
      </c>
      <c r="E5196" t="s">
        <v>21</v>
      </c>
      <c r="F5196" s="1">
        <v>44866</v>
      </c>
      <c r="G5196">
        <v>1.63</v>
      </c>
      <c r="H5196">
        <v>81.025800000000004</v>
      </c>
      <c r="I5196">
        <v>10.53</v>
      </c>
      <c r="J5196">
        <v>69.92</v>
      </c>
      <c r="K5196" t="s">
        <v>32</v>
      </c>
      <c r="L5196">
        <v>624.05999999999995</v>
      </c>
      <c r="M5196">
        <f>VLOOKUP(K5196,RatingLookup!$A$2:$C$8,2,FALSE)</f>
        <v>0.12</v>
      </c>
      <c r="N5196">
        <f t="shared" si="243"/>
        <v>1.0596241035318976E-2</v>
      </c>
      <c r="O5196">
        <f>VLOOKUP(K5196,RatingLookup!$A$2:$C$8,3,FALSE)</f>
        <v>0.7</v>
      </c>
      <c r="P5196">
        <f t="shared" si="244"/>
        <v>4.6288831263508117</v>
      </c>
      <c r="Q5196" t="str">
        <f t="shared" ca="1" si="245"/>
        <v>Yes</v>
      </c>
    </row>
    <row r="5197" spans="1:17" x14ac:dyDescent="0.45">
      <c r="A5197" t="s">
        <v>209</v>
      </c>
      <c r="B5197" t="s">
        <v>210</v>
      </c>
      <c r="C5197" t="s">
        <v>43</v>
      </c>
      <c r="D5197" t="s">
        <v>188</v>
      </c>
      <c r="E5197" t="s">
        <v>21</v>
      </c>
      <c r="F5197" s="1">
        <v>44896</v>
      </c>
      <c r="G5197">
        <v>0.72</v>
      </c>
      <c r="H5197">
        <v>84.681700000000006</v>
      </c>
      <c r="I5197">
        <v>13.6</v>
      </c>
      <c r="J5197">
        <v>88.93</v>
      </c>
      <c r="K5197" t="s">
        <v>32</v>
      </c>
      <c r="L5197">
        <v>613.42999999999995</v>
      </c>
      <c r="M5197">
        <f>VLOOKUP(K5197,RatingLookup!$A$2:$C$8,2,FALSE)</f>
        <v>0.12</v>
      </c>
      <c r="N5197">
        <f t="shared" si="243"/>
        <v>1.0596241035318976E-2</v>
      </c>
      <c r="O5197">
        <f>VLOOKUP(K5197,RatingLookup!$A$2:$C$8,3,FALSE)</f>
        <v>0.7</v>
      </c>
      <c r="P5197">
        <f t="shared" si="244"/>
        <v>4.5500364968070031</v>
      </c>
      <c r="Q5197" t="str">
        <f t="shared" ca="1" si="245"/>
        <v>No</v>
      </c>
    </row>
    <row r="5198" spans="1:17" x14ac:dyDescent="0.45">
      <c r="A5198" t="s">
        <v>209</v>
      </c>
      <c r="B5198" t="s">
        <v>210</v>
      </c>
      <c r="C5198" t="s">
        <v>43</v>
      </c>
      <c r="D5198" t="s">
        <v>188</v>
      </c>
      <c r="E5198" t="s">
        <v>21</v>
      </c>
      <c r="F5198" s="1">
        <v>44927</v>
      </c>
      <c r="G5198">
        <v>1.49</v>
      </c>
      <c r="H5198">
        <v>80.705799999999996</v>
      </c>
      <c r="I5198">
        <v>13.34</v>
      </c>
      <c r="J5198">
        <v>93.48</v>
      </c>
      <c r="K5198" t="s">
        <v>32</v>
      </c>
      <c r="L5198">
        <v>675.72</v>
      </c>
      <c r="M5198">
        <f>VLOOKUP(K5198,RatingLookup!$A$2:$C$8,2,FALSE)</f>
        <v>0.12</v>
      </c>
      <c r="N5198">
        <f t="shared" si="243"/>
        <v>1.0596241035318976E-2</v>
      </c>
      <c r="O5198">
        <f>VLOOKUP(K5198,RatingLookup!$A$2:$C$8,3,FALSE)</f>
        <v>0.7</v>
      </c>
      <c r="P5198">
        <f t="shared" si="244"/>
        <v>5.0120643946700163</v>
      </c>
      <c r="Q5198" t="str">
        <f t="shared" ca="1" si="245"/>
        <v>No</v>
      </c>
    </row>
    <row r="5199" spans="1:17" x14ac:dyDescent="0.45">
      <c r="A5199" t="s">
        <v>209</v>
      </c>
      <c r="B5199" t="s">
        <v>210</v>
      </c>
      <c r="C5199" t="s">
        <v>43</v>
      </c>
      <c r="D5199" t="s">
        <v>188</v>
      </c>
      <c r="E5199" t="s">
        <v>21</v>
      </c>
      <c r="F5199" s="1">
        <v>44958</v>
      </c>
      <c r="G5199">
        <v>2.68</v>
      </c>
      <c r="H5199">
        <v>82.564099999999996</v>
      </c>
      <c r="I5199">
        <v>14.2</v>
      </c>
      <c r="J5199">
        <v>74.02</v>
      </c>
      <c r="K5199" t="s">
        <v>32</v>
      </c>
      <c r="L5199">
        <v>635.22</v>
      </c>
      <c r="M5199">
        <f>VLOOKUP(K5199,RatingLookup!$A$2:$C$8,2,FALSE)</f>
        <v>0.12</v>
      </c>
      <c r="N5199">
        <f t="shared" si="243"/>
        <v>1.0596241035318976E-2</v>
      </c>
      <c r="O5199">
        <f>VLOOKUP(K5199,RatingLookup!$A$2:$C$8,3,FALSE)</f>
        <v>0.7</v>
      </c>
      <c r="P5199">
        <f t="shared" si="244"/>
        <v>4.7116609613187244</v>
      </c>
      <c r="Q5199" t="str">
        <f t="shared" ca="1" si="245"/>
        <v>No</v>
      </c>
    </row>
    <row r="5200" spans="1:17" x14ac:dyDescent="0.45">
      <c r="A5200" t="s">
        <v>209</v>
      </c>
      <c r="B5200" t="s">
        <v>210</v>
      </c>
      <c r="C5200" t="s">
        <v>43</v>
      </c>
      <c r="D5200" t="s">
        <v>188</v>
      </c>
      <c r="E5200" t="s">
        <v>21</v>
      </c>
      <c r="F5200" s="1">
        <v>44986</v>
      </c>
      <c r="G5200">
        <v>2.74</v>
      </c>
      <c r="H5200">
        <v>81.072000000000003</v>
      </c>
      <c r="I5200">
        <v>27.64</v>
      </c>
      <c r="J5200">
        <v>80.48</v>
      </c>
      <c r="K5200" t="s">
        <v>32</v>
      </c>
      <c r="L5200">
        <v>573.51</v>
      </c>
      <c r="M5200">
        <f>VLOOKUP(K5200,RatingLookup!$A$2:$C$8,2,FALSE)</f>
        <v>0.12</v>
      </c>
      <c r="N5200">
        <f t="shared" si="243"/>
        <v>1.0596241035318976E-2</v>
      </c>
      <c r="O5200">
        <f>VLOOKUP(K5200,RatingLookup!$A$2:$C$8,3,FALSE)</f>
        <v>0.7</v>
      </c>
      <c r="P5200">
        <f t="shared" si="244"/>
        <v>4.2539351373160494</v>
      </c>
      <c r="Q5200" t="str">
        <f t="shared" ca="1" si="245"/>
        <v>No</v>
      </c>
    </row>
    <row r="5201" spans="1:17" x14ac:dyDescent="0.45">
      <c r="A5201" t="s">
        <v>209</v>
      </c>
      <c r="B5201" t="s">
        <v>210</v>
      </c>
      <c r="C5201" t="s">
        <v>43</v>
      </c>
      <c r="D5201" t="s">
        <v>188</v>
      </c>
      <c r="E5201" t="s">
        <v>21</v>
      </c>
      <c r="F5201" s="1">
        <v>45017</v>
      </c>
      <c r="G5201">
        <v>1.61</v>
      </c>
      <c r="H5201">
        <v>84.5381</v>
      </c>
      <c r="I5201">
        <v>9.07</v>
      </c>
      <c r="J5201">
        <v>76.12</v>
      </c>
      <c r="K5201" t="s">
        <v>32</v>
      </c>
      <c r="L5201">
        <v>619.69000000000005</v>
      </c>
      <c r="M5201">
        <f>VLOOKUP(K5201,RatingLookup!$A$2:$C$8,2,FALSE)</f>
        <v>0.12</v>
      </c>
      <c r="N5201">
        <f t="shared" si="243"/>
        <v>1.0596241035318976E-2</v>
      </c>
      <c r="O5201">
        <f>VLOOKUP(K5201,RatingLookup!$A$2:$C$8,3,FALSE)</f>
        <v>0.7</v>
      </c>
      <c r="P5201">
        <f t="shared" si="244"/>
        <v>4.5964692250237711</v>
      </c>
      <c r="Q5201" t="str">
        <f t="shared" ca="1" si="245"/>
        <v>No</v>
      </c>
    </row>
    <row r="5202" spans="1:17" x14ac:dyDescent="0.45">
      <c r="A5202" t="s">
        <v>209</v>
      </c>
      <c r="B5202" t="s">
        <v>210</v>
      </c>
      <c r="C5202" t="s">
        <v>43</v>
      </c>
      <c r="D5202" t="s">
        <v>188</v>
      </c>
      <c r="E5202" t="s">
        <v>21</v>
      </c>
      <c r="F5202" s="1">
        <v>45047</v>
      </c>
      <c r="G5202">
        <v>1.27</v>
      </c>
      <c r="H5202">
        <v>80.617500000000007</v>
      </c>
      <c r="I5202">
        <v>13.08</v>
      </c>
      <c r="J5202">
        <v>69.180000000000007</v>
      </c>
      <c r="K5202" t="s">
        <v>32</v>
      </c>
      <c r="L5202">
        <v>598.74</v>
      </c>
      <c r="M5202">
        <f>VLOOKUP(K5202,RatingLookup!$A$2:$C$8,2,FALSE)</f>
        <v>0.12</v>
      </c>
      <c r="N5202">
        <f t="shared" si="243"/>
        <v>1.0596241035318976E-2</v>
      </c>
      <c r="O5202">
        <f>VLOOKUP(K5202,RatingLookup!$A$2:$C$8,3,FALSE)</f>
        <v>0.7</v>
      </c>
      <c r="P5202">
        <f t="shared" si="244"/>
        <v>4.4410753502408182</v>
      </c>
      <c r="Q5202" t="str">
        <f t="shared" ca="1" si="245"/>
        <v>No</v>
      </c>
    </row>
    <row r="5203" spans="1:17" x14ac:dyDescent="0.45">
      <c r="A5203" t="s">
        <v>209</v>
      </c>
      <c r="B5203" t="s">
        <v>210</v>
      </c>
      <c r="C5203" t="s">
        <v>43</v>
      </c>
      <c r="D5203" t="s">
        <v>188</v>
      </c>
      <c r="E5203" t="s">
        <v>21</v>
      </c>
      <c r="F5203" s="1">
        <v>45078</v>
      </c>
      <c r="G5203">
        <v>0.75</v>
      </c>
      <c r="H5203">
        <v>85.688699999999997</v>
      </c>
      <c r="I5203">
        <v>19.260000000000002</v>
      </c>
      <c r="J5203">
        <v>74.84</v>
      </c>
      <c r="K5203" t="s">
        <v>32</v>
      </c>
      <c r="L5203">
        <v>651.99</v>
      </c>
      <c r="M5203">
        <f>VLOOKUP(K5203,RatingLookup!$A$2:$C$8,2,FALSE)</f>
        <v>0.12</v>
      </c>
      <c r="N5203">
        <f t="shared" si="243"/>
        <v>1.0596241035318976E-2</v>
      </c>
      <c r="O5203">
        <f>VLOOKUP(K5203,RatingLookup!$A$2:$C$8,3,FALSE)</f>
        <v>0.7</v>
      </c>
      <c r="P5203">
        <f t="shared" si="244"/>
        <v>4.8360502348323333</v>
      </c>
      <c r="Q5203" t="str">
        <f t="shared" ca="1" si="245"/>
        <v>No</v>
      </c>
    </row>
    <row r="5204" spans="1:17" x14ac:dyDescent="0.45">
      <c r="A5204" t="s">
        <v>209</v>
      </c>
      <c r="B5204" t="s">
        <v>210</v>
      </c>
      <c r="C5204" t="s">
        <v>43</v>
      </c>
      <c r="D5204" t="s">
        <v>188</v>
      </c>
      <c r="E5204" t="s">
        <v>21</v>
      </c>
      <c r="F5204" s="1">
        <v>45108</v>
      </c>
      <c r="G5204">
        <v>1.26</v>
      </c>
      <c r="H5204">
        <v>84.313000000000002</v>
      </c>
      <c r="I5204">
        <v>38.96</v>
      </c>
      <c r="J5204">
        <v>71.290000000000006</v>
      </c>
      <c r="K5204" t="s">
        <v>32</v>
      </c>
      <c r="L5204">
        <v>602.71</v>
      </c>
      <c r="M5204">
        <f>VLOOKUP(K5204,RatingLookup!$A$2:$C$8,2,FALSE)</f>
        <v>0.12</v>
      </c>
      <c r="N5204">
        <f t="shared" si="243"/>
        <v>1.0596241035318976E-2</v>
      </c>
      <c r="O5204">
        <f>VLOOKUP(K5204,RatingLookup!$A$2:$C$8,3,FALSE)</f>
        <v>0.7</v>
      </c>
      <c r="P5204">
        <f t="shared" si="244"/>
        <v>4.4705223040779698</v>
      </c>
      <c r="Q5204" t="str">
        <f t="shared" ca="1" si="245"/>
        <v>No</v>
      </c>
    </row>
    <row r="5205" spans="1:17" x14ac:dyDescent="0.45">
      <c r="A5205" t="s">
        <v>209</v>
      </c>
      <c r="B5205" t="s">
        <v>210</v>
      </c>
      <c r="C5205" t="s">
        <v>43</v>
      </c>
      <c r="D5205" t="s">
        <v>188</v>
      </c>
      <c r="E5205" t="s">
        <v>21</v>
      </c>
      <c r="F5205" s="1">
        <v>45139</v>
      </c>
      <c r="G5205">
        <v>2.23</v>
      </c>
      <c r="H5205">
        <v>83.633600000000001</v>
      </c>
      <c r="I5205">
        <v>16.809999999999999</v>
      </c>
      <c r="J5205">
        <v>66.849999999999994</v>
      </c>
      <c r="K5205" t="s">
        <v>32</v>
      </c>
      <c r="L5205">
        <v>597.88</v>
      </c>
      <c r="M5205">
        <f>VLOOKUP(K5205,RatingLookup!$A$2:$C$8,2,FALSE)</f>
        <v>0.12</v>
      </c>
      <c r="N5205">
        <f t="shared" si="243"/>
        <v>1.0596241035318976E-2</v>
      </c>
      <c r="O5205">
        <f>VLOOKUP(K5205,RatingLookup!$A$2:$C$8,3,FALSE)</f>
        <v>0.7</v>
      </c>
      <c r="P5205">
        <f t="shared" si="244"/>
        <v>4.4346964131375559</v>
      </c>
      <c r="Q5205" t="str">
        <f t="shared" ca="1" si="245"/>
        <v>No</v>
      </c>
    </row>
    <row r="5206" spans="1:17" x14ac:dyDescent="0.45">
      <c r="A5206" t="s">
        <v>209</v>
      </c>
      <c r="B5206" t="s">
        <v>210</v>
      </c>
      <c r="C5206" t="s">
        <v>43</v>
      </c>
      <c r="D5206" t="s">
        <v>188</v>
      </c>
      <c r="E5206" t="s">
        <v>21</v>
      </c>
      <c r="F5206" s="1">
        <v>45170</v>
      </c>
      <c r="G5206">
        <v>1.92</v>
      </c>
      <c r="H5206">
        <v>81.887699999999995</v>
      </c>
      <c r="I5206">
        <v>17.260000000000002</v>
      </c>
      <c r="J5206">
        <v>85.19</v>
      </c>
      <c r="K5206" t="s">
        <v>32</v>
      </c>
      <c r="L5206">
        <v>624.66999999999996</v>
      </c>
      <c r="M5206">
        <f>VLOOKUP(K5206,RatingLookup!$A$2:$C$8,2,FALSE)</f>
        <v>0.12</v>
      </c>
      <c r="N5206">
        <f t="shared" si="243"/>
        <v>1.0596241035318976E-2</v>
      </c>
      <c r="O5206">
        <f>VLOOKUP(K5206,RatingLookup!$A$2:$C$8,3,FALSE)</f>
        <v>0.7</v>
      </c>
      <c r="P5206">
        <f t="shared" si="244"/>
        <v>4.6334077212728921</v>
      </c>
      <c r="Q5206" t="str">
        <f t="shared" ca="1" si="245"/>
        <v>No</v>
      </c>
    </row>
    <row r="5207" spans="1:17" x14ac:dyDescent="0.45">
      <c r="A5207" t="s">
        <v>209</v>
      </c>
      <c r="B5207" t="s">
        <v>210</v>
      </c>
      <c r="C5207" t="s">
        <v>43</v>
      </c>
      <c r="D5207" t="s">
        <v>188</v>
      </c>
      <c r="E5207" t="s">
        <v>21</v>
      </c>
      <c r="F5207" s="1">
        <v>45200</v>
      </c>
      <c r="G5207">
        <v>1.34</v>
      </c>
      <c r="H5207">
        <v>81.363399999999999</v>
      </c>
      <c r="I5207">
        <v>15.29</v>
      </c>
      <c r="J5207">
        <v>77.81</v>
      </c>
      <c r="K5207" t="s">
        <v>32</v>
      </c>
      <c r="L5207">
        <v>675.57</v>
      </c>
      <c r="M5207">
        <f>VLOOKUP(K5207,RatingLookup!$A$2:$C$8,2,FALSE)</f>
        <v>0.12</v>
      </c>
      <c r="N5207">
        <f t="shared" si="243"/>
        <v>1.0596241035318976E-2</v>
      </c>
      <c r="O5207">
        <f>VLOOKUP(K5207,RatingLookup!$A$2:$C$8,3,FALSE)</f>
        <v>0.7</v>
      </c>
      <c r="P5207">
        <f t="shared" si="244"/>
        <v>5.0109517893613091</v>
      </c>
      <c r="Q5207" t="str">
        <f t="shared" ca="1" si="245"/>
        <v>No</v>
      </c>
    </row>
    <row r="5208" spans="1:17" x14ac:dyDescent="0.45">
      <c r="A5208" t="s">
        <v>209</v>
      </c>
      <c r="B5208" t="s">
        <v>210</v>
      </c>
      <c r="C5208" t="s">
        <v>43</v>
      </c>
      <c r="D5208" t="s">
        <v>188</v>
      </c>
      <c r="E5208" t="s">
        <v>21</v>
      </c>
      <c r="F5208" s="1">
        <v>45231</v>
      </c>
      <c r="G5208">
        <v>1.43</v>
      </c>
      <c r="H5208">
        <v>84.849400000000003</v>
      </c>
      <c r="I5208">
        <v>18.239999999999998</v>
      </c>
      <c r="J5208">
        <v>78.319999999999993</v>
      </c>
      <c r="K5208" t="s">
        <v>32</v>
      </c>
      <c r="L5208">
        <v>644.26</v>
      </c>
      <c r="M5208">
        <f>VLOOKUP(K5208,RatingLookup!$A$2:$C$8,2,FALSE)</f>
        <v>0.12</v>
      </c>
      <c r="N5208">
        <f t="shared" si="243"/>
        <v>1.0596241035318976E-2</v>
      </c>
      <c r="O5208">
        <f>VLOOKUP(K5208,RatingLookup!$A$2:$C$8,3,FALSE)</f>
        <v>0.7</v>
      </c>
      <c r="P5208">
        <f t="shared" si="244"/>
        <v>4.7787139745902225</v>
      </c>
      <c r="Q5208" t="str">
        <f t="shared" ca="1" si="245"/>
        <v>No</v>
      </c>
    </row>
    <row r="5209" spans="1:17" x14ac:dyDescent="0.45">
      <c r="A5209" t="s">
        <v>209</v>
      </c>
      <c r="B5209" t="s">
        <v>210</v>
      </c>
      <c r="C5209" t="s">
        <v>43</v>
      </c>
      <c r="D5209" t="s">
        <v>188</v>
      </c>
      <c r="E5209" t="s">
        <v>21</v>
      </c>
      <c r="F5209" s="1">
        <v>45261</v>
      </c>
      <c r="G5209">
        <v>1.07</v>
      </c>
      <c r="H5209">
        <v>83.156800000000004</v>
      </c>
      <c r="I5209">
        <v>18.23</v>
      </c>
      <c r="J5209">
        <v>70.86</v>
      </c>
      <c r="K5209" t="s">
        <v>32</v>
      </c>
      <c r="L5209">
        <v>635.74</v>
      </c>
      <c r="M5209">
        <f>VLOOKUP(K5209,RatingLookup!$A$2:$C$8,2,FALSE)</f>
        <v>0.12</v>
      </c>
      <c r="N5209">
        <f t="shared" si="243"/>
        <v>1.0596241035318976E-2</v>
      </c>
      <c r="O5209">
        <f>VLOOKUP(K5209,RatingLookup!$A$2:$C$8,3,FALSE)</f>
        <v>0.7</v>
      </c>
      <c r="P5209">
        <f t="shared" si="244"/>
        <v>4.7155179930555802</v>
      </c>
      <c r="Q5209" t="str">
        <f t="shared" ca="1" si="245"/>
        <v>No</v>
      </c>
    </row>
    <row r="5210" spans="1:17" x14ac:dyDescent="0.45">
      <c r="A5210" t="s">
        <v>209</v>
      </c>
      <c r="B5210" t="s">
        <v>210</v>
      </c>
      <c r="C5210" t="s">
        <v>43</v>
      </c>
      <c r="D5210" t="s">
        <v>188</v>
      </c>
      <c r="E5210" t="s">
        <v>21</v>
      </c>
      <c r="F5210" s="1">
        <v>45292</v>
      </c>
      <c r="G5210">
        <v>0.91</v>
      </c>
      <c r="H5210">
        <v>82.580699999999993</v>
      </c>
      <c r="I5210">
        <v>23.42</v>
      </c>
      <c r="J5210">
        <v>90.17</v>
      </c>
      <c r="K5210" t="s">
        <v>32</v>
      </c>
      <c r="L5210">
        <v>680.83</v>
      </c>
      <c r="M5210">
        <f>VLOOKUP(K5210,RatingLookup!$A$2:$C$8,2,FALSE)</f>
        <v>0.12</v>
      </c>
      <c r="N5210">
        <f t="shared" si="243"/>
        <v>1.0596241035318976E-2</v>
      </c>
      <c r="O5210">
        <f>VLOOKUP(K5210,RatingLookup!$A$2:$C$8,3,FALSE)</f>
        <v>0.7</v>
      </c>
      <c r="P5210">
        <f t="shared" si="244"/>
        <v>5.0499671488533533</v>
      </c>
      <c r="Q5210" t="str">
        <f t="shared" ca="1" si="245"/>
        <v>No</v>
      </c>
    </row>
    <row r="5211" spans="1:17" x14ac:dyDescent="0.45">
      <c r="A5211" t="s">
        <v>209</v>
      </c>
      <c r="B5211" t="s">
        <v>210</v>
      </c>
      <c r="C5211" t="s">
        <v>43</v>
      </c>
      <c r="D5211" t="s">
        <v>188</v>
      </c>
      <c r="E5211" t="s">
        <v>21</v>
      </c>
      <c r="F5211" s="1">
        <v>45323</v>
      </c>
      <c r="G5211">
        <v>1.78</v>
      </c>
      <c r="H5211">
        <v>80.782600000000002</v>
      </c>
      <c r="I5211">
        <v>27.82</v>
      </c>
      <c r="J5211">
        <v>89.52</v>
      </c>
      <c r="K5211" t="s">
        <v>32</v>
      </c>
      <c r="L5211">
        <v>619.96</v>
      </c>
      <c r="M5211">
        <f>VLOOKUP(K5211,RatingLookup!$A$2:$C$8,2,FALSE)</f>
        <v>0.12</v>
      </c>
      <c r="N5211">
        <f t="shared" si="243"/>
        <v>1.0596241035318976E-2</v>
      </c>
      <c r="O5211">
        <f>VLOOKUP(K5211,RatingLookup!$A$2:$C$8,3,FALSE)</f>
        <v>0.7</v>
      </c>
      <c r="P5211">
        <f t="shared" si="244"/>
        <v>4.5984719145794468</v>
      </c>
      <c r="Q5211" t="str">
        <f t="shared" ca="1" si="245"/>
        <v>No</v>
      </c>
    </row>
    <row r="5212" spans="1:17" x14ac:dyDescent="0.45">
      <c r="A5212" t="s">
        <v>209</v>
      </c>
      <c r="B5212" t="s">
        <v>210</v>
      </c>
      <c r="C5212" t="s">
        <v>43</v>
      </c>
      <c r="D5212" t="s">
        <v>188</v>
      </c>
      <c r="E5212" t="s">
        <v>21</v>
      </c>
      <c r="F5212" s="1">
        <v>45352</v>
      </c>
      <c r="G5212">
        <v>2.2799999999999998</v>
      </c>
      <c r="H5212">
        <v>81.937100000000001</v>
      </c>
      <c r="I5212">
        <v>19.93</v>
      </c>
      <c r="J5212">
        <v>85.97</v>
      </c>
      <c r="K5212" t="s">
        <v>32</v>
      </c>
      <c r="L5212">
        <v>588.23</v>
      </c>
      <c r="M5212">
        <f>VLOOKUP(K5212,RatingLookup!$A$2:$C$8,2,FALSE)</f>
        <v>0.12</v>
      </c>
      <c r="N5212">
        <f t="shared" si="243"/>
        <v>1.0596241035318976E-2</v>
      </c>
      <c r="O5212">
        <f>VLOOKUP(K5212,RatingLookup!$A$2:$C$8,3,FALSE)</f>
        <v>0.7</v>
      </c>
      <c r="P5212">
        <f t="shared" si="244"/>
        <v>4.3631188049439773</v>
      </c>
      <c r="Q5212" t="str">
        <f t="shared" ca="1" si="245"/>
        <v>No</v>
      </c>
    </row>
    <row r="5213" spans="1:17" x14ac:dyDescent="0.45">
      <c r="A5213" t="s">
        <v>209</v>
      </c>
      <c r="B5213" t="s">
        <v>210</v>
      </c>
      <c r="C5213" t="s">
        <v>43</v>
      </c>
      <c r="D5213" t="s">
        <v>188</v>
      </c>
      <c r="E5213" t="s">
        <v>21</v>
      </c>
      <c r="F5213" s="1">
        <v>45383</v>
      </c>
      <c r="G5213">
        <v>1.1299999999999999</v>
      </c>
      <c r="H5213">
        <v>86.031400000000005</v>
      </c>
      <c r="I5213">
        <v>26.18</v>
      </c>
      <c r="J5213">
        <v>84.37</v>
      </c>
      <c r="K5213" t="s">
        <v>32</v>
      </c>
      <c r="L5213">
        <v>636.6</v>
      </c>
      <c r="M5213">
        <f>VLOOKUP(K5213,RatingLookup!$A$2:$C$8,2,FALSE)</f>
        <v>0.12</v>
      </c>
      <c r="N5213">
        <f t="shared" si="243"/>
        <v>1.0596241035318976E-2</v>
      </c>
      <c r="O5213">
        <f>VLOOKUP(K5213,RatingLookup!$A$2:$C$8,3,FALSE)</f>
        <v>0.7</v>
      </c>
      <c r="P5213">
        <f t="shared" si="244"/>
        <v>4.7218969301588416</v>
      </c>
      <c r="Q5213" t="str">
        <f t="shared" ca="1" si="245"/>
        <v>No</v>
      </c>
    </row>
    <row r="5214" spans="1:17" x14ac:dyDescent="0.45">
      <c r="A5214" t="s">
        <v>209</v>
      </c>
      <c r="B5214" t="s">
        <v>210</v>
      </c>
      <c r="C5214" t="s">
        <v>43</v>
      </c>
      <c r="D5214" t="s">
        <v>188</v>
      </c>
      <c r="E5214" t="s">
        <v>21</v>
      </c>
      <c r="F5214" s="1">
        <v>45413</v>
      </c>
      <c r="G5214">
        <v>1.24</v>
      </c>
      <c r="H5214">
        <v>86.069900000000004</v>
      </c>
      <c r="I5214">
        <v>21.06</v>
      </c>
      <c r="J5214">
        <v>64.709999999999994</v>
      </c>
      <c r="K5214" t="s">
        <v>32</v>
      </c>
      <c r="L5214">
        <v>607.91</v>
      </c>
      <c r="M5214">
        <f>VLOOKUP(K5214,RatingLookup!$A$2:$C$8,2,FALSE)</f>
        <v>0.12</v>
      </c>
      <c r="N5214">
        <f t="shared" si="243"/>
        <v>1.0596241035318976E-2</v>
      </c>
      <c r="O5214">
        <f>VLOOKUP(K5214,RatingLookup!$A$2:$C$8,3,FALSE)</f>
        <v>0.7</v>
      </c>
      <c r="P5214">
        <f t="shared" si="244"/>
        <v>4.5090926214465306</v>
      </c>
      <c r="Q5214" t="str">
        <f t="shared" ca="1" si="245"/>
        <v>No</v>
      </c>
    </row>
    <row r="5215" spans="1:17" x14ac:dyDescent="0.45">
      <c r="A5215" t="s">
        <v>209</v>
      </c>
      <c r="B5215" t="s">
        <v>210</v>
      </c>
      <c r="C5215" t="s">
        <v>43</v>
      </c>
      <c r="D5215" t="s">
        <v>188</v>
      </c>
      <c r="E5215" t="s">
        <v>21</v>
      </c>
      <c r="F5215" s="1">
        <v>45444</v>
      </c>
      <c r="G5215">
        <v>0.56000000000000005</v>
      </c>
      <c r="H5215">
        <v>79.728700000000003</v>
      </c>
      <c r="I5215">
        <v>24.24</v>
      </c>
      <c r="J5215">
        <v>77.86</v>
      </c>
      <c r="K5215" t="s">
        <v>32</v>
      </c>
      <c r="L5215">
        <v>608.91999999999996</v>
      </c>
      <c r="M5215">
        <f>VLOOKUP(K5215,RatingLookup!$A$2:$C$8,2,FALSE)</f>
        <v>0.12</v>
      </c>
      <c r="N5215">
        <f t="shared" si="243"/>
        <v>1.0596241035318976E-2</v>
      </c>
      <c r="O5215">
        <f>VLOOKUP(K5215,RatingLookup!$A$2:$C$8,3,FALSE)</f>
        <v>0.7</v>
      </c>
      <c r="P5215">
        <f t="shared" si="244"/>
        <v>4.5165841638585009</v>
      </c>
      <c r="Q5215" t="str">
        <f t="shared" ca="1" si="245"/>
        <v>No</v>
      </c>
    </row>
    <row r="5216" spans="1:17" x14ac:dyDescent="0.45">
      <c r="A5216" t="s">
        <v>209</v>
      </c>
      <c r="B5216" t="s">
        <v>210</v>
      </c>
      <c r="C5216" t="s">
        <v>43</v>
      </c>
      <c r="D5216" t="s">
        <v>188</v>
      </c>
      <c r="E5216" t="s">
        <v>21</v>
      </c>
      <c r="F5216" s="1">
        <v>45474</v>
      </c>
      <c r="G5216">
        <v>1.59</v>
      </c>
      <c r="H5216">
        <v>88.396699999999996</v>
      </c>
      <c r="I5216">
        <v>18.97</v>
      </c>
      <c r="J5216">
        <v>91.6</v>
      </c>
      <c r="K5216" t="s">
        <v>32</v>
      </c>
      <c r="L5216">
        <v>573.58000000000004</v>
      </c>
      <c r="M5216">
        <f>VLOOKUP(K5216,RatingLookup!$A$2:$C$8,2,FALSE)</f>
        <v>0.12</v>
      </c>
      <c r="N5216">
        <f t="shared" si="243"/>
        <v>1.0596241035318976E-2</v>
      </c>
      <c r="O5216">
        <f>VLOOKUP(K5216,RatingLookup!$A$2:$C$8,3,FALSE)</f>
        <v>0.7</v>
      </c>
      <c r="P5216">
        <f t="shared" si="244"/>
        <v>4.2544543531267811</v>
      </c>
      <c r="Q5216" t="str">
        <f t="shared" ca="1" si="245"/>
        <v>No</v>
      </c>
    </row>
    <row r="5217" spans="1:17" x14ac:dyDescent="0.45">
      <c r="A5217" t="s">
        <v>209</v>
      </c>
      <c r="B5217" t="s">
        <v>210</v>
      </c>
      <c r="C5217" t="s">
        <v>43</v>
      </c>
      <c r="D5217" t="s">
        <v>188</v>
      </c>
      <c r="E5217" t="s">
        <v>21</v>
      </c>
      <c r="F5217" s="1">
        <v>45505</v>
      </c>
      <c r="G5217">
        <v>1.27</v>
      </c>
      <c r="H5217">
        <v>84.380600000000001</v>
      </c>
      <c r="I5217">
        <v>29.5</v>
      </c>
      <c r="J5217">
        <v>85.68</v>
      </c>
      <c r="K5217" t="s">
        <v>32</v>
      </c>
      <c r="L5217">
        <v>610.99</v>
      </c>
      <c r="M5217">
        <f>VLOOKUP(K5217,RatingLookup!$A$2:$C$8,2,FALSE)</f>
        <v>0.12</v>
      </c>
      <c r="N5217">
        <f t="shared" si="243"/>
        <v>1.0596241035318976E-2</v>
      </c>
      <c r="O5217">
        <f>VLOOKUP(K5217,RatingLookup!$A$2:$C$8,3,FALSE)</f>
        <v>0.7</v>
      </c>
      <c r="P5217">
        <f t="shared" si="244"/>
        <v>4.5319381171186786</v>
      </c>
      <c r="Q5217" t="str">
        <f t="shared" ca="1" si="245"/>
        <v>No</v>
      </c>
    </row>
    <row r="5218" spans="1:17" x14ac:dyDescent="0.45">
      <c r="A5218" t="s">
        <v>209</v>
      </c>
      <c r="B5218" t="s">
        <v>210</v>
      </c>
      <c r="C5218" t="s">
        <v>43</v>
      </c>
      <c r="D5218" t="s">
        <v>188</v>
      </c>
      <c r="E5218" t="s">
        <v>21</v>
      </c>
      <c r="F5218" s="1">
        <v>45536</v>
      </c>
      <c r="G5218">
        <v>2.08</v>
      </c>
      <c r="H5218">
        <v>82.887799999999999</v>
      </c>
      <c r="I5218">
        <v>14.27</v>
      </c>
      <c r="J5218">
        <v>85.98</v>
      </c>
      <c r="K5218" t="s">
        <v>32</v>
      </c>
      <c r="L5218">
        <v>648.58000000000004</v>
      </c>
      <c r="M5218">
        <f>VLOOKUP(K5218,RatingLookup!$A$2:$C$8,2,FALSE)</f>
        <v>0.12</v>
      </c>
      <c r="N5218">
        <f t="shared" si="243"/>
        <v>1.0596241035318976E-2</v>
      </c>
      <c r="O5218">
        <f>VLOOKUP(K5218,RatingLookup!$A$2:$C$8,3,FALSE)</f>
        <v>0.7</v>
      </c>
      <c r="P5218">
        <f t="shared" si="244"/>
        <v>4.8107570074810271</v>
      </c>
      <c r="Q5218" t="str">
        <f t="shared" ca="1" si="245"/>
        <v>No</v>
      </c>
    </row>
    <row r="5219" spans="1:17" x14ac:dyDescent="0.45">
      <c r="A5219" t="s">
        <v>209</v>
      </c>
      <c r="B5219" t="s">
        <v>210</v>
      </c>
      <c r="C5219" t="s">
        <v>43</v>
      </c>
      <c r="D5219" t="s">
        <v>188</v>
      </c>
      <c r="E5219" t="s">
        <v>21</v>
      </c>
      <c r="F5219" s="1">
        <v>45566</v>
      </c>
      <c r="G5219">
        <v>1.18</v>
      </c>
      <c r="H5219">
        <v>80.198300000000003</v>
      </c>
      <c r="I5219">
        <v>17.53</v>
      </c>
      <c r="J5219">
        <v>88.48</v>
      </c>
      <c r="K5219" t="s">
        <v>32</v>
      </c>
      <c r="L5219">
        <v>569.97</v>
      </c>
      <c r="M5219">
        <f>VLOOKUP(K5219,RatingLookup!$A$2:$C$8,2,FALSE)</f>
        <v>0.12</v>
      </c>
      <c r="N5219">
        <f t="shared" si="243"/>
        <v>1.0596241035318976E-2</v>
      </c>
      <c r="O5219">
        <f>VLOOKUP(K5219,RatingLookup!$A$2:$C$8,3,FALSE)</f>
        <v>0.7</v>
      </c>
      <c r="P5219">
        <f t="shared" si="244"/>
        <v>4.2276776520305299</v>
      </c>
      <c r="Q5219" t="str">
        <f t="shared" ca="1" si="245"/>
        <v>No</v>
      </c>
    </row>
    <row r="5220" spans="1:17" x14ac:dyDescent="0.45">
      <c r="A5220" t="s">
        <v>209</v>
      </c>
      <c r="B5220" t="s">
        <v>210</v>
      </c>
      <c r="C5220" t="s">
        <v>43</v>
      </c>
      <c r="D5220" t="s">
        <v>188</v>
      </c>
      <c r="E5220" t="s">
        <v>21</v>
      </c>
      <c r="F5220" s="1">
        <v>45597</v>
      </c>
      <c r="G5220">
        <v>0.95</v>
      </c>
      <c r="H5220">
        <v>84.0304</v>
      </c>
      <c r="I5220">
        <v>26.18</v>
      </c>
      <c r="J5220">
        <v>85.12</v>
      </c>
      <c r="K5220" t="s">
        <v>32</v>
      </c>
      <c r="L5220">
        <v>697.95</v>
      </c>
      <c r="M5220">
        <f>VLOOKUP(K5220,RatingLookup!$A$2:$C$8,2,FALSE)</f>
        <v>0.12</v>
      </c>
      <c r="N5220">
        <f t="shared" si="243"/>
        <v>1.0596241035318976E-2</v>
      </c>
      <c r="O5220">
        <f>VLOOKUP(K5220,RatingLookup!$A$2:$C$8,3,FALSE)</f>
        <v>0.7</v>
      </c>
      <c r="P5220">
        <f t="shared" si="244"/>
        <v>5.1769525014206152</v>
      </c>
      <c r="Q5220" t="str">
        <f t="shared" ca="1" si="245"/>
        <v>No</v>
      </c>
    </row>
    <row r="5221" spans="1:17" x14ac:dyDescent="0.45">
      <c r="A5221" t="s">
        <v>209</v>
      </c>
      <c r="B5221" t="s">
        <v>210</v>
      </c>
      <c r="C5221" t="s">
        <v>43</v>
      </c>
      <c r="D5221" t="s">
        <v>188</v>
      </c>
      <c r="E5221" t="s">
        <v>21</v>
      </c>
      <c r="F5221" s="1">
        <v>45627</v>
      </c>
      <c r="G5221">
        <v>1.55</v>
      </c>
      <c r="H5221">
        <v>85.687799999999996</v>
      </c>
      <c r="I5221">
        <v>31.38</v>
      </c>
      <c r="J5221">
        <v>85.98</v>
      </c>
      <c r="K5221" t="s">
        <v>32</v>
      </c>
      <c r="L5221">
        <v>687.07</v>
      </c>
      <c r="M5221">
        <f>VLOOKUP(K5221,RatingLookup!$A$2:$C$8,2,FALSE)</f>
        <v>0.12</v>
      </c>
      <c r="N5221">
        <f t="shared" si="243"/>
        <v>1.0596241035318976E-2</v>
      </c>
      <c r="O5221">
        <f>VLOOKUP(K5221,RatingLookup!$A$2:$C$8,3,FALSE)</f>
        <v>0.7</v>
      </c>
      <c r="P5221">
        <f t="shared" si="244"/>
        <v>5.0962515296956266</v>
      </c>
      <c r="Q5221" t="str">
        <f t="shared" ca="1" si="245"/>
        <v>No</v>
      </c>
    </row>
    <row r="5222" spans="1:17" x14ac:dyDescent="0.45">
      <c r="A5222" t="s">
        <v>211</v>
      </c>
      <c r="B5222" t="s">
        <v>212</v>
      </c>
      <c r="C5222" t="s">
        <v>77</v>
      </c>
      <c r="D5222" t="s">
        <v>188</v>
      </c>
      <c r="E5222" t="s">
        <v>21</v>
      </c>
      <c r="F5222" s="1">
        <v>43831</v>
      </c>
      <c r="G5222">
        <v>0.83</v>
      </c>
      <c r="H5222">
        <v>82.153499999999994</v>
      </c>
      <c r="I5222">
        <v>32.82</v>
      </c>
      <c r="J5222">
        <v>56.8</v>
      </c>
      <c r="K5222" t="s">
        <v>31</v>
      </c>
      <c r="L5222">
        <v>1791.33</v>
      </c>
      <c r="M5222">
        <f>VLOOKUP(K5222,RatingLookup!$A$2:$C$8,2,FALSE)</f>
        <v>0.04</v>
      </c>
      <c r="N5222">
        <f t="shared" si="243"/>
        <v>3.3960531989175591E-3</v>
      </c>
      <c r="O5222">
        <f>VLOOKUP(K5222,RatingLookup!$A$2:$C$8,3,FALSE)</f>
        <v>0.6</v>
      </c>
      <c r="P5222">
        <f t="shared" si="244"/>
        <v>3.6500711860901944</v>
      </c>
      <c r="Q5222" t="str">
        <f t="shared" ca="1" si="245"/>
        <v>No</v>
      </c>
    </row>
    <row r="5223" spans="1:17" x14ac:dyDescent="0.45">
      <c r="A5223" t="s">
        <v>211</v>
      </c>
      <c r="B5223" t="s">
        <v>212</v>
      </c>
      <c r="C5223" t="s">
        <v>77</v>
      </c>
      <c r="D5223" t="s">
        <v>188</v>
      </c>
      <c r="E5223" t="s">
        <v>21</v>
      </c>
      <c r="F5223" s="1">
        <v>43862</v>
      </c>
      <c r="G5223">
        <v>2.8</v>
      </c>
      <c r="H5223">
        <v>84.309799999999996</v>
      </c>
      <c r="I5223">
        <v>25.54</v>
      </c>
      <c r="J5223">
        <v>71.41</v>
      </c>
      <c r="K5223" t="s">
        <v>31</v>
      </c>
      <c r="L5223">
        <v>1714.15</v>
      </c>
      <c r="M5223">
        <f>VLOOKUP(K5223,RatingLookup!$A$2:$C$8,2,FALSE)</f>
        <v>0.04</v>
      </c>
      <c r="N5223">
        <f t="shared" si="243"/>
        <v>3.3960531989175591E-3</v>
      </c>
      <c r="O5223">
        <f>VLOOKUP(K5223,RatingLookup!$A$2:$C$8,3,FALSE)</f>
        <v>0.6</v>
      </c>
      <c r="P5223">
        <f t="shared" si="244"/>
        <v>3.4928067545547203</v>
      </c>
      <c r="Q5223" t="str">
        <f t="shared" ca="1" si="245"/>
        <v>No</v>
      </c>
    </row>
    <row r="5224" spans="1:17" x14ac:dyDescent="0.45">
      <c r="A5224" t="s">
        <v>211</v>
      </c>
      <c r="B5224" t="s">
        <v>212</v>
      </c>
      <c r="C5224" t="s">
        <v>77</v>
      </c>
      <c r="D5224" t="s">
        <v>188</v>
      </c>
      <c r="E5224" t="s">
        <v>21</v>
      </c>
      <c r="F5224" s="1">
        <v>43891</v>
      </c>
      <c r="G5224">
        <v>0.79</v>
      </c>
      <c r="H5224">
        <v>79.888000000000005</v>
      </c>
      <c r="I5224">
        <v>18.09</v>
      </c>
      <c r="J5224">
        <v>66.709999999999994</v>
      </c>
      <c r="K5224" t="s">
        <v>31</v>
      </c>
      <c r="L5224">
        <v>2031.44</v>
      </c>
      <c r="M5224">
        <f>VLOOKUP(K5224,RatingLookup!$A$2:$C$8,2,FALSE)</f>
        <v>0.04</v>
      </c>
      <c r="N5224">
        <f t="shared" si="243"/>
        <v>3.3960531989175591E-3</v>
      </c>
      <c r="O5224">
        <f>VLOOKUP(K5224,RatingLookup!$A$2:$C$8,3,FALSE)</f>
        <v>0.6</v>
      </c>
      <c r="P5224">
        <f t="shared" si="244"/>
        <v>4.139326986245452</v>
      </c>
      <c r="Q5224" t="str">
        <f t="shared" ca="1" si="245"/>
        <v>No</v>
      </c>
    </row>
    <row r="5225" spans="1:17" x14ac:dyDescent="0.45">
      <c r="A5225" t="s">
        <v>211</v>
      </c>
      <c r="B5225" t="s">
        <v>212</v>
      </c>
      <c r="C5225" t="s">
        <v>77</v>
      </c>
      <c r="D5225" t="s">
        <v>188</v>
      </c>
      <c r="E5225" t="s">
        <v>21</v>
      </c>
      <c r="F5225" s="1">
        <v>43922</v>
      </c>
      <c r="G5225">
        <v>1.26</v>
      </c>
      <c r="H5225">
        <v>90.116600000000005</v>
      </c>
      <c r="I5225">
        <v>16.079999999999998</v>
      </c>
      <c r="J5225">
        <v>77.87</v>
      </c>
      <c r="K5225" t="s">
        <v>31</v>
      </c>
      <c r="L5225">
        <v>1984.04</v>
      </c>
      <c r="M5225">
        <f>VLOOKUP(K5225,RatingLookup!$A$2:$C$8,2,FALSE)</f>
        <v>0.04</v>
      </c>
      <c r="N5225">
        <f t="shared" si="243"/>
        <v>3.3960531989175591E-3</v>
      </c>
      <c r="O5225">
        <f>VLOOKUP(K5225,RatingLookup!$A$2:$C$8,3,FALSE)</f>
        <v>0.6</v>
      </c>
      <c r="P5225">
        <f t="shared" si="244"/>
        <v>4.0427432332682365</v>
      </c>
      <c r="Q5225" t="str">
        <f t="shared" ca="1" si="245"/>
        <v>No</v>
      </c>
    </row>
    <row r="5226" spans="1:17" x14ac:dyDescent="0.45">
      <c r="A5226" t="s">
        <v>211</v>
      </c>
      <c r="B5226" t="s">
        <v>212</v>
      </c>
      <c r="C5226" t="s">
        <v>77</v>
      </c>
      <c r="D5226" t="s">
        <v>188</v>
      </c>
      <c r="E5226" t="s">
        <v>21</v>
      </c>
      <c r="F5226" s="1">
        <v>43952</v>
      </c>
      <c r="G5226">
        <v>1.27</v>
      </c>
      <c r="H5226">
        <v>86.766599999999997</v>
      </c>
      <c r="I5226">
        <v>8.4499999999999993</v>
      </c>
      <c r="J5226">
        <v>74.22</v>
      </c>
      <c r="K5226" t="s">
        <v>31</v>
      </c>
      <c r="L5226">
        <v>1783.71</v>
      </c>
      <c r="M5226">
        <f>VLOOKUP(K5226,RatingLookup!$A$2:$C$8,2,FALSE)</f>
        <v>0.04</v>
      </c>
      <c r="N5226">
        <f t="shared" si="243"/>
        <v>3.3960531989175591E-3</v>
      </c>
      <c r="O5226">
        <f>VLOOKUP(K5226,RatingLookup!$A$2:$C$8,3,FALSE)</f>
        <v>0.6</v>
      </c>
      <c r="P5226">
        <f t="shared" si="244"/>
        <v>3.6345444308647434</v>
      </c>
      <c r="Q5226" t="str">
        <f t="shared" ca="1" si="245"/>
        <v>No</v>
      </c>
    </row>
    <row r="5227" spans="1:17" x14ac:dyDescent="0.45">
      <c r="A5227" t="s">
        <v>211</v>
      </c>
      <c r="B5227" t="s">
        <v>212</v>
      </c>
      <c r="C5227" t="s">
        <v>77</v>
      </c>
      <c r="D5227" t="s">
        <v>188</v>
      </c>
      <c r="E5227" t="s">
        <v>21</v>
      </c>
      <c r="F5227" s="1">
        <v>43983</v>
      </c>
      <c r="G5227">
        <v>0.82</v>
      </c>
      <c r="H5227">
        <v>84.402500000000003</v>
      </c>
      <c r="I5227">
        <v>22.35</v>
      </c>
      <c r="J5227">
        <v>60.78</v>
      </c>
      <c r="K5227" t="s">
        <v>31</v>
      </c>
      <c r="L5227">
        <v>1908.86</v>
      </c>
      <c r="M5227">
        <f>VLOOKUP(K5227,RatingLookup!$A$2:$C$8,2,FALSE)</f>
        <v>0.04</v>
      </c>
      <c r="N5227">
        <f t="shared" si="243"/>
        <v>3.3960531989175591E-3</v>
      </c>
      <c r="O5227">
        <f>VLOOKUP(K5227,RatingLookup!$A$2:$C$8,3,FALSE)</f>
        <v>0.6</v>
      </c>
      <c r="P5227">
        <f t="shared" si="244"/>
        <v>3.8895540655714629</v>
      </c>
      <c r="Q5227" t="str">
        <f t="shared" ca="1" si="245"/>
        <v>No</v>
      </c>
    </row>
    <row r="5228" spans="1:17" x14ac:dyDescent="0.45">
      <c r="A5228" t="s">
        <v>211</v>
      </c>
      <c r="B5228" t="s">
        <v>212</v>
      </c>
      <c r="C5228" t="s">
        <v>77</v>
      </c>
      <c r="D5228" t="s">
        <v>188</v>
      </c>
      <c r="E5228" t="s">
        <v>21</v>
      </c>
      <c r="F5228" s="1">
        <v>44013</v>
      </c>
      <c r="G5228">
        <v>1.37</v>
      </c>
      <c r="H5228">
        <v>86.284099999999995</v>
      </c>
      <c r="I5228">
        <v>16.47</v>
      </c>
      <c r="J5228">
        <v>83.24</v>
      </c>
      <c r="K5228" t="s">
        <v>31</v>
      </c>
      <c r="L5228">
        <v>1954.39</v>
      </c>
      <c r="M5228">
        <f>VLOOKUP(K5228,RatingLookup!$A$2:$C$8,2,FALSE)</f>
        <v>0.04</v>
      </c>
      <c r="N5228">
        <f t="shared" si="243"/>
        <v>3.3960531989175591E-3</v>
      </c>
      <c r="O5228">
        <f>VLOOKUP(K5228,RatingLookup!$A$2:$C$8,3,FALSE)</f>
        <v>0.6</v>
      </c>
      <c r="P5228">
        <f t="shared" si="244"/>
        <v>3.9823274468594931</v>
      </c>
      <c r="Q5228" t="str">
        <f t="shared" ca="1" si="245"/>
        <v>No</v>
      </c>
    </row>
    <row r="5229" spans="1:17" x14ac:dyDescent="0.45">
      <c r="A5229" t="s">
        <v>211</v>
      </c>
      <c r="B5229" t="s">
        <v>212</v>
      </c>
      <c r="C5229" t="s">
        <v>77</v>
      </c>
      <c r="D5229" t="s">
        <v>188</v>
      </c>
      <c r="E5229" t="s">
        <v>21</v>
      </c>
      <c r="F5229" s="1">
        <v>44044</v>
      </c>
      <c r="G5229">
        <v>2.0299999999999998</v>
      </c>
      <c r="H5229">
        <v>82.825699999999998</v>
      </c>
      <c r="I5229">
        <v>14.82</v>
      </c>
      <c r="J5229">
        <v>67.180000000000007</v>
      </c>
      <c r="K5229" t="s">
        <v>31</v>
      </c>
      <c r="L5229">
        <v>1864.35</v>
      </c>
      <c r="M5229">
        <f>VLOOKUP(K5229,RatingLookup!$A$2:$C$8,2,FALSE)</f>
        <v>0.04</v>
      </c>
      <c r="N5229">
        <f t="shared" si="243"/>
        <v>3.3960531989175591E-3</v>
      </c>
      <c r="O5229">
        <f>VLOOKUP(K5229,RatingLookup!$A$2:$C$8,3,FALSE)</f>
        <v>0.6</v>
      </c>
      <c r="P5229">
        <f t="shared" si="244"/>
        <v>3.7988590688411707</v>
      </c>
      <c r="Q5229" t="str">
        <f t="shared" ca="1" si="245"/>
        <v>No</v>
      </c>
    </row>
    <row r="5230" spans="1:17" x14ac:dyDescent="0.45">
      <c r="A5230" t="s">
        <v>211</v>
      </c>
      <c r="B5230" t="s">
        <v>212</v>
      </c>
      <c r="C5230" t="s">
        <v>77</v>
      </c>
      <c r="D5230" t="s">
        <v>188</v>
      </c>
      <c r="E5230" t="s">
        <v>21</v>
      </c>
      <c r="F5230" s="1">
        <v>44075</v>
      </c>
      <c r="G5230">
        <v>1.34</v>
      </c>
      <c r="H5230">
        <v>80.772400000000005</v>
      </c>
      <c r="I5230">
        <v>16.62</v>
      </c>
      <c r="J5230">
        <v>71.489999999999995</v>
      </c>
      <c r="K5230" t="s">
        <v>31</v>
      </c>
      <c r="L5230">
        <v>2053.63</v>
      </c>
      <c r="M5230">
        <f>VLOOKUP(K5230,RatingLookup!$A$2:$C$8,2,FALSE)</f>
        <v>0.04</v>
      </c>
      <c r="N5230">
        <f t="shared" si="243"/>
        <v>3.3960531989175591E-3</v>
      </c>
      <c r="O5230">
        <f>VLOOKUP(K5230,RatingLookup!$A$2:$C$8,3,FALSE)</f>
        <v>0.6</v>
      </c>
      <c r="P5230">
        <f t="shared" si="244"/>
        <v>4.1845420385358398</v>
      </c>
      <c r="Q5230" t="str">
        <f t="shared" ca="1" si="245"/>
        <v>No</v>
      </c>
    </row>
    <row r="5231" spans="1:17" x14ac:dyDescent="0.45">
      <c r="A5231" t="s">
        <v>211</v>
      </c>
      <c r="B5231" t="s">
        <v>212</v>
      </c>
      <c r="C5231" t="s">
        <v>77</v>
      </c>
      <c r="D5231" t="s">
        <v>188</v>
      </c>
      <c r="E5231" t="s">
        <v>21</v>
      </c>
      <c r="F5231" s="1">
        <v>44105</v>
      </c>
      <c r="G5231">
        <v>2.56</v>
      </c>
      <c r="H5231">
        <v>81.619600000000005</v>
      </c>
      <c r="I5231">
        <v>19.61</v>
      </c>
      <c r="J5231">
        <v>74.88</v>
      </c>
      <c r="K5231" t="s">
        <v>31</v>
      </c>
      <c r="L5231">
        <v>1854.73</v>
      </c>
      <c r="M5231">
        <f>VLOOKUP(K5231,RatingLookup!$A$2:$C$8,2,FALSE)</f>
        <v>0.04</v>
      </c>
      <c r="N5231">
        <f t="shared" si="243"/>
        <v>3.3960531989175591E-3</v>
      </c>
      <c r="O5231">
        <f>VLOOKUP(K5231,RatingLookup!$A$2:$C$8,3,FALSE)</f>
        <v>0.6</v>
      </c>
      <c r="P5231">
        <f t="shared" si="244"/>
        <v>3.7792570497770184</v>
      </c>
      <c r="Q5231" t="str">
        <f t="shared" ca="1" si="245"/>
        <v>No</v>
      </c>
    </row>
    <row r="5232" spans="1:17" x14ac:dyDescent="0.45">
      <c r="A5232" t="s">
        <v>211</v>
      </c>
      <c r="B5232" t="s">
        <v>212</v>
      </c>
      <c r="C5232" t="s">
        <v>77</v>
      </c>
      <c r="D5232" t="s">
        <v>188</v>
      </c>
      <c r="E5232" t="s">
        <v>21</v>
      </c>
      <c r="F5232" s="1">
        <v>44136</v>
      </c>
      <c r="G5232">
        <v>1.97</v>
      </c>
      <c r="H5232">
        <v>80.030699999999996</v>
      </c>
      <c r="I5232">
        <v>14.63</v>
      </c>
      <c r="J5232">
        <v>61.59</v>
      </c>
      <c r="K5232" t="s">
        <v>31</v>
      </c>
      <c r="L5232">
        <v>1815.57</v>
      </c>
      <c r="M5232">
        <f>VLOOKUP(K5232,RatingLookup!$A$2:$C$8,2,FALSE)</f>
        <v>0.04</v>
      </c>
      <c r="N5232">
        <f t="shared" si="243"/>
        <v>3.3960531989175591E-3</v>
      </c>
      <c r="O5232">
        <f>VLOOKUP(K5232,RatingLookup!$A$2:$C$8,3,FALSE)</f>
        <v>0.6</v>
      </c>
      <c r="P5232">
        <f t="shared" si="244"/>
        <v>3.6994633838152513</v>
      </c>
      <c r="Q5232" t="str">
        <f t="shared" ca="1" si="245"/>
        <v>No</v>
      </c>
    </row>
    <row r="5233" spans="1:17" x14ac:dyDescent="0.45">
      <c r="A5233" t="s">
        <v>211</v>
      </c>
      <c r="B5233" t="s">
        <v>212</v>
      </c>
      <c r="C5233" t="s">
        <v>77</v>
      </c>
      <c r="D5233" t="s">
        <v>188</v>
      </c>
      <c r="E5233" t="s">
        <v>21</v>
      </c>
      <c r="F5233" s="1">
        <v>44166</v>
      </c>
      <c r="G5233">
        <v>1.52</v>
      </c>
      <c r="H5233">
        <v>80.034499999999994</v>
      </c>
      <c r="I5233">
        <v>8.43</v>
      </c>
      <c r="J5233">
        <v>77</v>
      </c>
      <c r="K5233" t="s">
        <v>31</v>
      </c>
      <c r="L5233">
        <v>1834.45</v>
      </c>
      <c r="M5233">
        <f>VLOOKUP(K5233,RatingLookup!$A$2:$C$8,2,FALSE)</f>
        <v>0.04</v>
      </c>
      <c r="N5233">
        <f t="shared" si="243"/>
        <v>3.3960531989175591E-3</v>
      </c>
      <c r="O5233">
        <f>VLOOKUP(K5233,RatingLookup!$A$2:$C$8,3,FALSE)</f>
        <v>0.6</v>
      </c>
      <c r="P5233">
        <f t="shared" si="244"/>
        <v>3.7379338744525894</v>
      </c>
      <c r="Q5233" t="str">
        <f t="shared" ca="1" si="245"/>
        <v>No</v>
      </c>
    </row>
    <row r="5234" spans="1:17" x14ac:dyDescent="0.45">
      <c r="A5234" t="s">
        <v>211</v>
      </c>
      <c r="B5234" t="s">
        <v>212</v>
      </c>
      <c r="C5234" t="s">
        <v>77</v>
      </c>
      <c r="D5234" t="s">
        <v>188</v>
      </c>
      <c r="E5234" t="s">
        <v>21</v>
      </c>
      <c r="F5234" s="1">
        <v>44197</v>
      </c>
      <c r="G5234">
        <v>1.24</v>
      </c>
      <c r="H5234">
        <v>83.382599999999996</v>
      </c>
      <c r="I5234">
        <v>22.49</v>
      </c>
      <c r="J5234">
        <v>71.040000000000006</v>
      </c>
      <c r="K5234" t="s">
        <v>30</v>
      </c>
      <c r="L5234">
        <v>1832.04</v>
      </c>
      <c r="M5234">
        <f>VLOOKUP(K5234,RatingLookup!$A$2:$C$8,2,FALSE)</f>
        <v>1.4999999999999999E-2</v>
      </c>
      <c r="N5234">
        <f t="shared" si="243"/>
        <v>1.2586770182638762E-3</v>
      </c>
      <c r="O5234">
        <f>VLOOKUP(K5234,RatingLookup!$A$2:$C$8,3,FALSE)</f>
        <v>0.5</v>
      </c>
      <c r="P5234">
        <f t="shared" si="244"/>
        <v>1.152973322270076</v>
      </c>
      <c r="Q5234" t="str">
        <f t="shared" ca="1" si="245"/>
        <v>No</v>
      </c>
    </row>
    <row r="5235" spans="1:17" x14ac:dyDescent="0.45">
      <c r="A5235" t="s">
        <v>211</v>
      </c>
      <c r="B5235" t="s">
        <v>212</v>
      </c>
      <c r="C5235" t="s">
        <v>77</v>
      </c>
      <c r="D5235" t="s">
        <v>188</v>
      </c>
      <c r="E5235" t="s">
        <v>21</v>
      </c>
      <c r="F5235" s="1">
        <v>44228</v>
      </c>
      <c r="G5235">
        <v>1.21</v>
      </c>
      <c r="H5235">
        <v>76.028800000000004</v>
      </c>
      <c r="I5235">
        <v>15.73</v>
      </c>
      <c r="J5235">
        <v>80.599999999999994</v>
      </c>
      <c r="K5235" t="s">
        <v>30</v>
      </c>
      <c r="L5235">
        <v>2051.61</v>
      </c>
      <c r="M5235">
        <f>VLOOKUP(K5235,RatingLookup!$A$2:$C$8,2,FALSE)</f>
        <v>1.4999999999999999E-2</v>
      </c>
      <c r="N5235">
        <f t="shared" si="243"/>
        <v>1.2586770182638762E-3</v>
      </c>
      <c r="O5235">
        <f>VLOOKUP(K5235,RatingLookup!$A$2:$C$8,3,FALSE)</f>
        <v>0.5</v>
      </c>
      <c r="P5235">
        <f t="shared" si="244"/>
        <v>1.2911571787201757</v>
      </c>
      <c r="Q5235" t="str">
        <f t="shared" ca="1" si="245"/>
        <v>No</v>
      </c>
    </row>
    <row r="5236" spans="1:17" x14ac:dyDescent="0.45">
      <c r="A5236" t="s">
        <v>211</v>
      </c>
      <c r="B5236" t="s">
        <v>212</v>
      </c>
      <c r="C5236" t="s">
        <v>77</v>
      </c>
      <c r="D5236" t="s">
        <v>188</v>
      </c>
      <c r="E5236" t="s">
        <v>21</v>
      </c>
      <c r="F5236" s="1">
        <v>44256</v>
      </c>
      <c r="G5236">
        <v>1.56</v>
      </c>
      <c r="H5236">
        <v>80.973100000000002</v>
      </c>
      <c r="I5236">
        <v>10.210000000000001</v>
      </c>
      <c r="J5236">
        <v>63.88</v>
      </c>
      <c r="K5236" t="s">
        <v>30</v>
      </c>
      <c r="L5236">
        <v>1977.04</v>
      </c>
      <c r="M5236">
        <f>VLOOKUP(K5236,RatingLookup!$A$2:$C$8,2,FALSE)</f>
        <v>1.4999999999999999E-2</v>
      </c>
      <c r="N5236">
        <f t="shared" si="243"/>
        <v>1.2586770182638762E-3</v>
      </c>
      <c r="O5236">
        <f>VLOOKUP(K5236,RatingLookup!$A$2:$C$8,3,FALSE)</f>
        <v>0.5</v>
      </c>
      <c r="P5236">
        <f t="shared" si="244"/>
        <v>1.2442274060942069</v>
      </c>
      <c r="Q5236" t="str">
        <f t="shared" ca="1" si="245"/>
        <v>No</v>
      </c>
    </row>
    <row r="5237" spans="1:17" x14ac:dyDescent="0.45">
      <c r="A5237" t="s">
        <v>211</v>
      </c>
      <c r="B5237" t="s">
        <v>212</v>
      </c>
      <c r="C5237" t="s">
        <v>77</v>
      </c>
      <c r="D5237" t="s">
        <v>188</v>
      </c>
      <c r="E5237" t="s">
        <v>21</v>
      </c>
      <c r="F5237" s="1">
        <v>44287</v>
      </c>
      <c r="G5237">
        <v>1.57</v>
      </c>
      <c r="H5237">
        <v>84.233500000000006</v>
      </c>
      <c r="I5237">
        <v>12.33</v>
      </c>
      <c r="J5237">
        <v>83.26</v>
      </c>
      <c r="K5237" t="s">
        <v>30</v>
      </c>
      <c r="L5237">
        <v>1891.11</v>
      </c>
      <c r="M5237">
        <f>VLOOKUP(K5237,RatingLookup!$A$2:$C$8,2,FALSE)</f>
        <v>1.4999999999999999E-2</v>
      </c>
      <c r="N5237">
        <f t="shared" si="243"/>
        <v>1.2586770182638762E-3</v>
      </c>
      <c r="O5237">
        <f>VLOOKUP(K5237,RatingLookup!$A$2:$C$8,3,FALSE)</f>
        <v>0.5</v>
      </c>
      <c r="P5237">
        <f t="shared" si="244"/>
        <v>1.1901483480044994</v>
      </c>
      <c r="Q5237" t="str">
        <f t="shared" ca="1" si="245"/>
        <v>No</v>
      </c>
    </row>
    <row r="5238" spans="1:17" x14ac:dyDescent="0.45">
      <c r="A5238" t="s">
        <v>211</v>
      </c>
      <c r="B5238" t="s">
        <v>212</v>
      </c>
      <c r="C5238" t="s">
        <v>77</v>
      </c>
      <c r="D5238" t="s">
        <v>188</v>
      </c>
      <c r="E5238" t="s">
        <v>21</v>
      </c>
      <c r="F5238" s="1">
        <v>44317</v>
      </c>
      <c r="G5238">
        <v>0.24</v>
      </c>
      <c r="H5238">
        <v>80.123699999999999</v>
      </c>
      <c r="I5238">
        <v>27.91</v>
      </c>
      <c r="J5238">
        <v>85.95</v>
      </c>
      <c r="K5238" t="s">
        <v>30</v>
      </c>
      <c r="L5238">
        <v>1883.46</v>
      </c>
      <c r="M5238">
        <f>VLOOKUP(K5238,RatingLookup!$A$2:$C$8,2,FALSE)</f>
        <v>1.4999999999999999E-2</v>
      </c>
      <c r="N5238">
        <f t="shared" si="243"/>
        <v>1.2586770182638762E-3</v>
      </c>
      <c r="O5238">
        <f>VLOOKUP(K5238,RatingLookup!$A$2:$C$8,3,FALSE)</f>
        <v>0.5</v>
      </c>
      <c r="P5238">
        <f t="shared" si="244"/>
        <v>1.1853339084096401</v>
      </c>
      <c r="Q5238" t="str">
        <f t="shared" ca="1" si="245"/>
        <v>No</v>
      </c>
    </row>
    <row r="5239" spans="1:17" x14ac:dyDescent="0.45">
      <c r="A5239" t="s">
        <v>211</v>
      </c>
      <c r="B5239" t="s">
        <v>212</v>
      </c>
      <c r="C5239" t="s">
        <v>77</v>
      </c>
      <c r="D5239" t="s">
        <v>188</v>
      </c>
      <c r="E5239" t="s">
        <v>21</v>
      </c>
      <c r="F5239" s="1">
        <v>44348</v>
      </c>
      <c r="G5239">
        <v>2.62</v>
      </c>
      <c r="H5239">
        <v>79.657200000000003</v>
      </c>
      <c r="I5239">
        <v>26.74</v>
      </c>
      <c r="J5239">
        <v>68.569999999999993</v>
      </c>
      <c r="K5239" t="s">
        <v>30</v>
      </c>
      <c r="L5239">
        <v>1933.1</v>
      </c>
      <c r="M5239">
        <f>VLOOKUP(K5239,RatingLookup!$A$2:$C$8,2,FALSE)</f>
        <v>1.4999999999999999E-2</v>
      </c>
      <c r="N5239">
        <f t="shared" si="243"/>
        <v>1.2586770182638762E-3</v>
      </c>
      <c r="O5239">
        <f>VLOOKUP(K5239,RatingLookup!$A$2:$C$8,3,FALSE)</f>
        <v>0.5</v>
      </c>
      <c r="P5239">
        <f t="shared" si="244"/>
        <v>1.2165742720029495</v>
      </c>
      <c r="Q5239" t="str">
        <f t="shared" ca="1" si="245"/>
        <v>No</v>
      </c>
    </row>
    <row r="5240" spans="1:17" x14ac:dyDescent="0.45">
      <c r="A5240" t="s">
        <v>211</v>
      </c>
      <c r="B5240" t="s">
        <v>212</v>
      </c>
      <c r="C5240" t="s">
        <v>77</v>
      </c>
      <c r="D5240" t="s">
        <v>188</v>
      </c>
      <c r="E5240" t="s">
        <v>21</v>
      </c>
      <c r="F5240" s="1">
        <v>44378</v>
      </c>
      <c r="G5240">
        <v>1.51</v>
      </c>
      <c r="H5240">
        <v>78.184600000000003</v>
      </c>
      <c r="I5240">
        <v>24.34</v>
      </c>
      <c r="J5240">
        <v>58.63</v>
      </c>
      <c r="K5240" t="s">
        <v>30</v>
      </c>
      <c r="L5240">
        <v>2045.69</v>
      </c>
      <c r="M5240">
        <f>VLOOKUP(K5240,RatingLookup!$A$2:$C$8,2,FALSE)</f>
        <v>1.4999999999999999E-2</v>
      </c>
      <c r="N5240">
        <f t="shared" si="243"/>
        <v>1.2586770182638762E-3</v>
      </c>
      <c r="O5240">
        <f>VLOOKUP(K5240,RatingLookup!$A$2:$C$8,3,FALSE)</f>
        <v>0.5</v>
      </c>
      <c r="P5240">
        <f t="shared" si="244"/>
        <v>1.2874314947461145</v>
      </c>
      <c r="Q5240" t="str">
        <f t="shared" ca="1" si="245"/>
        <v>No</v>
      </c>
    </row>
    <row r="5241" spans="1:17" x14ac:dyDescent="0.45">
      <c r="A5241" t="s">
        <v>211</v>
      </c>
      <c r="B5241" t="s">
        <v>212</v>
      </c>
      <c r="C5241" t="s">
        <v>77</v>
      </c>
      <c r="D5241" t="s">
        <v>188</v>
      </c>
      <c r="E5241" t="s">
        <v>21</v>
      </c>
      <c r="F5241" s="1">
        <v>44409</v>
      </c>
      <c r="G5241">
        <v>0.49</v>
      </c>
      <c r="H5241">
        <v>85.9983</v>
      </c>
      <c r="I5241">
        <v>18.95</v>
      </c>
      <c r="J5241">
        <v>73.290000000000006</v>
      </c>
      <c r="K5241" t="s">
        <v>30</v>
      </c>
      <c r="L5241">
        <v>1929.42</v>
      </c>
      <c r="M5241">
        <f>VLOOKUP(K5241,RatingLookup!$A$2:$C$8,2,FALSE)</f>
        <v>1.4999999999999999E-2</v>
      </c>
      <c r="N5241">
        <f t="shared" si="243"/>
        <v>1.2586770182638762E-3</v>
      </c>
      <c r="O5241">
        <f>VLOOKUP(K5241,RatingLookup!$A$2:$C$8,3,FALSE)</f>
        <v>0.5</v>
      </c>
      <c r="P5241">
        <f t="shared" si="244"/>
        <v>1.2142583062893442</v>
      </c>
      <c r="Q5241" t="str">
        <f t="shared" ca="1" si="245"/>
        <v>No</v>
      </c>
    </row>
    <row r="5242" spans="1:17" x14ac:dyDescent="0.45">
      <c r="A5242" t="s">
        <v>211</v>
      </c>
      <c r="B5242" t="s">
        <v>212</v>
      </c>
      <c r="C5242" t="s">
        <v>77</v>
      </c>
      <c r="D5242" t="s">
        <v>188</v>
      </c>
      <c r="E5242" t="s">
        <v>21</v>
      </c>
      <c r="F5242" s="1">
        <v>44440</v>
      </c>
      <c r="G5242">
        <v>1.1299999999999999</v>
      </c>
      <c r="H5242">
        <v>81.764600000000002</v>
      </c>
      <c r="I5242">
        <v>18.91</v>
      </c>
      <c r="J5242">
        <v>79.77</v>
      </c>
      <c r="K5242" t="s">
        <v>30</v>
      </c>
      <c r="L5242">
        <v>1960.78</v>
      </c>
      <c r="M5242">
        <f>VLOOKUP(K5242,RatingLookup!$A$2:$C$8,2,FALSE)</f>
        <v>1.4999999999999999E-2</v>
      </c>
      <c r="N5242">
        <f t="shared" si="243"/>
        <v>1.2586770182638762E-3</v>
      </c>
      <c r="O5242">
        <f>VLOOKUP(K5242,RatingLookup!$A$2:$C$8,3,FALSE)</f>
        <v>0.5</v>
      </c>
      <c r="P5242">
        <f t="shared" si="244"/>
        <v>1.2339943619357217</v>
      </c>
      <c r="Q5242" t="str">
        <f t="shared" ca="1" si="245"/>
        <v>No</v>
      </c>
    </row>
    <row r="5243" spans="1:17" x14ac:dyDescent="0.45">
      <c r="A5243" t="s">
        <v>211</v>
      </c>
      <c r="B5243" t="s">
        <v>212</v>
      </c>
      <c r="C5243" t="s">
        <v>77</v>
      </c>
      <c r="D5243" t="s">
        <v>188</v>
      </c>
      <c r="E5243" t="s">
        <v>21</v>
      </c>
      <c r="F5243" s="1">
        <v>44470</v>
      </c>
      <c r="G5243">
        <v>2.2400000000000002</v>
      </c>
      <c r="H5243">
        <v>84.257499999999993</v>
      </c>
      <c r="I5243">
        <v>23.64</v>
      </c>
      <c r="J5243">
        <v>59.72</v>
      </c>
      <c r="K5243" t="s">
        <v>30</v>
      </c>
      <c r="L5243">
        <v>1878.7</v>
      </c>
      <c r="M5243">
        <f>VLOOKUP(K5243,RatingLookup!$A$2:$C$8,2,FALSE)</f>
        <v>1.4999999999999999E-2</v>
      </c>
      <c r="N5243">
        <f t="shared" si="243"/>
        <v>1.2586770182638762E-3</v>
      </c>
      <c r="O5243">
        <f>VLOOKUP(K5243,RatingLookup!$A$2:$C$8,3,FALSE)</f>
        <v>0.5</v>
      </c>
      <c r="P5243">
        <f t="shared" si="244"/>
        <v>1.1823382571061722</v>
      </c>
      <c r="Q5243" t="str">
        <f t="shared" ca="1" si="245"/>
        <v>No</v>
      </c>
    </row>
    <row r="5244" spans="1:17" x14ac:dyDescent="0.45">
      <c r="A5244" t="s">
        <v>211</v>
      </c>
      <c r="B5244" t="s">
        <v>212</v>
      </c>
      <c r="C5244" t="s">
        <v>77</v>
      </c>
      <c r="D5244" t="s">
        <v>188</v>
      </c>
      <c r="E5244" t="s">
        <v>21</v>
      </c>
      <c r="F5244" s="1">
        <v>44501</v>
      </c>
      <c r="G5244">
        <v>2.25</v>
      </c>
      <c r="H5244">
        <v>84.387299999999996</v>
      </c>
      <c r="I5244">
        <v>23.36</v>
      </c>
      <c r="J5244">
        <v>73.25</v>
      </c>
      <c r="K5244" t="s">
        <v>30</v>
      </c>
      <c r="L5244">
        <v>1885.8</v>
      </c>
      <c r="M5244">
        <f>VLOOKUP(K5244,RatingLookup!$A$2:$C$8,2,FALSE)</f>
        <v>1.4999999999999999E-2</v>
      </c>
      <c r="N5244">
        <f t="shared" si="243"/>
        <v>1.2586770182638762E-3</v>
      </c>
      <c r="O5244">
        <f>VLOOKUP(K5244,RatingLookup!$A$2:$C$8,3,FALSE)</f>
        <v>0.5</v>
      </c>
      <c r="P5244">
        <f t="shared" si="244"/>
        <v>1.186806560521009</v>
      </c>
      <c r="Q5244" t="str">
        <f t="shared" ca="1" si="245"/>
        <v>No</v>
      </c>
    </row>
    <row r="5245" spans="1:17" x14ac:dyDescent="0.45">
      <c r="A5245" t="s">
        <v>211</v>
      </c>
      <c r="B5245" t="s">
        <v>212</v>
      </c>
      <c r="C5245" t="s">
        <v>77</v>
      </c>
      <c r="D5245" t="s">
        <v>188</v>
      </c>
      <c r="E5245" t="s">
        <v>21</v>
      </c>
      <c r="F5245" s="1">
        <v>44531</v>
      </c>
      <c r="G5245">
        <v>1.1399999999999999</v>
      </c>
      <c r="H5245">
        <v>81.087800000000001</v>
      </c>
      <c r="I5245">
        <v>10.66</v>
      </c>
      <c r="J5245">
        <v>80.180000000000007</v>
      </c>
      <c r="K5245" t="s">
        <v>30</v>
      </c>
      <c r="L5245">
        <v>1932.37</v>
      </c>
      <c r="M5245">
        <f>VLOOKUP(K5245,RatingLookup!$A$2:$C$8,2,FALSE)</f>
        <v>1.4999999999999999E-2</v>
      </c>
      <c r="N5245">
        <f t="shared" si="243"/>
        <v>1.2586770182638762E-3</v>
      </c>
      <c r="O5245">
        <f>VLOOKUP(K5245,RatingLookup!$A$2:$C$8,3,FALSE)</f>
        <v>0.5</v>
      </c>
      <c r="P5245">
        <f t="shared" si="244"/>
        <v>1.2161148548912832</v>
      </c>
      <c r="Q5245" t="str">
        <f t="shared" ca="1" si="245"/>
        <v>No</v>
      </c>
    </row>
    <row r="5246" spans="1:17" x14ac:dyDescent="0.45">
      <c r="A5246" t="s">
        <v>211</v>
      </c>
      <c r="B5246" t="s">
        <v>212</v>
      </c>
      <c r="C5246" t="s">
        <v>77</v>
      </c>
      <c r="D5246" t="s">
        <v>188</v>
      </c>
      <c r="E5246" t="s">
        <v>21</v>
      </c>
      <c r="F5246" s="1">
        <v>44562</v>
      </c>
      <c r="G5246">
        <v>1.51</v>
      </c>
      <c r="H5246">
        <v>80.874099999999999</v>
      </c>
      <c r="I5246">
        <v>14.58</v>
      </c>
      <c r="J5246">
        <v>67.790000000000006</v>
      </c>
      <c r="K5246" t="s">
        <v>30</v>
      </c>
      <c r="L5246">
        <v>1856.22</v>
      </c>
      <c r="M5246">
        <f>VLOOKUP(K5246,RatingLookup!$A$2:$C$8,2,FALSE)</f>
        <v>1.4999999999999999E-2</v>
      </c>
      <c r="N5246">
        <f t="shared" si="243"/>
        <v>1.2586770182638762E-3</v>
      </c>
      <c r="O5246">
        <f>VLOOKUP(K5246,RatingLookup!$A$2:$C$8,3,FALSE)</f>
        <v>0.5</v>
      </c>
      <c r="P5246">
        <f t="shared" si="244"/>
        <v>1.1681907274208863</v>
      </c>
      <c r="Q5246" t="str">
        <f t="shared" ca="1" si="245"/>
        <v>No</v>
      </c>
    </row>
    <row r="5247" spans="1:17" x14ac:dyDescent="0.45">
      <c r="A5247" t="s">
        <v>211</v>
      </c>
      <c r="B5247" t="s">
        <v>212</v>
      </c>
      <c r="C5247" t="s">
        <v>77</v>
      </c>
      <c r="D5247" t="s">
        <v>188</v>
      </c>
      <c r="E5247" t="s">
        <v>21</v>
      </c>
      <c r="F5247" s="1">
        <v>44593</v>
      </c>
      <c r="G5247">
        <v>0.75</v>
      </c>
      <c r="H5247">
        <v>82.820899999999995</v>
      </c>
      <c r="I5247">
        <v>16.32</v>
      </c>
      <c r="J5247">
        <v>76.44</v>
      </c>
      <c r="K5247" t="s">
        <v>30</v>
      </c>
      <c r="L5247">
        <v>2108.4</v>
      </c>
      <c r="M5247">
        <f>VLOOKUP(K5247,RatingLookup!$A$2:$C$8,2,FALSE)</f>
        <v>1.4999999999999999E-2</v>
      </c>
      <c r="N5247">
        <f t="shared" si="243"/>
        <v>1.2586770182638762E-3</v>
      </c>
      <c r="O5247">
        <f>VLOOKUP(K5247,RatingLookup!$A$2:$C$8,3,FALSE)</f>
        <v>0.5</v>
      </c>
      <c r="P5247">
        <f t="shared" si="244"/>
        <v>1.3268973126537784</v>
      </c>
      <c r="Q5247" t="str">
        <f t="shared" ca="1" si="245"/>
        <v>No</v>
      </c>
    </row>
    <row r="5248" spans="1:17" x14ac:dyDescent="0.45">
      <c r="A5248" t="s">
        <v>211</v>
      </c>
      <c r="B5248" t="s">
        <v>212</v>
      </c>
      <c r="C5248" t="s">
        <v>77</v>
      </c>
      <c r="D5248" t="s">
        <v>188</v>
      </c>
      <c r="E5248" t="s">
        <v>21</v>
      </c>
      <c r="F5248" s="1">
        <v>44621</v>
      </c>
      <c r="G5248">
        <v>0.57999999999999996</v>
      </c>
      <c r="H5248">
        <v>85.105599999999995</v>
      </c>
      <c r="I5248">
        <v>16.27</v>
      </c>
      <c r="J5248">
        <v>77.16</v>
      </c>
      <c r="K5248" t="s">
        <v>31</v>
      </c>
      <c r="L5248">
        <v>1877.11</v>
      </c>
      <c r="M5248">
        <f>VLOOKUP(K5248,RatingLookup!$A$2:$C$8,2,FALSE)</f>
        <v>0.04</v>
      </c>
      <c r="N5248">
        <f t="shared" si="243"/>
        <v>3.3960531989175591E-3</v>
      </c>
      <c r="O5248">
        <f>VLOOKUP(K5248,RatingLookup!$A$2:$C$8,3,FALSE)</f>
        <v>0.6</v>
      </c>
      <c r="P5248">
        <f t="shared" si="244"/>
        <v>3.8248592521320832</v>
      </c>
      <c r="Q5248" t="str">
        <f t="shared" ca="1" si="245"/>
        <v>No</v>
      </c>
    </row>
    <row r="5249" spans="1:17" x14ac:dyDescent="0.45">
      <c r="A5249" t="s">
        <v>211</v>
      </c>
      <c r="B5249" t="s">
        <v>212</v>
      </c>
      <c r="C5249" t="s">
        <v>77</v>
      </c>
      <c r="D5249" t="s">
        <v>188</v>
      </c>
      <c r="E5249" t="s">
        <v>21</v>
      </c>
      <c r="F5249" s="1">
        <v>44652</v>
      </c>
      <c r="G5249">
        <v>1.04</v>
      </c>
      <c r="H5249">
        <v>83.334800000000001</v>
      </c>
      <c r="I5249">
        <v>12.94</v>
      </c>
      <c r="J5249">
        <v>86.15</v>
      </c>
      <c r="K5249" t="s">
        <v>31</v>
      </c>
      <c r="L5249">
        <v>1841</v>
      </c>
      <c r="M5249">
        <f>VLOOKUP(K5249,RatingLookup!$A$2:$C$8,2,FALSE)</f>
        <v>0.04</v>
      </c>
      <c r="N5249">
        <f t="shared" si="243"/>
        <v>3.3960531989175591E-3</v>
      </c>
      <c r="O5249">
        <f>VLOOKUP(K5249,RatingLookup!$A$2:$C$8,3,FALSE)</f>
        <v>0.6</v>
      </c>
      <c r="P5249">
        <f t="shared" si="244"/>
        <v>3.7512803635243355</v>
      </c>
      <c r="Q5249" t="str">
        <f t="shared" ca="1" si="245"/>
        <v>No</v>
      </c>
    </row>
    <row r="5250" spans="1:17" x14ac:dyDescent="0.45">
      <c r="A5250" t="s">
        <v>211</v>
      </c>
      <c r="B5250" t="s">
        <v>212</v>
      </c>
      <c r="C5250" t="s">
        <v>77</v>
      </c>
      <c r="D5250" t="s">
        <v>188</v>
      </c>
      <c r="E5250" t="s">
        <v>21</v>
      </c>
      <c r="F5250" s="1">
        <v>44682</v>
      </c>
      <c r="G5250">
        <v>0.93</v>
      </c>
      <c r="H5250">
        <v>87.745599999999996</v>
      </c>
      <c r="I5250">
        <v>29.35</v>
      </c>
      <c r="J5250">
        <v>78.48</v>
      </c>
      <c r="K5250" t="s">
        <v>31</v>
      </c>
      <c r="L5250">
        <v>1853.41</v>
      </c>
      <c r="M5250">
        <f>VLOOKUP(K5250,RatingLookup!$A$2:$C$8,2,FALSE)</f>
        <v>0.04</v>
      </c>
      <c r="N5250">
        <f t="shared" ref="N5250:N5313" si="246">1-(1-M5250)^(1/12)</f>
        <v>3.3960531989175591E-3</v>
      </c>
      <c r="O5250">
        <f>VLOOKUP(K5250,RatingLookup!$A$2:$C$8,3,FALSE)</f>
        <v>0.6</v>
      </c>
      <c r="P5250">
        <f t="shared" ref="P5250:P5313" si="247">L5250*N5250*O5250</f>
        <v>3.7765673756434759</v>
      </c>
      <c r="Q5250" t="str">
        <f t="shared" ref="Q5250:Q5313" ca="1" si="248">IF(RAND()&lt;N5250,"Yes","No")</f>
        <v>No</v>
      </c>
    </row>
    <row r="5251" spans="1:17" x14ac:dyDescent="0.45">
      <c r="A5251" t="s">
        <v>211</v>
      </c>
      <c r="B5251" t="s">
        <v>212</v>
      </c>
      <c r="C5251" t="s">
        <v>77</v>
      </c>
      <c r="D5251" t="s">
        <v>188</v>
      </c>
      <c r="E5251" t="s">
        <v>21</v>
      </c>
      <c r="F5251" s="1">
        <v>44713</v>
      </c>
      <c r="G5251">
        <v>1.08</v>
      </c>
      <c r="H5251">
        <v>83.055499999999995</v>
      </c>
      <c r="I5251">
        <v>19.14</v>
      </c>
      <c r="J5251">
        <v>71.010000000000005</v>
      </c>
      <c r="K5251" t="s">
        <v>31</v>
      </c>
      <c r="L5251">
        <v>1770.23</v>
      </c>
      <c r="M5251">
        <f>VLOOKUP(K5251,RatingLookup!$A$2:$C$8,2,FALSE)</f>
        <v>0.04</v>
      </c>
      <c r="N5251">
        <f t="shared" si="246"/>
        <v>3.3960531989175591E-3</v>
      </c>
      <c r="O5251">
        <f>VLOOKUP(K5251,RatingLookup!$A$2:$C$8,3,FALSE)</f>
        <v>0.6</v>
      </c>
      <c r="P5251">
        <f t="shared" si="247"/>
        <v>3.6070771525918981</v>
      </c>
      <c r="Q5251" t="str">
        <f t="shared" ca="1" si="248"/>
        <v>No</v>
      </c>
    </row>
    <row r="5252" spans="1:17" x14ac:dyDescent="0.45">
      <c r="A5252" t="s">
        <v>211</v>
      </c>
      <c r="B5252" t="s">
        <v>212</v>
      </c>
      <c r="C5252" t="s">
        <v>77</v>
      </c>
      <c r="D5252" t="s">
        <v>188</v>
      </c>
      <c r="E5252" t="s">
        <v>21</v>
      </c>
      <c r="F5252" s="1">
        <v>44743</v>
      </c>
      <c r="G5252">
        <v>0.47</v>
      </c>
      <c r="H5252">
        <v>85.418000000000006</v>
      </c>
      <c r="I5252">
        <v>15.61</v>
      </c>
      <c r="J5252">
        <v>74.989999999999995</v>
      </c>
      <c r="K5252" t="s">
        <v>31</v>
      </c>
      <c r="L5252">
        <v>1850.07</v>
      </c>
      <c r="M5252">
        <f>VLOOKUP(K5252,RatingLookup!$A$2:$C$8,2,FALSE)</f>
        <v>0.04</v>
      </c>
      <c r="N5252">
        <f t="shared" si="246"/>
        <v>3.3960531989175591E-3</v>
      </c>
      <c r="O5252">
        <f>VLOOKUP(K5252,RatingLookup!$A$2:$C$8,3,FALSE)</f>
        <v>0.6</v>
      </c>
      <c r="P5252">
        <f t="shared" si="247"/>
        <v>3.7697616850328446</v>
      </c>
      <c r="Q5252" t="str">
        <f t="shared" ca="1" si="248"/>
        <v>No</v>
      </c>
    </row>
    <row r="5253" spans="1:17" x14ac:dyDescent="0.45">
      <c r="A5253" t="s">
        <v>211</v>
      </c>
      <c r="B5253" t="s">
        <v>212</v>
      </c>
      <c r="C5253" t="s">
        <v>77</v>
      </c>
      <c r="D5253" t="s">
        <v>188</v>
      </c>
      <c r="E5253" t="s">
        <v>21</v>
      </c>
      <c r="F5253" s="1">
        <v>44774</v>
      </c>
      <c r="G5253">
        <v>1.34</v>
      </c>
      <c r="H5253">
        <v>81.161799999999999</v>
      </c>
      <c r="I5253">
        <v>22.34</v>
      </c>
      <c r="J5253">
        <v>85.7</v>
      </c>
      <c r="K5253" t="s">
        <v>31</v>
      </c>
      <c r="L5253">
        <v>2077.15</v>
      </c>
      <c r="M5253">
        <f>VLOOKUP(K5253,RatingLookup!$A$2:$C$8,2,FALSE)</f>
        <v>0.04</v>
      </c>
      <c r="N5253">
        <f t="shared" si="246"/>
        <v>3.3960531989175591E-3</v>
      </c>
      <c r="O5253">
        <f>VLOOKUP(K5253,RatingLookup!$A$2:$C$8,3,FALSE)</f>
        <v>0.6</v>
      </c>
      <c r="P5253">
        <f t="shared" si="247"/>
        <v>4.2324671412789652</v>
      </c>
      <c r="Q5253" t="str">
        <f t="shared" ca="1" si="248"/>
        <v>No</v>
      </c>
    </row>
    <row r="5254" spans="1:17" x14ac:dyDescent="0.45">
      <c r="A5254" t="s">
        <v>211</v>
      </c>
      <c r="B5254" t="s">
        <v>212</v>
      </c>
      <c r="C5254" t="s">
        <v>77</v>
      </c>
      <c r="D5254" t="s">
        <v>188</v>
      </c>
      <c r="E5254" t="s">
        <v>21</v>
      </c>
      <c r="F5254" s="1">
        <v>44805</v>
      </c>
      <c r="G5254">
        <v>1.91</v>
      </c>
      <c r="H5254">
        <v>80.365200000000002</v>
      </c>
      <c r="I5254">
        <v>27.08</v>
      </c>
      <c r="J5254">
        <v>71.349999999999994</v>
      </c>
      <c r="K5254" t="s">
        <v>31</v>
      </c>
      <c r="L5254">
        <v>1842.73</v>
      </c>
      <c r="M5254">
        <f>VLOOKUP(K5254,RatingLookup!$A$2:$C$8,2,FALSE)</f>
        <v>0.04</v>
      </c>
      <c r="N5254">
        <f t="shared" si="246"/>
        <v>3.3960531989175591E-3</v>
      </c>
      <c r="O5254">
        <f>VLOOKUP(K5254,RatingLookup!$A$2:$C$8,3,FALSE)</f>
        <v>0.6</v>
      </c>
      <c r="P5254">
        <f t="shared" si="247"/>
        <v>3.7548054667448119</v>
      </c>
      <c r="Q5254" t="str">
        <f t="shared" ca="1" si="248"/>
        <v>No</v>
      </c>
    </row>
    <row r="5255" spans="1:17" x14ac:dyDescent="0.45">
      <c r="A5255" t="s">
        <v>211</v>
      </c>
      <c r="B5255" t="s">
        <v>212</v>
      </c>
      <c r="C5255" t="s">
        <v>77</v>
      </c>
      <c r="D5255" t="s">
        <v>188</v>
      </c>
      <c r="E5255" t="s">
        <v>21</v>
      </c>
      <c r="F5255" s="1">
        <v>44835</v>
      </c>
      <c r="G5255">
        <v>2.15</v>
      </c>
      <c r="H5255">
        <v>79.928100000000001</v>
      </c>
      <c r="I5255">
        <v>17.86</v>
      </c>
      <c r="J5255">
        <v>85.98</v>
      </c>
      <c r="K5255" t="s">
        <v>31</v>
      </c>
      <c r="L5255">
        <v>1844.79</v>
      </c>
      <c r="M5255">
        <f>VLOOKUP(K5255,RatingLookup!$A$2:$C$8,2,FALSE)</f>
        <v>0.04</v>
      </c>
      <c r="N5255">
        <f t="shared" si="246"/>
        <v>3.3960531989175591E-3</v>
      </c>
      <c r="O5255">
        <f>VLOOKUP(K5255,RatingLookup!$A$2:$C$8,3,FALSE)</f>
        <v>0.6</v>
      </c>
      <c r="P5255">
        <f t="shared" si="247"/>
        <v>3.7590029884986742</v>
      </c>
      <c r="Q5255" t="str">
        <f t="shared" ca="1" si="248"/>
        <v>No</v>
      </c>
    </row>
    <row r="5256" spans="1:17" x14ac:dyDescent="0.45">
      <c r="A5256" t="s">
        <v>211</v>
      </c>
      <c r="B5256" t="s">
        <v>212</v>
      </c>
      <c r="C5256" t="s">
        <v>77</v>
      </c>
      <c r="D5256" t="s">
        <v>188</v>
      </c>
      <c r="E5256" t="s">
        <v>21</v>
      </c>
      <c r="F5256" s="1">
        <v>44866</v>
      </c>
      <c r="G5256">
        <v>1.9</v>
      </c>
      <c r="H5256">
        <v>84.678700000000006</v>
      </c>
      <c r="I5256">
        <v>15.51</v>
      </c>
      <c r="J5256">
        <v>94.59</v>
      </c>
      <c r="K5256" t="s">
        <v>31</v>
      </c>
      <c r="L5256">
        <v>1754.68</v>
      </c>
      <c r="M5256">
        <f>VLOOKUP(K5256,RatingLookup!$A$2:$C$8,2,FALSE)</f>
        <v>0.04</v>
      </c>
      <c r="N5256">
        <f t="shared" si="246"/>
        <v>3.3960531989175591E-3</v>
      </c>
      <c r="O5256">
        <f>VLOOKUP(K5256,RatingLookup!$A$2:$C$8,3,FALSE)</f>
        <v>0.6</v>
      </c>
      <c r="P5256">
        <f t="shared" si="247"/>
        <v>3.5753919762459976</v>
      </c>
      <c r="Q5256" t="str">
        <f t="shared" ca="1" si="248"/>
        <v>No</v>
      </c>
    </row>
    <row r="5257" spans="1:17" x14ac:dyDescent="0.45">
      <c r="A5257" t="s">
        <v>211</v>
      </c>
      <c r="B5257" t="s">
        <v>212</v>
      </c>
      <c r="C5257" t="s">
        <v>77</v>
      </c>
      <c r="D5257" t="s">
        <v>188</v>
      </c>
      <c r="E5257" t="s">
        <v>21</v>
      </c>
      <c r="F5257" s="1">
        <v>44896</v>
      </c>
      <c r="G5257">
        <v>2.31</v>
      </c>
      <c r="H5257">
        <v>80.543700000000001</v>
      </c>
      <c r="I5257">
        <v>20.39</v>
      </c>
      <c r="J5257">
        <v>76.3</v>
      </c>
      <c r="K5257" t="s">
        <v>31</v>
      </c>
      <c r="L5257">
        <v>1874.27</v>
      </c>
      <c r="M5257">
        <f>VLOOKUP(K5257,RatingLookup!$A$2:$C$8,2,FALSE)</f>
        <v>0.04</v>
      </c>
      <c r="N5257">
        <f t="shared" si="246"/>
        <v>3.3960531989175591E-3</v>
      </c>
      <c r="O5257">
        <f>VLOOKUP(K5257,RatingLookup!$A$2:$C$8,3,FALSE)</f>
        <v>0.6</v>
      </c>
      <c r="P5257">
        <f t="shared" si="247"/>
        <v>3.8190723774811279</v>
      </c>
      <c r="Q5257" t="str">
        <f t="shared" ca="1" si="248"/>
        <v>No</v>
      </c>
    </row>
    <row r="5258" spans="1:17" x14ac:dyDescent="0.45">
      <c r="A5258" t="s">
        <v>211</v>
      </c>
      <c r="B5258" t="s">
        <v>212</v>
      </c>
      <c r="C5258" t="s">
        <v>77</v>
      </c>
      <c r="D5258" t="s">
        <v>188</v>
      </c>
      <c r="E5258" t="s">
        <v>21</v>
      </c>
      <c r="F5258" s="1">
        <v>44927</v>
      </c>
      <c r="G5258">
        <v>1.81</v>
      </c>
      <c r="H5258">
        <v>82.563100000000006</v>
      </c>
      <c r="I5258">
        <v>17.18</v>
      </c>
      <c r="J5258">
        <v>82.16</v>
      </c>
      <c r="K5258" t="s">
        <v>31</v>
      </c>
      <c r="L5258">
        <v>1794.93</v>
      </c>
      <c r="M5258">
        <f>VLOOKUP(K5258,RatingLookup!$A$2:$C$8,2,FALSE)</f>
        <v>0.04</v>
      </c>
      <c r="N5258">
        <f t="shared" si="246"/>
        <v>3.3960531989175591E-3</v>
      </c>
      <c r="O5258">
        <f>VLOOKUP(K5258,RatingLookup!$A$2:$C$8,3,FALSE)</f>
        <v>0.6</v>
      </c>
      <c r="P5258">
        <f t="shared" si="247"/>
        <v>3.6574066609998566</v>
      </c>
      <c r="Q5258" t="str">
        <f t="shared" ca="1" si="248"/>
        <v>No</v>
      </c>
    </row>
    <row r="5259" spans="1:17" x14ac:dyDescent="0.45">
      <c r="A5259" t="s">
        <v>211</v>
      </c>
      <c r="B5259" t="s">
        <v>212</v>
      </c>
      <c r="C5259" t="s">
        <v>77</v>
      </c>
      <c r="D5259" t="s">
        <v>188</v>
      </c>
      <c r="E5259" t="s">
        <v>21</v>
      </c>
      <c r="F5259" s="1">
        <v>44958</v>
      </c>
      <c r="G5259">
        <v>1.9</v>
      </c>
      <c r="H5259">
        <v>84.471900000000005</v>
      </c>
      <c r="I5259">
        <v>17.239999999999998</v>
      </c>
      <c r="J5259">
        <v>58.71</v>
      </c>
      <c r="K5259" t="s">
        <v>31</v>
      </c>
      <c r="L5259">
        <v>1812.51</v>
      </c>
      <c r="M5259">
        <f>VLOOKUP(K5259,RatingLookup!$A$2:$C$8,2,FALSE)</f>
        <v>0.04</v>
      </c>
      <c r="N5259">
        <f t="shared" si="246"/>
        <v>3.3960531989175591E-3</v>
      </c>
      <c r="O5259">
        <f>VLOOKUP(K5259,RatingLookup!$A$2:$C$8,3,FALSE)</f>
        <v>0.6</v>
      </c>
      <c r="P5259">
        <f t="shared" si="247"/>
        <v>3.6932282301420387</v>
      </c>
      <c r="Q5259" t="str">
        <f t="shared" ca="1" si="248"/>
        <v>No</v>
      </c>
    </row>
    <row r="5260" spans="1:17" x14ac:dyDescent="0.45">
      <c r="A5260" t="s">
        <v>211</v>
      </c>
      <c r="B5260" t="s">
        <v>212</v>
      </c>
      <c r="C5260" t="s">
        <v>77</v>
      </c>
      <c r="D5260" t="s">
        <v>188</v>
      </c>
      <c r="E5260" t="s">
        <v>21</v>
      </c>
      <c r="F5260" s="1">
        <v>44986</v>
      </c>
      <c r="G5260">
        <v>0.74</v>
      </c>
      <c r="H5260">
        <v>80.8249</v>
      </c>
      <c r="I5260">
        <v>14.7</v>
      </c>
      <c r="J5260">
        <v>71.16</v>
      </c>
      <c r="K5260" t="s">
        <v>31</v>
      </c>
      <c r="L5260">
        <v>1822.69</v>
      </c>
      <c r="M5260">
        <f>VLOOKUP(K5260,RatingLookup!$A$2:$C$8,2,FALSE)</f>
        <v>0.04</v>
      </c>
      <c r="N5260">
        <f t="shared" si="246"/>
        <v>3.3960531989175591E-3</v>
      </c>
      <c r="O5260">
        <f>VLOOKUP(K5260,RatingLookup!$A$2:$C$8,3,FALSE)</f>
        <v>0.6</v>
      </c>
      <c r="P5260">
        <f t="shared" si="247"/>
        <v>3.7139713230810272</v>
      </c>
      <c r="Q5260" t="str">
        <f t="shared" ca="1" si="248"/>
        <v>No</v>
      </c>
    </row>
    <row r="5261" spans="1:17" x14ac:dyDescent="0.45">
      <c r="A5261" t="s">
        <v>211</v>
      </c>
      <c r="B5261" t="s">
        <v>212</v>
      </c>
      <c r="C5261" t="s">
        <v>77</v>
      </c>
      <c r="D5261" t="s">
        <v>188</v>
      </c>
      <c r="E5261" t="s">
        <v>21</v>
      </c>
      <c r="F5261" s="1">
        <v>45017</v>
      </c>
      <c r="G5261">
        <v>0.9</v>
      </c>
      <c r="H5261">
        <v>80.886700000000005</v>
      </c>
      <c r="I5261">
        <v>20.079999999999998</v>
      </c>
      <c r="J5261">
        <v>98.51</v>
      </c>
      <c r="K5261" t="s">
        <v>31</v>
      </c>
      <c r="L5261">
        <v>1869.37</v>
      </c>
      <c r="M5261">
        <f>VLOOKUP(K5261,RatingLookup!$A$2:$C$8,2,FALSE)</f>
        <v>0.04</v>
      </c>
      <c r="N5261">
        <f t="shared" si="246"/>
        <v>3.3960531989175591E-3</v>
      </c>
      <c r="O5261">
        <f>VLOOKUP(K5261,RatingLookup!$A$2:$C$8,3,FALSE)</f>
        <v>0.6</v>
      </c>
      <c r="P5261">
        <f t="shared" si="247"/>
        <v>3.8090879810763103</v>
      </c>
      <c r="Q5261" t="str">
        <f t="shared" ca="1" si="248"/>
        <v>No</v>
      </c>
    </row>
    <row r="5262" spans="1:17" x14ac:dyDescent="0.45">
      <c r="A5262" t="s">
        <v>211</v>
      </c>
      <c r="B5262" t="s">
        <v>212</v>
      </c>
      <c r="C5262" t="s">
        <v>77</v>
      </c>
      <c r="D5262" t="s">
        <v>188</v>
      </c>
      <c r="E5262" t="s">
        <v>21</v>
      </c>
      <c r="F5262" s="1">
        <v>45047</v>
      </c>
      <c r="G5262">
        <v>1.88</v>
      </c>
      <c r="H5262">
        <v>82.063100000000006</v>
      </c>
      <c r="I5262">
        <v>21.41</v>
      </c>
      <c r="J5262">
        <v>86.44</v>
      </c>
      <c r="K5262" t="s">
        <v>30</v>
      </c>
      <c r="L5262">
        <v>1895.67</v>
      </c>
      <c r="M5262">
        <f>VLOOKUP(K5262,RatingLookup!$A$2:$C$8,2,FALSE)</f>
        <v>1.4999999999999999E-2</v>
      </c>
      <c r="N5262">
        <f t="shared" si="246"/>
        <v>1.2586770182638762E-3</v>
      </c>
      <c r="O5262">
        <f>VLOOKUP(K5262,RatingLookup!$A$2:$C$8,3,FALSE)</f>
        <v>0.5</v>
      </c>
      <c r="P5262">
        <f t="shared" si="247"/>
        <v>1.1930181316061412</v>
      </c>
      <c r="Q5262" t="str">
        <f t="shared" ca="1" si="248"/>
        <v>No</v>
      </c>
    </row>
    <row r="5263" spans="1:17" x14ac:dyDescent="0.45">
      <c r="A5263" t="s">
        <v>211</v>
      </c>
      <c r="B5263" t="s">
        <v>212</v>
      </c>
      <c r="C5263" t="s">
        <v>77</v>
      </c>
      <c r="D5263" t="s">
        <v>188</v>
      </c>
      <c r="E5263" t="s">
        <v>21</v>
      </c>
      <c r="F5263" s="1">
        <v>45078</v>
      </c>
      <c r="G5263">
        <v>0.57999999999999996</v>
      </c>
      <c r="H5263">
        <v>87.129800000000003</v>
      </c>
      <c r="I5263">
        <v>18.61</v>
      </c>
      <c r="J5263">
        <v>91.83</v>
      </c>
      <c r="K5263" t="s">
        <v>30</v>
      </c>
      <c r="L5263">
        <v>2068.4499999999998</v>
      </c>
      <c r="M5263">
        <f>VLOOKUP(K5263,RatingLookup!$A$2:$C$8,2,FALSE)</f>
        <v>1.4999999999999999E-2</v>
      </c>
      <c r="N5263">
        <f t="shared" si="246"/>
        <v>1.2586770182638762E-3</v>
      </c>
      <c r="O5263">
        <f>VLOOKUP(K5263,RatingLookup!$A$2:$C$8,3,FALSE)</f>
        <v>0.5</v>
      </c>
      <c r="P5263">
        <f t="shared" si="247"/>
        <v>1.3017552392139573</v>
      </c>
      <c r="Q5263" t="str">
        <f t="shared" ca="1" si="248"/>
        <v>No</v>
      </c>
    </row>
    <row r="5264" spans="1:17" x14ac:dyDescent="0.45">
      <c r="A5264" t="s">
        <v>211</v>
      </c>
      <c r="B5264" t="s">
        <v>212</v>
      </c>
      <c r="C5264" t="s">
        <v>77</v>
      </c>
      <c r="D5264" t="s">
        <v>188</v>
      </c>
      <c r="E5264" t="s">
        <v>21</v>
      </c>
      <c r="F5264" s="1">
        <v>45108</v>
      </c>
      <c r="G5264">
        <v>1.34</v>
      </c>
      <c r="H5264">
        <v>81.9084</v>
      </c>
      <c r="I5264">
        <v>26.37</v>
      </c>
      <c r="J5264">
        <v>87.02</v>
      </c>
      <c r="K5264" t="s">
        <v>31</v>
      </c>
      <c r="L5264">
        <v>1771.3</v>
      </c>
      <c r="M5264">
        <f>VLOOKUP(K5264,RatingLookup!$A$2:$C$8,2,FALSE)</f>
        <v>0.04</v>
      </c>
      <c r="N5264">
        <f t="shared" si="246"/>
        <v>3.3960531989175591E-3</v>
      </c>
      <c r="O5264">
        <f>VLOOKUP(K5264,RatingLookup!$A$2:$C$8,3,FALSE)</f>
        <v>0.6</v>
      </c>
      <c r="P5264">
        <f t="shared" si="247"/>
        <v>3.6092574187456035</v>
      </c>
      <c r="Q5264" t="str">
        <f t="shared" ca="1" si="248"/>
        <v>No</v>
      </c>
    </row>
    <row r="5265" spans="1:17" x14ac:dyDescent="0.45">
      <c r="A5265" t="s">
        <v>211</v>
      </c>
      <c r="B5265" t="s">
        <v>212</v>
      </c>
      <c r="C5265" t="s">
        <v>77</v>
      </c>
      <c r="D5265" t="s">
        <v>188</v>
      </c>
      <c r="E5265" t="s">
        <v>21</v>
      </c>
      <c r="F5265" s="1">
        <v>45139</v>
      </c>
      <c r="G5265">
        <v>2.58</v>
      </c>
      <c r="H5265">
        <v>81.119900000000001</v>
      </c>
      <c r="I5265">
        <v>30.46</v>
      </c>
      <c r="J5265">
        <v>66.3</v>
      </c>
      <c r="K5265" t="s">
        <v>31</v>
      </c>
      <c r="L5265">
        <v>1808.45</v>
      </c>
      <c r="M5265">
        <f>VLOOKUP(K5265,RatingLookup!$A$2:$C$8,2,FALSE)</f>
        <v>0.04</v>
      </c>
      <c r="N5265">
        <f t="shared" si="246"/>
        <v>3.3960531989175591E-3</v>
      </c>
      <c r="O5265">
        <f>VLOOKUP(K5265,RatingLookup!$A$2:$C$8,3,FALSE)</f>
        <v>0.6</v>
      </c>
      <c r="P5265">
        <f t="shared" si="247"/>
        <v>3.6849554445494754</v>
      </c>
      <c r="Q5265" t="str">
        <f t="shared" ca="1" si="248"/>
        <v>No</v>
      </c>
    </row>
    <row r="5266" spans="1:17" x14ac:dyDescent="0.45">
      <c r="A5266" t="s">
        <v>211</v>
      </c>
      <c r="B5266" t="s">
        <v>212</v>
      </c>
      <c r="C5266" t="s">
        <v>77</v>
      </c>
      <c r="D5266" t="s">
        <v>188</v>
      </c>
      <c r="E5266" t="s">
        <v>21</v>
      </c>
      <c r="F5266" s="1">
        <v>45170</v>
      </c>
      <c r="G5266">
        <v>1.61</v>
      </c>
      <c r="H5266">
        <v>86.062600000000003</v>
      </c>
      <c r="I5266">
        <v>21.53</v>
      </c>
      <c r="J5266">
        <v>84.55</v>
      </c>
      <c r="K5266" t="s">
        <v>31</v>
      </c>
      <c r="L5266">
        <v>1766.32</v>
      </c>
      <c r="M5266">
        <f>VLOOKUP(K5266,RatingLookup!$A$2:$C$8,2,FALSE)</f>
        <v>0.04</v>
      </c>
      <c r="N5266">
        <f t="shared" si="246"/>
        <v>3.3960531989175591E-3</v>
      </c>
      <c r="O5266">
        <f>VLOOKUP(K5266,RatingLookup!$A$2:$C$8,3,FALSE)</f>
        <v>0.6</v>
      </c>
      <c r="P5266">
        <f t="shared" si="247"/>
        <v>3.5991100117872374</v>
      </c>
      <c r="Q5266" t="str">
        <f t="shared" ca="1" si="248"/>
        <v>No</v>
      </c>
    </row>
    <row r="5267" spans="1:17" x14ac:dyDescent="0.45">
      <c r="A5267" t="s">
        <v>211</v>
      </c>
      <c r="B5267" t="s">
        <v>212</v>
      </c>
      <c r="C5267" t="s">
        <v>77</v>
      </c>
      <c r="D5267" t="s">
        <v>188</v>
      </c>
      <c r="E5267" t="s">
        <v>21</v>
      </c>
      <c r="F5267" s="1">
        <v>45200</v>
      </c>
      <c r="G5267">
        <v>1.99</v>
      </c>
      <c r="H5267">
        <v>86.505099999999999</v>
      </c>
      <c r="I5267">
        <v>19.37</v>
      </c>
      <c r="J5267">
        <v>84.74</v>
      </c>
      <c r="K5267" t="s">
        <v>31</v>
      </c>
      <c r="L5267">
        <v>1845.79</v>
      </c>
      <c r="M5267">
        <f>VLOOKUP(K5267,RatingLookup!$A$2:$C$8,2,FALSE)</f>
        <v>0.04</v>
      </c>
      <c r="N5267">
        <f t="shared" si="246"/>
        <v>3.3960531989175591E-3</v>
      </c>
      <c r="O5267">
        <f>VLOOKUP(K5267,RatingLookup!$A$2:$C$8,3,FALSE)</f>
        <v>0.6</v>
      </c>
      <c r="P5267">
        <f t="shared" si="247"/>
        <v>3.7610406204180244</v>
      </c>
      <c r="Q5267" t="str">
        <f t="shared" ca="1" si="248"/>
        <v>No</v>
      </c>
    </row>
    <row r="5268" spans="1:17" x14ac:dyDescent="0.45">
      <c r="A5268" t="s">
        <v>211</v>
      </c>
      <c r="B5268" t="s">
        <v>212</v>
      </c>
      <c r="C5268" t="s">
        <v>77</v>
      </c>
      <c r="D5268" t="s">
        <v>188</v>
      </c>
      <c r="E5268" t="s">
        <v>21</v>
      </c>
      <c r="F5268" s="1">
        <v>45231</v>
      </c>
      <c r="G5268">
        <v>1.46</v>
      </c>
      <c r="H5268">
        <v>82.369600000000005</v>
      </c>
      <c r="I5268">
        <v>12.12</v>
      </c>
      <c r="J5268">
        <v>72.989999999999995</v>
      </c>
      <c r="K5268" t="s">
        <v>31</v>
      </c>
      <c r="L5268">
        <v>1827.63</v>
      </c>
      <c r="M5268">
        <f>VLOOKUP(K5268,RatingLookup!$A$2:$C$8,2,FALSE)</f>
        <v>0.04</v>
      </c>
      <c r="N5268">
        <f t="shared" si="246"/>
        <v>3.3960531989175591E-3</v>
      </c>
      <c r="O5268">
        <f>VLOOKUP(K5268,RatingLookup!$A$2:$C$8,3,FALSE)</f>
        <v>0.6</v>
      </c>
      <c r="P5268">
        <f t="shared" si="247"/>
        <v>3.7240372247626192</v>
      </c>
      <c r="Q5268" t="str">
        <f t="shared" ca="1" si="248"/>
        <v>No</v>
      </c>
    </row>
    <row r="5269" spans="1:17" x14ac:dyDescent="0.45">
      <c r="A5269" t="s">
        <v>211</v>
      </c>
      <c r="B5269" t="s">
        <v>212</v>
      </c>
      <c r="C5269" t="s">
        <v>77</v>
      </c>
      <c r="D5269" t="s">
        <v>188</v>
      </c>
      <c r="E5269" t="s">
        <v>21</v>
      </c>
      <c r="F5269" s="1">
        <v>45261</v>
      </c>
      <c r="G5269">
        <v>2.36</v>
      </c>
      <c r="H5269">
        <v>78.583299999999994</v>
      </c>
      <c r="I5269">
        <v>27.12</v>
      </c>
      <c r="J5269">
        <v>86.27</v>
      </c>
      <c r="K5269" t="s">
        <v>31</v>
      </c>
      <c r="L5269">
        <v>1914.86</v>
      </c>
      <c r="M5269">
        <f>VLOOKUP(K5269,RatingLookup!$A$2:$C$8,2,FALSE)</f>
        <v>0.04</v>
      </c>
      <c r="N5269">
        <f t="shared" si="246"/>
        <v>3.3960531989175591E-3</v>
      </c>
      <c r="O5269">
        <f>VLOOKUP(K5269,RatingLookup!$A$2:$C$8,3,FALSE)</f>
        <v>0.6</v>
      </c>
      <c r="P5269">
        <f t="shared" si="247"/>
        <v>3.9017798570875657</v>
      </c>
      <c r="Q5269" t="str">
        <f t="shared" ca="1" si="248"/>
        <v>No</v>
      </c>
    </row>
    <row r="5270" spans="1:17" x14ac:dyDescent="0.45">
      <c r="A5270" t="s">
        <v>211</v>
      </c>
      <c r="B5270" t="s">
        <v>212</v>
      </c>
      <c r="C5270" t="s">
        <v>77</v>
      </c>
      <c r="D5270" t="s">
        <v>188</v>
      </c>
      <c r="E5270" t="s">
        <v>21</v>
      </c>
      <c r="F5270" s="1">
        <v>45292</v>
      </c>
      <c r="G5270">
        <v>2.19</v>
      </c>
      <c r="H5270">
        <v>80.155699999999996</v>
      </c>
      <c r="I5270">
        <v>22.49</v>
      </c>
      <c r="J5270">
        <v>74.87</v>
      </c>
      <c r="K5270" t="s">
        <v>32</v>
      </c>
      <c r="L5270">
        <v>1890.41</v>
      </c>
      <c r="M5270">
        <f>VLOOKUP(K5270,RatingLookup!$A$2:$C$8,2,FALSE)</f>
        <v>0.12</v>
      </c>
      <c r="N5270">
        <f t="shared" si="246"/>
        <v>1.0596241035318976E-2</v>
      </c>
      <c r="O5270">
        <f>VLOOKUP(K5270,RatingLookup!$A$2:$C$8,3,FALSE)</f>
        <v>0.7</v>
      </c>
      <c r="P5270">
        <f t="shared" si="247"/>
        <v>14.021868010904141</v>
      </c>
      <c r="Q5270" t="str">
        <f t="shared" ca="1" si="248"/>
        <v>No</v>
      </c>
    </row>
    <row r="5271" spans="1:17" x14ac:dyDescent="0.45">
      <c r="A5271" t="s">
        <v>211</v>
      </c>
      <c r="B5271" t="s">
        <v>212</v>
      </c>
      <c r="C5271" t="s">
        <v>77</v>
      </c>
      <c r="D5271" t="s">
        <v>188</v>
      </c>
      <c r="E5271" t="s">
        <v>21</v>
      </c>
      <c r="F5271" s="1">
        <v>45323</v>
      </c>
      <c r="G5271">
        <v>1.73</v>
      </c>
      <c r="H5271">
        <v>81.205799999999996</v>
      </c>
      <c r="I5271">
        <v>18.989999999999998</v>
      </c>
      <c r="J5271">
        <v>74.09</v>
      </c>
      <c r="K5271" t="s">
        <v>32</v>
      </c>
      <c r="L5271">
        <v>1759.78</v>
      </c>
      <c r="M5271">
        <f>VLOOKUP(K5271,RatingLookup!$A$2:$C$8,2,FALSE)</f>
        <v>0.12</v>
      </c>
      <c r="N5271">
        <f t="shared" si="246"/>
        <v>1.0596241035318976E-2</v>
      </c>
      <c r="O5271">
        <f>VLOOKUP(K5271,RatingLookup!$A$2:$C$8,3,FALSE)</f>
        <v>0.7</v>
      </c>
      <c r="P5271">
        <f t="shared" si="247"/>
        <v>13.05293713439354</v>
      </c>
      <c r="Q5271" t="str">
        <f t="shared" ca="1" si="248"/>
        <v>Yes</v>
      </c>
    </row>
    <row r="5272" spans="1:17" x14ac:dyDescent="0.45">
      <c r="A5272" t="s">
        <v>211</v>
      </c>
      <c r="B5272" t="s">
        <v>212</v>
      </c>
      <c r="C5272" t="s">
        <v>77</v>
      </c>
      <c r="D5272" t="s">
        <v>188</v>
      </c>
      <c r="E5272" t="s">
        <v>21</v>
      </c>
      <c r="F5272" s="1">
        <v>45352</v>
      </c>
      <c r="G5272">
        <v>2.67</v>
      </c>
      <c r="H5272">
        <v>84.981999999999999</v>
      </c>
      <c r="I5272">
        <v>23.21</v>
      </c>
      <c r="J5272">
        <v>86.76</v>
      </c>
      <c r="K5272" t="s">
        <v>32</v>
      </c>
      <c r="L5272">
        <v>1734.09</v>
      </c>
      <c r="M5272">
        <f>VLOOKUP(K5272,RatingLookup!$A$2:$C$8,2,FALSE)</f>
        <v>0.12</v>
      </c>
      <c r="N5272">
        <f t="shared" si="246"/>
        <v>1.0596241035318976E-2</v>
      </c>
      <c r="O5272">
        <f>VLOOKUP(K5272,RatingLookup!$A$2:$C$8,3,FALSE)</f>
        <v>0.7</v>
      </c>
      <c r="P5272">
        <f t="shared" si="247"/>
        <v>12.862384931855399</v>
      </c>
      <c r="Q5272" t="str">
        <f t="shared" ca="1" si="248"/>
        <v>No</v>
      </c>
    </row>
    <row r="5273" spans="1:17" x14ac:dyDescent="0.45">
      <c r="A5273" t="s">
        <v>211</v>
      </c>
      <c r="B5273" t="s">
        <v>212</v>
      </c>
      <c r="C5273" t="s">
        <v>77</v>
      </c>
      <c r="D5273" t="s">
        <v>188</v>
      </c>
      <c r="E5273" t="s">
        <v>21</v>
      </c>
      <c r="F5273" s="1">
        <v>45383</v>
      </c>
      <c r="G5273">
        <v>1.92</v>
      </c>
      <c r="H5273">
        <v>84.853800000000007</v>
      </c>
      <c r="I5273">
        <v>23.9</v>
      </c>
      <c r="J5273">
        <v>86.61</v>
      </c>
      <c r="K5273" t="s">
        <v>32</v>
      </c>
      <c r="L5273">
        <v>1704.61</v>
      </c>
      <c r="M5273">
        <f>VLOOKUP(K5273,RatingLookup!$A$2:$C$8,2,FALSE)</f>
        <v>0.12</v>
      </c>
      <c r="N5273">
        <f t="shared" si="246"/>
        <v>1.0596241035318976E-2</v>
      </c>
      <c r="O5273">
        <f>VLOOKUP(K5273,RatingLookup!$A$2:$C$8,3,FALSE)</f>
        <v>0.7</v>
      </c>
      <c r="P5273">
        <f t="shared" si="247"/>
        <v>12.643720901850553</v>
      </c>
      <c r="Q5273" t="str">
        <f t="shared" ca="1" si="248"/>
        <v>No</v>
      </c>
    </row>
    <row r="5274" spans="1:17" x14ac:dyDescent="0.45">
      <c r="A5274" t="s">
        <v>211</v>
      </c>
      <c r="B5274" t="s">
        <v>212</v>
      </c>
      <c r="C5274" t="s">
        <v>77</v>
      </c>
      <c r="D5274" t="s">
        <v>188</v>
      </c>
      <c r="E5274" t="s">
        <v>21</v>
      </c>
      <c r="F5274" s="1">
        <v>45413</v>
      </c>
      <c r="G5274">
        <v>1.1100000000000001</v>
      </c>
      <c r="H5274">
        <v>85.979399999999998</v>
      </c>
      <c r="I5274">
        <v>21.26</v>
      </c>
      <c r="J5274">
        <v>83.36</v>
      </c>
      <c r="K5274" t="s">
        <v>32</v>
      </c>
      <c r="L5274">
        <v>1765.79</v>
      </c>
      <c r="M5274">
        <f>VLOOKUP(K5274,RatingLookup!$A$2:$C$8,2,FALSE)</f>
        <v>0.12</v>
      </c>
      <c r="N5274">
        <f t="shared" si="246"/>
        <v>1.0596241035318976E-2</v>
      </c>
      <c r="O5274">
        <f>VLOOKUP(K5274,RatingLookup!$A$2:$C$8,3,FALSE)</f>
        <v>0.7</v>
      </c>
      <c r="P5274">
        <f t="shared" si="247"/>
        <v>13.097515520429127</v>
      </c>
      <c r="Q5274" t="str">
        <f t="shared" ca="1" si="248"/>
        <v>No</v>
      </c>
    </row>
    <row r="5275" spans="1:17" x14ac:dyDescent="0.45">
      <c r="A5275" t="s">
        <v>211</v>
      </c>
      <c r="B5275" t="s">
        <v>212</v>
      </c>
      <c r="C5275" t="s">
        <v>77</v>
      </c>
      <c r="D5275" t="s">
        <v>188</v>
      </c>
      <c r="E5275" t="s">
        <v>21</v>
      </c>
      <c r="F5275" s="1">
        <v>45444</v>
      </c>
      <c r="G5275">
        <v>0.84</v>
      </c>
      <c r="H5275">
        <v>84.436300000000003</v>
      </c>
      <c r="I5275">
        <v>5</v>
      </c>
      <c r="J5275">
        <v>73.02</v>
      </c>
      <c r="K5275" t="s">
        <v>32</v>
      </c>
      <c r="L5275">
        <v>2000.23</v>
      </c>
      <c r="M5275">
        <f>VLOOKUP(K5275,RatingLookup!$A$2:$C$8,2,FALSE)</f>
        <v>0.12</v>
      </c>
      <c r="N5275">
        <f t="shared" si="246"/>
        <v>1.0596241035318976E-2</v>
      </c>
      <c r="O5275">
        <f>VLOOKUP(K5275,RatingLookup!$A$2:$C$8,3,FALSE)</f>
        <v>0.7</v>
      </c>
      <c r="P5275">
        <f t="shared" si="247"/>
        <v>14.836443444253252</v>
      </c>
      <c r="Q5275" t="str">
        <f t="shared" ca="1" si="248"/>
        <v>No</v>
      </c>
    </row>
    <row r="5276" spans="1:17" x14ac:dyDescent="0.45">
      <c r="A5276" t="s">
        <v>211</v>
      </c>
      <c r="B5276" t="s">
        <v>212</v>
      </c>
      <c r="C5276" t="s">
        <v>77</v>
      </c>
      <c r="D5276" t="s">
        <v>188</v>
      </c>
      <c r="E5276" t="s">
        <v>21</v>
      </c>
      <c r="F5276" s="1">
        <v>45474</v>
      </c>
      <c r="G5276">
        <v>2.84</v>
      </c>
      <c r="H5276">
        <v>82.070400000000006</v>
      </c>
      <c r="I5276">
        <v>31.01</v>
      </c>
      <c r="J5276">
        <v>77.62</v>
      </c>
      <c r="K5276" t="s">
        <v>32</v>
      </c>
      <c r="L5276">
        <v>1895.96</v>
      </c>
      <c r="M5276">
        <f>VLOOKUP(K5276,RatingLookup!$A$2:$C$8,2,FALSE)</f>
        <v>0.12</v>
      </c>
      <c r="N5276">
        <f t="shared" si="246"/>
        <v>1.0596241035318976E-2</v>
      </c>
      <c r="O5276">
        <f>VLOOKUP(K5276,RatingLookup!$A$2:$C$8,3,FALSE)</f>
        <v>0.7</v>
      </c>
      <c r="P5276">
        <f t="shared" si="247"/>
        <v>14.063034407326356</v>
      </c>
      <c r="Q5276" t="str">
        <f t="shared" ca="1" si="248"/>
        <v>No</v>
      </c>
    </row>
    <row r="5277" spans="1:17" x14ac:dyDescent="0.45">
      <c r="A5277" t="s">
        <v>211</v>
      </c>
      <c r="B5277" t="s">
        <v>212</v>
      </c>
      <c r="C5277" t="s">
        <v>77</v>
      </c>
      <c r="D5277" t="s">
        <v>188</v>
      </c>
      <c r="E5277" t="s">
        <v>21</v>
      </c>
      <c r="F5277" s="1">
        <v>45505</v>
      </c>
      <c r="G5277">
        <v>2.88</v>
      </c>
      <c r="H5277">
        <v>84.887699999999995</v>
      </c>
      <c r="I5277">
        <v>13.17</v>
      </c>
      <c r="J5277">
        <v>93.11</v>
      </c>
      <c r="K5277" t="s">
        <v>32</v>
      </c>
      <c r="L5277">
        <v>1753.3</v>
      </c>
      <c r="M5277">
        <f>VLOOKUP(K5277,RatingLookup!$A$2:$C$8,2,FALSE)</f>
        <v>0.12</v>
      </c>
      <c r="N5277">
        <f t="shared" si="246"/>
        <v>1.0596241035318976E-2</v>
      </c>
      <c r="O5277">
        <f>VLOOKUP(K5277,RatingLookup!$A$2:$C$8,3,FALSE)</f>
        <v>0.7</v>
      </c>
      <c r="P5277">
        <f t="shared" si="247"/>
        <v>13.004872585057333</v>
      </c>
      <c r="Q5277" t="str">
        <f t="shared" ca="1" si="248"/>
        <v>No</v>
      </c>
    </row>
    <row r="5278" spans="1:17" x14ac:dyDescent="0.45">
      <c r="A5278" t="s">
        <v>211</v>
      </c>
      <c r="B5278" t="s">
        <v>212</v>
      </c>
      <c r="C5278" t="s">
        <v>77</v>
      </c>
      <c r="D5278" t="s">
        <v>188</v>
      </c>
      <c r="E5278" t="s">
        <v>21</v>
      </c>
      <c r="F5278" s="1">
        <v>45536</v>
      </c>
      <c r="G5278">
        <v>0.56999999999999995</v>
      </c>
      <c r="H5278">
        <v>82.875500000000002</v>
      </c>
      <c r="I5278">
        <v>16.5</v>
      </c>
      <c r="J5278">
        <v>56.05</v>
      </c>
      <c r="K5278" t="s">
        <v>32</v>
      </c>
      <c r="L5278">
        <v>1810.91</v>
      </c>
      <c r="M5278">
        <f>VLOOKUP(K5278,RatingLookup!$A$2:$C$8,2,FALSE)</f>
        <v>0.12</v>
      </c>
      <c r="N5278">
        <f t="shared" si="246"/>
        <v>1.0596241035318976E-2</v>
      </c>
      <c r="O5278">
        <f>VLOOKUP(K5278,RatingLookup!$A$2:$C$8,3,FALSE)</f>
        <v>0.7</v>
      </c>
      <c r="P5278">
        <f t="shared" si="247"/>
        <v>13.432187197288641</v>
      </c>
      <c r="Q5278" t="str">
        <f t="shared" ca="1" si="248"/>
        <v>No</v>
      </c>
    </row>
    <row r="5279" spans="1:17" x14ac:dyDescent="0.45">
      <c r="A5279" t="s">
        <v>211</v>
      </c>
      <c r="B5279" t="s">
        <v>212</v>
      </c>
      <c r="C5279" t="s">
        <v>77</v>
      </c>
      <c r="D5279" t="s">
        <v>188</v>
      </c>
      <c r="E5279" t="s">
        <v>21</v>
      </c>
      <c r="F5279" s="1">
        <v>45566</v>
      </c>
      <c r="G5279">
        <v>0.85</v>
      </c>
      <c r="H5279">
        <v>84.798699999999997</v>
      </c>
      <c r="I5279">
        <v>19.07</v>
      </c>
      <c r="J5279">
        <v>66.17</v>
      </c>
      <c r="K5279" t="s">
        <v>32</v>
      </c>
      <c r="L5279">
        <v>1941.15</v>
      </c>
      <c r="M5279">
        <f>VLOOKUP(K5279,RatingLookup!$A$2:$C$8,2,FALSE)</f>
        <v>0.12</v>
      </c>
      <c r="N5279">
        <f t="shared" si="246"/>
        <v>1.0596241035318976E-2</v>
      </c>
      <c r="O5279">
        <f>VLOOKUP(K5279,RatingLookup!$A$2:$C$8,3,FALSE)</f>
        <v>0.7</v>
      </c>
      <c r="P5279">
        <f t="shared" si="247"/>
        <v>14.398225299996602</v>
      </c>
      <c r="Q5279" t="str">
        <f t="shared" ca="1" si="248"/>
        <v>No</v>
      </c>
    </row>
    <row r="5280" spans="1:17" x14ac:dyDescent="0.45">
      <c r="A5280" t="s">
        <v>211</v>
      </c>
      <c r="B5280" t="s">
        <v>212</v>
      </c>
      <c r="C5280" t="s">
        <v>77</v>
      </c>
      <c r="D5280" t="s">
        <v>188</v>
      </c>
      <c r="E5280" t="s">
        <v>21</v>
      </c>
      <c r="F5280" s="1">
        <v>45597</v>
      </c>
      <c r="G5280">
        <v>1.05</v>
      </c>
      <c r="H5280">
        <v>83.015000000000001</v>
      </c>
      <c r="I5280">
        <v>11.59</v>
      </c>
      <c r="J5280">
        <v>94.01</v>
      </c>
      <c r="K5280" t="s">
        <v>32</v>
      </c>
      <c r="L5280">
        <v>1913.58</v>
      </c>
      <c r="M5280">
        <f>VLOOKUP(K5280,RatingLookup!$A$2:$C$8,2,FALSE)</f>
        <v>0.12</v>
      </c>
      <c r="N5280">
        <f t="shared" si="246"/>
        <v>1.0596241035318976E-2</v>
      </c>
      <c r="O5280">
        <f>VLOOKUP(K5280,RatingLookup!$A$2:$C$8,3,FALSE)</f>
        <v>0.7</v>
      </c>
      <c r="P5280">
        <f t="shared" si="247"/>
        <v>14.19372844425598</v>
      </c>
      <c r="Q5280" t="str">
        <f t="shared" ca="1" si="248"/>
        <v>No</v>
      </c>
    </row>
    <row r="5281" spans="1:17" x14ac:dyDescent="0.45">
      <c r="A5281" t="s">
        <v>211</v>
      </c>
      <c r="B5281" t="s">
        <v>212</v>
      </c>
      <c r="C5281" t="s">
        <v>77</v>
      </c>
      <c r="D5281" t="s">
        <v>188</v>
      </c>
      <c r="E5281" t="s">
        <v>21</v>
      </c>
      <c r="F5281" s="1">
        <v>45627</v>
      </c>
      <c r="G5281">
        <v>1.31</v>
      </c>
      <c r="H5281">
        <v>83.859300000000005</v>
      </c>
      <c r="I5281">
        <v>20.86</v>
      </c>
      <c r="J5281">
        <v>88.07</v>
      </c>
      <c r="K5281" t="s">
        <v>32</v>
      </c>
      <c r="L5281">
        <v>1833.18</v>
      </c>
      <c r="M5281">
        <f>VLOOKUP(K5281,RatingLookup!$A$2:$C$8,2,FALSE)</f>
        <v>0.12</v>
      </c>
      <c r="N5281">
        <f t="shared" si="246"/>
        <v>1.0596241035318976E-2</v>
      </c>
      <c r="O5281">
        <f>VLOOKUP(K5281,RatingLookup!$A$2:$C$8,3,FALSE)</f>
        <v>0.7</v>
      </c>
      <c r="P5281">
        <f t="shared" si="247"/>
        <v>13.597371998788228</v>
      </c>
      <c r="Q5281" t="str">
        <f t="shared" ca="1" si="248"/>
        <v>No</v>
      </c>
    </row>
    <row r="5282" spans="1:17" x14ac:dyDescent="0.45">
      <c r="A5282" t="s">
        <v>213</v>
      </c>
      <c r="B5282" t="s">
        <v>214</v>
      </c>
      <c r="C5282" t="s">
        <v>29</v>
      </c>
      <c r="D5282" t="s">
        <v>188</v>
      </c>
      <c r="E5282" t="s">
        <v>21</v>
      </c>
      <c r="F5282" s="1">
        <v>43831</v>
      </c>
      <c r="G5282">
        <v>1.59</v>
      </c>
      <c r="H5282">
        <v>80.27</v>
      </c>
      <c r="I5282">
        <v>26.28</v>
      </c>
      <c r="J5282">
        <v>74.84</v>
      </c>
      <c r="K5282" t="s">
        <v>22</v>
      </c>
      <c r="L5282">
        <v>895.78</v>
      </c>
      <c r="M5282">
        <f>VLOOKUP(K5282,RatingLookup!$A$2:$C$8,2,FALSE)</f>
        <v>5.0000000000000001E-3</v>
      </c>
      <c r="N5282">
        <f t="shared" si="246"/>
        <v>4.1762458919303302E-4</v>
      </c>
      <c r="O5282">
        <f>VLOOKUP(K5282,RatingLookup!$A$2:$C$8,3,FALSE)</f>
        <v>0.45</v>
      </c>
      <c r="P5282">
        <f t="shared" si="247"/>
        <v>0.16834488952830082</v>
      </c>
      <c r="Q5282" t="str">
        <f t="shared" ca="1" si="248"/>
        <v>No</v>
      </c>
    </row>
    <row r="5283" spans="1:17" x14ac:dyDescent="0.45">
      <c r="A5283" t="s">
        <v>213</v>
      </c>
      <c r="B5283" t="s">
        <v>214</v>
      </c>
      <c r="C5283" t="s">
        <v>29</v>
      </c>
      <c r="D5283" t="s">
        <v>188</v>
      </c>
      <c r="E5283" t="s">
        <v>21</v>
      </c>
      <c r="F5283" s="1">
        <v>43862</v>
      </c>
      <c r="G5283">
        <v>1.45</v>
      </c>
      <c r="H5283">
        <v>82.132900000000006</v>
      </c>
      <c r="I5283">
        <v>21.6</v>
      </c>
      <c r="J5283">
        <v>73.62</v>
      </c>
      <c r="K5283" t="s">
        <v>22</v>
      </c>
      <c r="L5283">
        <v>1014.76</v>
      </c>
      <c r="M5283">
        <f>VLOOKUP(K5283,RatingLookup!$A$2:$C$8,2,FALSE)</f>
        <v>5.0000000000000001E-3</v>
      </c>
      <c r="N5283">
        <f t="shared" si="246"/>
        <v>4.1762458919303302E-4</v>
      </c>
      <c r="O5283">
        <f>VLOOKUP(K5283,RatingLookup!$A$2:$C$8,3,FALSE)</f>
        <v>0.45</v>
      </c>
      <c r="P5283">
        <f t="shared" si="247"/>
        <v>0.19070492765828498</v>
      </c>
      <c r="Q5283" t="str">
        <f t="shared" ca="1" si="248"/>
        <v>No</v>
      </c>
    </row>
    <row r="5284" spans="1:17" x14ac:dyDescent="0.45">
      <c r="A5284" t="s">
        <v>213</v>
      </c>
      <c r="B5284" t="s">
        <v>214</v>
      </c>
      <c r="C5284" t="s">
        <v>29</v>
      </c>
      <c r="D5284" t="s">
        <v>188</v>
      </c>
      <c r="E5284" t="s">
        <v>21</v>
      </c>
      <c r="F5284" s="1">
        <v>43891</v>
      </c>
      <c r="G5284">
        <v>2.29</v>
      </c>
      <c r="H5284">
        <v>79.764300000000006</v>
      </c>
      <c r="I5284">
        <v>14.52</v>
      </c>
      <c r="J5284">
        <v>73.09</v>
      </c>
      <c r="K5284" t="s">
        <v>22</v>
      </c>
      <c r="L5284">
        <v>1011.03</v>
      </c>
      <c r="M5284">
        <f>VLOOKUP(K5284,RatingLookup!$A$2:$C$8,2,FALSE)</f>
        <v>5.0000000000000001E-3</v>
      </c>
      <c r="N5284">
        <f t="shared" si="246"/>
        <v>4.1762458919303302E-4</v>
      </c>
      <c r="O5284">
        <f>VLOOKUP(K5284,RatingLookup!$A$2:$C$8,3,FALSE)</f>
        <v>0.45</v>
      </c>
      <c r="P5284">
        <f t="shared" si="247"/>
        <v>0.19000394478532448</v>
      </c>
      <c r="Q5284" t="str">
        <f t="shared" ca="1" si="248"/>
        <v>No</v>
      </c>
    </row>
    <row r="5285" spans="1:17" x14ac:dyDescent="0.45">
      <c r="A5285" t="s">
        <v>213</v>
      </c>
      <c r="B5285" t="s">
        <v>214</v>
      </c>
      <c r="C5285" t="s">
        <v>29</v>
      </c>
      <c r="D5285" t="s">
        <v>188</v>
      </c>
      <c r="E5285" t="s">
        <v>21</v>
      </c>
      <c r="F5285" s="1">
        <v>43922</v>
      </c>
      <c r="G5285">
        <v>1.1100000000000001</v>
      </c>
      <c r="H5285">
        <v>80.127200000000002</v>
      </c>
      <c r="I5285">
        <v>16.059999999999999</v>
      </c>
      <c r="J5285">
        <v>71.430000000000007</v>
      </c>
      <c r="K5285" t="s">
        <v>22</v>
      </c>
      <c r="L5285">
        <v>871.41</v>
      </c>
      <c r="M5285">
        <f>VLOOKUP(K5285,RatingLookup!$A$2:$C$8,2,FALSE)</f>
        <v>5.0000000000000001E-3</v>
      </c>
      <c r="N5285">
        <f t="shared" si="246"/>
        <v>4.1762458919303302E-4</v>
      </c>
      <c r="O5285">
        <f>VLOOKUP(K5285,RatingLookup!$A$2:$C$8,3,FALSE)</f>
        <v>0.45</v>
      </c>
      <c r="P5285">
        <f t="shared" si="247"/>
        <v>0.16376500947091541</v>
      </c>
      <c r="Q5285" t="str">
        <f t="shared" ca="1" si="248"/>
        <v>No</v>
      </c>
    </row>
    <row r="5286" spans="1:17" x14ac:dyDescent="0.45">
      <c r="A5286" t="s">
        <v>213</v>
      </c>
      <c r="B5286" t="s">
        <v>214</v>
      </c>
      <c r="C5286" t="s">
        <v>29</v>
      </c>
      <c r="D5286" t="s">
        <v>188</v>
      </c>
      <c r="E5286" t="s">
        <v>21</v>
      </c>
      <c r="F5286" s="1">
        <v>43952</v>
      </c>
      <c r="G5286">
        <v>1.48</v>
      </c>
      <c r="H5286">
        <v>84.4709</v>
      </c>
      <c r="I5286">
        <v>27.78</v>
      </c>
      <c r="J5286">
        <v>59.07</v>
      </c>
      <c r="K5286" t="s">
        <v>22</v>
      </c>
      <c r="L5286">
        <v>952.47</v>
      </c>
      <c r="M5286">
        <f>VLOOKUP(K5286,RatingLookup!$A$2:$C$8,2,FALSE)</f>
        <v>5.0000000000000001E-3</v>
      </c>
      <c r="N5286">
        <f t="shared" si="246"/>
        <v>4.1762458919303302E-4</v>
      </c>
      <c r="O5286">
        <f>VLOOKUP(K5286,RatingLookup!$A$2:$C$8,3,FALSE)</f>
        <v>0.45</v>
      </c>
      <c r="P5286">
        <f t="shared" si="247"/>
        <v>0.17899870161090969</v>
      </c>
      <c r="Q5286" t="str">
        <f t="shared" ca="1" si="248"/>
        <v>No</v>
      </c>
    </row>
    <row r="5287" spans="1:17" x14ac:dyDescent="0.45">
      <c r="A5287" t="s">
        <v>213</v>
      </c>
      <c r="B5287" t="s">
        <v>214</v>
      </c>
      <c r="C5287" t="s">
        <v>29</v>
      </c>
      <c r="D5287" t="s">
        <v>188</v>
      </c>
      <c r="E5287" t="s">
        <v>21</v>
      </c>
      <c r="F5287" s="1">
        <v>43983</v>
      </c>
      <c r="G5287">
        <v>1.43</v>
      </c>
      <c r="H5287">
        <v>82.9208</v>
      </c>
      <c r="I5287">
        <v>25.81</v>
      </c>
      <c r="J5287">
        <v>84.4</v>
      </c>
      <c r="K5287" t="s">
        <v>22</v>
      </c>
      <c r="L5287">
        <v>994.93</v>
      </c>
      <c r="M5287">
        <f>VLOOKUP(K5287,RatingLookup!$A$2:$C$8,2,FALSE)</f>
        <v>5.0000000000000001E-3</v>
      </c>
      <c r="N5287">
        <f t="shared" si="246"/>
        <v>4.1762458919303302E-4</v>
      </c>
      <c r="O5287">
        <f>VLOOKUP(K5287,RatingLookup!$A$2:$C$8,3,FALSE)</f>
        <v>0.45</v>
      </c>
      <c r="P5287">
        <f t="shared" si="247"/>
        <v>0.18697825463662096</v>
      </c>
      <c r="Q5287" t="str">
        <f t="shared" ca="1" si="248"/>
        <v>No</v>
      </c>
    </row>
    <row r="5288" spans="1:17" x14ac:dyDescent="0.45">
      <c r="A5288" t="s">
        <v>213</v>
      </c>
      <c r="B5288" t="s">
        <v>214</v>
      </c>
      <c r="C5288" t="s">
        <v>29</v>
      </c>
      <c r="D5288" t="s">
        <v>188</v>
      </c>
      <c r="E5288" t="s">
        <v>21</v>
      </c>
      <c r="F5288" s="1">
        <v>44013</v>
      </c>
      <c r="G5288">
        <v>0.54</v>
      </c>
      <c r="H5288">
        <v>83.373800000000003</v>
      </c>
      <c r="I5288">
        <v>7.73</v>
      </c>
      <c r="J5288">
        <v>93.47</v>
      </c>
      <c r="K5288" t="s">
        <v>22</v>
      </c>
      <c r="L5288">
        <v>917.09</v>
      </c>
      <c r="M5288">
        <f>VLOOKUP(K5288,RatingLookup!$A$2:$C$8,2,FALSE)</f>
        <v>5.0000000000000001E-3</v>
      </c>
      <c r="N5288">
        <f t="shared" si="246"/>
        <v>4.1762458919303302E-4</v>
      </c>
      <c r="O5288">
        <f>VLOOKUP(K5288,RatingLookup!$A$2:$C$8,3,FALSE)</f>
        <v>0.45</v>
      </c>
      <c r="P5288">
        <f t="shared" si="247"/>
        <v>0.17234970052636742</v>
      </c>
      <c r="Q5288" t="str">
        <f t="shared" ca="1" si="248"/>
        <v>No</v>
      </c>
    </row>
    <row r="5289" spans="1:17" x14ac:dyDescent="0.45">
      <c r="A5289" t="s">
        <v>213</v>
      </c>
      <c r="B5289" t="s">
        <v>214</v>
      </c>
      <c r="C5289" t="s">
        <v>29</v>
      </c>
      <c r="D5289" t="s">
        <v>188</v>
      </c>
      <c r="E5289" t="s">
        <v>21</v>
      </c>
      <c r="F5289" s="1">
        <v>44044</v>
      </c>
      <c r="G5289">
        <v>1.22</v>
      </c>
      <c r="H5289">
        <v>80.323999999999998</v>
      </c>
      <c r="I5289">
        <v>18.86</v>
      </c>
      <c r="J5289">
        <v>78.62</v>
      </c>
      <c r="K5289" t="s">
        <v>22</v>
      </c>
      <c r="L5289">
        <v>993.49</v>
      </c>
      <c r="M5289">
        <f>VLOOKUP(K5289,RatingLookup!$A$2:$C$8,2,FALSE)</f>
        <v>5.0000000000000001E-3</v>
      </c>
      <c r="N5289">
        <f t="shared" si="246"/>
        <v>4.1762458919303302E-4</v>
      </c>
      <c r="O5289">
        <f>VLOOKUP(K5289,RatingLookup!$A$2:$C$8,3,FALSE)</f>
        <v>0.45</v>
      </c>
      <c r="P5289">
        <f t="shared" si="247"/>
        <v>0.18670763390282388</v>
      </c>
      <c r="Q5289" t="str">
        <f t="shared" ca="1" si="248"/>
        <v>No</v>
      </c>
    </row>
    <row r="5290" spans="1:17" x14ac:dyDescent="0.45">
      <c r="A5290" t="s">
        <v>213</v>
      </c>
      <c r="B5290" t="s">
        <v>214</v>
      </c>
      <c r="C5290" t="s">
        <v>29</v>
      </c>
      <c r="D5290" t="s">
        <v>188</v>
      </c>
      <c r="E5290" t="s">
        <v>21</v>
      </c>
      <c r="F5290" s="1">
        <v>44075</v>
      </c>
      <c r="G5290">
        <v>1.91</v>
      </c>
      <c r="H5290">
        <v>81.527299999999997</v>
      </c>
      <c r="I5290">
        <v>11.72</v>
      </c>
      <c r="J5290">
        <v>72.64</v>
      </c>
      <c r="K5290" t="s">
        <v>22</v>
      </c>
      <c r="L5290">
        <v>973.18</v>
      </c>
      <c r="M5290">
        <f>VLOOKUP(K5290,RatingLookup!$A$2:$C$8,2,FALSE)</f>
        <v>5.0000000000000001E-3</v>
      </c>
      <c r="N5290">
        <f t="shared" si="246"/>
        <v>4.1762458919303302E-4</v>
      </c>
      <c r="O5290">
        <f>VLOOKUP(K5290,RatingLookup!$A$2:$C$8,3,FALSE)</f>
        <v>0.45</v>
      </c>
      <c r="P5290">
        <f t="shared" si="247"/>
        <v>0.18289075396989413</v>
      </c>
      <c r="Q5290" t="str">
        <f t="shared" ca="1" si="248"/>
        <v>No</v>
      </c>
    </row>
    <row r="5291" spans="1:17" x14ac:dyDescent="0.45">
      <c r="A5291" t="s">
        <v>213</v>
      </c>
      <c r="B5291" t="s">
        <v>214</v>
      </c>
      <c r="C5291" t="s">
        <v>29</v>
      </c>
      <c r="D5291" t="s">
        <v>188</v>
      </c>
      <c r="E5291" t="s">
        <v>21</v>
      </c>
      <c r="F5291" s="1">
        <v>44105</v>
      </c>
      <c r="G5291">
        <v>1.71</v>
      </c>
      <c r="H5291">
        <v>83.426100000000005</v>
      </c>
      <c r="I5291">
        <v>16.93</v>
      </c>
      <c r="J5291">
        <v>70.28</v>
      </c>
      <c r="K5291" t="s">
        <v>22</v>
      </c>
      <c r="L5291">
        <v>1022.32</v>
      </c>
      <c r="M5291">
        <f>VLOOKUP(K5291,RatingLookup!$A$2:$C$8,2,FALSE)</f>
        <v>5.0000000000000001E-3</v>
      </c>
      <c r="N5291">
        <f t="shared" si="246"/>
        <v>4.1762458919303302E-4</v>
      </c>
      <c r="O5291">
        <f>VLOOKUP(K5291,RatingLookup!$A$2:$C$8,3,FALSE)</f>
        <v>0.45</v>
      </c>
      <c r="P5291">
        <f t="shared" si="247"/>
        <v>0.19212568651071971</v>
      </c>
      <c r="Q5291" t="str">
        <f t="shared" ca="1" si="248"/>
        <v>No</v>
      </c>
    </row>
    <row r="5292" spans="1:17" x14ac:dyDescent="0.45">
      <c r="A5292" t="s">
        <v>213</v>
      </c>
      <c r="B5292" t="s">
        <v>214</v>
      </c>
      <c r="C5292" t="s">
        <v>29</v>
      </c>
      <c r="D5292" t="s">
        <v>188</v>
      </c>
      <c r="E5292" t="s">
        <v>21</v>
      </c>
      <c r="F5292" s="1">
        <v>44136</v>
      </c>
      <c r="G5292">
        <v>0.49</v>
      </c>
      <c r="H5292">
        <v>80.7166</v>
      </c>
      <c r="I5292">
        <v>25.21</v>
      </c>
      <c r="J5292">
        <v>83.15</v>
      </c>
      <c r="K5292" t="s">
        <v>22</v>
      </c>
      <c r="L5292">
        <v>976.96</v>
      </c>
      <c r="M5292">
        <f>VLOOKUP(K5292,RatingLookup!$A$2:$C$8,2,FALSE)</f>
        <v>5.0000000000000001E-3</v>
      </c>
      <c r="N5292">
        <f t="shared" si="246"/>
        <v>4.1762458919303302E-4</v>
      </c>
      <c r="O5292">
        <f>VLOOKUP(K5292,RatingLookup!$A$2:$C$8,3,FALSE)</f>
        <v>0.45</v>
      </c>
      <c r="P5292">
        <f t="shared" si="247"/>
        <v>0.1836011333961115</v>
      </c>
      <c r="Q5292" t="str">
        <f t="shared" ca="1" si="248"/>
        <v>No</v>
      </c>
    </row>
    <row r="5293" spans="1:17" x14ac:dyDescent="0.45">
      <c r="A5293" t="s">
        <v>213</v>
      </c>
      <c r="B5293" t="s">
        <v>214</v>
      </c>
      <c r="C5293" t="s">
        <v>29</v>
      </c>
      <c r="D5293" t="s">
        <v>188</v>
      </c>
      <c r="E5293" t="s">
        <v>21</v>
      </c>
      <c r="F5293" s="1">
        <v>44166</v>
      </c>
      <c r="G5293">
        <v>2.82</v>
      </c>
      <c r="H5293">
        <v>80.654300000000006</v>
      </c>
      <c r="I5293">
        <v>5</v>
      </c>
      <c r="J5293">
        <v>78.37</v>
      </c>
      <c r="K5293" t="s">
        <v>22</v>
      </c>
      <c r="L5293">
        <v>1000.44</v>
      </c>
      <c r="M5293">
        <f>VLOOKUP(K5293,RatingLookup!$A$2:$C$8,2,FALSE)</f>
        <v>5.0000000000000001E-3</v>
      </c>
      <c r="N5293">
        <f t="shared" si="246"/>
        <v>4.1762458919303302E-4</v>
      </c>
      <c r="O5293">
        <f>VLOOKUP(K5293,RatingLookup!$A$2:$C$8,3,FALSE)</f>
        <v>0.45</v>
      </c>
      <c r="P5293">
        <f t="shared" si="247"/>
        <v>0.1880137548055251</v>
      </c>
      <c r="Q5293" t="str">
        <f t="shared" ca="1" si="248"/>
        <v>No</v>
      </c>
    </row>
    <row r="5294" spans="1:17" x14ac:dyDescent="0.45">
      <c r="A5294" t="s">
        <v>213</v>
      </c>
      <c r="B5294" t="s">
        <v>214</v>
      </c>
      <c r="C5294" t="s">
        <v>29</v>
      </c>
      <c r="D5294" t="s">
        <v>188</v>
      </c>
      <c r="E5294" t="s">
        <v>21</v>
      </c>
      <c r="F5294" s="1">
        <v>44197</v>
      </c>
      <c r="G5294">
        <v>1.21</v>
      </c>
      <c r="H5294">
        <v>88.913399999999996</v>
      </c>
      <c r="I5294">
        <v>14.54</v>
      </c>
      <c r="J5294">
        <v>76.709999999999994</v>
      </c>
      <c r="K5294" t="s">
        <v>30</v>
      </c>
      <c r="L5294">
        <v>926.64</v>
      </c>
      <c r="M5294">
        <f>VLOOKUP(K5294,RatingLookup!$A$2:$C$8,2,FALSE)</f>
        <v>1.4999999999999999E-2</v>
      </c>
      <c r="N5294">
        <f t="shared" si="246"/>
        <v>1.2586770182638762E-3</v>
      </c>
      <c r="O5294">
        <f>VLOOKUP(K5294,RatingLookup!$A$2:$C$8,3,FALSE)</f>
        <v>0.5</v>
      </c>
      <c r="P5294">
        <f t="shared" si="247"/>
        <v>0.58317023610201912</v>
      </c>
      <c r="Q5294" t="str">
        <f t="shared" ca="1" si="248"/>
        <v>No</v>
      </c>
    </row>
    <row r="5295" spans="1:17" x14ac:dyDescent="0.45">
      <c r="A5295" t="s">
        <v>213</v>
      </c>
      <c r="B5295" t="s">
        <v>214</v>
      </c>
      <c r="C5295" t="s">
        <v>29</v>
      </c>
      <c r="D5295" t="s">
        <v>188</v>
      </c>
      <c r="E5295" t="s">
        <v>21</v>
      </c>
      <c r="F5295" s="1">
        <v>44228</v>
      </c>
      <c r="G5295">
        <v>2.0099999999999998</v>
      </c>
      <c r="H5295">
        <v>79.209400000000002</v>
      </c>
      <c r="I5295">
        <v>19.920000000000002</v>
      </c>
      <c r="J5295">
        <v>80.239999999999995</v>
      </c>
      <c r="K5295" t="s">
        <v>30</v>
      </c>
      <c r="L5295">
        <v>918.86</v>
      </c>
      <c r="M5295">
        <f>VLOOKUP(K5295,RatingLookup!$A$2:$C$8,2,FALSE)</f>
        <v>1.4999999999999999E-2</v>
      </c>
      <c r="N5295">
        <f t="shared" si="246"/>
        <v>1.2586770182638762E-3</v>
      </c>
      <c r="O5295">
        <f>VLOOKUP(K5295,RatingLookup!$A$2:$C$8,3,FALSE)</f>
        <v>0.5</v>
      </c>
      <c r="P5295">
        <f t="shared" si="247"/>
        <v>0.57827398250097262</v>
      </c>
      <c r="Q5295" t="str">
        <f t="shared" ca="1" si="248"/>
        <v>No</v>
      </c>
    </row>
    <row r="5296" spans="1:17" x14ac:dyDescent="0.45">
      <c r="A5296" t="s">
        <v>213</v>
      </c>
      <c r="B5296" t="s">
        <v>214</v>
      </c>
      <c r="C5296" t="s">
        <v>29</v>
      </c>
      <c r="D5296" t="s">
        <v>188</v>
      </c>
      <c r="E5296" t="s">
        <v>21</v>
      </c>
      <c r="F5296" s="1">
        <v>44256</v>
      </c>
      <c r="G5296">
        <v>1.32</v>
      </c>
      <c r="H5296">
        <v>83.724100000000007</v>
      </c>
      <c r="I5296">
        <v>19.47</v>
      </c>
      <c r="J5296">
        <v>68.97</v>
      </c>
      <c r="K5296" t="s">
        <v>30</v>
      </c>
      <c r="L5296">
        <v>928.62</v>
      </c>
      <c r="M5296">
        <f>VLOOKUP(K5296,RatingLookup!$A$2:$C$8,2,FALSE)</f>
        <v>1.4999999999999999E-2</v>
      </c>
      <c r="N5296">
        <f t="shared" si="246"/>
        <v>1.2586770182638762E-3</v>
      </c>
      <c r="O5296">
        <f>VLOOKUP(K5296,RatingLookup!$A$2:$C$8,3,FALSE)</f>
        <v>0.5</v>
      </c>
      <c r="P5296">
        <f t="shared" si="247"/>
        <v>0.58441632635010032</v>
      </c>
      <c r="Q5296" t="str">
        <f t="shared" ca="1" si="248"/>
        <v>No</v>
      </c>
    </row>
    <row r="5297" spans="1:17" x14ac:dyDescent="0.45">
      <c r="A5297" t="s">
        <v>213</v>
      </c>
      <c r="B5297" t="s">
        <v>214</v>
      </c>
      <c r="C5297" t="s">
        <v>29</v>
      </c>
      <c r="D5297" t="s">
        <v>188</v>
      </c>
      <c r="E5297" t="s">
        <v>21</v>
      </c>
      <c r="F5297" s="1">
        <v>44287</v>
      </c>
      <c r="G5297">
        <v>1.4</v>
      </c>
      <c r="H5297">
        <v>82.992900000000006</v>
      </c>
      <c r="I5297">
        <v>8.1300000000000008</v>
      </c>
      <c r="J5297">
        <v>69.92</v>
      </c>
      <c r="K5297" t="s">
        <v>31</v>
      </c>
      <c r="L5297">
        <v>975.93</v>
      </c>
      <c r="M5297">
        <f>VLOOKUP(K5297,RatingLookup!$A$2:$C$8,2,FALSE)</f>
        <v>0.04</v>
      </c>
      <c r="N5297">
        <f t="shared" si="246"/>
        <v>3.3960531989175591E-3</v>
      </c>
      <c r="O5297">
        <f>VLOOKUP(K5297,RatingLookup!$A$2:$C$8,3,FALSE)</f>
        <v>0.6</v>
      </c>
      <c r="P5297">
        <f t="shared" si="247"/>
        <v>1.9885861190517677</v>
      </c>
      <c r="Q5297" t="str">
        <f t="shared" ca="1" si="248"/>
        <v>No</v>
      </c>
    </row>
    <row r="5298" spans="1:17" x14ac:dyDescent="0.45">
      <c r="A5298" t="s">
        <v>213</v>
      </c>
      <c r="B5298" t="s">
        <v>214</v>
      </c>
      <c r="C5298" t="s">
        <v>29</v>
      </c>
      <c r="D5298" t="s">
        <v>188</v>
      </c>
      <c r="E5298" t="s">
        <v>21</v>
      </c>
      <c r="F5298" s="1">
        <v>44317</v>
      </c>
      <c r="G5298">
        <v>2.2799999999999998</v>
      </c>
      <c r="H5298">
        <v>81.879400000000004</v>
      </c>
      <c r="I5298">
        <v>23.68</v>
      </c>
      <c r="J5298">
        <v>84.63</v>
      </c>
      <c r="K5298" t="s">
        <v>31</v>
      </c>
      <c r="L5298">
        <v>996.04</v>
      </c>
      <c r="M5298">
        <f>VLOOKUP(K5298,RatingLookup!$A$2:$C$8,2,FALSE)</f>
        <v>0.04</v>
      </c>
      <c r="N5298">
        <f t="shared" si="246"/>
        <v>3.3960531989175591E-3</v>
      </c>
      <c r="O5298">
        <f>VLOOKUP(K5298,RatingLookup!$A$2:$C$8,3,FALSE)</f>
        <v>0.6</v>
      </c>
      <c r="P5298">
        <f t="shared" si="247"/>
        <v>2.0295628969499071</v>
      </c>
      <c r="Q5298" t="str">
        <f t="shared" ca="1" si="248"/>
        <v>No</v>
      </c>
    </row>
    <row r="5299" spans="1:17" x14ac:dyDescent="0.45">
      <c r="A5299" t="s">
        <v>213</v>
      </c>
      <c r="B5299" t="s">
        <v>214</v>
      </c>
      <c r="C5299" t="s">
        <v>29</v>
      </c>
      <c r="D5299" t="s">
        <v>188</v>
      </c>
      <c r="E5299" t="s">
        <v>21</v>
      </c>
      <c r="F5299" s="1">
        <v>44348</v>
      </c>
      <c r="G5299">
        <v>0.61</v>
      </c>
      <c r="H5299">
        <v>85.599199999999996</v>
      </c>
      <c r="I5299">
        <v>18.98</v>
      </c>
      <c r="J5299">
        <v>72.72</v>
      </c>
      <c r="K5299" t="s">
        <v>31</v>
      </c>
      <c r="L5299">
        <v>939.7</v>
      </c>
      <c r="M5299">
        <f>VLOOKUP(K5299,RatingLookup!$A$2:$C$8,2,FALSE)</f>
        <v>0.04</v>
      </c>
      <c r="N5299">
        <f t="shared" si="246"/>
        <v>3.3960531989175591E-3</v>
      </c>
      <c r="O5299">
        <f>VLOOKUP(K5299,RatingLookup!$A$2:$C$8,3,FALSE)</f>
        <v>0.6</v>
      </c>
      <c r="P5299">
        <f t="shared" si="247"/>
        <v>1.9147627146136981</v>
      </c>
      <c r="Q5299" t="str">
        <f t="shared" ca="1" si="248"/>
        <v>No</v>
      </c>
    </row>
    <row r="5300" spans="1:17" x14ac:dyDescent="0.45">
      <c r="A5300" t="s">
        <v>213</v>
      </c>
      <c r="B5300" t="s">
        <v>214</v>
      </c>
      <c r="C5300" t="s">
        <v>29</v>
      </c>
      <c r="D5300" t="s">
        <v>188</v>
      </c>
      <c r="E5300" t="s">
        <v>21</v>
      </c>
      <c r="F5300" s="1">
        <v>44378</v>
      </c>
      <c r="G5300">
        <v>1.69</v>
      </c>
      <c r="H5300">
        <v>81.855800000000002</v>
      </c>
      <c r="I5300">
        <v>16.420000000000002</v>
      </c>
      <c r="J5300">
        <v>67.25</v>
      </c>
      <c r="K5300" t="s">
        <v>31</v>
      </c>
      <c r="L5300">
        <v>1025.28</v>
      </c>
      <c r="M5300">
        <f>VLOOKUP(K5300,RatingLookup!$A$2:$C$8,2,FALSE)</f>
        <v>0.04</v>
      </c>
      <c r="N5300">
        <f t="shared" si="246"/>
        <v>3.3960531989175591E-3</v>
      </c>
      <c r="O5300">
        <f>VLOOKUP(K5300,RatingLookup!$A$2:$C$8,3,FALSE)</f>
        <v>0.6</v>
      </c>
      <c r="P5300">
        <f t="shared" si="247"/>
        <v>2.089143254271717</v>
      </c>
      <c r="Q5300" t="str">
        <f t="shared" ca="1" si="248"/>
        <v>No</v>
      </c>
    </row>
    <row r="5301" spans="1:17" x14ac:dyDescent="0.45">
      <c r="A5301" t="s">
        <v>213</v>
      </c>
      <c r="B5301" t="s">
        <v>214</v>
      </c>
      <c r="C5301" t="s">
        <v>29</v>
      </c>
      <c r="D5301" t="s">
        <v>188</v>
      </c>
      <c r="E5301" t="s">
        <v>21</v>
      </c>
      <c r="F5301" s="1">
        <v>44409</v>
      </c>
      <c r="G5301">
        <v>1.33</v>
      </c>
      <c r="H5301">
        <v>83.063699999999997</v>
      </c>
      <c r="I5301">
        <v>15.62</v>
      </c>
      <c r="J5301">
        <v>82.85</v>
      </c>
      <c r="K5301" t="s">
        <v>31</v>
      </c>
      <c r="L5301">
        <v>1024.17</v>
      </c>
      <c r="M5301">
        <f>VLOOKUP(K5301,RatingLookup!$A$2:$C$8,2,FALSE)</f>
        <v>0.04</v>
      </c>
      <c r="N5301">
        <f t="shared" si="246"/>
        <v>3.3960531989175591E-3</v>
      </c>
      <c r="O5301">
        <f>VLOOKUP(K5301,RatingLookup!$A$2:$C$8,3,FALSE)</f>
        <v>0.6</v>
      </c>
      <c r="P5301">
        <f t="shared" si="247"/>
        <v>2.0868814828412376</v>
      </c>
      <c r="Q5301" t="str">
        <f t="shared" ca="1" si="248"/>
        <v>No</v>
      </c>
    </row>
    <row r="5302" spans="1:17" x14ac:dyDescent="0.45">
      <c r="A5302" t="s">
        <v>213</v>
      </c>
      <c r="B5302" t="s">
        <v>214</v>
      </c>
      <c r="C5302" t="s">
        <v>29</v>
      </c>
      <c r="D5302" t="s">
        <v>188</v>
      </c>
      <c r="E5302" t="s">
        <v>21</v>
      </c>
      <c r="F5302" s="1">
        <v>44440</v>
      </c>
      <c r="G5302">
        <v>1.89</v>
      </c>
      <c r="H5302">
        <v>82.564800000000005</v>
      </c>
      <c r="I5302">
        <v>16.739999999999998</v>
      </c>
      <c r="J5302">
        <v>96.14</v>
      </c>
      <c r="K5302" t="s">
        <v>31</v>
      </c>
      <c r="L5302">
        <v>1028.9000000000001</v>
      </c>
      <c r="M5302">
        <f>VLOOKUP(K5302,RatingLookup!$A$2:$C$8,2,FALSE)</f>
        <v>0.04</v>
      </c>
      <c r="N5302">
        <f t="shared" si="246"/>
        <v>3.3960531989175591E-3</v>
      </c>
      <c r="O5302">
        <f>VLOOKUP(K5302,RatingLookup!$A$2:$C$8,3,FALSE)</f>
        <v>0.6</v>
      </c>
      <c r="P5302">
        <f t="shared" si="247"/>
        <v>2.0965194818197661</v>
      </c>
      <c r="Q5302" t="str">
        <f t="shared" ca="1" si="248"/>
        <v>No</v>
      </c>
    </row>
    <row r="5303" spans="1:17" x14ac:dyDescent="0.45">
      <c r="A5303" t="s">
        <v>213</v>
      </c>
      <c r="B5303" t="s">
        <v>214</v>
      </c>
      <c r="C5303" t="s">
        <v>29</v>
      </c>
      <c r="D5303" t="s">
        <v>188</v>
      </c>
      <c r="E5303" t="s">
        <v>21</v>
      </c>
      <c r="F5303" s="1">
        <v>44470</v>
      </c>
      <c r="G5303">
        <v>1.21</v>
      </c>
      <c r="H5303">
        <v>82.744699999999995</v>
      </c>
      <c r="I5303">
        <v>27.47</v>
      </c>
      <c r="J5303">
        <v>78.27</v>
      </c>
      <c r="K5303" t="s">
        <v>31</v>
      </c>
      <c r="L5303">
        <v>964.7</v>
      </c>
      <c r="M5303">
        <f>VLOOKUP(K5303,RatingLookup!$A$2:$C$8,2,FALSE)</f>
        <v>0.04</v>
      </c>
      <c r="N5303">
        <f t="shared" si="246"/>
        <v>3.3960531989175591E-3</v>
      </c>
      <c r="O5303">
        <f>VLOOKUP(K5303,RatingLookup!$A$2:$C$8,3,FALSE)</f>
        <v>0.6</v>
      </c>
      <c r="P5303">
        <f t="shared" si="247"/>
        <v>1.9657035125974616</v>
      </c>
      <c r="Q5303" t="str">
        <f t="shared" ca="1" si="248"/>
        <v>No</v>
      </c>
    </row>
    <row r="5304" spans="1:17" x14ac:dyDescent="0.45">
      <c r="A5304" t="s">
        <v>213</v>
      </c>
      <c r="B5304" t="s">
        <v>214</v>
      </c>
      <c r="C5304" t="s">
        <v>29</v>
      </c>
      <c r="D5304" t="s">
        <v>188</v>
      </c>
      <c r="E5304" t="s">
        <v>21</v>
      </c>
      <c r="F5304" s="1">
        <v>44501</v>
      </c>
      <c r="G5304">
        <v>1.66</v>
      </c>
      <c r="H5304">
        <v>78.979100000000003</v>
      </c>
      <c r="I5304">
        <v>21.95</v>
      </c>
      <c r="J5304">
        <v>82.63</v>
      </c>
      <c r="K5304" t="s">
        <v>31</v>
      </c>
      <c r="L5304">
        <v>1009.64</v>
      </c>
      <c r="M5304">
        <f>VLOOKUP(K5304,RatingLookup!$A$2:$C$8,2,FALSE)</f>
        <v>0.04</v>
      </c>
      <c r="N5304">
        <f t="shared" si="246"/>
        <v>3.3960531989175591E-3</v>
      </c>
      <c r="O5304">
        <f>VLOOKUP(K5304,RatingLookup!$A$2:$C$8,3,FALSE)</f>
        <v>0.6</v>
      </c>
      <c r="P5304">
        <f t="shared" si="247"/>
        <v>2.0572746910530744</v>
      </c>
      <c r="Q5304" t="str">
        <f t="shared" ca="1" si="248"/>
        <v>No</v>
      </c>
    </row>
    <row r="5305" spans="1:17" x14ac:dyDescent="0.45">
      <c r="A5305" t="s">
        <v>213</v>
      </c>
      <c r="B5305" t="s">
        <v>214</v>
      </c>
      <c r="C5305" t="s">
        <v>29</v>
      </c>
      <c r="D5305" t="s">
        <v>188</v>
      </c>
      <c r="E5305" t="s">
        <v>21</v>
      </c>
      <c r="F5305" s="1">
        <v>44531</v>
      </c>
      <c r="G5305">
        <v>1.88</v>
      </c>
      <c r="H5305">
        <v>82.412199999999999</v>
      </c>
      <c r="I5305">
        <v>24.76</v>
      </c>
      <c r="J5305">
        <v>88.73</v>
      </c>
      <c r="K5305" t="s">
        <v>31</v>
      </c>
      <c r="L5305">
        <v>924.63</v>
      </c>
      <c r="M5305">
        <f>VLOOKUP(K5305,RatingLookup!$A$2:$C$8,2,FALSE)</f>
        <v>0.04</v>
      </c>
      <c r="N5305">
        <f t="shared" si="246"/>
        <v>3.3960531989175591E-3</v>
      </c>
      <c r="O5305">
        <f>VLOOKUP(K5305,RatingLookup!$A$2:$C$8,3,FALSE)</f>
        <v>0.6</v>
      </c>
      <c r="P5305">
        <f t="shared" si="247"/>
        <v>1.8840556015890855</v>
      </c>
      <c r="Q5305" t="str">
        <f t="shared" ca="1" si="248"/>
        <v>No</v>
      </c>
    </row>
    <row r="5306" spans="1:17" x14ac:dyDescent="0.45">
      <c r="A5306" t="s">
        <v>213</v>
      </c>
      <c r="B5306" t="s">
        <v>214</v>
      </c>
      <c r="C5306" t="s">
        <v>29</v>
      </c>
      <c r="D5306" t="s">
        <v>188</v>
      </c>
      <c r="E5306" t="s">
        <v>21</v>
      </c>
      <c r="F5306" s="1">
        <v>44562</v>
      </c>
      <c r="G5306">
        <v>2.38</v>
      </c>
      <c r="H5306">
        <v>85.030600000000007</v>
      </c>
      <c r="I5306">
        <v>19.84</v>
      </c>
      <c r="J5306">
        <v>74.86</v>
      </c>
      <c r="K5306" t="s">
        <v>32</v>
      </c>
      <c r="L5306">
        <v>867.83</v>
      </c>
      <c r="M5306">
        <f>VLOOKUP(K5306,RatingLookup!$A$2:$C$8,2,FALSE)</f>
        <v>0.12</v>
      </c>
      <c r="N5306">
        <f t="shared" si="246"/>
        <v>1.0596241035318976E-2</v>
      </c>
      <c r="O5306">
        <f>VLOOKUP(K5306,RatingLookup!$A$2:$C$8,3,FALSE)</f>
        <v>0.7</v>
      </c>
      <c r="P5306">
        <f t="shared" si="247"/>
        <v>6.4370151003766072</v>
      </c>
      <c r="Q5306" t="str">
        <f t="shared" ca="1" si="248"/>
        <v>No</v>
      </c>
    </row>
    <row r="5307" spans="1:17" x14ac:dyDescent="0.45">
      <c r="A5307" t="s">
        <v>213</v>
      </c>
      <c r="B5307" t="s">
        <v>214</v>
      </c>
      <c r="C5307" t="s">
        <v>29</v>
      </c>
      <c r="D5307" t="s">
        <v>188</v>
      </c>
      <c r="E5307" t="s">
        <v>21</v>
      </c>
      <c r="F5307" s="1">
        <v>44593</v>
      </c>
      <c r="G5307">
        <v>1.96</v>
      </c>
      <c r="H5307">
        <v>83.444999999999993</v>
      </c>
      <c r="I5307">
        <v>15.14</v>
      </c>
      <c r="J5307">
        <v>82.58</v>
      </c>
      <c r="K5307" t="s">
        <v>32</v>
      </c>
      <c r="L5307">
        <v>967.3</v>
      </c>
      <c r="M5307">
        <f>VLOOKUP(K5307,RatingLookup!$A$2:$C$8,2,FALSE)</f>
        <v>0.12</v>
      </c>
      <c r="N5307">
        <f t="shared" si="246"/>
        <v>1.0596241035318976E-2</v>
      </c>
      <c r="O5307">
        <f>VLOOKUP(K5307,RatingLookup!$A$2:$C$8,3,FALSE)</f>
        <v>0.7</v>
      </c>
      <c r="P5307">
        <f t="shared" si="247"/>
        <v>7.1748207674248317</v>
      </c>
      <c r="Q5307" t="str">
        <f t="shared" ca="1" si="248"/>
        <v>No</v>
      </c>
    </row>
    <row r="5308" spans="1:17" x14ac:dyDescent="0.45">
      <c r="A5308" t="s">
        <v>213</v>
      </c>
      <c r="B5308" t="s">
        <v>214</v>
      </c>
      <c r="C5308" t="s">
        <v>29</v>
      </c>
      <c r="D5308" t="s">
        <v>188</v>
      </c>
      <c r="E5308" t="s">
        <v>21</v>
      </c>
      <c r="F5308" s="1">
        <v>44621</v>
      </c>
      <c r="G5308">
        <v>1.1399999999999999</v>
      </c>
      <c r="H5308">
        <v>83.002799999999993</v>
      </c>
      <c r="I5308">
        <v>18.399999999999999</v>
      </c>
      <c r="J5308">
        <v>72.53</v>
      </c>
      <c r="K5308" t="s">
        <v>32</v>
      </c>
      <c r="L5308">
        <v>925.61</v>
      </c>
      <c r="M5308">
        <f>VLOOKUP(K5308,RatingLookup!$A$2:$C$8,2,FALSE)</f>
        <v>0.12</v>
      </c>
      <c r="N5308">
        <f t="shared" si="246"/>
        <v>1.0596241035318976E-2</v>
      </c>
      <c r="O5308">
        <f>VLOOKUP(K5308,RatingLookup!$A$2:$C$8,3,FALSE)</f>
        <v>0.7</v>
      </c>
      <c r="P5308">
        <f t="shared" si="247"/>
        <v>6.8655906652911183</v>
      </c>
      <c r="Q5308" t="str">
        <f t="shared" ca="1" si="248"/>
        <v>No</v>
      </c>
    </row>
    <row r="5309" spans="1:17" x14ac:dyDescent="0.45">
      <c r="A5309" t="s">
        <v>213</v>
      </c>
      <c r="B5309" t="s">
        <v>214</v>
      </c>
      <c r="C5309" t="s">
        <v>29</v>
      </c>
      <c r="D5309" t="s">
        <v>188</v>
      </c>
      <c r="E5309" t="s">
        <v>21</v>
      </c>
      <c r="F5309" s="1">
        <v>44652</v>
      </c>
      <c r="G5309">
        <v>2.27</v>
      </c>
      <c r="H5309">
        <v>88.005700000000004</v>
      </c>
      <c r="I5309">
        <v>17.63</v>
      </c>
      <c r="J5309">
        <v>71.36</v>
      </c>
      <c r="K5309" t="s">
        <v>32</v>
      </c>
      <c r="L5309">
        <v>906.01</v>
      </c>
      <c r="M5309">
        <f>VLOOKUP(K5309,RatingLookup!$A$2:$C$8,2,FALSE)</f>
        <v>0.12</v>
      </c>
      <c r="N5309">
        <f t="shared" si="246"/>
        <v>1.0596241035318976E-2</v>
      </c>
      <c r="O5309">
        <f>VLOOKUP(K5309,RatingLookup!$A$2:$C$8,3,FALSE)</f>
        <v>0.7</v>
      </c>
      <c r="P5309">
        <f t="shared" si="247"/>
        <v>6.7202102382865414</v>
      </c>
      <c r="Q5309" t="str">
        <f t="shared" ca="1" si="248"/>
        <v>No</v>
      </c>
    </row>
    <row r="5310" spans="1:17" x14ac:dyDescent="0.45">
      <c r="A5310" t="s">
        <v>213</v>
      </c>
      <c r="B5310" t="s">
        <v>214</v>
      </c>
      <c r="C5310" t="s">
        <v>29</v>
      </c>
      <c r="D5310" t="s">
        <v>188</v>
      </c>
      <c r="E5310" t="s">
        <v>21</v>
      </c>
      <c r="F5310" s="1">
        <v>44682</v>
      </c>
      <c r="G5310">
        <v>1.61</v>
      </c>
      <c r="H5310">
        <v>81.892799999999994</v>
      </c>
      <c r="I5310">
        <v>18.489999999999998</v>
      </c>
      <c r="J5310">
        <v>104.93</v>
      </c>
      <c r="K5310" t="s">
        <v>32</v>
      </c>
      <c r="L5310">
        <v>923.84</v>
      </c>
      <c r="M5310">
        <f>VLOOKUP(K5310,RatingLookup!$A$2:$C$8,2,FALSE)</f>
        <v>0.12</v>
      </c>
      <c r="N5310">
        <f t="shared" si="246"/>
        <v>1.0596241035318976E-2</v>
      </c>
      <c r="O5310">
        <f>VLOOKUP(K5310,RatingLookup!$A$2:$C$8,3,FALSE)</f>
        <v>0.7</v>
      </c>
      <c r="P5310">
        <f t="shared" si="247"/>
        <v>6.8524619226483576</v>
      </c>
      <c r="Q5310" t="str">
        <f t="shared" ca="1" si="248"/>
        <v>No</v>
      </c>
    </row>
    <row r="5311" spans="1:17" x14ac:dyDescent="0.45">
      <c r="A5311" t="s">
        <v>213</v>
      </c>
      <c r="B5311" t="s">
        <v>214</v>
      </c>
      <c r="C5311" t="s">
        <v>29</v>
      </c>
      <c r="D5311" t="s">
        <v>188</v>
      </c>
      <c r="E5311" t="s">
        <v>21</v>
      </c>
      <c r="F5311" s="1">
        <v>44713</v>
      </c>
      <c r="G5311">
        <v>0.33</v>
      </c>
      <c r="H5311">
        <v>84.521100000000004</v>
      </c>
      <c r="I5311">
        <v>19.100000000000001</v>
      </c>
      <c r="J5311">
        <v>90.19</v>
      </c>
      <c r="K5311" t="s">
        <v>32</v>
      </c>
      <c r="L5311">
        <v>860.51</v>
      </c>
      <c r="M5311">
        <f>VLOOKUP(K5311,RatingLookup!$A$2:$C$8,2,FALSE)</f>
        <v>0.12</v>
      </c>
      <c r="N5311">
        <f t="shared" si="246"/>
        <v>1.0596241035318976E-2</v>
      </c>
      <c r="O5311">
        <f>VLOOKUP(K5311,RatingLookup!$A$2:$C$8,3,FALSE)</f>
        <v>0.7</v>
      </c>
      <c r="P5311">
        <f t="shared" si="247"/>
        <v>6.3827199613116319</v>
      </c>
      <c r="Q5311" t="str">
        <f t="shared" ca="1" si="248"/>
        <v>No</v>
      </c>
    </row>
    <row r="5312" spans="1:17" x14ac:dyDescent="0.45">
      <c r="A5312" t="s">
        <v>213</v>
      </c>
      <c r="B5312" t="s">
        <v>214</v>
      </c>
      <c r="C5312" t="s">
        <v>29</v>
      </c>
      <c r="D5312" t="s">
        <v>188</v>
      </c>
      <c r="E5312" t="s">
        <v>21</v>
      </c>
      <c r="F5312" s="1">
        <v>44743</v>
      </c>
      <c r="G5312">
        <v>1.31</v>
      </c>
      <c r="H5312">
        <v>81.786100000000005</v>
      </c>
      <c r="I5312">
        <v>16.43</v>
      </c>
      <c r="J5312">
        <v>73.38</v>
      </c>
      <c r="K5312" t="s">
        <v>32</v>
      </c>
      <c r="L5312">
        <v>1005.88</v>
      </c>
      <c r="M5312">
        <f>VLOOKUP(K5312,RatingLookup!$A$2:$C$8,2,FALSE)</f>
        <v>0.12</v>
      </c>
      <c r="N5312">
        <f t="shared" si="246"/>
        <v>1.0596241035318976E-2</v>
      </c>
      <c r="O5312">
        <f>VLOOKUP(K5312,RatingLookup!$A$2:$C$8,3,FALSE)</f>
        <v>0.7</v>
      </c>
      <c r="P5312">
        <f t="shared" si="247"/>
        <v>7.4609828528246549</v>
      </c>
      <c r="Q5312" t="str">
        <f t="shared" ca="1" si="248"/>
        <v>No</v>
      </c>
    </row>
    <row r="5313" spans="1:17" x14ac:dyDescent="0.45">
      <c r="A5313" t="s">
        <v>213</v>
      </c>
      <c r="B5313" t="s">
        <v>214</v>
      </c>
      <c r="C5313" t="s">
        <v>29</v>
      </c>
      <c r="D5313" t="s">
        <v>188</v>
      </c>
      <c r="E5313" t="s">
        <v>21</v>
      </c>
      <c r="F5313" s="1">
        <v>44774</v>
      </c>
      <c r="G5313">
        <v>0.99</v>
      </c>
      <c r="H5313">
        <v>84.345699999999994</v>
      </c>
      <c r="I5313">
        <v>9.9499999999999993</v>
      </c>
      <c r="J5313">
        <v>66.290000000000006</v>
      </c>
      <c r="K5313" t="s">
        <v>32</v>
      </c>
      <c r="L5313">
        <v>956.25</v>
      </c>
      <c r="M5313">
        <f>VLOOKUP(K5313,RatingLookup!$A$2:$C$8,2,FALSE)</f>
        <v>0.12</v>
      </c>
      <c r="N5313">
        <f t="shared" si="246"/>
        <v>1.0596241035318976E-2</v>
      </c>
      <c r="O5313">
        <f>VLOOKUP(K5313,RatingLookup!$A$2:$C$8,3,FALSE)</f>
        <v>0.7</v>
      </c>
      <c r="P5313">
        <f t="shared" si="247"/>
        <v>7.0928588430166393</v>
      </c>
      <c r="Q5313" t="str">
        <f t="shared" ca="1" si="248"/>
        <v>No</v>
      </c>
    </row>
    <row r="5314" spans="1:17" x14ac:dyDescent="0.45">
      <c r="A5314" t="s">
        <v>213</v>
      </c>
      <c r="B5314" t="s">
        <v>214</v>
      </c>
      <c r="C5314" t="s">
        <v>29</v>
      </c>
      <c r="D5314" t="s">
        <v>188</v>
      </c>
      <c r="E5314" t="s">
        <v>21</v>
      </c>
      <c r="F5314" s="1">
        <v>44805</v>
      </c>
      <c r="G5314">
        <v>2.25</v>
      </c>
      <c r="H5314">
        <v>83.985299999999995</v>
      </c>
      <c r="I5314">
        <v>19.22</v>
      </c>
      <c r="J5314">
        <v>85.09</v>
      </c>
      <c r="K5314" t="s">
        <v>32</v>
      </c>
      <c r="L5314">
        <v>885.29</v>
      </c>
      <c r="M5314">
        <f>VLOOKUP(K5314,RatingLookup!$A$2:$C$8,2,FALSE)</f>
        <v>0.12</v>
      </c>
      <c r="N5314">
        <f t="shared" ref="N5314:N5377" si="249">1-(1-M5314)^(1/12)</f>
        <v>1.0596241035318976E-2</v>
      </c>
      <c r="O5314">
        <f>VLOOKUP(K5314,RatingLookup!$A$2:$C$8,3,FALSE)</f>
        <v>0.7</v>
      </c>
      <c r="P5314">
        <f t="shared" ref="P5314:P5377" si="250">L5314*N5314*O5314</f>
        <v>6.5665223583102748</v>
      </c>
      <c r="Q5314" t="str">
        <f t="shared" ref="Q5314:Q5377" ca="1" si="251">IF(RAND()&lt;N5314,"Yes","No")</f>
        <v>No</v>
      </c>
    </row>
    <row r="5315" spans="1:17" x14ac:dyDescent="0.45">
      <c r="A5315" t="s">
        <v>213</v>
      </c>
      <c r="B5315" t="s">
        <v>214</v>
      </c>
      <c r="C5315" t="s">
        <v>29</v>
      </c>
      <c r="D5315" t="s">
        <v>188</v>
      </c>
      <c r="E5315" t="s">
        <v>21</v>
      </c>
      <c r="F5315" s="1">
        <v>44835</v>
      </c>
      <c r="G5315">
        <v>0.96</v>
      </c>
      <c r="H5315">
        <v>79.200299999999999</v>
      </c>
      <c r="I5315">
        <v>16.87</v>
      </c>
      <c r="J5315">
        <v>80.47</v>
      </c>
      <c r="K5315" t="s">
        <v>32</v>
      </c>
      <c r="L5315">
        <v>937.67</v>
      </c>
      <c r="M5315">
        <f>VLOOKUP(K5315,RatingLookup!$A$2:$C$8,2,FALSE)</f>
        <v>0.12</v>
      </c>
      <c r="N5315">
        <f t="shared" si="249"/>
        <v>1.0596241035318976E-2</v>
      </c>
      <c r="O5315">
        <f>VLOOKUP(K5315,RatingLookup!$A$2:$C$8,3,FALSE)</f>
        <v>0.7</v>
      </c>
      <c r="P5315">
        <f t="shared" si="250"/>
        <v>6.955044132111281</v>
      </c>
      <c r="Q5315" t="str">
        <f t="shared" ca="1" si="251"/>
        <v>No</v>
      </c>
    </row>
    <row r="5316" spans="1:17" x14ac:dyDescent="0.45">
      <c r="A5316" t="s">
        <v>213</v>
      </c>
      <c r="B5316" t="s">
        <v>214</v>
      </c>
      <c r="C5316" t="s">
        <v>29</v>
      </c>
      <c r="D5316" t="s">
        <v>188</v>
      </c>
      <c r="E5316" t="s">
        <v>21</v>
      </c>
      <c r="F5316" s="1">
        <v>44866</v>
      </c>
      <c r="G5316">
        <v>1.37</v>
      </c>
      <c r="H5316">
        <v>84.617199999999997</v>
      </c>
      <c r="I5316">
        <v>27.95</v>
      </c>
      <c r="J5316">
        <v>79.36</v>
      </c>
      <c r="K5316" t="s">
        <v>32</v>
      </c>
      <c r="L5316">
        <v>860.2</v>
      </c>
      <c r="M5316">
        <f>VLOOKUP(K5316,RatingLookup!$A$2:$C$8,2,FALSE)</f>
        <v>0.12</v>
      </c>
      <c r="N5316">
        <f t="shared" si="249"/>
        <v>1.0596241035318976E-2</v>
      </c>
      <c r="O5316">
        <f>VLOOKUP(K5316,RatingLookup!$A$2:$C$8,3,FALSE)</f>
        <v>0.7</v>
      </c>
      <c r="P5316">
        <f t="shared" si="250"/>
        <v>6.3804205770069684</v>
      </c>
      <c r="Q5316" t="str">
        <f t="shared" ca="1" si="251"/>
        <v>No</v>
      </c>
    </row>
    <row r="5317" spans="1:17" x14ac:dyDescent="0.45">
      <c r="A5317" t="s">
        <v>213</v>
      </c>
      <c r="B5317" t="s">
        <v>214</v>
      </c>
      <c r="C5317" t="s">
        <v>29</v>
      </c>
      <c r="D5317" t="s">
        <v>188</v>
      </c>
      <c r="E5317" t="s">
        <v>21</v>
      </c>
      <c r="F5317" s="1">
        <v>44896</v>
      </c>
      <c r="G5317">
        <v>2.04</v>
      </c>
      <c r="H5317">
        <v>84.4131</v>
      </c>
      <c r="I5317">
        <v>15.5</v>
      </c>
      <c r="J5317">
        <v>76.62</v>
      </c>
      <c r="K5317" t="s">
        <v>32</v>
      </c>
      <c r="L5317">
        <v>1017.31</v>
      </c>
      <c r="M5317">
        <f>VLOOKUP(K5317,RatingLookup!$A$2:$C$8,2,FALSE)</f>
        <v>0.12</v>
      </c>
      <c r="N5317">
        <f t="shared" si="249"/>
        <v>1.0596241035318976E-2</v>
      </c>
      <c r="O5317">
        <f>VLOOKUP(K5317,RatingLookup!$A$2:$C$8,3,FALSE)</f>
        <v>0.7</v>
      </c>
      <c r="P5317">
        <f t="shared" si="250"/>
        <v>7.5457633773482424</v>
      </c>
      <c r="Q5317" t="str">
        <f t="shared" ca="1" si="251"/>
        <v>No</v>
      </c>
    </row>
    <row r="5318" spans="1:17" x14ac:dyDescent="0.45">
      <c r="A5318" t="s">
        <v>213</v>
      </c>
      <c r="B5318" t="s">
        <v>214</v>
      </c>
      <c r="C5318" t="s">
        <v>29</v>
      </c>
      <c r="D5318" t="s">
        <v>188</v>
      </c>
      <c r="E5318" t="s">
        <v>21</v>
      </c>
      <c r="F5318" s="1">
        <v>44927</v>
      </c>
      <c r="G5318">
        <v>2.84</v>
      </c>
      <c r="H5318">
        <v>83.929900000000004</v>
      </c>
      <c r="I5318">
        <v>33.950000000000003</v>
      </c>
      <c r="J5318">
        <v>65.37</v>
      </c>
      <c r="K5318" t="s">
        <v>32</v>
      </c>
      <c r="L5318">
        <v>921.53</v>
      </c>
      <c r="M5318">
        <f>VLOOKUP(K5318,RatingLookup!$A$2:$C$8,2,FALSE)</f>
        <v>0.12</v>
      </c>
      <c r="N5318">
        <f t="shared" si="249"/>
        <v>1.0596241035318976E-2</v>
      </c>
      <c r="O5318">
        <f>VLOOKUP(K5318,RatingLookup!$A$2:$C$8,3,FALSE)</f>
        <v>0.7</v>
      </c>
      <c r="P5318">
        <f t="shared" si="250"/>
        <v>6.8353278008942464</v>
      </c>
      <c r="Q5318" t="str">
        <f t="shared" ca="1" si="251"/>
        <v>No</v>
      </c>
    </row>
    <row r="5319" spans="1:17" x14ac:dyDescent="0.45">
      <c r="A5319" t="s">
        <v>213</v>
      </c>
      <c r="B5319" t="s">
        <v>214</v>
      </c>
      <c r="C5319" t="s">
        <v>29</v>
      </c>
      <c r="D5319" t="s">
        <v>188</v>
      </c>
      <c r="E5319" t="s">
        <v>21</v>
      </c>
      <c r="F5319" s="1">
        <v>44958</v>
      </c>
      <c r="G5319">
        <v>0.21</v>
      </c>
      <c r="H5319">
        <v>87.379499999999993</v>
      </c>
      <c r="I5319">
        <v>14.53</v>
      </c>
      <c r="J5319">
        <v>82.37</v>
      </c>
      <c r="K5319" t="s">
        <v>32</v>
      </c>
      <c r="L5319">
        <v>931.2</v>
      </c>
      <c r="M5319">
        <f>VLOOKUP(K5319,RatingLookup!$A$2:$C$8,2,FALSE)</f>
        <v>0.12</v>
      </c>
      <c r="N5319">
        <f t="shared" si="249"/>
        <v>1.0596241035318976E-2</v>
      </c>
      <c r="O5319">
        <f>VLOOKUP(K5319,RatingLookup!$A$2:$C$8,3,FALSE)</f>
        <v>0.7</v>
      </c>
      <c r="P5319">
        <f t="shared" si="250"/>
        <v>6.9070537564623207</v>
      </c>
      <c r="Q5319" t="str">
        <f t="shared" ca="1" si="251"/>
        <v>No</v>
      </c>
    </row>
    <row r="5320" spans="1:17" x14ac:dyDescent="0.45">
      <c r="A5320" t="s">
        <v>213</v>
      </c>
      <c r="B5320" t="s">
        <v>214</v>
      </c>
      <c r="C5320" t="s">
        <v>29</v>
      </c>
      <c r="D5320" t="s">
        <v>188</v>
      </c>
      <c r="E5320" t="s">
        <v>21</v>
      </c>
      <c r="F5320" s="1">
        <v>44986</v>
      </c>
      <c r="G5320">
        <v>2.41</v>
      </c>
      <c r="H5320">
        <v>82.293000000000006</v>
      </c>
      <c r="I5320">
        <v>30.51</v>
      </c>
      <c r="J5320">
        <v>85.59</v>
      </c>
      <c r="K5320" t="s">
        <v>31</v>
      </c>
      <c r="L5320">
        <v>900.83</v>
      </c>
      <c r="M5320">
        <f>VLOOKUP(K5320,RatingLookup!$A$2:$C$8,2,FALSE)</f>
        <v>0.04</v>
      </c>
      <c r="N5320">
        <f t="shared" si="249"/>
        <v>3.3960531989175591E-3</v>
      </c>
      <c r="O5320">
        <f>VLOOKUP(K5320,RatingLookup!$A$2:$C$8,3,FALSE)</f>
        <v>0.6</v>
      </c>
      <c r="P5320">
        <f t="shared" si="250"/>
        <v>1.8355599619085428</v>
      </c>
      <c r="Q5320" t="str">
        <f t="shared" ca="1" si="251"/>
        <v>No</v>
      </c>
    </row>
    <row r="5321" spans="1:17" x14ac:dyDescent="0.45">
      <c r="A5321" t="s">
        <v>213</v>
      </c>
      <c r="B5321" t="s">
        <v>214</v>
      </c>
      <c r="C5321" t="s">
        <v>29</v>
      </c>
      <c r="D5321" t="s">
        <v>188</v>
      </c>
      <c r="E5321" t="s">
        <v>21</v>
      </c>
      <c r="F5321" s="1">
        <v>45017</v>
      </c>
      <c r="G5321">
        <v>0.78</v>
      </c>
      <c r="H5321">
        <v>78.705399999999997</v>
      </c>
      <c r="I5321">
        <v>29.4</v>
      </c>
      <c r="J5321">
        <v>101.29</v>
      </c>
      <c r="K5321" t="s">
        <v>31</v>
      </c>
      <c r="L5321">
        <v>871.18</v>
      </c>
      <c r="M5321">
        <f>VLOOKUP(K5321,RatingLookup!$A$2:$C$8,2,FALSE)</f>
        <v>0.04</v>
      </c>
      <c r="N5321">
        <f t="shared" si="249"/>
        <v>3.3960531989175591E-3</v>
      </c>
      <c r="O5321">
        <f>VLOOKUP(K5321,RatingLookup!$A$2:$C$8,3,FALSE)</f>
        <v>0.6</v>
      </c>
      <c r="P5321">
        <f t="shared" si="250"/>
        <v>1.7751441754997994</v>
      </c>
      <c r="Q5321" t="str">
        <f t="shared" ca="1" si="251"/>
        <v>No</v>
      </c>
    </row>
    <row r="5322" spans="1:17" x14ac:dyDescent="0.45">
      <c r="A5322" t="s">
        <v>213</v>
      </c>
      <c r="B5322" t="s">
        <v>214</v>
      </c>
      <c r="C5322" t="s">
        <v>29</v>
      </c>
      <c r="D5322" t="s">
        <v>188</v>
      </c>
      <c r="E5322" t="s">
        <v>21</v>
      </c>
      <c r="F5322" s="1">
        <v>45047</v>
      </c>
      <c r="G5322">
        <v>1.93</v>
      </c>
      <c r="H5322">
        <v>85.158600000000007</v>
      </c>
      <c r="I5322">
        <v>18.78</v>
      </c>
      <c r="J5322">
        <v>81.99</v>
      </c>
      <c r="K5322" t="s">
        <v>31</v>
      </c>
      <c r="L5322">
        <v>912.75</v>
      </c>
      <c r="M5322">
        <f>VLOOKUP(K5322,RatingLookup!$A$2:$C$8,2,FALSE)</f>
        <v>0.04</v>
      </c>
      <c r="N5322">
        <f t="shared" si="249"/>
        <v>3.3960531989175591E-3</v>
      </c>
      <c r="O5322">
        <f>VLOOKUP(K5322,RatingLookup!$A$2:$C$8,3,FALSE)</f>
        <v>0.6</v>
      </c>
      <c r="P5322">
        <f t="shared" si="250"/>
        <v>1.8598485343872011</v>
      </c>
      <c r="Q5322" t="str">
        <f t="shared" ca="1" si="251"/>
        <v>No</v>
      </c>
    </row>
    <row r="5323" spans="1:17" x14ac:dyDescent="0.45">
      <c r="A5323" t="s">
        <v>213</v>
      </c>
      <c r="B5323" t="s">
        <v>214</v>
      </c>
      <c r="C5323" t="s">
        <v>29</v>
      </c>
      <c r="D5323" t="s">
        <v>188</v>
      </c>
      <c r="E5323" t="s">
        <v>21</v>
      </c>
      <c r="F5323" s="1">
        <v>45078</v>
      </c>
      <c r="G5323">
        <v>1.53</v>
      </c>
      <c r="H5323">
        <v>81.905799999999999</v>
      </c>
      <c r="I5323">
        <v>13.89</v>
      </c>
      <c r="J5323">
        <v>63.19</v>
      </c>
      <c r="K5323" t="s">
        <v>30</v>
      </c>
      <c r="L5323">
        <v>1013.9</v>
      </c>
      <c r="M5323">
        <f>VLOOKUP(K5323,RatingLookup!$A$2:$C$8,2,FALSE)</f>
        <v>1.4999999999999999E-2</v>
      </c>
      <c r="N5323">
        <f t="shared" si="249"/>
        <v>1.2586770182638762E-3</v>
      </c>
      <c r="O5323">
        <f>VLOOKUP(K5323,RatingLookup!$A$2:$C$8,3,FALSE)</f>
        <v>0.5</v>
      </c>
      <c r="P5323">
        <f t="shared" si="250"/>
        <v>0.63808631440887209</v>
      </c>
      <c r="Q5323" t="str">
        <f t="shared" ca="1" si="251"/>
        <v>No</v>
      </c>
    </row>
    <row r="5324" spans="1:17" x14ac:dyDescent="0.45">
      <c r="A5324" t="s">
        <v>213</v>
      </c>
      <c r="B5324" t="s">
        <v>214</v>
      </c>
      <c r="C5324" t="s">
        <v>29</v>
      </c>
      <c r="D5324" t="s">
        <v>188</v>
      </c>
      <c r="E5324" t="s">
        <v>21</v>
      </c>
      <c r="F5324" s="1">
        <v>45108</v>
      </c>
      <c r="G5324">
        <v>2.83</v>
      </c>
      <c r="H5324">
        <v>84.463099999999997</v>
      </c>
      <c r="I5324">
        <v>15.62</v>
      </c>
      <c r="J5324">
        <v>86.31</v>
      </c>
      <c r="K5324" t="s">
        <v>30</v>
      </c>
      <c r="L5324">
        <v>1066.19</v>
      </c>
      <c r="M5324">
        <f>VLOOKUP(K5324,RatingLookup!$A$2:$C$8,2,FALSE)</f>
        <v>1.4999999999999999E-2</v>
      </c>
      <c r="N5324">
        <f t="shared" si="249"/>
        <v>1.2586770182638762E-3</v>
      </c>
      <c r="O5324">
        <f>VLOOKUP(K5324,RatingLookup!$A$2:$C$8,3,FALSE)</f>
        <v>0.5</v>
      </c>
      <c r="P5324">
        <f t="shared" si="250"/>
        <v>0.67099442505138118</v>
      </c>
      <c r="Q5324" t="str">
        <f t="shared" ca="1" si="251"/>
        <v>No</v>
      </c>
    </row>
    <row r="5325" spans="1:17" x14ac:dyDescent="0.45">
      <c r="A5325" t="s">
        <v>213</v>
      </c>
      <c r="B5325" t="s">
        <v>214</v>
      </c>
      <c r="C5325" t="s">
        <v>29</v>
      </c>
      <c r="D5325" t="s">
        <v>188</v>
      </c>
      <c r="E5325" t="s">
        <v>21</v>
      </c>
      <c r="F5325" s="1">
        <v>45139</v>
      </c>
      <c r="G5325">
        <v>1.5</v>
      </c>
      <c r="H5325">
        <v>81.832099999999997</v>
      </c>
      <c r="I5325">
        <v>13</v>
      </c>
      <c r="J5325">
        <v>93.03</v>
      </c>
      <c r="K5325" t="s">
        <v>30</v>
      </c>
      <c r="L5325">
        <v>1016.48</v>
      </c>
      <c r="M5325">
        <f>VLOOKUP(K5325,RatingLookup!$A$2:$C$8,2,FALSE)</f>
        <v>1.4999999999999999E-2</v>
      </c>
      <c r="N5325">
        <f t="shared" si="249"/>
        <v>1.2586770182638762E-3</v>
      </c>
      <c r="O5325">
        <f>VLOOKUP(K5325,RatingLookup!$A$2:$C$8,3,FALSE)</f>
        <v>0.5</v>
      </c>
      <c r="P5325">
        <f t="shared" si="250"/>
        <v>0.63971000776243248</v>
      </c>
      <c r="Q5325" t="str">
        <f t="shared" ca="1" si="251"/>
        <v>No</v>
      </c>
    </row>
    <row r="5326" spans="1:17" x14ac:dyDescent="0.45">
      <c r="A5326" t="s">
        <v>213</v>
      </c>
      <c r="B5326" t="s">
        <v>214</v>
      </c>
      <c r="C5326" t="s">
        <v>29</v>
      </c>
      <c r="D5326" t="s">
        <v>188</v>
      </c>
      <c r="E5326" t="s">
        <v>21</v>
      </c>
      <c r="F5326" s="1">
        <v>45170</v>
      </c>
      <c r="G5326">
        <v>1.29</v>
      </c>
      <c r="H5326">
        <v>82.769300000000001</v>
      </c>
      <c r="I5326">
        <v>22.34</v>
      </c>
      <c r="J5326">
        <v>65.58</v>
      </c>
      <c r="K5326" t="s">
        <v>30</v>
      </c>
      <c r="L5326">
        <v>946.39</v>
      </c>
      <c r="M5326">
        <f>VLOOKUP(K5326,RatingLookup!$A$2:$C$8,2,FALSE)</f>
        <v>1.4999999999999999E-2</v>
      </c>
      <c r="N5326">
        <f t="shared" si="249"/>
        <v>1.2586770182638762E-3</v>
      </c>
      <c r="O5326">
        <f>VLOOKUP(K5326,RatingLookup!$A$2:$C$8,3,FALSE)</f>
        <v>0.5</v>
      </c>
      <c r="P5326">
        <f t="shared" si="250"/>
        <v>0.59559967165737493</v>
      </c>
      <c r="Q5326" t="str">
        <f t="shared" ca="1" si="251"/>
        <v>No</v>
      </c>
    </row>
    <row r="5327" spans="1:17" x14ac:dyDescent="0.45">
      <c r="A5327" t="s">
        <v>213</v>
      </c>
      <c r="B5327" t="s">
        <v>214</v>
      </c>
      <c r="C5327" t="s">
        <v>29</v>
      </c>
      <c r="D5327" t="s">
        <v>188</v>
      </c>
      <c r="E5327" t="s">
        <v>21</v>
      </c>
      <c r="F5327" s="1">
        <v>45200</v>
      </c>
      <c r="G5327">
        <v>1.51</v>
      </c>
      <c r="H5327">
        <v>84.410700000000006</v>
      </c>
      <c r="I5327">
        <v>16.53</v>
      </c>
      <c r="J5327">
        <v>83.92</v>
      </c>
      <c r="K5327" t="s">
        <v>30</v>
      </c>
      <c r="L5327">
        <v>1122.93</v>
      </c>
      <c r="M5327">
        <f>VLOOKUP(K5327,RatingLookup!$A$2:$C$8,2,FALSE)</f>
        <v>1.4999999999999999E-2</v>
      </c>
      <c r="N5327">
        <f t="shared" si="249"/>
        <v>1.2586770182638762E-3</v>
      </c>
      <c r="O5327">
        <f>VLOOKUP(K5327,RatingLookup!$A$2:$C$8,3,FALSE)</f>
        <v>0.5</v>
      </c>
      <c r="P5327">
        <f t="shared" si="250"/>
        <v>0.7067030920595273</v>
      </c>
      <c r="Q5327" t="str">
        <f t="shared" ca="1" si="251"/>
        <v>No</v>
      </c>
    </row>
    <row r="5328" spans="1:17" x14ac:dyDescent="0.45">
      <c r="A5328" t="s">
        <v>213</v>
      </c>
      <c r="B5328" t="s">
        <v>214</v>
      </c>
      <c r="C5328" t="s">
        <v>29</v>
      </c>
      <c r="D5328" t="s">
        <v>188</v>
      </c>
      <c r="E5328" t="s">
        <v>21</v>
      </c>
      <c r="F5328" s="1">
        <v>45231</v>
      </c>
      <c r="G5328">
        <v>2.76</v>
      </c>
      <c r="H5328">
        <v>85.082700000000003</v>
      </c>
      <c r="I5328">
        <v>5</v>
      </c>
      <c r="J5328">
        <v>85.91</v>
      </c>
      <c r="K5328" t="s">
        <v>30</v>
      </c>
      <c r="L5328">
        <v>1112.22</v>
      </c>
      <c r="M5328">
        <f>VLOOKUP(K5328,RatingLookup!$A$2:$C$8,2,FALSE)</f>
        <v>1.4999999999999999E-2</v>
      </c>
      <c r="N5328">
        <f t="shared" si="249"/>
        <v>1.2586770182638762E-3</v>
      </c>
      <c r="O5328">
        <f>VLOOKUP(K5328,RatingLookup!$A$2:$C$8,3,FALSE)</f>
        <v>0.5</v>
      </c>
      <c r="P5328">
        <f t="shared" si="250"/>
        <v>0.69996287662672418</v>
      </c>
      <c r="Q5328" t="str">
        <f t="shared" ca="1" si="251"/>
        <v>No</v>
      </c>
    </row>
    <row r="5329" spans="1:17" x14ac:dyDescent="0.45">
      <c r="A5329" t="s">
        <v>213</v>
      </c>
      <c r="B5329" t="s">
        <v>214</v>
      </c>
      <c r="C5329" t="s">
        <v>29</v>
      </c>
      <c r="D5329" t="s">
        <v>188</v>
      </c>
      <c r="E5329" t="s">
        <v>21</v>
      </c>
      <c r="F5329" s="1">
        <v>45261</v>
      </c>
      <c r="G5329">
        <v>1.66</v>
      </c>
      <c r="H5329">
        <v>86.013999999999996</v>
      </c>
      <c r="I5329">
        <v>15.75</v>
      </c>
      <c r="J5329">
        <v>70.180000000000007</v>
      </c>
      <c r="K5329" t="s">
        <v>30</v>
      </c>
      <c r="L5329">
        <v>997.36</v>
      </c>
      <c r="M5329">
        <f>VLOOKUP(K5329,RatingLookup!$A$2:$C$8,2,FALSE)</f>
        <v>1.4999999999999999E-2</v>
      </c>
      <c r="N5329">
        <f t="shared" si="249"/>
        <v>1.2586770182638762E-3</v>
      </c>
      <c r="O5329">
        <f>VLOOKUP(K5329,RatingLookup!$A$2:$C$8,3,FALSE)</f>
        <v>0.5</v>
      </c>
      <c r="P5329">
        <f t="shared" si="250"/>
        <v>0.62767705546782981</v>
      </c>
      <c r="Q5329" t="str">
        <f t="shared" ca="1" si="251"/>
        <v>No</v>
      </c>
    </row>
    <row r="5330" spans="1:17" x14ac:dyDescent="0.45">
      <c r="A5330" t="s">
        <v>213</v>
      </c>
      <c r="B5330" t="s">
        <v>214</v>
      </c>
      <c r="C5330" t="s">
        <v>29</v>
      </c>
      <c r="D5330" t="s">
        <v>188</v>
      </c>
      <c r="E5330" t="s">
        <v>21</v>
      </c>
      <c r="F5330" s="1">
        <v>45292</v>
      </c>
      <c r="G5330">
        <v>0.53</v>
      </c>
      <c r="H5330">
        <v>81.8887</v>
      </c>
      <c r="I5330">
        <v>30.34</v>
      </c>
      <c r="J5330">
        <v>81.67</v>
      </c>
      <c r="K5330" t="s">
        <v>30</v>
      </c>
      <c r="L5330">
        <v>1063.96</v>
      </c>
      <c r="M5330">
        <f>VLOOKUP(K5330,RatingLookup!$A$2:$C$8,2,FALSE)</f>
        <v>1.4999999999999999E-2</v>
      </c>
      <c r="N5330">
        <f t="shared" si="249"/>
        <v>1.2586770182638762E-3</v>
      </c>
      <c r="O5330">
        <f>VLOOKUP(K5330,RatingLookup!$A$2:$C$8,3,FALSE)</f>
        <v>0.5</v>
      </c>
      <c r="P5330">
        <f t="shared" si="250"/>
        <v>0.66959100017601692</v>
      </c>
      <c r="Q5330" t="str">
        <f t="shared" ca="1" si="251"/>
        <v>No</v>
      </c>
    </row>
    <row r="5331" spans="1:17" x14ac:dyDescent="0.45">
      <c r="A5331" t="s">
        <v>213</v>
      </c>
      <c r="B5331" t="s">
        <v>214</v>
      </c>
      <c r="C5331" t="s">
        <v>29</v>
      </c>
      <c r="D5331" t="s">
        <v>188</v>
      </c>
      <c r="E5331" t="s">
        <v>21</v>
      </c>
      <c r="F5331" s="1">
        <v>45323</v>
      </c>
      <c r="G5331">
        <v>0.65</v>
      </c>
      <c r="H5331">
        <v>80.055099999999996</v>
      </c>
      <c r="I5331">
        <v>21.18</v>
      </c>
      <c r="J5331">
        <v>93.07</v>
      </c>
      <c r="K5331" t="s">
        <v>30</v>
      </c>
      <c r="L5331">
        <v>1053.1099999999999</v>
      </c>
      <c r="M5331">
        <f>VLOOKUP(K5331,RatingLookup!$A$2:$C$8,2,FALSE)</f>
        <v>1.4999999999999999E-2</v>
      </c>
      <c r="N5331">
        <f t="shared" si="249"/>
        <v>1.2586770182638762E-3</v>
      </c>
      <c r="O5331">
        <f>VLOOKUP(K5331,RatingLookup!$A$2:$C$8,3,FALSE)</f>
        <v>0.5</v>
      </c>
      <c r="P5331">
        <f t="shared" si="250"/>
        <v>0.66276267735193528</v>
      </c>
      <c r="Q5331" t="str">
        <f t="shared" ca="1" si="251"/>
        <v>No</v>
      </c>
    </row>
    <row r="5332" spans="1:17" x14ac:dyDescent="0.45">
      <c r="A5332" t="s">
        <v>213</v>
      </c>
      <c r="B5332" t="s">
        <v>214</v>
      </c>
      <c r="C5332" t="s">
        <v>29</v>
      </c>
      <c r="D5332" t="s">
        <v>188</v>
      </c>
      <c r="E5332" t="s">
        <v>21</v>
      </c>
      <c r="F5332" s="1">
        <v>45352</v>
      </c>
      <c r="G5332">
        <v>0.82</v>
      </c>
      <c r="H5332">
        <v>79.974100000000007</v>
      </c>
      <c r="I5332">
        <v>8.43</v>
      </c>
      <c r="J5332">
        <v>83.09</v>
      </c>
      <c r="K5332" t="s">
        <v>30</v>
      </c>
      <c r="L5332">
        <v>1029.6199999999999</v>
      </c>
      <c r="M5332">
        <f>VLOOKUP(K5332,RatingLookup!$A$2:$C$8,2,FALSE)</f>
        <v>1.4999999999999999E-2</v>
      </c>
      <c r="N5332">
        <f t="shared" si="249"/>
        <v>1.2586770182638762E-3</v>
      </c>
      <c r="O5332">
        <f>VLOOKUP(K5332,RatingLookup!$A$2:$C$8,3,FALSE)</f>
        <v>0.5</v>
      </c>
      <c r="P5332">
        <f t="shared" si="250"/>
        <v>0.64797951577242607</v>
      </c>
      <c r="Q5332" t="str">
        <f t="shared" ca="1" si="251"/>
        <v>Yes</v>
      </c>
    </row>
    <row r="5333" spans="1:17" x14ac:dyDescent="0.45">
      <c r="A5333" t="s">
        <v>213</v>
      </c>
      <c r="B5333" t="s">
        <v>214</v>
      </c>
      <c r="C5333" t="s">
        <v>29</v>
      </c>
      <c r="D5333" t="s">
        <v>188</v>
      </c>
      <c r="E5333" t="s">
        <v>21</v>
      </c>
      <c r="F5333" s="1">
        <v>45383</v>
      </c>
      <c r="G5333">
        <v>0.9</v>
      </c>
      <c r="H5333">
        <v>83.855199999999996</v>
      </c>
      <c r="I5333">
        <v>28.66</v>
      </c>
      <c r="J5333">
        <v>87</v>
      </c>
      <c r="K5333" t="s">
        <v>30</v>
      </c>
      <c r="L5333">
        <v>1109.8399999999999</v>
      </c>
      <c r="M5333">
        <f>VLOOKUP(K5333,RatingLookup!$A$2:$C$8,2,FALSE)</f>
        <v>1.4999999999999999E-2</v>
      </c>
      <c r="N5333">
        <f t="shared" si="249"/>
        <v>1.2586770182638762E-3</v>
      </c>
      <c r="O5333">
        <f>VLOOKUP(K5333,RatingLookup!$A$2:$C$8,3,FALSE)</f>
        <v>0.5</v>
      </c>
      <c r="P5333">
        <f t="shared" si="250"/>
        <v>0.69846505097499012</v>
      </c>
      <c r="Q5333" t="str">
        <f t="shared" ca="1" si="251"/>
        <v>No</v>
      </c>
    </row>
    <row r="5334" spans="1:17" x14ac:dyDescent="0.45">
      <c r="A5334" t="s">
        <v>213</v>
      </c>
      <c r="B5334" t="s">
        <v>214</v>
      </c>
      <c r="C5334" t="s">
        <v>29</v>
      </c>
      <c r="D5334" t="s">
        <v>188</v>
      </c>
      <c r="E5334" t="s">
        <v>21</v>
      </c>
      <c r="F5334" s="1">
        <v>45413</v>
      </c>
      <c r="G5334">
        <v>1.69</v>
      </c>
      <c r="H5334">
        <v>85.1554</v>
      </c>
      <c r="I5334">
        <v>9.85</v>
      </c>
      <c r="J5334">
        <v>95.24</v>
      </c>
      <c r="K5334" t="s">
        <v>30</v>
      </c>
      <c r="L5334">
        <v>1049.94</v>
      </c>
      <c r="M5334">
        <f>VLOOKUP(K5334,RatingLookup!$A$2:$C$8,2,FALSE)</f>
        <v>1.4999999999999999E-2</v>
      </c>
      <c r="N5334">
        <f t="shared" si="249"/>
        <v>1.2586770182638762E-3</v>
      </c>
      <c r="O5334">
        <f>VLOOKUP(K5334,RatingLookup!$A$2:$C$8,3,FALSE)</f>
        <v>0.5</v>
      </c>
      <c r="P5334">
        <f t="shared" si="250"/>
        <v>0.6607676742779871</v>
      </c>
      <c r="Q5334" t="str">
        <f t="shared" ca="1" si="251"/>
        <v>No</v>
      </c>
    </row>
    <row r="5335" spans="1:17" x14ac:dyDescent="0.45">
      <c r="A5335" t="s">
        <v>213</v>
      </c>
      <c r="B5335" t="s">
        <v>214</v>
      </c>
      <c r="C5335" t="s">
        <v>29</v>
      </c>
      <c r="D5335" t="s">
        <v>188</v>
      </c>
      <c r="E5335" t="s">
        <v>21</v>
      </c>
      <c r="F5335" s="1">
        <v>45444</v>
      </c>
      <c r="G5335">
        <v>2.2799999999999998</v>
      </c>
      <c r="H5335">
        <v>83.894099999999995</v>
      </c>
      <c r="I5335">
        <v>22.01</v>
      </c>
      <c r="J5335">
        <v>78.13</v>
      </c>
      <c r="K5335" t="s">
        <v>30</v>
      </c>
      <c r="L5335">
        <v>1039.6099999999999</v>
      </c>
      <c r="M5335">
        <f>VLOOKUP(K5335,RatingLookup!$A$2:$C$8,2,FALSE)</f>
        <v>1.4999999999999999E-2</v>
      </c>
      <c r="N5335">
        <f t="shared" si="249"/>
        <v>1.2586770182638762E-3</v>
      </c>
      <c r="O5335">
        <f>VLOOKUP(K5335,RatingLookup!$A$2:$C$8,3,FALSE)</f>
        <v>0.5</v>
      </c>
      <c r="P5335">
        <f t="shared" si="250"/>
        <v>0.65426660747865417</v>
      </c>
      <c r="Q5335" t="str">
        <f t="shared" ca="1" si="251"/>
        <v>No</v>
      </c>
    </row>
    <row r="5336" spans="1:17" x14ac:dyDescent="0.45">
      <c r="A5336" t="s">
        <v>213</v>
      </c>
      <c r="B5336" t="s">
        <v>214</v>
      </c>
      <c r="C5336" t="s">
        <v>29</v>
      </c>
      <c r="D5336" t="s">
        <v>188</v>
      </c>
      <c r="E5336" t="s">
        <v>21</v>
      </c>
      <c r="F5336" s="1">
        <v>45474</v>
      </c>
      <c r="G5336">
        <v>1.3</v>
      </c>
      <c r="H5336">
        <v>81.788700000000006</v>
      </c>
      <c r="I5336">
        <v>16.88</v>
      </c>
      <c r="J5336">
        <v>56.79</v>
      </c>
      <c r="K5336" t="s">
        <v>30</v>
      </c>
      <c r="L5336">
        <v>1013.93</v>
      </c>
      <c r="M5336">
        <f>VLOOKUP(K5336,RatingLookup!$A$2:$C$8,2,FALSE)</f>
        <v>1.4999999999999999E-2</v>
      </c>
      <c r="N5336">
        <f t="shared" si="249"/>
        <v>1.2586770182638762E-3</v>
      </c>
      <c r="O5336">
        <f>VLOOKUP(K5336,RatingLookup!$A$2:$C$8,3,FALSE)</f>
        <v>0.5</v>
      </c>
      <c r="P5336">
        <f t="shared" si="250"/>
        <v>0.63810519456414594</v>
      </c>
      <c r="Q5336" t="str">
        <f t="shared" ca="1" si="251"/>
        <v>No</v>
      </c>
    </row>
    <row r="5337" spans="1:17" x14ac:dyDescent="0.45">
      <c r="A5337" t="s">
        <v>213</v>
      </c>
      <c r="B5337" t="s">
        <v>214</v>
      </c>
      <c r="C5337" t="s">
        <v>29</v>
      </c>
      <c r="D5337" t="s">
        <v>188</v>
      </c>
      <c r="E5337" t="s">
        <v>21</v>
      </c>
      <c r="F5337" s="1">
        <v>45505</v>
      </c>
      <c r="G5337">
        <v>0.95</v>
      </c>
      <c r="H5337">
        <v>82.519300000000001</v>
      </c>
      <c r="I5337">
        <v>13.78</v>
      </c>
      <c r="J5337">
        <v>71.489999999999995</v>
      </c>
      <c r="K5337" t="s">
        <v>30</v>
      </c>
      <c r="L5337">
        <v>1048.3599999999999</v>
      </c>
      <c r="M5337">
        <f>VLOOKUP(K5337,RatingLookup!$A$2:$C$8,2,FALSE)</f>
        <v>1.4999999999999999E-2</v>
      </c>
      <c r="N5337">
        <f t="shared" si="249"/>
        <v>1.2586770182638762E-3</v>
      </c>
      <c r="O5337">
        <f>VLOOKUP(K5337,RatingLookup!$A$2:$C$8,3,FALSE)</f>
        <v>0.5</v>
      </c>
      <c r="P5337">
        <f t="shared" si="250"/>
        <v>0.65977331943355855</v>
      </c>
      <c r="Q5337" t="str">
        <f t="shared" ca="1" si="251"/>
        <v>No</v>
      </c>
    </row>
    <row r="5338" spans="1:17" x14ac:dyDescent="0.45">
      <c r="A5338" t="s">
        <v>213</v>
      </c>
      <c r="B5338" t="s">
        <v>214</v>
      </c>
      <c r="C5338" t="s">
        <v>29</v>
      </c>
      <c r="D5338" t="s">
        <v>188</v>
      </c>
      <c r="E5338" t="s">
        <v>21</v>
      </c>
      <c r="F5338" s="1">
        <v>45536</v>
      </c>
      <c r="G5338">
        <v>2.14</v>
      </c>
      <c r="H5338">
        <v>82.879000000000005</v>
      </c>
      <c r="I5338">
        <v>33.979999999999997</v>
      </c>
      <c r="J5338">
        <v>69.38</v>
      </c>
      <c r="K5338" t="s">
        <v>30</v>
      </c>
      <c r="L5338">
        <v>944.48</v>
      </c>
      <c r="M5338">
        <f>VLOOKUP(K5338,RatingLookup!$A$2:$C$8,2,FALSE)</f>
        <v>1.4999999999999999E-2</v>
      </c>
      <c r="N5338">
        <f t="shared" si="249"/>
        <v>1.2586770182638762E-3</v>
      </c>
      <c r="O5338">
        <f>VLOOKUP(K5338,RatingLookup!$A$2:$C$8,3,FALSE)</f>
        <v>0.5</v>
      </c>
      <c r="P5338">
        <f t="shared" si="250"/>
        <v>0.59439763510493293</v>
      </c>
      <c r="Q5338" t="str">
        <f t="shared" ca="1" si="251"/>
        <v>No</v>
      </c>
    </row>
    <row r="5339" spans="1:17" x14ac:dyDescent="0.45">
      <c r="A5339" t="s">
        <v>213</v>
      </c>
      <c r="B5339" t="s">
        <v>214</v>
      </c>
      <c r="C5339" t="s">
        <v>29</v>
      </c>
      <c r="D5339" t="s">
        <v>188</v>
      </c>
      <c r="E5339" t="s">
        <v>21</v>
      </c>
      <c r="F5339" s="1">
        <v>45566</v>
      </c>
      <c r="G5339">
        <v>2.04</v>
      </c>
      <c r="H5339">
        <v>82.768199999999993</v>
      </c>
      <c r="I5339">
        <v>29.91</v>
      </c>
      <c r="J5339">
        <v>89.63</v>
      </c>
      <c r="K5339" t="s">
        <v>30</v>
      </c>
      <c r="L5339">
        <v>967.33</v>
      </c>
      <c r="M5339">
        <f>VLOOKUP(K5339,RatingLookup!$A$2:$C$8,2,FALSE)</f>
        <v>1.4999999999999999E-2</v>
      </c>
      <c r="N5339">
        <f t="shared" si="249"/>
        <v>1.2586770182638762E-3</v>
      </c>
      <c r="O5339">
        <f>VLOOKUP(K5339,RatingLookup!$A$2:$C$8,3,FALSE)</f>
        <v>0.5</v>
      </c>
      <c r="P5339">
        <f t="shared" si="250"/>
        <v>0.60877802003859771</v>
      </c>
      <c r="Q5339" t="str">
        <f t="shared" ca="1" si="251"/>
        <v>No</v>
      </c>
    </row>
    <row r="5340" spans="1:17" x14ac:dyDescent="0.45">
      <c r="A5340" t="s">
        <v>213</v>
      </c>
      <c r="B5340" t="s">
        <v>214</v>
      </c>
      <c r="C5340" t="s">
        <v>29</v>
      </c>
      <c r="D5340" t="s">
        <v>188</v>
      </c>
      <c r="E5340" t="s">
        <v>21</v>
      </c>
      <c r="F5340" s="1">
        <v>45597</v>
      </c>
      <c r="G5340">
        <v>0.99</v>
      </c>
      <c r="H5340">
        <v>85.580500000000001</v>
      </c>
      <c r="I5340">
        <v>23.43</v>
      </c>
      <c r="J5340">
        <v>80.56</v>
      </c>
      <c r="K5340" t="s">
        <v>30</v>
      </c>
      <c r="L5340">
        <v>1007.87</v>
      </c>
      <c r="M5340">
        <f>VLOOKUP(K5340,RatingLookup!$A$2:$C$8,2,FALSE)</f>
        <v>1.4999999999999999E-2</v>
      </c>
      <c r="N5340">
        <f t="shared" si="249"/>
        <v>1.2586770182638762E-3</v>
      </c>
      <c r="O5340">
        <f>VLOOKUP(K5340,RatingLookup!$A$2:$C$8,3,FALSE)</f>
        <v>0.5</v>
      </c>
      <c r="P5340">
        <f t="shared" si="250"/>
        <v>0.6342914031988065</v>
      </c>
      <c r="Q5340" t="str">
        <f t="shared" ca="1" si="251"/>
        <v>No</v>
      </c>
    </row>
    <row r="5341" spans="1:17" x14ac:dyDescent="0.45">
      <c r="A5341" t="s">
        <v>213</v>
      </c>
      <c r="B5341" t="s">
        <v>214</v>
      </c>
      <c r="C5341" t="s">
        <v>29</v>
      </c>
      <c r="D5341" t="s">
        <v>188</v>
      </c>
      <c r="E5341" t="s">
        <v>21</v>
      </c>
      <c r="F5341" s="1">
        <v>45627</v>
      </c>
      <c r="G5341">
        <v>2.39</v>
      </c>
      <c r="H5341">
        <v>82.368099999999998</v>
      </c>
      <c r="I5341">
        <v>14.61</v>
      </c>
      <c r="J5341">
        <v>79.69</v>
      </c>
      <c r="K5341" t="s">
        <v>30</v>
      </c>
      <c r="L5341">
        <v>1108.56</v>
      </c>
      <c r="M5341">
        <f>VLOOKUP(K5341,RatingLookup!$A$2:$C$8,2,FALSE)</f>
        <v>1.4999999999999999E-2</v>
      </c>
      <c r="N5341">
        <f t="shared" si="249"/>
        <v>1.2586770182638762E-3</v>
      </c>
      <c r="O5341">
        <f>VLOOKUP(K5341,RatingLookup!$A$2:$C$8,3,FALSE)</f>
        <v>0.5</v>
      </c>
      <c r="P5341">
        <f t="shared" si="250"/>
        <v>0.69765949768330127</v>
      </c>
      <c r="Q5341" t="str">
        <f t="shared" ca="1" si="251"/>
        <v>No</v>
      </c>
    </row>
    <row r="5342" spans="1:17" x14ac:dyDescent="0.45">
      <c r="A5342" t="s">
        <v>215</v>
      </c>
      <c r="B5342" t="s">
        <v>216</v>
      </c>
      <c r="C5342" t="s">
        <v>43</v>
      </c>
      <c r="D5342" t="s">
        <v>188</v>
      </c>
      <c r="E5342" t="s">
        <v>21</v>
      </c>
      <c r="F5342" s="1">
        <v>43831</v>
      </c>
      <c r="G5342">
        <v>1.86</v>
      </c>
      <c r="H5342">
        <v>81.498999999999995</v>
      </c>
      <c r="I5342">
        <v>11.37</v>
      </c>
      <c r="J5342">
        <v>66.77</v>
      </c>
      <c r="K5342" t="s">
        <v>22</v>
      </c>
      <c r="L5342">
        <v>1655.33</v>
      </c>
      <c r="M5342">
        <f>VLOOKUP(K5342,RatingLookup!$A$2:$C$8,2,FALSE)</f>
        <v>5.0000000000000001E-3</v>
      </c>
      <c r="N5342">
        <f t="shared" si="249"/>
        <v>4.1762458919303302E-4</v>
      </c>
      <c r="O5342">
        <f>VLOOKUP(K5342,RatingLookup!$A$2:$C$8,3,FALSE)</f>
        <v>0.45</v>
      </c>
      <c r="P5342">
        <f t="shared" si="250"/>
        <v>0.3110879300530065</v>
      </c>
      <c r="Q5342" t="str">
        <f t="shared" ca="1" si="251"/>
        <v>No</v>
      </c>
    </row>
    <row r="5343" spans="1:17" x14ac:dyDescent="0.45">
      <c r="A5343" t="s">
        <v>215</v>
      </c>
      <c r="B5343" t="s">
        <v>216</v>
      </c>
      <c r="C5343" t="s">
        <v>43</v>
      </c>
      <c r="D5343" t="s">
        <v>188</v>
      </c>
      <c r="E5343" t="s">
        <v>21</v>
      </c>
      <c r="F5343" s="1">
        <v>43862</v>
      </c>
      <c r="G5343">
        <v>2.0699999999999998</v>
      </c>
      <c r="H5343">
        <v>80.048199999999994</v>
      </c>
      <c r="I5343">
        <v>17.920000000000002</v>
      </c>
      <c r="J5343">
        <v>75.569999999999993</v>
      </c>
      <c r="K5343" t="s">
        <v>22</v>
      </c>
      <c r="L5343">
        <v>1613.3</v>
      </c>
      <c r="M5343">
        <f>VLOOKUP(K5343,RatingLookup!$A$2:$C$8,2,FALSE)</f>
        <v>5.0000000000000001E-3</v>
      </c>
      <c r="N5343">
        <f t="shared" si="249"/>
        <v>4.1762458919303302E-4</v>
      </c>
      <c r="O5343">
        <f>VLOOKUP(K5343,RatingLookup!$A$2:$C$8,3,FALSE)</f>
        <v>0.45</v>
      </c>
      <c r="P5343">
        <f t="shared" si="250"/>
        <v>0.30318918738530409</v>
      </c>
      <c r="Q5343" t="str">
        <f t="shared" ca="1" si="251"/>
        <v>No</v>
      </c>
    </row>
    <row r="5344" spans="1:17" x14ac:dyDescent="0.45">
      <c r="A5344" t="s">
        <v>215</v>
      </c>
      <c r="B5344" t="s">
        <v>216</v>
      </c>
      <c r="C5344" t="s">
        <v>43</v>
      </c>
      <c r="D5344" t="s">
        <v>188</v>
      </c>
      <c r="E5344" t="s">
        <v>21</v>
      </c>
      <c r="F5344" s="1">
        <v>43891</v>
      </c>
      <c r="G5344">
        <v>0.52</v>
      </c>
      <c r="H5344">
        <v>82.247399999999999</v>
      </c>
      <c r="I5344">
        <v>18.03</v>
      </c>
      <c r="J5344">
        <v>83.44</v>
      </c>
      <c r="K5344" t="s">
        <v>22</v>
      </c>
      <c r="L5344">
        <v>1486.22</v>
      </c>
      <c r="M5344">
        <f>VLOOKUP(K5344,RatingLookup!$A$2:$C$8,2,FALSE)</f>
        <v>5.0000000000000001E-3</v>
      </c>
      <c r="N5344">
        <f t="shared" si="249"/>
        <v>4.1762458919303302E-4</v>
      </c>
      <c r="O5344">
        <f>VLOOKUP(K5344,RatingLookup!$A$2:$C$8,3,FALSE)</f>
        <v>0.45</v>
      </c>
      <c r="P5344">
        <f t="shared" si="250"/>
        <v>0.27930690762771132</v>
      </c>
      <c r="Q5344" t="str">
        <f t="shared" ca="1" si="251"/>
        <v>No</v>
      </c>
    </row>
    <row r="5345" spans="1:17" x14ac:dyDescent="0.45">
      <c r="A5345" t="s">
        <v>215</v>
      </c>
      <c r="B5345" t="s">
        <v>216</v>
      </c>
      <c r="C5345" t="s">
        <v>43</v>
      </c>
      <c r="D5345" t="s">
        <v>188</v>
      </c>
      <c r="E5345" t="s">
        <v>21</v>
      </c>
      <c r="F5345" s="1">
        <v>43922</v>
      </c>
      <c r="G5345">
        <v>2.23</v>
      </c>
      <c r="H5345">
        <v>83.503</v>
      </c>
      <c r="I5345">
        <v>17.34</v>
      </c>
      <c r="J5345">
        <v>80.19</v>
      </c>
      <c r="K5345" t="s">
        <v>22</v>
      </c>
      <c r="L5345">
        <v>1433.59</v>
      </c>
      <c r="M5345">
        <f>VLOOKUP(K5345,RatingLookup!$A$2:$C$8,2,FALSE)</f>
        <v>5.0000000000000001E-3</v>
      </c>
      <c r="N5345">
        <f t="shared" si="249"/>
        <v>4.1762458919303302E-4</v>
      </c>
      <c r="O5345">
        <f>VLOOKUP(K5345,RatingLookup!$A$2:$C$8,3,FALSE)</f>
        <v>0.45</v>
      </c>
      <c r="P5345">
        <f t="shared" si="250"/>
        <v>0.2694160956695581</v>
      </c>
      <c r="Q5345" t="str">
        <f t="shared" ca="1" si="251"/>
        <v>No</v>
      </c>
    </row>
    <row r="5346" spans="1:17" x14ac:dyDescent="0.45">
      <c r="A5346" t="s">
        <v>215</v>
      </c>
      <c r="B5346" t="s">
        <v>216</v>
      </c>
      <c r="C5346" t="s">
        <v>43</v>
      </c>
      <c r="D5346" t="s">
        <v>188</v>
      </c>
      <c r="E5346" t="s">
        <v>21</v>
      </c>
      <c r="F5346" s="1">
        <v>43952</v>
      </c>
      <c r="G5346">
        <v>2.34</v>
      </c>
      <c r="H5346">
        <v>83.181100000000001</v>
      </c>
      <c r="I5346">
        <v>16.66</v>
      </c>
      <c r="J5346">
        <v>69.91</v>
      </c>
      <c r="K5346" t="s">
        <v>22</v>
      </c>
      <c r="L5346">
        <v>1470.96</v>
      </c>
      <c r="M5346">
        <f>VLOOKUP(K5346,RatingLookup!$A$2:$C$8,2,FALSE)</f>
        <v>5.0000000000000001E-3</v>
      </c>
      <c r="N5346">
        <f t="shared" si="249"/>
        <v>4.1762458919303302E-4</v>
      </c>
      <c r="O5346">
        <f>VLOOKUP(K5346,RatingLookup!$A$2:$C$8,3,FALSE)</f>
        <v>0.45</v>
      </c>
      <c r="P5346">
        <f t="shared" si="250"/>
        <v>0.27643907957372271</v>
      </c>
      <c r="Q5346" t="str">
        <f t="shared" ca="1" si="251"/>
        <v>No</v>
      </c>
    </row>
    <row r="5347" spans="1:17" x14ac:dyDescent="0.45">
      <c r="A5347" t="s">
        <v>215</v>
      </c>
      <c r="B5347" t="s">
        <v>216</v>
      </c>
      <c r="C5347" t="s">
        <v>43</v>
      </c>
      <c r="D5347" t="s">
        <v>188</v>
      </c>
      <c r="E5347" t="s">
        <v>21</v>
      </c>
      <c r="F5347" s="1">
        <v>43983</v>
      </c>
      <c r="G5347">
        <v>1.08</v>
      </c>
      <c r="H5347">
        <v>80.636099999999999</v>
      </c>
      <c r="I5347">
        <v>21.42</v>
      </c>
      <c r="J5347">
        <v>79.099999999999994</v>
      </c>
      <c r="K5347" t="s">
        <v>22</v>
      </c>
      <c r="L5347">
        <v>1611.72</v>
      </c>
      <c r="M5347">
        <f>VLOOKUP(K5347,RatingLookup!$A$2:$C$8,2,FALSE)</f>
        <v>5.0000000000000001E-3</v>
      </c>
      <c r="N5347">
        <f t="shared" si="249"/>
        <v>4.1762458919303302E-4</v>
      </c>
      <c r="O5347">
        <f>VLOOKUP(K5347,RatingLookup!$A$2:$C$8,3,FALSE)</f>
        <v>0.45</v>
      </c>
      <c r="P5347">
        <f t="shared" si="250"/>
        <v>0.30289225630238786</v>
      </c>
      <c r="Q5347" t="str">
        <f t="shared" ca="1" si="251"/>
        <v>No</v>
      </c>
    </row>
    <row r="5348" spans="1:17" x14ac:dyDescent="0.45">
      <c r="A5348" t="s">
        <v>215</v>
      </c>
      <c r="B5348" t="s">
        <v>216</v>
      </c>
      <c r="C5348" t="s">
        <v>43</v>
      </c>
      <c r="D5348" t="s">
        <v>188</v>
      </c>
      <c r="E5348" t="s">
        <v>21</v>
      </c>
      <c r="F5348" s="1">
        <v>44013</v>
      </c>
      <c r="G5348">
        <v>1.01</v>
      </c>
      <c r="H5348">
        <v>83.3446</v>
      </c>
      <c r="I5348">
        <v>19.62</v>
      </c>
      <c r="J5348">
        <v>55.85</v>
      </c>
      <c r="K5348" t="s">
        <v>22</v>
      </c>
      <c r="L5348">
        <v>1523.67</v>
      </c>
      <c r="M5348">
        <f>VLOOKUP(K5348,RatingLookup!$A$2:$C$8,2,FALSE)</f>
        <v>5.0000000000000001E-3</v>
      </c>
      <c r="N5348">
        <f t="shared" si="249"/>
        <v>4.1762458919303302E-4</v>
      </c>
      <c r="O5348">
        <f>VLOOKUP(K5348,RatingLookup!$A$2:$C$8,3,FALSE)</f>
        <v>0.45</v>
      </c>
      <c r="P5348">
        <f t="shared" si="250"/>
        <v>0.28634492601708694</v>
      </c>
      <c r="Q5348" t="str">
        <f t="shared" ca="1" si="251"/>
        <v>No</v>
      </c>
    </row>
    <row r="5349" spans="1:17" x14ac:dyDescent="0.45">
      <c r="A5349" t="s">
        <v>215</v>
      </c>
      <c r="B5349" t="s">
        <v>216</v>
      </c>
      <c r="C5349" t="s">
        <v>43</v>
      </c>
      <c r="D5349" t="s">
        <v>188</v>
      </c>
      <c r="E5349" t="s">
        <v>21</v>
      </c>
      <c r="F5349" s="1">
        <v>44044</v>
      </c>
      <c r="G5349">
        <v>0.9</v>
      </c>
      <c r="H5349">
        <v>80.555599999999998</v>
      </c>
      <c r="I5349">
        <v>13.62</v>
      </c>
      <c r="J5349">
        <v>61.31</v>
      </c>
      <c r="K5349" t="s">
        <v>22</v>
      </c>
      <c r="L5349">
        <v>1672.47</v>
      </c>
      <c r="M5349">
        <f>VLOOKUP(K5349,RatingLookup!$A$2:$C$8,2,FALSE)</f>
        <v>5.0000000000000001E-3</v>
      </c>
      <c r="N5349">
        <f t="shared" si="249"/>
        <v>4.1762458919303302E-4</v>
      </c>
      <c r="O5349">
        <f>VLOOKUP(K5349,RatingLookup!$A$2:$C$8,3,FALSE)</f>
        <v>0.45</v>
      </c>
      <c r="P5349">
        <f t="shared" si="250"/>
        <v>0.31430906850945239</v>
      </c>
      <c r="Q5349" t="str">
        <f t="shared" ca="1" si="251"/>
        <v>No</v>
      </c>
    </row>
    <row r="5350" spans="1:17" x14ac:dyDescent="0.45">
      <c r="A5350" t="s">
        <v>215</v>
      </c>
      <c r="B5350" t="s">
        <v>216</v>
      </c>
      <c r="C5350" t="s">
        <v>43</v>
      </c>
      <c r="D5350" t="s">
        <v>188</v>
      </c>
      <c r="E5350" t="s">
        <v>21</v>
      </c>
      <c r="F5350" s="1">
        <v>44075</v>
      </c>
      <c r="G5350">
        <v>1.91</v>
      </c>
      <c r="H5350">
        <v>84.606200000000001</v>
      </c>
      <c r="I5350">
        <v>11.55</v>
      </c>
      <c r="J5350">
        <v>73.62</v>
      </c>
      <c r="K5350" t="s">
        <v>22</v>
      </c>
      <c r="L5350">
        <v>1575.48</v>
      </c>
      <c r="M5350">
        <f>VLOOKUP(K5350,RatingLookup!$A$2:$C$8,2,FALSE)</f>
        <v>5.0000000000000001E-3</v>
      </c>
      <c r="N5350">
        <f t="shared" si="249"/>
        <v>4.1762458919303302E-4</v>
      </c>
      <c r="O5350">
        <f>VLOOKUP(K5350,RatingLookup!$A$2:$C$8,3,FALSE)</f>
        <v>0.45</v>
      </c>
      <c r="P5350">
        <f t="shared" si="250"/>
        <v>0.2960816345018279</v>
      </c>
      <c r="Q5350" t="str">
        <f t="shared" ca="1" si="251"/>
        <v>No</v>
      </c>
    </row>
    <row r="5351" spans="1:17" x14ac:dyDescent="0.45">
      <c r="A5351" t="s">
        <v>215</v>
      </c>
      <c r="B5351" t="s">
        <v>216</v>
      </c>
      <c r="C5351" t="s">
        <v>43</v>
      </c>
      <c r="D5351" t="s">
        <v>188</v>
      </c>
      <c r="E5351" t="s">
        <v>21</v>
      </c>
      <c r="F5351" s="1">
        <v>44105</v>
      </c>
      <c r="G5351">
        <v>1.68</v>
      </c>
      <c r="H5351">
        <v>80.115899999999996</v>
      </c>
      <c r="I5351">
        <v>17.27</v>
      </c>
      <c r="J5351">
        <v>72.78</v>
      </c>
      <c r="K5351" t="s">
        <v>22</v>
      </c>
      <c r="L5351">
        <v>1547.41</v>
      </c>
      <c r="M5351">
        <f>VLOOKUP(K5351,RatingLookup!$A$2:$C$8,2,FALSE)</f>
        <v>5.0000000000000001E-3</v>
      </c>
      <c r="N5351">
        <f t="shared" si="249"/>
        <v>4.1762458919303302E-4</v>
      </c>
      <c r="O5351">
        <f>VLOOKUP(K5351,RatingLookup!$A$2:$C$8,3,FALSE)</f>
        <v>0.45</v>
      </c>
      <c r="P5351">
        <f t="shared" si="250"/>
        <v>0.29080640950343606</v>
      </c>
      <c r="Q5351" t="str">
        <f t="shared" ca="1" si="251"/>
        <v>No</v>
      </c>
    </row>
    <row r="5352" spans="1:17" x14ac:dyDescent="0.45">
      <c r="A5352" t="s">
        <v>215</v>
      </c>
      <c r="B5352" t="s">
        <v>216</v>
      </c>
      <c r="C5352" t="s">
        <v>43</v>
      </c>
      <c r="D5352" t="s">
        <v>188</v>
      </c>
      <c r="E5352" t="s">
        <v>21</v>
      </c>
      <c r="F5352" s="1">
        <v>44136</v>
      </c>
      <c r="G5352">
        <v>0.78</v>
      </c>
      <c r="H5352">
        <v>82.776399999999995</v>
      </c>
      <c r="I5352">
        <v>13.32</v>
      </c>
      <c r="J5352">
        <v>73.349999999999994</v>
      </c>
      <c r="K5352" t="s">
        <v>22</v>
      </c>
      <c r="L5352">
        <v>1427.86</v>
      </c>
      <c r="M5352">
        <f>VLOOKUP(K5352,RatingLookup!$A$2:$C$8,2,FALSE)</f>
        <v>5.0000000000000001E-3</v>
      </c>
      <c r="N5352">
        <f t="shared" si="249"/>
        <v>4.1762458919303302E-4</v>
      </c>
      <c r="O5352">
        <f>VLOOKUP(K5352,RatingLookup!$A$2:$C$8,3,FALSE)</f>
        <v>0.45</v>
      </c>
      <c r="P5352">
        <f t="shared" si="250"/>
        <v>0.26833925066632386</v>
      </c>
      <c r="Q5352" t="str">
        <f t="shared" ca="1" si="251"/>
        <v>No</v>
      </c>
    </row>
    <row r="5353" spans="1:17" x14ac:dyDescent="0.45">
      <c r="A5353" t="s">
        <v>215</v>
      </c>
      <c r="B5353" t="s">
        <v>216</v>
      </c>
      <c r="C5353" t="s">
        <v>43</v>
      </c>
      <c r="D5353" t="s">
        <v>188</v>
      </c>
      <c r="E5353" t="s">
        <v>21</v>
      </c>
      <c r="F5353" s="1">
        <v>44166</v>
      </c>
      <c r="G5353">
        <v>1.4</v>
      </c>
      <c r="H5353">
        <v>83.883399999999995</v>
      </c>
      <c r="I5353">
        <v>25.82</v>
      </c>
      <c r="J5353">
        <v>75.12</v>
      </c>
      <c r="K5353" t="s">
        <v>22</v>
      </c>
      <c r="L5353">
        <v>1448.33</v>
      </c>
      <c r="M5353">
        <f>VLOOKUP(K5353,RatingLookup!$A$2:$C$8,2,FALSE)</f>
        <v>5.0000000000000001E-3</v>
      </c>
      <c r="N5353">
        <f t="shared" si="249"/>
        <v>4.1762458919303302E-4</v>
      </c>
      <c r="O5353">
        <f>VLOOKUP(K5353,RatingLookup!$A$2:$C$8,3,FALSE)</f>
        <v>0.45</v>
      </c>
      <c r="P5353">
        <f t="shared" si="250"/>
        <v>0.27218619956967549</v>
      </c>
      <c r="Q5353" t="str">
        <f t="shared" ca="1" si="251"/>
        <v>No</v>
      </c>
    </row>
    <row r="5354" spans="1:17" x14ac:dyDescent="0.45">
      <c r="A5354" t="s">
        <v>215</v>
      </c>
      <c r="B5354" t="s">
        <v>216</v>
      </c>
      <c r="C5354" t="s">
        <v>43</v>
      </c>
      <c r="D5354" t="s">
        <v>188</v>
      </c>
      <c r="E5354" t="s">
        <v>21</v>
      </c>
      <c r="F5354" s="1">
        <v>44197</v>
      </c>
      <c r="G5354">
        <v>1.4</v>
      </c>
      <c r="H5354">
        <v>80.887900000000002</v>
      </c>
      <c r="I5354">
        <v>17.510000000000002</v>
      </c>
      <c r="J5354">
        <v>76.489999999999995</v>
      </c>
      <c r="K5354" t="s">
        <v>22</v>
      </c>
      <c r="L5354">
        <v>1605.24</v>
      </c>
      <c r="M5354">
        <f>VLOOKUP(K5354,RatingLookup!$A$2:$C$8,2,FALSE)</f>
        <v>5.0000000000000001E-3</v>
      </c>
      <c r="N5354">
        <f t="shared" si="249"/>
        <v>4.1762458919303302E-4</v>
      </c>
      <c r="O5354">
        <f>VLOOKUP(K5354,RatingLookup!$A$2:$C$8,3,FALSE)</f>
        <v>0.45</v>
      </c>
      <c r="P5354">
        <f t="shared" si="250"/>
        <v>0.30167446300030099</v>
      </c>
      <c r="Q5354" t="str">
        <f t="shared" ca="1" si="251"/>
        <v>No</v>
      </c>
    </row>
    <row r="5355" spans="1:17" x14ac:dyDescent="0.45">
      <c r="A5355" t="s">
        <v>215</v>
      </c>
      <c r="B5355" t="s">
        <v>216</v>
      </c>
      <c r="C5355" t="s">
        <v>43</v>
      </c>
      <c r="D5355" t="s">
        <v>188</v>
      </c>
      <c r="E5355" t="s">
        <v>21</v>
      </c>
      <c r="F5355" s="1">
        <v>44228</v>
      </c>
      <c r="G5355">
        <v>0.99</v>
      </c>
      <c r="H5355">
        <v>78.865399999999994</v>
      </c>
      <c r="I5355">
        <v>22.39</v>
      </c>
      <c r="J5355">
        <v>82.21</v>
      </c>
      <c r="K5355" t="s">
        <v>22</v>
      </c>
      <c r="L5355">
        <v>1567</v>
      </c>
      <c r="M5355">
        <f>VLOOKUP(K5355,RatingLookup!$A$2:$C$8,2,FALSE)</f>
        <v>5.0000000000000001E-3</v>
      </c>
      <c r="N5355">
        <f t="shared" si="249"/>
        <v>4.1762458919303302E-4</v>
      </c>
      <c r="O5355">
        <f>VLOOKUP(K5355,RatingLookup!$A$2:$C$8,3,FALSE)</f>
        <v>0.45</v>
      </c>
      <c r="P5355">
        <f t="shared" si="250"/>
        <v>0.29448797906946722</v>
      </c>
      <c r="Q5355" t="str">
        <f t="shared" ca="1" si="251"/>
        <v>No</v>
      </c>
    </row>
    <row r="5356" spans="1:17" x14ac:dyDescent="0.45">
      <c r="A5356" t="s">
        <v>215</v>
      </c>
      <c r="B5356" t="s">
        <v>216</v>
      </c>
      <c r="C5356" t="s">
        <v>43</v>
      </c>
      <c r="D5356" t="s">
        <v>188</v>
      </c>
      <c r="E5356" t="s">
        <v>21</v>
      </c>
      <c r="F5356" s="1">
        <v>44256</v>
      </c>
      <c r="G5356">
        <v>2.31</v>
      </c>
      <c r="H5356">
        <v>82.432599999999994</v>
      </c>
      <c r="I5356">
        <v>14.99</v>
      </c>
      <c r="J5356">
        <v>62.01</v>
      </c>
      <c r="K5356" t="s">
        <v>22</v>
      </c>
      <c r="L5356">
        <v>1569.96</v>
      </c>
      <c r="M5356">
        <f>VLOOKUP(K5356,RatingLookup!$A$2:$C$8,2,FALSE)</f>
        <v>5.0000000000000001E-3</v>
      </c>
      <c r="N5356">
        <f t="shared" si="249"/>
        <v>4.1762458919303302E-4</v>
      </c>
      <c r="O5356">
        <f>VLOOKUP(K5356,RatingLookup!$A$2:$C$8,3,FALSE)</f>
        <v>0.45</v>
      </c>
      <c r="P5356">
        <f t="shared" si="250"/>
        <v>0.29504425502227233</v>
      </c>
      <c r="Q5356" t="str">
        <f t="shared" ca="1" si="251"/>
        <v>No</v>
      </c>
    </row>
    <row r="5357" spans="1:17" x14ac:dyDescent="0.45">
      <c r="A5357" t="s">
        <v>215</v>
      </c>
      <c r="B5357" t="s">
        <v>216</v>
      </c>
      <c r="C5357" t="s">
        <v>43</v>
      </c>
      <c r="D5357" t="s">
        <v>188</v>
      </c>
      <c r="E5357" t="s">
        <v>21</v>
      </c>
      <c r="F5357" s="1">
        <v>44287</v>
      </c>
      <c r="G5357">
        <v>1.82</v>
      </c>
      <c r="H5357">
        <v>83.966999999999999</v>
      </c>
      <c r="I5357">
        <v>10.51</v>
      </c>
      <c r="J5357">
        <v>77.400000000000006</v>
      </c>
      <c r="K5357" t="s">
        <v>22</v>
      </c>
      <c r="L5357">
        <v>1591.61</v>
      </c>
      <c r="M5357">
        <f>VLOOKUP(K5357,RatingLookup!$A$2:$C$8,2,FALSE)</f>
        <v>5.0000000000000001E-3</v>
      </c>
      <c r="N5357">
        <f t="shared" si="249"/>
        <v>4.1762458919303302E-4</v>
      </c>
      <c r="O5357">
        <f>VLOOKUP(K5357,RatingLookup!$A$2:$C$8,3,FALSE)</f>
        <v>0.45</v>
      </c>
      <c r="P5357">
        <f t="shared" si="250"/>
        <v>0.29911296258248549</v>
      </c>
      <c r="Q5357" t="str">
        <f t="shared" ca="1" si="251"/>
        <v>No</v>
      </c>
    </row>
    <row r="5358" spans="1:17" x14ac:dyDescent="0.45">
      <c r="A5358" t="s">
        <v>215</v>
      </c>
      <c r="B5358" t="s">
        <v>216</v>
      </c>
      <c r="C5358" t="s">
        <v>43</v>
      </c>
      <c r="D5358" t="s">
        <v>188</v>
      </c>
      <c r="E5358" t="s">
        <v>21</v>
      </c>
      <c r="F5358" s="1">
        <v>44317</v>
      </c>
      <c r="G5358">
        <v>1.82</v>
      </c>
      <c r="H5358">
        <v>82.598299999999995</v>
      </c>
      <c r="I5358">
        <v>25.76</v>
      </c>
      <c r="J5358">
        <v>76.08</v>
      </c>
      <c r="K5358" t="s">
        <v>22</v>
      </c>
      <c r="L5358">
        <v>1549.84</v>
      </c>
      <c r="M5358">
        <f>VLOOKUP(K5358,RatingLookup!$A$2:$C$8,2,FALSE)</f>
        <v>5.0000000000000001E-3</v>
      </c>
      <c r="N5358">
        <f t="shared" si="249"/>
        <v>4.1762458919303302E-4</v>
      </c>
      <c r="O5358">
        <f>VLOOKUP(K5358,RatingLookup!$A$2:$C$8,3,FALSE)</f>
        <v>0.45</v>
      </c>
      <c r="P5358">
        <f t="shared" si="250"/>
        <v>0.29126308199171863</v>
      </c>
      <c r="Q5358" t="str">
        <f t="shared" ca="1" si="251"/>
        <v>No</v>
      </c>
    </row>
    <row r="5359" spans="1:17" x14ac:dyDescent="0.45">
      <c r="A5359" t="s">
        <v>215</v>
      </c>
      <c r="B5359" t="s">
        <v>216</v>
      </c>
      <c r="C5359" t="s">
        <v>43</v>
      </c>
      <c r="D5359" t="s">
        <v>188</v>
      </c>
      <c r="E5359" t="s">
        <v>21</v>
      </c>
      <c r="F5359" s="1">
        <v>44348</v>
      </c>
      <c r="G5359">
        <v>2.4500000000000002</v>
      </c>
      <c r="H5359">
        <v>83.862700000000004</v>
      </c>
      <c r="I5359">
        <v>15.82</v>
      </c>
      <c r="J5359">
        <v>76.89</v>
      </c>
      <c r="K5359" t="s">
        <v>22</v>
      </c>
      <c r="L5359">
        <v>1551.88</v>
      </c>
      <c r="M5359">
        <f>VLOOKUP(K5359,RatingLookup!$A$2:$C$8,2,FALSE)</f>
        <v>5.0000000000000001E-3</v>
      </c>
      <c r="N5359">
        <f t="shared" si="249"/>
        <v>4.1762458919303302E-4</v>
      </c>
      <c r="O5359">
        <f>VLOOKUP(K5359,RatingLookup!$A$2:$C$8,3,FALSE)</f>
        <v>0.45</v>
      </c>
      <c r="P5359">
        <f t="shared" si="250"/>
        <v>0.29164646136459782</v>
      </c>
      <c r="Q5359" t="str">
        <f t="shared" ca="1" si="251"/>
        <v>No</v>
      </c>
    </row>
    <row r="5360" spans="1:17" x14ac:dyDescent="0.45">
      <c r="A5360" t="s">
        <v>215</v>
      </c>
      <c r="B5360" t="s">
        <v>216</v>
      </c>
      <c r="C5360" t="s">
        <v>43</v>
      </c>
      <c r="D5360" t="s">
        <v>188</v>
      </c>
      <c r="E5360" t="s">
        <v>21</v>
      </c>
      <c r="F5360" s="1">
        <v>44378</v>
      </c>
      <c r="G5360">
        <v>1.73</v>
      </c>
      <c r="H5360">
        <v>80.878399999999999</v>
      </c>
      <c r="I5360">
        <v>18.329999999999998</v>
      </c>
      <c r="J5360">
        <v>63.31</v>
      </c>
      <c r="K5360" t="s">
        <v>22</v>
      </c>
      <c r="L5360">
        <v>1508.11</v>
      </c>
      <c r="M5360">
        <f>VLOOKUP(K5360,RatingLookup!$A$2:$C$8,2,FALSE)</f>
        <v>5.0000000000000001E-3</v>
      </c>
      <c r="N5360">
        <f t="shared" si="249"/>
        <v>4.1762458919303302E-4</v>
      </c>
      <c r="O5360">
        <f>VLOOKUP(K5360,RatingLookup!$A$2:$C$8,3,FALSE)</f>
        <v>0.45</v>
      </c>
      <c r="P5360">
        <f t="shared" si="250"/>
        <v>0.28342071864355722</v>
      </c>
      <c r="Q5360" t="str">
        <f t="shared" ca="1" si="251"/>
        <v>No</v>
      </c>
    </row>
    <row r="5361" spans="1:17" x14ac:dyDescent="0.45">
      <c r="A5361" t="s">
        <v>215</v>
      </c>
      <c r="B5361" t="s">
        <v>216</v>
      </c>
      <c r="C5361" t="s">
        <v>43</v>
      </c>
      <c r="D5361" t="s">
        <v>188</v>
      </c>
      <c r="E5361" t="s">
        <v>21</v>
      </c>
      <c r="F5361" s="1">
        <v>44409</v>
      </c>
      <c r="G5361">
        <v>0.85</v>
      </c>
      <c r="H5361">
        <v>78.897800000000004</v>
      </c>
      <c r="I5361">
        <v>10.039999999999999</v>
      </c>
      <c r="J5361">
        <v>66.58</v>
      </c>
      <c r="K5361" t="s">
        <v>22</v>
      </c>
      <c r="L5361">
        <v>1639.89</v>
      </c>
      <c r="M5361">
        <f>VLOOKUP(K5361,RatingLookup!$A$2:$C$8,2,FALSE)</f>
        <v>5.0000000000000001E-3</v>
      </c>
      <c r="N5361">
        <f t="shared" si="249"/>
        <v>4.1762458919303302E-4</v>
      </c>
      <c r="O5361">
        <f>VLOOKUP(K5361,RatingLookup!$A$2:$C$8,3,FALSE)</f>
        <v>0.45</v>
      </c>
      <c r="P5361">
        <f t="shared" si="250"/>
        <v>0.30818627440729335</v>
      </c>
      <c r="Q5361" t="str">
        <f t="shared" ca="1" si="251"/>
        <v>No</v>
      </c>
    </row>
    <row r="5362" spans="1:17" x14ac:dyDescent="0.45">
      <c r="A5362" t="s">
        <v>215</v>
      </c>
      <c r="B5362" t="s">
        <v>216</v>
      </c>
      <c r="C5362" t="s">
        <v>43</v>
      </c>
      <c r="D5362" t="s">
        <v>188</v>
      </c>
      <c r="E5362" t="s">
        <v>21</v>
      </c>
      <c r="F5362" s="1">
        <v>44440</v>
      </c>
      <c r="G5362">
        <v>0.6</v>
      </c>
      <c r="H5362">
        <v>81.648300000000006</v>
      </c>
      <c r="I5362">
        <v>26.72</v>
      </c>
      <c r="J5362">
        <v>79.290000000000006</v>
      </c>
      <c r="K5362" t="s">
        <v>22</v>
      </c>
      <c r="L5362">
        <v>1449.86</v>
      </c>
      <c r="M5362">
        <f>VLOOKUP(K5362,RatingLookup!$A$2:$C$8,2,FALSE)</f>
        <v>5.0000000000000001E-3</v>
      </c>
      <c r="N5362">
        <f t="shared" si="249"/>
        <v>4.1762458919303302E-4</v>
      </c>
      <c r="O5362">
        <f>VLOOKUP(K5362,RatingLookup!$A$2:$C$8,3,FALSE)</f>
        <v>0.45</v>
      </c>
      <c r="P5362">
        <f t="shared" si="250"/>
        <v>0.2724737340993349</v>
      </c>
      <c r="Q5362" t="str">
        <f t="shared" ca="1" si="251"/>
        <v>No</v>
      </c>
    </row>
    <row r="5363" spans="1:17" x14ac:dyDescent="0.45">
      <c r="A5363" t="s">
        <v>215</v>
      </c>
      <c r="B5363" t="s">
        <v>216</v>
      </c>
      <c r="C5363" t="s">
        <v>43</v>
      </c>
      <c r="D5363" t="s">
        <v>188</v>
      </c>
      <c r="E5363" t="s">
        <v>21</v>
      </c>
      <c r="F5363" s="1">
        <v>44470</v>
      </c>
      <c r="G5363">
        <v>2.59</v>
      </c>
      <c r="H5363">
        <v>85.349400000000003</v>
      </c>
      <c r="I5363">
        <v>20.079999999999998</v>
      </c>
      <c r="J5363">
        <v>89.99</v>
      </c>
      <c r="K5363" t="s">
        <v>22</v>
      </c>
      <c r="L5363">
        <v>1551.32</v>
      </c>
      <c r="M5363">
        <f>VLOOKUP(K5363,RatingLookup!$A$2:$C$8,2,FALSE)</f>
        <v>5.0000000000000001E-3</v>
      </c>
      <c r="N5363">
        <f t="shared" si="249"/>
        <v>4.1762458919303302E-4</v>
      </c>
      <c r="O5363">
        <f>VLOOKUP(K5363,RatingLookup!$A$2:$C$8,3,FALSE)</f>
        <v>0.45</v>
      </c>
      <c r="P5363">
        <f t="shared" si="250"/>
        <v>0.29154121996812121</v>
      </c>
      <c r="Q5363" t="str">
        <f t="shared" ca="1" si="251"/>
        <v>No</v>
      </c>
    </row>
    <row r="5364" spans="1:17" x14ac:dyDescent="0.45">
      <c r="A5364" t="s">
        <v>215</v>
      </c>
      <c r="B5364" t="s">
        <v>216</v>
      </c>
      <c r="C5364" t="s">
        <v>43</v>
      </c>
      <c r="D5364" t="s">
        <v>188</v>
      </c>
      <c r="E5364" t="s">
        <v>21</v>
      </c>
      <c r="F5364" s="1">
        <v>44501</v>
      </c>
      <c r="G5364">
        <v>1.59</v>
      </c>
      <c r="H5364">
        <v>82.342200000000005</v>
      </c>
      <c r="I5364">
        <v>14.22</v>
      </c>
      <c r="J5364">
        <v>60.29</v>
      </c>
      <c r="K5364" t="s">
        <v>22</v>
      </c>
      <c r="L5364">
        <v>1601.9</v>
      </c>
      <c r="M5364">
        <f>VLOOKUP(K5364,RatingLookup!$A$2:$C$8,2,FALSE)</f>
        <v>5.0000000000000001E-3</v>
      </c>
      <c r="N5364">
        <f t="shared" si="249"/>
        <v>4.1762458919303302E-4</v>
      </c>
      <c r="O5364">
        <f>VLOOKUP(K5364,RatingLookup!$A$2:$C$8,3,FALSE)</f>
        <v>0.45</v>
      </c>
      <c r="P5364">
        <f t="shared" si="250"/>
        <v>0.30104677324274381</v>
      </c>
      <c r="Q5364" t="str">
        <f t="shared" ca="1" si="251"/>
        <v>No</v>
      </c>
    </row>
    <row r="5365" spans="1:17" x14ac:dyDescent="0.45">
      <c r="A5365" t="s">
        <v>215</v>
      </c>
      <c r="B5365" t="s">
        <v>216</v>
      </c>
      <c r="C5365" t="s">
        <v>43</v>
      </c>
      <c r="D5365" t="s">
        <v>188</v>
      </c>
      <c r="E5365" t="s">
        <v>21</v>
      </c>
      <c r="F5365" s="1">
        <v>44531</v>
      </c>
      <c r="G5365">
        <v>1.69</v>
      </c>
      <c r="H5365">
        <v>82.833399999999997</v>
      </c>
      <c r="I5365">
        <v>21.08</v>
      </c>
      <c r="J5365">
        <v>77.25</v>
      </c>
      <c r="K5365" t="s">
        <v>22</v>
      </c>
      <c r="L5365">
        <v>1447.05</v>
      </c>
      <c r="M5365">
        <f>VLOOKUP(K5365,RatingLookup!$A$2:$C$8,2,FALSE)</f>
        <v>5.0000000000000001E-3</v>
      </c>
      <c r="N5365">
        <f t="shared" si="249"/>
        <v>4.1762458919303302E-4</v>
      </c>
      <c r="O5365">
        <f>VLOOKUP(K5365,RatingLookup!$A$2:$C$8,3,FALSE)</f>
        <v>0.45</v>
      </c>
      <c r="P5365">
        <f t="shared" si="250"/>
        <v>0.27194564780630032</v>
      </c>
      <c r="Q5365" t="str">
        <f t="shared" ca="1" si="251"/>
        <v>No</v>
      </c>
    </row>
    <row r="5366" spans="1:17" x14ac:dyDescent="0.45">
      <c r="A5366" t="s">
        <v>215</v>
      </c>
      <c r="B5366" t="s">
        <v>216</v>
      </c>
      <c r="C5366" t="s">
        <v>43</v>
      </c>
      <c r="D5366" t="s">
        <v>188</v>
      </c>
      <c r="E5366" t="s">
        <v>21</v>
      </c>
      <c r="F5366" s="1">
        <v>44562</v>
      </c>
      <c r="G5366">
        <v>0.7</v>
      </c>
      <c r="H5366">
        <v>81.347999999999999</v>
      </c>
      <c r="I5366">
        <v>21.92</v>
      </c>
      <c r="J5366">
        <v>92.51</v>
      </c>
      <c r="K5366" t="s">
        <v>22</v>
      </c>
      <c r="L5366">
        <v>1591.52</v>
      </c>
      <c r="M5366">
        <f>VLOOKUP(K5366,RatingLookup!$A$2:$C$8,2,FALSE)</f>
        <v>5.0000000000000001E-3</v>
      </c>
      <c r="N5366">
        <f t="shared" si="249"/>
        <v>4.1762458919303302E-4</v>
      </c>
      <c r="O5366">
        <f>VLOOKUP(K5366,RatingLookup!$A$2:$C$8,3,FALSE)</f>
        <v>0.45</v>
      </c>
      <c r="P5366">
        <f t="shared" si="250"/>
        <v>0.29909604878662316</v>
      </c>
      <c r="Q5366" t="str">
        <f t="shared" ca="1" si="251"/>
        <v>No</v>
      </c>
    </row>
    <row r="5367" spans="1:17" x14ac:dyDescent="0.45">
      <c r="A5367" t="s">
        <v>215</v>
      </c>
      <c r="B5367" t="s">
        <v>216</v>
      </c>
      <c r="C5367" t="s">
        <v>43</v>
      </c>
      <c r="D5367" t="s">
        <v>188</v>
      </c>
      <c r="E5367" t="s">
        <v>21</v>
      </c>
      <c r="F5367" s="1">
        <v>44593</v>
      </c>
      <c r="G5367">
        <v>1.94</v>
      </c>
      <c r="H5367">
        <v>84.528000000000006</v>
      </c>
      <c r="I5367">
        <v>19.64</v>
      </c>
      <c r="J5367">
        <v>74.86</v>
      </c>
      <c r="K5367" t="s">
        <v>30</v>
      </c>
      <c r="L5367">
        <v>1744.03</v>
      </c>
      <c r="M5367">
        <f>VLOOKUP(K5367,RatingLookup!$A$2:$C$8,2,FALSE)</f>
        <v>1.4999999999999999E-2</v>
      </c>
      <c r="N5367">
        <f t="shared" si="249"/>
        <v>1.2586770182638762E-3</v>
      </c>
      <c r="O5367">
        <f>VLOOKUP(K5367,RatingLookup!$A$2:$C$8,3,FALSE)</f>
        <v>0.5</v>
      </c>
      <c r="P5367">
        <f t="shared" si="250"/>
        <v>1.0975852400813739</v>
      </c>
      <c r="Q5367" t="str">
        <f t="shared" ca="1" si="251"/>
        <v>No</v>
      </c>
    </row>
    <row r="5368" spans="1:17" x14ac:dyDescent="0.45">
      <c r="A5368" t="s">
        <v>215</v>
      </c>
      <c r="B5368" t="s">
        <v>216</v>
      </c>
      <c r="C5368" t="s">
        <v>43</v>
      </c>
      <c r="D5368" t="s">
        <v>188</v>
      </c>
      <c r="E5368" t="s">
        <v>21</v>
      </c>
      <c r="F5368" s="1">
        <v>44621</v>
      </c>
      <c r="G5368">
        <v>1.74</v>
      </c>
      <c r="H5368">
        <v>81.471599999999995</v>
      </c>
      <c r="I5368">
        <v>10.56</v>
      </c>
      <c r="J5368">
        <v>77.2</v>
      </c>
      <c r="K5368" t="s">
        <v>31</v>
      </c>
      <c r="L5368">
        <v>1368.14</v>
      </c>
      <c r="M5368">
        <f>VLOOKUP(K5368,RatingLookup!$A$2:$C$8,2,FALSE)</f>
        <v>0.04</v>
      </c>
      <c r="N5368">
        <f t="shared" si="249"/>
        <v>3.3960531989175591E-3</v>
      </c>
      <c r="O5368">
        <f>VLOOKUP(K5368,RatingLookup!$A$2:$C$8,3,FALSE)</f>
        <v>0.6</v>
      </c>
      <c r="P5368">
        <f t="shared" si="250"/>
        <v>2.7877657341402418</v>
      </c>
      <c r="Q5368" t="str">
        <f t="shared" ca="1" si="251"/>
        <v>No</v>
      </c>
    </row>
    <row r="5369" spans="1:17" x14ac:dyDescent="0.45">
      <c r="A5369" t="s">
        <v>215</v>
      </c>
      <c r="B5369" t="s">
        <v>216</v>
      </c>
      <c r="C5369" t="s">
        <v>43</v>
      </c>
      <c r="D5369" t="s">
        <v>188</v>
      </c>
      <c r="E5369" t="s">
        <v>21</v>
      </c>
      <c r="F5369" s="1">
        <v>44652</v>
      </c>
      <c r="G5369">
        <v>2.41</v>
      </c>
      <c r="H5369">
        <v>80.341300000000004</v>
      </c>
      <c r="I5369">
        <v>15.52</v>
      </c>
      <c r="J5369">
        <v>83.58</v>
      </c>
      <c r="K5369" t="s">
        <v>31</v>
      </c>
      <c r="L5369">
        <v>1609.63</v>
      </c>
      <c r="M5369">
        <f>VLOOKUP(K5369,RatingLookup!$A$2:$C$8,2,FALSE)</f>
        <v>0.04</v>
      </c>
      <c r="N5369">
        <f t="shared" si="249"/>
        <v>3.3960531989175591E-3</v>
      </c>
      <c r="O5369">
        <f>VLOOKUP(K5369,RatingLookup!$A$2:$C$8,3,FALSE)</f>
        <v>0.6</v>
      </c>
      <c r="P5369">
        <f t="shared" si="250"/>
        <v>3.2798334663442024</v>
      </c>
      <c r="Q5369" t="str">
        <f t="shared" ca="1" si="251"/>
        <v>No</v>
      </c>
    </row>
    <row r="5370" spans="1:17" x14ac:dyDescent="0.45">
      <c r="A5370" t="s">
        <v>215</v>
      </c>
      <c r="B5370" t="s">
        <v>216</v>
      </c>
      <c r="C5370" t="s">
        <v>43</v>
      </c>
      <c r="D5370" t="s">
        <v>188</v>
      </c>
      <c r="E5370" t="s">
        <v>21</v>
      </c>
      <c r="F5370" s="1">
        <v>44682</v>
      </c>
      <c r="G5370">
        <v>2.02</v>
      </c>
      <c r="H5370">
        <v>79.882099999999994</v>
      </c>
      <c r="I5370">
        <v>26.37</v>
      </c>
      <c r="J5370">
        <v>88.42</v>
      </c>
      <c r="K5370" t="s">
        <v>31</v>
      </c>
      <c r="L5370">
        <v>1437.56</v>
      </c>
      <c r="M5370">
        <f>VLOOKUP(K5370,RatingLookup!$A$2:$C$8,2,FALSE)</f>
        <v>0.04</v>
      </c>
      <c r="N5370">
        <f t="shared" si="249"/>
        <v>3.3960531989175591E-3</v>
      </c>
      <c r="O5370">
        <f>VLOOKUP(K5370,RatingLookup!$A$2:$C$8,3,FALSE)</f>
        <v>0.6</v>
      </c>
      <c r="P5370">
        <f t="shared" si="250"/>
        <v>2.9292181419815555</v>
      </c>
      <c r="Q5370" t="str">
        <f t="shared" ca="1" si="251"/>
        <v>No</v>
      </c>
    </row>
    <row r="5371" spans="1:17" x14ac:dyDescent="0.45">
      <c r="A5371" t="s">
        <v>215</v>
      </c>
      <c r="B5371" t="s">
        <v>216</v>
      </c>
      <c r="C5371" t="s">
        <v>43</v>
      </c>
      <c r="D5371" t="s">
        <v>188</v>
      </c>
      <c r="E5371" t="s">
        <v>21</v>
      </c>
      <c r="F5371" s="1">
        <v>44713</v>
      </c>
      <c r="G5371">
        <v>1.43</v>
      </c>
      <c r="H5371">
        <v>81.302599999999998</v>
      </c>
      <c r="I5371">
        <v>20.86</v>
      </c>
      <c r="J5371">
        <v>82.59</v>
      </c>
      <c r="K5371" t="s">
        <v>31</v>
      </c>
      <c r="L5371">
        <v>1369.71</v>
      </c>
      <c r="M5371">
        <f>VLOOKUP(K5371,RatingLookup!$A$2:$C$8,2,FALSE)</f>
        <v>0.04</v>
      </c>
      <c r="N5371">
        <f t="shared" si="249"/>
        <v>3.3960531989175591E-3</v>
      </c>
      <c r="O5371">
        <f>VLOOKUP(K5371,RatingLookup!$A$2:$C$8,3,FALSE)</f>
        <v>0.6</v>
      </c>
      <c r="P5371">
        <f t="shared" si="250"/>
        <v>2.7909648162536222</v>
      </c>
      <c r="Q5371" t="str">
        <f t="shared" ca="1" si="251"/>
        <v>No</v>
      </c>
    </row>
    <row r="5372" spans="1:17" x14ac:dyDescent="0.45">
      <c r="A5372" t="s">
        <v>215</v>
      </c>
      <c r="B5372" t="s">
        <v>216</v>
      </c>
      <c r="C5372" t="s">
        <v>43</v>
      </c>
      <c r="D5372" t="s">
        <v>188</v>
      </c>
      <c r="E5372" t="s">
        <v>21</v>
      </c>
      <c r="F5372" s="1">
        <v>44743</v>
      </c>
      <c r="G5372">
        <v>1.63</v>
      </c>
      <c r="H5372">
        <v>84.224800000000002</v>
      </c>
      <c r="I5372">
        <v>19.2</v>
      </c>
      <c r="J5372">
        <v>62.88</v>
      </c>
      <c r="K5372" t="s">
        <v>31</v>
      </c>
      <c r="L5372">
        <v>1517.6</v>
      </c>
      <c r="M5372">
        <f>VLOOKUP(K5372,RatingLookup!$A$2:$C$8,2,FALSE)</f>
        <v>0.04</v>
      </c>
      <c r="N5372">
        <f t="shared" si="249"/>
        <v>3.3960531989175591E-3</v>
      </c>
      <c r="O5372">
        <f>VLOOKUP(K5372,RatingLookup!$A$2:$C$8,3,FALSE)</f>
        <v>0.6</v>
      </c>
      <c r="P5372">
        <f t="shared" si="250"/>
        <v>3.0923102008063723</v>
      </c>
      <c r="Q5372" t="str">
        <f t="shared" ca="1" si="251"/>
        <v>No</v>
      </c>
    </row>
    <row r="5373" spans="1:17" x14ac:dyDescent="0.45">
      <c r="A5373" t="s">
        <v>215</v>
      </c>
      <c r="B5373" t="s">
        <v>216</v>
      </c>
      <c r="C5373" t="s">
        <v>43</v>
      </c>
      <c r="D5373" t="s">
        <v>188</v>
      </c>
      <c r="E5373" t="s">
        <v>21</v>
      </c>
      <c r="F5373" s="1">
        <v>44774</v>
      </c>
      <c r="G5373">
        <v>2.0699999999999998</v>
      </c>
      <c r="H5373">
        <v>82.745999999999995</v>
      </c>
      <c r="I5373">
        <v>5</v>
      </c>
      <c r="J5373">
        <v>84.89</v>
      </c>
      <c r="K5373" t="s">
        <v>31</v>
      </c>
      <c r="L5373">
        <v>1496.17</v>
      </c>
      <c r="M5373">
        <f>VLOOKUP(K5373,RatingLookup!$A$2:$C$8,2,FALSE)</f>
        <v>0.04</v>
      </c>
      <c r="N5373">
        <f t="shared" si="249"/>
        <v>3.3960531989175591E-3</v>
      </c>
      <c r="O5373">
        <f>VLOOKUP(K5373,RatingLookup!$A$2:$C$8,3,FALSE)</f>
        <v>0.6</v>
      </c>
      <c r="P5373">
        <f t="shared" si="250"/>
        <v>3.0486437487746905</v>
      </c>
      <c r="Q5373" t="str">
        <f t="shared" ca="1" si="251"/>
        <v>No</v>
      </c>
    </row>
    <row r="5374" spans="1:17" x14ac:dyDescent="0.45">
      <c r="A5374" t="s">
        <v>215</v>
      </c>
      <c r="B5374" t="s">
        <v>216</v>
      </c>
      <c r="C5374" t="s">
        <v>43</v>
      </c>
      <c r="D5374" t="s">
        <v>188</v>
      </c>
      <c r="E5374" t="s">
        <v>21</v>
      </c>
      <c r="F5374" s="1">
        <v>44805</v>
      </c>
      <c r="G5374">
        <v>2.7</v>
      </c>
      <c r="H5374">
        <v>87.377600000000001</v>
      </c>
      <c r="I5374">
        <v>25.24</v>
      </c>
      <c r="J5374">
        <v>64.430000000000007</v>
      </c>
      <c r="K5374" t="s">
        <v>31</v>
      </c>
      <c r="L5374">
        <v>1409.72</v>
      </c>
      <c r="M5374">
        <f>VLOOKUP(K5374,RatingLookup!$A$2:$C$8,2,FALSE)</f>
        <v>0.04</v>
      </c>
      <c r="N5374">
        <f t="shared" si="249"/>
        <v>3.3960531989175591E-3</v>
      </c>
      <c r="O5374">
        <f>VLOOKUP(K5374,RatingLookup!$A$2:$C$8,3,FALSE)</f>
        <v>0.6</v>
      </c>
      <c r="P5374">
        <f t="shared" si="250"/>
        <v>2.8724904693468369</v>
      </c>
      <c r="Q5374" t="str">
        <f t="shared" ca="1" si="251"/>
        <v>No</v>
      </c>
    </row>
    <row r="5375" spans="1:17" x14ac:dyDescent="0.45">
      <c r="A5375" t="s">
        <v>215</v>
      </c>
      <c r="B5375" t="s">
        <v>216</v>
      </c>
      <c r="C5375" t="s">
        <v>43</v>
      </c>
      <c r="D5375" t="s">
        <v>188</v>
      </c>
      <c r="E5375" t="s">
        <v>21</v>
      </c>
      <c r="F5375" s="1">
        <v>44835</v>
      </c>
      <c r="G5375">
        <v>1.81</v>
      </c>
      <c r="H5375">
        <v>84.974000000000004</v>
      </c>
      <c r="I5375">
        <v>28.03</v>
      </c>
      <c r="J5375">
        <v>89.23</v>
      </c>
      <c r="K5375" t="s">
        <v>31</v>
      </c>
      <c r="L5375">
        <v>1460.76</v>
      </c>
      <c r="M5375">
        <f>VLOOKUP(K5375,RatingLookup!$A$2:$C$8,2,FALSE)</f>
        <v>0.04</v>
      </c>
      <c r="N5375">
        <f t="shared" si="249"/>
        <v>3.3960531989175591E-3</v>
      </c>
      <c r="O5375">
        <f>VLOOKUP(K5375,RatingLookup!$A$2:$C$8,3,FALSE)</f>
        <v>0.6</v>
      </c>
      <c r="P5375">
        <f t="shared" si="250"/>
        <v>2.9764912025104882</v>
      </c>
      <c r="Q5375" t="str">
        <f t="shared" ca="1" si="251"/>
        <v>No</v>
      </c>
    </row>
    <row r="5376" spans="1:17" x14ac:dyDescent="0.45">
      <c r="A5376" t="s">
        <v>215</v>
      </c>
      <c r="B5376" t="s">
        <v>216</v>
      </c>
      <c r="C5376" t="s">
        <v>43</v>
      </c>
      <c r="D5376" t="s">
        <v>188</v>
      </c>
      <c r="E5376" t="s">
        <v>21</v>
      </c>
      <c r="F5376" s="1">
        <v>44866</v>
      </c>
      <c r="G5376">
        <v>1.46</v>
      </c>
      <c r="H5376">
        <v>80.561999999999998</v>
      </c>
      <c r="I5376">
        <v>20.28</v>
      </c>
      <c r="J5376">
        <v>56.65</v>
      </c>
      <c r="K5376" t="s">
        <v>31</v>
      </c>
      <c r="L5376">
        <v>1466.91</v>
      </c>
      <c r="M5376">
        <f>VLOOKUP(K5376,RatingLookup!$A$2:$C$8,2,FALSE)</f>
        <v>0.04</v>
      </c>
      <c r="N5376">
        <f t="shared" si="249"/>
        <v>3.3960531989175591E-3</v>
      </c>
      <c r="O5376">
        <f>VLOOKUP(K5376,RatingLookup!$A$2:$C$8,3,FALSE)</f>
        <v>0.6</v>
      </c>
      <c r="P5376">
        <f t="shared" si="250"/>
        <v>2.9890226388144936</v>
      </c>
      <c r="Q5376" t="str">
        <f t="shared" ca="1" si="251"/>
        <v>No</v>
      </c>
    </row>
    <row r="5377" spans="1:17" x14ac:dyDescent="0.45">
      <c r="A5377" t="s">
        <v>215</v>
      </c>
      <c r="B5377" t="s">
        <v>216</v>
      </c>
      <c r="C5377" t="s">
        <v>43</v>
      </c>
      <c r="D5377" t="s">
        <v>188</v>
      </c>
      <c r="E5377" t="s">
        <v>21</v>
      </c>
      <c r="F5377" s="1">
        <v>44896</v>
      </c>
      <c r="G5377">
        <v>1.92</v>
      </c>
      <c r="H5377">
        <v>80.051699999999997</v>
      </c>
      <c r="I5377">
        <v>11</v>
      </c>
      <c r="J5377">
        <v>84.46</v>
      </c>
      <c r="K5377" t="s">
        <v>31</v>
      </c>
      <c r="L5377">
        <v>1418.46</v>
      </c>
      <c r="M5377">
        <f>VLOOKUP(K5377,RatingLookup!$A$2:$C$8,2,FALSE)</f>
        <v>0.04</v>
      </c>
      <c r="N5377">
        <f t="shared" si="249"/>
        <v>3.3960531989175591E-3</v>
      </c>
      <c r="O5377">
        <f>VLOOKUP(K5377,RatingLookup!$A$2:$C$8,3,FALSE)</f>
        <v>0.6</v>
      </c>
      <c r="P5377">
        <f t="shared" si="250"/>
        <v>2.8902993723219605</v>
      </c>
      <c r="Q5377" t="str">
        <f t="shared" ca="1" si="251"/>
        <v>No</v>
      </c>
    </row>
    <row r="5378" spans="1:17" x14ac:dyDescent="0.45">
      <c r="A5378" t="s">
        <v>215</v>
      </c>
      <c r="B5378" t="s">
        <v>216</v>
      </c>
      <c r="C5378" t="s">
        <v>43</v>
      </c>
      <c r="D5378" t="s">
        <v>188</v>
      </c>
      <c r="E5378" t="s">
        <v>21</v>
      </c>
      <c r="F5378" s="1">
        <v>44927</v>
      </c>
      <c r="G5378">
        <v>1.48</v>
      </c>
      <c r="H5378">
        <v>88.691400000000002</v>
      </c>
      <c r="I5378">
        <v>20.95</v>
      </c>
      <c r="J5378">
        <v>80.33</v>
      </c>
      <c r="K5378" t="s">
        <v>31</v>
      </c>
      <c r="L5378">
        <v>1446.11</v>
      </c>
      <c r="M5378">
        <f>VLOOKUP(K5378,RatingLookup!$A$2:$C$8,2,FALSE)</f>
        <v>0.04</v>
      </c>
      <c r="N5378">
        <f t="shared" ref="N5378:N5441" si="252">1-(1-M5378)^(1/12)</f>
        <v>3.3960531989175591E-3</v>
      </c>
      <c r="O5378">
        <f>VLOOKUP(K5378,RatingLookup!$A$2:$C$8,3,FALSE)</f>
        <v>0.6</v>
      </c>
      <c r="P5378">
        <f t="shared" ref="P5378:P5441" si="253">L5378*N5378*O5378</f>
        <v>2.9466398948920025</v>
      </c>
      <c r="Q5378" t="str">
        <f t="shared" ref="Q5378:Q5441" ca="1" si="254">IF(RAND()&lt;N5378,"Yes","No")</f>
        <v>No</v>
      </c>
    </row>
    <row r="5379" spans="1:17" x14ac:dyDescent="0.45">
      <c r="A5379" t="s">
        <v>215</v>
      </c>
      <c r="B5379" t="s">
        <v>216</v>
      </c>
      <c r="C5379" t="s">
        <v>43</v>
      </c>
      <c r="D5379" t="s">
        <v>188</v>
      </c>
      <c r="E5379" t="s">
        <v>21</v>
      </c>
      <c r="F5379" s="1">
        <v>44958</v>
      </c>
      <c r="G5379">
        <v>2</v>
      </c>
      <c r="H5379">
        <v>82.218999999999994</v>
      </c>
      <c r="I5379">
        <v>16.739999999999998</v>
      </c>
      <c r="J5379">
        <v>77.900000000000006</v>
      </c>
      <c r="K5379" t="s">
        <v>31</v>
      </c>
      <c r="L5379">
        <v>1663.59</v>
      </c>
      <c r="M5379">
        <f>VLOOKUP(K5379,RatingLookup!$A$2:$C$8,2,FALSE)</f>
        <v>0.04</v>
      </c>
      <c r="N5379">
        <f t="shared" si="252"/>
        <v>3.3960531989175591E-3</v>
      </c>
      <c r="O5379">
        <f>VLOOKUP(K5379,RatingLookup!$A$2:$C$8,3,FALSE)</f>
        <v>0.6</v>
      </c>
      <c r="P5379">
        <f t="shared" si="253"/>
        <v>3.3897840847123568</v>
      </c>
      <c r="Q5379" t="str">
        <f t="shared" ca="1" si="254"/>
        <v>No</v>
      </c>
    </row>
    <row r="5380" spans="1:17" x14ac:dyDescent="0.45">
      <c r="A5380" t="s">
        <v>215</v>
      </c>
      <c r="B5380" t="s">
        <v>216</v>
      </c>
      <c r="C5380" t="s">
        <v>43</v>
      </c>
      <c r="D5380" t="s">
        <v>188</v>
      </c>
      <c r="E5380" t="s">
        <v>21</v>
      </c>
      <c r="F5380" s="1">
        <v>44986</v>
      </c>
      <c r="G5380">
        <v>3.13</v>
      </c>
      <c r="H5380">
        <v>81.601500000000001</v>
      </c>
      <c r="I5380">
        <v>25.84</v>
      </c>
      <c r="J5380">
        <v>68.569999999999993</v>
      </c>
      <c r="K5380" t="s">
        <v>30</v>
      </c>
      <c r="L5380">
        <v>1610.52</v>
      </c>
      <c r="M5380">
        <f>VLOOKUP(K5380,RatingLookup!$A$2:$C$8,2,FALSE)</f>
        <v>1.4999999999999999E-2</v>
      </c>
      <c r="N5380">
        <f t="shared" si="252"/>
        <v>1.2586770182638762E-3</v>
      </c>
      <c r="O5380">
        <f>VLOOKUP(K5380,RatingLookup!$A$2:$C$8,3,FALSE)</f>
        <v>0.5</v>
      </c>
      <c r="P5380">
        <f t="shared" si="253"/>
        <v>1.0135622557271691</v>
      </c>
      <c r="Q5380" t="str">
        <f t="shared" ca="1" si="254"/>
        <v>No</v>
      </c>
    </row>
    <row r="5381" spans="1:17" x14ac:dyDescent="0.45">
      <c r="A5381" t="s">
        <v>215</v>
      </c>
      <c r="B5381" t="s">
        <v>216</v>
      </c>
      <c r="C5381" t="s">
        <v>43</v>
      </c>
      <c r="D5381" t="s">
        <v>188</v>
      </c>
      <c r="E5381" t="s">
        <v>21</v>
      </c>
      <c r="F5381" s="1">
        <v>45017</v>
      </c>
      <c r="G5381">
        <v>2.16</v>
      </c>
      <c r="H5381">
        <v>82.452200000000005</v>
      </c>
      <c r="I5381">
        <v>11.61</v>
      </c>
      <c r="J5381">
        <v>79.52</v>
      </c>
      <c r="K5381" t="s">
        <v>30</v>
      </c>
      <c r="L5381">
        <v>1669.99</v>
      </c>
      <c r="M5381">
        <f>VLOOKUP(K5381,RatingLookup!$A$2:$C$8,2,FALSE)</f>
        <v>1.4999999999999999E-2</v>
      </c>
      <c r="N5381">
        <f t="shared" si="252"/>
        <v>1.2586770182638762E-3</v>
      </c>
      <c r="O5381">
        <f>VLOOKUP(K5381,RatingLookup!$A$2:$C$8,3,FALSE)</f>
        <v>0.5</v>
      </c>
      <c r="P5381">
        <f t="shared" si="253"/>
        <v>1.0509890168652454</v>
      </c>
      <c r="Q5381" t="str">
        <f t="shared" ca="1" si="254"/>
        <v>No</v>
      </c>
    </row>
    <row r="5382" spans="1:17" x14ac:dyDescent="0.45">
      <c r="A5382" t="s">
        <v>215</v>
      </c>
      <c r="B5382" t="s">
        <v>216</v>
      </c>
      <c r="C5382" t="s">
        <v>43</v>
      </c>
      <c r="D5382" t="s">
        <v>188</v>
      </c>
      <c r="E5382" t="s">
        <v>21</v>
      </c>
      <c r="F5382" s="1">
        <v>45047</v>
      </c>
      <c r="G5382">
        <v>1.71</v>
      </c>
      <c r="H5382">
        <v>80.685299999999998</v>
      </c>
      <c r="I5382">
        <v>19.77</v>
      </c>
      <c r="J5382">
        <v>70.42</v>
      </c>
      <c r="K5382" t="s">
        <v>30</v>
      </c>
      <c r="L5382">
        <v>1552.37</v>
      </c>
      <c r="M5382">
        <f>VLOOKUP(K5382,RatingLookup!$A$2:$C$8,2,FALSE)</f>
        <v>1.4999999999999999E-2</v>
      </c>
      <c r="N5382">
        <f t="shared" si="252"/>
        <v>1.2586770182638762E-3</v>
      </c>
      <c r="O5382">
        <f>VLOOKUP(K5382,RatingLookup!$A$2:$C$8,3,FALSE)</f>
        <v>0.5</v>
      </c>
      <c r="P5382">
        <f t="shared" si="253"/>
        <v>0.97696622142114675</v>
      </c>
      <c r="Q5382" t="str">
        <f t="shared" ca="1" si="254"/>
        <v>No</v>
      </c>
    </row>
    <row r="5383" spans="1:17" x14ac:dyDescent="0.45">
      <c r="A5383" t="s">
        <v>215</v>
      </c>
      <c r="B5383" t="s">
        <v>216</v>
      </c>
      <c r="C5383" t="s">
        <v>43</v>
      </c>
      <c r="D5383" t="s">
        <v>188</v>
      </c>
      <c r="E5383" t="s">
        <v>21</v>
      </c>
      <c r="F5383" s="1">
        <v>45078</v>
      </c>
      <c r="G5383">
        <v>2.4700000000000002</v>
      </c>
      <c r="H5383">
        <v>82.985799999999998</v>
      </c>
      <c r="I5383">
        <v>11.08</v>
      </c>
      <c r="J5383">
        <v>77.430000000000007</v>
      </c>
      <c r="K5383" t="s">
        <v>30</v>
      </c>
      <c r="L5383">
        <v>1661.37</v>
      </c>
      <c r="M5383">
        <f>VLOOKUP(K5383,RatingLookup!$A$2:$C$8,2,FALSE)</f>
        <v>1.4999999999999999E-2</v>
      </c>
      <c r="N5383">
        <f t="shared" si="252"/>
        <v>1.2586770182638762E-3</v>
      </c>
      <c r="O5383">
        <f>VLOOKUP(K5383,RatingLookup!$A$2:$C$8,3,FALSE)</f>
        <v>0.5</v>
      </c>
      <c r="P5383">
        <f t="shared" si="253"/>
        <v>1.0455641189165279</v>
      </c>
      <c r="Q5383" t="str">
        <f t="shared" ca="1" si="254"/>
        <v>No</v>
      </c>
    </row>
    <row r="5384" spans="1:17" x14ac:dyDescent="0.45">
      <c r="A5384" t="s">
        <v>215</v>
      </c>
      <c r="B5384" t="s">
        <v>216</v>
      </c>
      <c r="C5384" t="s">
        <v>43</v>
      </c>
      <c r="D5384" t="s">
        <v>188</v>
      </c>
      <c r="E5384" t="s">
        <v>21</v>
      </c>
      <c r="F5384" s="1">
        <v>45108</v>
      </c>
      <c r="G5384">
        <v>2.64</v>
      </c>
      <c r="H5384">
        <v>85.273399999999995</v>
      </c>
      <c r="I5384">
        <v>27.22</v>
      </c>
      <c r="J5384">
        <v>83.07</v>
      </c>
      <c r="K5384" t="s">
        <v>30</v>
      </c>
      <c r="L5384">
        <v>1681.78</v>
      </c>
      <c r="M5384">
        <f>VLOOKUP(K5384,RatingLookup!$A$2:$C$8,2,FALSE)</f>
        <v>1.4999999999999999E-2</v>
      </c>
      <c r="N5384">
        <f t="shared" si="252"/>
        <v>1.2586770182638762E-3</v>
      </c>
      <c r="O5384">
        <f>VLOOKUP(K5384,RatingLookup!$A$2:$C$8,3,FALSE)</f>
        <v>0.5</v>
      </c>
      <c r="P5384">
        <f t="shared" si="253"/>
        <v>1.0584089178879108</v>
      </c>
      <c r="Q5384" t="str">
        <f t="shared" ca="1" si="254"/>
        <v>No</v>
      </c>
    </row>
    <row r="5385" spans="1:17" x14ac:dyDescent="0.45">
      <c r="A5385" t="s">
        <v>215</v>
      </c>
      <c r="B5385" t="s">
        <v>216</v>
      </c>
      <c r="C5385" t="s">
        <v>43</v>
      </c>
      <c r="D5385" t="s">
        <v>188</v>
      </c>
      <c r="E5385" t="s">
        <v>21</v>
      </c>
      <c r="F5385" s="1">
        <v>45139</v>
      </c>
      <c r="G5385">
        <v>1.0900000000000001</v>
      </c>
      <c r="H5385">
        <v>83.409400000000005</v>
      </c>
      <c r="I5385">
        <v>16.36</v>
      </c>
      <c r="J5385">
        <v>92.65</v>
      </c>
      <c r="K5385" t="s">
        <v>30</v>
      </c>
      <c r="L5385">
        <v>1549.5</v>
      </c>
      <c r="M5385">
        <f>VLOOKUP(K5385,RatingLookup!$A$2:$C$8,2,FALSE)</f>
        <v>1.4999999999999999E-2</v>
      </c>
      <c r="N5385">
        <f t="shared" si="252"/>
        <v>1.2586770182638762E-3</v>
      </c>
      <c r="O5385">
        <f>VLOOKUP(K5385,RatingLookup!$A$2:$C$8,3,FALSE)</f>
        <v>0.5</v>
      </c>
      <c r="P5385">
        <f t="shared" si="253"/>
        <v>0.97516001989993817</v>
      </c>
      <c r="Q5385" t="str">
        <f t="shared" ca="1" si="254"/>
        <v>No</v>
      </c>
    </row>
    <row r="5386" spans="1:17" x14ac:dyDescent="0.45">
      <c r="A5386" t="s">
        <v>215</v>
      </c>
      <c r="B5386" t="s">
        <v>216</v>
      </c>
      <c r="C5386" t="s">
        <v>43</v>
      </c>
      <c r="D5386" t="s">
        <v>188</v>
      </c>
      <c r="E5386" t="s">
        <v>21</v>
      </c>
      <c r="F5386" s="1">
        <v>45170</v>
      </c>
      <c r="G5386">
        <v>0.54</v>
      </c>
      <c r="H5386">
        <v>84.007300000000001</v>
      </c>
      <c r="I5386">
        <v>27.36</v>
      </c>
      <c r="J5386">
        <v>90.66</v>
      </c>
      <c r="K5386" t="s">
        <v>30</v>
      </c>
      <c r="L5386">
        <v>1617.23</v>
      </c>
      <c r="M5386">
        <f>VLOOKUP(K5386,RatingLookup!$A$2:$C$8,2,FALSE)</f>
        <v>1.4999999999999999E-2</v>
      </c>
      <c r="N5386">
        <f t="shared" si="252"/>
        <v>1.2586770182638762E-3</v>
      </c>
      <c r="O5386">
        <f>VLOOKUP(K5386,RatingLookup!$A$2:$C$8,3,FALSE)</f>
        <v>0.5</v>
      </c>
      <c r="P5386">
        <f t="shared" si="253"/>
        <v>1.0177851171234442</v>
      </c>
      <c r="Q5386" t="str">
        <f t="shared" ca="1" si="254"/>
        <v>No</v>
      </c>
    </row>
    <row r="5387" spans="1:17" x14ac:dyDescent="0.45">
      <c r="A5387" t="s">
        <v>215</v>
      </c>
      <c r="B5387" t="s">
        <v>216</v>
      </c>
      <c r="C5387" t="s">
        <v>43</v>
      </c>
      <c r="D5387" t="s">
        <v>188</v>
      </c>
      <c r="E5387" t="s">
        <v>21</v>
      </c>
      <c r="F5387" s="1">
        <v>45200</v>
      </c>
      <c r="G5387">
        <v>1.59</v>
      </c>
      <c r="H5387">
        <v>81.515299999999996</v>
      </c>
      <c r="I5387">
        <v>14.67</v>
      </c>
      <c r="J5387">
        <v>87.95</v>
      </c>
      <c r="K5387" t="s">
        <v>30</v>
      </c>
      <c r="L5387">
        <v>1547.24</v>
      </c>
      <c r="M5387">
        <f>VLOOKUP(K5387,RatingLookup!$A$2:$C$8,2,FALSE)</f>
        <v>1.4999999999999999E-2</v>
      </c>
      <c r="N5387">
        <f t="shared" si="252"/>
        <v>1.2586770182638762E-3</v>
      </c>
      <c r="O5387">
        <f>VLOOKUP(K5387,RatingLookup!$A$2:$C$8,3,FALSE)</f>
        <v>0.5</v>
      </c>
      <c r="P5387">
        <f t="shared" si="253"/>
        <v>0.97373771486929994</v>
      </c>
      <c r="Q5387" t="str">
        <f t="shared" ca="1" si="254"/>
        <v>No</v>
      </c>
    </row>
    <row r="5388" spans="1:17" x14ac:dyDescent="0.45">
      <c r="A5388" t="s">
        <v>215</v>
      </c>
      <c r="B5388" t="s">
        <v>216</v>
      </c>
      <c r="C5388" t="s">
        <v>43</v>
      </c>
      <c r="D5388" t="s">
        <v>188</v>
      </c>
      <c r="E5388" t="s">
        <v>21</v>
      </c>
      <c r="F5388" s="1">
        <v>45231</v>
      </c>
      <c r="G5388">
        <v>1.01</v>
      </c>
      <c r="H5388">
        <v>85.593599999999995</v>
      </c>
      <c r="I5388">
        <v>16.12</v>
      </c>
      <c r="J5388">
        <v>85.08</v>
      </c>
      <c r="K5388" t="s">
        <v>30</v>
      </c>
      <c r="L5388">
        <v>1577.12</v>
      </c>
      <c r="M5388">
        <f>VLOOKUP(K5388,RatingLookup!$A$2:$C$8,2,FALSE)</f>
        <v>1.4999999999999999E-2</v>
      </c>
      <c r="N5388">
        <f t="shared" si="252"/>
        <v>1.2586770182638762E-3</v>
      </c>
      <c r="O5388">
        <f>VLOOKUP(K5388,RatingLookup!$A$2:$C$8,3,FALSE)</f>
        <v>0.5</v>
      </c>
      <c r="P5388">
        <f t="shared" si="253"/>
        <v>0.99254234952216214</v>
      </c>
      <c r="Q5388" t="str">
        <f t="shared" ca="1" si="254"/>
        <v>No</v>
      </c>
    </row>
    <row r="5389" spans="1:17" x14ac:dyDescent="0.45">
      <c r="A5389" t="s">
        <v>215</v>
      </c>
      <c r="B5389" t="s">
        <v>216</v>
      </c>
      <c r="C5389" t="s">
        <v>43</v>
      </c>
      <c r="D5389" t="s">
        <v>188</v>
      </c>
      <c r="E5389" t="s">
        <v>21</v>
      </c>
      <c r="F5389" s="1">
        <v>45261</v>
      </c>
      <c r="G5389">
        <v>1.49</v>
      </c>
      <c r="H5389">
        <v>82.477099999999993</v>
      </c>
      <c r="I5389">
        <v>7.7</v>
      </c>
      <c r="J5389">
        <v>67.92</v>
      </c>
      <c r="K5389" t="s">
        <v>30</v>
      </c>
      <c r="L5389">
        <v>1523.54</v>
      </c>
      <c r="M5389">
        <f>VLOOKUP(K5389,RatingLookup!$A$2:$C$8,2,FALSE)</f>
        <v>1.4999999999999999E-2</v>
      </c>
      <c r="N5389">
        <f t="shared" si="252"/>
        <v>1.2586770182638762E-3</v>
      </c>
      <c r="O5389">
        <f>VLOOKUP(K5389,RatingLookup!$A$2:$C$8,3,FALSE)</f>
        <v>0.5</v>
      </c>
      <c r="P5389">
        <f t="shared" si="253"/>
        <v>0.95882239220287302</v>
      </c>
      <c r="Q5389" t="str">
        <f t="shared" ca="1" si="254"/>
        <v>No</v>
      </c>
    </row>
    <row r="5390" spans="1:17" x14ac:dyDescent="0.45">
      <c r="A5390" t="s">
        <v>215</v>
      </c>
      <c r="B5390" t="s">
        <v>216</v>
      </c>
      <c r="C5390" t="s">
        <v>43</v>
      </c>
      <c r="D5390" t="s">
        <v>188</v>
      </c>
      <c r="E5390" t="s">
        <v>21</v>
      </c>
      <c r="F5390" s="1">
        <v>45292</v>
      </c>
      <c r="G5390">
        <v>2.16</v>
      </c>
      <c r="H5390">
        <v>86.180199999999999</v>
      </c>
      <c r="I5390">
        <v>16</v>
      </c>
      <c r="J5390">
        <v>84.28</v>
      </c>
      <c r="K5390" t="s">
        <v>30</v>
      </c>
      <c r="L5390">
        <v>1567.73</v>
      </c>
      <c r="M5390">
        <f>VLOOKUP(K5390,RatingLookup!$A$2:$C$8,2,FALSE)</f>
        <v>1.4999999999999999E-2</v>
      </c>
      <c r="N5390">
        <f t="shared" si="252"/>
        <v>1.2586770182638762E-3</v>
      </c>
      <c r="O5390">
        <f>VLOOKUP(K5390,RatingLookup!$A$2:$C$8,3,FALSE)</f>
        <v>0.5</v>
      </c>
      <c r="P5390">
        <f t="shared" si="253"/>
        <v>0.98663286092141333</v>
      </c>
      <c r="Q5390" t="str">
        <f t="shared" ca="1" si="254"/>
        <v>No</v>
      </c>
    </row>
    <row r="5391" spans="1:17" x14ac:dyDescent="0.45">
      <c r="A5391" t="s">
        <v>215</v>
      </c>
      <c r="B5391" t="s">
        <v>216</v>
      </c>
      <c r="C5391" t="s">
        <v>43</v>
      </c>
      <c r="D5391" t="s">
        <v>188</v>
      </c>
      <c r="E5391" t="s">
        <v>21</v>
      </c>
      <c r="F5391" s="1">
        <v>45323</v>
      </c>
      <c r="G5391">
        <v>1.67</v>
      </c>
      <c r="H5391">
        <v>84.483999999999995</v>
      </c>
      <c r="I5391">
        <v>20.91</v>
      </c>
      <c r="J5391">
        <v>72.400000000000006</v>
      </c>
      <c r="K5391" t="s">
        <v>30</v>
      </c>
      <c r="L5391">
        <v>1771.18</v>
      </c>
      <c r="M5391">
        <f>VLOOKUP(K5391,RatingLookup!$A$2:$C$8,2,FALSE)</f>
        <v>1.4999999999999999E-2</v>
      </c>
      <c r="N5391">
        <f t="shared" si="252"/>
        <v>1.2586770182638762E-3</v>
      </c>
      <c r="O5391">
        <f>VLOOKUP(K5391,RatingLookup!$A$2:$C$8,3,FALSE)</f>
        <v>0.5</v>
      </c>
      <c r="P5391">
        <f t="shared" si="253"/>
        <v>1.1146717806043063</v>
      </c>
      <c r="Q5391" t="str">
        <f t="shared" ca="1" si="254"/>
        <v>No</v>
      </c>
    </row>
    <row r="5392" spans="1:17" x14ac:dyDescent="0.45">
      <c r="A5392" t="s">
        <v>215</v>
      </c>
      <c r="B5392" t="s">
        <v>216</v>
      </c>
      <c r="C5392" t="s">
        <v>43</v>
      </c>
      <c r="D5392" t="s">
        <v>188</v>
      </c>
      <c r="E5392" t="s">
        <v>21</v>
      </c>
      <c r="F5392" s="1">
        <v>45352</v>
      </c>
      <c r="G5392">
        <v>1.86</v>
      </c>
      <c r="H5392">
        <v>88.8309</v>
      </c>
      <c r="I5392">
        <v>22.62</v>
      </c>
      <c r="J5392">
        <v>66.430000000000007</v>
      </c>
      <c r="K5392" t="s">
        <v>30</v>
      </c>
      <c r="L5392">
        <v>1631.39</v>
      </c>
      <c r="M5392">
        <f>VLOOKUP(K5392,RatingLookup!$A$2:$C$8,2,FALSE)</f>
        <v>1.4999999999999999E-2</v>
      </c>
      <c r="N5392">
        <f t="shared" si="252"/>
        <v>1.2586770182638762E-3</v>
      </c>
      <c r="O5392">
        <f>VLOOKUP(K5392,RatingLookup!$A$2:$C$8,3,FALSE)</f>
        <v>0.5</v>
      </c>
      <c r="P5392">
        <f t="shared" si="253"/>
        <v>1.0266965504127525</v>
      </c>
      <c r="Q5392" t="str">
        <f t="shared" ca="1" si="254"/>
        <v>No</v>
      </c>
    </row>
    <row r="5393" spans="1:17" x14ac:dyDescent="0.45">
      <c r="A5393" t="s">
        <v>215</v>
      </c>
      <c r="B5393" t="s">
        <v>216</v>
      </c>
      <c r="C5393" t="s">
        <v>43</v>
      </c>
      <c r="D5393" t="s">
        <v>188</v>
      </c>
      <c r="E5393" t="s">
        <v>21</v>
      </c>
      <c r="F5393" s="1">
        <v>45383</v>
      </c>
      <c r="G5393">
        <v>1.29</v>
      </c>
      <c r="H5393">
        <v>81.816999999999993</v>
      </c>
      <c r="I5393">
        <v>24.03</v>
      </c>
      <c r="J5393">
        <v>73.849999999999994</v>
      </c>
      <c r="K5393" t="s">
        <v>30</v>
      </c>
      <c r="L5393">
        <v>1543.04</v>
      </c>
      <c r="M5393">
        <f>VLOOKUP(K5393,RatingLookup!$A$2:$C$8,2,FALSE)</f>
        <v>1.4999999999999999E-2</v>
      </c>
      <c r="N5393">
        <f t="shared" si="252"/>
        <v>1.2586770182638762E-3</v>
      </c>
      <c r="O5393">
        <f>VLOOKUP(K5393,RatingLookup!$A$2:$C$8,3,FALSE)</f>
        <v>0.5</v>
      </c>
      <c r="P5393">
        <f t="shared" si="253"/>
        <v>0.97109449313094576</v>
      </c>
      <c r="Q5393" t="str">
        <f t="shared" ca="1" si="254"/>
        <v>No</v>
      </c>
    </row>
    <row r="5394" spans="1:17" x14ac:dyDescent="0.45">
      <c r="A5394" t="s">
        <v>215</v>
      </c>
      <c r="B5394" t="s">
        <v>216</v>
      </c>
      <c r="C5394" t="s">
        <v>43</v>
      </c>
      <c r="D5394" t="s">
        <v>188</v>
      </c>
      <c r="E5394" t="s">
        <v>21</v>
      </c>
      <c r="F5394" s="1">
        <v>45413</v>
      </c>
      <c r="G5394">
        <v>1.98</v>
      </c>
      <c r="H5394">
        <v>80.686099999999996</v>
      </c>
      <c r="I5394">
        <v>17.940000000000001</v>
      </c>
      <c r="J5394">
        <v>86.72</v>
      </c>
      <c r="K5394" t="s">
        <v>30</v>
      </c>
      <c r="L5394">
        <v>1570.39</v>
      </c>
      <c r="M5394">
        <f>VLOOKUP(K5394,RatingLookup!$A$2:$C$8,2,FALSE)</f>
        <v>1.4999999999999999E-2</v>
      </c>
      <c r="N5394">
        <f t="shared" si="252"/>
        <v>1.2586770182638762E-3</v>
      </c>
      <c r="O5394">
        <f>VLOOKUP(K5394,RatingLookup!$A$2:$C$8,3,FALSE)</f>
        <v>0.5</v>
      </c>
      <c r="P5394">
        <f t="shared" si="253"/>
        <v>0.98830690135570431</v>
      </c>
      <c r="Q5394" t="str">
        <f t="shared" ca="1" si="254"/>
        <v>No</v>
      </c>
    </row>
    <row r="5395" spans="1:17" x14ac:dyDescent="0.45">
      <c r="A5395" t="s">
        <v>215</v>
      </c>
      <c r="B5395" t="s">
        <v>216</v>
      </c>
      <c r="C5395" t="s">
        <v>43</v>
      </c>
      <c r="D5395" t="s">
        <v>188</v>
      </c>
      <c r="E5395" t="s">
        <v>21</v>
      </c>
      <c r="F5395" s="1">
        <v>45444</v>
      </c>
      <c r="G5395">
        <v>1.78</v>
      </c>
      <c r="H5395">
        <v>81.714500000000001</v>
      </c>
      <c r="I5395">
        <v>15.34</v>
      </c>
      <c r="J5395">
        <v>72.72</v>
      </c>
      <c r="K5395" t="s">
        <v>30</v>
      </c>
      <c r="L5395">
        <v>1564.39</v>
      </c>
      <c r="M5395">
        <f>VLOOKUP(K5395,RatingLookup!$A$2:$C$8,2,FALSE)</f>
        <v>1.4999999999999999E-2</v>
      </c>
      <c r="N5395">
        <f t="shared" si="252"/>
        <v>1.2586770182638762E-3</v>
      </c>
      <c r="O5395">
        <f>VLOOKUP(K5395,RatingLookup!$A$2:$C$8,3,FALSE)</f>
        <v>0.5</v>
      </c>
      <c r="P5395">
        <f t="shared" si="253"/>
        <v>0.98453087030091269</v>
      </c>
      <c r="Q5395" t="str">
        <f t="shared" ca="1" si="254"/>
        <v>No</v>
      </c>
    </row>
    <row r="5396" spans="1:17" x14ac:dyDescent="0.45">
      <c r="A5396" t="s">
        <v>215</v>
      </c>
      <c r="B5396" t="s">
        <v>216</v>
      </c>
      <c r="C5396" t="s">
        <v>43</v>
      </c>
      <c r="D5396" t="s">
        <v>188</v>
      </c>
      <c r="E5396" t="s">
        <v>21</v>
      </c>
      <c r="F5396" s="1">
        <v>45474</v>
      </c>
      <c r="G5396">
        <v>1.92</v>
      </c>
      <c r="H5396">
        <v>85.058000000000007</v>
      </c>
      <c r="I5396">
        <v>13.32</v>
      </c>
      <c r="J5396">
        <v>66.87</v>
      </c>
      <c r="K5396" t="s">
        <v>31</v>
      </c>
      <c r="L5396">
        <v>1387</v>
      </c>
      <c r="M5396">
        <f>VLOOKUP(K5396,RatingLookup!$A$2:$C$8,2,FALSE)</f>
        <v>0.04</v>
      </c>
      <c r="N5396">
        <f t="shared" si="252"/>
        <v>3.3960531989175591E-3</v>
      </c>
      <c r="O5396">
        <f>VLOOKUP(K5396,RatingLookup!$A$2:$C$8,3,FALSE)</f>
        <v>0.6</v>
      </c>
      <c r="P5396">
        <f t="shared" si="253"/>
        <v>2.8261954721391929</v>
      </c>
      <c r="Q5396" t="str">
        <f t="shared" ca="1" si="254"/>
        <v>No</v>
      </c>
    </row>
    <row r="5397" spans="1:17" x14ac:dyDescent="0.45">
      <c r="A5397" t="s">
        <v>215</v>
      </c>
      <c r="B5397" t="s">
        <v>216</v>
      </c>
      <c r="C5397" t="s">
        <v>43</v>
      </c>
      <c r="D5397" t="s">
        <v>188</v>
      </c>
      <c r="E5397" t="s">
        <v>21</v>
      </c>
      <c r="F5397" s="1">
        <v>45505</v>
      </c>
      <c r="G5397">
        <v>1.9</v>
      </c>
      <c r="H5397">
        <v>80.990300000000005</v>
      </c>
      <c r="I5397">
        <v>15.88</v>
      </c>
      <c r="J5397">
        <v>68.17</v>
      </c>
      <c r="K5397" t="s">
        <v>31</v>
      </c>
      <c r="L5397">
        <v>1473.71</v>
      </c>
      <c r="M5397">
        <f>VLOOKUP(K5397,RatingLookup!$A$2:$C$8,2,FALSE)</f>
        <v>0.04</v>
      </c>
      <c r="N5397">
        <f t="shared" si="252"/>
        <v>3.3960531989175591E-3</v>
      </c>
      <c r="O5397">
        <f>VLOOKUP(K5397,RatingLookup!$A$2:$C$8,3,FALSE)</f>
        <v>0.6</v>
      </c>
      <c r="P5397">
        <f t="shared" si="253"/>
        <v>3.0028785358660777</v>
      </c>
      <c r="Q5397" t="str">
        <f t="shared" ca="1" si="254"/>
        <v>No</v>
      </c>
    </row>
    <row r="5398" spans="1:17" x14ac:dyDescent="0.45">
      <c r="A5398" t="s">
        <v>215</v>
      </c>
      <c r="B5398" t="s">
        <v>216</v>
      </c>
      <c r="C5398" t="s">
        <v>43</v>
      </c>
      <c r="D5398" t="s">
        <v>188</v>
      </c>
      <c r="E5398" t="s">
        <v>21</v>
      </c>
      <c r="F5398" s="1">
        <v>45536</v>
      </c>
      <c r="G5398">
        <v>0.93</v>
      </c>
      <c r="H5398">
        <v>80.279600000000002</v>
      </c>
      <c r="I5398">
        <v>5.31</v>
      </c>
      <c r="J5398">
        <v>87.13</v>
      </c>
      <c r="K5398" t="s">
        <v>31</v>
      </c>
      <c r="L5398">
        <v>1467.95</v>
      </c>
      <c r="M5398">
        <f>VLOOKUP(K5398,RatingLookup!$A$2:$C$8,2,FALSE)</f>
        <v>0.04</v>
      </c>
      <c r="N5398">
        <f t="shared" si="252"/>
        <v>3.3960531989175591E-3</v>
      </c>
      <c r="O5398">
        <f>VLOOKUP(K5398,RatingLookup!$A$2:$C$8,3,FALSE)</f>
        <v>0.6</v>
      </c>
      <c r="P5398">
        <f t="shared" si="253"/>
        <v>2.9911417760106187</v>
      </c>
      <c r="Q5398" t="str">
        <f t="shared" ca="1" si="254"/>
        <v>No</v>
      </c>
    </row>
    <row r="5399" spans="1:17" x14ac:dyDescent="0.45">
      <c r="A5399" t="s">
        <v>215</v>
      </c>
      <c r="B5399" t="s">
        <v>216</v>
      </c>
      <c r="C5399" t="s">
        <v>43</v>
      </c>
      <c r="D5399" t="s">
        <v>188</v>
      </c>
      <c r="E5399" t="s">
        <v>21</v>
      </c>
      <c r="F5399" s="1">
        <v>45566</v>
      </c>
      <c r="G5399">
        <v>1.59</v>
      </c>
      <c r="H5399">
        <v>80.745400000000004</v>
      </c>
      <c r="I5399">
        <v>15.41</v>
      </c>
      <c r="J5399">
        <v>85.97</v>
      </c>
      <c r="K5399" t="s">
        <v>31</v>
      </c>
      <c r="L5399">
        <v>1526.24</v>
      </c>
      <c r="M5399">
        <f>VLOOKUP(K5399,RatingLookup!$A$2:$C$8,2,FALSE)</f>
        <v>0.04</v>
      </c>
      <c r="N5399">
        <f t="shared" si="252"/>
        <v>3.3960531989175591E-3</v>
      </c>
      <c r="O5399">
        <f>VLOOKUP(K5399,RatingLookup!$A$2:$C$8,3,FALSE)</f>
        <v>0.6</v>
      </c>
      <c r="P5399">
        <f t="shared" si="253"/>
        <v>3.1099153405895614</v>
      </c>
      <c r="Q5399" t="str">
        <f t="shared" ca="1" si="254"/>
        <v>No</v>
      </c>
    </row>
    <row r="5400" spans="1:17" x14ac:dyDescent="0.45">
      <c r="A5400" t="s">
        <v>215</v>
      </c>
      <c r="B5400" t="s">
        <v>216</v>
      </c>
      <c r="C5400" t="s">
        <v>43</v>
      </c>
      <c r="D5400" t="s">
        <v>188</v>
      </c>
      <c r="E5400" t="s">
        <v>21</v>
      </c>
      <c r="F5400" s="1">
        <v>45597</v>
      </c>
      <c r="G5400">
        <v>0.16</v>
      </c>
      <c r="H5400">
        <v>82.964299999999994</v>
      </c>
      <c r="I5400">
        <v>25.67</v>
      </c>
      <c r="J5400">
        <v>95.16</v>
      </c>
      <c r="K5400" t="s">
        <v>31</v>
      </c>
      <c r="L5400">
        <v>1350.03</v>
      </c>
      <c r="M5400">
        <f>VLOOKUP(K5400,RatingLookup!$A$2:$C$8,2,FALSE)</f>
        <v>0.04</v>
      </c>
      <c r="N5400">
        <f t="shared" si="252"/>
        <v>3.3960531989175591E-3</v>
      </c>
      <c r="O5400">
        <f>VLOOKUP(K5400,RatingLookup!$A$2:$C$8,3,FALSE)</f>
        <v>0.6</v>
      </c>
      <c r="P5400">
        <f t="shared" si="253"/>
        <v>2.7508642200808033</v>
      </c>
      <c r="Q5400" t="str">
        <f t="shared" ca="1" si="254"/>
        <v>No</v>
      </c>
    </row>
    <row r="5401" spans="1:17" x14ac:dyDescent="0.45">
      <c r="A5401" t="s">
        <v>215</v>
      </c>
      <c r="B5401" t="s">
        <v>216</v>
      </c>
      <c r="C5401" t="s">
        <v>43</v>
      </c>
      <c r="D5401" t="s">
        <v>188</v>
      </c>
      <c r="E5401" t="s">
        <v>21</v>
      </c>
      <c r="F5401" s="1">
        <v>45627</v>
      </c>
      <c r="G5401">
        <v>1.78</v>
      </c>
      <c r="H5401">
        <v>83.531899999999993</v>
      </c>
      <c r="I5401">
        <v>17.72</v>
      </c>
      <c r="J5401">
        <v>69.44</v>
      </c>
      <c r="K5401" t="s">
        <v>31</v>
      </c>
      <c r="L5401">
        <v>1424.52</v>
      </c>
      <c r="M5401">
        <f>VLOOKUP(K5401,RatingLookup!$A$2:$C$8,2,FALSE)</f>
        <v>0.04</v>
      </c>
      <c r="N5401">
        <f t="shared" si="252"/>
        <v>3.3960531989175591E-3</v>
      </c>
      <c r="O5401">
        <f>VLOOKUP(K5401,RatingLookup!$A$2:$C$8,3,FALSE)</f>
        <v>0.6</v>
      </c>
      <c r="P5401">
        <f t="shared" si="253"/>
        <v>2.9026474217532248</v>
      </c>
      <c r="Q5401" t="str">
        <f t="shared" ca="1" si="254"/>
        <v>No</v>
      </c>
    </row>
    <row r="5402" spans="1:17" x14ac:dyDescent="0.45">
      <c r="A5402" t="s">
        <v>217</v>
      </c>
      <c r="B5402" t="s">
        <v>218</v>
      </c>
      <c r="C5402" t="s">
        <v>43</v>
      </c>
      <c r="D5402" t="s">
        <v>188</v>
      </c>
      <c r="E5402" t="s">
        <v>21</v>
      </c>
      <c r="F5402" s="1">
        <v>43831</v>
      </c>
      <c r="G5402">
        <v>0.77</v>
      </c>
      <c r="H5402">
        <v>79.188199999999995</v>
      </c>
      <c r="I5402">
        <v>27.34</v>
      </c>
      <c r="J5402">
        <v>70.11</v>
      </c>
      <c r="K5402" t="s">
        <v>31</v>
      </c>
      <c r="L5402">
        <v>717.62</v>
      </c>
      <c r="M5402">
        <f>VLOOKUP(K5402,RatingLookup!$A$2:$C$8,2,FALSE)</f>
        <v>0.04</v>
      </c>
      <c r="N5402">
        <f t="shared" si="252"/>
        <v>3.3960531989175591E-3</v>
      </c>
      <c r="O5402">
        <f>VLOOKUP(K5402,RatingLookup!$A$2:$C$8,3,FALSE)</f>
        <v>0.6</v>
      </c>
      <c r="P5402">
        <f t="shared" si="253"/>
        <v>1.4622454179643312</v>
      </c>
      <c r="Q5402" t="str">
        <f t="shared" ca="1" si="254"/>
        <v>No</v>
      </c>
    </row>
    <row r="5403" spans="1:17" x14ac:dyDescent="0.45">
      <c r="A5403" t="s">
        <v>217</v>
      </c>
      <c r="B5403" t="s">
        <v>218</v>
      </c>
      <c r="C5403" t="s">
        <v>43</v>
      </c>
      <c r="D5403" t="s">
        <v>188</v>
      </c>
      <c r="E5403" t="s">
        <v>21</v>
      </c>
      <c r="F5403" s="1">
        <v>43862</v>
      </c>
      <c r="G5403">
        <v>1.98</v>
      </c>
      <c r="H5403">
        <v>82.575100000000006</v>
      </c>
      <c r="I5403">
        <v>13.77</v>
      </c>
      <c r="J5403">
        <v>70.42</v>
      </c>
      <c r="K5403" t="s">
        <v>31</v>
      </c>
      <c r="L5403">
        <v>791.4</v>
      </c>
      <c r="M5403">
        <f>VLOOKUP(K5403,RatingLookup!$A$2:$C$8,2,FALSE)</f>
        <v>0.04</v>
      </c>
      <c r="N5403">
        <f t="shared" si="252"/>
        <v>3.3960531989175591E-3</v>
      </c>
      <c r="O5403">
        <f>VLOOKUP(K5403,RatingLookup!$A$2:$C$8,3,FALSE)</f>
        <v>0.6</v>
      </c>
      <c r="P5403">
        <f t="shared" si="253"/>
        <v>1.6125819009740137</v>
      </c>
      <c r="Q5403" t="str">
        <f t="shared" ca="1" si="254"/>
        <v>No</v>
      </c>
    </row>
    <row r="5404" spans="1:17" x14ac:dyDescent="0.45">
      <c r="A5404" t="s">
        <v>217</v>
      </c>
      <c r="B5404" t="s">
        <v>218</v>
      </c>
      <c r="C5404" t="s">
        <v>43</v>
      </c>
      <c r="D5404" t="s">
        <v>188</v>
      </c>
      <c r="E5404" t="s">
        <v>21</v>
      </c>
      <c r="F5404" s="1">
        <v>43891</v>
      </c>
      <c r="G5404">
        <v>1.01</v>
      </c>
      <c r="H5404">
        <v>81.417400000000001</v>
      </c>
      <c r="I5404">
        <v>30.86</v>
      </c>
      <c r="J5404">
        <v>40.130000000000003</v>
      </c>
      <c r="K5404" t="s">
        <v>31</v>
      </c>
      <c r="L5404">
        <v>803.19</v>
      </c>
      <c r="M5404">
        <f>VLOOKUP(K5404,RatingLookup!$A$2:$C$8,2,FALSE)</f>
        <v>0.04</v>
      </c>
      <c r="N5404">
        <f t="shared" si="252"/>
        <v>3.3960531989175591E-3</v>
      </c>
      <c r="O5404">
        <f>VLOOKUP(K5404,RatingLookup!$A$2:$C$8,3,FALSE)</f>
        <v>0.6</v>
      </c>
      <c r="P5404">
        <f t="shared" si="253"/>
        <v>1.6366055813031566</v>
      </c>
      <c r="Q5404" t="str">
        <f t="shared" ca="1" si="254"/>
        <v>No</v>
      </c>
    </row>
    <row r="5405" spans="1:17" x14ac:dyDescent="0.45">
      <c r="A5405" t="s">
        <v>217</v>
      </c>
      <c r="B5405" t="s">
        <v>218</v>
      </c>
      <c r="C5405" t="s">
        <v>43</v>
      </c>
      <c r="D5405" t="s">
        <v>188</v>
      </c>
      <c r="E5405" t="s">
        <v>21</v>
      </c>
      <c r="F5405" s="1">
        <v>43922</v>
      </c>
      <c r="G5405">
        <v>1.82</v>
      </c>
      <c r="H5405">
        <v>83.226100000000002</v>
      </c>
      <c r="I5405">
        <v>20.77</v>
      </c>
      <c r="J5405">
        <v>70.989999999999995</v>
      </c>
      <c r="K5405" t="s">
        <v>31</v>
      </c>
      <c r="L5405">
        <v>694.29</v>
      </c>
      <c r="M5405">
        <f>VLOOKUP(K5405,RatingLookup!$A$2:$C$8,2,FALSE)</f>
        <v>0.04</v>
      </c>
      <c r="N5405">
        <f t="shared" si="252"/>
        <v>3.3960531989175591E-3</v>
      </c>
      <c r="O5405">
        <f>VLOOKUP(K5405,RatingLookup!$A$2:$C$8,3,FALSE)</f>
        <v>0.6</v>
      </c>
      <c r="P5405">
        <f t="shared" si="253"/>
        <v>1.4147074652858833</v>
      </c>
      <c r="Q5405" t="str">
        <f t="shared" ca="1" si="254"/>
        <v>No</v>
      </c>
    </row>
    <row r="5406" spans="1:17" x14ac:dyDescent="0.45">
      <c r="A5406" t="s">
        <v>217</v>
      </c>
      <c r="B5406" t="s">
        <v>218</v>
      </c>
      <c r="C5406" t="s">
        <v>43</v>
      </c>
      <c r="D5406" t="s">
        <v>188</v>
      </c>
      <c r="E5406" t="s">
        <v>21</v>
      </c>
      <c r="F5406" s="1">
        <v>43952</v>
      </c>
      <c r="G5406">
        <v>0.96</v>
      </c>
      <c r="H5406">
        <v>81.430099999999996</v>
      </c>
      <c r="I5406">
        <v>22.17</v>
      </c>
      <c r="J5406">
        <v>83.36</v>
      </c>
      <c r="K5406" t="s">
        <v>30</v>
      </c>
      <c r="L5406">
        <v>713.48</v>
      </c>
      <c r="M5406">
        <f>VLOOKUP(K5406,RatingLookup!$A$2:$C$8,2,FALSE)</f>
        <v>1.4999999999999999E-2</v>
      </c>
      <c r="N5406">
        <f t="shared" si="252"/>
        <v>1.2586770182638762E-3</v>
      </c>
      <c r="O5406">
        <f>VLOOKUP(K5406,RatingLookup!$A$2:$C$8,3,FALSE)</f>
        <v>0.5</v>
      </c>
      <c r="P5406">
        <f t="shared" si="253"/>
        <v>0.44902043949545523</v>
      </c>
      <c r="Q5406" t="str">
        <f t="shared" ca="1" si="254"/>
        <v>No</v>
      </c>
    </row>
    <row r="5407" spans="1:17" x14ac:dyDescent="0.45">
      <c r="A5407" t="s">
        <v>217</v>
      </c>
      <c r="B5407" t="s">
        <v>218</v>
      </c>
      <c r="C5407" t="s">
        <v>43</v>
      </c>
      <c r="D5407" t="s">
        <v>188</v>
      </c>
      <c r="E5407" t="s">
        <v>21</v>
      </c>
      <c r="F5407" s="1">
        <v>43983</v>
      </c>
      <c r="G5407">
        <v>2.35</v>
      </c>
      <c r="H5407">
        <v>81.799400000000006</v>
      </c>
      <c r="I5407">
        <v>16.239999999999998</v>
      </c>
      <c r="J5407">
        <v>70.349999999999994</v>
      </c>
      <c r="K5407" t="s">
        <v>30</v>
      </c>
      <c r="L5407">
        <v>784.89</v>
      </c>
      <c r="M5407">
        <f>VLOOKUP(K5407,RatingLookup!$A$2:$C$8,2,FALSE)</f>
        <v>1.4999999999999999E-2</v>
      </c>
      <c r="N5407">
        <f t="shared" si="252"/>
        <v>1.2586770182638762E-3</v>
      </c>
      <c r="O5407">
        <f>VLOOKUP(K5407,RatingLookup!$A$2:$C$8,3,FALSE)</f>
        <v>0.5</v>
      </c>
      <c r="P5407">
        <f t="shared" si="253"/>
        <v>0.49396150243256692</v>
      </c>
      <c r="Q5407" t="str">
        <f t="shared" ca="1" si="254"/>
        <v>No</v>
      </c>
    </row>
    <row r="5408" spans="1:17" x14ac:dyDescent="0.45">
      <c r="A5408" t="s">
        <v>217</v>
      </c>
      <c r="B5408" t="s">
        <v>218</v>
      </c>
      <c r="C5408" t="s">
        <v>43</v>
      </c>
      <c r="D5408" t="s">
        <v>188</v>
      </c>
      <c r="E5408" t="s">
        <v>21</v>
      </c>
      <c r="F5408" s="1">
        <v>44013</v>
      </c>
      <c r="G5408">
        <v>1.7</v>
      </c>
      <c r="H5408">
        <v>83.031899999999993</v>
      </c>
      <c r="I5408">
        <v>17.11</v>
      </c>
      <c r="J5408">
        <v>57.57</v>
      </c>
      <c r="K5408" t="s">
        <v>30</v>
      </c>
      <c r="L5408">
        <v>771.78</v>
      </c>
      <c r="M5408">
        <f>VLOOKUP(K5408,RatingLookup!$A$2:$C$8,2,FALSE)</f>
        <v>1.4999999999999999E-2</v>
      </c>
      <c r="N5408">
        <f t="shared" si="252"/>
        <v>1.2586770182638762E-3</v>
      </c>
      <c r="O5408">
        <f>VLOOKUP(K5408,RatingLookup!$A$2:$C$8,3,FALSE)</f>
        <v>0.5</v>
      </c>
      <c r="P5408">
        <f t="shared" si="253"/>
        <v>0.48571087457784717</v>
      </c>
      <c r="Q5408" t="str">
        <f t="shared" ca="1" si="254"/>
        <v>No</v>
      </c>
    </row>
    <row r="5409" spans="1:17" x14ac:dyDescent="0.45">
      <c r="A5409" t="s">
        <v>217</v>
      </c>
      <c r="B5409" t="s">
        <v>218</v>
      </c>
      <c r="C5409" t="s">
        <v>43</v>
      </c>
      <c r="D5409" t="s">
        <v>188</v>
      </c>
      <c r="E5409" t="s">
        <v>21</v>
      </c>
      <c r="F5409" s="1">
        <v>44044</v>
      </c>
      <c r="G5409">
        <v>1.45</v>
      </c>
      <c r="H5409">
        <v>82.901799999999994</v>
      </c>
      <c r="I5409">
        <v>15.14</v>
      </c>
      <c r="J5409">
        <v>73.52</v>
      </c>
      <c r="K5409" t="s">
        <v>30</v>
      </c>
      <c r="L5409">
        <v>764.92</v>
      </c>
      <c r="M5409">
        <f>VLOOKUP(K5409,RatingLookup!$A$2:$C$8,2,FALSE)</f>
        <v>1.4999999999999999E-2</v>
      </c>
      <c r="N5409">
        <f t="shared" si="252"/>
        <v>1.2586770182638762E-3</v>
      </c>
      <c r="O5409">
        <f>VLOOKUP(K5409,RatingLookup!$A$2:$C$8,3,FALSE)</f>
        <v>0.5</v>
      </c>
      <c r="P5409">
        <f t="shared" si="253"/>
        <v>0.48139361240520206</v>
      </c>
      <c r="Q5409" t="str">
        <f t="shared" ca="1" si="254"/>
        <v>No</v>
      </c>
    </row>
    <row r="5410" spans="1:17" x14ac:dyDescent="0.45">
      <c r="A5410" t="s">
        <v>217</v>
      </c>
      <c r="B5410" t="s">
        <v>218</v>
      </c>
      <c r="C5410" t="s">
        <v>43</v>
      </c>
      <c r="D5410" t="s">
        <v>188</v>
      </c>
      <c r="E5410" t="s">
        <v>21</v>
      </c>
      <c r="F5410" s="1">
        <v>44075</v>
      </c>
      <c r="G5410">
        <v>1.62</v>
      </c>
      <c r="H5410">
        <v>79.966399999999993</v>
      </c>
      <c r="I5410">
        <v>21.46</v>
      </c>
      <c r="J5410">
        <v>72.790000000000006</v>
      </c>
      <c r="K5410" t="s">
        <v>30</v>
      </c>
      <c r="L5410">
        <v>771.77</v>
      </c>
      <c r="M5410">
        <f>VLOOKUP(K5410,RatingLookup!$A$2:$C$8,2,FALSE)</f>
        <v>1.4999999999999999E-2</v>
      </c>
      <c r="N5410">
        <f t="shared" si="252"/>
        <v>1.2586770182638762E-3</v>
      </c>
      <c r="O5410">
        <f>VLOOKUP(K5410,RatingLookup!$A$2:$C$8,3,FALSE)</f>
        <v>0.5</v>
      </c>
      <c r="P5410">
        <f t="shared" si="253"/>
        <v>0.48570458119275589</v>
      </c>
      <c r="Q5410" t="str">
        <f t="shared" ca="1" si="254"/>
        <v>No</v>
      </c>
    </row>
    <row r="5411" spans="1:17" x14ac:dyDescent="0.45">
      <c r="A5411" t="s">
        <v>217</v>
      </c>
      <c r="B5411" t="s">
        <v>218</v>
      </c>
      <c r="C5411" t="s">
        <v>43</v>
      </c>
      <c r="D5411" t="s">
        <v>188</v>
      </c>
      <c r="E5411" t="s">
        <v>21</v>
      </c>
      <c r="F5411" s="1">
        <v>44105</v>
      </c>
      <c r="G5411">
        <v>1.27</v>
      </c>
      <c r="H5411">
        <v>83.353399999999993</v>
      </c>
      <c r="I5411">
        <v>19.88</v>
      </c>
      <c r="J5411">
        <v>66.42</v>
      </c>
      <c r="K5411" t="s">
        <v>30</v>
      </c>
      <c r="L5411">
        <v>751.4</v>
      </c>
      <c r="M5411">
        <f>VLOOKUP(K5411,RatingLookup!$A$2:$C$8,2,FALSE)</f>
        <v>1.4999999999999999E-2</v>
      </c>
      <c r="N5411">
        <f t="shared" si="252"/>
        <v>1.2586770182638762E-3</v>
      </c>
      <c r="O5411">
        <f>VLOOKUP(K5411,RatingLookup!$A$2:$C$8,3,FALSE)</f>
        <v>0.5</v>
      </c>
      <c r="P5411">
        <f t="shared" si="253"/>
        <v>0.47288495576173828</v>
      </c>
      <c r="Q5411" t="str">
        <f t="shared" ca="1" si="254"/>
        <v>No</v>
      </c>
    </row>
    <row r="5412" spans="1:17" x14ac:dyDescent="0.45">
      <c r="A5412" t="s">
        <v>217</v>
      </c>
      <c r="B5412" t="s">
        <v>218</v>
      </c>
      <c r="C5412" t="s">
        <v>43</v>
      </c>
      <c r="D5412" t="s">
        <v>188</v>
      </c>
      <c r="E5412" t="s">
        <v>21</v>
      </c>
      <c r="F5412" s="1">
        <v>44136</v>
      </c>
      <c r="G5412">
        <v>1.76</v>
      </c>
      <c r="H5412">
        <v>80.5184</v>
      </c>
      <c r="I5412">
        <v>20.11</v>
      </c>
      <c r="J5412">
        <v>61.49</v>
      </c>
      <c r="K5412" t="s">
        <v>30</v>
      </c>
      <c r="L5412">
        <v>762.78</v>
      </c>
      <c r="M5412">
        <f>VLOOKUP(K5412,RatingLookup!$A$2:$C$8,2,FALSE)</f>
        <v>1.4999999999999999E-2</v>
      </c>
      <c r="N5412">
        <f t="shared" si="252"/>
        <v>1.2586770182638762E-3</v>
      </c>
      <c r="O5412">
        <f>VLOOKUP(K5412,RatingLookup!$A$2:$C$8,3,FALSE)</f>
        <v>0.5</v>
      </c>
      <c r="P5412">
        <f t="shared" si="253"/>
        <v>0.48004682799565973</v>
      </c>
      <c r="Q5412" t="str">
        <f t="shared" ca="1" si="254"/>
        <v>No</v>
      </c>
    </row>
    <row r="5413" spans="1:17" x14ac:dyDescent="0.45">
      <c r="A5413" t="s">
        <v>217</v>
      </c>
      <c r="B5413" t="s">
        <v>218</v>
      </c>
      <c r="C5413" t="s">
        <v>43</v>
      </c>
      <c r="D5413" t="s">
        <v>188</v>
      </c>
      <c r="E5413" t="s">
        <v>21</v>
      </c>
      <c r="F5413" s="1">
        <v>44166</v>
      </c>
      <c r="G5413">
        <v>1.68</v>
      </c>
      <c r="H5413">
        <v>81.585700000000003</v>
      </c>
      <c r="I5413">
        <v>21.28</v>
      </c>
      <c r="J5413">
        <v>79.56</v>
      </c>
      <c r="K5413" t="s">
        <v>30</v>
      </c>
      <c r="L5413">
        <v>733.08</v>
      </c>
      <c r="M5413">
        <f>VLOOKUP(K5413,RatingLookup!$A$2:$C$8,2,FALSE)</f>
        <v>1.4999999999999999E-2</v>
      </c>
      <c r="N5413">
        <f t="shared" si="252"/>
        <v>1.2586770182638762E-3</v>
      </c>
      <c r="O5413">
        <f>VLOOKUP(K5413,RatingLookup!$A$2:$C$8,3,FALSE)</f>
        <v>0.5</v>
      </c>
      <c r="P5413">
        <f t="shared" si="253"/>
        <v>0.46135547427444124</v>
      </c>
      <c r="Q5413" t="str">
        <f t="shared" ca="1" si="254"/>
        <v>No</v>
      </c>
    </row>
    <row r="5414" spans="1:17" x14ac:dyDescent="0.45">
      <c r="A5414" t="s">
        <v>217</v>
      </c>
      <c r="B5414" t="s">
        <v>218</v>
      </c>
      <c r="C5414" t="s">
        <v>43</v>
      </c>
      <c r="D5414" t="s">
        <v>188</v>
      </c>
      <c r="E5414" t="s">
        <v>21</v>
      </c>
      <c r="F5414" s="1">
        <v>44197</v>
      </c>
      <c r="G5414">
        <v>0.43</v>
      </c>
      <c r="H5414">
        <v>79.400999999999996</v>
      </c>
      <c r="I5414">
        <v>15.04</v>
      </c>
      <c r="J5414">
        <v>78.89</v>
      </c>
      <c r="K5414" t="s">
        <v>30</v>
      </c>
      <c r="L5414">
        <v>797.57</v>
      </c>
      <c r="M5414">
        <f>VLOOKUP(K5414,RatingLookup!$A$2:$C$8,2,FALSE)</f>
        <v>1.4999999999999999E-2</v>
      </c>
      <c r="N5414">
        <f t="shared" si="252"/>
        <v>1.2586770182638762E-3</v>
      </c>
      <c r="O5414">
        <f>VLOOKUP(K5414,RatingLookup!$A$2:$C$8,3,FALSE)</f>
        <v>0.5</v>
      </c>
      <c r="P5414">
        <f t="shared" si="253"/>
        <v>0.50194151472835991</v>
      </c>
      <c r="Q5414" t="str">
        <f t="shared" ca="1" si="254"/>
        <v>No</v>
      </c>
    </row>
    <row r="5415" spans="1:17" x14ac:dyDescent="0.45">
      <c r="A5415" t="s">
        <v>217</v>
      </c>
      <c r="B5415" t="s">
        <v>218</v>
      </c>
      <c r="C5415" t="s">
        <v>43</v>
      </c>
      <c r="D5415" t="s">
        <v>188</v>
      </c>
      <c r="E5415" t="s">
        <v>21</v>
      </c>
      <c r="F5415" s="1">
        <v>44228</v>
      </c>
      <c r="G5415">
        <v>1.44</v>
      </c>
      <c r="H5415">
        <v>80.828100000000006</v>
      </c>
      <c r="I5415">
        <v>9.84</v>
      </c>
      <c r="J5415">
        <v>76.67</v>
      </c>
      <c r="K5415" t="s">
        <v>30</v>
      </c>
      <c r="L5415">
        <v>697.17</v>
      </c>
      <c r="M5415">
        <f>VLOOKUP(K5415,RatingLookup!$A$2:$C$8,2,FALSE)</f>
        <v>1.4999999999999999E-2</v>
      </c>
      <c r="N5415">
        <f t="shared" si="252"/>
        <v>1.2586770182638762E-3</v>
      </c>
      <c r="O5415">
        <f>VLOOKUP(K5415,RatingLookup!$A$2:$C$8,3,FALSE)</f>
        <v>0.5</v>
      </c>
      <c r="P5415">
        <f t="shared" si="253"/>
        <v>0.43875592841151329</v>
      </c>
      <c r="Q5415" t="str">
        <f t="shared" ca="1" si="254"/>
        <v>No</v>
      </c>
    </row>
    <row r="5416" spans="1:17" x14ac:dyDescent="0.45">
      <c r="A5416" t="s">
        <v>217</v>
      </c>
      <c r="B5416" t="s">
        <v>218</v>
      </c>
      <c r="C5416" t="s">
        <v>43</v>
      </c>
      <c r="D5416" t="s">
        <v>188</v>
      </c>
      <c r="E5416" t="s">
        <v>21</v>
      </c>
      <c r="F5416" s="1">
        <v>44256</v>
      </c>
      <c r="G5416">
        <v>2.35</v>
      </c>
      <c r="H5416">
        <v>77.955299999999994</v>
      </c>
      <c r="I5416">
        <v>16.100000000000001</v>
      </c>
      <c r="J5416">
        <v>76.930000000000007</v>
      </c>
      <c r="K5416" t="s">
        <v>30</v>
      </c>
      <c r="L5416">
        <v>761.66</v>
      </c>
      <c r="M5416">
        <f>VLOOKUP(K5416,RatingLookup!$A$2:$C$8,2,FALSE)</f>
        <v>1.4999999999999999E-2</v>
      </c>
      <c r="N5416">
        <f t="shared" si="252"/>
        <v>1.2586770182638762E-3</v>
      </c>
      <c r="O5416">
        <f>VLOOKUP(K5416,RatingLookup!$A$2:$C$8,3,FALSE)</f>
        <v>0.5</v>
      </c>
      <c r="P5416">
        <f t="shared" si="253"/>
        <v>0.47934196886543196</v>
      </c>
      <c r="Q5416" t="str">
        <f t="shared" ca="1" si="254"/>
        <v>No</v>
      </c>
    </row>
    <row r="5417" spans="1:17" x14ac:dyDescent="0.45">
      <c r="A5417" t="s">
        <v>217</v>
      </c>
      <c r="B5417" t="s">
        <v>218</v>
      </c>
      <c r="C5417" t="s">
        <v>43</v>
      </c>
      <c r="D5417" t="s">
        <v>188</v>
      </c>
      <c r="E5417" t="s">
        <v>21</v>
      </c>
      <c r="F5417" s="1">
        <v>44287</v>
      </c>
      <c r="G5417">
        <v>1.28</v>
      </c>
      <c r="H5417">
        <v>86.717200000000005</v>
      </c>
      <c r="I5417">
        <v>30.36</v>
      </c>
      <c r="J5417">
        <v>73.84</v>
      </c>
      <c r="K5417" t="s">
        <v>30</v>
      </c>
      <c r="L5417">
        <v>750.55</v>
      </c>
      <c r="M5417">
        <f>VLOOKUP(K5417,RatingLookup!$A$2:$C$8,2,FALSE)</f>
        <v>1.4999999999999999E-2</v>
      </c>
      <c r="N5417">
        <f t="shared" si="252"/>
        <v>1.2586770182638762E-3</v>
      </c>
      <c r="O5417">
        <f>VLOOKUP(K5417,RatingLookup!$A$2:$C$8,3,FALSE)</f>
        <v>0.5</v>
      </c>
      <c r="P5417">
        <f t="shared" si="253"/>
        <v>0.47235001802897614</v>
      </c>
      <c r="Q5417" t="str">
        <f t="shared" ca="1" si="254"/>
        <v>No</v>
      </c>
    </row>
    <row r="5418" spans="1:17" x14ac:dyDescent="0.45">
      <c r="A5418" t="s">
        <v>217</v>
      </c>
      <c r="B5418" t="s">
        <v>218</v>
      </c>
      <c r="C5418" t="s">
        <v>43</v>
      </c>
      <c r="D5418" t="s">
        <v>188</v>
      </c>
      <c r="E5418" t="s">
        <v>21</v>
      </c>
      <c r="F5418" s="1">
        <v>44317</v>
      </c>
      <c r="G5418">
        <v>1.24</v>
      </c>
      <c r="H5418">
        <v>81.024199999999993</v>
      </c>
      <c r="I5418">
        <v>9.34</v>
      </c>
      <c r="J5418">
        <v>92.01</v>
      </c>
      <c r="K5418" t="s">
        <v>30</v>
      </c>
      <c r="L5418">
        <v>739.65</v>
      </c>
      <c r="M5418">
        <f>VLOOKUP(K5418,RatingLookup!$A$2:$C$8,2,FALSE)</f>
        <v>1.4999999999999999E-2</v>
      </c>
      <c r="N5418">
        <f t="shared" si="252"/>
        <v>1.2586770182638762E-3</v>
      </c>
      <c r="O5418">
        <f>VLOOKUP(K5418,RatingLookup!$A$2:$C$8,3,FALSE)</f>
        <v>0.5</v>
      </c>
      <c r="P5418">
        <f t="shared" si="253"/>
        <v>0.46549022827943803</v>
      </c>
      <c r="Q5418" t="str">
        <f t="shared" ca="1" si="254"/>
        <v>No</v>
      </c>
    </row>
    <row r="5419" spans="1:17" x14ac:dyDescent="0.45">
      <c r="A5419" t="s">
        <v>217</v>
      </c>
      <c r="B5419" t="s">
        <v>218</v>
      </c>
      <c r="C5419" t="s">
        <v>43</v>
      </c>
      <c r="D5419" t="s">
        <v>188</v>
      </c>
      <c r="E5419" t="s">
        <v>21</v>
      </c>
      <c r="F5419" s="1">
        <v>44348</v>
      </c>
      <c r="G5419">
        <v>1.21</v>
      </c>
      <c r="H5419">
        <v>77.096999999999994</v>
      </c>
      <c r="I5419">
        <v>26.17</v>
      </c>
      <c r="J5419">
        <v>77.040000000000006</v>
      </c>
      <c r="K5419" t="s">
        <v>30</v>
      </c>
      <c r="L5419">
        <v>779.91</v>
      </c>
      <c r="M5419">
        <f>VLOOKUP(K5419,RatingLookup!$A$2:$C$8,2,FALSE)</f>
        <v>1.4999999999999999E-2</v>
      </c>
      <c r="N5419">
        <f t="shared" si="252"/>
        <v>1.2586770182638762E-3</v>
      </c>
      <c r="O5419">
        <f>VLOOKUP(K5419,RatingLookup!$A$2:$C$8,3,FALSE)</f>
        <v>0.5</v>
      </c>
      <c r="P5419">
        <f t="shared" si="253"/>
        <v>0.49082739665708985</v>
      </c>
      <c r="Q5419" t="str">
        <f t="shared" ca="1" si="254"/>
        <v>No</v>
      </c>
    </row>
    <row r="5420" spans="1:17" x14ac:dyDescent="0.45">
      <c r="A5420" t="s">
        <v>217</v>
      </c>
      <c r="B5420" t="s">
        <v>218</v>
      </c>
      <c r="C5420" t="s">
        <v>43</v>
      </c>
      <c r="D5420" t="s">
        <v>188</v>
      </c>
      <c r="E5420" t="s">
        <v>21</v>
      </c>
      <c r="F5420" s="1">
        <v>44378</v>
      </c>
      <c r="G5420">
        <v>1.92</v>
      </c>
      <c r="H5420">
        <v>76.815200000000004</v>
      </c>
      <c r="I5420">
        <v>21.05</v>
      </c>
      <c r="J5420">
        <v>67.87</v>
      </c>
      <c r="K5420" t="s">
        <v>30</v>
      </c>
      <c r="L5420">
        <v>717.95</v>
      </c>
      <c r="M5420">
        <f>VLOOKUP(K5420,RatingLookup!$A$2:$C$8,2,FALSE)</f>
        <v>1.4999999999999999E-2</v>
      </c>
      <c r="N5420">
        <f t="shared" si="252"/>
        <v>1.2586770182638762E-3</v>
      </c>
      <c r="O5420">
        <f>VLOOKUP(K5420,RatingLookup!$A$2:$C$8,3,FALSE)</f>
        <v>0.5</v>
      </c>
      <c r="P5420">
        <f t="shared" si="253"/>
        <v>0.45183358263127499</v>
      </c>
      <c r="Q5420" t="str">
        <f t="shared" ca="1" si="254"/>
        <v>No</v>
      </c>
    </row>
    <row r="5421" spans="1:17" x14ac:dyDescent="0.45">
      <c r="A5421" t="s">
        <v>217</v>
      </c>
      <c r="B5421" t="s">
        <v>218</v>
      </c>
      <c r="C5421" t="s">
        <v>43</v>
      </c>
      <c r="D5421" t="s">
        <v>188</v>
      </c>
      <c r="E5421" t="s">
        <v>21</v>
      </c>
      <c r="F5421" s="1">
        <v>44409</v>
      </c>
      <c r="G5421">
        <v>0.49</v>
      </c>
      <c r="H5421">
        <v>81.339500000000001</v>
      </c>
      <c r="I5421">
        <v>13.79</v>
      </c>
      <c r="J5421">
        <v>100.37</v>
      </c>
      <c r="K5421" t="s">
        <v>30</v>
      </c>
      <c r="L5421">
        <v>791.08</v>
      </c>
      <c r="M5421">
        <f>VLOOKUP(K5421,RatingLookup!$A$2:$C$8,2,FALSE)</f>
        <v>1.4999999999999999E-2</v>
      </c>
      <c r="N5421">
        <f t="shared" si="252"/>
        <v>1.2586770182638762E-3</v>
      </c>
      <c r="O5421">
        <f>VLOOKUP(K5421,RatingLookup!$A$2:$C$8,3,FALSE)</f>
        <v>0.5</v>
      </c>
      <c r="P5421">
        <f t="shared" si="253"/>
        <v>0.49785710780409365</v>
      </c>
      <c r="Q5421" t="str">
        <f t="shared" ca="1" si="254"/>
        <v>No</v>
      </c>
    </row>
    <row r="5422" spans="1:17" x14ac:dyDescent="0.45">
      <c r="A5422" t="s">
        <v>217</v>
      </c>
      <c r="B5422" t="s">
        <v>218</v>
      </c>
      <c r="C5422" t="s">
        <v>43</v>
      </c>
      <c r="D5422" t="s">
        <v>188</v>
      </c>
      <c r="E5422" t="s">
        <v>21</v>
      </c>
      <c r="F5422" s="1">
        <v>44440</v>
      </c>
      <c r="G5422">
        <v>0.95</v>
      </c>
      <c r="H5422">
        <v>84.043700000000001</v>
      </c>
      <c r="I5422">
        <v>15.74</v>
      </c>
      <c r="J5422">
        <v>59.65</v>
      </c>
      <c r="K5422" t="s">
        <v>30</v>
      </c>
      <c r="L5422">
        <v>733.94</v>
      </c>
      <c r="M5422">
        <f>VLOOKUP(K5422,RatingLookup!$A$2:$C$8,2,FALSE)</f>
        <v>1.4999999999999999E-2</v>
      </c>
      <c r="N5422">
        <f t="shared" si="252"/>
        <v>1.2586770182638762E-3</v>
      </c>
      <c r="O5422">
        <f>VLOOKUP(K5422,RatingLookup!$A$2:$C$8,3,FALSE)</f>
        <v>0.5</v>
      </c>
      <c r="P5422">
        <f t="shared" si="253"/>
        <v>0.46189670539229472</v>
      </c>
      <c r="Q5422" t="str">
        <f t="shared" ca="1" si="254"/>
        <v>No</v>
      </c>
    </row>
    <row r="5423" spans="1:17" x14ac:dyDescent="0.45">
      <c r="A5423" t="s">
        <v>217</v>
      </c>
      <c r="B5423" t="s">
        <v>218</v>
      </c>
      <c r="C5423" t="s">
        <v>43</v>
      </c>
      <c r="D5423" t="s">
        <v>188</v>
      </c>
      <c r="E5423" t="s">
        <v>21</v>
      </c>
      <c r="F5423" s="1">
        <v>44470</v>
      </c>
      <c r="G5423">
        <v>1.64</v>
      </c>
      <c r="H5423">
        <v>82.553299999999993</v>
      </c>
      <c r="I5423">
        <v>19.21</v>
      </c>
      <c r="J5423">
        <v>86.23</v>
      </c>
      <c r="K5423" t="s">
        <v>30</v>
      </c>
      <c r="L5423">
        <v>805.27</v>
      </c>
      <c r="M5423">
        <f>VLOOKUP(K5423,RatingLookup!$A$2:$C$8,2,FALSE)</f>
        <v>1.4999999999999999E-2</v>
      </c>
      <c r="N5423">
        <f t="shared" si="252"/>
        <v>1.2586770182638762E-3</v>
      </c>
      <c r="O5423">
        <f>VLOOKUP(K5423,RatingLookup!$A$2:$C$8,3,FALSE)</f>
        <v>0.5</v>
      </c>
      <c r="P5423">
        <f t="shared" si="253"/>
        <v>0.50678742124867582</v>
      </c>
      <c r="Q5423" t="str">
        <f t="shared" ca="1" si="254"/>
        <v>No</v>
      </c>
    </row>
    <row r="5424" spans="1:17" x14ac:dyDescent="0.45">
      <c r="A5424" t="s">
        <v>217</v>
      </c>
      <c r="B5424" t="s">
        <v>218</v>
      </c>
      <c r="C5424" t="s">
        <v>43</v>
      </c>
      <c r="D5424" t="s">
        <v>188</v>
      </c>
      <c r="E5424" t="s">
        <v>21</v>
      </c>
      <c r="F5424" s="1">
        <v>44501</v>
      </c>
      <c r="G5424">
        <v>1.88</v>
      </c>
      <c r="H5424">
        <v>84.147400000000005</v>
      </c>
      <c r="I5424">
        <v>23.79</v>
      </c>
      <c r="J5424">
        <v>67.61</v>
      </c>
      <c r="K5424" t="s">
        <v>30</v>
      </c>
      <c r="L5424">
        <v>786.37</v>
      </c>
      <c r="M5424">
        <f>VLOOKUP(K5424,RatingLookup!$A$2:$C$8,2,FALSE)</f>
        <v>1.4999999999999999E-2</v>
      </c>
      <c r="N5424">
        <f t="shared" si="252"/>
        <v>1.2586770182638762E-3</v>
      </c>
      <c r="O5424">
        <f>VLOOKUP(K5424,RatingLookup!$A$2:$C$8,3,FALSE)</f>
        <v>0.5</v>
      </c>
      <c r="P5424">
        <f t="shared" si="253"/>
        <v>0.49489292342608215</v>
      </c>
      <c r="Q5424" t="str">
        <f t="shared" ca="1" si="254"/>
        <v>No</v>
      </c>
    </row>
    <row r="5425" spans="1:17" x14ac:dyDescent="0.45">
      <c r="A5425" t="s">
        <v>217</v>
      </c>
      <c r="B5425" t="s">
        <v>218</v>
      </c>
      <c r="C5425" t="s">
        <v>43</v>
      </c>
      <c r="D5425" t="s">
        <v>188</v>
      </c>
      <c r="E5425" t="s">
        <v>21</v>
      </c>
      <c r="F5425" s="1">
        <v>44531</v>
      </c>
      <c r="G5425">
        <v>1.69</v>
      </c>
      <c r="H5425">
        <v>77.771000000000001</v>
      </c>
      <c r="I5425">
        <v>10.28</v>
      </c>
      <c r="J5425">
        <v>86.13</v>
      </c>
      <c r="K5425" t="s">
        <v>30</v>
      </c>
      <c r="L5425">
        <v>823.97</v>
      </c>
      <c r="M5425">
        <f>VLOOKUP(K5425,RatingLookup!$A$2:$C$8,2,FALSE)</f>
        <v>1.4999999999999999E-2</v>
      </c>
      <c r="N5425">
        <f t="shared" si="252"/>
        <v>1.2586770182638762E-3</v>
      </c>
      <c r="O5425">
        <f>VLOOKUP(K5425,RatingLookup!$A$2:$C$8,3,FALSE)</f>
        <v>0.5</v>
      </c>
      <c r="P5425">
        <f t="shared" si="253"/>
        <v>0.51855605136944305</v>
      </c>
      <c r="Q5425" t="str">
        <f t="shared" ca="1" si="254"/>
        <v>No</v>
      </c>
    </row>
    <row r="5426" spans="1:17" x14ac:dyDescent="0.45">
      <c r="A5426" t="s">
        <v>217</v>
      </c>
      <c r="B5426" t="s">
        <v>218</v>
      </c>
      <c r="C5426" t="s">
        <v>43</v>
      </c>
      <c r="D5426" t="s">
        <v>188</v>
      </c>
      <c r="E5426" t="s">
        <v>21</v>
      </c>
      <c r="F5426" s="1">
        <v>44562</v>
      </c>
      <c r="G5426">
        <v>1.47</v>
      </c>
      <c r="H5426">
        <v>83.21</v>
      </c>
      <c r="I5426">
        <v>18.75</v>
      </c>
      <c r="J5426">
        <v>78.989999999999995</v>
      </c>
      <c r="K5426" t="s">
        <v>30</v>
      </c>
      <c r="L5426">
        <v>718.23</v>
      </c>
      <c r="M5426">
        <f>VLOOKUP(K5426,RatingLookup!$A$2:$C$8,2,FALSE)</f>
        <v>1.4999999999999999E-2</v>
      </c>
      <c r="N5426">
        <f t="shared" si="252"/>
        <v>1.2586770182638762E-3</v>
      </c>
      <c r="O5426">
        <f>VLOOKUP(K5426,RatingLookup!$A$2:$C$8,3,FALSE)</f>
        <v>0.5</v>
      </c>
      <c r="P5426">
        <f t="shared" si="253"/>
        <v>0.4520097974138319</v>
      </c>
      <c r="Q5426" t="str">
        <f t="shared" ca="1" si="254"/>
        <v>No</v>
      </c>
    </row>
    <row r="5427" spans="1:17" x14ac:dyDescent="0.45">
      <c r="A5427" t="s">
        <v>217</v>
      </c>
      <c r="B5427" t="s">
        <v>218</v>
      </c>
      <c r="C5427" t="s">
        <v>43</v>
      </c>
      <c r="D5427" t="s">
        <v>188</v>
      </c>
      <c r="E5427" t="s">
        <v>21</v>
      </c>
      <c r="F5427" s="1">
        <v>44593</v>
      </c>
      <c r="G5427">
        <v>0.61</v>
      </c>
      <c r="H5427">
        <v>82.785399999999996</v>
      </c>
      <c r="I5427">
        <v>19.89</v>
      </c>
      <c r="J5427">
        <v>63.74</v>
      </c>
      <c r="K5427" t="s">
        <v>30</v>
      </c>
      <c r="L5427">
        <v>755.39</v>
      </c>
      <c r="M5427">
        <f>VLOOKUP(K5427,RatingLookup!$A$2:$C$8,2,FALSE)</f>
        <v>1.4999999999999999E-2</v>
      </c>
      <c r="N5427">
        <f t="shared" si="252"/>
        <v>1.2586770182638762E-3</v>
      </c>
      <c r="O5427">
        <f>VLOOKUP(K5427,RatingLookup!$A$2:$C$8,3,FALSE)</f>
        <v>0.5</v>
      </c>
      <c r="P5427">
        <f t="shared" si="253"/>
        <v>0.47539601641317475</v>
      </c>
      <c r="Q5427" t="str">
        <f t="shared" ca="1" si="254"/>
        <v>No</v>
      </c>
    </row>
    <row r="5428" spans="1:17" x14ac:dyDescent="0.45">
      <c r="A5428" t="s">
        <v>217</v>
      </c>
      <c r="B5428" t="s">
        <v>218</v>
      </c>
      <c r="C5428" t="s">
        <v>43</v>
      </c>
      <c r="D5428" t="s">
        <v>188</v>
      </c>
      <c r="E5428" t="s">
        <v>21</v>
      </c>
      <c r="F5428" s="1">
        <v>44621</v>
      </c>
      <c r="G5428">
        <v>1.24</v>
      </c>
      <c r="H5428">
        <v>84.689099999999996</v>
      </c>
      <c r="I5428">
        <v>32.78</v>
      </c>
      <c r="J5428">
        <v>79.680000000000007</v>
      </c>
      <c r="K5428" t="s">
        <v>30</v>
      </c>
      <c r="L5428">
        <v>737.47</v>
      </c>
      <c r="M5428">
        <f>VLOOKUP(K5428,RatingLookup!$A$2:$C$8,2,FALSE)</f>
        <v>1.4999999999999999E-2</v>
      </c>
      <c r="N5428">
        <f t="shared" si="252"/>
        <v>1.2586770182638762E-3</v>
      </c>
      <c r="O5428">
        <f>VLOOKUP(K5428,RatingLookup!$A$2:$C$8,3,FALSE)</f>
        <v>0.5</v>
      </c>
      <c r="P5428">
        <f t="shared" si="253"/>
        <v>0.4641182703295304</v>
      </c>
      <c r="Q5428" t="str">
        <f t="shared" ca="1" si="254"/>
        <v>No</v>
      </c>
    </row>
    <row r="5429" spans="1:17" x14ac:dyDescent="0.45">
      <c r="A5429" t="s">
        <v>217</v>
      </c>
      <c r="B5429" t="s">
        <v>218</v>
      </c>
      <c r="C5429" t="s">
        <v>43</v>
      </c>
      <c r="D5429" t="s">
        <v>188</v>
      </c>
      <c r="E5429" t="s">
        <v>21</v>
      </c>
      <c r="F5429" s="1">
        <v>44652</v>
      </c>
      <c r="G5429">
        <v>1.57</v>
      </c>
      <c r="H5429">
        <v>82.623699999999999</v>
      </c>
      <c r="I5429">
        <v>27.05</v>
      </c>
      <c r="J5429">
        <v>78.83</v>
      </c>
      <c r="K5429" t="s">
        <v>30</v>
      </c>
      <c r="L5429">
        <v>829.1</v>
      </c>
      <c r="M5429">
        <f>VLOOKUP(K5429,RatingLookup!$A$2:$C$8,2,FALSE)</f>
        <v>1.4999999999999999E-2</v>
      </c>
      <c r="N5429">
        <f t="shared" si="252"/>
        <v>1.2586770182638762E-3</v>
      </c>
      <c r="O5429">
        <f>VLOOKUP(K5429,RatingLookup!$A$2:$C$8,3,FALSE)</f>
        <v>0.5</v>
      </c>
      <c r="P5429">
        <f t="shared" si="253"/>
        <v>0.52178455792128986</v>
      </c>
      <c r="Q5429" t="str">
        <f t="shared" ca="1" si="254"/>
        <v>No</v>
      </c>
    </row>
    <row r="5430" spans="1:17" x14ac:dyDescent="0.45">
      <c r="A5430" t="s">
        <v>217</v>
      </c>
      <c r="B5430" t="s">
        <v>218</v>
      </c>
      <c r="C5430" t="s">
        <v>43</v>
      </c>
      <c r="D5430" t="s">
        <v>188</v>
      </c>
      <c r="E5430" t="s">
        <v>21</v>
      </c>
      <c r="F5430" s="1">
        <v>44682</v>
      </c>
      <c r="G5430">
        <v>2.68</v>
      </c>
      <c r="H5430">
        <v>88.7089</v>
      </c>
      <c r="I5430">
        <v>16.09</v>
      </c>
      <c r="J5430">
        <v>75.150000000000006</v>
      </c>
      <c r="K5430" t="s">
        <v>30</v>
      </c>
      <c r="L5430">
        <v>839.58</v>
      </c>
      <c r="M5430">
        <f>VLOOKUP(K5430,RatingLookup!$A$2:$C$8,2,FALSE)</f>
        <v>1.4999999999999999E-2</v>
      </c>
      <c r="N5430">
        <f t="shared" si="252"/>
        <v>1.2586770182638762E-3</v>
      </c>
      <c r="O5430">
        <f>VLOOKUP(K5430,RatingLookup!$A$2:$C$8,3,FALSE)</f>
        <v>0.5</v>
      </c>
      <c r="P5430">
        <f t="shared" si="253"/>
        <v>0.52838002549699259</v>
      </c>
      <c r="Q5430" t="str">
        <f t="shared" ca="1" si="254"/>
        <v>No</v>
      </c>
    </row>
    <row r="5431" spans="1:17" x14ac:dyDescent="0.45">
      <c r="A5431" t="s">
        <v>217</v>
      </c>
      <c r="B5431" t="s">
        <v>218</v>
      </c>
      <c r="C5431" t="s">
        <v>43</v>
      </c>
      <c r="D5431" t="s">
        <v>188</v>
      </c>
      <c r="E5431" t="s">
        <v>21</v>
      </c>
      <c r="F5431" s="1">
        <v>44713</v>
      </c>
      <c r="G5431">
        <v>1.29</v>
      </c>
      <c r="H5431">
        <v>80.3733</v>
      </c>
      <c r="I5431">
        <v>12.18</v>
      </c>
      <c r="J5431">
        <v>76.02</v>
      </c>
      <c r="K5431" t="s">
        <v>30</v>
      </c>
      <c r="L5431">
        <v>703.32</v>
      </c>
      <c r="M5431">
        <f>VLOOKUP(K5431,RatingLookup!$A$2:$C$8,2,FALSE)</f>
        <v>1.4999999999999999E-2</v>
      </c>
      <c r="N5431">
        <f t="shared" si="252"/>
        <v>1.2586770182638762E-3</v>
      </c>
      <c r="O5431">
        <f>VLOOKUP(K5431,RatingLookup!$A$2:$C$8,3,FALSE)</f>
        <v>0.5</v>
      </c>
      <c r="P5431">
        <f t="shared" si="253"/>
        <v>0.44262636024267477</v>
      </c>
      <c r="Q5431" t="str">
        <f t="shared" ca="1" si="254"/>
        <v>No</v>
      </c>
    </row>
    <row r="5432" spans="1:17" x14ac:dyDescent="0.45">
      <c r="A5432" t="s">
        <v>217</v>
      </c>
      <c r="B5432" t="s">
        <v>218</v>
      </c>
      <c r="C5432" t="s">
        <v>43</v>
      </c>
      <c r="D5432" t="s">
        <v>188</v>
      </c>
      <c r="E5432" t="s">
        <v>21</v>
      </c>
      <c r="F5432" s="1">
        <v>44743</v>
      </c>
      <c r="G5432">
        <v>1.1399999999999999</v>
      </c>
      <c r="H5432">
        <v>86.538600000000002</v>
      </c>
      <c r="I5432">
        <v>23.94</v>
      </c>
      <c r="J5432">
        <v>72.41</v>
      </c>
      <c r="K5432" t="s">
        <v>30</v>
      </c>
      <c r="L5432">
        <v>774.19</v>
      </c>
      <c r="M5432">
        <f>VLOOKUP(K5432,RatingLookup!$A$2:$C$8,2,FALSE)</f>
        <v>1.4999999999999999E-2</v>
      </c>
      <c r="N5432">
        <f t="shared" si="252"/>
        <v>1.2586770182638762E-3</v>
      </c>
      <c r="O5432">
        <f>VLOOKUP(K5432,RatingLookup!$A$2:$C$8,3,FALSE)</f>
        <v>0.5</v>
      </c>
      <c r="P5432">
        <f t="shared" si="253"/>
        <v>0.4872275803848552</v>
      </c>
      <c r="Q5432" t="str">
        <f t="shared" ca="1" si="254"/>
        <v>No</v>
      </c>
    </row>
    <row r="5433" spans="1:17" x14ac:dyDescent="0.45">
      <c r="A5433" t="s">
        <v>217</v>
      </c>
      <c r="B5433" t="s">
        <v>218</v>
      </c>
      <c r="C5433" t="s">
        <v>43</v>
      </c>
      <c r="D5433" t="s">
        <v>188</v>
      </c>
      <c r="E5433" t="s">
        <v>21</v>
      </c>
      <c r="F5433" s="1">
        <v>44774</v>
      </c>
      <c r="G5433">
        <v>1.45</v>
      </c>
      <c r="H5433">
        <v>80.397000000000006</v>
      </c>
      <c r="I5433">
        <v>16.82</v>
      </c>
      <c r="J5433">
        <v>103.13</v>
      </c>
      <c r="K5433" t="s">
        <v>30</v>
      </c>
      <c r="L5433">
        <v>789.6</v>
      </c>
      <c r="M5433">
        <f>VLOOKUP(K5433,RatingLookup!$A$2:$C$8,2,FALSE)</f>
        <v>1.4999999999999999E-2</v>
      </c>
      <c r="N5433">
        <f t="shared" si="252"/>
        <v>1.2586770182638762E-3</v>
      </c>
      <c r="O5433">
        <f>VLOOKUP(K5433,RatingLookup!$A$2:$C$8,3,FALSE)</f>
        <v>0.5</v>
      </c>
      <c r="P5433">
        <f t="shared" si="253"/>
        <v>0.49692568681057836</v>
      </c>
      <c r="Q5433" t="str">
        <f t="shared" ca="1" si="254"/>
        <v>No</v>
      </c>
    </row>
    <row r="5434" spans="1:17" x14ac:dyDescent="0.45">
      <c r="A5434" t="s">
        <v>217</v>
      </c>
      <c r="B5434" t="s">
        <v>218</v>
      </c>
      <c r="C5434" t="s">
        <v>43</v>
      </c>
      <c r="D5434" t="s">
        <v>188</v>
      </c>
      <c r="E5434" t="s">
        <v>21</v>
      </c>
      <c r="F5434" s="1">
        <v>44805</v>
      </c>
      <c r="G5434">
        <v>1.65</v>
      </c>
      <c r="H5434">
        <v>80.905900000000003</v>
      </c>
      <c r="I5434">
        <v>18.309999999999999</v>
      </c>
      <c r="J5434">
        <v>74.709999999999994</v>
      </c>
      <c r="K5434" t="s">
        <v>30</v>
      </c>
      <c r="L5434">
        <v>710.47</v>
      </c>
      <c r="M5434">
        <f>VLOOKUP(K5434,RatingLookup!$A$2:$C$8,2,FALSE)</f>
        <v>1.4999999999999999E-2</v>
      </c>
      <c r="N5434">
        <f t="shared" si="252"/>
        <v>1.2586770182638762E-3</v>
      </c>
      <c r="O5434">
        <f>VLOOKUP(K5434,RatingLookup!$A$2:$C$8,3,FALSE)</f>
        <v>0.5</v>
      </c>
      <c r="P5434">
        <f t="shared" si="253"/>
        <v>0.44712613058296807</v>
      </c>
      <c r="Q5434" t="str">
        <f t="shared" ca="1" si="254"/>
        <v>No</v>
      </c>
    </row>
    <row r="5435" spans="1:17" x14ac:dyDescent="0.45">
      <c r="A5435" t="s">
        <v>217</v>
      </c>
      <c r="B5435" t="s">
        <v>218</v>
      </c>
      <c r="C5435" t="s">
        <v>43</v>
      </c>
      <c r="D5435" t="s">
        <v>188</v>
      </c>
      <c r="E5435" t="s">
        <v>21</v>
      </c>
      <c r="F5435" s="1">
        <v>44835</v>
      </c>
      <c r="G5435">
        <v>1.17</v>
      </c>
      <c r="H5435">
        <v>82.752899999999997</v>
      </c>
      <c r="I5435">
        <v>24.48</v>
      </c>
      <c r="J5435">
        <v>76.33</v>
      </c>
      <c r="K5435" t="s">
        <v>30</v>
      </c>
      <c r="L5435">
        <v>818.95</v>
      </c>
      <c r="M5435">
        <f>VLOOKUP(K5435,RatingLookup!$A$2:$C$8,2,FALSE)</f>
        <v>1.4999999999999999E-2</v>
      </c>
      <c r="N5435">
        <f t="shared" si="252"/>
        <v>1.2586770182638762E-3</v>
      </c>
      <c r="O5435">
        <f>VLOOKUP(K5435,RatingLookup!$A$2:$C$8,3,FALSE)</f>
        <v>0.5</v>
      </c>
      <c r="P5435">
        <f t="shared" si="253"/>
        <v>0.51539677205360079</v>
      </c>
      <c r="Q5435" t="str">
        <f t="shared" ca="1" si="254"/>
        <v>No</v>
      </c>
    </row>
    <row r="5436" spans="1:17" x14ac:dyDescent="0.45">
      <c r="A5436" t="s">
        <v>217</v>
      </c>
      <c r="B5436" t="s">
        <v>218</v>
      </c>
      <c r="C5436" t="s">
        <v>43</v>
      </c>
      <c r="D5436" t="s">
        <v>188</v>
      </c>
      <c r="E5436" t="s">
        <v>21</v>
      </c>
      <c r="F5436" s="1">
        <v>44866</v>
      </c>
      <c r="G5436">
        <v>1.62</v>
      </c>
      <c r="H5436">
        <v>83.862499999999997</v>
      </c>
      <c r="I5436">
        <v>20.43</v>
      </c>
      <c r="J5436">
        <v>73.680000000000007</v>
      </c>
      <c r="K5436" t="s">
        <v>30</v>
      </c>
      <c r="L5436">
        <v>794.16</v>
      </c>
      <c r="M5436">
        <f>VLOOKUP(K5436,RatingLookup!$A$2:$C$8,2,FALSE)</f>
        <v>1.4999999999999999E-2</v>
      </c>
      <c r="N5436">
        <f t="shared" si="252"/>
        <v>1.2586770182638762E-3</v>
      </c>
      <c r="O5436">
        <f>VLOOKUP(K5436,RatingLookup!$A$2:$C$8,3,FALSE)</f>
        <v>0.5</v>
      </c>
      <c r="P5436">
        <f t="shared" si="253"/>
        <v>0.49979547041221994</v>
      </c>
      <c r="Q5436" t="str">
        <f t="shared" ca="1" si="254"/>
        <v>No</v>
      </c>
    </row>
    <row r="5437" spans="1:17" x14ac:dyDescent="0.45">
      <c r="A5437" t="s">
        <v>217</v>
      </c>
      <c r="B5437" t="s">
        <v>218</v>
      </c>
      <c r="C5437" t="s">
        <v>43</v>
      </c>
      <c r="D5437" t="s">
        <v>188</v>
      </c>
      <c r="E5437" t="s">
        <v>21</v>
      </c>
      <c r="F5437" s="1">
        <v>44896</v>
      </c>
      <c r="G5437">
        <v>1.1499999999999999</v>
      </c>
      <c r="H5437">
        <v>82.547600000000003</v>
      </c>
      <c r="I5437">
        <v>14.07</v>
      </c>
      <c r="J5437">
        <v>79.53</v>
      </c>
      <c r="K5437" t="s">
        <v>30</v>
      </c>
      <c r="L5437">
        <v>796.84</v>
      </c>
      <c r="M5437">
        <f>VLOOKUP(K5437,RatingLookup!$A$2:$C$8,2,FALSE)</f>
        <v>1.4999999999999999E-2</v>
      </c>
      <c r="N5437">
        <f t="shared" si="252"/>
        <v>1.2586770182638762E-3</v>
      </c>
      <c r="O5437">
        <f>VLOOKUP(K5437,RatingLookup!$A$2:$C$8,3,FALSE)</f>
        <v>0.5</v>
      </c>
      <c r="P5437">
        <f t="shared" si="253"/>
        <v>0.5014820976166936</v>
      </c>
      <c r="Q5437" t="str">
        <f t="shared" ca="1" si="254"/>
        <v>No</v>
      </c>
    </row>
    <row r="5438" spans="1:17" x14ac:dyDescent="0.45">
      <c r="A5438" t="s">
        <v>217</v>
      </c>
      <c r="B5438" t="s">
        <v>218</v>
      </c>
      <c r="C5438" t="s">
        <v>43</v>
      </c>
      <c r="D5438" t="s">
        <v>188</v>
      </c>
      <c r="E5438" t="s">
        <v>21</v>
      </c>
      <c r="F5438" s="1">
        <v>44927</v>
      </c>
      <c r="G5438">
        <v>2.19</v>
      </c>
      <c r="H5438">
        <v>81.678600000000003</v>
      </c>
      <c r="I5438">
        <v>11.89</v>
      </c>
      <c r="J5438">
        <v>77.44</v>
      </c>
      <c r="K5438" t="s">
        <v>30</v>
      </c>
      <c r="L5438">
        <v>788.5</v>
      </c>
      <c r="M5438">
        <f>VLOOKUP(K5438,RatingLookup!$A$2:$C$8,2,FALSE)</f>
        <v>1.4999999999999999E-2</v>
      </c>
      <c r="N5438">
        <f t="shared" si="252"/>
        <v>1.2586770182638762E-3</v>
      </c>
      <c r="O5438">
        <f>VLOOKUP(K5438,RatingLookup!$A$2:$C$8,3,FALSE)</f>
        <v>0.5</v>
      </c>
      <c r="P5438">
        <f t="shared" si="253"/>
        <v>0.49623341445053321</v>
      </c>
      <c r="Q5438" t="str">
        <f t="shared" ca="1" si="254"/>
        <v>No</v>
      </c>
    </row>
    <row r="5439" spans="1:17" x14ac:dyDescent="0.45">
      <c r="A5439" t="s">
        <v>217</v>
      </c>
      <c r="B5439" t="s">
        <v>218</v>
      </c>
      <c r="C5439" t="s">
        <v>43</v>
      </c>
      <c r="D5439" t="s">
        <v>188</v>
      </c>
      <c r="E5439" t="s">
        <v>21</v>
      </c>
      <c r="F5439" s="1">
        <v>44958</v>
      </c>
      <c r="G5439">
        <v>0.49</v>
      </c>
      <c r="H5439">
        <v>85.610900000000001</v>
      </c>
      <c r="I5439">
        <v>27.27</v>
      </c>
      <c r="J5439">
        <v>68.17</v>
      </c>
      <c r="K5439" t="s">
        <v>30</v>
      </c>
      <c r="L5439">
        <v>719.79</v>
      </c>
      <c r="M5439">
        <f>VLOOKUP(K5439,RatingLookup!$A$2:$C$8,2,FALSE)</f>
        <v>1.4999999999999999E-2</v>
      </c>
      <c r="N5439">
        <f t="shared" si="252"/>
        <v>1.2586770182638762E-3</v>
      </c>
      <c r="O5439">
        <f>VLOOKUP(K5439,RatingLookup!$A$2:$C$8,3,FALSE)</f>
        <v>0.5</v>
      </c>
      <c r="P5439">
        <f t="shared" si="253"/>
        <v>0.45299156548807773</v>
      </c>
      <c r="Q5439" t="str">
        <f t="shared" ca="1" si="254"/>
        <v>No</v>
      </c>
    </row>
    <row r="5440" spans="1:17" x14ac:dyDescent="0.45">
      <c r="A5440" t="s">
        <v>217</v>
      </c>
      <c r="B5440" t="s">
        <v>218</v>
      </c>
      <c r="C5440" t="s">
        <v>43</v>
      </c>
      <c r="D5440" t="s">
        <v>188</v>
      </c>
      <c r="E5440" t="s">
        <v>21</v>
      </c>
      <c r="F5440" s="1">
        <v>44986</v>
      </c>
      <c r="G5440">
        <v>0.89</v>
      </c>
      <c r="H5440">
        <v>80.495099999999994</v>
      </c>
      <c r="I5440">
        <v>16.71</v>
      </c>
      <c r="J5440">
        <v>68.84</v>
      </c>
      <c r="K5440" t="s">
        <v>22</v>
      </c>
      <c r="L5440">
        <v>893.98</v>
      </c>
      <c r="M5440">
        <f>VLOOKUP(K5440,RatingLookup!$A$2:$C$8,2,FALSE)</f>
        <v>5.0000000000000001E-3</v>
      </c>
      <c r="N5440">
        <f t="shared" si="252"/>
        <v>4.1762458919303302E-4</v>
      </c>
      <c r="O5440">
        <f>VLOOKUP(K5440,RatingLookup!$A$2:$C$8,3,FALSE)</f>
        <v>0.45</v>
      </c>
      <c r="P5440">
        <f t="shared" si="253"/>
        <v>0.16800661361105446</v>
      </c>
      <c r="Q5440" t="str">
        <f t="shared" ca="1" si="254"/>
        <v>No</v>
      </c>
    </row>
    <row r="5441" spans="1:17" x14ac:dyDescent="0.45">
      <c r="A5441" t="s">
        <v>217</v>
      </c>
      <c r="B5441" t="s">
        <v>218</v>
      </c>
      <c r="C5441" t="s">
        <v>43</v>
      </c>
      <c r="D5441" t="s">
        <v>188</v>
      </c>
      <c r="E5441" t="s">
        <v>21</v>
      </c>
      <c r="F5441" s="1">
        <v>45017</v>
      </c>
      <c r="G5441">
        <v>2.25</v>
      </c>
      <c r="H5441">
        <v>78.772199999999998</v>
      </c>
      <c r="I5441">
        <v>21.19</v>
      </c>
      <c r="J5441">
        <v>86.31</v>
      </c>
      <c r="K5441" t="s">
        <v>22</v>
      </c>
      <c r="L5441">
        <v>748.53</v>
      </c>
      <c r="M5441">
        <f>VLOOKUP(K5441,RatingLookup!$A$2:$C$8,2,FALSE)</f>
        <v>5.0000000000000001E-3</v>
      </c>
      <c r="N5441">
        <f t="shared" si="252"/>
        <v>4.1762458919303302E-4</v>
      </c>
      <c r="O5441">
        <f>VLOOKUP(K5441,RatingLookup!$A$2:$C$8,3,FALSE)</f>
        <v>0.45</v>
      </c>
      <c r="P5441">
        <f t="shared" si="253"/>
        <v>0.14067204018689744</v>
      </c>
      <c r="Q5441" t="str">
        <f t="shared" ca="1" si="254"/>
        <v>No</v>
      </c>
    </row>
    <row r="5442" spans="1:17" x14ac:dyDescent="0.45">
      <c r="A5442" t="s">
        <v>217</v>
      </c>
      <c r="B5442" t="s">
        <v>218</v>
      </c>
      <c r="C5442" t="s">
        <v>43</v>
      </c>
      <c r="D5442" t="s">
        <v>188</v>
      </c>
      <c r="E5442" t="s">
        <v>21</v>
      </c>
      <c r="F5442" s="1">
        <v>45047</v>
      </c>
      <c r="G5442">
        <v>2.33</v>
      </c>
      <c r="H5442">
        <v>86.135199999999998</v>
      </c>
      <c r="I5442">
        <v>21.15</v>
      </c>
      <c r="J5442">
        <v>80.34</v>
      </c>
      <c r="K5442" t="s">
        <v>22</v>
      </c>
      <c r="L5442">
        <v>728.14</v>
      </c>
      <c r="M5442">
        <f>VLOOKUP(K5442,RatingLookup!$A$2:$C$8,2,FALSE)</f>
        <v>5.0000000000000001E-3</v>
      </c>
      <c r="N5442">
        <f t="shared" ref="N5442:N5505" si="255">1-(1-M5442)^(1/12)</f>
        <v>4.1762458919303302E-4</v>
      </c>
      <c r="O5442">
        <f>VLOOKUP(K5442,RatingLookup!$A$2:$C$8,3,FALSE)</f>
        <v>0.45</v>
      </c>
      <c r="P5442">
        <f t="shared" ref="P5442:P5505" si="256">L5442*N5442*O5442</f>
        <v>0.13684012576875676</v>
      </c>
      <c r="Q5442" t="str">
        <f t="shared" ref="Q5442:Q5505" ca="1" si="257">IF(RAND()&lt;N5442,"Yes","No")</f>
        <v>No</v>
      </c>
    </row>
    <row r="5443" spans="1:17" x14ac:dyDescent="0.45">
      <c r="A5443" t="s">
        <v>217</v>
      </c>
      <c r="B5443" t="s">
        <v>218</v>
      </c>
      <c r="C5443" t="s">
        <v>43</v>
      </c>
      <c r="D5443" t="s">
        <v>188</v>
      </c>
      <c r="E5443" t="s">
        <v>21</v>
      </c>
      <c r="F5443" s="1">
        <v>45078</v>
      </c>
      <c r="G5443">
        <v>1.07</v>
      </c>
      <c r="H5443">
        <v>84.229900000000001</v>
      </c>
      <c r="I5443">
        <v>8.99</v>
      </c>
      <c r="J5443">
        <v>66.209999999999994</v>
      </c>
      <c r="K5443" t="s">
        <v>22</v>
      </c>
      <c r="L5443">
        <v>752.06</v>
      </c>
      <c r="M5443">
        <f>VLOOKUP(K5443,RatingLookup!$A$2:$C$8,2,FALSE)</f>
        <v>5.0000000000000001E-3</v>
      </c>
      <c r="N5443">
        <f t="shared" si="255"/>
        <v>4.1762458919303302E-4</v>
      </c>
      <c r="O5443">
        <f>VLOOKUP(K5443,RatingLookup!$A$2:$C$8,3,FALSE)</f>
        <v>0.45</v>
      </c>
      <c r="P5443">
        <f t="shared" si="256"/>
        <v>0.14133543684683059</v>
      </c>
      <c r="Q5443" t="str">
        <f t="shared" ca="1" si="257"/>
        <v>No</v>
      </c>
    </row>
    <row r="5444" spans="1:17" x14ac:dyDescent="0.45">
      <c r="A5444" t="s">
        <v>217</v>
      </c>
      <c r="B5444" t="s">
        <v>218</v>
      </c>
      <c r="C5444" t="s">
        <v>43</v>
      </c>
      <c r="D5444" t="s">
        <v>188</v>
      </c>
      <c r="E5444" t="s">
        <v>21</v>
      </c>
      <c r="F5444" s="1">
        <v>45108</v>
      </c>
      <c r="G5444">
        <v>2.1800000000000002</v>
      </c>
      <c r="H5444">
        <v>78.605000000000004</v>
      </c>
      <c r="I5444">
        <v>20.58</v>
      </c>
      <c r="J5444">
        <v>75.16</v>
      </c>
      <c r="K5444" t="s">
        <v>22</v>
      </c>
      <c r="L5444">
        <v>776.81</v>
      </c>
      <c r="M5444">
        <f>VLOOKUP(K5444,RatingLookup!$A$2:$C$8,2,FALSE)</f>
        <v>5.0000000000000001E-3</v>
      </c>
      <c r="N5444">
        <f t="shared" si="255"/>
        <v>4.1762458919303302E-4</v>
      </c>
      <c r="O5444">
        <f>VLOOKUP(K5444,RatingLookup!$A$2:$C$8,3,FALSE)</f>
        <v>0.45</v>
      </c>
      <c r="P5444">
        <f t="shared" si="256"/>
        <v>0.14598673070896798</v>
      </c>
      <c r="Q5444" t="str">
        <f t="shared" ca="1" si="257"/>
        <v>No</v>
      </c>
    </row>
    <row r="5445" spans="1:17" x14ac:dyDescent="0.45">
      <c r="A5445" t="s">
        <v>217</v>
      </c>
      <c r="B5445" t="s">
        <v>218</v>
      </c>
      <c r="C5445" t="s">
        <v>43</v>
      </c>
      <c r="D5445" t="s">
        <v>188</v>
      </c>
      <c r="E5445" t="s">
        <v>21</v>
      </c>
      <c r="F5445" s="1">
        <v>45139</v>
      </c>
      <c r="G5445">
        <v>1.82</v>
      </c>
      <c r="H5445">
        <v>84.163399999999996</v>
      </c>
      <c r="I5445">
        <v>25.38</v>
      </c>
      <c r="J5445">
        <v>60.76</v>
      </c>
      <c r="K5445" t="s">
        <v>22</v>
      </c>
      <c r="L5445">
        <v>777.01</v>
      </c>
      <c r="M5445">
        <f>VLOOKUP(K5445,RatingLookup!$A$2:$C$8,2,FALSE)</f>
        <v>5.0000000000000001E-3</v>
      </c>
      <c r="N5445">
        <f t="shared" si="255"/>
        <v>4.1762458919303302E-4</v>
      </c>
      <c r="O5445">
        <f>VLOOKUP(K5445,RatingLookup!$A$2:$C$8,3,FALSE)</f>
        <v>0.45</v>
      </c>
      <c r="P5445">
        <f t="shared" si="256"/>
        <v>0.14602431692199538</v>
      </c>
      <c r="Q5445" t="str">
        <f t="shared" ca="1" si="257"/>
        <v>No</v>
      </c>
    </row>
    <row r="5446" spans="1:17" x14ac:dyDescent="0.45">
      <c r="A5446" t="s">
        <v>217</v>
      </c>
      <c r="B5446" t="s">
        <v>218</v>
      </c>
      <c r="C5446" t="s">
        <v>43</v>
      </c>
      <c r="D5446" t="s">
        <v>188</v>
      </c>
      <c r="E5446" t="s">
        <v>21</v>
      </c>
      <c r="F5446" s="1">
        <v>45170</v>
      </c>
      <c r="G5446">
        <v>2.0099999999999998</v>
      </c>
      <c r="H5446">
        <v>84.019300000000001</v>
      </c>
      <c r="I5446">
        <v>7.19</v>
      </c>
      <c r="J5446">
        <v>90.92</v>
      </c>
      <c r="K5446" t="s">
        <v>22</v>
      </c>
      <c r="L5446">
        <v>760.91</v>
      </c>
      <c r="M5446">
        <f>VLOOKUP(K5446,RatingLookup!$A$2:$C$8,2,FALSE)</f>
        <v>5.0000000000000001E-3</v>
      </c>
      <c r="N5446">
        <f t="shared" si="255"/>
        <v>4.1762458919303302E-4</v>
      </c>
      <c r="O5446">
        <f>VLOOKUP(K5446,RatingLookup!$A$2:$C$8,3,FALSE)</f>
        <v>0.45</v>
      </c>
      <c r="P5446">
        <f t="shared" si="256"/>
        <v>0.14299862677329184</v>
      </c>
      <c r="Q5446" t="str">
        <f t="shared" ca="1" si="257"/>
        <v>No</v>
      </c>
    </row>
    <row r="5447" spans="1:17" x14ac:dyDescent="0.45">
      <c r="A5447" t="s">
        <v>217</v>
      </c>
      <c r="B5447" t="s">
        <v>218</v>
      </c>
      <c r="C5447" t="s">
        <v>43</v>
      </c>
      <c r="D5447" t="s">
        <v>188</v>
      </c>
      <c r="E5447" t="s">
        <v>21</v>
      </c>
      <c r="F5447" s="1">
        <v>45200</v>
      </c>
      <c r="G5447">
        <v>1.62</v>
      </c>
      <c r="H5447">
        <v>82.024900000000002</v>
      </c>
      <c r="I5447">
        <v>11.92</v>
      </c>
      <c r="J5447">
        <v>66.180000000000007</v>
      </c>
      <c r="K5447" t="s">
        <v>22</v>
      </c>
      <c r="L5447">
        <v>734.76</v>
      </c>
      <c r="M5447">
        <f>VLOOKUP(K5447,RatingLookup!$A$2:$C$8,2,FALSE)</f>
        <v>5.0000000000000001E-3</v>
      </c>
      <c r="N5447">
        <f t="shared" si="255"/>
        <v>4.1762458919303302E-4</v>
      </c>
      <c r="O5447">
        <f>VLOOKUP(K5447,RatingLookup!$A$2:$C$8,3,FALSE)</f>
        <v>0.45</v>
      </c>
      <c r="P5447">
        <f t="shared" si="256"/>
        <v>0.13808422941996282</v>
      </c>
      <c r="Q5447" t="str">
        <f t="shared" ca="1" si="257"/>
        <v>No</v>
      </c>
    </row>
    <row r="5448" spans="1:17" x14ac:dyDescent="0.45">
      <c r="A5448" t="s">
        <v>217</v>
      </c>
      <c r="B5448" t="s">
        <v>218</v>
      </c>
      <c r="C5448" t="s">
        <v>43</v>
      </c>
      <c r="D5448" t="s">
        <v>188</v>
      </c>
      <c r="E5448" t="s">
        <v>21</v>
      </c>
      <c r="F5448" s="1">
        <v>45231</v>
      </c>
      <c r="G5448">
        <v>1.32</v>
      </c>
      <c r="H5448">
        <v>82.846999999999994</v>
      </c>
      <c r="I5448">
        <v>23.07</v>
      </c>
      <c r="J5448">
        <v>72.58</v>
      </c>
      <c r="K5448" t="s">
        <v>22</v>
      </c>
      <c r="L5448">
        <v>837.16</v>
      </c>
      <c r="M5448">
        <f>VLOOKUP(K5448,RatingLookup!$A$2:$C$8,2,FALSE)</f>
        <v>5.0000000000000001E-3</v>
      </c>
      <c r="N5448">
        <f t="shared" si="255"/>
        <v>4.1762458919303302E-4</v>
      </c>
      <c r="O5448">
        <f>VLOOKUP(K5448,RatingLookup!$A$2:$C$8,3,FALSE)</f>
        <v>0.45</v>
      </c>
      <c r="P5448">
        <f t="shared" si="256"/>
        <v>0.15732837048997778</v>
      </c>
      <c r="Q5448" t="str">
        <f t="shared" ca="1" si="257"/>
        <v>No</v>
      </c>
    </row>
    <row r="5449" spans="1:17" x14ac:dyDescent="0.45">
      <c r="A5449" t="s">
        <v>217</v>
      </c>
      <c r="B5449" t="s">
        <v>218</v>
      </c>
      <c r="C5449" t="s">
        <v>43</v>
      </c>
      <c r="D5449" t="s">
        <v>188</v>
      </c>
      <c r="E5449" t="s">
        <v>21</v>
      </c>
      <c r="F5449" s="1">
        <v>45261</v>
      </c>
      <c r="G5449">
        <v>1.21</v>
      </c>
      <c r="H5449">
        <v>83.155199999999994</v>
      </c>
      <c r="I5449">
        <v>15.29</v>
      </c>
      <c r="J5449">
        <v>89.15</v>
      </c>
      <c r="K5449" t="s">
        <v>22</v>
      </c>
      <c r="L5449">
        <v>778.36</v>
      </c>
      <c r="M5449">
        <f>VLOOKUP(K5449,RatingLookup!$A$2:$C$8,2,FALSE)</f>
        <v>5.0000000000000001E-3</v>
      </c>
      <c r="N5449">
        <f t="shared" si="255"/>
        <v>4.1762458919303302E-4</v>
      </c>
      <c r="O5449">
        <f>VLOOKUP(K5449,RatingLookup!$A$2:$C$8,3,FALSE)</f>
        <v>0.45</v>
      </c>
      <c r="P5449">
        <f t="shared" si="256"/>
        <v>0.14627802385993016</v>
      </c>
      <c r="Q5449" t="str">
        <f t="shared" ca="1" si="257"/>
        <v>No</v>
      </c>
    </row>
    <row r="5450" spans="1:17" x14ac:dyDescent="0.45">
      <c r="A5450" t="s">
        <v>217</v>
      </c>
      <c r="B5450" t="s">
        <v>218</v>
      </c>
      <c r="C5450" t="s">
        <v>43</v>
      </c>
      <c r="D5450" t="s">
        <v>188</v>
      </c>
      <c r="E5450" t="s">
        <v>21</v>
      </c>
      <c r="F5450" s="1">
        <v>45292</v>
      </c>
      <c r="G5450">
        <v>0.23</v>
      </c>
      <c r="H5450">
        <v>86.742900000000006</v>
      </c>
      <c r="I5450">
        <v>31.14</v>
      </c>
      <c r="J5450">
        <v>70.89</v>
      </c>
      <c r="K5450" t="s">
        <v>22</v>
      </c>
      <c r="L5450">
        <v>758.49</v>
      </c>
      <c r="M5450">
        <f>VLOOKUP(K5450,RatingLookup!$A$2:$C$8,2,FALSE)</f>
        <v>5.0000000000000001E-3</v>
      </c>
      <c r="N5450">
        <f t="shared" si="255"/>
        <v>4.1762458919303302E-4</v>
      </c>
      <c r="O5450">
        <f>VLOOKUP(K5450,RatingLookup!$A$2:$C$8,3,FALSE)</f>
        <v>0.45</v>
      </c>
      <c r="P5450">
        <f t="shared" si="256"/>
        <v>0.14254383359566064</v>
      </c>
      <c r="Q5450" t="str">
        <f t="shared" ca="1" si="257"/>
        <v>No</v>
      </c>
    </row>
    <row r="5451" spans="1:17" x14ac:dyDescent="0.45">
      <c r="A5451" t="s">
        <v>217</v>
      </c>
      <c r="B5451" t="s">
        <v>218</v>
      </c>
      <c r="C5451" t="s">
        <v>43</v>
      </c>
      <c r="D5451" t="s">
        <v>188</v>
      </c>
      <c r="E5451" t="s">
        <v>21</v>
      </c>
      <c r="F5451" s="1">
        <v>45323</v>
      </c>
      <c r="G5451">
        <v>0.83</v>
      </c>
      <c r="H5451">
        <v>82.671599999999998</v>
      </c>
      <c r="I5451">
        <v>22.8</v>
      </c>
      <c r="J5451">
        <v>63.83</v>
      </c>
      <c r="K5451" t="s">
        <v>22</v>
      </c>
      <c r="L5451">
        <v>726.86</v>
      </c>
      <c r="M5451">
        <f>VLOOKUP(K5451,RatingLookup!$A$2:$C$8,2,FALSE)</f>
        <v>5.0000000000000001E-3</v>
      </c>
      <c r="N5451">
        <f t="shared" si="255"/>
        <v>4.1762458919303302E-4</v>
      </c>
      <c r="O5451">
        <f>VLOOKUP(K5451,RatingLookup!$A$2:$C$8,3,FALSE)</f>
        <v>0.45</v>
      </c>
      <c r="P5451">
        <f t="shared" si="256"/>
        <v>0.13659957400538161</v>
      </c>
      <c r="Q5451" t="str">
        <f t="shared" ca="1" si="257"/>
        <v>No</v>
      </c>
    </row>
    <row r="5452" spans="1:17" x14ac:dyDescent="0.45">
      <c r="A5452" t="s">
        <v>217</v>
      </c>
      <c r="B5452" t="s">
        <v>218</v>
      </c>
      <c r="C5452" t="s">
        <v>43</v>
      </c>
      <c r="D5452" t="s">
        <v>188</v>
      </c>
      <c r="E5452" t="s">
        <v>21</v>
      </c>
      <c r="F5452" s="1">
        <v>45352</v>
      </c>
      <c r="G5452">
        <v>0.9</v>
      </c>
      <c r="H5452">
        <v>83.000900000000001</v>
      </c>
      <c r="I5452">
        <v>18.260000000000002</v>
      </c>
      <c r="J5452">
        <v>70.900000000000006</v>
      </c>
      <c r="K5452" t="s">
        <v>22</v>
      </c>
      <c r="L5452">
        <v>792.26</v>
      </c>
      <c r="M5452">
        <f>VLOOKUP(K5452,RatingLookup!$A$2:$C$8,2,FALSE)</f>
        <v>5.0000000000000001E-3</v>
      </c>
      <c r="N5452">
        <f t="shared" si="255"/>
        <v>4.1762458919303302E-4</v>
      </c>
      <c r="O5452">
        <f>VLOOKUP(K5452,RatingLookup!$A$2:$C$8,3,FALSE)</f>
        <v>0.45</v>
      </c>
      <c r="P5452">
        <f t="shared" si="256"/>
        <v>0.14889026566533256</v>
      </c>
      <c r="Q5452" t="str">
        <f t="shared" ca="1" si="257"/>
        <v>No</v>
      </c>
    </row>
    <row r="5453" spans="1:17" x14ac:dyDescent="0.45">
      <c r="A5453" t="s">
        <v>217</v>
      </c>
      <c r="B5453" t="s">
        <v>218</v>
      </c>
      <c r="C5453" t="s">
        <v>43</v>
      </c>
      <c r="D5453" t="s">
        <v>188</v>
      </c>
      <c r="E5453" t="s">
        <v>21</v>
      </c>
      <c r="F5453" s="1">
        <v>45383</v>
      </c>
      <c r="G5453">
        <v>0.9</v>
      </c>
      <c r="H5453">
        <v>86.026200000000003</v>
      </c>
      <c r="I5453">
        <v>21.67</v>
      </c>
      <c r="J5453">
        <v>81.260000000000005</v>
      </c>
      <c r="K5453" t="s">
        <v>23</v>
      </c>
      <c r="L5453">
        <v>714.9</v>
      </c>
      <c r="M5453">
        <f>VLOOKUP(K5453,RatingLookup!$A$2:$C$8,2,FALSE)</f>
        <v>1E-3</v>
      </c>
      <c r="N5453">
        <f t="shared" si="255"/>
        <v>8.3371552197619714E-5</v>
      </c>
      <c r="O5453">
        <f>VLOOKUP(K5453,RatingLookup!$A$2:$C$8,3,FALSE)</f>
        <v>0.3</v>
      </c>
      <c r="P5453">
        <f t="shared" si="256"/>
        <v>1.7880696799823497E-2</v>
      </c>
      <c r="Q5453" t="str">
        <f t="shared" ca="1" si="257"/>
        <v>No</v>
      </c>
    </row>
    <row r="5454" spans="1:17" x14ac:dyDescent="0.45">
      <c r="A5454" t="s">
        <v>217</v>
      </c>
      <c r="B5454" t="s">
        <v>218</v>
      </c>
      <c r="C5454" t="s">
        <v>43</v>
      </c>
      <c r="D5454" t="s">
        <v>188</v>
      </c>
      <c r="E5454" t="s">
        <v>21</v>
      </c>
      <c r="F5454" s="1">
        <v>45413</v>
      </c>
      <c r="G5454">
        <v>0.83</v>
      </c>
      <c r="H5454">
        <v>78.203400000000002</v>
      </c>
      <c r="I5454">
        <v>17.66</v>
      </c>
      <c r="J5454">
        <v>71.34</v>
      </c>
      <c r="K5454" t="s">
        <v>23</v>
      </c>
      <c r="L5454">
        <v>757.34</v>
      </c>
      <c r="M5454">
        <f>VLOOKUP(K5454,RatingLookup!$A$2:$C$8,2,FALSE)</f>
        <v>1E-3</v>
      </c>
      <c r="N5454">
        <f t="shared" si="255"/>
        <v>8.3371552197619714E-5</v>
      </c>
      <c r="O5454">
        <f>VLOOKUP(K5454,RatingLookup!$A$2:$C$8,3,FALSE)</f>
        <v>0.3</v>
      </c>
      <c r="P5454">
        <f t="shared" si="256"/>
        <v>1.8942183402403594E-2</v>
      </c>
      <c r="Q5454" t="str">
        <f t="shared" ca="1" si="257"/>
        <v>No</v>
      </c>
    </row>
    <row r="5455" spans="1:17" x14ac:dyDescent="0.45">
      <c r="A5455" t="s">
        <v>217</v>
      </c>
      <c r="B5455" t="s">
        <v>218</v>
      </c>
      <c r="C5455" t="s">
        <v>43</v>
      </c>
      <c r="D5455" t="s">
        <v>188</v>
      </c>
      <c r="E5455" t="s">
        <v>21</v>
      </c>
      <c r="F5455" s="1">
        <v>45444</v>
      </c>
      <c r="G5455">
        <v>0.88</v>
      </c>
      <c r="H5455">
        <v>86.332700000000003</v>
      </c>
      <c r="I5455">
        <v>12.49</v>
      </c>
      <c r="J5455">
        <v>76.05</v>
      </c>
      <c r="K5455" t="s">
        <v>23</v>
      </c>
      <c r="L5455">
        <v>781.11</v>
      </c>
      <c r="M5455">
        <f>VLOOKUP(K5455,RatingLookup!$A$2:$C$8,2,FALSE)</f>
        <v>1E-3</v>
      </c>
      <c r="N5455">
        <f t="shared" si="255"/>
        <v>8.3371552197619714E-5</v>
      </c>
      <c r="O5455">
        <f>VLOOKUP(K5455,RatingLookup!$A$2:$C$8,3,FALSE)</f>
        <v>0.3</v>
      </c>
      <c r="P5455">
        <f t="shared" si="256"/>
        <v>1.9536705941124822E-2</v>
      </c>
      <c r="Q5455" t="str">
        <f t="shared" ca="1" si="257"/>
        <v>No</v>
      </c>
    </row>
    <row r="5456" spans="1:17" x14ac:dyDescent="0.45">
      <c r="A5456" t="s">
        <v>217</v>
      </c>
      <c r="B5456" t="s">
        <v>218</v>
      </c>
      <c r="C5456" t="s">
        <v>43</v>
      </c>
      <c r="D5456" t="s">
        <v>188</v>
      </c>
      <c r="E5456" t="s">
        <v>21</v>
      </c>
      <c r="F5456" s="1">
        <v>45474</v>
      </c>
      <c r="G5456">
        <v>0.28000000000000003</v>
      </c>
      <c r="H5456">
        <v>83.641800000000003</v>
      </c>
      <c r="I5456">
        <v>24.32</v>
      </c>
      <c r="J5456">
        <v>82.92</v>
      </c>
      <c r="K5456" t="s">
        <v>23</v>
      </c>
      <c r="L5456">
        <v>879.82</v>
      </c>
      <c r="M5456">
        <f>VLOOKUP(K5456,RatingLookup!$A$2:$C$8,2,FALSE)</f>
        <v>1E-3</v>
      </c>
      <c r="N5456">
        <f t="shared" si="255"/>
        <v>8.3371552197619714E-5</v>
      </c>
      <c r="O5456">
        <f>VLOOKUP(K5456,RatingLookup!$A$2:$C$8,3,FALSE)</f>
        <v>0.3</v>
      </c>
      <c r="P5456">
        <f t="shared" si="256"/>
        <v>2.2005587716352932E-2</v>
      </c>
      <c r="Q5456" t="str">
        <f t="shared" ca="1" si="257"/>
        <v>No</v>
      </c>
    </row>
    <row r="5457" spans="1:17" x14ac:dyDescent="0.45">
      <c r="A5457" t="s">
        <v>217</v>
      </c>
      <c r="B5457" t="s">
        <v>218</v>
      </c>
      <c r="C5457" t="s">
        <v>43</v>
      </c>
      <c r="D5457" t="s">
        <v>188</v>
      </c>
      <c r="E5457" t="s">
        <v>21</v>
      </c>
      <c r="F5457" s="1">
        <v>45505</v>
      </c>
      <c r="G5457">
        <v>2.29</v>
      </c>
      <c r="H5457">
        <v>85.005899999999997</v>
      </c>
      <c r="I5457">
        <v>18.329999999999998</v>
      </c>
      <c r="J5457">
        <v>79.41</v>
      </c>
      <c r="K5457" t="s">
        <v>23</v>
      </c>
      <c r="L5457">
        <v>875.42</v>
      </c>
      <c r="M5457">
        <f>VLOOKUP(K5457,RatingLookup!$A$2:$C$8,2,FALSE)</f>
        <v>1E-3</v>
      </c>
      <c r="N5457">
        <f t="shared" si="255"/>
        <v>8.3371552197619714E-5</v>
      </c>
      <c r="O5457">
        <f>VLOOKUP(K5457,RatingLookup!$A$2:$C$8,3,FALSE)</f>
        <v>0.3</v>
      </c>
      <c r="P5457">
        <f t="shared" si="256"/>
        <v>2.1895537267452071E-2</v>
      </c>
      <c r="Q5457" t="str">
        <f t="shared" ca="1" si="257"/>
        <v>No</v>
      </c>
    </row>
    <row r="5458" spans="1:17" x14ac:dyDescent="0.45">
      <c r="A5458" t="s">
        <v>217</v>
      </c>
      <c r="B5458" t="s">
        <v>218</v>
      </c>
      <c r="C5458" t="s">
        <v>43</v>
      </c>
      <c r="D5458" t="s">
        <v>188</v>
      </c>
      <c r="E5458" t="s">
        <v>21</v>
      </c>
      <c r="F5458" s="1">
        <v>45536</v>
      </c>
      <c r="G5458">
        <v>1.44</v>
      </c>
      <c r="H5458">
        <v>83.476900000000001</v>
      </c>
      <c r="I5458">
        <v>21.12</v>
      </c>
      <c r="J5458">
        <v>87.48</v>
      </c>
      <c r="K5458" t="s">
        <v>23</v>
      </c>
      <c r="L5458">
        <v>780.07</v>
      </c>
      <c r="M5458">
        <f>VLOOKUP(K5458,RatingLookup!$A$2:$C$8,2,FALSE)</f>
        <v>1E-3</v>
      </c>
      <c r="N5458">
        <f t="shared" si="255"/>
        <v>8.3371552197619714E-5</v>
      </c>
      <c r="O5458">
        <f>VLOOKUP(K5458,RatingLookup!$A$2:$C$8,3,FALSE)</f>
        <v>0.3</v>
      </c>
      <c r="P5458">
        <f t="shared" si="256"/>
        <v>1.9510694016839164E-2</v>
      </c>
      <c r="Q5458" t="str">
        <f t="shared" ca="1" si="257"/>
        <v>No</v>
      </c>
    </row>
    <row r="5459" spans="1:17" x14ac:dyDescent="0.45">
      <c r="A5459" t="s">
        <v>217</v>
      </c>
      <c r="B5459" t="s">
        <v>218</v>
      </c>
      <c r="C5459" t="s">
        <v>43</v>
      </c>
      <c r="D5459" t="s">
        <v>188</v>
      </c>
      <c r="E5459" t="s">
        <v>21</v>
      </c>
      <c r="F5459" s="1">
        <v>45566</v>
      </c>
      <c r="G5459">
        <v>0.95</v>
      </c>
      <c r="H5459">
        <v>79.0398</v>
      </c>
      <c r="I5459">
        <v>21.36</v>
      </c>
      <c r="J5459">
        <v>57.9</v>
      </c>
      <c r="K5459" t="s">
        <v>23</v>
      </c>
      <c r="L5459">
        <v>734.14</v>
      </c>
      <c r="M5459">
        <f>VLOOKUP(K5459,RatingLookup!$A$2:$C$8,2,FALSE)</f>
        <v>1E-3</v>
      </c>
      <c r="N5459">
        <f t="shared" si="255"/>
        <v>8.3371552197619714E-5</v>
      </c>
      <c r="O5459">
        <f>VLOOKUP(K5459,RatingLookup!$A$2:$C$8,3,FALSE)</f>
        <v>0.3</v>
      </c>
      <c r="P5459">
        <f t="shared" si="256"/>
        <v>1.8361917399108162E-2</v>
      </c>
      <c r="Q5459" t="str">
        <f t="shared" ca="1" si="257"/>
        <v>No</v>
      </c>
    </row>
    <row r="5460" spans="1:17" x14ac:dyDescent="0.45">
      <c r="A5460" t="s">
        <v>217</v>
      </c>
      <c r="B5460" t="s">
        <v>218</v>
      </c>
      <c r="C5460" t="s">
        <v>43</v>
      </c>
      <c r="D5460" t="s">
        <v>188</v>
      </c>
      <c r="E5460" t="s">
        <v>21</v>
      </c>
      <c r="F5460" s="1">
        <v>45597</v>
      </c>
      <c r="G5460">
        <v>1.75</v>
      </c>
      <c r="H5460">
        <v>83.947500000000005</v>
      </c>
      <c r="I5460">
        <v>30.75</v>
      </c>
      <c r="J5460">
        <v>92.87</v>
      </c>
      <c r="K5460" t="s">
        <v>23</v>
      </c>
      <c r="L5460">
        <v>864.75</v>
      </c>
      <c r="M5460">
        <f>VLOOKUP(K5460,RatingLookup!$A$2:$C$8,2,FALSE)</f>
        <v>1E-3</v>
      </c>
      <c r="N5460">
        <f t="shared" si="255"/>
        <v>8.3371552197619714E-5</v>
      </c>
      <c r="O5460">
        <f>VLOOKUP(K5460,RatingLookup!$A$2:$C$8,3,FALSE)</f>
        <v>0.3</v>
      </c>
      <c r="P5460">
        <f t="shared" si="256"/>
        <v>2.1628664928867492E-2</v>
      </c>
      <c r="Q5460" t="str">
        <f t="shared" ca="1" si="257"/>
        <v>No</v>
      </c>
    </row>
    <row r="5461" spans="1:17" x14ac:dyDescent="0.45">
      <c r="A5461" t="s">
        <v>217</v>
      </c>
      <c r="B5461" t="s">
        <v>218</v>
      </c>
      <c r="C5461" t="s">
        <v>43</v>
      </c>
      <c r="D5461" t="s">
        <v>188</v>
      </c>
      <c r="E5461" t="s">
        <v>21</v>
      </c>
      <c r="F5461" s="1">
        <v>45627</v>
      </c>
      <c r="G5461">
        <v>1.18</v>
      </c>
      <c r="H5461">
        <v>85.537199999999999</v>
      </c>
      <c r="I5461">
        <v>23.54</v>
      </c>
      <c r="J5461">
        <v>73.75</v>
      </c>
      <c r="K5461" t="s">
        <v>23</v>
      </c>
      <c r="L5461">
        <v>773.66</v>
      </c>
      <c r="M5461">
        <f>VLOOKUP(K5461,RatingLookup!$A$2:$C$8,2,FALSE)</f>
        <v>1E-3</v>
      </c>
      <c r="N5461">
        <f t="shared" si="255"/>
        <v>8.3371552197619714E-5</v>
      </c>
      <c r="O5461">
        <f>VLOOKUP(K5461,RatingLookup!$A$2:$C$8,3,FALSE)</f>
        <v>0.3</v>
      </c>
      <c r="P5461">
        <f t="shared" si="256"/>
        <v>1.9350370521963142E-2</v>
      </c>
      <c r="Q5461" t="str">
        <f t="shared" ca="1" si="257"/>
        <v>No</v>
      </c>
    </row>
    <row r="5462" spans="1:17" x14ac:dyDescent="0.45">
      <c r="A5462" t="s">
        <v>219</v>
      </c>
      <c r="B5462" t="s">
        <v>220</v>
      </c>
      <c r="C5462" t="s">
        <v>77</v>
      </c>
      <c r="D5462" t="s">
        <v>188</v>
      </c>
      <c r="E5462" t="s">
        <v>21</v>
      </c>
      <c r="F5462" s="1">
        <v>43831</v>
      </c>
      <c r="G5462">
        <v>1.92</v>
      </c>
      <c r="H5462">
        <v>83.883099999999999</v>
      </c>
      <c r="I5462">
        <v>17.82</v>
      </c>
      <c r="J5462">
        <v>75.66</v>
      </c>
      <c r="K5462" t="s">
        <v>30</v>
      </c>
      <c r="L5462">
        <v>1431.56</v>
      </c>
      <c r="M5462">
        <f>VLOOKUP(K5462,RatingLookup!$A$2:$C$8,2,FALSE)</f>
        <v>1.4999999999999999E-2</v>
      </c>
      <c r="N5462">
        <f t="shared" si="255"/>
        <v>1.2586770182638762E-3</v>
      </c>
      <c r="O5462">
        <f>VLOOKUP(K5462,RatingLookup!$A$2:$C$8,3,FALSE)</f>
        <v>0.5</v>
      </c>
      <c r="P5462">
        <f t="shared" si="256"/>
        <v>0.90093583613291728</v>
      </c>
      <c r="Q5462" t="str">
        <f t="shared" ca="1" si="257"/>
        <v>No</v>
      </c>
    </row>
    <row r="5463" spans="1:17" x14ac:dyDescent="0.45">
      <c r="A5463" t="s">
        <v>219</v>
      </c>
      <c r="B5463" t="s">
        <v>220</v>
      </c>
      <c r="C5463" t="s">
        <v>77</v>
      </c>
      <c r="D5463" t="s">
        <v>188</v>
      </c>
      <c r="E5463" t="s">
        <v>21</v>
      </c>
      <c r="F5463" s="1">
        <v>43862</v>
      </c>
      <c r="G5463">
        <v>1.38</v>
      </c>
      <c r="H5463">
        <v>81.326800000000006</v>
      </c>
      <c r="I5463">
        <v>9.89</v>
      </c>
      <c r="J5463">
        <v>67.790000000000006</v>
      </c>
      <c r="K5463" t="s">
        <v>30</v>
      </c>
      <c r="L5463">
        <v>1421.21</v>
      </c>
      <c r="M5463">
        <f>VLOOKUP(K5463,RatingLookup!$A$2:$C$8,2,FALSE)</f>
        <v>1.4999999999999999E-2</v>
      </c>
      <c r="N5463">
        <f t="shared" si="255"/>
        <v>1.2586770182638762E-3</v>
      </c>
      <c r="O5463">
        <f>VLOOKUP(K5463,RatingLookup!$A$2:$C$8,3,FALSE)</f>
        <v>0.5</v>
      </c>
      <c r="P5463">
        <f t="shared" si="256"/>
        <v>0.89442218256340178</v>
      </c>
      <c r="Q5463" t="str">
        <f t="shared" ca="1" si="257"/>
        <v>No</v>
      </c>
    </row>
    <row r="5464" spans="1:17" x14ac:dyDescent="0.45">
      <c r="A5464" t="s">
        <v>219</v>
      </c>
      <c r="B5464" t="s">
        <v>220</v>
      </c>
      <c r="C5464" t="s">
        <v>77</v>
      </c>
      <c r="D5464" t="s">
        <v>188</v>
      </c>
      <c r="E5464" t="s">
        <v>21</v>
      </c>
      <c r="F5464" s="1">
        <v>43891</v>
      </c>
      <c r="G5464">
        <v>1.2</v>
      </c>
      <c r="H5464">
        <v>78.805300000000003</v>
      </c>
      <c r="I5464">
        <v>5.57</v>
      </c>
      <c r="J5464">
        <v>89.05</v>
      </c>
      <c r="K5464" t="s">
        <v>30</v>
      </c>
      <c r="L5464">
        <v>1462.17</v>
      </c>
      <c r="M5464">
        <f>VLOOKUP(K5464,RatingLookup!$A$2:$C$8,2,FALSE)</f>
        <v>1.4999999999999999E-2</v>
      </c>
      <c r="N5464">
        <f t="shared" si="255"/>
        <v>1.2586770182638762E-3</v>
      </c>
      <c r="O5464">
        <f>VLOOKUP(K5464,RatingLookup!$A$2:$C$8,3,FALSE)</f>
        <v>0.5</v>
      </c>
      <c r="P5464">
        <f t="shared" si="256"/>
        <v>0.920199887897446</v>
      </c>
      <c r="Q5464" t="str">
        <f t="shared" ca="1" si="257"/>
        <v>No</v>
      </c>
    </row>
    <row r="5465" spans="1:17" x14ac:dyDescent="0.45">
      <c r="A5465" t="s">
        <v>219</v>
      </c>
      <c r="B5465" t="s">
        <v>220</v>
      </c>
      <c r="C5465" t="s">
        <v>77</v>
      </c>
      <c r="D5465" t="s">
        <v>188</v>
      </c>
      <c r="E5465" t="s">
        <v>21</v>
      </c>
      <c r="F5465" s="1">
        <v>43922</v>
      </c>
      <c r="G5465">
        <v>2.31</v>
      </c>
      <c r="H5465">
        <v>87.405500000000004</v>
      </c>
      <c r="I5465">
        <v>23.81</v>
      </c>
      <c r="J5465">
        <v>80.95</v>
      </c>
      <c r="K5465" t="s">
        <v>30</v>
      </c>
      <c r="L5465">
        <v>1372.26</v>
      </c>
      <c r="M5465">
        <f>VLOOKUP(K5465,RatingLookup!$A$2:$C$8,2,FALSE)</f>
        <v>1.4999999999999999E-2</v>
      </c>
      <c r="N5465">
        <f t="shared" si="255"/>
        <v>1.2586770182638762E-3</v>
      </c>
      <c r="O5465">
        <f>VLOOKUP(K5465,RatingLookup!$A$2:$C$8,3,FALSE)</f>
        <v>0.5</v>
      </c>
      <c r="P5465">
        <f t="shared" si="256"/>
        <v>0.86361606254139345</v>
      </c>
      <c r="Q5465" t="str">
        <f t="shared" ca="1" si="257"/>
        <v>No</v>
      </c>
    </row>
    <row r="5466" spans="1:17" x14ac:dyDescent="0.45">
      <c r="A5466" t="s">
        <v>219</v>
      </c>
      <c r="B5466" t="s">
        <v>220</v>
      </c>
      <c r="C5466" t="s">
        <v>77</v>
      </c>
      <c r="D5466" t="s">
        <v>188</v>
      </c>
      <c r="E5466" t="s">
        <v>21</v>
      </c>
      <c r="F5466" s="1">
        <v>43952</v>
      </c>
      <c r="G5466">
        <v>1.8</v>
      </c>
      <c r="H5466">
        <v>79.483500000000006</v>
      </c>
      <c r="I5466">
        <v>17.5</v>
      </c>
      <c r="J5466">
        <v>85.17</v>
      </c>
      <c r="K5466" t="s">
        <v>30</v>
      </c>
      <c r="L5466">
        <v>1494.18</v>
      </c>
      <c r="M5466">
        <f>VLOOKUP(K5466,RatingLookup!$A$2:$C$8,2,FALSE)</f>
        <v>1.4999999999999999E-2</v>
      </c>
      <c r="N5466">
        <f t="shared" si="255"/>
        <v>1.2586770182638762E-3</v>
      </c>
      <c r="O5466">
        <f>VLOOKUP(K5466,RatingLookup!$A$2:$C$8,3,FALSE)</f>
        <v>0.5</v>
      </c>
      <c r="P5466">
        <f t="shared" si="256"/>
        <v>0.9403450135747593</v>
      </c>
      <c r="Q5466" t="str">
        <f t="shared" ca="1" si="257"/>
        <v>No</v>
      </c>
    </row>
    <row r="5467" spans="1:17" x14ac:dyDescent="0.45">
      <c r="A5467" t="s">
        <v>219</v>
      </c>
      <c r="B5467" t="s">
        <v>220</v>
      </c>
      <c r="C5467" t="s">
        <v>77</v>
      </c>
      <c r="D5467" t="s">
        <v>188</v>
      </c>
      <c r="E5467" t="s">
        <v>21</v>
      </c>
      <c r="F5467" s="1">
        <v>43983</v>
      </c>
      <c r="G5467">
        <v>1.51</v>
      </c>
      <c r="H5467">
        <v>84.964200000000005</v>
      </c>
      <c r="I5467">
        <v>14.72</v>
      </c>
      <c r="J5467">
        <v>63.05</v>
      </c>
      <c r="K5467" t="s">
        <v>30</v>
      </c>
      <c r="L5467">
        <v>1416.12</v>
      </c>
      <c r="M5467">
        <f>VLOOKUP(K5467,RatingLookup!$A$2:$C$8,2,FALSE)</f>
        <v>1.4999999999999999E-2</v>
      </c>
      <c r="N5467">
        <f t="shared" si="255"/>
        <v>1.2586770182638762E-3</v>
      </c>
      <c r="O5467">
        <f>VLOOKUP(K5467,RatingLookup!$A$2:$C$8,3,FALSE)</f>
        <v>0.5</v>
      </c>
      <c r="P5467">
        <f t="shared" si="256"/>
        <v>0.8912188495519201</v>
      </c>
      <c r="Q5467" t="str">
        <f t="shared" ca="1" si="257"/>
        <v>No</v>
      </c>
    </row>
    <row r="5468" spans="1:17" x14ac:dyDescent="0.45">
      <c r="A5468" t="s">
        <v>219</v>
      </c>
      <c r="B5468" t="s">
        <v>220</v>
      </c>
      <c r="C5468" t="s">
        <v>77</v>
      </c>
      <c r="D5468" t="s">
        <v>188</v>
      </c>
      <c r="E5468" t="s">
        <v>21</v>
      </c>
      <c r="F5468" s="1">
        <v>44013</v>
      </c>
      <c r="G5468">
        <v>1.56</v>
      </c>
      <c r="H5468">
        <v>83.662199999999999</v>
      </c>
      <c r="I5468">
        <v>18.04</v>
      </c>
      <c r="J5468">
        <v>72.62</v>
      </c>
      <c r="K5468" t="s">
        <v>30</v>
      </c>
      <c r="L5468">
        <v>1437.9</v>
      </c>
      <c r="M5468">
        <f>VLOOKUP(K5468,RatingLookup!$A$2:$C$8,2,FALSE)</f>
        <v>1.4999999999999999E-2</v>
      </c>
      <c r="N5468">
        <f t="shared" si="255"/>
        <v>1.2586770182638762E-3</v>
      </c>
      <c r="O5468">
        <f>VLOOKUP(K5468,RatingLookup!$A$2:$C$8,3,FALSE)</f>
        <v>0.5</v>
      </c>
      <c r="P5468">
        <f t="shared" si="256"/>
        <v>0.90492584228081385</v>
      </c>
      <c r="Q5468" t="str">
        <f t="shared" ca="1" si="257"/>
        <v>No</v>
      </c>
    </row>
    <row r="5469" spans="1:17" x14ac:dyDescent="0.45">
      <c r="A5469" t="s">
        <v>219</v>
      </c>
      <c r="B5469" t="s">
        <v>220</v>
      </c>
      <c r="C5469" t="s">
        <v>77</v>
      </c>
      <c r="D5469" t="s">
        <v>188</v>
      </c>
      <c r="E5469" t="s">
        <v>21</v>
      </c>
      <c r="F5469" s="1">
        <v>44044</v>
      </c>
      <c r="G5469">
        <v>2.1800000000000002</v>
      </c>
      <c r="H5469">
        <v>84.703199999999995</v>
      </c>
      <c r="I5469">
        <v>25.81</v>
      </c>
      <c r="J5469">
        <v>53.12</v>
      </c>
      <c r="K5469" t="s">
        <v>30</v>
      </c>
      <c r="L5469">
        <v>1513.39</v>
      </c>
      <c r="M5469">
        <f>VLOOKUP(K5469,RatingLookup!$A$2:$C$8,2,FALSE)</f>
        <v>1.4999999999999999E-2</v>
      </c>
      <c r="N5469">
        <f t="shared" si="255"/>
        <v>1.2586770182638762E-3</v>
      </c>
      <c r="O5469">
        <f>VLOOKUP(K5469,RatingLookup!$A$2:$C$8,3,FALSE)</f>
        <v>0.5</v>
      </c>
      <c r="P5469">
        <f t="shared" si="256"/>
        <v>0.95243460633518384</v>
      </c>
      <c r="Q5469" t="str">
        <f t="shared" ca="1" si="257"/>
        <v>No</v>
      </c>
    </row>
    <row r="5470" spans="1:17" x14ac:dyDescent="0.45">
      <c r="A5470" t="s">
        <v>219</v>
      </c>
      <c r="B5470" t="s">
        <v>220</v>
      </c>
      <c r="C5470" t="s">
        <v>77</v>
      </c>
      <c r="D5470" t="s">
        <v>188</v>
      </c>
      <c r="E5470" t="s">
        <v>21</v>
      </c>
      <c r="F5470" s="1">
        <v>44075</v>
      </c>
      <c r="G5470">
        <v>1.18</v>
      </c>
      <c r="H5470">
        <v>81.404399999999995</v>
      </c>
      <c r="I5470">
        <v>19.75</v>
      </c>
      <c r="J5470">
        <v>51.63</v>
      </c>
      <c r="K5470" t="s">
        <v>30</v>
      </c>
      <c r="L5470">
        <v>1252.8900000000001</v>
      </c>
      <c r="M5470">
        <f>VLOOKUP(K5470,RatingLookup!$A$2:$C$8,2,FALSE)</f>
        <v>1.4999999999999999E-2</v>
      </c>
      <c r="N5470">
        <f t="shared" si="255"/>
        <v>1.2586770182638762E-3</v>
      </c>
      <c r="O5470">
        <f>VLOOKUP(K5470,RatingLookup!$A$2:$C$8,3,FALSE)</f>
        <v>0.5</v>
      </c>
      <c r="P5470">
        <f t="shared" si="256"/>
        <v>0.78849192470631402</v>
      </c>
      <c r="Q5470" t="str">
        <f t="shared" ca="1" si="257"/>
        <v>No</v>
      </c>
    </row>
    <row r="5471" spans="1:17" x14ac:dyDescent="0.45">
      <c r="A5471" t="s">
        <v>219</v>
      </c>
      <c r="B5471" t="s">
        <v>220</v>
      </c>
      <c r="C5471" t="s">
        <v>77</v>
      </c>
      <c r="D5471" t="s">
        <v>188</v>
      </c>
      <c r="E5471" t="s">
        <v>21</v>
      </c>
      <c r="F5471" s="1">
        <v>44105</v>
      </c>
      <c r="G5471">
        <v>1.69</v>
      </c>
      <c r="H5471">
        <v>83.534499999999994</v>
      </c>
      <c r="I5471">
        <v>8.65</v>
      </c>
      <c r="J5471">
        <v>82.88</v>
      </c>
      <c r="K5471" t="s">
        <v>30</v>
      </c>
      <c r="L5471">
        <v>1377.83</v>
      </c>
      <c r="M5471">
        <f>VLOOKUP(K5471,RatingLookup!$A$2:$C$8,2,FALSE)</f>
        <v>1.4999999999999999E-2</v>
      </c>
      <c r="N5471">
        <f t="shared" si="255"/>
        <v>1.2586770182638762E-3</v>
      </c>
      <c r="O5471">
        <f>VLOOKUP(K5471,RatingLookup!$A$2:$C$8,3,FALSE)</f>
        <v>0.5</v>
      </c>
      <c r="P5471">
        <f t="shared" si="256"/>
        <v>0.86712147803725825</v>
      </c>
      <c r="Q5471" t="str">
        <f t="shared" ca="1" si="257"/>
        <v>No</v>
      </c>
    </row>
    <row r="5472" spans="1:17" x14ac:dyDescent="0.45">
      <c r="A5472" t="s">
        <v>219</v>
      </c>
      <c r="B5472" t="s">
        <v>220</v>
      </c>
      <c r="C5472" t="s">
        <v>77</v>
      </c>
      <c r="D5472" t="s">
        <v>188</v>
      </c>
      <c r="E5472" t="s">
        <v>21</v>
      </c>
      <c r="F5472" s="1">
        <v>44136</v>
      </c>
      <c r="G5472">
        <v>0.76</v>
      </c>
      <c r="H5472">
        <v>86.5321</v>
      </c>
      <c r="I5472">
        <v>17.57</v>
      </c>
      <c r="J5472">
        <v>75.819999999999993</v>
      </c>
      <c r="K5472" t="s">
        <v>30</v>
      </c>
      <c r="L5472">
        <v>1487.25</v>
      </c>
      <c r="M5472">
        <f>VLOOKUP(K5472,RatingLookup!$A$2:$C$8,2,FALSE)</f>
        <v>1.4999999999999999E-2</v>
      </c>
      <c r="N5472">
        <f t="shared" si="255"/>
        <v>1.2586770182638762E-3</v>
      </c>
      <c r="O5472">
        <f>VLOOKUP(K5472,RatingLookup!$A$2:$C$8,3,FALSE)</f>
        <v>0.5</v>
      </c>
      <c r="P5472">
        <f t="shared" si="256"/>
        <v>0.93598369770647494</v>
      </c>
      <c r="Q5472" t="str">
        <f t="shared" ca="1" si="257"/>
        <v>No</v>
      </c>
    </row>
    <row r="5473" spans="1:17" x14ac:dyDescent="0.45">
      <c r="A5473" t="s">
        <v>219</v>
      </c>
      <c r="B5473" t="s">
        <v>220</v>
      </c>
      <c r="C5473" t="s">
        <v>77</v>
      </c>
      <c r="D5473" t="s">
        <v>188</v>
      </c>
      <c r="E5473" t="s">
        <v>21</v>
      </c>
      <c r="F5473" s="1">
        <v>44166</v>
      </c>
      <c r="G5473">
        <v>2.14</v>
      </c>
      <c r="H5473">
        <v>84.099299999999999</v>
      </c>
      <c r="I5473">
        <v>27.02</v>
      </c>
      <c r="J5473">
        <v>71.41</v>
      </c>
      <c r="K5473" t="s">
        <v>30</v>
      </c>
      <c r="L5473">
        <v>1498.4</v>
      </c>
      <c r="M5473">
        <f>VLOOKUP(K5473,RatingLookup!$A$2:$C$8,2,FALSE)</f>
        <v>1.4999999999999999E-2</v>
      </c>
      <c r="N5473">
        <f t="shared" si="255"/>
        <v>1.2586770182638762E-3</v>
      </c>
      <c r="O5473">
        <f>VLOOKUP(K5473,RatingLookup!$A$2:$C$8,3,FALSE)</f>
        <v>0.5</v>
      </c>
      <c r="P5473">
        <f t="shared" si="256"/>
        <v>0.94300082208329616</v>
      </c>
      <c r="Q5473" t="str">
        <f t="shared" ca="1" si="257"/>
        <v>No</v>
      </c>
    </row>
    <row r="5474" spans="1:17" x14ac:dyDescent="0.45">
      <c r="A5474" t="s">
        <v>219</v>
      </c>
      <c r="B5474" t="s">
        <v>220</v>
      </c>
      <c r="C5474" t="s">
        <v>77</v>
      </c>
      <c r="D5474" t="s">
        <v>188</v>
      </c>
      <c r="E5474" t="s">
        <v>21</v>
      </c>
      <c r="F5474" s="1">
        <v>44197</v>
      </c>
      <c r="G5474">
        <v>0.17</v>
      </c>
      <c r="H5474">
        <v>85.3827</v>
      </c>
      <c r="I5474">
        <v>24.48</v>
      </c>
      <c r="J5474">
        <v>82.8</v>
      </c>
      <c r="K5474" t="s">
        <v>30</v>
      </c>
      <c r="L5474">
        <v>1401.87</v>
      </c>
      <c r="M5474">
        <f>VLOOKUP(K5474,RatingLookup!$A$2:$C$8,2,FALSE)</f>
        <v>1.4999999999999999E-2</v>
      </c>
      <c r="N5474">
        <f t="shared" si="255"/>
        <v>1.2586770182638762E-3</v>
      </c>
      <c r="O5474">
        <f>VLOOKUP(K5474,RatingLookup!$A$2:$C$8,3,FALSE)</f>
        <v>0.5</v>
      </c>
      <c r="P5474">
        <f t="shared" si="256"/>
        <v>0.88225077579679001</v>
      </c>
      <c r="Q5474" t="str">
        <f t="shared" ca="1" si="257"/>
        <v>No</v>
      </c>
    </row>
    <row r="5475" spans="1:17" x14ac:dyDescent="0.45">
      <c r="A5475" t="s">
        <v>219</v>
      </c>
      <c r="B5475" t="s">
        <v>220</v>
      </c>
      <c r="C5475" t="s">
        <v>77</v>
      </c>
      <c r="D5475" t="s">
        <v>188</v>
      </c>
      <c r="E5475" t="s">
        <v>21</v>
      </c>
      <c r="F5475" s="1">
        <v>44228</v>
      </c>
      <c r="G5475">
        <v>2.4900000000000002</v>
      </c>
      <c r="H5475">
        <v>79.397000000000006</v>
      </c>
      <c r="I5475">
        <v>16.38</v>
      </c>
      <c r="J5475">
        <v>76.98</v>
      </c>
      <c r="K5475" t="s">
        <v>30</v>
      </c>
      <c r="L5475">
        <v>1384.98</v>
      </c>
      <c r="M5475">
        <f>VLOOKUP(K5475,RatingLookup!$A$2:$C$8,2,FALSE)</f>
        <v>1.4999999999999999E-2</v>
      </c>
      <c r="N5475">
        <f t="shared" si="255"/>
        <v>1.2586770182638762E-3</v>
      </c>
      <c r="O5475">
        <f>VLOOKUP(K5475,RatingLookup!$A$2:$C$8,3,FALSE)</f>
        <v>0.5</v>
      </c>
      <c r="P5475">
        <f t="shared" si="256"/>
        <v>0.87162124837755162</v>
      </c>
      <c r="Q5475" t="str">
        <f t="shared" ca="1" si="257"/>
        <v>No</v>
      </c>
    </row>
    <row r="5476" spans="1:17" x14ac:dyDescent="0.45">
      <c r="A5476" t="s">
        <v>219</v>
      </c>
      <c r="B5476" t="s">
        <v>220</v>
      </c>
      <c r="C5476" t="s">
        <v>77</v>
      </c>
      <c r="D5476" t="s">
        <v>188</v>
      </c>
      <c r="E5476" t="s">
        <v>21</v>
      </c>
      <c r="F5476" s="1">
        <v>44256</v>
      </c>
      <c r="G5476">
        <v>2.13</v>
      </c>
      <c r="H5476">
        <v>78.638599999999997</v>
      </c>
      <c r="I5476">
        <v>32.06</v>
      </c>
      <c r="J5476">
        <v>67.75</v>
      </c>
      <c r="K5476" t="s">
        <v>30</v>
      </c>
      <c r="L5476">
        <v>1376.35</v>
      </c>
      <c r="M5476">
        <f>VLOOKUP(K5476,RatingLookup!$A$2:$C$8,2,FALSE)</f>
        <v>1.4999999999999999E-2</v>
      </c>
      <c r="N5476">
        <f t="shared" si="255"/>
        <v>1.2586770182638762E-3</v>
      </c>
      <c r="O5476">
        <f>VLOOKUP(K5476,RatingLookup!$A$2:$C$8,3,FALSE)</f>
        <v>0.5</v>
      </c>
      <c r="P5476">
        <f t="shared" si="256"/>
        <v>0.86619005704374297</v>
      </c>
      <c r="Q5476" t="str">
        <f t="shared" ca="1" si="257"/>
        <v>No</v>
      </c>
    </row>
    <row r="5477" spans="1:17" x14ac:dyDescent="0.45">
      <c r="A5477" t="s">
        <v>219</v>
      </c>
      <c r="B5477" t="s">
        <v>220</v>
      </c>
      <c r="C5477" t="s">
        <v>77</v>
      </c>
      <c r="D5477" t="s">
        <v>188</v>
      </c>
      <c r="E5477" t="s">
        <v>21</v>
      </c>
      <c r="F5477" s="1">
        <v>44287</v>
      </c>
      <c r="G5477">
        <v>2.42</v>
      </c>
      <c r="H5477">
        <v>80.188900000000004</v>
      </c>
      <c r="I5477">
        <v>21.01</v>
      </c>
      <c r="J5477">
        <v>102.06</v>
      </c>
      <c r="K5477" t="s">
        <v>30</v>
      </c>
      <c r="L5477">
        <v>1390.96</v>
      </c>
      <c r="M5477">
        <f>VLOOKUP(K5477,RatingLookup!$A$2:$C$8,2,FALSE)</f>
        <v>1.4999999999999999E-2</v>
      </c>
      <c r="N5477">
        <f t="shared" si="255"/>
        <v>1.2586770182638762E-3</v>
      </c>
      <c r="O5477">
        <f>VLOOKUP(K5477,RatingLookup!$A$2:$C$8,3,FALSE)</f>
        <v>0.5</v>
      </c>
      <c r="P5477">
        <f t="shared" si="256"/>
        <v>0.87538469266216068</v>
      </c>
      <c r="Q5477" t="str">
        <f t="shared" ca="1" si="257"/>
        <v>No</v>
      </c>
    </row>
    <row r="5478" spans="1:17" x14ac:dyDescent="0.45">
      <c r="A5478" t="s">
        <v>219</v>
      </c>
      <c r="B5478" t="s">
        <v>220</v>
      </c>
      <c r="C5478" t="s">
        <v>77</v>
      </c>
      <c r="D5478" t="s">
        <v>188</v>
      </c>
      <c r="E5478" t="s">
        <v>21</v>
      </c>
      <c r="F5478" s="1">
        <v>44317</v>
      </c>
      <c r="G5478">
        <v>0.87</v>
      </c>
      <c r="H5478">
        <v>81.699299999999994</v>
      </c>
      <c r="I5478">
        <v>18.14</v>
      </c>
      <c r="J5478">
        <v>74.91</v>
      </c>
      <c r="K5478" t="s">
        <v>30</v>
      </c>
      <c r="L5478">
        <v>1448.5</v>
      </c>
      <c r="M5478">
        <f>VLOOKUP(K5478,RatingLookup!$A$2:$C$8,2,FALSE)</f>
        <v>1.4999999999999999E-2</v>
      </c>
      <c r="N5478">
        <f t="shared" si="255"/>
        <v>1.2586770182638762E-3</v>
      </c>
      <c r="O5478">
        <f>VLOOKUP(K5478,RatingLookup!$A$2:$C$8,3,FALSE)</f>
        <v>0.5</v>
      </c>
      <c r="P5478">
        <f t="shared" si="256"/>
        <v>0.91159683047761231</v>
      </c>
      <c r="Q5478" t="str">
        <f t="shared" ca="1" si="257"/>
        <v>No</v>
      </c>
    </row>
    <row r="5479" spans="1:17" x14ac:dyDescent="0.45">
      <c r="A5479" t="s">
        <v>219</v>
      </c>
      <c r="B5479" t="s">
        <v>220</v>
      </c>
      <c r="C5479" t="s">
        <v>77</v>
      </c>
      <c r="D5479" t="s">
        <v>188</v>
      </c>
      <c r="E5479" t="s">
        <v>21</v>
      </c>
      <c r="F5479" s="1">
        <v>44348</v>
      </c>
      <c r="G5479">
        <v>2.82</v>
      </c>
      <c r="H5479">
        <v>86.609399999999994</v>
      </c>
      <c r="I5479">
        <v>19.39</v>
      </c>
      <c r="J5479">
        <v>77.66</v>
      </c>
      <c r="K5479" t="s">
        <v>30</v>
      </c>
      <c r="L5479">
        <v>1565.46</v>
      </c>
      <c r="M5479">
        <f>VLOOKUP(K5479,RatingLookup!$A$2:$C$8,2,FALSE)</f>
        <v>1.4999999999999999E-2</v>
      </c>
      <c r="N5479">
        <f t="shared" si="255"/>
        <v>1.2586770182638762E-3</v>
      </c>
      <c r="O5479">
        <f>VLOOKUP(K5479,RatingLookup!$A$2:$C$8,3,FALSE)</f>
        <v>0.5</v>
      </c>
      <c r="P5479">
        <f t="shared" si="256"/>
        <v>0.98520426250568383</v>
      </c>
      <c r="Q5479" t="str">
        <f t="shared" ca="1" si="257"/>
        <v>No</v>
      </c>
    </row>
    <row r="5480" spans="1:17" x14ac:dyDescent="0.45">
      <c r="A5480" t="s">
        <v>219</v>
      </c>
      <c r="B5480" t="s">
        <v>220</v>
      </c>
      <c r="C5480" t="s">
        <v>77</v>
      </c>
      <c r="D5480" t="s">
        <v>188</v>
      </c>
      <c r="E5480" t="s">
        <v>21</v>
      </c>
      <c r="F5480" s="1">
        <v>44378</v>
      </c>
      <c r="G5480">
        <v>1.44</v>
      </c>
      <c r="H5480">
        <v>80.051199999999994</v>
      </c>
      <c r="I5480">
        <v>10.72</v>
      </c>
      <c r="J5480">
        <v>74.95</v>
      </c>
      <c r="K5480" t="s">
        <v>22</v>
      </c>
      <c r="L5480">
        <v>1365.14</v>
      </c>
      <c r="M5480">
        <f>VLOOKUP(K5480,RatingLookup!$A$2:$C$8,2,FALSE)</f>
        <v>5.0000000000000001E-3</v>
      </c>
      <c r="N5480">
        <f t="shared" si="255"/>
        <v>4.1762458919303302E-4</v>
      </c>
      <c r="O5480">
        <f>VLOOKUP(K5480,RatingLookup!$A$2:$C$8,3,FALSE)</f>
        <v>0.45</v>
      </c>
      <c r="P5480">
        <f t="shared" si="256"/>
        <v>0.25655221426093971</v>
      </c>
      <c r="Q5480" t="str">
        <f t="shared" ca="1" si="257"/>
        <v>No</v>
      </c>
    </row>
    <row r="5481" spans="1:17" x14ac:dyDescent="0.45">
      <c r="A5481" t="s">
        <v>219</v>
      </c>
      <c r="B5481" t="s">
        <v>220</v>
      </c>
      <c r="C5481" t="s">
        <v>77</v>
      </c>
      <c r="D5481" t="s">
        <v>188</v>
      </c>
      <c r="E5481" t="s">
        <v>21</v>
      </c>
      <c r="F5481" s="1">
        <v>44409</v>
      </c>
      <c r="G5481">
        <v>1.99</v>
      </c>
      <c r="H5481">
        <v>81.310100000000006</v>
      </c>
      <c r="I5481">
        <v>25.75</v>
      </c>
      <c r="J5481">
        <v>79.819999999999993</v>
      </c>
      <c r="K5481" t="s">
        <v>22</v>
      </c>
      <c r="L5481">
        <v>1484.45</v>
      </c>
      <c r="M5481">
        <f>VLOOKUP(K5481,RatingLookup!$A$2:$C$8,2,FALSE)</f>
        <v>5.0000000000000001E-3</v>
      </c>
      <c r="N5481">
        <f t="shared" si="255"/>
        <v>4.1762458919303302E-4</v>
      </c>
      <c r="O5481">
        <f>VLOOKUP(K5481,RatingLookup!$A$2:$C$8,3,FALSE)</f>
        <v>0.45</v>
      </c>
      <c r="P5481">
        <f t="shared" si="256"/>
        <v>0.27897426964241906</v>
      </c>
      <c r="Q5481" t="str">
        <f t="shared" ca="1" si="257"/>
        <v>No</v>
      </c>
    </row>
    <row r="5482" spans="1:17" x14ac:dyDescent="0.45">
      <c r="A5482" t="s">
        <v>219</v>
      </c>
      <c r="B5482" t="s">
        <v>220</v>
      </c>
      <c r="C5482" t="s">
        <v>77</v>
      </c>
      <c r="D5482" t="s">
        <v>188</v>
      </c>
      <c r="E5482" t="s">
        <v>21</v>
      </c>
      <c r="F5482" s="1">
        <v>44440</v>
      </c>
      <c r="G5482">
        <v>0.91</v>
      </c>
      <c r="H5482">
        <v>84.018100000000004</v>
      </c>
      <c r="I5482">
        <v>21.01</v>
      </c>
      <c r="J5482">
        <v>57.68</v>
      </c>
      <c r="K5482" t="s">
        <v>22</v>
      </c>
      <c r="L5482">
        <v>1558.82</v>
      </c>
      <c r="M5482">
        <f>VLOOKUP(K5482,RatingLookup!$A$2:$C$8,2,FALSE)</f>
        <v>5.0000000000000001E-3</v>
      </c>
      <c r="N5482">
        <f t="shared" si="255"/>
        <v>4.1762458919303302E-4</v>
      </c>
      <c r="O5482">
        <f>VLOOKUP(K5482,RatingLookup!$A$2:$C$8,3,FALSE)</f>
        <v>0.45</v>
      </c>
      <c r="P5482">
        <f t="shared" si="256"/>
        <v>0.29295070295664766</v>
      </c>
      <c r="Q5482" t="str">
        <f t="shared" ca="1" si="257"/>
        <v>No</v>
      </c>
    </row>
    <row r="5483" spans="1:17" x14ac:dyDescent="0.45">
      <c r="A5483" t="s">
        <v>219</v>
      </c>
      <c r="B5483" t="s">
        <v>220</v>
      </c>
      <c r="C5483" t="s">
        <v>77</v>
      </c>
      <c r="D5483" t="s">
        <v>188</v>
      </c>
      <c r="E5483" t="s">
        <v>21</v>
      </c>
      <c r="F5483" s="1">
        <v>44470</v>
      </c>
      <c r="G5483">
        <v>2.02</v>
      </c>
      <c r="H5483">
        <v>80.437600000000003</v>
      </c>
      <c r="I5483">
        <v>24.04</v>
      </c>
      <c r="J5483">
        <v>72.91</v>
      </c>
      <c r="K5483" t="s">
        <v>22</v>
      </c>
      <c r="L5483">
        <v>1417.78</v>
      </c>
      <c r="M5483">
        <f>VLOOKUP(K5483,RatingLookup!$A$2:$C$8,2,FALSE)</f>
        <v>5.0000000000000001E-3</v>
      </c>
      <c r="N5483">
        <f t="shared" si="255"/>
        <v>4.1762458919303302E-4</v>
      </c>
      <c r="O5483">
        <f>VLOOKUP(K5483,RatingLookup!$A$2:$C$8,3,FALSE)</f>
        <v>0.45</v>
      </c>
      <c r="P5483">
        <f t="shared" si="256"/>
        <v>0.26644490552974426</v>
      </c>
      <c r="Q5483" t="str">
        <f t="shared" ca="1" si="257"/>
        <v>No</v>
      </c>
    </row>
    <row r="5484" spans="1:17" x14ac:dyDescent="0.45">
      <c r="A5484" t="s">
        <v>219</v>
      </c>
      <c r="B5484" t="s">
        <v>220</v>
      </c>
      <c r="C5484" t="s">
        <v>77</v>
      </c>
      <c r="D5484" t="s">
        <v>188</v>
      </c>
      <c r="E5484" t="s">
        <v>21</v>
      </c>
      <c r="F5484" s="1">
        <v>44501</v>
      </c>
      <c r="G5484">
        <v>2.42</v>
      </c>
      <c r="H5484">
        <v>86.832300000000004</v>
      </c>
      <c r="I5484">
        <v>8.9</v>
      </c>
      <c r="J5484">
        <v>59.69</v>
      </c>
      <c r="K5484" t="s">
        <v>22</v>
      </c>
      <c r="L5484">
        <v>1435.34</v>
      </c>
      <c r="M5484">
        <f>VLOOKUP(K5484,RatingLookup!$A$2:$C$8,2,FALSE)</f>
        <v>5.0000000000000001E-3</v>
      </c>
      <c r="N5484">
        <f t="shared" si="255"/>
        <v>4.1762458919303302E-4</v>
      </c>
      <c r="O5484">
        <f>VLOOKUP(K5484,RatingLookup!$A$2:$C$8,3,FALSE)</f>
        <v>0.45</v>
      </c>
      <c r="P5484">
        <f t="shared" si="256"/>
        <v>0.26974497503354761</v>
      </c>
      <c r="Q5484" t="str">
        <f t="shared" ca="1" si="257"/>
        <v>No</v>
      </c>
    </row>
    <row r="5485" spans="1:17" x14ac:dyDescent="0.45">
      <c r="A5485" t="s">
        <v>219</v>
      </c>
      <c r="B5485" t="s">
        <v>220</v>
      </c>
      <c r="C5485" t="s">
        <v>77</v>
      </c>
      <c r="D5485" t="s">
        <v>188</v>
      </c>
      <c r="E5485" t="s">
        <v>21</v>
      </c>
      <c r="F5485" s="1">
        <v>44531</v>
      </c>
      <c r="G5485">
        <v>0.96</v>
      </c>
      <c r="H5485">
        <v>81.934200000000004</v>
      </c>
      <c r="I5485">
        <v>15.21</v>
      </c>
      <c r="J5485">
        <v>79.290000000000006</v>
      </c>
      <c r="K5485" t="s">
        <v>22</v>
      </c>
      <c r="L5485">
        <v>1321.06</v>
      </c>
      <c r="M5485">
        <f>VLOOKUP(K5485,RatingLookup!$A$2:$C$8,2,FALSE)</f>
        <v>5.0000000000000001E-3</v>
      </c>
      <c r="N5485">
        <f t="shared" si="255"/>
        <v>4.1762458919303302E-4</v>
      </c>
      <c r="O5485">
        <f>VLOOKUP(K5485,RatingLookup!$A$2:$C$8,3,FALSE)</f>
        <v>0.45</v>
      </c>
      <c r="P5485">
        <f t="shared" si="256"/>
        <v>0.24826821290970669</v>
      </c>
      <c r="Q5485" t="str">
        <f t="shared" ca="1" si="257"/>
        <v>No</v>
      </c>
    </row>
    <row r="5486" spans="1:17" x14ac:dyDescent="0.45">
      <c r="A5486" t="s">
        <v>219</v>
      </c>
      <c r="B5486" t="s">
        <v>220</v>
      </c>
      <c r="C5486" t="s">
        <v>77</v>
      </c>
      <c r="D5486" t="s">
        <v>188</v>
      </c>
      <c r="E5486" t="s">
        <v>21</v>
      </c>
      <c r="F5486" s="1">
        <v>44562</v>
      </c>
      <c r="G5486">
        <v>0.47</v>
      </c>
      <c r="H5486">
        <v>83.936599999999999</v>
      </c>
      <c r="I5486">
        <v>21.17</v>
      </c>
      <c r="J5486">
        <v>82.72</v>
      </c>
      <c r="K5486" t="s">
        <v>22</v>
      </c>
      <c r="L5486">
        <v>1509.57</v>
      </c>
      <c r="M5486">
        <f>VLOOKUP(K5486,RatingLookup!$A$2:$C$8,2,FALSE)</f>
        <v>5.0000000000000001E-3</v>
      </c>
      <c r="N5486">
        <f t="shared" si="255"/>
        <v>4.1762458919303302E-4</v>
      </c>
      <c r="O5486">
        <f>VLOOKUP(K5486,RatingLookup!$A$2:$C$8,3,FALSE)</f>
        <v>0.45</v>
      </c>
      <c r="P5486">
        <f t="shared" si="256"/>
        <v>0.28369509799865705</v>
      </c>
      <c r="Q5486" t="str">
        <f t="shared" ca="1" si="257"/>
        <v>No</v>
      </c>
    </row>
    <row r="5487" spans="1:17" x14ac:dyDescent="0.45">
      <c r="A5487" t="s">
        <v>219</v>
      </c>
      <c r="B5487" t="s">
        <v>220</v>
      </c>
      <c r="C5487" t="s">
        <v>77</v>
      </c>
      <c r="D5487" t="s">
        <v>188</v>
      </c>
      <c r="E5487" t="s">
        <v>21</v>
      </c>
      <c r="F5487" s="1">
        <v>44593</v>
      </c>
      <c r="G5487">
        <v>0.86</v>
      </c>
      <c r="H5487">
        <v>78.277500000000003</v>
      </c>
      <c r="I5487">
        <v>19.18</v>
      </c>
      <c r="J5487">
        <v>83.21</v>
      </c>
      <c r="K5487" t="s">
        <v>22</v>
      </c>
      <c r="L5487">
        <v>1446.65</v>
      </c>
      <c r="M5487">
        <f>VLOOKUP(K5487,RatingLookup!$A$2:$C$8,2,FALSE)</f>
        <v>5.0000000000000001E-3</v>
      </c>
      <c r="N5487">
        <f t="shared" si="255"/>
        <v>4.1762458919303302E-4</v>
      </c>
      <c r="O5487">
        <f>VLOOKUP(K5487,RatingLookup!$A$2:$C$8,3,FALSE)</f>
        <v>0.45</v>
      </c>
      <c r="P5487">
        <f t="shared" si="256"/>
        <v>0.27187047538024556</v>
      </c>
      <c r="Q5487" t="str">
        <f t="shared" ca="1" si="257"/>
        <v>No</v>
      </c>
    </row>
    <row r="5488" spans="1:17" x14ac:dyDescent="0.45">
      <c r="A5488" t="s">
        <v>219</v>
      </c>
      <c r="B5488" t="s">
        <v>220</v>
      </c>
      <c r="C5488" t="s">
        <v>77</v>
      </c>
      <c r="D5488" t="s">
        <v>188</v>
      </c>
      <c r="E5488" t="s">
        <v>21</v>
      </c>
      <c r="F5488" s="1">
        <v>44621</v>
      </c>
      <c r="G5488">
        <v>1.78</v>
      </c>
      <c r="H5488">
        <v>82.619799999999998</v>
      </c>
      <c r="I5488">
        <v>17.22</v>
      </c>
      <c r="J5488">
        <v>73.319999999999993</v>
      </c>
      <c r="K5488" t="s">
        <v>22</v>
      </c>
      <c r="L5488">
        <v>1572.12</v>
      </c>
      <c r="M5488">
        <f>VLOOKUP(K5488,RatingLookup!$A$2:$C$8,2,FALSE)</f>
        <v>5.0000000000000001E-3</v>
      </c>
      <c r="N5488">
        <f t="shared" si="255"/>
        <v>4.1762458919303302E-4</v>
      </c>
      <c r="O5488">
        <f>VLOOKUP(K5488,RatingLookup!$A$2:$C$8,3,FALSE)</f>
        <v>0.45</v>
      </c>
      <c r="P5488">
        <f t="shared" si="256"/>
        <v>0.29545018612296797</v>
      </c>
      <c r="Q5488" t="str">
        <f t="shared" ca="1" si="257"/>
        <v>No</v>
      </c>
    </row>
    <row r="5489" spans="1:17" x14ac:dyDescent="0.45">
      <c r="A5489" t="s">
        <v>219</v>
      </c>
      <c r="B5489" t="s">
        <v>220</v>
      </c>
      <c r="C5489" t="s">
        <v>77</v>
      </c>
      <c r="D5489" t="s">
        <v>188</v>
      </c>
      <c r="E5489" t="s">
        <v>21</v>
      </c>
      <c r="F5489" s="1">
        <v>44652</v>
      </c>
      <c r="G5489">
        <v>1.43</v>
      </c>
      <c r="H5489">
        <v>78.760300000000001</v>
      </c>
      <c r="I5489">
        <v>9.83</v>
      </c>
      <c r="J5489">
        <v>73.14</v>
      </c>
      <c r="K5489" t="s">
        <v>22</v>
      </c>
      <c r="L5489">
        <v>1467.62</v>
      </c>
      <c r="M5489">
        <f>VLOOKUP(K5489,RatingLookup!$A$2:$C$8,2,FALSE)</f>
        <v>5.0000000000000001E-3</v>
      </c>
      <c r="N5489">
        <f t="shared" si="255"/>
        <v>4.1762458919303302E-4</v>
      </c>
      <c r="O5489">
        <f>VLOOKUP(K5489,RatingLookup!$A$2:$C$8,3,FALSE)</f>
        <v>0.45</v>
      </c>
      <c r="P5489">
        <f t="shared" si="256"/>
        <v>0.2758113898161656</v>
      </c>
      <c r="Q5489" t="str">
        <f t="shared" ca="1" si="257"/>
        <v>No</v>
      </c>
    </row>
    <row r="5490" spans="1:17" x14ac:dyDescent="0.45">
      <c r="A5490" t="s">
        <v>219</v>
      </c>
      <c r="B5490" t="s">
        <v>220</v>
      </c>
      <c r="C5490" t="s">
        <v>77</v>
      </c>
      <c r="D5490" t="s">
        <v>188</v>
      </c>
      <c r="E5490" t="s">
        <v>21</v>
      </c>
      <c r="F5490" s="1">
        <v>44682</v>
      </c>
      <c r="G5490">
        <v>1.17</v>
      </c>
      <c r="H5490">
        <v>84.236800000000002</v>
      </c>
      <c r="I5490">
        <v>24.73</v>
      </c>
      <c r="J5490">
        <v>94.79</v>
      </c>
      <c r="K5490" t="s">
        <v>22</v>
      </c>
      <c r="L5490">
        <v>1482.23</v>
      </c>
      <c r="M5490">
        <f>VLOOKUP(K5490,RatingLookup!$A$2:$C$8,2,FALSE)</f>
        <v>5.0000000000000001E-3</v>
      </c>
      <c r="N5490">
        <f t="shared" si="255"/>
        <v>4.1762458919303302E-4</v>
      </c>
      <c r="O5490">
        <f>VLOOKUP(K5490,RatingLookup!$A$2:$C$8,3,FALSE)</f>
        <v>0.45</v>
      </c>
      <c r="P5490">
        <f t="shared" si="256"/>
        <v>0.27855706267781521</v>
      </c>
      <c r="Q5490" t="str">
        <f t="shared" ca="1" si="257"/>
        <v>No</v>
      </c>
    </row>
    <row r="5491" spans="1:17" x14ac:dyDescent="0.45">
      <c r="A5491" t="s">
        <v>219</v>
      </c>
      <c r="B5491" t="s">
        <v>220</v>
      </c>
      <c r="C5491" t="s">
        <v>77</v>
      </c>
      <c r="D5491" t="s">
        <v>188</v>
      </c>
      <c r="E5491" t="s">
        <v>21</v>
      </c>
      <c r="F5491" s="1">
        <v>44713</v>
      </c>
      <c r="G5491">
        <v>2.29</v>
      </c>
      <c r="H5491">
        <v>82.948599999999999</v>
      </c>
      <c r="I5491">
        <v>27.21</v>
      </c>
      <c r="J5491">
        <v>83.78</v>
      </c>
      <c r="K5491" t="s">
        <v>22</v>
      </c>
      <c r="L5491">
        <v>1484.68</v>
      </c>
      <c r="M5491">
        <f>VLOOKUP(K5491,RatingLookup!$A$2:$C$8,2,FALSE)</f>
        <v>5.0000000000000001E-3</v>
      </c>
      <c r="N5491">
        <f t="shared" si="255"/>
        <v>4.1762458919303302E-4</v>
      </c>
      <c r="O5491">
        <f>VLOOKUP(K5491,RatingLookup!$A$2:$C$8,3,FALSE)</f>
        <v>0.45</v>
      </c>
      <c r="P5491">
        <f t="shared" si="256"/>
        <v>0.27901749378740054</v>
      </c>
      <c r="Q5491" t="str">
        <f t="shared" ca="1" si="257"/>
        <v>No</v>
      </c>
    </row>
    <row r="5492" spans="1:17" x14ac:dyDescent="0.45">
      <c r="A5492" t="s">
        <v>219</v>
      </c>
      <c r="B5492" t="s">
        <v>220</v>
      </c>
      <c r="C5492" t="s">
        <v>77</v>
      </c>
      <c r="D5492" t="s">
        <v>188</v>
      </c>
      <c r="E5492" t="s">
        <v>21</v>
      </c>
      <c r="F5492" s="1">
        <v>44743</v>
      </c>
      <c r="G5492">
        <v>1.01</v>
      </c>
      <c r="H5492">
        <v>81.684399999999997</v>
      </c>
      <c r="I5492">
        <v>26.13</v>
      </c>
      <c r="J5492">
        <v>82.25</v>
      </c>
      <c r="K5492" t="s">
        <v>22</v>
      </c>
      <c r="L5492">
        <v>1559.94</v>
      </c>
      <c r="M5492">
        <f>VLOOKUP(K5492,RatingLookup!$A$2:$C$8,2,FALSE)</f>
        <v>5.0000000000000001E-3</v>
      </c>
      <c r="N5492">
        <f t="shared" si="255"/>
        <v>4.1762458919303302E-4</v>
      </c>
      <c r="O5492">
        <f>VLOOKUP(K5492,RatingLookup!$A$2:$C$8,3,FALSE)</f>
        <v>0.45</v>
      </c>
      <c r="P5492">
        <f t="shared" si="256"/>
        <v>0.29316118574960098</v>
      </c>
      <c r="Q5492" t="str">
        <f t="shared" ca="1" si="257"/>
        <v>No</v>
      </c>
    </row>
    <row r="5493" spans="1:17" x14ac:dyDescent="0.45">
      <c r="A5493" t="s">
        <v>219</v>
      </c>
      <c r="B5493" t="s">
        <v>220</v>
      </c>
      <c r="C5493" t="s">
        <v>77</v>
      </c>
      <c r="D5493" t="s">
        <v>188</v>
      </c>
      <c r="E5493" t="s">
        <v>21</v>
      </c>
      <c r="F5493" s="1">
        <v>44774</v>
      </c>
      <c r="G5493">
        <v>1.84</v>
      </c>
      <c r="H5493">
        <v>82.189400000000006</v>
      </c>
      <c r="I5493">
        <v>24.86</v>
      </c>
      <c r="J5493">
        <v>94.4</v>
      </c>
      <c r="K5493" t="s">
        <v>22</v>
      </c>
      <c r="L5493">
        <v>1387.99</v>
      </c>
      <c r="M5493">
        <f>VLOOKUP(K5493,RatingLookup!$A$2:$C$8,2,FALSE)</f>
        <v>5.0000000000000001E-3</v>
      </c>
      <c r="N5493">
        <f t="shared" si="255"/>
        <v>4.1762458919303302E-4</v>
      </c>
      <c r="O5493">
        <f>VLOOKUP(K5493,RatingLookup!$A$2:$C$8,3,FALSE)</f>
        <v>0.45</v>
      </c>
      <c r="P5493">
        <f t="shared" si="256"/>
        <v>0.2608464390993171</v>
      </c>
      <c r="Q5493" t="str">
        <f t="shared" ca="1" si="257"/>
        <v>No</v>
      </c>
    </row>
    <row r="5494" spans="1:17" x14ac:dyDescent="0.45">
      <c r="A5494" t="s">
        <v>219</v>
      </c>
      <c r="B5494" t="s">
        <v>220</v>
      </c>
      <c r="C5494" t="s">
        <v>77</v>
      </c>
      <c r="D5494" t="s">
        <v>188</v>
      </c>
      <c r="E5494" t="s">
        <v>21</v>
      </c>
      <c r="F5494" s="1">
        <v>44805</v>
      </c>
      <c r="G5494">
        <v>1.33</v>
      </c>
      <c r="H5494">
        <v>89.483000000000004</v>
      </c>
      <c r="I5494">
        <v>20.239999999999998</v>
      </c>
      <c r="J5494">
        <v>84.39</v>
      </c>
      <c r="K5494" t="s">
        <v>22</v>
      </c>
      <c r="L5494">
        <v>1630.79</v>
      </c>
      <c r="M5494">
        <f>VLOOKUP(K5494,RatingLookup!$A$2:$C$8,2,FALSE)</f>
        <v>5.0000000000000001E-3</v>
      </c>
      <c r="N5494">
        <f t="shared" si="255"/>
        <v>4.1762458919303302E-4</v>
      </c>
      <c r="O5494">
        <f>VLOOKUP(K5494,RatingLookup!$A$2:$C$8,3,FALSE)</f>
        <v>0.45</v>
      </c>
      <c r="P5494">
        <f t="shared" si="256"/>
        <v>0.30647610171454781</v>
      </c>
      <c r="Q5494" t="str">
        <f t="shared" ca="1" si="257"/>
        <v>No</v>
      </c>
    </row>
    <row r="5495" spans="1:17" x14ac:dyDescent="0.45">
      <c r="A5495" t="s">
        <v>219</v>
      </c>
      <c r="B5495" t="s">
        <v>220</v>
      </c>
      <c r="C5495" t="s">
        <v>77</v>
      </c>
      <c r="D5495" t="s">
        <v>188</v>
      </c>
      <c r="E5495" t="s">
        <v>21</v>
      </c>
      <c r="F5495" s="1">
        <v>44835</v>
      </c>
      <c r="G5495">
        <v>0.67</v>
      </c>
      <c r="H5495">
        <v>83.740799999999993</v>
      </c>
      <c r="I5495">
        <v>28.48</v>
      </c>
      <c r="J5495">
        <v>67.84</v>
      </c>
      <c r="K5495" t="s">
        <v>22</v>
      </c>
      <c r="L5495">
        <v>1388.44</v>
      </c>
      <c r="M5495">
        <f>VLOOKUP(K5495,RatingLookup!$A$2:$C$8,2,FALSE)</f>
        <v>5.0000000000000001E-3</v>
      </c>
      <c r="N5495">
        <f t="shared" si="255"/>
        <v>4.1762458919303302E-4</v>
      </c>
      <c r="O5495">
        <f>VLOOKUP(K5495,RatingLookup!$A$2:$C$8,3,FALSE)</f>
        <v>0.45</v>
      </c>
      <c r="P5495">
        <f t="shared" si="256"/>
        <v>0.26093100807862868</v>
      </c>
      <c r="Q5495" t="str">
        <f t="shared" ca="1" si="257"/>
        <v>No</v>
      </c>
    </row>
    <row r="5496" spans="1:17" x14ac:dyDescent="0.45">
      <c r="A5496" t="s">
        <v>219</v>
      </c>
      <c r="B5496" t="s">
        <v>220</v>
      </c>
      <c r="C5496" t="s">
        <v>77</v>
      </c>
      <c r="D5496" t="s">
        <v>188</v>
      </c>
      <c r="E5496" t="s">
        <v>21</v>
      </c>
      <c r="F5496" s="1">
        <v>44866</v>
      </c>
      <c r="G5496">
        <v>1.03</v>
      </c>
      <c r="H5496">
        <v>80.144800000000004</v>
      </c>
      <c r="I5496">
        <v>28.18</v>
      </c>
      <c r="J5496">
        <v>76.47</v>
      </c>
      <c r="K5496" t="s">
        <v>22</v>
      </c>
      <c r="L5496">
        <v>1540.2</v>
      </c>
      <c r="M5496">
        <f>VLOOKUP(K5496,RatingLookup!$A$2:$C$8,2,FALSE)</f>
        <v>5.0000000000000001E-3</v>
      </c>
      <c r="N5496">
        <f t="shared" si="255"/>
        <v>4.1762458919303302E-4</v>
      </c>
      <c r="O5496">
        <f>VLOOKUP(K5496,RatingLookup!$A$2:$C$8,3,FALSE)</f>
        <v>0.45</v>
      </c>
      <c r="P5496">
        <f t="shared" si="256"/>
        <v>0.28945142652379924</v>
      </c>
      <c r="Q5496" t="str">
        <f t="shared" ca="1" si="257"/>
        <v>No</v>
      </c>
    </row>
    <row r="5497" spans="1:17" x14ac:dyDescent="0.45">
      <c r="A5497" t="s">
        <v>219</v>
      </c>
      <c r="B5497" t="s">
        <v>220</v>
      </c>
      <c r="C5497" t="s">
        <v>77</v>
      </c>
      <c r="D5497" t="s">
        <v>188</v>
      </c>
      <c r="E5497" t="s">
        <v>21</v>
      </c>
      <c r="F5497" s="1">
        <v>44896</v>
      </c>
      <c r="G5497">
        <v>2.33</v>
      </c>
      <c r="H5497">
        <v>82.998999999999995</v>
      </c>
      <c r="I5497">
        <v>18.09</v>
      </c>
      <c r="J5497">
        <v>66.849999999999994</v>
      </c>
      <c r="K5497" t="s">
        <v>30</v>
      </c>
      <c r="L5497">
        <v>1517.49</v>
      </c>
      <c r="M5497">
        <f>VLOOKUP(K5497,RatingLookup!$A$2:$C$8,2,FALSE)</f>
        <v>1.4999999999999999E-2</v>
      </c>
      <c r="N5497">
        <f t="shared" si="255"/>
        <v>1.2586770182638762E-3</v>
      </c>
      <c r="O5497">
        <f>VLOOKUP(K5497,RatingLookup!$A$2:$C$8,3,FALSE)</f>
        <v>0.5</v>
      </c>
      <c r="P5497">
        <f t="shared" si="256"/>
        <v>0.95501489422262476</v>
      </c>
      <c r="Q5497" t="str">
        <f t="shared" ca="1" si="257"/>
        <v>No</v>
      </c>
    </row>
    <row r="5498" spans="1:17" x14ac:dyDescent="0.45">
      <c r="A5498" t="s">
        <v>219</v>
      </c>
      <c r="B5498" t="s">
        <v>220</v>
      </c>
      <c r="C5498" t="s">
        <v>77</v>
      </c>
      <c r="D5498" t="s">
        <v>188</v>
      </c>
      <c r="E5498" t="s">
        <v>21</v>
      </c>
      <c r="F5498" s="1">
        <v>44927</v>
      </c>
      <c r="G5498">
        <v>1.06</v>
      </c>
      <c r="H5498">
        <v>83.857500000000002</v>
      </c>
      <c r="I5498">
        <v>14.03</v>
      </c>
      <c r="J5498">
        <v>82.42</v>
      </c>
      <c r="K5498" t="s">
        <v>30</v>
      </c>
      <c r="L5498">
        <v>1533.74</v>
      </c>
      <c r="M5498">
        <f>VLOOKUP(K5498,RatingLookup!$A$2:$C$8,2,FALSE)</f>
        <v>1.4999999999999999E-2</v>
      </c>
      <c r="N5498">
        <f t="shared" si="255"/>
        <v>1.2586770182638762E-3</v>
      </c>
      <c r="O5498">
        <f>VLOOKUP(K5498,RatingLookup!$A$2:$C$8,3,FALSE)</f>
        <v>0.5</v>
      </c>
      <c r="P5498">
        <f t="shared" si="256"/>
        <v>0.96524164499601872</v>
      </c>
      <c r="Q5498" t="str">
        <f t="shared" ca="1" si="257"/>
        <v>No</v>
      </c>
    </row>
    <row r="5499" spans="1:17" x14ac:dyDescent="0.45">
      <c r="A5499" t="s">
        <v>219</v>
      </c>
      <c r="B5499" t="s">
        <v>220</v>
      </c>
      <c r="C5499" t="s">
        <v>77</v>
      </c>
      <c r="D5499" t="s">
        <v>188</v>
      </c>
      <c r="E5499" t="s">
        <v>21</v>
      </c>
      <c r="F5499" s="1">
        <v>44958</v>
      </c>
      <c r="G5499">
        <v>1.54</v>
      </c>
      <c r="H5499">
        <v>82.525300000000001</v>
      </c>
      <c r="I5499">
        <v>10.84</v>
      </c>
      <c r="J5499">
        <v>81.83</v>
      </c>
      <c r="K5499" t="s">
        <v>30</v>
      </c>
      <c r="L5499">
        <v>1609.96</v>
      </c>
      <c r="M5499">
        <f>VLOOKUP(K5499,RatingLookup!$A$2:$C$8,2,FALSE)</f>
        <v>1.4999999999999999E-2</v>
      </c>
      <c r="N5499">
        <f t="shared" si="255"/>
        <v>1.2586770182638762E-3</v>
      </c>
      <c r="O5499">
        <f>VLOOKUP(K5499,RatingLookup!$A$2:$C$8,3,FALSE)</f>
        <v>0.5</v>
      </c>
      <c r="P5499">
        <f t="shared" si="256"/>
        <v>1.013209826162055</v>
      </c>
      <c r="Q5499" t="str">
        <f t="shared" ca="1" si="257"/>
        <v>No</v>
      </c>
    </row>
    <row r="5500" spans="1:17" x14ac:dyDescent="0.45">
      <c r="A5500" t="s">
        <v>219</v>
      </c>
      <c r="B5500" t="s">
        <v>220</v>
      </c>
      <c r="C5500" t="s">
        <v>77</v>
      </c>
      <c r="D5500" t="s">
        <v>188</v>
      </c>
      <c r="E5500" t="s">
        <v>21</v>
      </c>
      <c r="F5500" s="1">
        <v>44986</v>
      </c>
      <c r="G5500">
        <v>1.8</v>
      </c>
      <c r="H5500">
        <v>79.671499999999995</v>
      </c>
      <c r="I5500">
        <v>33.33</v>
      </c>
      <c r="J5500">
        <v>73.569999999999993</v>
      </c>
      <c r="K5500" t="s">
        <v>30</v>
      </c>
      <c r="L5500">
        <v>1519.62</v>
      </c>
      <c r="M5500">
        <f>VLOOKUP(K5500,RatingLookup!$A$2:$C$8,2,FALSE)</f>
        <v>1.4999999999999999E-2</v>
      </c>
      <c r="N5500">
        <f t="shared" si="255"/>
        <v>1.2586770182638762E-3</v>
      </c>
      <c r="O5500">
        <f>VLOOKUP(K5500,RatingLookup!$A$2:$C$8,3,FALSE)</f>
        <v>0.5</v>
      </c>
      <c r="P5500">
        <f t="shared" si="256"/>
        <v>0.95635538524707575</v>
      </c>
      <c r="Q5500" t="str">
        <f t="shared" ca="1" si="257"/>
        <v>No</v>
      </c>
    </row>
    <row r="5501" spans="1:17" x14ac:dyDescent="0.45">
      <c r="A5501" t="s">
        <v>219</v>
      </c>
      <c r="B5501" t="s">
        <v>220</v>
      </c>
      <c r="C5501" t="s">
        <v>77</v>
      </c>
      <c r="D5501" t="s">
        <v>188</v>
      </c>
      <c r="E5501" t="s">
        <v>21</v>
      </c>
      <c r="F5501" s="1">
        <v>45017</v>
      </c>
      <c r="G5501">
        <v>1.0900000000000001</v>
      </c>
      <c r="H5501">
        <v>80.102500000000006</v>
      </c>
      <c r="I5501">
        <v>15.96</v>
      </c>
      <c r="J5501">
        <v>80.56</v>
      </c>
      <c r="K5501" t="s">
        <v>30</v>
      </c>
      <c r="L5501">
        <v>1378.44</v>
      </c>
      <c r="M5501">
        <f>VLOOKUP(K5501,RatingLookup!$A$2:$C$8,2,FALSE)</f>
        <v>1.4999999999999999E-2</v>
      </c>
      <c r="N5501">
        <f t="shared" si="255"/>
        <v>1.2586770182638762E-3</v>
      </c>
      <c r="O5501">
        <f>VLOOKUP(K5501,RatingLookup!$A$2:$C$8,3,FALSE)</f>
        <v>0.5</v>
      </c>
      <c r="P5501">
        <f t="shared" si="256"/>
        <v>0.86750537452782883</v>
      </c>
      <c r="Q5501" t="str">
        <f t="shared" ca="1" si="257"/>
        <v>No</v>
      </c>
    </row>
    <row r="5502" spans="1:17" x14ac:dyDescent="0.45">
      <c r="A5502" t="s">
        <v>219</v>
      </c>
      <c r="B5502" t="s">
        <v>220</v>
      </c>
      <c r="C5502" t="s">
        <v>77</v>
      </c>
      <c r="D5502" t="s">
        <v>188</v>
      </c>
      <c r="E5502" t="s">
        <v>21</v>
      </c>
      <c r="F5502" s="1">
        <v>45047</v>
      </c>
      <c r="G5502">
        <v>1.53</v>
      </c>
      <c r="H5502">
        <v>80.042199999999994</v>
      </c>
      <c r="I5502">
        <v>11.96</v>
      </c>
      <c r="J5502">
        <v>78.87</v>
      </c>
      <c r="K5502" t="s">
        <v>30</v>
      </c>
      <c r="L5502">
        <v>1626.72</v>
      </c>
      <c r="M5502">
        <f>VLOOKUP(K5502,RatingLookup!$A$2:$C$8,2,FALSE)</f>
        <v>1.4999999999999999E-2</v>
      </c>
      <c r="N5502">
        <f t="shared" si="255"/>
        <v>1.2586770182638762E-3</v>
      </c>
      <c r="O5502">
        <f>VLOOKUP(K5502,RatingLookup!$A$2:$C$8,3,FALSE)</f>
        <v>0.5</v>
      </c>
      <c r="P5502">
        <f t="shared" si="256"/>
        <v>1.0237575395751064</v>
      </c>
      <c r="Q5502" t="str">
        <f t="shared" ca="1" si="257"/>
        <v>No</v>
      </c>
    </row>
    <row r="5503" spans="1:17" x14ac:dyDescent="0.45">
      <c r="A5503" t="s">
        <v>219</v>
      </c>
      <c r="B5503" t="s">
        <v>220</v>
      </c>
      <c r="C5503" t="s">
        <v>77</v>
      </c>
      <c r="D5503" t="s">
        <v>188</v>
      </c>
      <c r="E5503" t="s">
        <v>21</v>
      </c>
      <c r="F5503" s="1">
        <v>45078</v>
      </c>
      <c r="G5503">
        <v>0.93</v>
      </c>
      <c r="H5503">
        <v>85.2624</v>
      </c>
      <c r="I5503">
        <v>17.79</v>
      </c>
      <c r="J5503">
        <v>81.47</v>
      </c>
      <c r="K5503" t="s">
        <v>30</v>
      </c>
      <c r="L5503">
        <v>1626.71</v>
      </c>
      <c r="M5503">
        <f>VLOOKUP(K5503,RatingLookup!$A$2:$C$8,2,FALSE)</f>
        <v>1.4999999999999999E-2</v>
      </c>
      <c r="N5503">
        <f t="shared" si="255"/>
        <v>1.2586770182638762E-3</v>
      </c>
      <c r="O5503">
        <f>VLOOKUP(K5503,RatingLookup!$A$2:$C$8,3,FALSE)</f>
        <v>0.5</v>
      </c>
      <c r="P5503">
        <f t="shared" si="256"/>
        <v>1.0237512461900151</v>
      </c>
      <c r="Q5503" t="str">
        <f t="shared" ca="1" si="257"/>
        <v>No</v>
      </c>
    </row>
    <row r="5504" spans="1:17" x14ac:dyDescent="0.45">
      <c r="A5504" t="s">
        <v>219</v>
      </c>
      <c r="B5504" t="s">
        <v>220</v>
      </c>
      <c r="C5504" t="s">
        <v>77</v>
      </c>
      <c r="D5504" t="s">
        <v>188</v>
      </c>
      <c r="E5504" t="s">
        <v>21</v>
      </c>
      <c r="F5504" s="1">
        <v>45108</v>
      </c>
      <c r="G5504">
        <v>2.0699999999999998</v>
      </c>
      <c r="H5504">
        <v>82.892499999999998</v>
      </c>
      <c r="I5504">
        <v>11.8</v>
      </c>
      <c r="J5504">
        <v>97.56</v>
      </c>
      <c r="K5504" t="s">
        <v>30</v>
      </c>
      <c r="L5504">
        <v>1518</v>
      </c>
      <c r="M5504">
        <f>VLOOKUP(K5504,RatingLookup!$A$2:$C$8,2,FALSE)</f>
        <v>1.4999999999999999E-2</v>
      </c>
      <c r="N5504">
        <f t="shared" si="255"/>
        <v>1.2586770182638762E-3</v>
      </c>
      <c r="O5504">
        <f>VLOOKUP(K5504,RatingLookup!$A$2:$C$8,3,FALSE)</f>
        <v>0.5</v>
      </c>
      <c r="P5504">
        <f t="shared" si="256"/>
        <v>0.95533585686228206</v>
      </c>
      <c r="Q5504" t="str">
        <f t="shared" ca="1" si="257"/>
        <v>No</v>
      </c>
    </row>
    <row r="5505" spans="1:17" x14ac:dyDescent="0.45">
      <c r="A5505" t="s">
        <v>219</v>
      </c>
      <c r="B5505" t="s">
        <v>220</v>
      </c>
      <c r="C5505" t="s">
        <v>77</v>
      </c>
      <c r="D5505" t="s">
        <v>188</v>
      </c>
      <c r="E5505" t="s">
        <v>21</v>
      </c>
      <c r="F5505" s="1">
        <v>45139</v>
      </c>
      <c r="G5505">
        <v>1.17</v>
      </c>
      <c r="H5505">
        <v>84.595100000000002</v>
      </c>
      <c r="I5505">
        <v>22.51</v>
      </c>
      <c r="J5505">
        <v>82.81</v>
      </c>
      <c r="K5505" t="s">
        <v>30</v>
      </c>
      <c r="L5505">
        <v>1583.91</v>
      </c>
      <c r="M5505">
        <f>VLOOKUP(K5505,RatingLookup!$A$2:$C$8,2,FALSE)</f>
        <v>1.4999999999999999E-2</v>
      </c>
      <c r="N5505">
        <f t="shared" si="255"/>
        <v>1.2586770182638762E-3</v>
      </c>
      <c r="O5505">
        <f>VLOOKUP(K5505,RatingLookup!$A$2:$C$8,3,FALSE)</f>
        <v>0.5</v>
      </c>
      <c r="P5505">
        <f t="shared" si="256"/>
        <v>0.9968155579991681</v>
      </c>
      <c r="Q5505" t="str">
        <f t="shared" ca="1" si="257"/>
        <v>No</v>
      </c>
    </row>
    <row r="5506" spans="1:17" x14ac:dyDescent="0.45">
      <c r="A5506" t="s">
        <v>219</v>
      </c>
      <c r="B5506" t="s">
        <v>220</v>
      </c>
      <c r="C5506" t="s">
        <v>77</v>
      </c>
      <c r="D5506" t="s">
        <v>188</v>
      </c>
      <c r="E5506" t="s">
        <v>21</v>
      </c>
      <c r="F5506" s="1">
        <v>45170</v>
      </c>
      <c r="G5506">
        <v>1.91</v>
      </c>
      <c r="H5506">
        <v>85.488100000000003</v>
      </c>
      <c r="I5506">
        <v>16.91</v>
      </c>
      <c r="J5506">
        <v>83.8</v>
      </c>
      <c r="K5506" t="s">
        <v>30</v>
      </c>
      <c r="L5506">
        <v>1478.9</v>
      </c>
      <c r="M5506">
        <f>VLOOKUP(K5506,RatingLookup!$A$2:$C$8,2,FALSE)</f>
        <v>1.4999999999999999E-2</v>
      </c>
      <c r="N5506">
        <f t="shared" ref="N5506:N5569" si="258">1-(1-M5506)^(1/12)</f>
        <v>1.2586770182638762E-3</v>
      </c>
      <c r="O5506">
        <f>VLOOKUP(K5506,RatingLookup!$A$2:$C$8,3,FALSE)</f>
        <v>0.5</v>
      </c>
      <c r="P5506">
        <f t="shared" ref="P5506:P5569" si="259">L5506*N5506*O5506</f>
        <v>0.93072872115522332</v>
      </c>
      <c r="Q5506" t="str">
        <f t="shared" ref="Q5506:Q5569" ca="1" si="260">IF(RAND()&lt;N5506,"Yes","No")</f>
        <v>No</v>
      </c>
    </row>
    <row r="5507" spans="1:17" x14ac:dyDescent="0.45">
      <c r="A5507" t="s">
        <v>219</v>
      </c>
      <c r="B5507" t="s">
        <v>220</v>
      </c>
      <c r="C5507" t="s">
        <v>77</v>
      </c>
      <c r="D5507" t="s">
        <v>188</v>
      </c>
      <c r="E5507" t="s">
        <v>21</v>
      </c>
      <c r="F5507" s="1">
        <v>45200</v>
      </c>
      <c r="G5507">
        <v>1.69</v>
      </c>
      <c r="H5507">
        <v>84.309600000000003</v>
      </c>
      <c r="I5507">
        <v>8.23</v>
      </c>
      <c r="J5507">
        <v>68.540000000000006</v>
      </c>
      <c r="K5507" t="s">
        <v>30</v>
      </c>
      <c r="L5507">
        <v>1570.45</v>
      </c>
      <c r="M5507">
        <f>VLOOKUP(K5507,RatingLookup!$A$2:$C$8,2,FALSE)</f>
        <v>1.4999999999999999E-2</v>
      </c>
      <c r="N5507">
        <f t="shared" si="258"/>
        <v>1.2586770182638762E-3</v>
      </c>
      <c r="O5507">
        <f>VLOOKUP(K5507,RatingLookup!$A$2:$C$8,3,FALSE)</f>
        <v>0.5</v>
      </c>
      <c r="P5507">
        <f t="shared" si="259"/>
        <v>0.98834466166625223</v>
      </c>
      <c r="Q5507" t="str">
        <f t="shared" ca="1" si="260"/>
        <v>No</v>
      </c>
    </row>
    <row r="5508" spans="1:17" x14ac:dyDescent="0.45">
      <c r="A5508" t="s">
        <v>219</v>
      </c>
      <c r="B5508" t="s">
        <v>220</v>
      </c>
      <c r="C5508" t="s">
        <v>77</v>
      </c>
      <c r="D5508" t="s">
        <v>188</v>
      </c>
      <c r="E5508" t="s">
        <v>21</v>
      </c>
      <c r="F5508" s="1">
        <v>45231</v>
      </c>
      <c r="G5508">
        <v>1.77</v>
      </c>
      <c r="H5508">
        <v>80.185199999999995</v>
      </c>
      <c r="I5508">
        <v>18.82</v>
      </c>
      <c r="J5508">
        <v>76.98</v>
      </c>
      <c r="K5508" t="s">
        <v>30</v>
      </c>
      <c r="L5508">
        <v>1553.32</v>
      </c>
      <c r="M5508">
        <f>VLOOKUP(K5508,RatingLookup!$A$2:$C$8,2,FALSE)</f>
        <v>1.4999999999999999E-2</v>
      </c>
      <c r="N5508">
        <f t="shared" si="258"/>
        <v>1.2586770182638762E-3</v>
      </c>
      <c r="O5508">
        <f>VLOOKUP(K5508,RatingLookup!$A$2:$C$8,3,FALSE)</f>
        <v>0.5</v>
      </c>
      <c r="P5508">
        <f t="shared" si="259"/>
        <v>0.97756409300482205</v>
      </c>
      <c r="Q5508" t="str">
        <f t="shared" ca="1" si="260"/>
        <v>No</v>
      </c>
    </row>
    <row r="5509" spans="1:17" x14ac:dyDescent="0.45">
      <c r="A5509" t="s">
        <v>219</v>
      </c>
      <c r="B5509" t="s">
        <v>220</v>
      </c>
      <c r="C5509" t="s">
        <v>77</v>
      </c>
      <c r="D5509" t="s">
        <v>188</v>
      </c>
      <c r="E5509" t="s">
        <v>21</v>
      </c>
      <c r="F5509" s="1">
        <v>45261</v>
      </c>
      <c r="G5509">
        <v>1.52</v>
      </c>
      <c r="H5509">
        <v>86.011499999999998</v>
      </c>
      <c r="I5509">
        <v>37.07</v>
      </c>
      <c r="J5509">
        <v>72.13</v>
      </c>
      <c r="K5509" t="s">
        <v>30</v>
      </c>
      <c r="L5509">
        <v>1489.15</v>
      </c>
      <c r="M5509">
        <f>VLOOKUP(K5509,RatingLookup!$A$2:$C$8,2,FALSE)</f>
        <v>1.4999999999999999E-2</v>
      </c>
      <c r="N5509">
        <f t="shared" si="258"/>
        <v>1.2586770182638762E-3</v>
      </c>
      <c r="O5509">
        <f>VLOOKUP(K5509,RatingLookup!$A$2:$C$8,3,FALSE)</f>
        <v>0.5</v>
      </c>
      <c r="P5509">
        <f t="shared" si="259"/>
        <v>0.93717944087382565</v>
      </c>
      <c r="Q5509" t="str">
        <f t="shared" ca="1" si="260"/>
        <v>No</v>
      </c>
    </row>
    <row r="5510" spans="1:17" x14ac:dyDescent="0.45">
      <c r="A5510" t="s">
        <v>219</v>
      </c>
      <c r="B5510" t="s">
        <v>220</v>
      </c>
      <c r="C5510" t="s">
        <v>77</v>
      </c>
      <c r="D5510" t="s">
        <v>188</v>
      </c>
      <c r="E5510" t="s">
        <v>21</v>
      </c>
      <c r="F5510" s="1">
        <v>45292</v>
      </c>
      <c r="G5510">
        <v>1.67</v>
      </c>
      <c r="H5510">
        <v>82.718500000000006</v>
      </c>
      <c r="I5510">
        <v>25.88</v>
      </c>
      <c r="J5510">
        <v>88.94</v>
      </c>
      <c r="K5510" t="s">
        <v>30</v>
      </c>
      <c r="L5510">
        <v>1556.25</v>
      </c>
      <c r="M5510">
        <f>VLOOKUP(K5510,RatingLookup!$A$2:$C$8,2,FALSE)</f>
        <v>1.4999999999999999E-2</v>
      </c>
      <c r="N5510">
        <f t="shared" si="258"/>
        <v>1.2586770182638762E-3</v>
      </c>
      <c r="O5510">
        <f>VLOOKUP(K5510,RatingLookup!$A$2:$C$8,3,FALSE)</f>
        <v>0.5</v>
      </c>
      <c r="P5510">
        <f t="shared" si="259"/>
        <v>0.97940805483657867</v>
      </c>
      <c r="Q5510" t="str">
        <f t="shared" ca="1" si="260"/>
        <v>No</v>
      </c>
    </row>
    <row r="5511" spans="1:17" x14ac:dyDescent="0.45">
      <c r="A5511" t="s">
        <v>219</v>
      </c>
      <c r="B5511" t="s">
        <v>220</v>
      </c>
      <c r="C5511" t="s">
        <v>77</v>
      </c>
      <c r="D5511" t="s">
        <v>188</v>
      </c>
      <c r="E5511" t="s">
        <v>21</v>
      </c>
      <c r="F5511" s="1">
        <v>45323</v>
      </c>
      <c r="G5511">
        <v>1.66</v>
      </c>
      <c r="H5511">
        <v>81.581199999999995</v>
      </c>
      <c r="I5511">
        <v>20.16</v>
      </c>
      <c r="J5511">
        <v>83.72</v>
      </c>
      <c r="K5511" t="s">
        <v>30</v>
      </c>
      <c r="L5511">
        <v>1521.99</v>
      </c>
      <c r="M5511">
        <f>VLOOKUP(K5511,RatingLookup!$A$2:$C$8,2,FALSE)</f>
        <v>1.4999999999999999E-2</v>
      </c>
      <c r="N5511">
        <f t="shared" si="258"/>
        <v>1.2586770182638762E-3</v>
      </c>
      <c r="O5511">
        <f>VLOOKUP(K5511,RatingLookup!$A$2:$C$8,3,FALSE)</f>
        <v>0.5</v>
      </c>
      <c r="P5511">
        <f t="shared" si="259"/>
        <v>0.95784691751371853</v>
      </c>
      <c r="Q5511" t="str">
        <f t="shared" ca="1" si="260"/>
        <v>No</v>
      </c>
    </row>
    <row r="5512" spans="1:17" x14ac:dyDescent="0.45">
      <c r="A5512" t="s">
        <v>219</v>
      </c>
      <c r="B5512" t="s">
        <v>220</v>
      </c>
      <c r="C5512" t="s">
        <v>77</v>
      </c>
      <c r="D5512" t="s">
        <v>188</v>
      </c>
      <c r="E5512" t="s">
        <v>21</v>
      </c>
      <c r="F5512" s="1">
        <v>45352</v>
      </c>
      <c r="G5512">
        <v>1.63</v>
      </c>
      <c r="H5512">
        <v>85.252099999999999</v>
      </c>
      <c r="I5512">
        <v>5</v>
      </c>
      <c r="J5512">
        <v>82.8</v>
      </c>
      <c r="K5512" t="s">
        <v>30</v>
      </c>
      <c r="L5512">
        <v>1546.28</v>
      </c>
      <c r="M5512">
        <f>VLOOKUP(K5512,RatingLookup!$A$2:$C$8,2,FALSE)</f>
        <v>1.4999999999999999E-2</v>
      </c>
      <c r="N5512">
        <f t="shared" si="258"/>
        <v>1.2586770182638762E-3</v>
      </c>
      <c r="O5512">
        <f>VLOOKUP(K5512,RatingLookup!$A$2:$C$8,3,FALSE)</f>
        <v>0.5</v>
      </c>
      <c r="P5512">
        <f t="shared" si="259"/>
        <v>0.97313354990053325</v>
      </c>
      <c r="Q5512" t="str">
        <f t="shared" ca="1" si="260"/>
        <v>No</v>
      </c>
    </row>
    <row r="5513" spans="1:17" x14ac:dyDescent="0.45">
      <c r="A5513" t="s">
        <v>219</v>
      </c>
      <c r="B5513" t="s">
        <v>220</v>
      </c>
      <c r="C5513" t="s">
        <v>77</v>
      </c>
      <c r="D5513" t="s">
        <v>188</v>
      </c>
      <c r="E5513" t="s">
        <v>21</v>
      </c>
      <c r="F5513" s="1">
        <v>45383</v>
      </c>
      <c r="G5513">
        <v>2.0099999999999998</v>
      </c>
      <c r="H5513">
        <v>78.477500000000006</v>
      </c>
      <c r="I5513">
        <v>6.54</v>
      </c>
      <c r="J5513">
        <v>90.25</v>
      </c>
      <c r="K5513" t="s">
        <v>30</v>
      </c>
      <c r="L5513">
        <v>1422.27</v>
      </c>
      <c r="M5513">
        <f>VLOOKUP(K5513,RatingLookup!$A$2:$C$8,2,FALSE)</f>
        <v>1.4999999999999999E-2</v>
      </c>
      <c r="N5513">
        <f t="shared" si="258"/>
        <v>1.2586770182638762E-3</v>
      </c>
      <c r="O5513">
        <f>VLOOKUP(K5513,RatingLookup!$A$2:$C$8,3,FALSE)</f>
        <v>0.5</v>
      </c>
      <c r="P5513">
        <f t="shared" si="259"/>
        <v>0.89508928138308164</v>
      </c>
      <c r="Q5513" t="str">
        <f t="shared" ca="1" si="260"/>
        <v>No</v>
      </c>
    </row>
    <row r="5514" spans="1:17" x14ac:dyDescent="0.45">
      <c r="A5514" t="s">
        <v>219</v>
      </c>
      <c r="B5514" t="s">
        <v>220</v>
      </c>
      <c r="C5514" t="s">
        <v>77</v>
      </c>
      <c r="D5514" t="s">
        <v>188</v>
      </c>
      <c r="E5514" t="s">
        <v>21</v>
      </c>
      <c r="F5514" s="1">
        <v>45413</v>
      </c>
      <c r="G5514">
        <v>1.88</v>
      </c>
      <c r="H5514">
        <v>85.138599999999997</v>
      </c>
      <c r="I5514">
        <v>10.57</v>
      </c>
      <c r="J5514">
        <v>78.88</v>
      </c>
      <c r="K5514" t="s">
        <v>22</v>
      </c>
      <c r="L5514">
        <v>1579.11</v>
      </c>
      <c r="M5514">
        <f>VLOOKUP(K5514,RatingLookup!$A$2:$C$8,2,FALSE)</f>
        <v>5.0000000000000001E-3</v>
      </c>
      <c r="N5514">
        <f t="shared" si="258"/>
        <v>4.1762458919303302E-4</v>
      </c>
      <c r="O5514">
        <f>VLOOKUP(K5514,RatingLookup!$A$2:$C$8,3,FALSE)</f>
        <v>0.45</v>
      </c>
      <c r="P5514">
        <f t="shared" si="259"/>
        <v>0.29676382426827463</v>
      </c>
      <c r="Q5514" t="str">
        <f t="shared" ca="1" si="260"/>
        <v>No</v>
      </c>
    </row>
    <row r="5515" spans="1:17" x14ac:dyDescent="0.45">
      <c r="A5515" t="s">
        <v>219</v>
      </c>
      <c r="B5515" t="s">
        <v>220</v>
      </c>
      <c r="C5515" t="s">
        <v>77</v>
      </c>
      <c r="D5515" t="s">
        <v>188</v>
      </c>
      <c r="E5515" t="s">
        <v>21</v>
      </c>
      <c r="F5515" s="1">
        <v>45444</v>
      </c>
      <c r="G5515">
        <v>1.55</v>
      </c>
      <c r="H5515">
        <v>87.686400000000006</v>
      </c>
      <c r="I5515">
        <v>21.89</v>
      </c>
      <c r="J5515">
        <v>59.24</v>
      </c>
      <c r="K5515" t="s">
        <v>22</v>
      </c>
      <c r="L5515">
        <v>1439.63</v>
      </c>
      <c r="M5515">
        <f>VLOOKUP(K5515,RatingLookup!$A$2:$C$8,2,FALSE)</f>
        <v>5.0000000000000001E-3</v>
      </c>
      <c r="N5515">
        <f t="shared" si="258"/>
        <v>4.1762458919303302E-4</v>
      </c>
      <c r="O5515">
        <f>VLOOKUP(K5515,RatingLookup!$A$2:$C$8,3,FALSE)</f>
        <v>0.45</v>
      </c>
      <c r="P5515">
        <f t="shared" si="259"/>
        <v>0.27055119930298477</v>
      </c>
      <c r="Q5515" t="str">
        <f t="shared" ca="1" si="260"/>
        <v>No</v>
      </c>
    </row>
    <row r="5516" spans="1:17" x14ac:dyDescent="0.45">
      <c r="A5516" t="s">
        <v>219</v>
      </c>
      <c r="B5516" t="s">
        <v>220</v>
      </c>
      <c r="C5516" t="s">
        <v>77</v>
      </c>
      <c r="D5516" t="s">
        <v>188</v>
      </c>
      <c r="E5516" t="s">
        <v>21</v>
      </c>
      <c r="F5516" s="1">
        <v>45474</v>
      </c>
      <c r="G5516">
        <v>0.79</v>
      </c>
      <c r="H5516">
        <v>86.125900000000001</v>
      </c>
      <c r="I5516">
        <v>22.28</v>
      </c>
      <c r="J5516">
        <v>71.900000000000006</v>
      </c>
      <c r="K5516" t="s">
        <v>22</v>
      </c>
      <c r="L5516">
        <v>1475.02</v>
      </c>
      <c r="M5516">
        <f>VLOOKUP(K5516,RatingLookup!$A$2:$C$8,2,FALSE)</f>
        <v>5.0000000000000001E-3</v>
      </c>
      <c r="N5516">
        <f t="shared" si="258"/>
        <v>4.1762458919303302E-4</v>
      </c>
      <c r="O5516">
        <f>VLOOKUP(K5516,RatingLookup!$A$2:$C$8,3,FALSE)</f>
        <v>0.45</v>
      </c>
      <c r="P5516">
        <f t="shared" si="259"/>
        <v>0.27720207969817845</v>
      </c>
      <c r="Q5516" t="str">
        <f t="shared" ca="1" si="260"/>
        <v>No</v>
      </c>
    </row>
    <row r="5517" spans="1:17" x14ac:dyDescent="0.45">
      <c r="A5517" t="s">
        <v>219</v>
      </c>
      <c r="B5517" t="s">
        <v>220</v>
      </c>
      <c r="C5517" t="s">
        <v>77</v>
      </c>
      <c r="D5517" t="s">
        <v>188</v>
      </c>
      <c r="E5517" t="s">
        <v>21</v>
      </c>
      <c r="F5517" s="1">
        <v>45505</v>
      </c>
      <c r="G5517">
        <v>1.1399999999999999</v>
      </c>
      <c r="H5517">
        <v>81.015500000000003</v>
      </c>
      <c r="I5517">
        <v>17.649999999999999</v>
      </c>
      <c r="J5517">
        <v>67.36</v>
      </c>
      <c r="K5517" t="s">
        <v>22</v>
      </c>
      <c r="L5517">
        <v>1531.64</v>
      </c>
      <c r="M5517">
        <f>VLOOKUP(K5517,RatingLookup!$A$2:$C$8,2,FALSE)</f>
        <v>5.0000000000000001E-3</v>
      </c>
      <c r="N5517">
        <f t="shared" si="258"/>
        <v>4.1762458919303302E-4</v>
      </c>
      <c r="O5517">
        <f>VLOOKUP(K5517,RatingLookup!$A$2:$C$8,3,FALSE)</f>
        <v>0.45</v>
      </c>
      <c r="P5517">
        <f t="shared" si="259"/>
        <v>0.28784273660622772</v>
      </c>
      <c r="Q5517" t="str">
        <f t="shared" ca="1" si="260"/>
        <v>No</v>
      </c>
    </row>
    <row r="5518" spans="1:17" x14ac:dyDescent="0.45">
      <c r="A5518" t="s">
        <v>219</v>
      </c>
      <c r="B5518" t="s">
        <v>220</v>
      </c>
      <c r="C5518" t="s">
        <v>77</v>
      </c>
      <c r="D5518" t="s">
        <v>188</v>
      </c>
      <c r="E5518" t="s">
        <v>21</v>
      </c>
      <c r="F5518" s="1">
        <v>45536</v>
      </c>
      <c r="G5518">
        <v>1.07</v>
      </c>
      <c r="H5518">
        <v>82.647000000000006</v>
      </c>
      <c r="I5518">
        <v>24.32</v>
      </c>
      <c r="J5518">
        <v>91.98</v>
      </c>
      <c r="K5518" t="s">
        <v>22</v>
      </c>
      <c r="L5518">
        <v>1531.09</v>
      </c>
      <c r="M5518">
        <f>VLOOKUP(K5518,RatingLookup!$A$2:$C$8,2,FALSE)</f>
        <v>5.0000000000000001E-3</v>
      </c>
      <c r="N5518">
        <f t="shared" si="258"/>
        <v>4.1762458919303302E-4</v>
      </c>
      <c r="O5518">
        <f>VLOOKUP(K5518,RatingLookup!$A$2:$C$8,3,FALSE)</f>
        <v>0.45</v>
      </c>
      <c r="P5518">
        <f t="shared" si="259"/>
        <v>0.28773937452040238</v>
      </c>
      <c r="Q5518" t="str">
        <f t="shared" ca="1" si="260"/>
        <v>No</v>
      </c>
    </row>
    <row r="5519" spans="1:17" x14ac:dyDescent="0.45">
      <c r="A5519" t="s">
        <v>219</v>
      </c>
      <c r="B5519" t="s">
        <v>220</v>
      </c>
      <c r="C5519" t="s">
        <v>77</v>
      </c>
      <c r="D5519" t="s">
        <v>188</v>
      </c>
      <c r="E5519" t="s">
        <v>21</v>
      </c>
      <c r="F5519" s="1">
        <v>45566</v>
      </c>
      <c r="G5519">
        <v>1.67</v>
      </c>
      <c r="H5519">
        <v>82.774900000000002</v>
      </c>
      <c r="I5519">
        <v>26.45</v>
      </c>
      <c r="J5519">
        <v>97.37</v>
      </c>
      <c r="K5519" t="s">
        <v>22</v>
      </c>
      <c r="L5519">
        <v>1604.87</v>
      </c>
      <c r="M5519">
        <f>VLOOKUP(K5519,RatingLookup!$A$2:$C$8,2,FALSE)</f>
        <v>5.0000000000000001E-3</v>
      </c>
      <c r="N5519">
        <f t="shared" si="258"/>
        <v>4.1762458919303302E-4</v>
      </c>
      <c r="O5519">
        <f>VLOOKUP(K5519,RatingLookup!$A$2:$C$8,3,FALSE)</f>
        <v>0.45</v>
      </c>
      <c r="P5519">
        <f t="shared" si="259"/>
        <v>0.3016049285062003</v>
      </c>
      <c r="Q5519" t="str">
        <f t="shared" ca="1" si="260"/>
        <v>No</v>
      </c>
    </row>
    <row r="5520" spans="1:17" x14ac:dyDescent="0.45">
      <c r="A5520" t="s">
        <v>219</v>
      </c>
      <c r="B5520" t="s">
        <v>220</v>
      </c>
      <c r="C5520" t="s">
        <v>77</v>
      </c>
      <c r="D5520" t="s">
        <v>188</v>
      </c>
      <c r="E5520" t="s">
        <v>21</v>
      </c>
      <c r="F5520" s="1">
        <v>45597</v>
      </c>
      <c r="G5520">
        <v>1.58</v>
      </c>
      <c r="H5520">
        <v>81.255899999999997</v>
      </c>
      <c r="I5520">
        <v>15.97</v>
      </c>
      <c r="J5520">
        <v>83.32</v>
      </c>
      <c r="K5520" t="s">
        <v>22</v>
      </c>
      <c r="L5520">
        <v>1504.47</v>
      </c>
      <c r="M5520">
        <f>VLOOKUP(K5520,RatingLookup!$A$2:$C$8,2,FALSE)</f>
        <v>5.0000000000000001E-3</v>
      </c>
      <c r="N5520">
        <f t="shared" si="258"/>
        <v>4.1762458919303302E-4</v>
      </c>
      <c r="O5520">
        <f>VLOOKUP(K5520,RatingLookup!$A$2:$C$8,3,FALSE)</f>
        <v>0.45</v>
      </c>
      <c r="P5520">
        <f t="shared" si="259"/>
        <v>0.28273664956645905</v>
      </c>
      <c r="Q5520" t="str">
        <f t="shared" ca="1" si="260"/>
        <v>No</v>
      </c>
    </row>
    <row r="5521" spans="1:17" x14ac:dyDescent="0.45">
      <c r="A5521" t="s">
        <v>219</v>
      </c>
      <c r="B5521" t="s">
        <v>220</v>
      </c>
      <c r="C5521" t="s">
        <v>77</v>
      </c>
      <c r="D5521" t="s">
        <v>188</v>
      </c>
      <c r="E5521" t="s">
        <v>21</v>
      </c>
      <c r="F5521" s="1">
        <v>45627</v>
      </c>
      <c r="G5521">
        <v>0.69</v>
      </c>
      <c r="H5521">
        <v>82.677300000000002</v>
      </c>
      <c r="I5521">
        <v>9.5299999999999994</v>
      </c>
      <c r="J5521">
        <v>99.93</v>
      </c>
      <c r="K5521" t="s">
        <v>22</v>
      </c>
      <c r="L5521">
        <v>1502.15</v>
      </c>
      <c r="M5521">
        <f>VLOOKUP(K5521,RatingLookup!$A$2:$C$8,2,FALSE)</f>
        <v>5.0000000000000001E-3</v>
      </c>
      <c r="N5521">
        <f t="shared" si="258"/>
        <v>4.1762458919303302E-4</v>
      </c>
      <c r="O5521">
        <f>VLOOKUP(K5521,RatingLookup!$A$2:$C$8,3,FALSE)</f>
        <v>0.45</v>
      </c>
      <c r="P5521">
        <f t="shared" si="259"/>
        <v>0.28230064949534156</v>
      </c>
      <c r="Q5521" t="str">
        <f t="shared" ca="1" si="260"/>
        <v>No</v>
      </c>
    </row>
    <row r="5522" spans="1:17" x14ac:dyDescent="0.45">
      <c r="A5522" t="s">
        <v>221</v>
      </c>
      <c r="B5522" t="s">
        <v>222</v>
      </c>
      <c r="C5522" t="s">
        <v>35</v>
      </c>
      <c r="D5522" t="s">
        <v>188</v>
      </c>
      <c r="E5522" t="s">
        <v>21</v>
      </c>
      <c r="F5522" s="1">
        <v>43831</v>
      </c>
      <c r="G5522">
        <v>2.98</v>
      </c>
      <c r="H5522">
        <v>81.518500000000003</v>
      </c>
      <c r="I5522">
        <v>13.23</v>
      </c>
      <c r="J5522">
        <v>81.45</v>
      </c>
      <c r="K5522" t="s">
        <v>22</v>
      </c>
      <c r="L5522">
        <v>3777.09</v>
      </c>
      <c r="M5522">
        <f>VLOOKUP(K5522,RatingLookup!$A$2:$C$8,2,FALSE)</f>
        <v>5.0000000000000001E-3</v>
      </c>
      <c r="N5522">
        <f t="shared" si="258"/>
        <v>4.1762458919303302E-4</v>
      </c>
      <c r="O5522">
        <f>VLOOKUP(K5522,RatingLookup!$A$2:$C$8,3,FALSE)</f>
        <v>0.45</v>
      </c>
      <c r="P5522">
        <f t="shared" si="259"/>
        <v>0.70983254681780095</v>
      </c>
      <c r="Q5522" t="str">
        <f t="shared" ca="1" si="260"/>
        <v>No</v>
      </c>
    </row>
    <row r="5523" spans="1:17" x14ac:dyDescent="0.45">
      <c r="A5523" t="s">
        <v>221</v>
      </c>
      <c r="B5523" t="s">
        <v>222</v>
      </c>
      <c r="C5523" t="s">
        <v>35</v>
      </c>
      <c r="D5523" t="s">
        <v>188</v>
      </c>
      <c r="E5523" t="s">
        <v>21</v>
      </c>
      <c r="F5523" s="1">
        <v>43862</v>
      </c>
      <c r="G5523">
        <v>1.42</v>
      </c>
      <c r="H5523">
        <v>80.488299999999995</v>
      </c>
      <c r="I5523">
        <v>28.94</v>
      </c>
      <c r="J5523">
        <v>79.22</v>
      </c>
      <c r="K5523" t="s">
        <v>22</v>
      </c>
      <c r="L5523">
        <v>3806.57</v>
      </c>
      <c r="M5523">
        <f>VLOOKUP(K5523,RatingLookup!$A$2:$C$8,2,FALSE)</f>
        <v>5.0000000000000001E-3</v>
      </c>
      <c r="N5523">
        <f t="shared" si="258"/>
        <v>4.1762458919303302E-4</v>
      </c>
      <c r="O5523">
        <f>VLOOKUP(K5523,RatingLookup!$A$2:$C$8,3,FALSE)</f>
        <v>0.45</v>
      </c>
      <c r="P5523">
        <f t="shared" si="259"/>
        <v>0.71537275461803562</v>
      </c>
      <c r="Q5523" t="str">
        <f t="shared" ca="1" si="260"/>
        <v>No</v>
      </c>
    </row>
    <row r="5524" spans="1:17" x14ac:dyDescent="0.45">
      <c r="A5524" t="s">
        <v>221</v>
      </c>
      <c r="B5524" t="s">
        <v>222</v>
      </c>
      <c r="C5524" t="s">
        <v>35</v>
      </c>
      <c r="D5524" t="s">
        <v>188</v>
      </c>
      <c r="E5524" t="s">
        <v>21</v>
      </c>
      <c r="F5524" s="1">
        <v>43891</v>
      </c>
      <c r="G5524">
        <v>2.1800000000000002</v>
      </c>
      <c r="H5524">
        <v>77.098600000000005</v>
      </c>
      <c r="I5524">
        <v>21.98</v>
      </c>
      <c r="J5524">
        <v>76.03</v>
      </c>
      <c r="K5524" t="s">
        <v>22</v>
      </c>
      <c r="L5524">
        <v>3852.87</v>
      </c>
      <c r="M5524">
        <f>VLOOKUP(K5524,RatingLookup!$A$2:$C$8,2,FALSE)</f>
        <v>5.0000000000000001E-3</v>
      </c>
      <c r="N5524">
        <f t="shared" si="258"/>
        <v>4.1762458919303302E-4</v>
      </c>
      <c r="O5524">
        <f>VLOOKUP(K5524,RatingLookup!$A$2:$C$8,3,FALSE)</f>
        <v>0.45</v>
      </c>
      <c r="P5524">
        <f t="shared" si="259"/>
        <v>0.72407396293387249</v>
      </c>
      <c r="Q5524" t="str">
        <f t="shared" ca="1" si="260"/>
        <v>No</v>
      </c>
    </row>
    <row r="5525" spans="1:17" x14ac:dyDescent="0.45">
      <c r="A5525" t="s">
        <v>221</v>
      </c>
      <c r="B5525" t="s">
        <v>222</v>
      </c>
      <c r="C5525" t="s">
        <v>35</v>
      </c>
      <c r="D5525" t="s">
        <v>188</v>
      </c>
      <c r="E5525" t="s">
        <v>21</v>
      </c>
      <c r="F5525" s="1">
        <v>43922</v>
      </c>
      <c r="G5525">
        <v>1.1499999999999999</v>
      </c>
      <c r="H5525">
        <v>82.002700000000004</v>
      </c>
      <c r="I5525">
        <v>18.14</v>
      </c>
      <c r="J5525">
        <v>71.98</v>
      </c>
      <c r="K5525" t="s">
        <v>22</v>
      </c>
      <c r="L5525">
        <v>3880</v>
      </c>
      <c r="M5525">
        <f>VLOOKUP(K5525,RatingLookup!$A$2:$C$8,2,FALSE)</f>
        <v>5.0000000000000001E-3</v>
      </c>
      <c r="N5525">
        <f t="shared" si="258"/>
        <v>4.1762458919303302E-4</v>
      </c>
      <c r="O5525">
        <f>VLOOKUP(K5525,RatingLookup!$A$2:$C$8,3,FALSE)</f>
        <v>0.45</v>
      </c>
      <c r="P5525">
        <f t="shared" si="259"/>
        <v>0.72917253273103566</v>
      </c>
      <c r="Q5525" t="str">
        <f t="shared" ca="1" si="260"/>
        <v>No</v>
      </c>
    </row>
    <row r="5526" spans="1:17" x14ac:dyDescent="0.45">
      <c r="A5526" t="s">
        <v>221</v>
      </c>
      <c r="B5526" t="s">
        <v>222</v>
      </c>
      <c r="C5526" t="s">
        <v>35</v>
      </c>
      <c r="D5526" t="s">
        <v>188</v>
      </c>
      <c r="E5526" t="s">
        <v>21</v>
      </c>
      <c r="F5526" s="1">
        <v>43952</v>
      </c>
      <c r="G5526">
        <v>1.91</v>
      </c>
      <c r="H5526">
        <v>83.926000000000002</v>
      </c>
      <c r="I5526">
        <v>21.65</v>
      </c>
      <c r="J5526">
        <v>76.31</v>
      </c>
      <c r="K5526" t="s">
        <v>22</v>
      </c>
      <c r="L5526">
        <v>3765.45</v>
      </c>
      <c r="M5526">
        <f>VLOOKUP(K5526,RatingLookup!$A$2:$C$8,2,FALSE)</f>
        <v>5.0000000000000001E-3</v>
      </c>
      <c r="N5526">
        <f t="shared" si="258"/>
        <v>4.1762458919303302E-4</v>
      </c>
      <c r="O5526">
        <f>VLOOKUP(K5526,RatingLookup!$A$2:$C$8,3,FALSE)</f>
        <v>0.45</v>
      </c>
      <c r="P5526">
        <f t="shared" si="259"/>
        <v>0.70764502921960781</v>
      </c>
      <c r="Q5526" t="str">
        <f t="shared" ca="1" si="260"/>
        <v>No</v>
      </c>
    </row>
    <row r="5527" spans="1:17" x14ac:dyDescent="0.45">
      <c r="A5527" t="s">
        <v>221</v>
      </c>
      <c r="B5527" t="s">
        <v>222</v>
      </c>
      <c r="C5527" t="s">
        <v>35</v>
      </c>
      <c r="D5527" t="s">
        <v>188</v>
      </c>
      <c r="E5527" t="s">
        <v>21</v>
      </c>
      <c r="F5527" s="1">
        <v>43983</v>
      </c>
      <c r="G5527">
        <v>2.2400000000000002</v>
      </c>
      <c r="H5527">
        <v>81.349999999999994</v>
      </c>
      <c r="I5527">
        <v>22.26</v>
      </c>
      <c r="J5527">
        <v>74.86</v>
      </c>
      <c r="K5527" t="s">
        <v>22</v>
      </c>
      <c r="L5527">
        <v>3872.95</v>
      </c>
      <c r="M5527">
        <f>VLOOKUP(K5527,RatingLookup!$A$2:$C$8,2,FALSE)</f>
        <v>5.0000000000000001E-3</v>
      </c>
      <c r="N5527">
        <f t="shared" si="258"/>
        <v>4.1762458919303302E-4</v>
      </c>
      <c r="O5527">
        <f>VLOOKUP(K5527,RatingLookup!$A$2:$C$8,3,FALSE)</f>
        <v>0.45</v>
      </c>
      <c r="P5527">
        <f t="shared" si="259"/>
        <v>0.7278476187218208</v>
      </c>
      <c r="Q5527" t="str">
        <f t="shared" ca="1" si="260"/>
        <v>No</v>
      </c>
    </row>
    <row r="5528" spans="1:17" x14ac:dyDescent="0.45">
      <c r="A5528" t="s">
        <v>221</v>
      </c>
      <c r="B5528" t="s">
        <v>222</v>
      </c>
      <c r="C5528" t="s">
        <v>35</v>
      </c>
      <c r="D5528" t="s">
        <v>188</v>
      </c>
      <c r="E5528" t="s">
        <v>21</v>
      </c>
      <c r="F5528" s="1">
        <v>44013</v>
      </c>
      <c r="G5528">
        <v>1.55</v>
      </c>
      <c r="H5528">
        <v>79.834999999999994</v>
      </c>
      <c r="I5528">
        <v>8.2100000000000009</v>
      </c>
      <c r="J5528">
        <v>88.36</v>
      </c>
      <c r="K5528" t="s">
        <v>22</v>
      </c>
      <c r="L5528">
        <v>3535.41</v>
      </c>
      <c r="M5528">
        <f>VLOOKUP(K5528,RatingLookup!$A$2:$C$8,2,FALSE)</f>
        <v>5.0000000000000001E-3</v>
      </c>
      <c r="N5528">
        <f t="shared" si="258"/>
        <v>4.1762458919303302E-4</v>
      </c>
      <c r="O5528">
        <f>VLOOKUP(K5528,RatingLookup!$A$2:$C$8,3,FALSE)</f>
        <v>0.45</v>
      </c>
      <c r="P5528">
        <f t="shared" si="259"/>
        <v>0.66441336699552334</v>
      </c>
      <c r="Q5528" t="str">
        <f t="shared" ca="1" si="260"/>
        <v>No</v>
      </c>
    </row>
    <row r="5529" spans="1:17" x14ac:dyDescent="0.45">
      <c r="A5529" t="s">
        <v>221</v>
      </c>
      <c r="B5529" t="s">
        <v>222</v>
      </c>
      <c r="C5529" t="s">
        <v>35</v>
      </c>
      <c r="D5529" t="s">
        <v>188</v>
      </c>
      <c r="E5529" t="s">
        <v>21</v>
      </c>
      <c r="F5529" s="1">
        <v>44044</v>
      </c>
      <c r="G5529">
        <v>2.44</v>
      </c>
      <c r="H5529">
        <v>82.5899</v>
      </c>
      <c r="I5529">
        <v>19.18</v>
      </c>
      <c r="J5529">
        <v>66.88</v>
      </c>
      <c r="K5529" t="s">
        <v>30</v>
      </c>
      <c r="L5529">
        <v>3943.45</v>
      </c>
      <c r="M5529">
        <f>VLOOKUP(K5529,RatingLookup!$A$2:$C$8,2,FALSE)</f>
        <v>1.4999999999999999E-2</v>
      </c>
      <c r="N5529">
        <f t="shared" si="258"/>
        <v>1.2586770182638762E-3</v>
      </c>
      <c r="O5529">
        <f>VLOOKUP(K5529,RatingLookup!$A$2:$C$8,3,FALSE)</f>
        <v>0.5</v>
      </c>
      <c r="P5529">
        <f t="shared" si="259"/>
        <v>2.4817649438363412</v>
      </c>
      <c r="Q5529" t="str">
        <f t="shared" ca="1" si="260"/>
        <v>No</v>
      </c>
    </row>
    <row r="5530" spans="1:17" x14ac:dyDescent="0.45">
      <c r="A5530" t="s">
        <v>221</v>
      </c>
      <c r="B5530" t="s">
        <v>222</v>
      </c>
      <c r="C5530" t="s">
        <v>35</v>
      </c>
      <c r="D5530" t="s">
        <v>188</v>
      </c>
      <c r="E5530" t="s">
        <v>21</v>
      </c>
      <c r="F5530" s="1">
        <v>44075</v>
      </c>
      <c r="G5530">
        <v>1.1000000000000001</v>
      </c>
      <c r="H5530">
        <v>80.891000000000005</v>
      </c>
      <c r="I5530">
        <v>30.17</v>
      </c>
      <c r="J5530">
        <v>78.91</v>
      </c>
      <c r="K5530" t="s">
        <v>22</v>
      </c>
      <c r="L5530">
        <v>3614.05</v>
      </c>
      <c r="M5530">
        <f>VLOOKUP(K5530,RatingLookup!$A$2:$C$8,2,FALSE)</f>
        <v>5.0000000000000001E-3</v>
      </c>
      <c r="N5530">
        <f t="shared" si="258"/>
        <v>4.1762458919303302E-4</v>
      </c>
      <c r="O5530">
        <f>VLOOKUP(K5530,RatingLookup!$A$2:$C$8,3,FALSE)</f>
        <v>0.45</v>
      </c>
      <c r="P5530">
        <f t="shared" si="259"/>
        <v>0.67919226595788651</v>
      </c>
      <c r="Q5530" t="str">
        <f t="shared" ca="1" si="260"/>
        <v>No</v>
      </c>
    </row>
    <row r="5531" spans="1:17" x14ac:dyDescent="0.45">
      <c r="A5531" t="s">
        <v>221</v>
      </c>
      <c r="B5531" t="s">
        <v>222</v>
      </c>
      <c r="C5531" t="s">
        <v>35</v>
      </c>
      <c r="D5531" t="s">
        <v>188</v>
      </c>
      <c r="E5531" t="s">
        <v>21</v>
      </c>
      <c r="F5531" s="1">
        <v>44105</v>
      </c>
      <c r="G5531">
        <v>2.0099999999999998</v>
      </c>
      <c r="H5531">
        <v>88.284000000000006</v>
      </c>
      <c r="I5531">
        <v>18.63</v>
      </c>
      <c r="J5531">
        <v>67.87</v>
      </c>
      <c r="K5531" t="s">
        <v>22</v>
      </c>
      <c r="L5531">
        <v>3726.13</v>
      </c>
      <c r="M5531">
        <f>VLOOKUP(K5531,RatingLookup!$A$2:$C$8,2,FALSE)</f>
        <v>5.0000000000000001E-3</v>
      </c>
      <c r="N5531">
        <f t="shared" si="258"/>
        <v>4.1762458919303302E-4</v>
      </c>
      <c r="O5531">
        <f>VLOOKUP(K5531,RatingLookup!$A$2:$C$8,3,FALSE)</f>
        <v>0.45</v>
      </c>
      <c r="P5531">
        <f t="shared" si="259"/>
        <v>0.70025557973842623</v>
      </c>
      <c r="Q5531" t="str">
        <f t="shared" ca="1" si="260"/>
        <v>No</v>
      </c>
    </row>
    <row r="5532" spans="1:17" x14ac:dyDescent="0.45">
      <c r="A5532" t="s">
        <v>221</v>
      </c>
      <c r="B5532" t="s">
        <v>222</v>
      </c>
      <c r="C5532" t="s">
        <v>35</v>
      </c>
      <c r="D5532" t="s">
        <v>188</v>
      </c>
      <c r="E5532" t="s">
        <v>21</v>
      </c>
      <c r="F5532" s="1">
        <v>44136</v>
      </c>
      <c r="G5532">
        <v>1.78</v>
      </c>
      <c r="H5532">
        <v>77.927099999999996</v>
      </c>
      <c r="I5532">
        <v>11.51</v>
      </c>
      <c r="J5532">
        <v>74.12</v>
      </c>
      <c r="K5532" t="s">
        <v>22</v>
      </c>
      <c r="L5532">
        <v>3740.74</v>
      </c>
      <c r="M5532">
        <f>VLOOKUP(K5532,RatingLookup!$A$2:$C$8,2,FALSE)</f>
        <v>5.0000000000000001E-3</v>
      </c>
      <c r="N5532">
        <f t="shared" si="258"/>
        <v>4.1762458919303302E-4</v>
      </c>
      <c r="O5532">
        <f>VLOOKUP(K5532,RatingLookup!$A$2:$C$8,3,FALSE)</f>
        <v>0.45</v>
      </c>
      <c r="P5532">
        <f t="shared" si="259"/>
        <v>0.70300125260007584</v>
      </c>
      <c r="Q5532" t="str">
        <f t="shared" ca="1" si="260"/>
        <v>No</v>
      </c>
    </row>
    <row r="5533" spans="1:17" x14ac:dyDescent="0.45">
      <c r="A5533" t="s">
        <v>221</v>
      </c>
      <c r="B5533" t="s">
        <v>222</v>
      </c>
      <c r="C5533" t="s">
        <v>35</v>
      </c>
      <c r="D5533" t="s">
        <v>188</v>
      </c>
      <c r="E5533" t="s">
        <v>21</v>
      </c>
      <c r="F5533" s="1">
        <v>44166</v>
      </c>
      <c r="G5533">
        <v>0.85</v>
      </c>
      <c r="H5533">
        <v>86.520600000000002</v>
      </c>
      <c r="I5533">
        <v>22.45</v>
      </c>
      <c r="J5533">
        <v>80.91</v>
      </c>
      <c r="K5533" t="s">
        <v>22</v>
      </c>
      <c r="L5533">
        <v>3814.09</v>
      </c>
      <c r="M5533">
        <f>VLOOKUP(K5533,RatingLookup!$A$2:$C$8,2,FALSE)</f>
        <v>5.0000000000000001E-3</v>
      </c>
      <c r="N5533">
        <f t="shared" si="258"/>
        <v>4.1762458919303302E-4</v>
      </c>
      <c r="O5533">
        <f>VLOOKUP(K5533,RatingLookup!$A$2:$C$8,3,FALSE)</f>
        <v>0.45</v>
      </c>
      <c r="P5533">
        <f t="shared" si="259"/>
        <v>0.71678599622786499</v>
      </c>
      <c r="Q5533" t="str">
        <f t="shared" ca="1" si="260"/>
        <v>No</v>
      </c>
    </row>
    <row r="5534" spans="1:17" x14ac:dyDescent="0.45">
      <c r="A5534" t="s">
        <v>221</v>
      </c>
      <c r="B5534" t="s">
        <v>222</v>
      </c>
      <c r="C5534" t="s">
        <v>35</v>
      </c>
      <c r="D5534" t="s">
        <v>188</v>
      </c>
      <c r="E5534" t="s">
        <v>21</v>
      </c>
      <c r="F5534" s="1">
        <v>44197</v>
      </c>
      <c r="G5534">
        <v>3.13</v>
      </c>
      <c r="H5534">
        <v>81.403099999999995</v>
      </c>
      <c r="I5534">
        <v>16.18</v>
      </c>
      <c r="J5534">
        <v>85.89</v>
      </c>
      <c r="K5534" t="s">
        <v>22</v>
      </c>
      <c r="L5534">
        <v>3556.52</v>
      </c>
      <c r="M5534">
        <f>VLOOKUP(K5534,RatingLookup!$A$2:$C$8,2,FALSE)</f>
        <v>5.0000000000000001E-3</v>
      </c>
      <c r="N5534">
        <f t="shared" si="258"/>
        <v>4.1762458919303302E-4</v>
      </c>
      <c r="O5534">
        <f>VLOOKUP(K5534,RatingLookup!$A$2:$C$8,3,FALSE)</f>
        <v>0.45</v>
      </c>
      <c r="P5534">
        <f t="shared" si="259"/>
        <v>0.66838059178056264</v>
      </c>
      <c r="Q5534" t="str">
        <f t="shared" ca="1" si="260"/>
        <v>No</v>
      </c>
    </row>
    <row r="5535" spans="1:17" x14ac:dyDescent="0.45">
      <c r="A5535" t="s">
        <v>221</v>
      </c>
      <c r="B5535" t="s">
        <v>222</v>
      </c>
      <c r="C5535" t="s">
        <v>35</v>
      </c>
      <c r="D5535" t="s">
        <v>188</v>
      </c>
      <c r="E5535" t="s">
        <v>21</v>
      </c>
      <c r="F5535" s="1">
        <v>44228</v>
      </c>
      <c r="G5535">
        <v>1.45</v>
      </c>
      <c r="H5535">
        <v>84.882800000000003</v>
      </c>
      <c r="I5535">
        <v>21.22</v>
      </c>
      <c r="J5535">
        <v>79.260000000000005</v>
      </c>
      <c r="K5535" t="s">
        <v>22</v>
      </c>
      <c r="L5535">
        <v>3871.68</v>
      </c>
      <c r="M5535">
        <f>VLOOKUP(K5535,RatingLookup!$A$2:$C$8,2,FALSE)</f>
        <v>5.0000000000000001E-3</v>
      </c>
      <c r="N5535">
        <f t="shared" si="258"/>
        <v>4.1762458919303302E-4</v>
      </c>
      <c r="O5535">
        <f>VLOOKUP(K5535,RatingLookup!$A$2:$C$8,3,FALSE)</f>
        <v>0.45</v>
      </c>
      <c r="P5535">
        <f t="shared" si="259"/>
        <v>0.72760894626909689</v>
      </c>
      <c r="Q5535" t="str">
        <f t="shared" ca="1" si="260"/>
        <v>No</v>
      </c>
    </row>
    <row r="5536" spans="1:17" x14ac:dyDescent="0.45">
      <c r="A5536" t="s">
        <v>221</v>
      </c>
      <c r="B5536" t="s">
        <v>222</v>
      </c>
      <c r="C5536" t="s">
        <v>35</v>
      </c>
      <c r="D5536" t="s">
        <v>188</v>
      </c>
      <c r="E5536" t="s">
        <v>21</v>
      </c>
      <c r="F5536" s="1">
        <v>44256</v>
      </c>
      <c r="G5536">
        <v>1.83</v>
      </c>
      <c r="H5536">
        <v>84.677700000000002</v>
      </c>
      <c r="I5536">
        <v>18.239999999999998</v>
      </c>
      <c r="J5536">
        <v>61.45</v>
      </c>
      <c r="K5536" t="s">
        <v>22</v>
      </c>
      <c r="L5536">
        <v>3769.98</v>
      </c>
      <c r="M5536">
        <f>VLOOKUP(K5536,RatingLookup!$A$2:$C$8,2,FALSE)</f>
        <v>5.0000000000000001E-3</v>
      </c>
      <c r="N5536">
        <f t="shared" si="258"/>
        <v>4.1762458919303302E-4</v>
      </c>
      <c r="O5536">
        <f>VLOOKUP(K5536,RatingLookup!$A$2:$C$8,3,FALSE)</f>
        <v>0.45</v>
      </c>
      <c r="P5536">
        <f t="shared" si="259"/>
        <v>0.70849635694467783</v>
      </c>
      <c r="Q5536" t="str">
        <f t="shared" ca="1" si="260"/>
        <v>No</v>
      </c>
    </row>
    <row r="5537" spans="1:17" x14ac:dyDescent="0.45">
      <c r="A5537" t="s">
        <v>221</v>
      </c>
      <c r="B5537" t="s">
        <v>222</v>
      </c>
      <c r="C5537" t="s">
        <v>35</v>
      </c>
      <c r="D5537" t="s">
        <v>188</v>
      </c>
      <c r="E5537" t="s">
        <v>21</v>
      </c>
      <c r="F5537" s="1">
        <v>44287</v>
      </c>
      <c r="G5537">
        <v>1.21</v>
      </c>
      <c r="H5537">
        <v>79.027100000000004</v>
      </c>
      <c r="I5537">
        <v>17.14</v>
      </c>
      <c r="J5537">
        <v>74.91</v>
      </c>
      <c r="K5537" t="s">
        <v>22</v>
      </c>
      <c r="L5537">
        <v>4173.96</v>
      </c>
      <c r="M5537">
        <f>VLOOKUP(K5537,RatingLookup!$A$2:$C$8,2,FALSE)</f>
        <v>5.0000000000000001E-3</v>
      </c>
      <c r="N5537">
        <f t="shared" si="258"/>
        <v>4.1762458919303302E-4</v>
      </c>
      <c r="O5537">
        <f>VLOOKUP(K5537,RatingLookup!$A$2:$C$8,3,FALSE)</f>
        <v>0.45</v>
      </c>
      <c r="P5537">
        <f t="shared" si="259"/>
        <v>0.7844167486386685</v>
      </c>
      <c r="Q5537" t="str">
        <f t="shared" ca="1" si="260"/>
        <v>No</v>
      </c>
    </row>
    <row r="5538" spans="1:17" x14ac:dyDescent="0.45">
      <c r="A5538" t="s">
        <v>221</v>
      </c>
      <c r="B5538" t="s">
        <v>222</v>
      </c>
      <c r="C5538" t="s">
        <v>35</v>
      </c>
      <c r="D5538" t="s">
        <v>188</v>
      </c>
      <c r="E5538" t="s">
        <v>21</v>
      </c>
      <c r="F5538" s="1">
        <v>44317</v>
      </c>
      <c r="G5538">
        <v>2.33</v>
      </c>
      <c r="H5538">
        <v>79.304000000000002</v>
      </c>
      <c r="I5538">
        <v>14.29</v>
      </c>
      <c r="J5538">
        <v>58.42</v>
      </c>
      <c r="K5538" t="s">
        <v>22</v>
      </c>
      <c r="L5538">
        <v>4194.74</v>
      </c>
      <c r="M5538">
        <f>VLOOKUP(K5538,RatingLookup!$A$2:$C$8,2,FALSE)</f>
        <v>5.0000000000000001E-3</v>
      </c>
      <c r="N5538">
        <f t="shared" si="258"/>
        <v>4.1762458919303302E-4</v>
      </c>
      <c r="O5538">
        <f>VLOOKUP(K5538,RatingLookup!$A$2:$C$8,3,FALSE)</f>
        <v>0.45</v>
      </c>
      <c r="P5538">
        <f t="shared" si="259"/>
        <v>0.78832195617221246</v>
      </c>
      <c r="Q5538" t="str">
        <f t="shared" ca="1" si="260"/>
        <v>No</v>
      </c>
    </row>
    <row r="5539" spans="1:17" x14ac:dyDescent="0.45">
      <c r="A5539" t="s">
        <v>221</v>
      </c>
      <c r="B5539" t="s">
        <v>222</v>
      </c>
      <c r="C5539" t="s">
        <v>35</v>
      </c>
      <c r="D5539" t="s">
        <v>188</v>
      </c>
      <c r="E5539" t="s">
        <v>21</v>
      </c>
      <c r="F5539" s="1">
        <v>44348</v>
      </c>
      <c r="G5539">
        <v>1.63</v>
      </c>
      <c r="H5539">
        <v>80.890299999999996</v>
      </c>
      <c r="I5539">
        <v>15.66</v>
      </c>
      <c r="J5539">
        <v>87.63</v>
      </c>
      <c r="K5539" t="s">
        <v>22</v>
      </c>
      <c r="L5539">
        <v>3771.03</v>
      </c>
      <c r="M5539">
        <f>VLOOKUP(K5539,RatingLookup!$A$2:$C$8,2,FALSE)</f>
        <v>5.0000000000000001E-3</v>
      </c>
      <c r="N5539">
        <f t="shared" si="258"/>
        <v>4.1762458919303302E-4</v>
      </c>
      <c r="O5539">
        <f>VLOOKUP(K5539,RatingLookup!$A$2:$C$8,3,FALSE)</f>
        <v>0.45</v>
      </c>
      <c r="P5539">
        <f t="shared" si="259"/>
        <v>0.70869368456307158</v>
      </c>
      <c r="Q5539" t="str">
        <f t="shared" ca="1" si="260"/>
        <v>No</v>
      </c>
    </row>
    <row r="5540" spans="1:17" x14ac:dyDescent="0.45">
      <c r="A5540" t="s">
        <v>221</v>
      </c>
      <c r="B5540" t="s">
        <v>222</v>
      </c>
      <c r="C5540" t="s">
        <v>35</v>
      </c>
      <c r="D5540" t="s">
        <v>188</v>
      </c>
      <c r="E5540" t="s">
        <v>21</v>
      </c>
      <c r="F5540" s="1">
        <v>44378</v>
      </c>
      <c r="G5540">
        <v>1.21</v>
      </c>
      <c r="H5540">
        <v>82.527500000000003</v>
      </c>
      <c r="I5540">
        <v>20.399999999999999</v>
      </c>
      <c r="J5540">
        <v>84.16</v>
      </c>
      <c r="K5540" t="s">
        <v>22</v>
      </c>
      <c r="L5540">
        <v>3845.92</v>
      </c>
      <c r="M5540">
        <f>VLOOKUP(K5540,RatingLookup!$A$2:$C$8,2,FALSE)</f>
        <v>5.0000000000000001E-3</v>
      </c>
      <c r="N5540">
        <f t="shared" si="258"/>
        <v>4.1762458919303302E-4</v>
      </c>
      <c r="O5540">
        <f>VLOOKUP(K5540,RatingLookup!$A$2:$C$8,3,FALSE)</f>
        <v>0.45</v>
      </c>
      <c r="P5540">
        <f t="shared" si="259"/>
        <v>0.72276784203117128</v>
      </c>
      <c r="Q5540" t="str">
        <f t="shared" ca="1" si="260"/>
        <v>No</v>
      </c>
    </row>
    <row r="5541" spans="1:17" x14ac:dyDescent="0.45">
      <c r="A5541" t="s">
        <v>221</v>
      </c>
      <c r="B5541" t="s">
        <v>222</v>
      </c>
      <c r="C5541" t="s">
        <v>35</v>
      </c>
      <c r="D5541" t="s">
        <v>188</v>
      </c>
      <c r="E5541" t="s">
        <v>21</v>
      </c>
      <c r="F5541" s="1">
        <v>44409</v>
      </c>
      <c r="G5541">
        <v>0.49</v>
      </c>
      <c r="H5541">
        <v>82.1511</v>
      </c>
      <c r="I5541">
        <v>33.700000000000003</v>
      </c>
      <c r="J5541">
        <v>85.29</v>
      </c>
      <c r="K5541" t="s">
        <v>22</v>
      </c>
      <c r="L5541">
        <v>4113.43</v>
      </c>
      <c r="M5541">
        <f>VLOOKUP(K5541,RatingLookup!$A$2:$C$8,2,FALSE)</f>
        <v>5.0000000000000001E-3</v>
      </c>
      <c r="N5541">
        <f t="shared" si="258"/>
        <v>4.1762458919303302E-4</v>
      </c>
      <c r="O5541">
        <f>VLOOKUP(K5541,RatingLookup!$A$2:$C$8,3,FALSE)</f>
        <v>0.45</v>
      </c>
      <c r="P5541">
        <f t="shared" si="259"/>
        <v>0.77304128126593408</v>
      </c>
      <c r="Q5541" t="str">
        <f t="shared" ca="1" si="260"/>
        <v>No</v>
      </c>
    </row>
    <row r="5542" spans="1:17" x14ac:dyDescent="0.45">
      <c r="A5542" t="s">
        <v>221</v>
      </c>
      <c r="B5542" t="s">
        <v>222</v>
      </c>
      <c r="C5542" t="s">
        <v>35</v>
      </c>
      <c r="D5542" t="s">
        <v>188</v>
      </c>
      <c r="E5542" t="s">
        <v>21</v>
      </c>
      <c r="F5542" s="1">
        <v>44440</v>
      </c>
      <c r="G5542">
        <v>2.27</v>
      </c>
      <c r="H5542">
        <v>83.542900000000003</v>
      </c>
      <c r="I5542">
        <v>19.55</v>
      </c>
      <c r="J5542">
        <v>81.180000000000007</v>
      </c>
      <c r="K5542" t="s">
        <v>22</v>
      </c>
      <c r="L5542">
        <v>4249.57</v>
      </c>
      <c r="M5542">
        <f>VLOOKUP(K5542,RatingLookup!$A$2:$C$8,2,FALSE)</f>
        <v>5.0000000000000001E-3</v>
      </c>
      <c r="N5542">
        <f t="shared" si="258"/>
        <v>4.1762458919303302E-4</v>
      </c>
      <c r="O5542">
        <f>VLOOKUP(K5542,RatingLookup!$A$2:$C$8,3,FALSE)</f>
        <v>0.45</v>
      </c>
      <c r="P5542">
        <f t="shared" si="259"/>
        <v>0.79862621647366672</v>
      </c>
      <c r="Q5542" t="str">
        <f t="shared" ca="1" si="260"/>
        <v>No</v>
      </c>
    </row>
    <row r="5543" spans="1:17" x14ac:dyDescent="0.45">
      <c r="A5543" t="s">
        <v>221</v>
      </c>
      <c r="B5543" t="s">
        <v>222</v>
      </c>
      <c r="C5543" t="s">
        <v>35</v>
      </c>
      <c r="D5543" t="s">
        <v>188</v>
      </c>
      <c r="E5543" t="s">
        <v>21</v>
      </c>
      <c r="F5543" s="1">
        <v>44470</v>
      </c>
      <c r="G5543">
        <v>1.06</v>
      </c>
      <c r="H5543">
        <v>83.115099999999998</v>
      </c>
      <c r="I5543">
        <v>23.23</v>
      </c>
      <c r="J5543">
        <v>80.260000000000005</v>
      </c>
      <c r="K5543" t="s">
        <v>22</v>
      </c>
      <c r="L5543">
        <v>4257.5200000000004</v>
      </c>
      <c r="M5543">
        <f>VLOOKUP(K5543,RatingLookup!$A$2:$C$8,2,FALSE)</f>
        <v>5.0000000000000001E-3</v>
      </c>
      <c r="N5543">
        <f t="shared" si="258"/>
        <v>4.1762458919303302E-4</v>
      </c>
      <c r="O5543">
        <f>VLOOKUP(K5543,RatingLookup!$A$2:$C$8,3,FALSE)</f>
        <v>0.45</v>
      </c>
      <c r="P5543">
        <f t="shared" si="259"/>
        <v>0.80012026844150497</v>
      </c>
      <c r="Q5543" t="str">
        <f t="shared" ca="1" si="260"/>
        <v>No</v>
      </c>
    </row>
    <row r="5544" spans="1:17" x14ac:dyDescent="0.45">
      <c r="A5544" t="s">
        <v>221</v>
      </c>
      <c r="B5544" t="s">
        <v>222</v>
      </c>
      <c r="C5544" t="s">
        <v>35</v>
      </c>
      <c r="D5544" t="s">
        <v>188</v>
      </c>
      <c r="E5544" t="s">
        <v>21</v>
      </c>
      <c r="F5544" s="1">
        <v>44501</v>
      </c>
      <c r="G5544">
        <v>2.27</v>
      </c>
      <c r="H5544">
        <v>81.494699999999995</v>
      </c>
      <c r="I5544">
        <v>15.64</v>
      </c>
      <c r="J5544">
        <v>75.67</v>
      </c>
      <c r="K5544" t="s">
        <v>22</v>
      </c>
      <c r="L5544">
        <v>3637.01</v>
      </c>
      <c r="M5544">
        <f>VLOOKUP(K5544,RatingLookup!$A$2:$C$8,2,FALSE)</f>
        <v>5.0000000000000001E-3</v>
      </c>
      <c r="N5544">
        <f t="shared" si="258"/>
        <v>4.1762458919303302E-4</v>
      </c>
      <c r="O5544">
        <f>VLOOKUP(K5544,RatingLookup!$A$2:$C$8,3,FALSE)</f>
        <v>0.45</v>
      </c>
      <c r="P5544">
        <f t="shared" si="259"/>
        <v>0.68350716321342897</v>
      </c>
      <c r="Q5544" t="str">
        <f t="shared" ca="1" si="260"/>
        <v>No</v>
      </c>
    </row>
    <row r="5545" spans="1:17" x14ac:dyDescent="0.45">
      <c r="A5545" t="s">
        <v>221</v>
      </c>
      <c r="B5545" t="s">
        <v>222</v>
      </c>
      <c r="C5545" t="s">
        <v>35</v>
      </c>
      <c r="D5545" t="s">
        <v>188</v>
      </c>
      <c r="E5545" t="s">
        <v>21</v>
      </c>
      <c r="F5545" s="1">
        <v>44531</v>
      </c>
      <c r="G5545">
        <v>2.1800000000000002</v>
      </c>
      <c r="H5545">
        <v>81.394000000000005</v>
      </c>
      <c r="I5545">
        <v>26.33</v>
      </c>
      <c r="J5545">
        <v>74.02</v>
      </c>
      <c r="K5545" t="s">
        <v>22</v>
      </c>
      <c r="L5545">
        <v>4235</v>
      </c>
      <c r="M5545">
        <f>VLOOKUP(K5545,RatingLookup!$A$2:$C$8,2,FALSE)</f>
        <v>5.0000000000000001E-3</v>
      </c>
      <c r="N5545">
        <f t="shared" si="258"/>
        <v>4.1762458919303302E-4</v>
      </c>
      <c r="O5545">
        <f>VLOOKUP(K5545,RatingLookup!$A$2:$C$8,3,FALSE)</f>
        <v>0.45</v>
      </c>
      <c r="P5545">
        <f t="shared" si="259"/>
        <v>0.79588806085462271</v>
      </c>
      <c r="Q5545" t="str">
        <f t="shared" ca="1" si="260"/>
        <v>No</v>
      </c>
    </row>
    <row r="5546" spans="1:17" x14ac:dyDescent="0.45">
      <c r="A5546" t="s">
        <v>221</v>
      </c>
      <c r="B5546" t="s">
        <v>222</v>
      </c>
      <c r="C5546" t="s">
        <v>35</v>
      </c>
      <c r="D5546" t="s">
        <v>188</v>
      </c>
      <c r="E5546" t="s">
        <v>21</v>
      </c>
      <c r="F5546" s="1">
        <v>44562</v>
      </c>
      <c r="G5546">
        <v>0.23</v>
      </c>
      <c r="H5546">
        <v>87.727500000000006</v>
      </c>
      <c r="I5546">
        <v>13.55</v>
      </c>
      <c r="J5546">
        <v>71.52</v>
      </c>
      <c r="K5546" t="s">
        <v>22</v>
      </c>
      <c r="L5546">
        <v>3899.02</v>
      </c>
      <c r="M5546">
        <f>VLOOKUP(K5546,RatingLookup!$A$2:$C$8,2,FALSE)</f>
        <v>5.0000000000000001E-3</v>
      </c>
      <c r="N5546">
        <f t="shared" si="258"/>
        <v>4.1762458919303302E-4</v>
      </c>
      <c r="O5546">
        <f>VLOOKUP(K5546,RatingLookup!$A$2:$C$8,3,FALSE)</f>
        <v>0.45</v>
      </c>
      <c r="P5546">
        <f t="shared" si="259"/>
        <v>0.73274698158993889</v>
      </c>
      <c r="Q5546" t="str">
        <f t="shared" ca="1" si="260"/>
        <v>No</v>
      </c>
    </row>
    <row r="5547" spans="1:17" x14ac:dyDescent="0.45">
      <c r="A5547" t="s">
        <v>221</v>
      </c>
      <c r="B5547" t="s">
        <v>222</v>
      </c>
      <c r="C5547" t="s">
        <v>35</v>
      </c>
      <c r="D5547" t="s">
        <v>188</v>
      </c>
      <c r="E5547" t="s">
        <v>21</v>
      </c>
      <c r="F5547" s="1">
        <v>44593</v>
      </c>
      <c r="G5547">
        <v>1.65</v>
      </c>
      <c r="H5547">
        <v>83.268799999999999</v>
      </c>
      <c r="I5547">
        <v>25.86</v>
      </c>
      <c r="J5547">
        <v>57.66</v>
      </c>
      <c r="K5547" t="s">
        <v>22</v>
      </c>
      <c r="L5547">
        <v>4023.8</v>
      </c>
      <c r="M5547">
        <f>VLOOKUP(K5547,RatingLookup!$A$2:$C$8,2,FALSE)</f>
        <v>5.0000000000000001E-3</v>
      </c>
      <c r="N5547">
        <f t="shared" si="258"/>
        <v>4.1762458919303302E-4</v>
      </c>
      <c r="O5547">
        <f>VLOOKUP(K5547,RatingLookup!$A$2:$C$8,3,FALSE)</f>
        <v>0.45</v>
      </c>
      <c r="P5547">
        <f t="shared" si="259"/>
        <v>0.75619701989771682</v>
      </c>
      <c r="Q5547" t="str">
        <f t="shared" ca="1" si="260"/>
        <v>No</v>
      </c>
    </row>
    <row r="5548" spans="1:17" x14ac:dyDescent="0.45">
      <c r="A5548" t="s">
        <v>221</v>
      </c>
      <c r="B5548" t="s">
        <v>222</v>
      </c>
      <c r="C5548" t="s">
        <v>35</v>
      </c>
      <c r="D5548" t="s">
        <v>188</v>
      </c>
      <c r="E5548" t="s">
        <v>21</v>
      </c>
      <c r="F5548" s="1">
        <v>44621</v>
      </c>
      <c r="G5548">
        <v>1.74</v>
      </c>
      <c r="H5548">
        <v>82.447299999999998</v>
      </c>
      <c r="I5548">
        <v>15.38</v>
      </c>
      <c r="J5548">
        <v>62.72</v>
      </c>
      <c r="K5548" t="s">
        <v>22</v>
      </c>
      <c r="L5548">
        <v>3672.5</v>
      </c>
      <c r="M5548">
        <f>VLOOKUP(K5548,RatingLookup!$A$2:$C$8,2,FALSE)</f>
        <v>5.0000000000000001E-3</v>
      </c>
      <c r="N5548">
        <f t="shared" si="258"/>
        <v>4.1762458919303302E-4</v>
      </c>
      <c r="O5548">
        <f>VLOOKUP(K5548,RatingLookup!$A$2:$C$8,3,FALSE)</f>
        <v>0.45</v>
      </c>
      <c r="P5548">
        <f t="shared" si="259"/>
        <v>0.69017683671513619</v>
      </c>
      <c r="Q5548" t="str">
        <f t="shared" ca="1" si="260"/>
        <v>No</v>
      </c>
    </row>
    <row r="5549" spans="1:17" x14ac:dyDescent="0.45">
      <c r="A5549" t="s">
        <v>221</v>
      </c>
      <c r="B5549" t="s">
        <v>222</v>
      </c>
      <c r="C5549" t="s">
        <v>35</v>
      </c>
      <c r="D5549" t="s">
        <v>188</v>
      </c>
      <c r="E5549" t="s">
        <v>21</v>
      </c>
      <c r="F5549" s="1">
        <v>44652</v>
      </c>
      <c r="G5549">
        <v>2.2799999999999998</v>
      </c>
      <c r="H5549">
        <v>83.478399999999993</v>
      </c>
      <c r="I5549">
        <v>17.34</v>
      </c>
      <c r="J5549">
        <v>75.11</v>
      </c>
      <c r="K5549" t="s">
        <v>22</v>
      </c>
      <c r="L5549">
        <v>4144.49</v>
      </c>
      <c r="M5549">
        <f>VLOOKUP(K5549,RatingLookup!$A$2:$C$8,2,FALSE)</f>
        <v>5.0000000000000001E-3</v>
      </c>
      <c r="N5549">
        <f t="shared" si="258"/>
        <v>4.1762458919303302E-4</v>
      </c>
      <c r="O5549">
        <f>VLOOKUP(K5549,RatingLookup!$A$2:$C$8,3,FALSE)</f>
        <v>0.45</v>
      </c>
      <c r="P5549">
        <f t="shared" si="259"/>
        <v>0.77887842014908504</v>
      </c>
      <c r="Q5549" t="str">
        <f t="shared" ca="1" si="260"/>
        <v>No</v>
      </c>
    </row>
    <row r="5550" spans="1:17" x14ac:dyDescent="0.45">
      <c r="A5550" t="s">
        <v>221</v>
      </c>
      <c r="B5550" t="s">
        <v>222</v>
      </c>
      <c r="C5550" t="s">
        <v>35</v>
      </c>
      <c r="D5550" t="s">
        <v>188</v>
      </c>
      <c r="E5550" t="s">
        <v>21</v>
      </c>
      <c r="F5550" s="1">
        <v>44682</v>
      </c>
      <c r="G5550">
        <v>2.09</v>
      </c>
      <c r="H5550">
        <v>80.519900000000007</v>
      </c>
      <c r="I5550">
        <v>9.91</v>
      </c>
      <c r="J5550">
        <v>81.5</v>
      </c>
      <c r="K5550" t="s">
        <v>22</v>
      </c>
      <c r="L5550">
        <v>4194.68</v>
      </c>
      <c r="M5550">
        <f>VLOOKUP(K5550,RatingLookup!$A$2:$C$8,2,FALSE)</f>
        <v>5.0000000000000001E-3</v>
      </c>
      <c r="N5550">
        <f t="shared" si="258"/>
        <v>4.1762458919303302E-4</v>
      </c>
      <c r="O5550">
        <f>VLOOKUP(K5550,RatingLookup!$A$2:$C$8,3,FALSE)</f>
        <v>0.45</v>
      </c>
      <c r="P5550">
        <f t="shared" si="259"/>
        <v>0.78831068030830431</v>
      </c>
      <c r="Q5550" t="str">
        <f t="shared" ca="1" si="260"/>
        <v>No</v>
      </c>
    </row>
    <row r="5551" spans="1:17" x14ac:dyDescent="0.45">
      <c r="A5551" t="s">
        <v>221</v>
      </c>
      <c r="B5551" t="s">
        <v>222</v>
      </c>
      <c r="C5551" t="s">
        <v>35</v>
      </c>
      <c r="D5551" t="s">
        <v>188</v>
      </c>
      <c r="E5551" t="s">
        <v>21</v>
      </c>
      <c r="F5551" s="1">
        <v>44713</v>
      </c>
      <c r="G5551">
        <v>1.91</v>
      </c>
      <c r="H5551">
        <v>83.292400000000001</v>
      </c>
      <c r="I5551">
        <v>18.239999999999998</v>
      </c>
      <c r="J5551">
        <v>85.52</v>
      </c>
      <c r="K5551" t="s">
        <v>22</v>
      </c>
      <c r="L5551">
        <v>3811.04</v>
      </c>
      <c r="M5551">
        <f>VLOOKUP(K5551,RatingLookup!$A$2:$C$8,2,FALSE)</f>
        <v>5.0000000000000001E-3</v>
      </c>
      <c r="N5551">
        <f t="shared" si="258"/>
        <v>4.1762458919303302E-4</v>
      </c>
      <c r="O5551">
        <f>VLOOKUP(K5551,RatingLookup!$A$2:$C$8,3,FALSE)</f>
        <v>0.45</v>
      </c>
      <c r="P5551">
        <f t="shared" si="259"/>
        <v>0.71621280647919749</v>
      </c>
      <c r="Q5551" t="str">
        <f t="shared" ca="1" si="260"/>
        <v>No</v>
      </c>
    </row>
    <row r="5552" spans="1:17" x14ac:dyDescent="0.45">
      <c r="A5552" t="s">
        <v>221</v>
      </c>
      <c r="B5552" t="s">
        <v>222</v>
      </c>
      <c r="C5552" t="s">
        <v>35</v>
      </c>
      <c r="D5552" t="s">
        <v>188</v>
      </c>
      <c r="E5552" t="s">
        <v>21</v>
      </c>
      <c r="F5552" s="1">
        <v>44743</v>
      </c>
      <c r="G5552">
        <v>1.06</v>
      </c>
      <c r="H5552">
        <v>77.570999999999998</v>
      </c>
      <c r="I5552">
        <v>21.75</v>
      </c>
      <c r="J5552">
        <v>100.41</v>
      </c>
      <c r="K5552" t="s">
        <v>22</v>
      </c>
      <c r="L5552">
        <v>3822.98</v>
      </c>
      <c r="M5552">
        <f>VLOOKUP(K5552,RatingLookup!$A$2:$C$8,2,FALSE)</f>
        <v>5.0000000000000001E-3</v>
      </c>
      <c r="N5552">
        <f t="shared" si="258"/>
        <v>4.1762458919303302E-4</v>
      </c>
      <c r="O5552">
        <f>VLOOKUP(K5552,RatingLookup!$A$2:$C$8,3,FALSE)</f>
        <v>0.45</v>
      </c>
      <c r="P5552">
        <f t="shared" si="259"/>
        <v>0.71845670339693168</v>
      </c>
      <c r="Q5552" t="str">
        <f t="shared" ca="1" si="260"/>
        <v>No</v>
      </c>
    </row>
    <row r="5553" spans="1:17" x14ac:dyDescent="0.45">
      <c r="A5553" t="s">
        <v>221</v>
      </c>
      <c r="B5553" t="s">
        <v>222</v>
      </c>
      <c r="C5553" t="s">
        <v>35</v>
      </c>
      <c r="D5553" t="s">
        <v>188</v>
      </c>
      <c r="E5553" t="s">
        <v>21</v>
      </c>
      <c r="F5553" s="1">
        <v>44774</v>
      </c>
      <c r="G5553">
        <v>2.27</v>
      </c>
      <c r="H5553">
        <v>84.3416</v>
      </c>
      <c r="I5553">
        <v>10.08</v>
      </c>
      <c r="J5553">
        <v>93.31</v>
      </c>
      <c r="K5553" t="s">
        <v>22</v>
      </c>
      <c r="L5553">
        <v>3982.91</v>
      </c>
      <c r="M5553">
        <f>VLOOKUP(K5553,RatingLookup!$A$2:$C$8,2,FALSE)</f>
        <v>5.0000000000000001E-3</v>
      </c>
      <c r="N5553">
        <f t="shared" si="258"/>
        <v>4.1762458919303302E-4</v>
      </c>
      <c r="O5553">
        <f>VLOOKUP(K5553,RatingLookup!$A$2:$C$8,3,FALSE)</f>
        <v>0.45</v>
      </c>
      <c r="P5553">
        <f t="shared" si="259"/>
        <v>0.74851251864427037</v>
      </c>
      <c r="Q5553" t="str">
        <f t="shared" ca="1" si="260"/>
        <v>No</v>
      </c>
    </row>
    <row r="5554" spans="1:17" x14ac:dyDescent="0.45">
      <c r="A5554" t="s">
        <v>221</v>
      </c>
      <c r="B5554" t="s">
        <v>222</v>
      </c>
      <c r="C5554" t="s">
        <v>35</v>
      </c>
      <c r="D5554" t="s">
        <v>188</v>
      </c>
      <c r="E5554" t="s">
        <v>21</v>
      </c>
      <c r="F5554" s="1">
        <v>44805</v>
      </c>
      <c r="G5554">
        <v>2.0099999999999998</v>
      </c>
      <c r="H5554">
        <v>83.430099999999996</v>
      </c>
      <c r="I5554">
        <v>23.97</v>
      </c>
      <c r="J5554">
        <v>53.62</v>
      </c>
      <c r="K5554" t="s">
        <v>22</v>
      </c>
      <c r="L5554">
        <v>3844.62</v>
      </c>
      <c r="M5554">
        <f>VLOOKUP(K5554,RatingLookup!$A$2:$C$8,2,FALSE)</f>
        <v>5.0000000000000001E-3</v>
      </c>
      <c r="N5554">
        <f t="shared" si="258"/>
        <v>4.1762458919303302E-4</v>
      </c>
      <c r="O5554">
        <f>VLOOKUP(K5554,RatingLookup!$A$2:$C$8,3,FALSE)</f>
        <v>0.45</v>
      </c>
      <c r="P5554">
        <f t="shared" si="259"/>
        <v>0.72252353164649341</v>
      </c>
      <c r="Q5554" t="str">
        <f t="shared" ca="1" si="260"/>
        <v>No</v>
      </c>
    </row>
    <row r="5555" spans="1:17" x14ac:dyDescent="0.45">
      <c r="A5555" t="s">
        <v>221</v>
      </c>
      <c r="B5555" t="s">
        <v>222</v>
      </c>
      <c r="C5555" t="s">
        <v>35</v>
      </c>
      <c r="D5555" t="s">
        <v>188</v>
      </c>
      <c r="E5555" t="s">
        <v>21</v>
      </c>
      <c r="F5555" s="1">
        <v>44835</v>
      </c>
      <c r="G5555">
        <v>3.01</v>
      </c>
      <c r="H5555">
        <v>83.082300000000004</v>
      </c>
      <c r="I5555">
        <v>12.07</v>
      </c>
      <c r="J5555">
        <v>94.08</v>
      </c>
      <c r="K5555" t="s">
        <v>22</v>
      </c>
      <c r="L5555">
        <v>3884.56</v>
      </c>
      <c r="M5555">
        <f>VLOOKUP(K5555,RatingLookup!$A$2:$C$8,2,FALSE)</f>
        <v>5.0000000000000001E-3</v>
      </c>
      <c r="N5555">
        <f t="shared" si="258"/>
        <v>4.1762458919303302E-4</v>
      </c>
      <c r="O5555">
        <f>VLOOKUP(K5555,RatingLookup!$A$2:$C$8,3,FALSE)</f>
        <v>0.45</v>
      </c>
      <c r="P5555">
        <f t="shared" si="259"/>
        <v>0.73002949838805975</v>
      </c>
      <c r="Q5555" t="str">
        <f t="shared" ca="1" si="260"/>
        <v>No</v>
      </c>
    </row>
    <row r="5556" spans="1:17" x14ac:dyDescent="0.45">
      <c r="A5556" t="s">
        <v>221</v>
      </c>
      <c r="B5556" t="s">
        <v>222</v>
      </c>
      <c r="C5556" t="s">
        <v>35</v>
      </c>
      <c r="D5556" t="s">
        <v>188</v>
      </c>
      <c r="E5556" t="s">
        <v>21</v>
      </c>
      <c r="F5556" s="1">
        <v>44866</v>
      </c>
      <c r="G5556">
        <v>2.1</v>
      </c>
      <c r="H5556">
        <v>84.417900000000003</v>
      </c>
      <c r="I5556">
        <v>10.29</v>
      </c>
      <c r="J5556">
        <v>68.91</v>
      </c>
      <c r="K5556" t="s">
        <v>22</v>
      </c>
      <c r="L5556">
        <v>3576.45</v>
      </c>
      <c r="M5556">
        <f>VLOOKUP(K5556,RatingLookup!$A$2:$C$8,2,FALSE)</f>
        <v>5.0000000000000001E-3</v>
      </c>
      <c r="N5556">
        <f t="shared" si="258"/>
        <v>4.1762458919303302E-4</v>
      </c>
      <c r="O5556">
        <f>VLOOKUP(K5556,RatingLookup!$A$2:$C$8,3,FALSE)</f>
        <v>0.45</v>
      </c>
      <c r="P5556">
        <f t="shared" si="259"/>
        <v>0.67212605790874025</v>
      </c>
      <c r="Q5556" t="str">
        <f t="shared" ca="1" si="260"/>
        <v>No</v>
      </c>
    </row>
    <row r="5557" spans="1:17" x14ac:dyDescent="0.45">
      <c r="A5557" t="s">
        <v>221</v>
      </c>
      <c r="B5557" t="s">
        <v>222</v>
      </c>
      <c r="C5557" t="s">
        <v>35</v>
      </c>
      <c r="D5557" t="s">
        <v>188</v>
      </c>
      <c r="E5557" t="s">
        <v>21</v>
      </c>
      <c r="F5557" s="1">
        <v>44896</v>
      </c>
      <c r="G5557">
        <v>1.93</v>
      </c>
      <c r="H5557">
        <v>81.612300000000005</v>
      </c>
      <c r="I5557">
        <v>7.29</v>
      </c>
      <c r="J5557">
        <v>70.510000000000005</v>
      </c>
      <c r="K5557" t="s">
        <v>22</v>
      </c>
      <c r="L5557">
        <v>4210.76</v>
      </c>
      <c r="M5557">
        <f>VLOOKUP(K5557,RatingLookup!$A$2:$C$8,2,FALSE)</f>
        <v>5.0000000000000001E-3</v>
      </c>
      <c r="N5557">
        <f t="shared" si="258"/>
        <v>4.1762458919303302E-4</v>
      </c>
      <c r="O5557">
        <f>VLOOKUP(K5557,RatingLookup!$A$2:$C$8,3,FALSE)</f>
        <v>0.45</v>
      </c>
      <c r="P5557">
        <f t="shared" si="259"/>
        <v>0.79133261183570514</v>
      </c>
      <c r="Q5557" t="str">
        <f t="shared" ca="1" si="260"/>
        <v>No</v>
      </c>
    </row>
    <row r="5558" spans="1:17" x14ac:dyDescent="0.45">
      <c r="A5558" t="s">
        <v>221</v>
      </c>
      <c r="B5558" t="s">
        <v>222</v>
      </c>
      <c r="C5558" t="s">
        <v>35</v>
      </c>
      <c r="D5558" t="s">
        <v>188</v>
      </c>
      <c r="E5558" t="s">
        <v>21</v>
      </c>
      <c r="F5558" s="1">
        <v>44927</v>
      </c>
      <c r="G5558">
        <v>1.72</v>
      </c>
      <c r="H5558">
        <v>78.398099999999999</v>
      </c>
      <c r="I5558">
        <v>17.079999999999998</v>
      </c>
      <c r="J5558">
        <v>84.26</v>
      </c>
      <c r="K5558" t="s">
        <v>22</v>
      </c>
      <c r="L5558">
        <v>3969.24</v>
      </c>
      <c r="M5558">
        <f>VLOOKUP(K5558,RatingLookup!$A$2:$C$8,2,FALSE)</f>
        <v>5.0000000000000001E-3</v>
      </c>
      <c r="N5558">
        <f t="shared" si="258"/>
        <v>4.1762458919303302E-4</v>
      </c>
      <c r="O5558">
        <f>VLOOKUP(K5558,RatingLookup!$A$2:$C$8,3,FALSE)</f>
        <v>0.45</v>
      </c>
      <c r="P5558">
        <f t="shared" si="259"/>
        <v>0.74594350098384943</v>
      </c>
      <c r="Q5558" t="str">
        <f t="shared" ca="1" si="260"/>
        <v>No</v>
      </c>
    </row>
    <row r="5559" spans="1:17" x14ac:dyDescent="0.45">
      <c r="A5559" t="s">
        <v>221</v>
      </c>
      <c r="B5559" t="s">
        <v>222</v>
      </c>
      <c r="C5559" t="s">
        <v>35</v>
      </c>
      <c r="D5559" t="s">
        <v>188</v>
      </c>
      <c r="E5559" t="s">
        <v>21</v>
      </c>
      <c r="F5559" s="1">
        <v>44958</v>
      </c>
      <c r="G5559">
        <v>0.65</v>
      </c>
      <c r="H5559">
        <v>82.823800000000006</v>
      </c>
      <c r="I5559">
        <v>20.43</v>
      </c>
      <c r="J5559">
        <v>72.14</v>
      </c>
      <c r="K5559" t="s">
        <v>22</v>
      </c>
      <c r="L5559">
        <v>4126.1000000000004</v>
      </c>
      <c r="M5559">
        <f>VLOOKUP(K5559,RatingLookup!$A$2:$C$8,2,FALSE)</f>
        <v>5.0000000000000001E-3</v>
      </c>
      <c r="N5559">
        <f t="shared" si="258"/>
        <v>4.1762458919303302E-4</v>
      </c>
      <c r="O5559">
        <f>VLOOKUP(K5559,RatingLookup!$A$2:$C$8,3,FALSE)</f>
        <v>0.45</v>
      </c>
      <c r="P5559">
        <f t="shared" si="259"/>
        <v>0.77542236786121821</v>
      </c>
      <c r="Q5559" t="str">
        <f t="shared" ca="1" si="260"/>
        <v>No</v>
      </c>
    </row>
    <row r="5560" spans="1:17" x14ac:dyDescent="0.45">
      <c r="A5560" t="s">
        <v>221</v>
      </c>
      <c r="B5560" t="s">
        <v>222</v>
      </c>
      <c r="C5560" t="s">
        <v>35</v>
      </c>
      <c r="D5560" t="s">
        <v>188</v>
      </c>
      <c r="E5560" t="s">
        <v>21</v>
      </c>
      <c r="F5560" s="1">
        <v>44986</v>
      </c>
      <c r="G5560">
        <v>0.94</v>
      </c>
      <c r="H5560">
        <v>82.947400000000002</v>
      </c>
      <c r="I5560">
        <v>7.88</v>
      </c>
      <c r="J5560">
        <v>74.03</v>
      </c>
      <c r="K5560" t="s">
        <v>22</v>
      </c>
      <c r="L5560">
        <v>4264.78</v>
      </c>
      <c r="M5560">
        <f>VLOOKUP(K5560,RatingLookup!$A$2:$C$8,2,FALSE)</f>
        <v>5.0000000000000001E-3</v>
      </c>
      <c r="N5560">
        <f t="shared" si="258"/>
        <v>4.1762458919303302E-4</v>
      </c>
      <c r="O5560">
        <f>VLOOKUP(K5560,RatingLookup!$A$2:$C$8,3,FALSE)</f>
        <v>0.45</v>
      </c>
      <c r="P5560">
        <f t="shared" si="259"/>
        <v>0.80148464797439856</v>
      </c>
      <c r="Q5560" t="str">
        <f t="shared" ca="1" si="260"/>
        <v>No</v>
      </c>
    </row>
    <row r="5561" spans="1:17" x14ac:dyDescent="0.45">
      <c r="A5561" t="s">
        <v>221</v>
      </c>
      <c r="B5561" t="s">
        <v>222</v>
      </c>
      <c r="C5561" t="s">
        <v>35</v>
      </c>
      <c r="D5561" t="s">
        <v>188</v>
      </c>
      <c r="E5561" t="s">
        <v>21</v>
      </c>
      <c r="F5561" s="1">
        <v>45017</v>
      </c>
      <c r="G5561">
        <v>0.14000000000000001</v>
      </c>
      <c r="H5561">
        <v>78.8733</v>
      </c>
      <c r="I5561">
        <v>21.04</v>
      </c>
      <c r="J5561">
        <v>81.44</v>
      </c>
      <c r="K5561" t="s">
        <v>22</v>
      </c>
      <c r="L5561">
        <v>3885.58</v>
      </c>
      <c r="M5561">
        <f>VLOOKUP(K5561,RatingLookup!$A$2:$C$8,2,FALSE)</f>
        <v>5.0000000000000001E-3</v>
      </c>
      <c r="N5561">
        <f t="shared" si="258"/>
        <v>4.1762458919303302E-4</v>
      </c>
      <c r="O5561">
        <f>VLOOKUP(K5561,RatingLookup!$A$2:$C$8,3,FALSE)</f>
        <v>0.45</v>
      </c>
      <c r="P5561">
        <f t="shared" si="259"/>
        <v>0.73022118807449932</v>
      </c>
      <c r="Q5561" t="str">
        <f t="shared" ca="1" si="260"/>
        <v>No</v>
      </c>
    </row>
    <row r="5562" spans="1:17" x14ac:dyDescent="0.45">
      <c r="A5562" t="s">
        <v>221</v>
      </c>
      <c r="B5562" t="s">
        <v>222</v>
      </c>
      <c r="C5562" t="s">
        <v>35</v>
      </c>
      <c r="D5562" t="s">
        <v>188</v>
      </c>
      <c r="E5562" t="s">
        <v>21</v>
      </c>
      <c r="F5562" s="1">
        <v>45047</v>
      </c>
      <c r="G5562">
        <v>1.77</v>
      </c>
      <c r="H5562">
        <v>82.810100000000006</v>
      </c>
      <c r="I5562">
        <v>20.21</v>
      </c>
      <c r="J5562">
        <v>76.55</v>
      </c>
      <c r="K5562" t="s">
        <v>22</v>
      </c>
      <c r="L5562">
        <v>3750.49</v>
      </c>
      <c r="M5562">
        <f>VLOOKUP(K5562,RatingLookup!$A$2:$C$8,2,FALSE)</f>
        <v>5.0000000000000001E-3</v>
      </c>
      <c r="N5562">
        <f t="shared" si="258"/>
        <v>4.1762458919303302E-4</v>
      </c>
      <c r="O5562">
        <f>VLOOKUP(K5562,RatingLookup!$A$2:$C$8,3,FALSE)</f>
        <v>0.45</v>
      </c>
      <c r="P5562">
        <f t="shared" si="259"/>
        <v>0.7048335804851602</v>
      </c>
      <c r="Q5562" t="str">
        <f t="shared" ca="1" si="260"/>
        <v>No</v>
      </c>
    </row>
    <row r="5563" spans="1:17" x14ac:dyDescent="0.45">
      <c r="A5563" t="s">
        <v>221</v>
      </c>
      <c r="B5563" t="s">
        <v>222</v>
      </c>
      <c r="C5563" t="s">
        <v>35</v>
      </c>
      <c r="D5563" t="s">
        <v>188</v>
      </c>
      <c r="E5563" t="s">
        <v>21</v>
      </c>
      <c r="F5563" s="1">
        <v>45078</v>
      </c>
      <c r="G5563">
        <v>0.66</v>
      </c>
      <c r="H5563">
        <v>83.500299999999996</v>
      </c>
      <c r="I5563">
        <v>18.63</v>
      </c>
      <c r="J5563">
        <v>74.52</v>
      </c>
      <c r="K5563" t="s">
        <v>22</v>
      </c>
      <c r="L5563">
        <v>3635.26</v>
      </c>
      <c r="M5563">
        <f>VLOOKUP(K5563,RatingLookup!$A$2:$C$8,2,FALSE)</f>
        <v>5.0000000000000001E-3</v>
      </c>
      <c r="N5563">
        <f t="shared" si="258"/>
        <v>4.1762458919303302E-4</v>
      </c>
      <c r="O5563">
        <f>VLOOKUP(K5563,RatingLookup!$A$2:$C$8,3,FALSE)</f>
        <v>0.45</v>
      </c>
      <c r="P5563">
        <f t="shared" si="259"/>
        <v>0.68317828384943935</v>
      </c>
      <c r="Q5563" t="str">
        <f t="shared" ca="1" si="260"/>
        <v>No</v>
      </c>
    </row>
    <row r="5564" spans="1:17" x14ac:dyDescent="0.45">
      <c r="A5564" t="s">
        <v>221</v>
      </c>
      <c r="B5564" t="s">
        <v>222</v>
      </c>
      <c r="C5564" t="s">
        <v>35</v>
      </c>
      <c r="D5564" t="s">
        <v>188</v>
      </c>
      <c r="E5564" t="s">
        <v>21</v>
      </c>
      <c r="F5564" s="1">
        <v>45108</v>
      </c>
      <c r="G5564">
        <v>2.5499999999999998</v>
      </c>
      <c r="H5564">
        <v>83.023600000000002</v>
      </c>
      <c r="I5564">
        <v>28.23</v>
      </c>
      <c r="J5564">
        <v>79.97</v>
      </c>
      <c r="K5564" t="s">
        <v>22</v>
      </c>
      <c r="L5564">
        <v>4416.58</v>
      </c>
      <c r="M5564">
        <f>VLOOKUP(K5564,RatingLookup!$A$2:$C$8,2,FALSE)</f>
        <v>5.0000000000000001E-3</v>
      </c>
      <c r="N5564">
        <f t="shared" si="258"/>
        <v>4.1762458919303302E-4</v>
      </c>
      <c r="O5564">
        <f>VLOOKUP(K5564,RatingLookup!$A$2:$C$8,3,FALSE)</f>
        <v>0.45</v>
      </c>
      <c r="P5564">
        <f t="shared" si="259"/>
        <v>0.83001258366217467</v>
      </c>
      <c r="Q5564" t="str">
        <f t="shared" ca="1" si="260"/>
        <v>No</v>
      </c>
    </row>
    <row r="5565" spans="1:17" x14ac:dyDescent="0.45">
      <c r="A5565" t="s">
        <v>221</v>
      </c>
      <c r="B5565" t="s">
        <v>222</v>
      </c>
      <c r="C5565" t="s">
        <v>35</v>
      </c>
      <c r="D5565" t="s">
        <v>188</v>
      </c>
      <c r="E5565" t="s">
        <v>21</v>
      </c>
      <c r="F5565" s="1">
        <v>45139</v>
      </c>
      <c r="G5565">
        <v>1.69</v>
      </c>
      <c r="H5565">
        <v>81.081800000000001</v>
      </c>
      <c r="I5565">
        <v>14.87</v>
      </c>
      <c r="J5565">
        <v>80.55</v>
      </c>
      <c r="K5565" t="s">
        <v>22</v>
      </c>
      <c r="L5565">
        <v>4661.8100000000004</v>
      </c>
      <c r="M5565">
        <f>VLOOKUP(K5565,RatingLookup!$A$2:$C$8,2,FALSE)</f>
        <v>5.0000000000000001E-3</v>
      </c>
      <c r="N5565">
        <f t="shared" si="258"/>
        <v>4.1762458919303302E-4</v>
      </c>
      <c r="O5565">
        <f>VLOOKUP(K5565,RatingLookup!$A$2:$C$8,3,FALSE)</f>
        <v>0.45</v>
      </c>
      <c r="P5565">
        <f t="shared" si="259"/>
        <v>0.87609891876568802</v>
      </c>
      <c r="Q5565" t="str">
        <f t="shared" ca="1" si="260"/>
        <v>No</v>
      </c>
    </row>
    <row r="5566" spans="1:17" x14ac:dyDescent="0.45">
      <c r="A5566" t="s">
        <v>221</v>
      </c>
      <c r="B5566" t="s">
        <v>222</v>
      </c>
      <c r="C5566" t="s">
        <v>35</v>
      </c>
      <c r="D5566" t="s">
        <v>188</v>
      </c>
      <c r="E5566" t="s">
        <v>21</v>
      </c>
      <c r="F5566" s="1">
        <v>45170</v>
      </c>
      <c r="G5566">
        <v>2.04</v>
      </c>
      <c r="H5566">
        <v>86.877399999999994</v>
      </c>
      <c r="I5566">
        <v>24.26</v>
      </c>
      <c r="J5566">
        <v>94.29</v>
      </c>
      <c r="K5566" t="s">
        <v>22</v>
      </c>
      <c r="L5566">
        <v>4191.7</v>
      </c>
      <c r="M5566">
        <f>VLOOKUP(K5566,RatingLookup!$A$2:$C$8,2,FALSE)</f>
        <v>5.0000000000000001E-3</v>
      </c>
      <c r="N5566">
        <f t="shared" si="258"/>
        <v>4.1762458919303302E-4</v>
      </c>
      <c r="O5566">
        <f>VLOOKUP(K5566,RatingLookup!$A$2:$C$8,3,FALSE)</f>
        <v>0.45</v>
      </c>
      <c r="P5566">
        <f t="shared" si="259"/>
        <v>0.78775064573419651</v>
      </c>
      <c r="Q5566" t="str">
        <f t="shared" ca="1" si="260"/>
        <v>No</v>
      </c>
    </row>
    <row r="5567" spans="1:17" x14ac:dyDescent="0.45">
      <c r="A5567" t="s">
        <v>221</v>
      </c>
      <c r="B5567" t="s">
        <v>222</v>
      </c>
      <c r="C5567" t="s">
        <v>35</v>
      </c>
      <c r="D5567" t="s">
        <v>188</v>
      </c>
      <c r="E5567" t="s">
        <v>21</v>
      </c>
      <c r="F5567" s="1">
        <v>45200</v>
      </c>
      <c r="G5567">
        <v>1.57</v>
      </c>
      <c r="H5567">
        <v>81.991500000000002</v>
      </c>
      <c r="I5567">
        <v>20.64</v>
      </c>
      <c r="J5567">
        <v>84.78</v>
      </c>
      <c r="K5567" t="s">
        <v>22</v>
      </c>
      <c r="L5567">
        <v>4446.37</v>
      </c>
      <c r="M5567">
        <f>VLOOKUP(K5567,RatingLookup!$A$2:$C$8,2,FALSE)</f>
        <v>5.0000000000000001E-3</v>
      </c>
      <c r="N5567">
        <f t="shared" si="258"/>
        <v>4.1762458919303302E-4</v>
      </c>
      <c r="O5567">
        <f>VLOOKUP(K5567,RatingLookup!$A$2:$C$8,3,FALSE)</f>
        <v>0.45</v>
      </c>
      <c r="P5567">
        <f t="shared" si="259"/>
        <v>0.83561105009260184</v>
      </c>
      <c r="Q5567" t="str">
        <f t="shared" ca="1" si="260"/>
        <v>No</v>
      </c>
    </row>
    <row r="5568" spans="1:17" x14ac:dyDescent="0.45">
      <c r="A5568" t="s">
        <v>221</v>
      </c>
      <c r="B5568" t="s">
        <v>222</v>
      </c>
      <c r="C5568" t="s">
        <v>35</v>
      </c>
      <c r="D5568" t="s">
        <v>188</v>
      </c>
      <c r="E5568" t="s">
        <v>21</v>
      </c>
      <c r="F5568" s="1">
        <v>45231</v>
      </c>
      <c r="G5568">
        <v>0.26</v>
      </c>
      <c r="H5568">
        <v>82.795199999999994</v>
      </c>
      <c r="I5568">
        <v>30.38</v>
      </c>
      <c r="J5568">
        <v>65.81</v>
      </c>
      <c r="K5568" t="s">
        <v>22</v>
      </c>
      <c r="L5568">
        <v>3905.97</v>
      </c>
      <c r="M5568">
        <f>VLOOKUP(K5568,RatingLookup!$A$2:$C$8,2,FALSE)</f>
        <v>5.0000000000000001E-3</v>
      </c>
      <c r="N5568">
        <f t="shared" si="258"/>
        <v>4.1762458919303302E-4</v>
      </c>
      <c r="O5568">
        <f>VLOOKUP(K5568,RatingLookup!$A$2:$C$8,3,FALSE)</f>
        <v>0.45</v>
      </c>
      <c r="P5568">
        <f t="shared" si="259"/>
        <v>0.73405310249264011</v>
      </c>
      <c r="Q5568" t="str">
        <f t="shared" ca="1" si="260"/>
        <v>No</v>
      </c>
    </row>
    <row r="5569" spans="1:17" x14ac:dyDescent="0.45">
      <c r="A5569" t="s">
        <v>221</v>
      </c>
      <c r="B5569" t="s">
        <v>222</v>
      </c>
      <c r="C5569" t="s">
        <v>35</v>
      </c>
      <c r="D5569" t="s">
        <v>188</v>
      </c>
      <c r="E5569" t="s">
        <v>21</v>
      </c>
      <c r="F5569" s="1">
        <v>45261</v>
      </c>
      <c r="G5569">
        <v>1.78</v>
      </c>
      <c r="H5569">
        <v>86.808099999999996</v>
      </c>
      <c r="I5569">
        <v>22.41</v>
      </c>
      <c r="J5569">
        <v>65.75</v>
      </c>
      <c r="K5569" t="s">
        <v>22</v>
      </c>
      <c r="L5569">
        <v>4292.32</v>
      </c>
      <c r="M5569">
        <f>VLOOKUP(K5569,RatingLookup!$A$2:$C$8,2,FALSE)</f>
        <v>5.0000000000000001E-3</v>
      </c>
      <c r="N5569">
        <f t="shared" si="258"/>
        <v>4.1762458919303302E-4</v>
      </c>
      <c r="O5569">
        <f>VLOOKUP(K5569,RatingLookup!$A$2:$C$8,3,FALSE)</f>
        <v>0.45</v>
      </c>
      <c r="P5569">
        <f t="shared" si="259"/>
        <v>0.80666026950826775</v>
      </c>
      <c r="Q5569" t="str">
        <f t="shared" ca="1" si="260"/>
        <v>No</v>
      </c>
    </row>
    <row r="5570" spans="1:17" x14ac:dyDescent="0.45">
      <c r="A5570" t="s">
        <v>221</v>
      </c>
      <c r="B5570" t="s">
        <v>222</v>
      </c>
      <c r="C5570" t="s">
        <v>35</v>
      </c>
      <c r="D5570" t="s">
        <v>188</v>
      </c>
      <c r="E5570" t="s">
        <v>21</v>
      </c>
      <c r="F5570" s="1">
        <v>45292</v>
      </c>
      <c r="G5570">
        <v>2.14</v>
      </c>
      <c r="H5570">
        <v>82.001199999999997</v>
      </c>
      <c r="I5570">
        <v>12.04</v>
      </c>
      <c r="J5570">
        <v>61.95</v>
      </c>
      <c r="K5570" t="s">
        <v>23</v>
      </c>
      <c r="L5570">
        <v>4193.53</v>
      </c>
      <c r="M5570">
        <f>VLOOKUP(K5570,RatingLookup!$A$2:$C$8,2,FALSE)</f>
        <v>1E-3</v>
      </c>
      <c r="N5570">
        <f t="shared" ref="N5570:N5633" si="261">1-(1-M5570)^(1/12)</f>
        <v>8.3371552197619714E-5</v>
      </c>
      <c r="O5570">
        <f>VLOOKUP(K5570,RatingLookup!$A$2:$C$8,3,FALSE)</f>
        <v>0.3</v>
      </c>
      <c r="P5570">
        <f t="shared" ref="P5570:P5633" si="262">L5570*N5570*O5570</f>
        <v>0.10488633158618525</v>
      </c>
      <c r="Q5570" t="str">
        <f t="shared" ref="Q5570:Q5633" ca="1" si="263">IF(RAND()&lt;N5570,"Yes","No")</f>
        <v>No</v>
      </c>
    </row>
    <row r="5571" spans="1:17" x14ac:dyDescent="0.45">
      <c r="A5571" t="s">
        <v>221</v>
      </c>
      <c r="B5571" t="s">
        <v>222</v>
      </c>
      <c r="C5571" t="s">
        <v>35</v>
      </c>
      <c r="D5571" t="s">
        <v>188</v>
      </c>
      <c r="E5571" t="s">
        <v>21</v>
      </c>
      <c r="F5571" s="1">
        <v>45323</v>
      </c>
      <c r="G5571">
        <v>1.32</v>
      </c>
      <c r="H5571">
        <v>84.967100000000002</v>
      </c>
      <c r="I5571">
        <v>17.77</v>
      </c>
      <c r="J5571">
        <v>89.96</v>
      </c>
      <c r="K5571" t="s">
        <v>23</v>
      </c>
      <c r="L5571">
        <v>4197.58</v>
      </c>
      <c r="M5571">
        <f>VLOOKUP(K5571,RatingLookup!$A$2:$C$8,2,FALSE)</f>
        <v>1E-3</v>
      </c>
      <c r="N5571">
        <f t="shared" si="261"/>
        <v>8.3371552197619714E-5</v>
      </c>
      <c r="O5571">
        <f>VLOOKUP(K5571,RatingLookup!$A$2:$C$8,3,FALSE)</f>
        <v>0.3</v>
      </c>
      <c r="P5571">
        <f t="shared" si="262"/>
        <v>0.10498762802210536</v>
      </c>
      <c r="Q5571" t="str">
        <f t="shared" ca="1" si="263"/>
        <v>No</v>
      </c>
    </row>
    <row r="5572" spans="1:17" x14ac:dyDescent="0.45">
      <c r="A5572" t="s">
        <v>221</v>
      </c>
      <c r="B5572" t="s">
        <v>222</v>
      </c>
      <c r="C5572" t="s">
        <v>35</v>
      </c>
      <c r="D5572" t="s">
        <v>188</v>
      </c>
      <c r="E5572" t="s">
        <v>21</v>
      </c>
      <c r="F5572" s="1">
        <v>45352</v>
      </c>
      <c r="G5572">
        <v>1.42</v>
      </c>
      <c r="H5572">
        <v>82.460400000000007</v>
      </c>
      <c r="I5572">
        <v>16.989999999999998</v>
      </c>
      <c r="J5572">
        <v>80</v>
      </c>
      <c r="K5572" t="s">
        <v>23</v>
      </c>
      <c r="L5572">
        <v>4385.2</v>
      </c>
      <c r="M5572">
        <f>VLOOKUP(K5572,RatingLookup!$A$2:$C$8,2,FALSE)</f>
        <v>1E-3</v>
      </c>
      <c r="N5572">
        <f t="shared" si="261"/>
        <v>8.3371552197619714E-5</v>
      </c>
      <c r="O5572">
        <f>VLOOKUP(K5572,RatingLookup!$A$2:$C$8,3,FALSE)</f>
        <v>0.3</v>
      </c>
      <c r="P5572">
        <f t="shared" si="262"/>
        <v>0.10968027920910058</v>
      </c>
      <c r="Q5572" t="str">
        <f t="shared" ca="1" si="263"/>
        <v>No</v>
      </c>
    </row>
    <row r="5573" spans="1:17" x14ac:dyDescent="0.45">
      <c r="A5573" t="s">
        <v>221</v>
      </c>
      <c r="B5573" t="s">
        <v>222</v>
      </c>
      <c r="C5573" t="s">
        <v>35</v>
      </c>
      <c r="D5573" t="s">
        <v>188</v>
      </c>
      <c r="E5573" t="s">
        <v>21</v>
      </c>
      <c r="F5573" s="1">
        <v>45383</v>
      </c>
      <c r="G5573">
        <v>2.21</v>
      </c>
      <c r="H5573">
        <v>85.875699999999995</v>
      </c>
      <c r="I5573">
        <v>18.100000000000001</v>
      </c>
      <c r="J5573">
        <v>85.82</v>
      </c>
      <c r="K5573" t="s">
        <v>23</v>
      </c>
      <c r="L5573">
        <v>4361.32</v>
      </c>
      <c r="M5573">
        <f>VLOOKUP(K5573,RatingLookup!$A$2:$C$8,2,FALSE)</f>
        <v>1E-3</v>
      </c>
      <c r="N5573">
        <f t="shared" si="261"/>
        <v>8.3371552197619714E-5</v>
      </c>
      <c r="O5573">
        <f>VLOOKUP(K5573,RatingLookup!$A$2:$C$8,3,FALSE)</f>
        <v>0.3</v>
      </c>
      <c r="P5573">
        <f t="shared" si="262"/>
        <v>0.10908300540915683</v>
      </c>
      <c r="Q5573" t="str">
        <f t="shared" ca="1" si="263"/>
        <v>No</v>
      </c>
    </row>
    <row r="5574" spans="1:17" x14ac:dyDescent="0.45">
      <c r="A5574" t="s">
        <v>221</v>
      </c>
      <c r="B5574" t="s">
        <v>222</v>
      </c>
      <c r="C5574" t="s">
        <v>35</v>
      </c>
      <c r="D5574" t="s">
        <v>188</v>
      </c>
      <c r="E5574" t="s">
        <v>21</v>
      </c>
      <c r="F5574" s="1">
        <v>45413</v>
      </c>
      <c r="G5574">
        <v>2.59</v>
      </c>
      <c r="H5574">
        <v>84.4101</v>
      </c>
      <c r="I5574">
        <v>25.31</v>
      </c>
      <c r="J5574">
        <v>73.08</v>
      </c>
      <c r="K5574" t="s">
        <v>23</v>
      </c>
      <c r="L5574">
        <v>4270</v>
      </c>
      <c r="M5574">
        <f>VLOOKUP(K5574,RatingLookup!$A$2:$C$8,2,FALSE)</f>
        <v>1E-3</v>
      </c>
      <c r="N5574">
        <f t="shared" si="261"/>
        <v>8.3371552197619714E-5</v>
      </c>
      <c r="O5574">
        <f>VLOOKUP(K5574,RatingLookup!$A$2:$C$8,3,FALSE)</f>
        <v>0.3</v>
      </c>
      <c r="P5574">
        <f t="shared" si="262"/>
        <v>0.10679895836515085</v>
      </c>
      <c r="Q5574" t="str">
        <f t="shared" ca="1" si="263"/>
        <v>No</v>
      </c>
    </row>
    <row r="5575" spans="1:17" x14ac:dyDescent="0.45">
      <c r="A5575" t="s">
        <v>221</v>
      </c>
      <c r="B5575" t="s">
        <v>222</v>
      </c>
      <c r="C5575" t="s">
        <v>35</v>
      </c>
      <c r="D5575" t="s">
        <v>188</v>
      </c>
      <c r="E5575" t="s">
        <v>21</v>
      </c>
      <c r="F5575" s="1">
        <v>45444</v>
      </c>
      <c r="G5575">
        <v>1.39</v>
      </c>
      <c r="H5575">
        <v>82.498099999999994</v>
      </c>
      <c r="I5575">
        <v>10.53</v>
      </c>
      <c r="J5575">
        <v>91.62</v>
      </c>
      <c r="K5575" t="s">
        <v>23</v>
      </c>
      <c r="L5575">
        <v>3975.81</v>
      </c>
      <c r="M5575">
        <f>VLOOKUP(K5575,RatingLookup!$A$2:$C$8,2,FALSE)</f>
        <v>1E-3</v>
      </c>
      <c r="N5575">
        <f t="shared" si="261"/>
        <v>8.3371552197619714E-5</v>
      </c>
      <c r="O5575">
        <f>VLOOKUP(K5575,RatingLookup!$A$2:$C$8,3,FALSE)</f>
        <v>0.3</v>
      </c>
      <c r="P5575">
        <f t="shared" si="262"/>
        <v>9.944083528284553E-2</v>
      </c>
      <c r="Q5575" t="str">
        <f t="shared" ca="1" si="263"/>
        <v>No</v>
      </c>
    </row>
    <row r="5576" spans="1:17" x14ac:dyDescent="0.45">
      <c r="A5576" t="s">
        <v>221</v>
      </c>
      <c r="B5576" t="s">
        <v>222</v>
      </c>
      <c r="C5576" t="s">
        <v>35</v>
      </c>
      <c r="D5576" t="s">
        <v>188</v>
      </c>
      <c r="E5576" t="s">
        <v>21</v>
      </c>
      <c r="F5576" s="1">
        <v>45474</v>
      </c>
      <c r="G5576">
        <v>1.79</v>
      </c>
      <c r="H5576">
        <v>76.758600000000001</v>
      </c>
      <c r="I5576">
        <v>13.66</v>
      </c>
      <c r="J5576">
        <v>93.95</v>
      </c>
      <c r="K5576" t="s">
        <v>23</v>
      </c>
      <c r="L5576">
        <v>3958.62</v>
      </c>
      <c r="M5576">
        <f>VLOOKUP(K5576,RatingLookup!$A$2:$C$8,2,FALSE)</f>
        <v>1E-3</v>
      </c>
      <c r="N5576">
        <f t="shared" si="261"/>
        <v>8.3371552197619714E-5</v>
      </c>
      <c r="O5576">
        <f>VLOOKUP(K5576,RatingLookup!$A$2:$C$8,3,FALSE)</f>
        <v>0.3</v>
      </c>
      <c r="P5576">
        <f t="shared" si="262"/>
        <v>9.9010888188162408E-2</v>
      </c>
      <c r="Q5576" t="str">
        <f t="shared" ca="1" si="263"/>
        <v>No</v>
      </c>
    </row>
    <row r="5577" spans="1:17" x14ac:dyDescent="0.45">
      <c r="A5577" t="s">
        <v>221</v>
      </c>
      <c r="B5577" t="s">
        <v>222</v>
      </c>
      <c r="C5577" t="s">
        <v>35</v>
      </c>
      <c r="D5577" t="s">
        <v>188</v>
      </c>
      <c r="E5577" t="s">
        <v>21</v>
      </c>
      <c r="F5577" s="1">
        <v>45505</v>
      </c>
      <c r="G5577">
        <v>1.38</v>
      </c>
      <c r="H5577">
        <v>82.458200000000005</v>
      </c>
      <c r="I5577">
        <v>27.02</v>
      </c>
      <c r="J5577">
        <v>73.63</v>
      </c>
      <c r="K5577" t="s">
        <v>23</v>
      </c>
      <c r="L5577">
        <v>3804.73</v>
      </c>
      <c r="M5577">
        <f>VLOOKUP(K5577,RatingLookup!$A$2:$C$8,2,FALSE)</f>
        <v>1E-3</v>
      </c>
      <c r="N5577">
        <f t="shared" si="261"/>
        <v>8.3371552197619714E-5</v>
      </c>
      <c r="O5577">
        <f>VLOOKUP(K5577,RatingLookup!$A$2:$C$8,3,FALSE)</f>
        <v>0.3</v>
      </c>
      <c r="P5577">
        <f t="shared" si="262"/>
        <v>9.5161873737854896E-2</v>
      </c>
      <c r="Q5577" t="str">
        <f t="shared" ca="1" si="263"/>
        <v>No</v>
      </c>
    </row>
    <row r="5578" spans="1:17" x14ac:dyDescent="0.45">
      <c r="A5578" t="s">
        <v>221</v>
      </c>
      <c r="B5578" t="s">
        <v>222</v>
      </c>
      <c r="C5578" t="s">
        <v>35</v>
      </c>
      <c r="D5578" t="s">
        <v>188</v>
      </c>
      <c r="E5578" t="s">
        <v>21</v>
      </c>
      <c r="F5578" s="1">
        <v>45536</v>
      </c>
      <c r="G5578">
        <v>1.52</v>
      </c>
      <c r="H5578">
        <v>82.628399999999999</v>
      </c>
      <c r="I5578">
        <v>7.86</v>
      </c>
      <c r="J5578">
        <v>92.23</v>
      </c>
      <c r="K5578" t="s">
        <v>23</v>
      </c>
      <c r="L5578">
        <v>3799.89</v>
      </c>
      <c r="M5578">
        <f>VLOOKUP(K5578,RatingLookup!$A$2:$C$8,2,FALSE)</f>
        <v>1E-3</v>
      </c>
      <c r="N5578">
        <f t="shared" si="261"/>
        <v>8.3371552197619714E-5</v>
      </c>
      <c r="O5578">
        <f>VLOOKUP(K5578,RatingLookup!$A$2:$C$8,3,FALSE)</f>
        <v>0.3</v>
      </c>
      <c r="P5578">
        <f t="shared" si="262"/>
        <v>9.5040818244063949E-2</v>
      </c>
      <c r="Q5578" t="str">
        <f t="shared" ca="1" si="263"/>
        <v>No</v>
      </c>
    </row>
    <row r="5579" spans="1:17" x14ac:dyDescent="0.45">
      <c r="A5579" t="s">
        <v>221</v>
      </c>
      <c r="B5579" t="s">
        <v>222</v>
      </c>
      <c r="C5579" t="s">
        <v>35</v>
      </c>
      <c r="D5579" t="s">
        <v>188</v>
      </c>
      <c r="E5579" t="s">
        <v>21</v>
      </c>
      <c r="F5579" s="1">
        <v>45566</v>
      </c>
      <c r="G5579">
        <v>1.8</v>
      </c>
      <c r="H5579">
        <v>85.138400000000004</v>
      </c>
      <c r="I5579">
        <v>19.59</v>
      </c>
      <c r="J5579">
        <v>71.67</v>
      </c>
      <c r="K5579" t="s">
        <v>23</v>
      </c>
      <c r="L5579">
        <v>3831.11</v>
      </c>
      <c r="M5579">
        <f>VLOOKUP(K5579,RatingLookup!$A$2:$C$8,2,FALSE)</f>
        <v>1E-3</v>
      </c>
      <c r="N5579">
        <f t="shared" si="261"/>
        <v>8.3371552197619714E-5</v>
      </c>
      <c r="O5579">
        <f>VLOOKUP(K5579,RatingLookup!$A$2:$C$8,3,FALSE)</f>
        <v>0.3</v>
      </c>
      <c r="P5579">
        <f t="shared" si="262"/>
        <v>9.5821676201946857E-2</v>
      </c>
      <c r="Q5579" t="str">
        <f t="shared" ca="1" si="263"/>
        <v>No</v>
      </c>
    </row>
    <row r="5580" spans="1:17" x14ac:dyDescent="0.45">
      <c r="A5580" t="s">
        <v>221</v>
      </c>
      <c r="B5580" t="s">
        <v>222</v>
      </c>
      <c r="C5580" t="s">
        <v>35</v>
      </c>
      <c r="D5580" t="s">
        <v>188</v>
      </c>
      <c r="E5580" t="s">
        <v>21</v>
      </c>
      <c r="F5580" s="1">
        <v>45597</v>
      </c>
      <c r="G5580">
        <v>1.19</v>
      </c>
      <c r="H5580">
        <v>84.888900000000007</v>
      </c>
      <c r="I5580">
        <v>18.079999999999998</v>
      </c>
      <c r="J5580">
        <v>73.290000000000006</v>
      </c>
      <c r="K5580" t="s">
        <v>23</v>
      </c>
      <c r="L5580">
        <v>4776.8</v>
      </c>
      <c r="M5580">
        <f>VLOOKUP(K5580,RatingLookup!$A$2:$C$8,2,FALSE)</f>
        <v>1E-3</v>
      </c>
      <c r="N5580">
        <f t="shared" si="261"/>
        <v>8.3371552197619714E-5</v>
      </c>
      <c r="O5580">
        <f>VLOOKUP(K5580,RatingLookup!$A$2:$C$8,3,FALSE)</f>
        <v>0.3</v>
      </c>
      <c r="P5580">
        <f t="shared" si="262"/>
        <v>0.11947476916127696</v>
      </c>
      <c r="Q5580" t="str">
        <f t="shared" ca="1" si="263"/>
        <v>No</v>
      </c>
    </row>
    <row r="5581" spans="1:17" x14ac:dyDescent="0.45">
      <c r="A5581" t="s">
        <v>221</v>
      </c>
      <c r="B5581" t="s">
        <v>222</v>
      </c>
      <c r="C5581" t="s">
        <v>35</v>
      </c>
      <c r="D5581" t="s">
        <v>188</v>
      </c>
      <c r="E5581" t="s">
        <v>21</v>
      </c>
      <c r="F5581" s="1">
        <v>45627</v>
      </c>
      <c r="G5581">
        <v>1.3</v>
      </c>
      <c r="H5581">
        <v>82.1374</v>
      </c>
      <c r="I5581">
        <v>15.04</v>
      </c>
      <c r="J5581">
        <v>64.58</v>
      </c>
      <c r="K5581" t="s">
        <v>23</v>
      </c>
      <c r="L5581">
        <v>4170.59</v>
      </c>
      <c r="M5581">
        <f>VLOOKUP(K5581,RatingLookup!$A$2:$C$8,2,FALSE)</f>
        <v>1E-3</v>
      </c>
      <c r="N5581">
        <f t="shared" si="261"/>
        <v>8.3371552197619714E-5</v>
      </c>
      <c r="O5581">
        <f>VLOOKUP(K5581,RatingLookup!$A$2:$C$8,3,FALSE)</f>
        <v>0.3</v>
      </c>
      <c r="P5581">
        <f t="shared" si="262"/>
        <v>0.10431256856396125</v>
      </c>
      <c r="Q5581" t="str">
        <f t="shared" ca="1" si="263"/>
        <v>No</v>
      </c>
    </row>
    <row r="5582" spans="1:17" x14ac:dyDescent="0.45">
      <c r="A5582" t="s">
        <v>223</v>
      </c>
      <c r="B5582" t="s">
        <v>224</v>
      </c>
      <c r="C5582" t="s">
        <v>40</v>
      </c>
      <c r="D5582" t="s">
        <v>188</v>
      </c>
      <c r="E5582" t="s">
        <v>21</v>
      </c>
      <c r="F5582" s="1">
        <v>43831</v>
      </c>
      <c r="G5582">
        <v>2.2599999999999998</v>
      </c>
      <c r="H5582">
        <v>83.561899999999994</v>
      </c>
      <c r="I5582">
        <v>18.12</v>
      </c>
      <c r="J5582">
        <v>71.31</v>
      </c>
      <c r="K5582" t="s">
        <v>23</v>
      </c>
      <c r="L5582">
        <v>547.66999999999996</v>
      </c>
      <c r="M5582">
        <f>VLOOKUP(K5582,RatingLookup!$A$2:$C$8,2,FALSE)</f>
        <v>1E-3</v>
      </c>
      <c r="N5582">
        <f t="shared" si="261"/>
        <v>8.3371552197619714E-5</v>
      </c>
      <c r="O5582">
        <f>VLOOKUP(K5582,RatingLookup!$A$2:$C$8,3,FALSE)</f>
        <v>0.3</v>
      </c>
      <c r="P5582">
        <f t="shared" si="262"/>
        <v>1.3698029397621115E-2</v>
      </c>
      <c r="Q5582" t="str">
        <f t="shared" ca="1" si="263"/>
        <v>No</v>
      </c>
    </row>
    <row r="5583" spans="1:17" x14ac:dyDescent="0.45">
      <c r="A5583" t="s">
        <v>223</v>
      </c>
      <c r="B5583" t="s">
        <v>224</v>
      </c>
      <c r="C5583" t="s">
        <v>40</v>
      </c>
      <c r="D5583" t="s">
        <v>188</v>
      </c>
      <c r="E5583" t="s">
        <v>21</v>
      </c>
      <c r="F5583" s="1">
        <v>43862</v>
      </c>
      <c r="G5583">
        <v>0.79</v>
      </c>
      <c r="H5583">
        <v>80.506</v>
      </c>
      <c r="I5583">
        <v>22.36</v>
      </c>
      <c r="J5583">
        <v>73.48</v>
      </c>
      <c r="K5583" t="s">
        <v>23</v>
      </c>
      <c r="L5583">
        <v>617.04999999999995</v>
      </c>
      <c r="M5583">
        <f>VLOOKUP(K5583,RatingLookup!$A$2:$C$8,2,FALSE)</f>
        <v>1E-3</v>
      </c>
      <c r="N5583">
        <f t="shared" si="261"/>
        <v>8.3371552197619714E-5</v>
      </c>
      <c r="O5583">
        <f>VLOOKUP(K5583,RatingLookup!$A$2:$C$8,3,FALSE)</f>
        <v>0.3</v>
      </c>
      <c r="P5583">
        <f t="shared" si="262"/>
        <v>1.5433324885062371E-2</v>
      </c>
      <c r="Q5583" t="str">
        <f t="shared" ca="1" si="263"/>
        <v>No</v>
      </c>
    </row>
    <row r="5584" spans="1:17" x14ac:dyDescent="0.45">
      <c r="A5584" t="s">
        <v>223</v>
      </c>
      <c r="B5584" t="s">
        <v>224</v>
      </c>
      <c r="C5584" t="s">
        <v>40</v>
      </c>
      <c r="D5584" t="s">
        <v>188</v>
      </c>
      <c r="E5584" t="s">
        <v>21</v>
      </c>
      <c r="F5584" s="1">
        <v>43891</v>
      </c>
      <c r="G5584">
        <v>1.79</v>
      </c>
      <c r="H5584">
        <v>83.594800000000006</v>
      </c>
      <c r="I5584">
        <v>16.53</v>
      </c>
      <c r="J5584">
        <v>68.16</v>
      </c>
      <c r="K5584" t="s">
        <v>23</v>
      </c>
      <c r="L5584">
        <v>547.08000000000004</v>
      </c>
      <c r="M5584">
        <f>VLOOKUP(K5584,RatingLookup!$A$2:$C$8,2,FALSE)</f>
        <v>1E-3</v>
      </c>
      <c r="N5584">
        <f t="shared" si="261"/>
        <v>8.3371552197619714E-5</v>
      </c>
      <c r="O5584">
        <f>VLOOKUP(K5584,RatingLookup!$A$2:$C$8,3,FALSE)</f>
        <v>0.3</v>
      </c>
      <c r="P5584">
        <f t="shared" si="262"/>
        <v>1.3683272632882137E-2</v>
      </c>
      <c r="Q5584" t="str">
        <f t="shared" ca="1" si="263"/>
        <v>No</v>
      </c>
    </row>
    <row r="5585" spans="1:17" x14ac:dyDescent="0.45">
      <c r="A5585" t="s">
        <v>223</v>
      </c>
      <c r="B5585" t="s">
        <v>224</v>
      </c>
      <c r="C5585" t="s">
        <v>40</v>
      </c>
      <c r="D5585" t="s">
        <v>188</v>
      </c>
      <c r="E5585" t="s">
        <v>21</v>
      </c>
      <c r="F5585" s="1">
        <v>43922</v>
      </c>
      <c r="G5585">
        <v>1.76</v>
      </c>
      <c r="H5585">
        <v>81.343900000000005</v>
      </c>
      <c r="I5585">
        <v>19.55</v>
      </c>
      <c r="J5585">
        <v>75.72</v>
      </c>
      <c r="K5585" t="s">
        <v>23</v>
      </c>
      <c r="L5585">
        <v>550.21</v>
      </c>
      <c r="M5585">
        <f>VLOOKUP(K5585,RatingLookup!$A$2:$C$8,2,FALSE)</f>
        <v>1E-3</v>
      </c>
      <c r="N5585">
        <f t="shared" si="261"/>
        <v>8.3371552197619714E-5</v>
      </c>
      <c r="O5585">
        <f>VLOOKUP(K5585,RatingLookup!$A$2:$C$8,3,FALSE)</f>
        <v>0.3</v>
      </c>
      <c r="P5585">
        <f t="shared" si="262"/>
        <v>1.3761558520395704E-2</v>
      </c>
      <c r="Q5585" t="str">
        <f t="shared" ca="1" si="263"/>
        <v>No</v>
      </c>
    </row>
    <row r="5586" spans="1:17" x14ac:dyDescent="0.45">
      <c r="A5586" t="s">
        <v>223</v>
      </c>
      <c r="B5586" t="s">
        <v>224</v>
      </c>
      <c r="C5586" t="s">
        <v>40</v>
      </c>
      <c r="D5586" t="s">
        <v>188</v>
      </c>
      <c r="E5586" t="s">
        <v>21</v>
      </c>
      <c r="F5586" s="1">
        <v>43952</v>
      </c>
      <c r="G5586">
        <v>2.92</v>
      </c>
      <c r="H5586">
        <v>80.385099999999994</v>
      </c>
      <c r="I5586">
        <v>20.94</v>
      </c>
      <c r="J5586">
        <v>77.52</v>
      </c>
      <c r="K5586" t="s">
        <v>23</v>
      </c>
      <c r="L5586">
        <v>556.33000000000004</v>
      </c>
      <c r="M5586">
        <f>VLOOKUP(K5586,RatingLookup!$A$2:$C$8,2,FALSE)</f>
        <v>1E-3</v>
      </c>
      <c r="N5586">
        <f t="shared" si="261"/>
        <v>8.3371552197619714E-5</v>
      </c>
      <c r="O5586">
        <f>VLOOKUP(K5586,RatingLookup!$A$2:$C$8,3,FALSE)</f>
        <v>0.3</v>
      </c>
      <c r="P5586">
        <f t="shared" si="262"/>
        <v>1.3914628690230533E-2</v>
      </c>
      <c r="Q5586" t="str">
        <f t="shared" ca="1" si="263"/>
        <v>No</v>
      </c>
    </row>
    <row r="5587" spans="1:17" x14ac:dyDescent="0.45">
      <c r="A5587" t="s">
        <v>223</v>
      </c>
      <c r="B5587" t="s">
        <v>224</v>
      </c>
      <c r="C5587" t="s">
        <v>40</v>
      </c>
      <c r="D5587" t="s">
        <v>188</v>
      </c>
      <c r="E5587" t="s">
        <v>21</v>
      </c>
      <c r="F5587" s="1">
        <v>43983</v>
      </c>
      <c r="G5587">
        <v>2.29</v>
      </c>
      <c r="H5587">
        <v>80.200100000000006</v>
      </c>
      <c r="I5587">
        <v>21.35</v>
      </c>
      <c r="J5587">
        <v>75.02</v>
      </c>
      <c r="K5587" t="s">
        <v>23</v>
      </c>
      <c r="L5587">
        <v>544</v>
      </c>
      <c r="M5587">
        <f>VLOOKUP(K5587,RatingLookup!$A$2:$C$8,2,FALSE)</f>
        <v>1E-3</v>
      </c>
      <c r="N5587">
        <f t="shared" si="261"/>
        <v>8.3371552197619714E-5</v>
      </c>
      <c r="O5587">
        <f>VLOOKUP(K5587,RatingLookup!$A$2:$C$8,3,FALSE)</f>
        <v>0.3</v>
      </c>
      <c r="P5587">
        <f t="shared" si="262"/>
        <v>1.3606237318651538E-2</v>
      </c>
      <c r="Q5587" t="str">
        <f t="shared" ca="1" si="263"/>
        <v>No</v>
      </c>
    </row>
    <row r="5588" spans="1:17" x14ac:dyDescent="0.45">
      <c r="A5588" t="s">
        <v>223</v>
      </c>
      <c r="B5588" t="s">
        <v>224</v>
      </c>
      <c r="C5588" t="s">
        <v>40</v>
      </c>
      <c r="D5588" t="s">
        <v>188</v>
      </c>
      <c r="E5588" t="s">
        <v>21</v>
      </c>
      <c r="F5588" s="1">
        <v>44013</v>
      </c>
      <c r="G5588">
        <v>0.83</v>
      </c>
      <c r="H5588">
        <v>82.800700000000006</v>
      </c>
      <c r="I5588">
        <v>18.43</v>
      </c>
      <c r="J5588">
        <v>71.069999999999993</v>
      </c>
      <c r="K5588" t="s">
        <v>23</v>
      </c>
      <c r="L5588">
        <v>507.83</v>
      </c>
      <c r="M5588">
        <f>VLOOKUP(K5588,RatingLookup!$A$2:$C$8,2,FALSE)</f>
        <v>1E-3</v>
      </c>
      <c r="N5588">
        <f t="shared" si="261"/>
        <v>8.3371552197619714E-5</v>
      </c>
      <c r="O5588">
        <f>VLOOKUP(K5588,RatingLookup!$A$2:$C$8,3,FALSE)</f>
        <v>0.3</v>
      </c>
      <c r="P5588">
        <f t="shared" si="262"/>
        <v>1.2701572605755166E-2</v>
      </c>
      <c r="Q5588" t="str">
        <f t="shared" ca="1" si="263"/>
        <v>No</v>
      </c>
    </row>
    <row r="5589" spans="1:17" x14ac:dyDescent="0.45">
      <c r="A5589" t="s">
        <v>223</v>
      </c>
      <c r="B5589" t="s">
        <v>224</v>
      </c>
      <c r="C5589" t="s">
        <v>40</v>
      </c>
      <c r="D5589" t="s">
        <v>188</v>
      </c>
      <c r="E5589" t="s">
        <v>21</v>
      </c>
      <c r="F5589" s="1">
        <v>44044</v>
      </c>
      <c r="G5589">
        <v>1.3</v>
      </c>
      <c r="H5589">
        <v>81.385499999999993</v>
      </c>
      <c r="I5589">
        <v>15.24</v>
      </c>
      <c r="J5589">
        <v>81.89</v>
      </c>
      <c r="K5589" t="s">
        <v>23</v>
      </c>
      <c r="L5589">
        <v>590.23</v>
      </c>
      <c r="M5589">
        <f>VLOOKUP(K5589,RatingLookup!$A$2:$C$8,2,FALSE)</f>
        <v>1E-3</v>
      </c>
      <c r="N5589">
        <f t="shared" si="261"/>
        <v>8.3371552197619714E-5</v>
      </c>
      <c r="O5589">
        <f>VLOOKUP(K5589,RatingLookup!$A$2:$C$8,3,FALSE)</f>
        <v>0.3</v>
      </c>
      <c r="P5589">
        <f t="shared" si="262"/>
        <v>1.4762517376080324E-2</v>
      </c>
      <c r="Q5589" t="str">
        <f t="shared" ca="1" si="263"/>
        <v>No</v>
      </c>
    </row>
    <row r="5590" spans="1:17" x14ac:dyDescent="0.45">
      <c r="A5590" t="s">
        <v>223</v>
      </c>
      <c r="B5590" t="s">
        <v>224</v>
      </c>
      <c r="C5590" t="s">
        <v>40</v>
      </c>
      <c r="D5590" t="s">
        <v>188</v>
      </c>
      <c r="E5590" t="s">
        <v>21</v>
      </c>
      <c r="F5590" s="1">
        <v>44075</v>
      </c>
      <c r="G5590">
        <v>1.3</v>
      </c>
      <c r="H5590">
        <v>80.847700000000003</v>
      </c>
      <c r="I5590">
        <v>16.91</v>
      </c>
      <c r="J5590">
        <v>87.74</v>
      </c>
      <c r="K5590" t="s">
        <v>23</v>
      </c>
      <c r="L5590">
        <v>532.26</v>
      </c>
      <c r="M5590">
        <f>VLOOKUP(K5590,RatingLookup!$A$2:$C$8,2,FALSE)</f>
        <v>1E-3</v>
      </c>
      <c r="N5590">
        <f t="shared" si="261"/>
        <v>8.3371552197619714E-5</v>
      </c>
      <c r="O5590">
        <f>VLOOKUP(K5590,RatingLookup!$A$2:$C$8,3,FALSE)</f>
        <v>0.3</v>
      </c>
      <c r="P5590">
        <f t="shared" si="262"/>
        <v>1.3312602711811519E-2</v>
      </c>
      <c r="Q5590" t="str">
        <f t="shared" ca="1" si="263"/>
        <v>No</v>
      </c>
    </row>
    <row r="5591" spans="1:17" x14ac:dyDescent="0.45">
      <c r="A5591" t="s">
        <v>223</v>
      </c>
      <c r="B5591" t="s">
        <v>224</v>
      </c>
      <c r="C5591" t="s">
        <v>40</v>
      </c>
      <c r="D5591" t="s">
        <v>188</v>
      </c>
      <c r="E5591" t="s">
        <v>21</v>
      </c>
      <c r="F5591" s="1">
        <v>44105</v>
      </c>
      <c r="G5591">
        <v>1.75</v>
      </c>
      <c r="H5591">
        <v>80.588200000000001</v>
      </c>
      <c r="I5591">
        <v>24.69</v>
      </c>
      <c r="J5591">
        <v>72.42</v>
      </c>
      <c r="K5591" t="s">
        <v>23</v>
      </c>
      <c r="L5591">
        <v>647.12</v>
      </c>
      <c r="M5591">
        <f>VLOOKUP(K5591,RatingLookup!$A$2:$C$8,2,FALSE)</f>
        <v>1E-3</v>
      </c>
      <c r="N5591">
        <f t="shared" si="261"/>
        <v>8.3371552197619714E-5</v>
      </c>
      <c r="O5591">
        <f>VLOOKUP(K5591,RatingLookup!$A$2:$C$8,3,FALSE)</f>
        <v>0.3</v>
      </c>
      <c r="P5591">
        <f t="shared" si="262"/>
        <v>1.6185419657437101E-2</v>
      </c>
      <c r="Q5591" t="str">
        <f t="shared" ca="1" si="263"/>
        <v>No</v>
      </c>
    </row>
    <row r="5592" spans="1:17" x14ac:dyDescent="0.45">
      <c r="A5592" t="s">
        <v>223</v>
      </c>
      <c r="B5592" t="s">
        <v>224</v>
      </c>
      <c r="C5592" t="s">
        <v>40</v>
      </c>
      <c r="D5592" t="s">
        <v>188</v>
      </c>
      <c r="E5592" t="s">
        <v>21</v>
      </c>
      <c r="F5592" s="1">
        <v>44136</v>
      </c>
      <c r="G5592">
        <v>1.56</v>
      </c>
      <c r="H5592">
        <v>82.748400000000004</v>
      </c>
      <c r="I5592">
        <v>8.8000000000000007</v>
      </c>
      <c r="J5592">
        <v>70.209999999999994</v>
      </c>
      <c r="K5592" t="s">
        <v>23</v>
      </c>
      <c r="L5592">
        <v>581.41</v>
      </c>
      <c r="M5592">
        <f>VLOOKUP(K5592,RatingLookup!$A$2:$C$8,2,FALSE)</f>
        <v>1E-3</v>
      </c>
      <c r="N5592">
        <f t="shared" si="261"/>
        <v>8.3371552197619714E-5</v>
      </c>
      <c r="O5592">
        <f>VLOOKUP(K5592,RatingLookup!$A$2:$C$8,3,FALSE)</f>
        <v>0.3</v>
      </c>
      <c r="P5592">
        <f t="shared" si="262"/>
        <v>1.4541916248965421E-2</v>
      </c>
      <c r="Q5592" t="str">
        <f t="shared" ca="1" si="263"/>
        <v>No</v>
      </c>
    </row>
    <row r="5593" spans="1:17" x14ac:dyDescent="0.45">
      <c r="A5593" t="s">
        <v>223</v>
      </c>
      <c r="B5593" t="s">
        <v>224</v>
      </c>
      <c r="C5593" t="s">
        <v>40</v>
      </c>
      <c r="D5593" t="s">
        <v>188</v>
      </c>
      <c r="E5593" t="s">
        <v>21</v>
      </c>
      <c r="F5593" s="1">
        <v>44166</v>
      </c>
      <c r="G5593">
        <v>1.83</v>
      </c>
      <c r="H5593">
        <v>74.1905</v>
      </c>
      <c r="I5593">
        <v>13.48</v>
      </c>
      <c r="J5593">
        <v>93.38</v>
      </c>
      <c r="K5593" t="s">
        <v>23</v>
      </c>
      <c r="L5593">
        <v>569.29999999999995</v>
      </c>
      <c r="M5593">
        <f>VLOOKUP(K5593,RatingLookup!$A$2:$C$8,2,FALSE)</f>
        <v>1E-3</v>
      </c>
      <c r="N5593">
        <f t="shared" si="261"/>
        <v>8.3371552197619714E-5</v>
      </c>
      <c r="O5593">
        <f>VLOOKUP(K5593,RatingLookup!$A$2:$C$8,3,FALSE)</f>
        <v>0.3</v>
      </c>
      <c r="P5593">
        <f t="shared" si="262"/>
        <v>1.4239027399831468E-2</v>
      </c>
      <c r="Q5593" t="str">
        <f t="shared" ca="1" si="263"/>
        <v>No</v>
      </c>
    </row>
    <row r="5594" spans="1:17" x14ac:dyDescent="0.45">
      <c r="A5594" t="s">
        <v>223</v>
      </c>
      <c r="B5594" t="s">
        <v>224</v>
      </c>
      <c r="C5594" t="s">
        <v>40</v>
      </c>
      <c r="D5594" t="s">
        <v>188</v>
      </c>
      <c r="E5594" t="s">
        <v>21</v>
      </c>
      <c r="F5594" s="1">
        <v>44197</v>
      </c>
      <c r="G5594">
        <v>1.56</v>
      </c>
      <c r="H5594">
        <v>81.947400000000002</v>
      </c>
      <c r="I5594">
        <v>14.51</v>
      </c>
      <c r="J5594">
        <v>73.89</v>
      </c>
      <c r="K5594" t="s">
        <v>23</v>
      </c>
      <c r="L5594">
        <v>548.87</v>
      </c>
      <c r="M5594">
        <f>VLOOKUP(K5594,RatingLookup!$A$2:$C$8,2,FALSE)</f>
        <v>1E-3</v>
      </c>
      <c r="N5594">
        <f t="shared" si="261"/>
        <v>8.3371552197619714E-5</v>
      </c>
      <c r="O5594">
        <f>VLOOKUP(K5594,RatingLookup!$A$2:$C$8,3,FALSE)</f>
        <v>0.3</v>
      </c>
      <c r="P5594">
        <f t="shared" si="262"/>
        <v>1.3728043156412259E-2</v>
      </c>
      <c r="Q5594" t="str">
        <f t="shared" ca="1" si="263"/>
        <v>No</v>
      </c>
    </row>
    <row r="5595" spans="1:17" x14ac:dyDescent="0.45">
      <c r="A5595" t="s">
        <v>223</v>
      </c>
      <c r="B5595" t="s">
        <v>224</v>
      </c>
      <c r="C5595" t="s">
        <v>40</v>
      </c>
      <c r="D5595" t="s">
        <v>188</v>
      </c>
      <c r="E5595" t="s">
        <v>21</v>
      </c>
      <c r="F5595" s="1">
        <v>44228</v>
      </c>
      <c r="G5595">
        <v>0.8</v>
      </c>
      <c r="H5595">
        <v>82.596299999999999</v>
      </c>
      <c r="I5595">
        <v>23.5</v>
      </c>
      <c r="J5595">
        <v>68.48</v>
      </c>
      <c r="K5595" t="s">
        <v>23</v>
      </c>
      <c r="L5595">
        <v>543.97</v>
      </c>
      <c r="M5595">
        <f>VLOOKUP(K5595,RatingLookup!$A$2:$C$8,2,FALSE)</f>
        <v>1E-3</v>
      </c>
      <c r="N5595">
        <f t="shared" si="261"/>
        <v>8.3371552197619714E-5</v>
      </c>
      <c r="O5595">
        <f>VLOOKUP(K5595,RatingLookup!$A$2:$C$8,3,FALSE)</f>
        <v>0.3</v>
      </c>
      <c r="P5595">
        <f t="shared" si="262"/>
        <v>1.3605486974681759E-2</v>
      </c>
      <c r="Q5595" t="str">
        <f t="shared" ca="1" si="263"/>
        <v>No</v>
      </c>
    </row>
    <row r="5596" spans="1:17" x14ac:dyDescent="0.45">
      <c r="A5596" t="s">
        <v>223</v>
      </c>
      <c r="B5596" t="s">
        <v>224</v>
      </c>
      <c r="C5596" t="s">
        <v>40</v>
      </c>
      <c r="D5596" t="s">
        <v>188</v>
      </c>
      <c r="E5596" t="s">
        <v>21</v>
      </c>
      <c r="F5596" s="1">
        <v>44256</v>
      </c>
      <c r="G5596">
        <v>1.54</v>
      </c>
      <c r="H5596">
        <v>81.036500000000004</v>
      </c>
      <c r="I5596">
        <v>26.52</v>
      </c>
      <c r="J5596">
        <v>94.65</v>
      </c>
      <c r="K5596" t="s">
        <v>23</v>
      </c>
      <c r="L5596">
        <v>534.59</v>
      </c>
      <c r="M5596">
        <f>VLOOKUP(K5596,RatingLookup!$A$2:$C$8,2,FALSE)</f>
        <v>1E-3</v>
      </c>
      <c r="N5596">
        <f t="shared" si="261"/>
        <v>8.3371552197619714E-5</v>
      </c>
      <c r="O5596">
        <f>VLOOKUP(K5596,RatingLookup!$A$2:$C$8,3,FALSE)</f>
        <v>0.3</v>
      </c>
      <c r="P5596">
        <f t="shared" si="262"/>
        <v>1.3370879426797658E-2</v>
      </c>
      <c r="Q5596" t="str">
        <f t="shared" ca="1" si="263"/>
        <v>No</v>
      </c>
    </row>
    <row r="5597" spans="1:17" x14ac:dyDescent="0.45">
      <c r="A5597" t="s">
        <v>223</v>
      </c>
      <c r="B5597" t="s">
        <v>224</v>
      </c>
      <c r="C5597" t="s">
        <v>40</v>
      </c>
      <c r="D5597" t="s">
        <v>188</v>
      </c>
      <c r="E5597" t="s">
        <v>21</v>
      </c>
      <c r="F5597" s="1">
        <v>44287</v>
      </c>
      <c r="G5597">
        <v>2.12</v>
      </c>
      <c r="H5597">
        <v>81.770300000000006</v>
      </c>
      <c r="I5597">
        <v>17.3</v>
      </c>
      <c r="J5597">
        <v>87</v>
      </c>
      <c r="K5597" t="s">
        <v>23</v>
      </c>
      <c r="L5597">
        <v>553.59</v>
      </c>
      <c r="M5597">
        <f>VLOOKUP(K5597,RatingLookup!$A$2:$C$8,2,FALSE)</f>
        <v>1E-3</v>
      </c>
      <c r="N5597">
        <f t="shared" si="261"/>
        <v>8.3371552197619714E-5</v>
      </c>
      <c r="O5597">
        <f>VLOOKUP(K5597,RatingLookup!$A$2:$C$8,3,FALSE)</f>
        <v>0.3</v>
      </c>
      <c r="P5597">
        <f t="shared" si="262"/>
        <v>1.3846097274324091E-2</v>
      </c>
      <c r="Q5597" t="str">
        <f t="shared" ca="1" si="263"/>
        <v>No</v>
      </c>
    </row>
    <row r="5598" spans="1:17" x14ac:dyDescent="0.45">
      <c r="A5598" t="s">
        <v>223</v>
      </c>
      <c r="B5598" t="s">
        <v>224</v>
      </c>
      <c r="C5598" t="s">
        <v>40</v>
      </c>
      <c r="D5598" t="s">
        <v>188</v>
      </c>
      <c r="E5598" t="s">
        <v>21</v>
      </c>
      <c r="F5598" s="1">
        <v>44317</v>
      </c>
      <c r="G5598">
        <v>0.4</v>
      </c>
      <c r="H5598">
        <v>81.786699999999996</v>
      </c>
      <c r="I5598">
        <v>23.94</v>
      </c>
      <c r="J5598">
        <v>88.47</v>
      </c>
      <c r="K5598" t="s">
        <v>23</v>
      </c>
      <c r="L5598">
        <v>555.29</v>
      </c>
      <c r="M5598">
        <f>VLOOKUP(K5598,RatingLookup!$A$2:$C$8,2,FALSE)</f>
        <v>1E-3</v>
      </c>
      <c r="N5598">
        <f t="shared" si="261"/>
        <v>8.3371552197619714E-5</v>
      </c>
      <c r="O5598">
        <f>VLOOKUP(K5598,RatingLookup!$A$2:$C$8,3,FALSE)</f>
        <v>0.3</v>
      </c>
      <c r="P5598">
        <f t="shared" si="262"/>
        <v>1.3888616765944875E-2</v>
      </c>
      <c r="Q5598" t="str">
        <f t="shared" ca="1" si="263"/>
        <v>No</v>
      </c>
    </row>
    <row r="5599" spans="1:17" x14ac:dyDescent="0.45">
      <c r="A5599" t="s">
        <v>223</v>
      </c>
      <c r="B5599" t="s">
        <v>224</v>
      </c>
      <c r="C5599" t="s">
        <v>40</v>
      </c>
      <c r="D5599" t="s">
        <v>188</v>
      </c>
      <c r="E5599" t="s">
        <v>21</v>
      </c>
      <c r="F5599" s="1">
        <v>44348</v>
      </c>
      <c r="G5599">
        <v>1.79</v>
      </c>
      <c r="H5599">
        <v>87.503100000000003</v>
      </c>
      <c r="I5599">
        <v>26.7</v>
      </c>
      <c r="J5599">
        <v>72.39</v>
      </c>
      <c r="K5599" t="s">
        <v>23</v>
      </c>
      <c r="L5599">
        <v>564.86</v>
      </c>
      <c r="M5599">
        <f>VLOOKUP(K5599,RatingLookup!$A$2:$C$8,2,FALSE)</f>
        <v>1E-3</v>
      </c>
      <c r="N5599">
        <f t="shared" si="261"/>
        <v>8.3371552197619714E-5</v>
      </c>
      <c r="O5599">
        <f>VLOOKUP(K5599,RatingLookup!$A$2:$C$8,3,FALSE)</f>
        <v>0.3</v>
      </c>
      <c r="P5599">
        <f t="shared" si="262"/>
        <v>1.4127976492304241E-2</v>
      </c>
      <c r="Q5599" t="str">
        <f t="shared" ca="1" si="263"/>
        <v>No</v>
      </c>
    </row>
    <row r="5600" spans="1:17" x14ac:dyDescent="0.45">
      <c r="A5600" t="s">
        <v>223</v>
      </c>
      <c r="B5600" t="s">
        <v>224</v>
      </c>
      <c r="C5600" t="s">
        <v>40</v>
      </c>
      <c r="D5600" t="s">
        <v>188</v>
      </c>
      <c r="E5600" t="s">
        <v>21</v>
      </c>
      <c r="F5600" s="1">
        <v>44378</v>
      </c>
      <c r="G5600">
        <v>1.46</v>
      </c>
      <c r="H5600">
        <v>87.116900000000001</v>
      </c>
      <c r="I5600">
        <v>30.55</v>
      </c>
      <c r="J5600">
        <v>79.739999999999995</v>
      </c>
      <c r="K5600" t="s">
        <v>23</v>
      </c>
      <c r="L5600">
        <v>523.04999999999995</v>
      </c>
      <c r="M5600">
        <f>VLOOKUP(K5600,RatingLookup!$A$2:$C$8,2,FALSE)</f>
        <v>1E-3</v>
      </c>
      <c r="N5600">
        <f t="shared" si="261"/>
        <v>8.3371552197619714E-5</v>
      </c>
      <c r="O5600">
        <f>VLOOKUP(K5600,RatingLookup!$A$2:$C$8,3,FALSE)</f>
        <v>0.3</v>
      </c>
      <c r="P5600">
        <f t="shared" si="262"/>
        <v>1.3082247113089496E-2</v>
      </c>
      <c r="Q5600" t="str">
        <f t="shared" ca="1" si="263"/>
        <v>No</v>
      </c>
    </row>
    <row r="5601" spans="1:17" x14ac:dyDescent="0.45">
      <c r="A5601" t="s">
        <v>223</v>
      </c>
      <c r="B5601" t="s">
        <v>224</v>
      </c>
      <c r="C5601" t="s">
        <v>40</v>
      </c>
      <c r="D5601" t="s">
        <v>188</v>
      </c>
      <c r="E5601" t="s">
        <v>21</v>
      </c>
      <c r="F5601" s="1">
        <v>44409</v>
      </c>
      <c r="G5601">
        <v>1.29</v>
      </c>
      <c r="H5601">
        <v>88.242599999999996</v>
      </c>
      <c r="I5601">
        <v>16.97</v>
      </c>
      <c r="J5601">
        <v>90.2</v>
      </c>
      <c r="K5601" t="s">
        <v>23</v>
      </c>
      <c r="L5601">
        <v>565.91999999999996</v>
      </c>
      <c r="M5601">
        <f>VLOOKUP(K5601,RatingLookup!$A$2:$C$8,2,FALSE)</f>
        <v>1E-3</v>
      </c>
      <c r="N5601">
        <f t="shared" si="261"/>
        <v>8.3371552197619714E-5</v>
      </c>
      <c r="O5601">
        <f>VLOOKUP(K5601,RatingLookup!$A$2:$C$8,3,FALSE)</f>
        <v>0.3</v>
      </c>
      <c r="P5601">
        <f t="shared" si="262"/>
        <v>1.4154488645903084E-2</v>
      </c>
      <c r="Q5601" t="str">
        <f t="shared" ca="1" si="263"/>
        <v>No</v>
      </c>
    </row>
    <row r="5602" spans="1:17" x14ac:dyDescent="0.45">
      <c r="A5602" t="s">
        <v>223</v>
      </c>
      <c r="B5602" t="s">
        <v>224</v>
      </c>
      <c r="C5602" t="s">
        <v>40</v>
      </c>
      <c r="D5602" t="s">
        <v>188</v>
      </c>
      <c r="E5602" t="s">
        <v>21</v>
      </c>
      <c r="F5602" s="1">
        <v>44440</v>
      </c>
      <c r="G5602">
        <v>1.3</v>
      </c>
      <c r="H5602">
        <v>79.962400000000002</v>
      </c>
      <c r="I5602">
        <v>21.84</v>
      </c>
      <c r="J5602">
        <v>62.47</v>
      </c>
      <c r="K5602" t="s">
        <v>22</v>
      </c>
      <c r="L5602">
        <v>525.23</v>
      </c>
      <c r="M5602">
        <f>VLOOKUP(K5602,RatingLookup!$A$2:$C$8,2,FALSE)</f>
        <v>5.0000000000000001E-3</v>
      </c>
      <c r="N5602">
        <f t="shared" si="261"/>
        <v>4.1762458919303302E-4</v>
      </c>
      <c r="O5602">
        <f>VLOOKUP(K5602,RatingLookup!$A$2:$C$8,3,FALSE)</f>
        <v>0.45</v>
      </c>
      <c r="P5602">
        <f t="shared" si="262"/>
        <v>9.8707033341835532E-2</v>
      </c>
      <c r="Q5602" t="str">
        <f t="shared" ca="1" si="263"/>
        <v>No</v>
      </c>
    </row>
    <row r="5603" spans="1:17" x14ac:dyDescent="0.45">
      <c r="A5603" t="s">
        <v>223</v>
      </c>
      <c r="B5603" t="s">
        <v>224</v>
      </c>
      <c r="C5603" t="s">
        <v>40</v>
      </c>
      <c r="D5603" t="s">
        <v>188</v>
      </c>
      <c r="E5603" t="s">
        <v>21</v>
      </c>
      <c r="F5603" s="1">
        <v>44470</v>
      </c>
      <c r="G5603">
        <v>1.92</v>
      </c>
      <c r="H5603">
        <v>80.92</v>
      </c>
      <c r="I5603">
        <v>21.79</v>
      </c>
      <c r="J5603">
        <v>67.69</v>
      </c>
      <c r="K5603" t="s">
        <v>22</v>
      </c>
      <c r="L5603">
        <v>496.66</v>
      </c>
      <c r="M5603">
        <f>VLOOKUP(K5603,RatingLookup!$A$2:$C$8,2,FALSE)</f>
        <v>5.0000000000000001E-3</v>
      </c>
      <c r="N5603">
        <f t="shared" si="261"/>
        <v>4.1762458919303302E-4</v>
      </c>
      <c r="O5603">
        <f>VLOOKUP(K5603,RatingLookup!$A$2:$C$8,3,FALSE)</f>
        <v>0.45</v>
      </c>
      <c r="P5603">
        <f t="shared" si="262"/>
        <v>9.3337842810875316E-2</v>
      </c>
      <c r="Q5603" t="str">
        <f t="shared" ca="1" si="263"/>
        <v>No</v>
      </c>
    </row>
    <row r="5604" spans="1:17" x14ac:dyDescent="0.45">
      <c r="A5604" t="s">
        <v>223</v>
      </c>
      <c r="B5604" t="s">
        <v>224</v>
      </c>
      <c r="C5604" t="s">
        <v>40</v>
      </c>
      <c r="D5604" t="s">
        <v>188</v>
      </c>
      <c r="E5604" t="s">
        <v>21</v>
      </c>
      <c r="F5604" s="1">
        <v>44501</v>
      </c>
      <c r="G5604">
        <v>1.99</v>
      </c>
      <c r="H5604">
        <v>84.995900000000006</v>
      </c>
      <c r="I5604">
        <v>17.489999999999998</v>
      </c>
      <c r="J5604">
        <v>96.2</v>
      </c>
      <c r="K5604" t="s">
        <v>22</v>
      </c>
      <c r="L5604">
        <v>568.32000000000005</v>
      </c>
      <c r="M5604">
        <f>VLOOKUP(K5604,RatingLookup!$A$2:$C$8,2,FALSE)</f>
        <v>5.0000000000000001E-3</v>
      </c>
      <c r="N5604">
        <f t="shared" si="261"/>
        <v>4.1762458919303302E-4</v>
      </c>
      <c r="O5604">
        <f>VLOOKUP(K5604,RatingLookup!$A$2:$C$8,3,FALSE)</f>
        <v>0.45</v>
      </c>
      <c r="P5604">
        <f t="shared" si="262"/>
        <v>0.10680498293858305</v>
      </c>
      <c r="Q5604" t="str">
        <f t="shared" ca="1" si="263"/>
        <v>No</v>
      </c>
    </row>
    <row r="5605" spans="1:17" x14ac:dyDescent="0.45">
      <c r="A5605" t="s">
        <v>223</v>
      </c>
      <c r="B5605" t="s">
        <v>224</v>
      </c>
      <c r="C5605" t="s">
        <v>40</v>
      </c>
      <c r="D5605" t="s">
        <v>188</v>
      </c>
      <c r="E5605" t="s">
        <v>21</v>
      </c>
      <c r="F5605" s="1">
        <v>44531</v>
      </c>
      <c r="G5605">
        <v>1.36</v>
      </c>
      <c r="H5605">
        <v>81.736099999999993</v>
      </c>
      <c r="I5605">
        <v>19.32</v>
      </c>
      <c r="J5605">
        <v>82.39</v>
      </c>
      <c r="K5605" t="s">
        <v>22</v>
      </c>
      <c r="L5605">
        <v>614.04999999999995</v>
      </c>
      <c r="M5605">
        <f>VLOOKUP(K5605,RatingLookup!$A$2:$C$8,2,FALSE)</f>
        <v>5.0000000000000001E-3</v>
      </c>
      <c r="N5605">
        <f t="shared" si="261"/>
        <v>4.1762458919303302E-4</v>
      </c>
      <c r="O5605">
        <f>VLOOKUP(K5605,RatingLookup!$A$2:$C$8,3,FALSE)</f>
        <v>0.45</v>
      </c>
      <c r="P5605">
        <f t="shared" si="262"/>
        <v>0.11539907054729187</v>
      </c>
      <c r="Q5605" t="str">
        <f t="shared" ca="1" si="263"/>
        <v>No</v>
      </c>
    </row>
    <row r="5606" spans="1:17" x14ac:dyDescent="0.45">
      <c r="A5606" t="s">
        <v>223</v>
      </c>
      <c r="B5606" t="s">
        <v>224</v>
      </c>
      <c r="C5606" t="s">
        <v>40</v>
      </c>
      <c r="D5606" t="s">
        <v>188</v>
      </c>
      <c r="E5606" t="s">
        <v>21</v>
      </c>
      <c r="F5606" s="1">
        <v>44562</v>
      </c>
      <c r="G5606">
        <v>1.58</v>
      </c>
      <c r="H5606">
        <v>81.385099999999994</v>
      </c>
      <c r="I5606">
        <v>11.76</v>
      </c>
      <c r="J5606">
        <v>89.44</v>
      </c>
      <c r="K5606" t="s">
        <v>22</v>
      </c>
      <c r="L5606">
        <v>608.11</v>
      </c>
      <c r="M5606">
        <f>VLOOKUP(K5606,RatingLookup!$A$2:$C$8,2,FALSE)</f>
        <v>5.0000000000000001E-3</v>
      </c>
      <c r="N5606">
        <f t="shared" si="261"/>
        <v>4.1762458919303302E-4</v>
      </c>
      <c r="O5606">
        <f>VLOOKUP(K5606,RatingLookup!$A$2:$C$8,3,FALSE)</f>
        <v>0.45</v>
      </c>
      <c r="P5606">
        <f t="shared" si="262"/>
        <v>0.11428276002037889</v>
      </c>
      <c r="Q5606" t="str">
        <f t="shared" ca="1" si="263"/>
        <v>No</v>
      </c>
    </row>
    <row r="5607" spans="1:17" x14ac:dyDescent="0.45">
      <c r="A5607" t="s">
        <v>223</v>
      </c>
      <c r="B5607" t="s">
        <v>224</v>
      </c>
      <c r="C5607" t="s">
        <v>40</v>
      </c>
      <c r="D5607" t="s">
        <v>188</v>
      </c>
      <c r="E5607" t="s">
        <v>21</v>
      </c>
      <c r="F5607" s="1">
        <v>44593</v>
      </c>
      <c r="G5607">
        <v>0.62</v>
      </c>
      <c r="H5607">
        <v>87.3048</v>
      </c>
      <c r="I5607">
        <v>18.13</v>
      </c>
      <c r="J5607">
        <v>86.13</v>
      </c>
      <c r="K5607" t="s">
        <v>22</v>
      </c>
      <c r="L5607">
        <v>563.82000000000005</v>
      </c>
      <c r="M5607">
        <f>VLOOKUP(K5607,RatingLookup!$A$2:$C$8,2,FALSE)</f>
        <v>5.0000000000000001E-3</v>
      </c>
      <c r="N5607">
        <f t="shared" si="261"/>
        <v>4.1762458919303302E-4</v>
      </c>
      <c r="O5607">
        <f>VLOOKUP(K5607,RatingLookup!$A$2:$C$8,3,FALSE)</f>
        <v>0.45</v>
      </c>
      <c r="P5607">
        <f t="shared" si="262"/>
        <v>0.10595929314546715</v>
      </c>
      <c r="Q5607" t="str">
        <f t="shared" ca="1" si="263"/>
        <v>No</v>
      </c>
    </row>
    <row r="5608" spans="1:17" x14ac:dyDescent="0.45">
      <c r="A5608" t="s">
        <v>223</v>
      </c>
      <c r="B5608" t="s">
        <v>224</v>
      </c>
      <c r="C5608" t="s">
        <v>40</v>
      </c>
      <c r="D5608" t="s">
        <v>188</v>
      </c>
      <c r="E5608" t="s">
        <v>21</v>
      </c>
      <c r="F5608" s="1">
        <v>44621</v>
      </c>
      <c r="G5608">
        <v>1.71</v>
      </c>
      <c r="H5608">
        <v>82.586600000000004</v>
      </c>
      <c r="I5608">
        <v>24.33</v>
      </c>
      <c r="J5608">
        <v>91.27</v>
      </c>
      <c r="K5608" t="s">
        <v>22</v>
      </c>
      <c r="L5608">
        <v>579.5</v>
      </c>
      <c r="M5608">
        <f>VLOOKUP(K5608,RatingLookup!$A$2:$C$8,2,FALSE)</f>
        <v>5.0000000000000001E-3</v>
      </c>
      <c r="N5608">
        <f t="shared" si="261"/>
        <v>4.1762458919303302E-4</v>
      </c>
      <c r="O5608">
        <f>VLOOKUP(K5608,RatingLookup!$A$2:$C$8,3,FALSE)</f>
        <v>0.45</v>
      </c>
      <c r="P5608">
        <f t="shared" si="262"/>
        <v>0.10890605224681318</v>
      </c>
      <c r="Q5608" t="str">
        <f t="shared" ca="1" si="263"/>
        <v>No</v>
      </c>
    </row>
    <row r="5609" spans="1:17" x14ac:dyDescent="0.45">
      <c r="A5609" t="s">
        <v>223</v>
      </c>
      <c r="B5609" t="s">
        <v>224</v>
      </c>
      <c r="C5609" t="s">
        <v>40</v>
      </c>
      <c r="D5609" t="s">
        <v>188</v>
      </c>
      <c r="E5609" t="s">
        <v>21</v>
      </c>
      <c r="F5609" s="1">
        <v>44652</v>
      </c>
      <c r="G5609">
        <v>2.12</v>
      </c>
      <c r="H5609">
        <v>86.460599999999999</v>
      </c>
      <c r="I5609">
        <v>5</v>
      </c>
      <c r="J5609">
        <v>75.319999999999993</v>
      </c>
      <c r="K5609" t="s">
        <v>22</v>
      </c>
      <c r="L5609">
        <v>582.25</v>
      </c>
      <c r="M5609">
        <f>VLOOKUP(K5609,RatingLookup!$A$2:$C$8,2,FALSE)</f>
        <v>5.0000000000000001E-3</v>
      </c>
      <c r="N5609">
        <f t="shared" si="261"/>
        <v>4.1762458919303302E-4</v>
      </c>
      <c r="O5609">
        <f>VLOOKUP(K5609,RatingLookup!$A$2:$C$8,3,FALSE)</f>
        <v>0.45</v>
      </c>
      <c r="P5609">
        <f t="shared" si="262"/>
        <v>0.10942286267593956</v>
      </c>
      <c r="Q5609" t="str">
        <f t="shared" ca="1" si="263"/>
        <v>No</v>
      </c>
    </row>
    <row r="5610" spans="1:17" x14ac:dyDescent="0.45">
      <c r="A5610" t="s">
        <v>223</v>
      </c>
      <c r="B5610" t="s">
        <v>224</v>
      </c>
      <c r="C5610" t="s">
        <v>40</v>
      </c>
      <c r="D5610" t="s">
        <v>188</v>
      </c>
      <c r="E5610" t="s">
        <v>21</v>
      </c>
      <c r="F5610" s="1">
        <v>44682</v>
      </c>
      <c r="G5610">
        <v>1.47</v>
      </c>
      <c r="H5610">
        <v>84.343199999999996</v>
      </c>
      <c r="I5610">
        <v>27.62</v>
      </c>
      <c r="J5610">
        <v>90.11</v>
      </c>
      <c r="K5610" t="s">
        <v>22</v>
      </c>
      <c r="L5610">
        <v>566.87</v>
      </c>
      <c r="M5610">
        <f>VLOOKUP(K5610,RatingLookup!$A$2:$C$8,2,FALSE)</f>
        <v>5.0000000000000001E-3</v>
      </c>
      <c r="N5610">
        <f t="shared" si="261"/>
        <v>4.1762458919303302E-4</v>
      </c>
      <c r="O5610">
        <f>VLOOKUP(K5610,RatingLookup!$A$2:$C$8,3,FALSE)</f>
        <v>0.45</v>
      </c>
      <c r="P5610">
        <f t="shared" si="262"/>
        <v>0.10653248289413458</v>
      </c>
      <c r="Q5610" t="str">
        <f t="shared" ca="1" si="263"/>
        <v>No</v>
      </c>
    </row>
    <row r="5611" spans="1:17" x14ac:dyDescent="0.45">
      <c r="A5611" t="s">
        <v>223</v>
      </c>
      <c r="B5611" t="s">
        <v>224</v>
      </c>
      <c r="C5611" t="s">
        <v>40</v>
      </c>
      <c r="D5611" t="s">
        <v>188</v>
      </c>
      <c r="E5611" t="s">
        <v>21</v>
      </c>
      <c r="F5611" s="1">
        <v>44713</v>
      </c>
      <c r="G5611">
        <v>0.82</v>
      </c>
      <c r="H5611">
        <v>78.134100000000004</v>
      </c>
      <c r="I5611">
        <v>28.11</v>
      </c>
      <c r="J5611">
        <v>79.11</v>
      </c>
      <c r="K5611" t="s">
        <v>22</v>
      </c>
      <c r="L5611">
        <v>570.92999999999995</v>
      </c>
      <c r="M5611">
        <f>VLOOKUP(K5611,RatingLookup!$A$2:$C$8,2,FALSE)</f>
        <v>5.0000000000000001E-3</v>
      </c>
      <c r="N5611">
        <f t="shared" si="261"/>
        <v>4.1762458919303302E-4</v>
      </c>
      <c r="O5611">
        <f>VLOOKUP(K5611,RatingLookup!$A$2:$C$8,3,FALSE)</f>
        <v>0.45</v>
      </c>
      <c r="P5611">
        <f t="shared" si="262"/>
        <v>0.10729548301859025</v>
      </c>
      <c r="Q5611" t="str">
        <f t="shared" ca="1" si="263"/>
        <v>No</v>
      </c>
    </row>
    <row r="5612" spans="1:17" x14ac:dyDescent="0.45">
      <c r="A5612" t="s">
        <v>223</v>
      </c>
      <c r="B5612" t="s">
        <v>224</v>
      </c>
      <c r="C5612" t="s">
        <v>40</v>
      </c>
      <c r="D5612" t="s">
        <v>188</v>
      </c>
      <c r="E5612" t="s">
        <v>21</v>
      </c>
      <c r="F5612" s="1">
        <v>44743</v>
      </c>
      <c r="G5612">
        <v>1.56</v>
      </c>
      <c r="H5612">
        <v>80.502799999999993</v>
      </c>
      <c r="I5612">
        <v>20.39</v>
      </c>
      <c r="J5612">
        <v>76.709999999999994</v>
      </c>
      <c r="K5612" t="s">
        <v>22</v>
      </c>
      <c r="L5612">
        <v>533.86</v>
      </c>
      <c r="M5612">
        <f>VLOOKUP(K5612,RatingLookup!$A$2:$C$8,2,FALSE)</f>
        <v>5.0000000000000001E-3</v>
      </c>
      <c r="N5612">
        <f t="shared" si="261"/>
        <v>4.1762458919303302E-4</v>
      </c>
      <c r="O5612">
        <f>VLOOKUP(K5612,RatingLookup!$A$2:$C$8,3,FALSE)</f>
        <v>0.45</v>
      </c>
      <c r="P5612">
        <f t="shared" si="262"/>
        <v>0.10032887843396668</v>
      </c>
      <c r="Q5612" t="str">
        <f t="shared" ca="1" si="263"/>
        <v>No</v>
      </c>
    </row>
    <row r="5613" spans="1:17" x14ac:dyDescent="0.45">
      <c r="A5613" t="s">
        <v>223</v>
      </c>
      <c r="B5613" t="s">
        <v>224</v>
      </c>
      <c r="C5613" t="s">
        <v>40</v>
      </c>
      <c r="D5613" t="s">
        <v>188</v>
      </c>
      <c r="E5613" t="s">
        <v>21</v>
      </c>
      <c r="F5613" s="1">
        <v>44774</v>
      </c>
      <c r="G5613">
        <v>1.91</v>
      </c>
      <c r="H5613">
        <v>83.849199999999996</v>
      </c>
      <c r="I5613">
        <v>20.28</v>
      </c>
      <c r="J5613">
        <v>63.03</v>
      </c>
      <c r="K5613" t="s">
        <v>22</v>
      </c>
      <c r="L5613">
        <v>586.63</v>
      </c>
      <c r="M5613">
        <f>VLOOKUP(K5613,RatingLookup!$A$2:$C$8,2,FALSE)</f>
        <v>5.0000000000000001E-3</v>
      </c>
      <c r="N5613">
        <f t="shared" si="261"/>
        <v>4.1762458919303302E-4</v>
      </c>
      <c r="O5613">
        <f>VLOOKUP(K5613,RatingLookup!$A$2:$C$8,3,FALSE)</f>
        <v>0.45</v>
      </c>
      <c r="P5613">
        <f t="shared" si="262"/>
        <v>0.11024600074123903</v>
      </c>
      <c r="Q5613" t="str">
        <f t="shared" ca="1" si="263"/>
        <v>No</v>
      </c>
    </row>
    <row r="5614" spans="1:17" x14ac:dyDescent="0.45">
      <c r="A5614" t="s">
        <v>223</v>
      </c>
      <c r="B5614" t="s">
        <v>224</v>
      </c>
      <c r="C5614" t="s">
        <v>40</v>
      </c>
      <c r="D5614" t="s">
        <v>188</v>
      </c>
      <c r="E5614" t="s">
        <v>21</v>
      </c>
      <c r="F5614" s="1">
        <v>44805</v>
      </c>
      <c r="G5614">
        <v>1.27</v>
      </c>
      <c r="H5614">
        <v>81.203599999999994</v>
      </c>
      <c r="I5614">
        <v>9.3699999999999992</v>
      </c>
      <c r="J5614">
        <v>77.19</v>
      </c>
      <c r="K5614" t="s">
        <v>22</v>
      </c>
      <c r="L5614">
        <v>538.80999999999995</v>
      </c>
      <c r="M5614">
        <f>VLOOKUP(K5614,RatingLookup!$A$2:$C$8,2,FALSE)</f>
        <v>5.0000000000000001E-3</v>
      </c>
      <c r="N5614">
        <f t="shared" si="261"/>
        <v>4.1762458919303302E-4</v>
      </c>
      <c r="O5614">
        <f>VLOOKUP(K5614,RatingLookup!$A$2:$C$8,3,FALSE)</f>
        <v>0.45</v>
      </c>
      <c r="P5614">
        <f t="shared" si="262"/>
        <v>0.10125913720639415</v>
      </c>
      <c r="Q5614" t="str">
        <f t="shared" ca="1" si="263"/>
        <v>No</v>
      </c>
    </row>
    <row r="5615" spans="1:17" x14ac:dyDescent="0.45">
      <c r="A5615" t="s">
        <v>223</v>
      </c>
      <c r="B5615" t="s">
        <v>224</v>
      </c>
      <c r="C5615" t="s">
        <v>40</v>
      </c>
      <c r="D5615" t="s">
        <v>188</v>
      </c>
      <c r="E5615" t="s">
        <v>21</v>
      </c>
      <c r="F5615" s="1">
        <v>44835</v>
      </c>
      <c r="G5615">
        <v>1.74</v>
      </c>
      <c r="H5615">
        <v>84.055599999999998</v>
      </c>
      <c r="I5615">
        <v>6.29</v>
      </c>
      <c r="J5615">
        <v>74.180000000000007</v>
      </c>
      <c r="K5615" t="s">
        <v>22</v>
      </c>
      <c r="L5615">
        <v>567.51</v>
      </c>
      <c r="M5615">
        <f>VLOOKUP(K5615,RatingLookup!$A$2:$C$8,2,FALSE)</f>
        <v>5.0000000000000001E-3</v>
      </c>
      <c r="N5615">
        <f t="shared" si="261"/>
        <v>4.1762458919303302E-4</v>
      </c>
      <c r="O5615">
        <f>VLOOKUP(K5615,RatingLookup!$A$2:$C$8,3,FALSE)</f>
        <v>0.45</v>
      </c>
      <c r="P5615">
        <f t="shared" si="262"/>
        <v>0.10665275877582218</v>
      </c>
      <c r="Q5615" t="str">
        <f t="shared" ca="1" si="263"/>
        <v>No</v>
      </c>
    </row>
    <row r="5616" spans="1:17" x14ac:dyDescent="0.45">
      <c r="A5616" t="s">
        <v>223</v>
      </c>
      <c r="B5616" t="s">
        <v>224</v>
      </c>
      <c r="C5616" t="s">
        <v>40</v>
      </c>
      <c r="D5616" t="s">
        <v>188</v>
      </c>
      <c r="E5616" t="s">
        <v>21</v>
      </c>
      <c r="F5616" s="1">
        <v>44866</v>
      </c>
      <c r="G5616">
        <v>1.73</v>
      </c>
      <c r="H5616">
        <v>86.477000000000004</v>
      </c>
      <c r="I5616">
        <v>27.78</v>
      </c>
      <c r="J5616">
        <v>87.5</v>
      </c>
      <c r="K5616" t="s">
        <v>22</v>
      </c>
      <c r="L5616">
        <v>526.07000000000005</v>
      </c>
      <c r="M5616">
        <f>VLOOKUP(K5616,RatingLookup!$A$2:$C$8,2,FALSE)</f>
        <v>5.0000000000000001E-3</v>
      </c>
      <c r="N5616">
        <f t="shared" si="261"/>
        <v>4.1762458919303302E-4</v>
      </c>
      <c r="O5616">
        <f>VLOOKUP(K5616,RatingLookup!$A$2:$C$8,3,FALSE)</f>
        <v>0.45</v>
      </c>
      <c r="P5616">
        <f t="shared" si="262"/>
        <v>9.8864895436550512E-2</v>
      </c>
      <c r="Q5616" t="str">
        <f t="shared" ca="1" si="263"/>
        <v>No</v>
      </c>
    </row>
    <row r="5617" spans="1:17" x14ac:dyDescent="0.45">
      <c r="A5617" t="s">
        <v>223</v>
      </c>
      <c r="B5617" t="s">
        <v>224</v>
      </c>
      <c r="C5617" t="s">
        <v>40</v>
      </c>
      <c r="D5617" t="s">
        <v>188</v>
      </c>
      <c r="E5617" t="s">
        <v>21</v>
      </c>
      <c r="F5617" s="1">
        <v>44896</v>
      </c>
      <c r="G5617">
        <v>1.1200000000000001</v>
      </c>
      <c r="H5617">
        <v>85.603200000000001</v>
      </c>
      <c r="I5617">
        <v>17.13</v>
      </c>
      <c r="J5617">
        <v>66.3</v>
      </c>
      <c r="K5617" t="s">
        <v>22</v>
      </c>
      <c r="L5617">
        <v>598.28</v>
      </c>
      <c r="M5617">
        <f>VLOOKUP(K5617,RatingLookup!$A$2:$C$8,2,FALSE)</f>
        <v>5.0000000000000001E-3</v>
      </c>
      <c r="N5617">
        <f t="shared" si="261"/>
        <v>4.1762458919303302E-4</v>
      </c>
      <c r="O5617">
        <f>VLOOKUP(K5617,RatingLookup!$A$2:$C$8,3,FALSE)</f>
        <v>0.45</v>
      </c>
      <c r="P5617">
        <f t="shared" si="262"/>
        <v>0.11243539765008351</v>
      </c>
      <c r="Q5617" t="str">
        <f t="shared" ca="1" si="263"/>
        <v>No</v>
      </c>
    </row>
    <row r="5618" spans="1:17" x14ac:dyDescent="0.45">
      <c r="A5618" t="s">
        <v>223</v>
      </c>
      <c r="B5618" t="s">
        <v>224</v>
      </c>
      <c r="C5618" t="s">
        <v>40</v>
      </c>
      <c r="D5618" t="s">
        <v>188</v>
      </c>
      <c r="E5618" t="s">
        <v>21</v>
      </c>
      <c r="F5618" s="1">
        <v>44927</v>
      </c>
      <c r="G5618">
        <v>1.9</v>
      </c>
      <c r="H5618">
        <v>81.796800000000005</v>
      </c>
      <c r="I5618">
        <v>19.73</v>
      </c>
      <c r="J5618">
        <v>89.76</v>
      </c>
      <c r="K5618" t="s">
        <v>22</v>
      </c>
      <c r="L5618">
        <v>599.13</v>
      </c>
      <c r="M5618">
        <f>VLOOKUP(K5618,RatingLookup!$A$2:$C$8,2,FALSE)</f>
        <v>5.0000000000000001E-3</v>
      </c>
      <c r="N5618">
        <f t="shared" si="261"/>
        <v>4.1762458919303302E-4</v>
      </c>
      <c r="O5618">
        <f>VLOOKUP(K5618,RatingLookup!$A$2:$C$8,3,FALSE)</f>
        <v>0.45</v>
      </c>
      <c r="P5618">
        <f t="shared" si="262"/>
        <v>0.11259513905544985</v>
      </c>
      <c r="Q5618" t="str">
        <f t="shared" ca="1" si="263"/>
        <v>No</v>
      </c>
    </row>
    <row r="5619" spans="1:17" x14ac:dyDescent="0.45">
      <c r="A5619" t="s">
        <v>223</v>
      </c>
      <c r="B5619" t="s">
        <v>224</v>
      </c>
      <c r="C5619" t="s">
        <v>40</v>
      </c>
      <c r="D5619" t="s">
        <v>188</v>
      </c>
      <c r="E5619" t="s">
        <v>21</v>
      </c>
      <c r="F5619" s="1">
        <v>44958</v>
      </c>
      <c r="G5619">
        <v>1.58</v>
      </c>
      <c r="H5619">
        <v>83.770899999999997</v>
      </c>
      <c r="I5619">
        <v>18.88</v>
      </c>
      <c r="J5619">
        <v>68.33</v>
      </c>
      <c r="K5619" t="s">
        <v>22</v>
      </c>
      <c r="L5619">
        <v>596.91999999999996</v>
      </c>
      <c r="M5619">
        <f>VLOOKUP(K5619,RatingLookup!$A$2:$C$8,2,FALSE)</f>
        <v>5.0000000000000001E-3</v>
      </c>
      <c r="N5619">
        <f t="shared" si="261"/>
        <v>4.1762458919303302E-4</v>
      </c>
      <c r="O5619">
        <f>VLOOKUP(K5619,RatingLookup!$A$2:$C$8,3,FALSE)</f>
        <v>0.45</v>
      </c>
      <c r="P5619">
        <f t="shared" si="262"/>
        <v>0.11217981140149737</v>
      </c>
      <c r="Q5619" t="str">
        <f t="shared" ca="1" si="263"/>
        <v>No</v>
      </c>
    </row>
    <row r="5620" spans="1:17" x14ac:dyDescent="0.45">
      <c r="A5620" t="s">
        <v>223</v>
      </c>
      <c r="B5620" t="s">
        <v>224</v>
      </c>
      <c r="C5620" t="s">
        <v>40</v>
      </c>
      <c r="D5620" t="s">
        <v>188</v>
      </c>
      <c r="E5620" t="s">
        <v>21</v>
      </c>
      <c r="F5620" s="1">
        <v>44986</v>
      </c>
      <c r="G5620">
        <v>0.55000000000000004</v>
      </c>
      <c r="H5620">
        <v>83.428899999999999</v>
      </c>
      <c r="I5620">
        <v>16.43</v>
      </c>
      <c r="J5620">
        <v>84.52</v>
      </c>
      <c r="K5620" t="s">
        <v>22</v>
      </c>
      <c r="L5620">
        <v>550.14</v>
      </c>
      <c r="M5620">
        <f>VLOOKUP(K5620,RatingLookup!$A$2:$C$8,2,FALSE)</f>
        <v>5.0000000000000001E-3</v>
      </c>
      <c r="N5620">
        <f t="shared" si="261"/>
        <v>4.1762458919303302E-4</v>
      </c>
      <c r="O5620">
        <f>VLOOKUP(K5620,RatingLookup!$A$2:$C$8,3,FALSE)</f>
        <v>0.45</v>
      </c>
      <c r="P5620">
        <f t="shared" si="262"/>
        <v>0.10338839617439484</v>
      </c>
      <c r="Q5620" t="str">
        <f t="shared" ca="1" si="263"/>
        <v>No</v>
      </c>
    </row>
    <row r="5621" spans="1:17" x14ac:dyDescent="0.45">
      <c r="A5621" t="s">
        <v>223</v>
      </c>
      <c r="B5621" t="s">
        <v>224</v>
      </c>
      <c r="C5621" t="s">
        <v>40</v>
      </c>
      <c r="D5621" t="s">
        <v>188</v>
      </c>
      <c r="E5621" t="s">
        <v>21</v>
      </c>
      <c r="F5621" s="1">
        <v>45017</v>
      </c>
      <c r="G5621">
        <v>2.2799999999999998</v>
      </c>
      <c r="H5621">
        <v>89.560400000000001</v>
      </c>
      <c r="I5621">
        <v>19.34</v>
      </c>
      <c r="J5621">
        <v>89.81</v>
      </c>
      <c r="K5621" t="s">
        <v>22</v>
      </c>
      <c r="L5621">
        <v>593.25</v>
      </c>
      <c r="M5621">
        <f>VLOOKUP(K5621,RatingLookup!$A$2:$C$8,2,FALSE)</f>
        <v>5.0000000000000001E-3</v>
      </c>
      <c r="N5621">
        <f t="shared" si="261"/>
        <v>4.1762458919303302E-4</v>
      </c>
      <c r="O5621">
        <f>VLOOKUP(K5621,RatingLookup!$A$2:$C$8,3,FALSE)</f>
        <v>0.45</v>
      </c>
      <c r="P5621">
        <f t="shared" si="262"/>
        <v>0.11149010439244508</v>
      </c>
      <c r="Q5621" t="str">
        <f t="shared" ca="1" si="263"/>
        <v>No</v>
      </c>
    </row>
    <row r="5622" spans="1:17" x14ac:dyDescent="0.45">
      <c r="A5622" t="s">
        <v>223</v>
      </c>
      <c r="B5622" t="s">
        <v>224</v>
      </c>
      <c r="C5622" t="s">
        <v>40</v>
      </c>
      <c r="D5622" t="s">
        <v>188</v>
      </c>
      <c r="E5622" t="s">
        <v>21</v>
      </c>
      <c r="F5622" s="1">
        <v>45047</v>
      </c>
      <c r="G5622">
        <v>1.02</v>
      </c>
      <c r="H5622">
        <v>78.356700000000004</v>
      </c>
      <c r="I5622">
        <v>11.14</v>
      </c>
      <c r="J5622">
        <v>73.95</v>
      </c>
      <c r="K5622" t="s">
        <v>22</v>
      </c>
      <c r="L5622">
        <v>603.58000000000004</v>
      </c>
      <c r="M5622">
        <f>VLOOKUP(K5622,RatingLookup!$A$2:$C$8,2,FALSE)</f>
        <v>5.0000000000000001E-3</v>
      </c>
      <c r="N5622">
        <f t="shared" si="261"/>
        <v>4.1762458919303302E-4</v>
      </c>
      <c r="O5622">
        <f>VLOOKUP(K5622,RatingLookup!$A$2:$C$8,3,FALSE)</f>
        <v>0.45</v>
      </c>
      <c r="P5622">
        <f t="shared" si="262"/>
        <v>0.1134314322953089</v>
      </c>
      <c r="Q5622" t="str">
        <f t="shared" ca="1" si="263"/>
        <v>No</v>
      </c>
    </row>
    <row r="5623" spans="1:17" x14ac:dyDescent="0.45">
      <c r="A5623" t="s">
        <v>223</v>
      </c>
      <c r="B5623" t="s">
        <v>224</v>
      </c>
      <c r="C5623" t="s">
        <v>40</v>
      </c>
      <c r="D5623" t="s">
        <v>188</v>
      </c>
      <c r="E5623" t="s">
        <v>21</v>
      </c>
      <c r="F5623" s="1">
        <v>45078</v>
      </c>
      <c r="G5623">
        <v>2.1</v>
      </c>
      <c r="H5623">
        <v>82.162099999999995</v>
      </c>
      <c r="I5623">
        <v>5.2</v>
      </c>
      <c r="J5623">
        <v>82.85</v>
      </c>
      <c r="K5623" t="s">
        <v>22</v>
      </c>
      <c r="L5623">
        <v>584.59</v>
      </c>
      <c r="M5623">
        <f>VLOOKUP(K5623,RatingLookup!$A$2:$C$8,2,FALSE)</f>
        <v>5.0000000000000001E-3</v>
      </c>
      <c r="N5623">
        <f t="shared" si="261"/>
        <v>4.1762458919303302E-4</v>
      </c>
      <c r="O5623">
        <f>VLOOKUP(K5623,RatingLookup!$A$2:$C$8,3,FALSE)</f>
        <v>0.45</v>
      </c>
      <c r="P5623">
        <f t="shared" si="262"/>
        <v>0.10986262136835984</v>
      </c>
      <c r="Q5623" t="str">
        <f t="shared" ca="1" si="263"/>
        <v>No</v>
      </c>
    </row>
    <row r="5624" spans="1:17" x14ac:dyDescent="0.45">
      <c r="A5624" t="s">
        <v>223</v>
      </c>
      <c r="B5624" t="s">
        <v>224</v>
      </c>
      <c r="C5624" t="s">
        <v>40</v>
      </c>
      <c r="D5624" t="s">
        <v>188</v>
      </c>
      <c r="E5624" t="s">
        <v>21</v>
      </c>
      <c r="F5624" s="1">
        <v>45108</v>
      </c>
      <c r="G5624">
        <v>1.22</v>
      </c>
      <c r="H5624">
        <v>78.975200000000001</v>
      </c>
      <c r="I5624">
        <v>28.58</v>
      </c>
      <c r="J5624">
        <v>93.36</v>
      </c>
      <c r="K5624" t="s">
        <v>22</v>
      </c>
      <c r="L5624">
        <v>609.80999999999995</v>
      </c>
      <c r="M5624">
        <f>VLOOKUP(K5624,RatingLookup!$A$2:$C$8,2,FALSE)</f>
        <v>5.0000000000000001E-3</v>
      </c>
      <c r="N5624">
        <f t="shared" si="261"/>
        <v>4.1762458919303302E-4</v>
      </c>
      <c r="O5624">
        <f>VLOOKUP(K5624,RatingLookup!$A$2:$C$8,3,FALSE)</f>
        <v>0.45</v>
      </c>
      <c r="P5624">
        <f t="shared" si="262"/>
        <v>0.11460224283111155</v>
      </c>
      <c r="Q5624" t="str">
        <f t="shared" ca="1" si="263"/>
        <v>No</v>
      </c>
    </row>
    <row r="5625" spans="1:17" x14ac:dyDescent="0.45">
      <c r="A5625" t="s">
        <v>223</v>
      </c>
      <c r="B5625" t="s">
        <v>224</v>
      </c>
      <c r="C5625" t="s">
        <v>40</v>
      </c>
      <c r="D5625" t="s">
        <v>188</v>
      </c>
      <c r="E5625" t="s">
        <v>21</v>
      </c>
      <c r="F5625" s="1">
        <v>45139</v>
      </c>
      <c r="G5625">
        <v>2.25</v>
      </c>
      <c r="H5625">
        <v>81.522000000000006</v>
      </c>
      <c r="I5625">
        <v>20.37</v>
      </c>
      <c r="J5625">
        <v>88.84</v>
      </c>
      <c r="K5625" t="s">
        <v>22</v>
      </c>
      <c r="L5625">
        <v>587.05999999999995</v>
      </c>
      <c r="M5625">
        <f>VLOOKUP(K5625,RatingLookup!$A$2:$C$8,2,FALSE)</f>
        <v>5.0000000000000001E-3</v>
      </c>
      <c r="N5625">
        <f t="shared" si="261"/>
        <v>4.1762458919303302E-4</v>
      </c>
      <c r="O5625">
        <f>VLOOKUP(K5625,RatingLookup!$A$2:$C$8,3,FALSE)</f>
        <v>0.45</v>
      </c>
      <c r="P5625">
        <f t="shared" si="262"/>
        <v>0.11032681109924787</v>
      </c>
      <c r="Q5625" t="str">
        <f t="shared" ca="1" si="263"/>
        <v>No</v>
      </c>
    </row>
    <row r="5626" spans="1:17" x14ac:dyDescent="0.45">
      <c r="A5626" t="s">
        <v>223</v>
      </c>
      <c r="B5626" t="s">
        <v>224</v>
      </c>
      <c r="C5626" t="s">
        <v>40</v>
      </c>
      <c r="D5626" t="s">
        <v>188</v>
      </c>
      <c r="E5626" t="s">
        <v>21</v>
      </c>
      <c r="F5626" s="1">
        <v>45170</v>
      </c>
      <c r="G5626">
        <v>1.1399999999999999</v>
      </c>
      <c r="H5626">
        <v>85.213499999999996</v>
      </c>
      <c r="I5626">
        <v>30.13</v>
      </c>
      <c r="J5626">
        <v>90.06</v>
      </c>
      <c r="K5626" t="s">
        <v>22</v>
      </c>
      <c r="L5626">
        <v>583.77</v>
      </c>
      <c r="M5626">
        <f>VLOOKUP(K5626,RatingLookup!$A$2:$C$8,2,FALSE)</f>
        <v>5.0000000000000001E-3</v>
      </c>
      <c r="N5626">
        <f t="shared" si="261"/>
        <v>4.1762458919303302E-4</v>
      </c>
      <c r="O5626">
        <f>VLOOKUP(K5626,RatingLookup!$A$2:$C$8,3,FALSE)</f>
        <v>0.45</v>
      </c>
      <c r="P5626">
        <f t="shared" si="262"/>
        <v>0.10970851789494759</v>
      </c>
      <c r="Q5626" t="str">
        <f t="shared" ca="1" si="263"/>
        <v>No</v>
      </c>
    </row>
    <row r="5627" spans="1:17" x14ac:dyDescent="0.45">
      <c r="A5627" t="s">
        <v>223</v>
      </c>
      <c r="B5627" t="s">
        <v>224</v>
      </c>
      <c r="C5627" t="s">
        <v>40</v>
      </c>
      <c r="D5627" t="s">
        <v>188</v>
      </c>
      <c r="E5627" t="s">
        <v>21</v>
      </c>
      <c r="F5627" s="1">
        <v>45200</v>
      </c>
      <c r="G5627">
        <v>1.57</v>
      </c>
      <c r="H5627">
        <v>82.661199999999994</v>
      </c>
      <c r="I5627">
        <v>13.51</v>
      </c>
      <c r="J5627">
        <v>74.2</v>
      </c>
      <c r="K5627" t="s">
        <v>22</v>
      </c>
      <c r="L5627">
        <v>586.45000000000005</v>
      </c>
      <c r="M5627">
        <f>VLOOKUP(K5627,RatingLookup!$A$2:$C$8,2,FALSE)</f>
        <v>5.0000000000000001E-3</v>
      </c>
      <c r="N5627">
        <f t="shared" si="261"/>
        <v>4.1762458919303302E-4</v>
      </c>
      <c r="O5627">
        <f>VLOOKUP(K5627,RatingLookup!$A$2:$C$8,3,FALSE)</f>
        <v>0.45</v>
      </c>
      <c r="P5627">
        <f t="shared" si="262"/>
        <v>0.1102121731495144</v>
      </c>
      <c r="Q5627" t="str">
        <f t="shared" ca="1" si="263"/>
        <v>No</v>
      </c>
    </row>
    <row r="5628" spans="1:17" x14ac:dyDescent="0.45">
      <c r="A5628" t="s">
        <v>223</v>
      </c>
      <c r="B5628" t="s">
        <v>224</v>
      </c>
      <c r="C5628" t="s">
        <v>40</v>
      </c>
      <c r="D5628" t="s">
        <v>188</v>
      </c>
      <c r="E5628" t="s">
        <v>21</v>
      </c>
      <c r="F5628" s="1">
        <v>45231</v>
      </c>
      <c r="G5628">
        <v>1.53</v>
      </c>
      <c r="H5628">
        <v>82.773600000000002</v>
      </c>
      <c r="I5628">
        <v>5.4</v>
      </c>
      <c r="J5628">
        <v>78.36</v>
      </c>
      <c r="K5628" t="s">
        <v>22</v>
      </c>
      <c r="L5628">
        <v>526.19000000000005</v>
      </c>
      <c r="M5628">
        <f>VLOOKUP(K5628,RatingLookup!$A$2:$C$8,2,FALSE)</f>
        <v>5.0000000000000001E-3</v>
      </c>
      <c r="N5628">
        <f t="shared" si="261"/>
        <v>4.1762458919303302E-4</v>
      </c>
      <c r="O5628">
        <f>VLOOKUP(K5628,RatingLookup!$A$2:$C$8,3,FALSE)</f>
        <v>0.45</v>
      </c>
      <c r="P5628">
        <f t="shared" si="262"/>
        <v>9.888744716436694E-2</v>
      </c>
      <c r="Q5628" t="str">
        <f t="shared" ca="1" si="263"/>
        <v>No</v>
      </c>
    </row>
    <row r="5629" spans="1:17" x14ac:dyDescent="0.45">
      <c r="A5629" t="s">
        <v>223</v>
      </c>
      <c r="B5629" t="s">
        <v>224</v>
      </c>
      <c r="C5629" t="s">
        <v>40</v>
      </c>
      <c r="D5629" t="s">
        <v>188</v>
      </c>
      <c r="E5629" t="s">
        <v>21</v>
      </c>
      <c r="F5629" s="1">
        <v>45261</v>
      </c>
      <c r="G5629">
        <v>0.89</v>
      </c>
      <c r="H5629">
        <v>79.981800000000007</v>
      </c>
      <c r="I5629">
        <v>17.55</v>
      </c>
      <c r="J5629">
        <v>72.88</v>
      </c>
      <c r="K5629" t="s">
        <v>22</v>
      </c>
      <c r="L5629">
        <v>582.67999999999995</v>
      </c>
      <c r="M5629">
        <f>VLOOKUP(K5629,RatingLookup!$A$2:$C$8,2,FALSE)</f>
        <v>5.0000000000000001E-3</v>
      </c>
      <c r="N5629">
        <f t="shared" si="261"/>
        <v>4.1762458919303302E-4</v>
      </c>
      <c r="O5629">
        <f>VLOOKUP(K5629,RatingLookup!$A$2:$C$8,3,FALSE)</f>
        <v>0.45</v>
      </c>
      <c r="P5629">
        <f t="shared" si="262"/>
        <v>0.10950367303394841</v>
      </c>
      <c r="Q5629" t="str">
        <f t="shared" ca="1" si="263"/>
        <v>No</v>
      </c>
    </row>
    <row r="5630" spans="1:17" x14ac:dyDescent="0.45">
      <c r="A5630" t="s">
        <v>223</v>
      </c>
      <c r="B5630" t="s">
        <v>224</v>
      </c>
      <c r="C5630" t="s">
        <v>40</v>
      </c>
      <c r="D5630" t="s">
        <v>188</v>
      </c>
      <c r="E5630" t="s">
        <v>21</v>
      </c>
      <c r="F5630" s="1">
        <v>45292</v>
      </c>
      <c r="G5630">
        <v>2.16</v>
      </c>
      <c r="H5630">
        <v>84.456900000000005</v>
      </c>
      <c r="I5630">
        <v>21.25</v>
      </c>
      <c r="J5630">
        <v>92.12</v>
      </c>
      <c r="K5630" t="s">
        <v>22</v>
      </c>
      <c r="L5630">
        <v>580.05999999999995</v>
      </c>
      <c r="M5630">
        <f>VLOOKUP(K5630,RatingLookup!$A$2:$C$8,2,FALSE)</f>
        <v>5.0000000000000001E-3</v>
      </c>
      <c r="N5630">
        <f t="shared" si="261"/>
        <v>4.1762458919303302E-4</v>
      </c>
      <c r="O5630">
        <f>VLOOKUP(K5630,RatingLookup!$A$2:$C$8,3,FALSE)</f>
        <v>0.45</v>
      </c>
      <c r="P5630">
        <f t="shared" si="262"/>
        <v>0.10901129364328982</v>
      </c>
      <c r="Q5630" t="str">
        <f t="shared" ca="1" si="263"/>
        <v>No</v>
      </c>
    </row>
    <row r="5631" spans="1:17" x14ac:dyDescent="0.45">
      <c r="A5631" t="s">
        <v>223</v>
      </c>
      <c r="B5631" t="s">
        <v>224</v>
      </c>
      <c r="C5631" t="s">
        <v>40</v>
      </c>
      <c r="D5631" t="s">
        <v>188</v>
      </c>
      <c r="E5631" t="s">
        <v>21</v>
      </c>
      <c r="F5631" s="1">
        <v>45323</v>
      </c>
      <c r="G5631">
        <v>1.41</v>
      </c>
      <c r="H5631">
        <v>80.8626</v>
      </c>
      <c r="I5631">
        <v>5</v>
      </c>
      <c r="J5631">
        <v>80.94</v>
      </c>
      <c r="K5631" t="s">
        <v>22</v>
      </c>
      <c r="L5631">
        <v>647.64</v>
      </c>
      <c r="M5631">
        <f>VLOOKUP(K5631,RatingLookup!$A$2:$C$8,2,FALSE)</f>
        <v>5.0000000000000001E-3</v>
      </c>
      <c r="N5631">
        <f t="shared" si="261"/>
        <v>4.1762458919303302E-4</v>
      </c>
      <c r="O5631">
        <f>VLOOKUP(K5631,RatingLookup!$A$2:$C$8,3,FALSE)</f>
        <v>0.45</v>
      </c>
      <c r="P5631">
        <f t="shared" si="262"/>
        <v>0.12171167502523915</v>
      </c>
      <c r="Q5631" t="str">
        <f t="shared" ca="1" si="263"/>
        <v>No</v>
      </c>
    </row>
    <row r="5632" spans="1:17" x14ac:dyDescent="0.45">
      <c r="A5632" t="s">
        <v>223</v>
      </c>
      <c r="B5632" t="s">
        <v>224</v>
      </c>
      <c r="C5632" t="s">
        <v>40</v>
      </c>
      <c r="D5632" t="s">
        <v>188</v>
      </c>
      <c r="E5632" t="s">
        <v>21</v>
      </c>
      <c r="F5632" s="1">
        <v>45352</v>
      </c>
      <c r="G5632">
        <v>1.68</v>
      </c>
      <c r="H5632">
        <v>82.435699999999997</v>
      </c>
      <c r="I5632">
        <v>28.01</v>
      </c>
      <c r="J5632">
        <v>74.89</v>
      </c>
      <c r="K5632" t="s">
        <v>22</v>
      </c>
      <c r="L5632">
        <v>642.46</v>
      </c>
      <c r="M5632">
        <f>VLOOKUP(K5632,RatingLookup!$A$2:$C$8,2,FALSE)</f>
        <v>5.0000000000000001E-3</v>
      </c>
      <c r="N5632">
        <f t="shared" si="261"/>
        <v>4.1762458919303302E-4</v>
      </c>
      <c r="O5632">
        <f>VLOOKUP(K5632,RatingLookup!$A$2:$C$8,3,FALSE)</f>
        <v>0.45</v>
      </c>
      <c r="P5632">
        <f t="shared" si="262"/>
        <v>0.12073819210783021</v>
      </c>
      <c r="Q5632" t="str">
        <f t="shared" ca="1" si="263"/>
        <v>No</v>
      </c>
    </row>
    <row r="5633" spans="1:17" x14ac:dyDescent="0.45">
      <c r="A5633" t="s">
        <v>223</v>
      </c>
      <c r="B5633" t="s">
        <v>224</v>
      </c>
      <c r="C5633" t="s">
        <v>40</v>
      </c>
      <c r="D5633" t="s">
        <v>188</v>
      </c>
      <c r="E5633" t="s">
        <v>21</v>
      </c>
      <c r="F5633" s="1">
        <v>45383</v>
      </c>
      <c r="G5633">
        <v>1.77</v>
      </c>
      <c r="H5633">
        <v>82.463999999999999</v>
      </c>
      <c r="I5633">
        <v>20</v>
      </c>
      <c r="J5633">
        <v>83.63</v>
      </c>
      <c r="K5633" t="s">
        <v>22</v>
      </c>
      <c r="L5633">
        <v>574.58000000000004</v>
      </c>
      <c r="M5633">
        <f>VLOOKUP(K5633,RatingLookup!$A$2:$C$8,2,FALSE)</f>
        <v>5.0000000000000001E-3</v>
      </c>
      <c r="N5633">
        <f t="shared" si="261"/>
        <v>4.1762458919303302E-4</v>
      </c>
      <c r="O5633">
        <f>VLOOKUP(K5633,RatingLookup!$A$2:$C$8,3,FALSE)</f>
        <v>0.45</v>
      </c>
      <c r="P5633">
        <f t="shared" si="262"/>
        <v>0.10798143140633983</v>
      </c>
      <c r="Q5633" t="str">
        <f t="shared" ca="1" si="263"/>
        <v>No</v>
      </c>
    </row>
    <row r="5634" spans="1:17" x14ac:dyDescent="0.45">
      <c r="A5634" t="s">
        <v>223</v>
      </c>
      <c r="B5634" t="s">
        <v>224</v>
      </c>
      <c r="C5634" t="s">
        <v>40</v>
      </c>
      <c r="D5634" t="s">
        <v>188</v>
      </c>
      <c r="E5634" t="s">
        <v>21</v>
      </c>
      <c r="F5634" s="1">
        <v>45413</v>
      </c>
      <c r="G5634">
        <v>1.2</v>
      </c>
      <c r="H5634">
        <v>86.891300000000001</v>
      </c>
      <c r="I5634">
        <v>24.45</v>
      </c>
      <c r="J5634">
        <v>67.900000000000006</v>
      </c>
      <c r="K5634" t="s">
        <v>22</v>
      </c>
      <c r="L5634">
        <v>604.66999999999996</v>
      </c>
      <c r="M5634">
        <f>VLOOKUP(K5634,RatingLookup!$A$2:$C$8,2,FALSE)</f>
        <v>5.0000000000000001E-3</v>
      </c>
      <c r="N5634">
        <f t="shared" ref="N5634:N5697" si="264">1-(1-M5634)^(1/12)</f>
        <v>4.1762458919303302E-4</v>
      </c>
      <c r="O5634">
        <f>VLOOKUP(K5634,RatingLookup!$A$2:$C$8,3,FALSE)</f>
        <v>0.45</v>
      </c>
      <c r="P5634">
        <f t="shared" ref="P5634:P5697" si="265">L5634*N5634*O5634</f>
        <v>0.11363627715630809</v>
      </c>
      <c r="Q5634" t="str">
        <f t="shared" ref="Q5634:Q5697" ca="1" si="266">IF(RAND()&lt;N5634,"Yes","No")</f>
        <v>No</v>
      </c>
    </row>
    <row r="5635" spans="1:17" x14ac:dyDescent="0.45">
      <c r="A5635" t="s">
        <v>223</v>
      </c>
      <c r="B5635" t="s">
        <v>224</v>
      </c>
      <c r="C5635" t="s">
        <v>40</v>
      </c>
      <c r="D5635" t="s">
        <v>188</v>
      </c>
      <c r="E5635" t="s">
        <v>21</v>
      </c>
      <c r="F5635" s="1">
        <v>45444</v>
      </c>
      <c r="G5635">
        <v>2.23</v>
      </c>
      <c r="H5635">
        <v>81.2286</v>
      </c>
      <c r="I5635">
        <v>22.23</v>
      </c>
      <c r="J5635">
        <v>86.01</v>
      </c>
      <c r="K5635" t="s">
        <v>22</v>
      </c>
      <c r="L5635">
        <v>549.16</v>
      </c>
      <c r="M5635">
        <f>VLOOKUP(K5635,RatingLookup!$A$2:$C$8,2,FALSE)</f>
        <v>5.0000000000000001E-3</v>
      </c>
      <c r="N5635">
        <f t="shared" si="264"/>
        <v>4.1762458919303302E-4</v>
      </c>
      <c r="O5635">
        <f>VLOOKUP(K5635,RatingLookup!$A$2:$C$8,3,FALSE)</f>
        <v>0.45</v>
      </c>
      <c r="P5635">
        <f t="shared" si="265"/>
        <v>0.10320422373056071</v>
      </c>
      <c r="Q5635" t="str">
        <f t="shared" ca="1" si="266"/>
        <v>No</v>
      </c>
    </row>
    <row r="5636" spans="1:17" x14ac:dyDescent="0.45">
      <c r="A5636" t="s">
        <v>223</v>
      </c>
      <c r="B5636" t="s">
        <v>224</v>
      </c>
      <c r="C5636" t="s">
        <v>40</v>
      </c>
      <c r="D5636" t="s">
        <v>188</v>
      </c>
      <c r="E5636" t="s">
        <v>21</v>
      </c>
      <c r="F5636" s="1">
        <v>45474</v>
      </c>
      <c r="G5636">
        <v>1.5</v>
      </c>
      <c r="H5636">
        <v>81.7059</v>
      </c>
      <c r="I5636">
        <v>21.44</v>
      </c>
      <c r="J5636">
        <v>77.2</v>
      </c>
      <c r="K5636" t="s">
        <v>22</v>
      </c>
      <c r="L5636">
        <v>553.51</v>
      </c>
      <c r="M5636">
        <f>VLOOKUP(K5636,RatingLookup!$A$2:$C$8,2,FALSE)</f>
        <v>5.0000000000000001E-3</v>
      </c>
      <c r="N5636">
        <f t="shared" si="264"/>
        <v>4.1762458919303302E-4</v>
      </c>
      <c r="O5636">
        <f>VLOOKUP(K5636,RatingLookup!$A$2:$C$8,3,FALSE)</f>
        <v>0.45</v>
      </c>
      <c r="P5636">
        <f t="shared" si="265"/>
        <v>0.10402172386390608</v>
      </c>
      <c r="Q5636" t="str">
        <f t="shared" ca="1" si="266"/>
        <v>No</v>
      </c>
    </row>
    <row r="5637" spans="1:17" x14ac:dyDescent="0.45">
      <c r="A5637" t="s">
        <v>223</v>
      </c>
      <c r="B5637" t="s">
        <v>224</v>
      </c>
      <c r="C5637" t="s">
        <v>40</v>
      </c>
      <c r="D5637" t="s">
        <v>188</v>
      </c>
      <c r="E5637" t="s">
        <v>21</v>
      </c>
      <c r="F5637" s="1">
        <v>45505</v>
      </c>
      <c r="G5637">
        <v>-0.13</v>
      </c>
      <c r="H5637">
        <v>83.088300000000004</v>
      </c>
      <c r="I5637">
        <v>12.6</v>
      </c>
      <c r="J5637">
        <v>88.83</v>
      </c>
      <c r="K5637" t="s">
        <v>22</v>
      </c>
      <c r="L5637">
        <v>587.41</v>
      </c>
      <c r="M5637">
        <f>VLOOKUP(K5637,RatingLookup!$A$2:$C$8,2,FALSE)</f>
        <v>5.0000000000000001E-3</v>
      </c>
      <c r="N5637">
        <f t="shared" si="264"/>
        <v>4.1762458919303302E-4</v>
      </c>
      <c r="O5637">
        <f>VLOOKUP(K5637,RatingLookup!$A$2:$C$8,3,FALSE)</f>
        <v>0.45</v>
      </c>
      <c r="P5637">
        <f t="shared" si="265"/>
        <v>0.11039258697204579</v>
      </c>
      <c r="Q5637" t="str">
        <f t="shared" ca="1" si="266"/>
        <v>No</v>
      </c>
    </row>
    <row r="5638" spans="1:17" x14ac:dyDescent="0.45">
      <c r="A5638" t="s">
        <v>223</v>
      </c>
      <c r="B5638" t="s">
        <v>224</v>
      </c>
      <c r="C5638" t="s">
        <v>40</v>
      </c>
      <c r="D5638" t="s">
        <v>188</v>
      </c>
      <c r="E5638" t="s">
        <v>21</v>
      </c>
      <c r="F5638" s="1">
        <v>45536</v>
      </c>
      <c r="G5638">
        <v>1.99</v>
      </c>
      <c r="H5638">
        <v>84.718999999999994</v>
      </c>
      <c r="I5638">
        <v>11.98</v>
      </c>
      <c r="J5638">
        <v>78.569999999999993</v>
      </c>
      <c r="K5638" t="s">
        <v>22</v>
      </c>
      <c r="L5638">
        <v>646.51</v>
      </c>
      <c r="M5638">
        <f>VLOOKUP(K5638,RatingLookup!$A$2:$C$8,2,FALSE)</f>
        <v>5.0000000000000001E-3</v>
      </c>
      <c r="N5638">
        <f t="shared" si="264"/>
        <v>4.1762458919303302E-4</v>
      </c>
      <c r="O5638">
        <f>VLOOKUP(K5638,RatingLookup!$A$2:$C$8,3,FALSE)</f>
        <v>0.45</v>
      </c>
      <c r="P5638">
        <f t="shared" si="265"/>
        <v>0.1214993129216345</v>
      </c>
      <c r="Q5638" t="str">
        <f t="shared" ca="1" si="266"/>
        <v>No</v>
      </c>
    </row>
    <row r="5639" spans="1:17" x14ac:dyDescent="0.45">
      <c r="A5639" t="s">
        <v>223</v>
      </c>
      <c r="B5639" t="s">
        <v>224</v>
      </c>
      <c r="C5639" t="s">
        <v>40</v>
      </c>
      <c r="D5639" t="s">
        <v>188</v>
      </c>
      <c r="E5639" t="s">
        <v>21</v>
      </c>
      <c r="F5639" s="1">
        <v>45566</v>
      </c>
      <c r="G5639">
        <v>1.35</v>
      </c>
      <c r="H5639">
        <v>84.483500000000006</v>
      </c>
      <c r="I5639">
        <v>18.48</v>
      </c>
      <c r="J5639">
        <v>77.84</v>
      </c>
      <c r="K5639" t="s">
        <v>22</v>
      </c>
      <c r="L5639">
        <v>607.88</v>
      </c>
      <c r="M5639">
        <f>VLOOKUP(K5639,RatingLookup!$A$2:$C$8,2,FALSE)</f>
        <v>5.0000000000000001E-3</v>
      </c>
      <c r="N5639">
        <f t="shared" si="264"/>
        <v>4.1762458919303302E-4</v>
      </c>
      <c r="O5639">
        <f>VLOOKUP(K5639,RatingLookup!$A$2:$C$8,3,FALSE)</f>
        <v>0.45</v>
      </c>
      <c r="P5639">
        <f t="shared" si="265"/>
        <v>0.11423953587539741</v>
      </c>
      <c r="Q5639" t="str">
        <f t="shared" ca="1" si="266"/>
        <v>No</v>
      </c>
    </row>
    <row r="5640" spans="1:17" x14ac:dyDescent="0.45">
      <c r="A5640" t="s">
        <v>223</v>
      </c>
      <c r="B5640" t="s">
        <v>224</v>
      </c>
      <c r="C5640" t="s">
        <v>40</v>
      </c>
      <c r="D5640" t="s">
        <v>188</v>
      </c>
      <c r="E5640" t="s">
        <v>21</v>
      </c>
      <c r="F5640" s="1">
        <v>45597</v>
      </c>
      <c r="G5640">
        <v>1.1599999999999999</v>
      </c>
      <c r="H5640">
        <v>83.396199999999993</v>
      </c>
      <c r="I5640">
        <v>5</v>
      </c>
      <c r="J5640">
        <v>76.23</v>
      </c>
      <c r="K5640" t="s">
        <v>23</v>
      </c>
      <c r="L5640">
        <v>590.28</v>
      </c>
      <c r="M5640">
        <f>VLOOKUP(K5640,RatingLookup!$A$2:$C$8,2,FALSE)</f>
        <v>1E-3</v>
      </c>
      <c r="N5640">
        <f t="shared" si="264"/>
        <v>8.3371552197619714E-5</v>
      </c>
      <c r="O5640">
        <f>VLOOKUP(K5640,RatingLookup!$A$2:$C$8,3,FALSE)</f>
        <v>0.3</v>
      </c>
      <c r="P5640">
        <f t="shared" si="265"/>
        <v>1.4763767949363288E-2</v>
      </c>
      <c r="Q5640" t="str">
        <f t="shared" ca="1" si="266"/>
        <v>No</v>
      </c>
    </row>
    <row r="5641" spans="1:17" x14ac:dyDescent="0.45">
      <c r="A5641" t="s">
        <v>223</v>
      </c>
      <c r="B5641" t="s">
        <v>224</v>
      </c>
      <c r="C5641" t="s">
        <v>40</v>
      </c>
      <c r="D5641" t="s">
        <v>188</v>
      </c>
      <c r="E5641" t="s">
        <v>21</v>
      </c>
      <c r="F5641" s="1">
        <v>45627</v>
      </c>
      <c r="G5641">
        <v>2.61</v>
      </c>
      <c r="H5641">
        <v>86.268799999999999</v>
      </c>
      <c r="I5641">
        <v>21.87</v>
      </c>
      <c r="J5641">
        <v>84.48</v>
      </c>
      <c r="K5641" t="s">
        <v>23</v>
      </c>
      <c r="L5641">
        <v>612.41999999999996</v>
      </c>
      <c r="M5641">
        <f>VLOOKUP(K5641,RatingLookup!$A$2:$C$8,2,FALSE)</f>
        <v>1E-3</v>
      </c>
      <c r="N5641">
        <f t="shared" si="264"/>
        <v>8.3371552197619714E-5</v>
      </c>
      <c r="O5641">
        <f>VLOOKUP(K5641,RatingLookup!$A$2:$C$8,3,FALSE)</f>
        <v>0.3</v>
      </c>
      <c r="P5641">
        <f t="shared" si="265"/>
        <v>1.5317521799059878E-2</v>
      </c>
      <c r="Q5641" t="str">
        <f t="shared" ca="1" si="266"/>
        <v>No</v>
      </c>
    </row>
    <row r="5642" spans="1:17" x14ac:dyDescent="0.45">
      <c r="A5642" t="s">
        <v>225</v>
      </c>
      <c r="B5642" t="s">
        <v>226</v>
      </c>
      <c r="C5642" t="s">
        <v>19</v>
      </c>
      <c r="D5642" t="s">
        <v>188</v>
      </c>
      <c r="E5642" t="s">
        <v>21</v>
      </c>
      <c r="F5642" s="1">
        <v>43831</v>
      </c>
      <c r="G5642">
        <v>1.58</v>
      </c>
      <c r="H5642">
        <v>78.298299999999998</v>
      </c>
      <c r="I5642">
        <v>20.09</v>
      </c>
      <c r="J5642">
        <v>75.95</v>
      </c>
      <c r="K5642" t="s">
        <v>32</v>
      </c>
      <c r="L5642">
        <v>927.51</v>
      </c>
      <c r="M5642">
        <f>VLOOKUP(K5642,RatingLookup!$A$2:$C$8,2,FALSE)</f>
        <v>0.12</v>
      </c>
      <c r="N5642">
        <f t="shared" si="264"/>
        <v>1.0596241035318976E-2</v>
      </c>
      <c r="O5642">
        <f>VLOOKUP(K5642,RatingLookup!$A$2:$C$8,3,FALSE)</f>
        <v>0.7</v>
      </c>
      <c r="P5642">
        <f t="shared" si="265"/>
        <v>6.8796836658680922</v>
      </c>
      <c r="Q5642" t="str">
        <f t="shared" ca="1" si="266"/>
        <v>No</v>
      </c>
    </row>
    <row r="5643" spans="1:17" x14ac:dyDescent="0.45">
      <c r="A5643" t="s">
        <v>225</v>
      </c>
      <c r="B5643" t="s">
        <v>226</v>
      </c>
      <c r="C5643" t="s">
        <v>19</v>
      </c>
      <c r="D5643" t="s">
        <v>188</v>
      </c>
      <c r="E5643" t="s">
        <v>21</v>
      </c>
      <c r="F5643" s="1">
        <v>43862</v>
      </c>
      <c r="G5643">
        <v>2.5499999999999998</v>
      </c>
      <c r="H5643">
        <v>80.618300000000005</v>
      </c>
      <c r="I5643">
        <v>23.03</v>
      </c>
      <c r="J5643">
        <v>77.94</v>
      </c>
      <c r="K5643" t="s">
        <v>32</v>
      </c>
      <c r="L5643">
        <v>919.48</v>
      </c>
      <c r="M5643">
        <f>VLOOKUP(K5643,RatingLookup!$A$2:$C$8,2,FALSE)</f>
        <v>0.12</v>
      </c>
      <c r="N5643">
        <f t="shared" si="264"/>
        <v>1.0596241035318976E-2</v>
      </c>
      <c r="O5643">
        <f>VLOOKUP(K5643,RatingLookup!$A$2:$C$8,3,FALSE)</f>
        <v>0.7</v>
      </c>
      <c r="P5643">
        <f t="shared" si="265"/>
        <v>6.8201221950085644</v>
      </c>
      <c r="Q5643" t="str">
        <f t="shared" ca="1" si="266"/>
        <v>No</v>
      </c>
    </row>
    <row r="5644" spans="1:17" x14ac:dyDescent="0.45">
      <c r="A5644" t="s">
        <v>225</v>
      </c>
      <c r="B5644" t="s">
        <v>226</v>
      </c>
      <c r="C5644" t="s">
        <v>19</v>
      </c>
      <c r="D5644" t="s">
        <v>188</v>
      </c>
      <c r="E5644" t="s">
        <v>21</v>
      </c>
      <c r="F5644" s="1">
        <v>43891</v>
      </c>
      <c r="G5644">
        <v>0.68</v>
      </c>
      <c r="H5644">
        <v>85.034700000000001</v>
      </c>
      <c r="I5644">
        <v>14.37</v>
      </c>
      <c r="J5644">
        <v>78.81</v>
      </c>
      <c r="K5644" t="s">
        <v>32</v>
      </c>
      <c r="L5644">
        <v>912.31</v>
      </c>
      <c r="M5644">
        <f>VLOOKUP(K5644,RatingLookup!$A$2:$C$8,2,FALSE)</f>
        <v>0.12</v>
      </c>
      <c r="N5644">
        <f t="shared" si="264"/>
        <v>1.0596241035318976E-2</v>
      </c>
      <c r="O5644">
        <f>VLOOKUP(K5644,RatingLookup!$A$2:$C$8,3,FALSE)</f>
        <v>0.7</v>
      </c>
      <c r="P5644">
        <f t="shared" si="265"/>
        <v>6.7669396612522981</v>
      </c>
      <c r="Q5644" t="str">
        <f t="shared" ca="1" si="266"/>
        <v>No</v>
      </c>
    </row>
    <row r="5645" spans="1:17" x14ac:dyDescent="0.45">
      <c r="A5645" t="s">
        <v>225</v>
      </c>
      <c r="B5645" t="s">
        <v>226</v>
      </c>
      <c r="C5645" t="s">
        <v>19</v>
      </c>
      <c r="D5645" t="s">
        <v>188</v>
      </c>
      <c r="E5645" t="s">
        <v>21</v>
      </c>
      <c r="F5645" s="1">
        <v>43922</v>
      </c>
      <c r="G5645">
        <v>0.55000000000000004</v>
      </c>
      <c r="H5645">
        <v>82.9011</v>
      </c>
      <c r="I5645">
        <v>14.92</v>
      </c>
      <c r="J5645">
        <v>73.38</v>
      </c>
      <c r="K5645" t="s">
        <v>32</v>
      </c>
      <c r="L5645">
        <v>949.54</v>
      </c>
      <c r="M5645">
        <f>VLOOKUP(K5645,RatingLookup!$A$2:$C$8,2,FALSE)</f>
        <v>0.12</v>
      </c>
      <c r="N5645">
        <f t="shared" si="264"/>
        <v>1.0596241035318976E-2</v>
      </c>
      <c r="O5645">
        <f>VLOOKUP(K5645,RatingLookup!$A$2:$C$8,3,FALSE)</f>
        <v>0.7</v>
      </c>
      <c r="P5645">
        <f t="shared" si="265"/>
        <v>7.0430882988737462</v>
      </c>
      <c r="Q5645" t="str">
        <f t="shared" ca="1" si="266"/>
        <v>No</v>
      </c>
    </row>
    <row r="5646" spans="1:17" x14ac:dyDescent="0.45">
      <c r="A5646" t="s">
        <v>225</v>
      </c>
      <c r="B5646" t="s">
        <v>226</v>
      </c>
      <c r="C5646" t="s">
        <v>19</v>
      </c>
      <c r="D5646" t="s">
        <v>188</v>
      </c>
      <c r="E5646" t="s">
        <v>21</v>
      </c>
      <c r="F5646" s="1">
        <v>43952</v>
      </c>
      <c r="G5646">
        <v>0.99</v>
      </c>
      <c r="H5646">
        <v>83.825299999999999</v>
      </c>
      <c r="I5646">
        <v>23.49</v>
      </c>
      <c r="J5646">
        <v>90.67</v>
      </c>
      <c r="K5646" t="s">
        <v>32</v>
      </c>
      <c r="L5646">
        <v>885.87</v>
      </c>
      <c r="M5646">
        <f>VLOOKUP(K5646,RatingLookup!$A$2:$C$8,2,FALSE)</f>
        <v>0.12</v>
      </c>
      <c r="N5646">
        <f t="shared" si="264"/>
        <v>1.0596241035318976E-2</v>
      </c>
      <c r="O5646">
        <f>VLOOKUP(K5646,RatingLookup!$A$2:$C$8,3,FALSE)</f>
        <v>0.7</v>
      </c>
      <c r="P5646">
        <f t="shared" si="265"/>
        <v>6.570824432170614</v>
      </c>
      <c r="Q5646" t="str">
        <f t="shared" ca="1" si="266"/>
        <v>No</v>
      </c>
    </row>
    <row r="5647" spans="1:17" x14ac:dyDescent="0.45">
      <c r="A5647" t="s">
        <v>225</v>
      </c>
      <c r="B5647" t="s">
        <v>226</v>
      </c>
      <c r="C5647" t="s">
        <v>19</v>
      </c>
      <c r="D5647" t="s">
        <v>188</v>
      </c>
      <c r="E5647" t="s">
        <v>21</v>
      </c>
      <c r="F5647" s="1">
        <v>43983</v>
      </c>
      <c r="G5647">
        <v>1.05</v>
      </c>
      <c r="H5647">
        <v>83.516900000000007</v>
      </c>
      <c r="I5647">
        <v>26.49</v>
      </c>
      <c r="J5647">
        <v>76.459999999999994</v>
      </c>
      <c r="K5647" t="s">
        <v>32</v>
      </c>
      <c r="L5647">
        <v>923.84</v>
      </c>
      <c r="M5647">
        <f>VLOOKUP(K5647,RatingLookup!$A$2:$C$8,2,FALSE)</f>
        <v>0.12</v>
      </c>
      <c r="N5647">
        <f t="shared" si="264"/>
        <v>1.0596241035318976E-2</v>
      </c>
      <c r="O5647">
        <f>VLOOKUP(K5647,RatingLookup!$A$2:$C$8,3,FALSE)</f>
        <v>0.7</v>
      </c>
      <c r="P5647">
        <f t="shared" si="265"/>
        <v>6.8524619226483576</v>
      </c>
      <c r="Q5647" t="str">
        <f t="shared" ca="1" si="266"/>
        <v>No</v>
      </c>
    </row>
    <row r="5648" spans="1:17" x14ac:dyDescent="0.45">
      <c r="A5648" t="s">
        <v>225</v>
      </c>
      <c r="B5648" t="s">
        <v>226</v>
      </c>
      <c r="C5648" t="s">
        <v>19</v>
      </c>
      <c r="D5648" t="s">
        <v>188</v>
      </c>
      <c r="E5648" t="s">
        <v>21</v>
      </c>
      <c r="F5648" s="1">
        <v>44013</v>
      </c>
      <c r="G5648">
        <v>0.89</v>
      </c>
      <c r="H5648">
        <v>79.873800000000003</v>
      </c>
      <c r="I5648">
        <v>16.52</v>
      </c>
      <c r="J5648">
        <v>79.16</v>
      </c>
      <c r="K5648" t="s">
        <v>32</v>
      </c>
      <c r="L5648">
        <v>959.98</v>
      </c>
      <c r="M5648">
        <f>VLOOKUP(K5648,RatingLookup!$A$2:$C$8,2,FALSE)</f>
        <v>0.12</v>
      </c>
      <c r="N5648">
        <f t="shared" si="264"/>
        <v>1.0596241035318976E-2</v>
      </c>
      <c r="O5648">
        <f>VLOOKUP(K5648,RatingLookup!$A$2:$C$8,3,FALSE)</f>
        <v>0.7</v>
      </c>
      <c r="P5648">
        <f t="shared" si="265"/>
        <v>7.1205256283598573</v>
      </c>
      <c r="Q5648" t="str">
        <f t="shared" ca="1" si="266"/>
        <v>No</v>
      </c>
    </row>
    <row r="5649" spans="1:17" x14ac:dyDescent="0.45">
      <c r="A5649" t="s">
        <v>225</v>
      </c>
      <c r="B5649" t="s">
        <v>226</v>
      </c>
      <c r="C5649" t="s">
        <v>19</v>
      </c>
      <c r="D5649" t="s">
        <v>188</v>
      </c>
      <c r="E5649" t="s">
        <v>21</v>
      </c>
      <c r="F5649" s="1">
        <v>44044</v>
      </c>
      <c r="G5649">
        <v>2.94</v>
      </c>
      <c r="H5649">
        <v>78.152900000000002</v>
      </c>
      <c r="I5649">
        <v>16.850000000000001</v>
      </c>
      <c r="J5649">
        <v>75.599999999999994</v>
      </c>
      <c r="K5649" t="s">
        <v>32</v>
      </c>
      <c r="L5649">
        <v>943.15</v>
      </c>
      <c r="M5649">
        <f>VLOOKUP(K5649,RatingLookup!$A$2:$C$8,2,FALSE)</f>
        <v>0.12</v>
      </c>
      <c r="N5649">
        <f t="shared" si="264"/>
        <v>1.0596241035318976E-2</v>
      </c>
      <c r="O5649">
        <f>VLOOKUP(K5649,RatingLookup!$A$2:$C$8,3,FALSE)</f>
        <v>0.7</v>
      </c>
      <c r="P5649">
        <f t="shared" si="265"/>
        <v>6.995691312722764</v>
      </c>
      <c r="Q5649" t="str">
        <f t="shared" ca="1" si="266"/>
        <v>No</v>
      </c>
    </row>
    <row r="5650" spans="1:17" x14ac:dyDescent="0.45">
      <c r="A5650" t="s">
        <v>225</v>
      </c>
      <c r="B5650" t="s">
        <v>226</v>
      </c>
      <c r="C5650" t="s">
        <v>19</v>
      </c>
      <c r="D5650" t="s">
        <v>188</v>
      </c>
      <c r="E5650" t="s">
        <v>21</v>
      </c>
      <c r="F5650" s="1">
        <v>44075</v>
      </c>
      <c r="G5650">
        <v>1.55</v>
      </c>
      <c r="H5650">
        <v>84.663799999999995</v>
      </c>
      <c r="I5650">
        <v>8.66</v>
      </c>
      <c r="J5650">
        <v>78.3</v>
      </c>
      <c r="K5650" t="s">
        <v>32</v>
      </c>
      <c r="L5650">
        <v>842.72</v>
      </c>
      <c r="M5650">
        <f>VLOOKUP(K5650,RatingLookup!$A$2:$C$8,2,FALSE)</f>
        <v>0.12</v>
      </c>
      <c r="N5650">
        <f t="shared" si="264"/>
        <v>1.0596241035318976E-2</v>
      </c>
      <c r="O5650">
        <f>VLOOKUP(K5650,RatingLookup!$A$2:$C$8,3,FALSE)</f>
        <v>0.7</v>
      </c>
      <c r="P5650">
        <f t="shared" si="265"/>
        <v>6.2507649716988043</v>
      </c>
      <c r="Q5650" t="str">
        <f t="shared" ca="1" si="266"/>
        <v>No</v>
      </c>
    </row>
    <row r="5651" spans="1:17" x14ac:dyDescent="0.45">
      <c r="A5651" t="s">
        <v>225</v>
      </c>
      <c r="B5651" t="s">
        <v>226</v>
      </c>
      <c r="C5651" t="s">
        <v>19</v>
      </c>
      <c r="D5651" t="s">
        <v>188</v>
      </c>
      <c r="E5651" t="s">
        <v>21</v>
      </c>
      <c r="F5651" s="1">
        <v>44105</v>
      </c>
      <c r="G5651">
        <v>2.34</v>
      </c>
      <c r="H5651">
        <v>84.210700000000003</v>
      </c>
      <c r="I5651">
        <v>27.02</v>
      </c>
      <c r="J5651">
        <v>66.69</v>
      </c>
      <c r="K5651" t="s">
        <v>32</v>
      </c>
      <c r="L5651">
        <v>911.03</v>
      </c>
      <c r="M5651">
        <f>VLOOKUP(K5651,RatingLookup!$A$2:$C$8,2,FALSE)</f>
        <v>0.12</v>
      </c>
      <c r="N5651">
        <f t="shared" si="264"/>
        <v>1.0596241035318976E-2</v>
      </c>
      <c r="O5651">
        <f>VLOOKUP(K5651,RatingLookup!$A$2:$C$8,3,FALSE)</f>
        <v>0.7</v>
      </c>
      <c r="P5651">
        <f t="shared" si="265"/>
        <v>6.757445429284652</v>
      </c>
      <c r="Q5651" t="str">
        <f t="shared" ca="1" si="266"/>
        <v>No</v>
      </c>
    </row>
    <row r="5652" spans="1:17" x14ac:dyDescent="0.45">
      <c r="A5652" t="s">
        <v>225</v>
      </c>
      <c r="B5652" t="s">
        <v>226</v>
      </c>
      <c r="C5652" t="s">
        <v>19</v>
      </c>
      <c r="D5652" t="s">
        <v>188</v>
      </c>
      <c r="E5652" t="s">
        <v>21</v>
      </c>
      <c r="F5652" s="1">
        <v>44136</v>
      </c>
      <c r="G5652">
        <v>1.79</v>
      </c>
      <c r="H5652">
        <v>84.044399999999996</v>
      </c>
      <c r="I5652">
        <v>16.21</v>
      </c>
      <c r="J5652">
        <v>66.37</v>
      </c>
      <c r="K5652" t="s">
        <v>32</v>
      </c>
      <c r="L5652">
        <v>877.83</v>
      </c>
      <c r="M5652">
        <f>VLOOKUP(K5652,RatingLookup!$A$2:$C$8,2,FALSE)</f>
        <v>0.12</v>
      </c>
      <c r="N5652">
        <f t="shared" si="264"/>
        <v>1.0596241035318976E-2</v>
      </c>
      <c r="O5652">
        <f>VLOOKUP(K5652,RatingLookup!$A$2:$C$8,3,FALSE)</f>
        <v>0.7</v>
      </c>
      <c r="P5652">
        <f t="shared" si="265"/>
        <v>6.5111887876238397</v>
      </c>
      <c r="Q5652" t="str">
        <f t="shared" ca="1" si="266"/>
        <v>No</v>
      </c>
    </row>
    <row r="5653" spans="1:17" x14ac:dyDescent="0.45">
      <c r="A5653" t="s">
        <v>225</v>
      </c>
      <c r="B5653" t="s">
        <v>226</v>
      </c>
      <c r="C5653" t="s">
        <v>19</v>
      </c>
      <c r="D5653" t="s">
        <v>188</v>
      </c>
      <c r="E5653" t="s">
        <v>21</v>
      </c>
      <c r="F5653" s="1">
        <v>44166</v>
      </c>
      <c r="G5653">
        <v>1.45</v>
      </c>
      <c r="H5653">
        <v>82.160899999999998</v>
      </c>
      <c r="I5653">
        <v>27.33</v>
      </c>
      <c r="J5653">
        <v>65.12</v>
      </c>
      <c r="K5653" t="s">
        <v>32</v>
      </c>
      <c r="L5653">
        <v>878.8</v>
      </c>
      <c r="M5653">
        <f>VLOOKUP(K5653,RatingLookup!$A$2:$C$8,2,FALSE)</f>
        <v>0.12</v>
      </c>
      <c r="N5653">
        <f t="shared" si="264"/>
        <v>1.0596241035318976E-2</v>
      </c>
      <c r="O5653">
        <f>VLOOKUP(K5653,RatingLookup!$A$2:$C$8,3,FALSE)</f>
        <v>0.7</v>
      </c>
      <c r="P5653">
        <f t="shared" si="265"/>
        <v>6.5183836352868205</v>
      </c>
      <c r="Q5653" t="str">
        <f t="shared" ca="1" si="266"/>
        <v>No</v>
      </c>
    </row>
    <row r="5654" spans="1:17" x14ac:dyDescent="0.45">
      <c r="A5654" t="s">
        <v>225</v>
      </c>
      <c r="B5654" t="s">
        <v>226</v>
      </c>
      <c r="C5654" t="s">
        <v>19</v>
      </c>
      <c r="D5654" t="s">
        <v>188</v>
      </c>
      <c r="E5654" t="s">
        <v>21</v>
      </c>
      <c r="F5654" s="1">
        <v>44197</v>
      </c>
      <c r="G5654">
        <v>-0.33</v>
      </c>
      <c r="H5654">
        <v>80.700800000000001</v>
      </c>
      <c r="I5654">
        <v>16.670000000000002</v>
      </c>
      <c r="J5654">
        <v>78.02</v>
      </c>
      <c r="K5654" t="s">
        <v>32</v>
      </c>
      <c r="L5654">
        <v>869.18</v>
      </c>
      <c r="M5654">
        <f>VLOOKUP(K5654,RatingLookup!$A$2:$C$8,2,FALSE)</f>
        <v>0.12</v>
      </c>
      <c r="N5654">
        <f t="shared" si="264"/>
        <v>1.0596241035318976E-2</v>
      </c>
      <c r="O5654">
        <f>VLOOKUP(K5654,RatingLookup!$A$2:$C$8,3,FALSE)</f>
        <v>0.7</v>
      </c>
      <c r="P5654">
        <f t="shared" si="265"/>
        <v>6.4470285481549823</v>
      </c>
      <c r="Q5654" t="str">
        <f t="shared" ca="1" si="266"/>
        <v>No</v>
      </c>
    </row>
    <row r="5655" spans="1:17" x14ac:dyDescent="0.45">
      <c r="A5655" t="s">
        <v>225</v>
      </c>
      <c r="B5655" t="s">
        <v>226</v>
      </c>
      <c r="C5655" t="s">
        <v>19</v>
      </c>
      <c r="D5655" t="s">
        <v>188</v>
      </c>
      <c r="E5655" t="s">
        <v>21</v>
      </c>
      <c r="F5655" s="1">
        <v>44228</v>
      </c>
      <c r="G5655">
        <v>2.5</v>
      </c>
      <c r="H5655">
        <v>80.7316</v>
      </c>
      <c r="I5655">
        <v>14.14</v>
      </c>
      <c r="J5655">
        <v>65.569999999999993</v>
      </c>
      <c r="K5655" t="s">
        <v>32</v>
      </c>
      <c r="L5655">
        <v>965.71</v>
      </c>
      <c r="M5655">
        <f>VLOOKUP(K5655,RatingLookup!$A$2:$C$8,2,FALSE)</f>
        <v>0.12</v>
      </c>
      <c r="N5655">
        <f t="shared" si="264"/>
        <v>1.0596241035318976E-2</v>
      </c>
      <c r="O5655">
        <f>VLOOKUP(K5655,RatingLookup!$A$2:$C$8,3,FALSE)</f>
        <v>0.7</v>
      </c>
      <c r="P5655">
        <f t="shared" si="265"/>
        <v>7.1630271511525221</v>
      </c>
      <c r="Q5655" t="str">
        <f t="shared" ca="1" si="266"/>
        <v>No</v>
      </c>
    </row>
    <row r="5656" spans="1:17" x14ac:dyDescent="0.45">
      <c r="A5656" t="s">
        <v>225</v>
      </c>
      <c r="B5656" t="s">
        <v>226</v>
      </c>
      <c r="C5656" t="s">
        <v>19</v>
      </c>
      <c r="D5656" t="s">
        <v>188</v>
      </c>
      <c r="E5656" t="s">
        <v>21</v>
      </c>
      <c r="F5656" s="1">
        <v>44256</v>
      </c>
      <c r="G5656">
        <v>1.19</v>
      </c>
      <c r="H5656">
        <v>81.781499999999994</v>
      </c>
      <c r="I5656">
        <v>24.45</v>
      </c>
      <c r="J5656">
        <v>79.58</v>
      </c>
      <c r="K5656" t="s">
        <v>32</v>
      </c>
      <c r="L5656">
        <v>928.11</v>
      </c>
      <c r="M5656">
        <f>VLOOKUP(K5656,RatingLookup!$A$2:$C$8,2,FALSE)</f>
        <v>0.12</v>
      </c>
      <c r="N5656">
        <f t="shared" si="264"/>
        <v>1.0596241035318976E-2</v>
      </c>
      <c r="O5656">
        <f>VLOOKUP(K5656,RatingLookup!$A$2:$C$8,3,FALSE)</f>
        <v>0.7</v>
      </c>
      <c r="P5656">
        <f t="shared" si="265"/>
        <v>6.8841340871029262</v>
      </c>
      <c r="Q5656" t="str">
        <f t="shared" ca="1" si="266"/>
        <v>No</v>
      </c>
    </row>
    <row r="5657" spans="1:17" x14ac:dyDescent="0.45">
      <c r="A5657" t="s">
        <v>225</v>
      </c>
      <c r="B5657" t="s">
        <v>226</v>
      </c>
      <c r="C5657" t="s">
        <v>19</v>
      </c>
      <c r="D5657" t="s">
        <v>188</v>
      </c>
      <c r="E5657" t="s">
        <v>21</v>
      </c>
      <c r="F5657" s="1">
        <v>44287</v>
      </c>
      <c r="G5657">
        <v>1.69</v>
      </c>
      <c r="H5657">
        <v>80.5989</v>
      </c>
      <c r="I5657">
        <v>20.52</v>
      </c>
      <c r="J5657">
        <v>69.27</v>
      </c>
      <c r="K5657" t="s">
        <v>32</v>
      </c>
      <c r="L5657">
        <v>895.05</v>
      </c>
      <c r="M5657">
        <f>VLOOKUP(K5657,RatingLookup!$A$2:$C$8,2,FALSE)</f>
        <v>0.12</v>
      </c>
      <c r="N5657">
        <f t="shared" si="264"/>
        <v>1.0596241035318976E-2</v>
      </c>
      <c r="O5657">
        <f>VLOOKUP(K5657,RatingLookup!$A$2:$C$8,3,FALSE)</f>
        <v>0.7</v>
      </c>
      <c r="P5657">
        <f t="shared" si="265"/>
        <v>6.6389158770635746</v>
      </c>
      <c r="Q5657" t="str">
        <f t="shared" ca="1" si="266"/>
        <v>No</v>
      </c>
    </row>
    <row r="5658" spans="1:17" x14ac:dyDescent="0.45">
      <c r="A5658" t="s">
        <v>225</v>
      </c>
      <c r="B5658" t="s">
        <v>226</v>
      </c>
      <c r="C5658" t="s">
        <v>19</v>
      </c>
      <c r="D5658" t="s">
        <v>188</v>
      </c>
      <c r="E5658" t="s">
        <v>21</v>
      </c>
      <c r="F5658" s="1">
        <v>44317</v>
      </c>
      <c r="G5658">
        <v>1.66</v>
      </c>
      <c r="H5658">
        <v>85.08</v>
      </c>
      <c r="I5658">
        <v>23.45</v>
      </c>
      <c r="J5658">
        <v>92.59</v>
      </c>
      <c r="K5658" t="s">
        <v>32</v>
      </c>
      <c r="L5658">
        <v>917.18</v>
      </c>
      <c r="M5658">
        <f>VLOOKUP(K5658,RatingLookup!$A$2:$C$8,2,FALSE)</f>
        <v>0.12</v>
      </c>
      <c r="N5658">
        <f t="shared" si="264"/>
        <v>1.0596241035318976E-2</v>
      </c>
      <c r="O5658">
        <f>VLOOKUP(K5658,RatingLookup!$A$2:$C$8,3,FALSE)</f>
        <v>0.7</v>
      </c>
      <c r="P5658">
        <f t="shared" si="265"/>
        <v>6.8030622469417006</v>
      </c>
      <c r="Q5658" t="str">
        <f t="shared" ca="1" si="266"/>
        <v>No</v>
      </c>
    </row>
    <row r="5659" spans="1:17" x14ac:dyDescent="0.45">
      <c r="A5659" t="s">
        <v>225</v>
      </c>
      <c r="B5659" t="s">
        <v>226</v>
      </c>
      <c r="C5659" t="s">
        <v>19</v>
      </c>
      <c r="D5659" t="s">
        <v>188</v>
      </c>
      <c r="E5659" t="s">
        <v>21</v>
      </c>
      <c r="F5659" s="1">
        <v>44348</v>
      </c>
      <c r="G5659">
        <v>1.57</v>
      </c>
      <c r="H5659">
        <v>85.476799999999997</v>
      </c>
      <c r="I5659">
        <v>14.97</v>
      </c>
      <c r="J5659">
        <v>81.16</v>
      </c>
      <c r="K5659" t="s">
        <v>32</v>
      </c>
      <c r="L5659">
        <v>962.38</v>
      </c>
      <c r="M5659">
        <f>VLOOKUP(K5659,RatingLookup!$A$2:$C$8,2,FALSE)</f>
        <v>0.12</v>
      </c>
      <c r="N5659">
        <f t="shared" si="264"/>
        <v>1.0596241035318976E-2</v>
      </c>
      <c r="O5659">
        <f>VLOOKUP(K5659,RatingLookup!$A$2:$C$8,3,FALSE)</f>
        <v>0.7</v>
      </c>
      <c r="P5659">
        <f t="shared" si="265"/>
        <v>7.1383273132991931</v>
      </c>
      <c r="Q5659" t="str">
        <f t="shared" ca="1" si="266"/>
        <v>No</v>
      </c>
    </row>
    <row r="5660" spans="1:17" x14ac:dyDescent="0.45">
      <c r="A5660" t="s">
        <v>225</v>
      </c>
      <c r="B5660" t="s">
        <v>226</v>
      </c>
      <c r="C5660" t="s">
        <v>19</v>
      </c>
      <c r="D5660" t="s">
        <v>188</v>
      </c>
      <c r="E5660" t="s">
        <v>21</v>
      </c>
      <c r="F5660" s="1">
        <v>44378</v>
      </c>
      <c r="G5660">
        <v>1.86</v>
      </c>
      <c r="H5660">
        <v>76.791499999999999</v>
      </c>
      <c r="I5660">
        <v>15.15</v>
      </c>
      <c r="J5660">
        <v>65.650000000000006</v>
      </c>
      <c r="K5660" t="s">
        <v>32</v>
      </c>
      <c r="L5660">
        <v>886.58</v>
      </c>
      <c r="M5660">
        <f>VLOOKUP(K5660,RatingLookup!$A$2:$C$8,2,FALSE)</f>
        <v>0.12</v>
      </c>
      <c r="N5660">
        <f t="shared" si="264"/>
        <v>1.0596241035318976E-2</v>
      </c>
      <c r="O5660">
        <f>VLOOKUP(K5660,RatingLookup!$A$2:$C$8,3,FALSE)</f>
        <v>0.7</v>
      </c>
      <c r="P5660">
        <f t="shared" si="265"/>
        <v>6.5760907639651682</v>
      </c>
      <c r="Q5660" t="str">
        <f t="shared" ca="1" si="266"/>
        <v>No</v>
      </c>
    </row>
    <row r="5661" spans="1:17" x14ac:dyDescent="0.45">
      <c r="A5661" t="s">
        <v>225</v>
      </c>
      <c r="B5661" t="s">
        <v>226</v>
      </c>
      <c r="C5661" t="s">
        <v>19</v>
      </c>
      <c r="D5661" t="s">
        <v>188</v>
      </c>
      <c r="E5661" t="s">
        <v>21</v>
      </c>
      <c r="F5661" s="1">
        <v>44409</v>
      </c>
      <c r="G5661">
        <v>1.25</v>
      </c>
      <c r="H5661">
        <v>82.286600000000007</v>
      </c>
      <c r="I5661">
        <v>23.82</v>
      </c>
      <c r="J5661">
        <v>89.1</v>
      </c>
      <c r="K5661" t="s">
        <v>32</v>
      </c>
      <c r="L5661">
        <v>917.08</v>
      </c>
      <c r="M5661">
        <f>VLOOKUP(K5661,RatingLookup!$A$2:$C$8,2,FALSE)</f>
        <v>0.12</v>
      </c>
      <c r="N5661">
        <f t="shared" si="264"/>
        <v>1.0596241035318976E-2</v>
      </c>
      <c r="O5661">
        <f>VLOOKUP(K5661,RatingLookup!$A$2:$C$8,3,FALSE)</f>
        <v>0.7</v>
      </c>
      <c r="P5661">
        <f t="shared" si="265"/>
        <v>6.8023205100692286</v>
      </c>
      <c r="Q5661" t="str">
        <f t="shared" ca="1" si="266"/>
        <v>No</v>
      </c>
    </row>
    <row r="5662" spans="1:17" x14ac:dyDescent="0.45">
      <c r="A5662" t="s">
        <v>225</v>
      </c>
      <c r="B5662" t="s">
        <v>226</v>
      </c>
      <c r="C5662" t="s">
        <v>19</v>
      </c>
      <c r="D5662" t="s">
        <v>188</v>
      </c>
      <c r="E5662" t="s">
        <v>21</v>
      </c>
      <c r="F5662" s="1">
        <v>44440</v>
      </c>
      <c r="G5662">
        <v>1.45</v>
      </c>
      <c r="H5662">
        <v>86.064999999999998</v>
      </c>
      <c r="I5662">
        <v>18.8</v>
      </c>
      <c r="J5662">
        <v>79.48</v>
      </c>
      <c r="K5662" t="s">
        <v>32</v>
      </c>
      <c r="L5662">
        <v>865.71</v>
      </c>
      <c r="M5662">
        <f>VLOOKUP(K5662,RatingLookup!$A$2:$C$8,2,FALSE)</f>
        <v>0.12</v>
      </c>
      <c r="N5662">
        <f t="shared" si="264"/>
        <v>1.0596241035318976E-2</v>
      </c>
      <c r="O5662">
        <f>VLOOKUP(K5662,RatingLookup!$A$2:$C$8,3,FALSE)</f>
        <v>0.7</v>
      </c>
      <c r="P5662">
        <f t="shared" si="265"/>
        <v>6.4212902786801926</v>
      </c>
      <c r="Q5662" t="str">
        <f t="shared" ca="1" si="266"/>
        <v>No</v>
      </c>
    </row>
    <row r="5663" spans="1:17" x14ac:dyDescent="0.45">
      <c r="A5663" t="s">
        <v>225</v>
      </c>
      <c r="B5663" t="s">
        <v>226</v>
      </c>
      <c r="C5663" t="s">
        <v>19</v>
      </c>
      <c r="D5663" t="s">
        <v>188</v>
      </c>
      <c r="E5663" t="s">
        <v>21</v>
      </c>
      <c r="F5663" s="1">
        <v>44470</v>
      </c>
      <c r="G5663">
        <v>1.72</v>
      </c>
      <c r="H5663">
        <v>83.474699999999999</v>
      </c>
      <c r="I5663">
        <v>23.62</v>
      </c>
      <c r="J5663">
        <v>74.849999999999994</v>
      </c>
      <c r="K5663" t="s">
        <v>32</v>
      </c>
      <c r="L5663">
        <v>875.73</v>
      </c>
      <c r="M5663">
        <f>VLOOKUP(K5663,RatingLookup!$A$2:$C$8,2,FALSE)</f>
        <v>0.12</v>
      </c>
      <c r="N5663">
        <f t="shared" si="264"/>
        <v>1.0596241035318976E-2</v>
      </c>
      <c r="O5663">
        <f>VLOOKUP(K5663,RatingLookup!$A$2:$C$8,3,FALSE)</f>
        <v>0.7</v>
      </c>
      <c r="P5663">
        <f t="shared" si="265"/>
        <v>6.4956123133019208</v>
      </c>
      <c r="Q5663" t="str">
        <f t="shared" ca="1" si="266"/>
        <v>No</v>
      </c>
    </row>
    <row r="5664" spans="1:17" x14ac:dyDescent="0.45">
      <c r="A5664" t="s">
        <v>225</v>
      </c>
      <c r="B5664" t="s">
        <v>226</v>
      </c>
      <c r="C5664" t="s">
        <v>19</v>
      </c>
      <c r="D5664" t="s">
        <v>188</v>
      </c>
      <c r="E5664" t="s">
        <v>21</v>
      </c>
      <c r="F5664" s="1">
        <v>44501</v>
      </c>
      <c r="G5664">
        <v>1.3</v>
      </c>
      <c r="H5664">
        <v>80.339100000000002</v>
      </c>
      <c r="I5664">
        <v>15.97</v>
      </c>
      <c r="J5664">
        <v>93.08</v>
      </c>
      <c r="K5664" t="s">
        <v>32</v>
      </c>
      <c r="L5664">
        <v>864.59</v>
      </c>
      <c r="M5664">
        <f>VLOOKUP(K5664,RatingLookup!$A$2:$C$8,2,FALSE)</f>
        <v>0.12</v>
      </c>
      <c r="N5664">
        <f t="shared" si="264"/>
        <v>1.0596241035318976E-2</v>
      </c>
      <c r="O5664">
        <f>VLOOKUP(K5664,RatingLookup!$A$2:$C$8,3,FALSE)</f>
        <v>0.7</v>
      </c>
      <c r="P5664">
        <f t="shared" si="265"/>
        <v>6.4129828257085038</v>
      </c>
      <c r="Q5664" t="str">
        <f t="shared" ca="1" si="266"/>
        <v>No</v>
      </c>
    </row>
    <row r="5665" spans="1:17" x14ac:dyDescent="0.45">
      <c r="A5665" t="s">
        <v>225</v>
      </c>
      <c r="B5665" t="s">
        <v>226</v>
      </c>
      <c r="C5665" t="s">
        <v>19</v>
      </c>
      <c r="D5665" t="s">
        <v>188</v>
      </c>
      <c r="E5665" t="s">
        <v>21</v>
      </c>
      <c r="F5665" s="1">
        <v>44531</v>
      </c>
      <c r="G5665">
        <v>0.9</v>
      </c>
      <c r="H5665">
        <v>79.402699999999996</v>
      </c>
      <c r="I5665">
        <v>9.98</v>
      </c>
      <c r="J5665">
        <v>83.04</v>
      </c>
      <c r="K5665" t="s">
        <v>32</v>
      </c>
      <c r="L5665">
        <v>922.6</v>
      </c>
      <c r="M5665">
        <f>VLOOKUP(K5665,RatingLookup!$A$2:$C$8,2,FALSE)</f>
        <v>0.12</v>
      </c>
      <c r="N5665">
        <f t="shared" si="264"/>
        <v>1.0596241035318976E-2</v>
      </c>
      <c r="O5665">
        <f>VLOOKUP(K5665,RatingLookup!$A$2:$C$8,3,FALSE)</f>
        <v>0.7</v>
      </c>
      <c r="P5665">
        <f t="shared" si="265"/>
        <v>6.8432643854297019</v>
      </c>
      <c r="Q5665" t="str">
        <f t="shared" ca="1" si="266"/>
        <v>No</v>
      </c>
    </row>
    <row r="5666" spans="1:17" x14ac:dyDescent="0.45">
      <c r="A5666" t="s">
        <v>225</v>
      </c>
      <c r="B5666" t="s">
        <v>226</v>
      </c>
      <c r="C5666" t="s">
        <v>19</v>
      </c>
      <c r="D5666" t="s">
        <v>188</v>
      </c>
      <c r="E5666" t="s">
        <v>21</v>
      </c>
      <c r="F5666" s="1">
        <v>44562</v>
      </c>
      <c r="G5666">
        <v>0.79</v>
      </c>
      <c r="H5666">
        <v>83.827299999999994</v>
      </c>
      <c r="I5666">
        <v>12.21</v>
      </c>
      <c r="J5666">
        <v>75.75</v>
      </c>
      <c r="K5666" t="s">
        <v>32</v>
      </c>
      <c r="L5666">
        <v>867.54</v>
      </c>
      <c r="M5666">
        <f>VLOOKUP(K5666,RatingLookup!$A$2:$C$8,2,FALSE)</f>
        <v>0.12</v>
      </c>
      <c r="N5666">
        <f t="shared" si="264"/>
        <v>1.0596241035318976E-2</v>
      </c>
      <c r="O5666">
        <f>VLOOKUP(K5666,RatingLookup!$A$2:$C$8,3,FALSE)</f>
        <v>0.7</v>
      </c>
      <c r="P5666">
        <f t="shared" si="265"/>
        <v>6.4348640634464367</v>
      </c>
      <c r="Q5666" t="str">
        <f t="shared" ca="1" si="266"/>
        <v>No</v>
      </c>
    </row>
    <row r="5667" spans="1:17" x14ac:dyDescent="0.45">
      <c r="A5667" t="s">
        <v>225</v>
      </c>
      <c r="B5667" t="s">
        <v>226</v>
      </c>
      <c r="C5667" t="s">
        <v>19</v>
      </c>
      <c r="D5667" t="s">
        <v>188</v>
      </c>
      <c r="E5667" t="s">
        <v>21</v>
      </c>
      <c r="F5667" s="1">
        <v>44593</v>
      </c>
      <c r="G5667">
        <v>2.4900000000000002</v>
      </c>
      <c r="H5667">
        <v>84.096800000000002</v>
      </c>
      <c r="I5667">
        <v>20.38</v>
      </c>
      <c r="J5667">
        <v>84.3</v>
      </c>
      <c r="K5667" t="s">
        <v>32</v>
      </c>
      <c r="L5667">
        <v>837.79</v>
      </c>
      <c r="M5667">
        <f>VLOOKUP(K5667,RatingLookup!$A$2:$C$8,2,FALSE)</f>
        <v>0.12</v>
      </c>
      <c r="N5667">
        <f t="shared" si="264"/>
        <v>1.0596241035318976E-2</v>
      </c>
      <c r="O5667">
        <f>VLOOKUP(K5667,RatingLookup!$A$2:$C$8,3,FALSE)</f>
        <v>0.7</v>
      </c>
      <c r="P5667">
        <f t="shared" si="265"/>
        <v>6.2141973438859184</v>
      </c>
      <c r="Q5667" t="str">
        <f t="shared" ca="1" si="266"/>
        <v>No</v>
      </c>
    </row>
    <row r="5668" spans="1:17" x14ac:dyDescent="0.45">
      <c r="A5668" t="s">
        <v>225</v>
      </c>
      <c r="B5668" t="s">
        <v>226</v>
      </c>
      <c r="C5668" t="s">
        <v>19</v>
      </c>
      <c r="D5668" t="s">
        <v>188</v>
      </c>
      <c r="E5668" t="s">
        <v>21</v>
      </c>
      <c r="F5668" s="1">
        <v>44621</v>
      </c>
      <c r="G5668">
        <v>1.1499999999999999</v>
      </c>
      <c r="H5668">
        <v>82.518699999999995</v>
      </c>
      <c r="I5668">
        <v>8.75</v>
      </c>
      <c r="J5668">
        <v>72.41</v>
      </c>
      <c r="K5668" t="s">
        <v>32</v>
      </c>
      <c r="L5668">
        <v>889.67</v>
      </c>
      <c r="M5668">
        <f>VLOOKUP(K5668,RatingLookup!$A$2:$C$8,2,FALSE)</f>
        <v>0.12</v>
      </c>
      <c r="N5668">
        <f t="shared" si="264"/>
        <v>1.0596241035318976E-2</v>
      </c>
      <c r="O5668">
        <f>VLOOKUP(K5668,RatingLookup!$A$2:$C$8,3,FALSE)</f>
        <v>0.7</v>
      </c>
      <c r="P5668">
        <f t="shared" si="265"/>
        <v>6.5990104333245636</v>
      </c>
      <c r="Q5668" t="str">
        <f t="shared" ca="1" si="266"/>
        <v>No</v>
      </c>
    </row>
    <row r="5669" spans="1:17" x14ac:dyDescent="0.45">
      <c r="A5669" t="s">
        <v>225</v>
      </c>
      <c r="B5669" t="s">
        <v>226</v>
      </c>
      <c r="C5669" t="s">
        <v>19</v>
      </c>
      <c r="D5669" t="s">
        <v>188</v>
      </c>
      <c r="E5669" t="s">
        <v>21</v>
      </c>
      <c r="F5669" s="1">
        <v>44652</v>
      </c>
      <c r="G5669">
        <v>2.0499999999999998</v>
      </c>
      <c r="H5669">
        <v>81.238399999999999</v>
      </c>
      <c r="I5669">
        <v>25.2</v>
      </c>
      <c r="J5669">
        <v>73.19</v>
      </c>
      <c r="K5669" t="s">
        <v>32</v>
      </c>
      <c r="L5669">
        <v>947.13</v>
      </c>
      <c r="M5669">
        <f>VLOOKUP(K5669,RatingLookup!$A$2:$C$8,2,FALSE)</f>
        <v>0.12</v>
      </c>
      <c r="N5669">
        <f t="shared" si="264"/>
        <v>1.0596241035318976E-2</v>
      </c>
      <c r="O5669">
        <f>VLOOKUP(K5669,RatingLookup!$A$2:$C$8,3,FALSE)</f>
        <v>0.7</v>
      </c>
      <c r="P5669">
        <f t="shared" si="265"/>
        <v>7.025212440247163</v>
      </c>
      <c r="Q5669" t="str">
        <f t="shared" ca="1" si="266"/>
        <v>No</v>
      </c>
    </row>
    <row r="5670" spans="1:17" x14ac:dyDescent="0.45">
      <c r="A5670" t="s">
        <v>225</v>
      </c>
      <c r="B5670" t="s">
        <v>226</v>
      </c>
      <c r="C5670" t="s">
        <v>19</v>
      </c>
      <c r="D5670" t="s">
        <v>188</v>
      </c>
      <c r="E5670" t="s">
        <v>21</v>
      </c>
      <c r="F5670" s="1">
        <v>44682</v>
      </c>
      <c r="G5670">
        <v>1.54</v>
      </c>
      <c r="H5670">
        <v>82.289299999999997</v>
      </c>
      <c r="I5670">
        <v>10.69</v>
      </c>
      <c r="J5670">
        <v>61.67</v>
      </c>
      <c r="K5670" t="s">
        <v>32</v>
      </c>
      <c r="L5670">
        <v>916.05</v>
      </c>
      <c r="M5670">
        <f>VLOOKUP(K5670,RatingLookup!$A$2:$C$8,2,FALSE)</f>
        <v>0.12</v>
      </c>
      <c r="N5670">
        <f t="shared" si="264"/>
        <v>1.0596241035318976E-2</v>
      </c>
      <c r="O5670">
        <f>VLOOKUP(K5670,RatingLookup!$A$2:$C$8,3,FALSE)</f>
        <v>0.7</v>
      </c>
      <c r="P5670">
        <f t="shared" si="265"/>
        <v>6.7946806202827634</v>
      </c>
      <c r="Q5670" t="str">
        <f t="shared" ca="1" si="266"/>
        <v>No</v>
      </c>
    </row>
    <row r="5671" spans="1:17" x14ac:dyDescent="0.45">
      <c r="A5671" t="s">
        <v>225</v>
      </c>
      <c r="B5671" t="s">
        <v>226</v>
      </c>
      <c r="C5671" t="s">
        <v>19</v>
      </c>
      <c r="D5671" t="s">
        <v>188</v>
      </c>
      <c r="E5671" t="s">
        <v>21</v>
      </c>
      <c r="F5671" s="1">
        <v>44713</v>
      </c>
      <c r="G5671">
        <v>1.52</v>
      </c>
      <c r="H5671">
        <v>85.926299999999998</v>
      </c>
      <c r="I5671">
        <v>24.52</v>
      </c>
      <c r="J5671">
        <v>85.36</v>
      </c>
      <c r="K5671" t="s">
        <v>32</v>
      </c>
      <c r="L5671">
        <v>980.44</v>
      </c>
      <c r="M5671">
        <f>VLOOKUP(K5671,RatingLookup!$A$2:$C$8,2,FALSE)</f>
        <v>0.12</v>
      </c>
      <c r="N5671">
        <f t="shared" si="264"/>
        <v>1.0596241035318976E-2</v>
      </c>
      <c r="O5671">
        <f>VLOOKUP(K5671,RatingLookup!$A$2:$C$8,3,FALSE)</f>
        <v>0.7</v>
      </c>
      <c r="P5671">
        <f t="shared" si="265"/>
        <v>7.2722849924676956</v>
      </c>
      <c r="Q5671" t="str">
        <f t="shared" ca="1" si="266"/>
        <v>No</v>
      </c>
    </row>
    <row r="5672" spans="1:17" x14ac:dyDescent="0.45">
      <c r="A5672" t="s">
        <v>225</v>
      </c>
      <c r="B5672" t="s">
        <v>226</v>
      </c>
      <c r="C5672" t="s">
        <v>19</v>
      </c>
      <c r="D5672" t="s">
        <v>188</v>
      </c>
      <c r="E5672" t="s">
        <v>21</v>
      </c>
      <c r="F5672" s="1">
        <v>44743</v>
      </c>
      <c r="G5672">
        <v>0.67</v>
      </c>
      <c r="H5672">
        <v>81.593800000000002</v>
      </c>
      <c r="I5672">
        <v>16.739999999999998</v>
      </c>
      <c r="J5672">
        <v>71.2</v>
      </c>
      <c r="K5672" t="s">
        <v>32</v>
      </c>
      <c r="L5672">
        <v>902.25</v>
      </c>
      <c r="M5672">
        <f>VLOOKUP(K5672,RatingLookup!$A$2:$C$8,2,FALSE)</f>
        <v>0.12</v>
      </c>
      <c r="N5672">
        <f t="shared" si="264"/>
        <v>1.0596241035318976E-2</v>
      </c>
      <c r="O5672">
        <f>VLOOKUP(K5672,RatingLookup!$A$2:$C$8,3,FALSE)</f>
        <v>0.7</v>
      </c>
      <c r="P5672">
        <f t="shared" si="265"/>
        <v>6.6923209318815813</v>
      </c>
      <c r="Q5672" t="str">
        <f t="shared" ca="1" si="266"/>
        <v>No</v>
      </c>
    </row>
    <row r="5673" spans="1:17" x14ac:dyDescent="0.45">
      <c r="A5673" t="s">
        <v>225</v>
      </c>
      <c r="B5673" t="s">
        <v>226</v>
      </c>
      <c r="C5673" t="s">
        <v>19</v>
      </c>
      <c r="D5673" t="s">
        <v>188</v>
      </c>
      <c r="E5673" t="s">
        <v>21</v>
      </c>
      <c r="F5673" s="1">
        <v>44774</v>
      </c>
      <c r="G5673">
        <v>2.79</v>
      </c>
      <c r="H5673">
        <v>82.878100000000003</v>
      </c>
      <c r="I5673">
        <v>8.57</v>
      </c>
      <c r="J5673">
        <v>71.790000000000006</v>
      </c>
      <c r="K5673" t="s">
        <v>32</v>
      </c>
      <c r="L5673">
        <v>879.74</v>
      </c>
      <c r="M5673">
        <f>VLOOKUP(K5673,RatingLookup!$A$2:$C$8,2,FALSE)</f>
        <v>0.12</v>
      </c>
      <c r="N5673">
        <f t="shared" si="264"/>
        <v>1.0596241035318976E-2</v>
      </c>
      <c r="O5673">
        <f>VLOOKUP(K5673,RatingLookup!$A$2:$C$8,3,FALSE)</f>
        <v>0.7</v>
      </c>
      <c r="P5673">
        <f t="shared" si="265"/>
        <v>6.525355961888061</v>
      </c>
      <c r="Q5673" t="str">
        <f t="shared" ca="1" si="266"/>
        <v>No</v>
      </c>
    </row>
    <row r="5674" spans="1:17" x14ac:dyDescent="0.45">
      <c r="A5674" t="s">
        <v>225</v>
      </c>
      <c r="B5674" t="s">
        <v>226</v>
      </c>
      <c r="C5674" t="s">
        <v>19</v>
      </c>
      <c r="D5674" t="s">
        <v>188</v>
      </c>
      <c r="E5674" t="s">
        <v>21</v>
      </c>
      <c r="F5674" s="1">
        <v>44805</v>
      </c>
      <c r="G5674">
        <v>2.02</v>
      </c>
      <c r="H5674">
        <v>83.512100000000004</v>
      </c>
      <c r="I5674">
        <v>25</v>
      </c>
      <c r="J5674">
        <v>71.680000000000007</v>
      </c>
      <c r="K5674" t="s">
        <v>32</v>
      </c>
      <c r="L5674">
        <v>928.85</v>
      </c>
      <c r="M5674">
        <f>VLOOKUP(K5674,RatingLookup!$A$2:$C$8,2,FALSE)</f>
        <v>0.12</v>
      </c>
      <c r="N5674">
        <f t="shared" si="264"/>
        <v>1.0596241035318976E-2</v>
      </c>
      <c r="O5674">
        <f>VLOOKUP(K5674,RatingLookup!$A$2:$C$8,3,FALSE)</f>
        <v>0.7</v>
      </c>
      <c r="P5674">
        <f t="shared" si="265"/>
        <v>6.8896229399592217</v>
      </c>
      <c r="Q5674" t="str">
        <f t="shared" ca="1" si="266"/>
        <v>No</v>
      </c>
    </row>
    <row r="5675" spans="1:17" x14ac:dyDescent="0.45">
      <c r="A5675" t="s">
        <v>225</v>
      </c>
      <c r="B5675" t="s">
        <v>226</v>
      </c>
      <c r="C5675" t="s">
        <v>19</v>
      </c>
      <c r="D5675" t="s">
        <v>188</v>
      </c>
      <c r="E5675" t="s">
        <v>21</v>
      </c>
      <c r="F5675" s="1">
        <v>44835</v>
      </c>
      <c r="G5675">
        <v>1.8</v>
      </c>
      <c r="H5675">
        <v>84.912400000000005</v>
      </c>
      <c r="I5675">
        <v>14.26</v>
      </c>
      <c r="J5675">
        <v>96.71</v>
      </c>
      <c r="K5675" t="s">
        <v>32</v>
      </c>
      <c r="L5675">
        <v>867.81</v>
      </c>
      <c r="M5675">
        <f>VLOOKUP(K5675,RatingLookup!$A$2:$C$8,2,FALSE)</f>
        <v>0.12</v>
      </c>
      <c r="N5675">
        <f t="shared" si="264"/>
        <v>1.0596241035318976E-2</v>
      </c>
      <c r="O5675">
        <f>VLOOKUP(K5675,RatingLookup!$A$2:$C$8,3,FALSE)</f>
        <v>0.7</v>
      </c>
      <c r="P5675">
        <f t="shared" si="265"/>
        <v>6.4368667530021115</v>
      </c>
      <c r="Q5675" t="str">
        <f t="shared" ca="1" si="266"/>
        <v>No</v>
      </c>
    </row>
    <row r="5676" spans="1:17" x14ac:dyDescent="0.45">
      <c r="A5676" t="s">
        <v>225</v>
      </c>
      <c r="B5676" t="s">
        <v>226</v>
      </c>
      <c r="C5676" t="s">
        <v>19</v>
      </c>
      <c r="D5676" t="s">
        <v>188</v>
      </c>
      <c r="E5676" t="s">
        <v>21</v>
      </c>
      <c r="F5676" s="1">
        <v>44866</v>
      </c>
      <c r="G5676">
        <v>0.56000000000000005</v>
      </c>
      <c r="H5676">
        <v>80.345500000000001</v>
      </c>
      <c r="I5676">
        <v>19.2</v>
      </c>
      <c r="J5676">
        <v>60.17</v>
      </c>
      <c r="K5676" t="s">
        <v>32</v>
      </c>
      <c r="L5676">
        <v>866.97</v>
      </c>
      <c r="M5676">
        <f>VLOOKUP(K5676,RatingLookup!$A$2:$C$8,2,FALSE)</f>
        <v>0.12</v>
      </c>
      <c r="N5676">
        <f t="shared" si="264"/>
        <v>1.0596241035318976E-2</v>
      </c>
      <c r="O5676">
        <f>VLOOKUP(K5676,RatingLookup!$A$2:$C$8,3,FALSE)</f>
        <v>0.7</v>
      </c>
      <c r="P5676">
        <f t="shared" si="265"/>
        <v>6.430636163273344</v>
      </c>
      <c r="Q5676" t="str">
        <f t="shared" ca="1" si="266"/>
        <v>No</v>
      </c>
    </row>
    <row r="5677" spans="1:17" x14ac:dyDescent="0.45">
      <c r="A5677" t="s">
        <v>225</v>
      </c>
      <c r="B5677" t="s">
        <v>226</v>
      </c>
      <c r="C5677" t="s">
        <v>19</v>
      </c>
      <c r="D5677" t="s">
        <v>188</v>
      </c>
      <c r="E5677" t="s">
        <v>21</v>
      </c>
      <c r="F5677" s="1">
        <v>44896</v>
      </c>
      <c r="G5677">
        <v>1.55</v>
      </c>
      <c r="H5677">
        <v>84.512900000000002</v>
      </c>
      <c r="I5677">
        <v>21.41</v>
      </c>
      <c r="J5677">
        <v>79.900000000000006</v>
      </c>
      <c r="K5677" t="s">
        <v>32</v>
      </c>
      <c r="L5677">
        <v>937</v>
      </c>
      <c r="M5677">
        <f>VLOOKUP(K5677,RatingLookup!$A$2:$C$8,2,FALSE)</f>
        <v>0.12</v>
      </c>
      <c r="N5677">
        <f t="shared" si="264"/>
        <v>1.0596241035318976E-2</v>
      </c>
      <c r="O5677">
        <f>VLOOKUP(K5677,RatingLookup!$A$2:$C$8,3,FALSE)</f>
        <v>0.7</v>
      </c>
      <c r="P5677">
        <f t="shared" si="265"/>
        <v>6.9500744950657154</v>
      </c>
      <c r="Q5677" t="str">
        <f t="shared" ca="1" si="266"/>
        <v>No</v>
      </c>
    </row>
    <row r="5678" spans="1:17" x14ac:dyDescent="0.45">
      <c r="A5678" t="s">
        <v>225</v>
      </c>
      <c r="B5678" t="s">
        <v>226</v>
      </c>
      <c r="C5678" t="s">
        <v>19</v>
      </c>
      <c r="D5678" t="s">
        <v>188</v>
      </c>
      <c r="E5678" t="s">
        <v>21</v>
      </c>
      <c r="F5678" s="1">
        <v>44927</v>
      </c>
      <c r="G5678">
        <v>1.53</v>
      </c>
      <c r="H5678">
        <v>80.242000000000004</v>
      </c>
      <c r="I5678">
        <v>20.77</v>
      </c>
      <c r="J5678">
        <v>71.44</v>
      </c>
      <c r="K5678" t="s">
        <v>32</v>
      </c>
      <c r="L5678">
        <v>920.81</v>
      </c>
      <c r="M5678">
        <f>VLOOKUP(K5678,RatingLookup!$A$2:$C$8,2,FALSE)</f>
        <v>0.12</v>
      </c>
      <c r="N5678">
        <f t="shared" si="264"/>
        <v>1.0596241035318976E-2</v>
      </c>
      <c r="O5678">
        <f>VLOOKUP(K5678,RatingLookup!$A$2:$C$8,3,FALSE)</f>
        <v>0.7</v>
      </c>
      <c r="P5678">
        <f t="shared" si="265"/>
        <v>6.8299872954124456</v>
      </c>
      <c r="Q5678" t="str">
        <f t="shared" ca="1" si="266"/>
        <v>No</v>
      </c>
    </row>
    <row r="5679" spans="1:17" x14ac:dyDescent="0.45">
      <c r="A5679" t="s">
        <v>225</v>
      </c>
      <c r="B5679" t="s">
        <v>226</v>
      </c>
      <c r="C5679" t="s">
        <v>19</v>
      </c>
      <c r="D5679" t="s">
        <v>188</v>
      </c>
      <c r="E5679" t="s">
        <v>21</v>
      </c>
      <c r="F5679" s="1">
        <v>44958</v>
      </c>
      <c r="G5679">
        <v>1.68</v>
      </c>
      <c r="H5679">
        <v>85.926500000000004</v>
      </c>
      <c r="I5679">
        <v>18.41</v>
      </c>
      <c r="J5679">
        <v>83.77</v>
      </c>
      <c r="K5679" t="s">
        <v>32</v>
      </c>
      <c r="L5679">
        <v>916.01</v>
      </c>
      <c r="M5679">
        <f>VLOOKUP(K5679,RatingLookup!$A$2:$C$8,2,FALSE)</f>
        <v>0.12</v>
      </c>
      <c r="N5679">
        <f t="shared" si="264"/>
        <v>1.0596241035318976E-2</v>
      </c>
      <c r="O5679">
        <f>VLOOKUP(K5679,RatingLookup!$A$2:$C$8,3,FALSE)</f>
        <v>0.7</v>
      </c>
      <c r="P5679">
        <f t="shared" si="265"/>
        <v>6.7943839255337748</v>
      </c>
      <c r="Q5679" t="str">
        <f t="shared" ca="1" si="266"/>
        <v>No</v>
      </c>
    </row>
    <row r="5680" spans="1:17" x14ac:dyDescent="0.45">
      <c r="A5680" t="s">
        <v>225</v>
      </c>
      <c r="B5680" t="s">
        <v>226</v>
      </c>
      <c r="C5680" t="s">
        <v>19</v>
      </c>
      <c r="D5680" t="s">
        <v>188</v>
      </c>
      <c r="E5680" t="s">
        <v>21</v>
      </c>
      <c r="F5680" s="1">
        <v>44986</v>
      </c>
      <c r="G5680">
        <v>1.38</v>
      </c>
      <c r="H5680">
        <v>79.251000000000005</v>
      </c>
      <c r="I5680">
        <v>15.69</v>
      </c>
      <c r="J5680">
        <v>73.75</v>
      </c>
      <c r="K5680" t="s">
        <v>32</v>
      </c>
      <c r="L5680">
        <v>817.36</v>
      </c>
      <c r="M5680">
        <f>VLOOKUP(K5680,RatingLookup!$A$2:$C$8,2,FALSE)</f>
        <v>0.12</v>
      </c>
      <c r="N5680">
        <f t="shared" si="264"/>
        <v>1.0596241035318976E-2</v>
      </c>
      <c r="O5680">
        <f>VLOOKUP(K5680,RatingLookup!$A$2:$C$8,3,FALSE)</f>
        <v>0.7</v>
      </c>
      <c r="P5680">
        <f t="shared" si="265"/>
        <v>6.0626605008398222</v>
      </c>
      <c r="Q5680" t="str">
        <f t="shared" ca="1" si="266"/>
        <v>No</v>
      </c>
    </row>
    <row r="5681" spans="1:17" x14ac:dyDescent="0.45">
      <c r="A5681" t="s">
        <v>225</v>
      </c>
      <c r="B5681" t="s">
        <v>226</v>
      </c>
      <c r="C5681" t="s">
        <v>19</v>
      </c>
      <c r="D5681" t="s">
        <v>188</v>
      </c>
      <c r="E5681" t="s">
        <v>21</v>
      </c>
      <c r="F5681" s="1">
        <v>45017</v>
      </c>
      <c r="G5681">
        <v>2.2999999999999998</v>
      </c>
      <c r="H5681">
        <v>88.407200000000003</v>
      </c>
      <c r="I5681">
        <v>12.93</v>
      </c>
      <c r="J5681">
        <v>77.959999999999994</v>
      </c>
      <c r="K5681" t="s">
        <v>32</v>
      </c>
      <c r="L5681">
        <v>831.17</v>
      </c>
      <c r="M5681">
        <f>VLOOKUP(K5681,RatingLookup!$A$2:$C$8,2,FALSE)</f>
        <v>0.12</v>
      </c>
      <c r="N5681">
        <f t="shared" si="264"/>
        <v>1.0596241035318976E-2</v>
      </c>
      <c r="O5681">
        <f>VLOOKUP(K5681,RatingLookup!$A$2:$C$8,3,FALSE)</f>
        <v>0.7</v>
      </c>
      <c r="P5681">
        <f t="shared" si="265"/>
        <v>6.16509436292825</v>
      </c>
      <c r="Q5681" t="str">
        <f t="shared" ca="1" si="266"/>
        <v>No</v>
      </c>
    </row>
    <row r="5682" spans="1:17" x14ac:dyDescent="0.45">
      <c r="A5682" t="s">
        <v>225</v>
      </c>
      <c r="B5682" t="s">
        <v>226</v>
      </c>
      <c r="C5682" t="s">
        <v>19</v>
      </c>
      <c r="D5682" t="s">
        <v>188</v>
      </c>
      <c r="E5682" t="s">
        <v>21</v>
      </c>
      <c r="F5682" s="1">
        <v>45047</v>
      </c>
      <c r="G5682">
        <v>1.1200000000000001</v>
      </c>
      <c r="H5682">
        <v>81.496799999999993</v>
      </c>
      <c r="I5682">
        <v>25.52</v>
      </c>
      <c r="J5682">
        <v>70.66</v>
      </c>
      <c r="K5682" t="s">
        <v>32</v>
      </c>
      <c r="L5682">
        <v>938.53</v>
      </c>
      <c r="M5682">
        <f>VLOOKUP(K5682,RatingLookup!$A$2:$C$8,2,FALSE)</f>
        <v>0.12</v>
      </c>
      <c r="N5682">
        <f t="shared" si="264"/>
        <v>1.0596241035318976E-2</v>
      </c>
      <c r="O5682">
        <f>VLOOKUP(K5682,RatingLookup!$A$2:$C$8,3,FALSE)</f>
        <v>0.7</v>
      </c>
      <c r="P5682">
        <f t="shared" si="265"/>
        <v>6.9614230692145425</v>
      </c>
      <c r="Q5682" t="str">
        <f t="shared" ca="1" si="266"/>
        <v>No</v>
      </c>
    </row>
    <row r="5683" spans="1:17" x14ac:dyDescent="0.45">
      <c r="A5683" t="s">
        <v>225</v>
      </c>
      <c r="B5683" t="s">
        <v>226</v>
      </c>
      <c r="C5683" t="s">
        <v>19</v>
      </c>
      <c r="D5683" t="s">
        <v>188</v>
      </c>
      <c r="E5683" t="s">
        <v>21</v>
      </c>
      <c r="F5683" s="1">
        <v>45078</v>
      </c>
      <c r="G5683">
        <v>3.12</v>
      </c>
      <c r="H5683">
        <v>84.055400000000006</v>
      </c>
      <c r="I5683">
        <v>28.25</v>
      </c>
      <c r="J5683">
        <v>70.819999999999993</v>
      </c>
      <c r="K5683" t="s">
        <v>32</v>
      </c>
      <c r="L5683">
        <v>895.18</v>
      </c>
      <c r="M5683">
        <f>VLOOKUP(K5683,RatingLookup!$A$2:$C$8,2,FALSE)</f>
        <v>0.12</v>
      </c>
      <c r="N5683">
        <f t="shared" si="264"/>
        <v>1.0596241035318976E-2</v>
      </c>
      <c r="O5683">
        <f>VLOOKUP(K5683,RatingLookup!$A$2:$C$8,3,FALSE)</f>
        <v>0.7</v>
      </c>
      <c r="P5683">
        <f t="shared" si="265"/>
        <v>6.6398801349977878</v>
      </c>
      <c r="Q5683" t="str">
        <f t="shared" ca="1" si="266"/>
        <v>No</v>
      </c>
    </row>
    <row r="5684" spans="1:17" x14ac:dyDescent="0.45">
      <c r="A5684" t="s">
        <v>225</v>
      </c>
      <c r="B5684" t="s">
        <v>226</v>
      </c>
      <c r="C5684" t="s">
        <v>19</v>
      </c>
      <c r="D5684" t="s">
        <v>188</v>
      </c>
      <c r="E5684" t="s">
        <v>21</v>
      </c>
      <c r="F5684" s="1">
        <v>45108</v>
      </c>
      <c r="G5684">
        <v>1.31</v>
      </c>
      <c r="H5684">
        <v>85.226699999999994</v>
      </c>
      <c r="I5684">
        <v>15.98</v>
      </c>
      <c r="J5684">
        <v>98.31</v>
      </c>
      <c r="K5684" t="s">
        <v>32</v>
      </c>
      <c r="L5684">
        <v>955.5</v>
      </c>
      <c r="M5684">
        <f>VLOOKUP(K5684,RatingLookup!$A$2:$C$8,2,FALSE)</f>
        <v>0.12</v>
      </c>
      <c r="N5684">
        <f t="shared" si="264"/>
        <v>1.0596241035318976E-2</v>
      </c>
      <c r="O5684">
        <f>VLOOKUP(K5684,RatingLookup!$A$2:$C$8,3,FALSE)</f>
        <v>0.7</v>
      </c>
      <c r="P5684">
        <f t="shared" si="265"/>
        <v>7.0872958164730973</v>
      </c>
      <c r="Q5684" t="str">
        <f t="shared" ca="1" si="266"/>
        <v>No</v>
      </c>
    </row>
    <row r="5685" spans="1:17" x14ac:dyDescent="0.45">
      <c r="A5685" t="s">
        <v>225</v>
      </c>
      <c r="B5685" t="s">
        <v>226</v>
      </c>
      <c r="C5685" t="s">
        <v>19</v>
      </c>
      <c r="D5685" t="s">
        <v>188</v>
      </c>
      <c r="E5685" t="s">
        <v>21</v>
      </c>
      <c r="F5685" s="1">
        <v>45139</v>
      </c>
      <c r="G5685">
        <v>0.56000000000000005</v>
      </c>
      <c r="H5685">
        <v>82.323800000000006</v>
      </c>
      <c r="I5685">
        <v>18.41</v>
      </c>
      <c r="J5685">
        <v>73.61</v>
      </c>
      <c r="K5685" t="s">
        <v>32</v>
      </c>
      <c r="L5685">
        <v>851.61</v>
      </c>
      <c r="M5685">
        <f>VLOOKUP(K5685,RatingLookup!$A$2:$C$8,2,FALSE)</f>
        <v>0.12</v>
      </c>
      <c r="N5685">
        <f t="shared" si="264"/>
        <v>1.0596241035318976E-2</v>
      </c>
      <c r="O5685">
        <f>VLOOKUP(K5685,RatingLookup!$A$2:$C$8,3,FALSE)</f>
        <v>0.7</v>
      </c>
      <c r="P5685">
        <f t="shared" si="265"/>
        <v>6.3167053796615953</v>
      </c>
      <c r="Q5685" t="str">
        <f t="shared" ca="1" si="266"/>
        <v>No</v>
      </c>
    </row>
    <row r="5686" spans="1:17" x14ac:dyDescent="0.45">
      <c r="A5686" t="s">
        <v>225</v>
      </c>
      <c r="B5686" t="s">
        <v>226</v>
      </c>
      <c r="C5686" t="s">
        <v>19</v>
      </c>
      <c r="D5686" t="s">
        <v>188</v>
      </c>
      <c r="E5686" t="s">
        <v>21</v>
      </c>
      <c r="F5686" s="1">
        <v>45170</v>
      </c>
      <c r="G5686">
        <v>2.12</v>
      </c>
      <c r="H5686">
        <v>85.889899999999997</v>
      </c>
      <c r="I5686">
        <v>19.13</v>
      </c>
      <c r="J5686">
        <v>82.97</v>
      </c>
      <c r="K5686" t="s">
        <v>32</v>
      </c>
      <c r="L5686">
        <v>825.39</v>
      </c>
      <c r="M5686">
        <f>VLOOKUP(K5686,RatingLookup!$A$2:$C$8,2,FALSE)</f>
        <v>0.12</v>
      </c>
      <c r="N5686">
        <f t="shared" si="264"/>
        <v>1.0596241035318976E-2</v>
      </c>
      <c r="O5686">
        <f>VLOOKUP(K5686,RatingLookup!$A$2:$C$8,3,FALSE)</f>
        <v>0.7</v>
      </c>
      <c r="P5686">
        <f t="shared" si="265"/>
        <v>6.12222197169935</v>
      </c>
      <c r="Q5686" t="str">
        <f t="shared" ca="1" si="266"/>
        <v>No</v>
      </c>
    </row>
    <row r="5687" spans="1:17" x14ac:dyDescent="0.45">
      <c r="A5687" t="s">
        <v>225</v>
      </c>
      <c r="B5687" t="s">
        <v>226</v>
      </c>
      <c r="C5687" t="s">
        <v>19</v>
      </c>
      <c r="D5687" t="s">
        <v>188</v>
      </c>
      <c r="E5687" t="s">
        <v>21</v>
      </c>
      <c r="F5687" s="1">
        <v>45200</v>
      </c>
      <c r="G5687">
        <v>1.93</v>
      </c>
      <c r="H5687">
        <v>82.78</v>
      </c>
      <c r="I5687">
        <v>13.15</v>
      </c>
      <c r="J5687">
        <v>69.94</v>
      </c>
      <c r="K5687" t="s">
        <v>32</v>
      </c>
      <c r="L5687">
        <v>888.55</v>
      </c>
      <c r="M5687">
        <f>VLOOKUP(K5687,RatingLookup!$A$2:$C$8,2,FALSE)</f>
        <v>0.12</v>
      </c>
      <c r="N5687">
        <f t="shared" si="264"/>
        <v>1.0596241035318976E-2</v>
      </c>
      <c r="O5687">
        <f>VLOOKUP(K5687,RatingLookup!$A$2:$C$8,3,FALSE)</f>
        <v>0.7</v>
      </c>
      <c r="P5687">
        <f t="shared" si="265"/>
        <v>6.5907029803528729</v>
      </c>
      <c r="Q5687" t="str">
        <f t="shared" ca="1" si="266"/>
        <v>No</v>
      </c>
    </row>
    <row r="5688" spans="1:17" x14ac:dyDescent="0.45">
      <c r="A5688" t="s">
        <v>225</v>
      </c>
      <c r="B5688" t="s">
        <v>226</v>
      </c>
      <c r="C5688" t="s">
        <v>19</v>
      </c>
      <c r="D5688" t="s">
        <v>188</v>
      </c>
      <c r="E5688" t="s">
        <v>21</v>
      </c>
      <c r="F5688" s="1">
        <v>45231</v>
      </c>
      <c r="G5688">
        <v>0.71</v>
      </c>
      <c r="H5688">
        <v>85.268199999999993</v>
      </c>
      <c r="I5688">
        <v>29.29</v>
      </c>
      <c r="J5688">
        <v>77.849999999999994</v>
      </c>
      <c r="K5688" t="s">
        <v>32</v>
      </c>
      <c r="L5688">
        <v>926.59</v>
      </c>
      <c r="M5688">
        <f>VLOOKUP(K5688,RatingLookup!$A$2:$C$8,2,FALSE)</f>
        <v>0.12</v>
      </c>
      <c r="N5688">
        <f t="shared" si="264"/>
        <v>1.0596241035318976E-2</v>
      </c>
      <c r="O5688">
        <f>VLOOKUP(K5688,RatingLookup!$A$2:$C$8,3,FALSE)</f>
        <v>0.7</v>
      </c>
      <c r="P5688">
        <f t="shared" si="265"/>
        <v>6.8728596866413465</v>
      </c>
      <c r="Q5688" t="str">
        <f t="shared" ca="1" si="266"/>
        <v>No</v>
      </c>
    </row>
    <row r="5689" spans="1:17" x14ac:dyDescent="0.45">
      <c r="A5689" t="s">
        <v>225</v>
      </c>
      <c r="B5689" t="s">
        <v>226</v>
      </c>
      <c r="C5689" t="s">
        <v>19</v>
      </c>
      <c r="D5689" t="s">
        <v>188</v>
      </c>
      <c r="E5689" t="s">
        <v>21</v>
      </c>
      <c r="F5689" s="1">
        <v>45261</v>
      </c>
      <c r="G5689">
        <v>1.43</v>
      </c>
      <c r="H5689">
        <v>83.248599999999996</v>
      </c>
      <c r="I5689">
        <v>12.37</v>
      </c>
      <c r="J5689">
        <v>85.26</v>
      </c>
      <c r="K5689" t="s">
        <v>32</v>
      </c>
      <c r="L5689">
        <v>863.6</v>
      </c>
      <c r="M5689">
        <f>VLOOKUP(K5689,RatingLookup!$A$2:$C$8,2,FALSE)</f>
        <v>0.12</v>
      </c>
      <c r="N5689">
        <f t="shared" si="264"/>
        <v>1.0596241035318976E-2</v>
      </c>
      <c r="O5689">
        <f>VLOOKUP(K5689,RatingLookup!$A$2:$C$8,3,FALSE)</f>
        <v>0.7</v>
      </c>
      <c r="P5689">
        <f t="shared" si="265"/>
        <v>6.4056396306710282</v>
      </c>
      <c r="Q5689" t="str">
        <f t="shared" ca="1" si="266"/>
        <v>No</v>
      </c>
    </row>
    <row r="5690" spans="1:17" x14ac:dyDescent="0.45">
      <c r="A5690" t="s">
        <v>225</v>
      </c>
      <c r="B5690" t="s">
        <v>226</v>
      </c>
      <c r="C5690" t="s">
        <v>19</v>
      </c>
      <c r="D5690" t="s">
        <v>188</v>
      </c>
      <c r="E5690" t="s">
        <v>21</v>
      </c>
      <c r="F5690" s="1">
        <v>45292</v>
      </c>
      <c r="G5690">
        <v>1.65</v>
      </c>
      <c r="H5690">
        <v>84.841700000000003</v>
      </c>
      <c r="I5690">
        <v>22.73</v>
      </c>
      <c r="J5690">
        <v>71.73</v>
      </c>
      <c r="K5690" t="s">
        <v>32</v>
      </c>
      <c r="L5690">
        <v>907.97</v>
      </c>
      <c r="M5690">
        <f>VLOOKUP(K5690,RatingLookup!$A$2:$C$8,2,FALSE)</f>
        <v>0.12</v>
      </c>
      <c r="N5690">
        <f t="shared" si="264"/>
        <v>1.0596241035318976E-2</v>
      </c>
      <c r="O5690">
        <f>VLOOKUP(K5690,RatingLookup!$A$2:$C$8,3,FALSE)</f>
        <v>0.7</v>
      </c>
      <c r="P5690">
        <f t="shared" si="265"/>
        <v>6.7347482809869996</v>
      </c>
      <c r="Q5690" t="str">
        <f t="shared" ca="1" si="266"/>
        <v>No</v>
      </c>
    </row>
    <row r="5691" spans="1:17" x14ac:dyDescent="0.45">
      <c r="A5691" t="s">
        <v>225</v>
      </c>
      <c r="B5691" t="s">
        <v>226</v>
      </c>
      <c r="C5691" t="s">
        <v>19</v>
      </c>
      <c r="D5691" t="s">
        <v>188</v>
      </c>
      <c r="E5691" t="s">
        <v>21</v>
      </c>
      <c r="F5691" s="1">
        <v>45323</v>
      </c>
      <c r="G5691">
        <v>1.1499999999999999</v>
      </c>
      <c r="H5691">
        <v>84.828900000000004</v>
      </c>
      <c r="I5691">
        <v>24</v>
      </c>
      <c r="J5691">
        <v>87.7</v>
      </c>
      <c r="K5691" t="s">
        <v>32</v>
      </c>
      <c r="L5691">
        <v>964.96</v>
      </c>
      <c r="M5691">
        <f>VLOOKUP(K5691,RatingLookup!$A$2:$C$8,2,FALSE)</f>
        <v>0.12</v>
      </c>
      <c r="N5691">
        <f t="shared" si="264"/>
        <v>1.0596241035318976E-2</v>
      </c>
      <c r="O5691">
        <f>VLOOKUP(K5691,RatingLookup!$A$2:$C$8,3,FALSE)</f>
        <v>0.7</v>
      </c>
      <c r="P5691">
        <f t="shared" si="265"/>
        <v>7.1574641246089792</v>
      </c>
      <c r="Q5691" t="str">
        <f t="shared" ca="1" si="266"/>
        <v>No</v>
      </c>
    </row>
    <row r="5692" spans="1:17" x14ac:dyDescent="0.45">
      <c r="A5692" t="s">
        <v>225</v>
      </c>
      <c r="B5692" t="s">
        <v>226</v>
      </c>
      <c r="C5692" t="s">
        <v>19</v>
      </c>
      <c r="D5692" t="s">
        <v>188</v>
      </c>
      <c r="E5692" t="s">
        <v>21</v>
      </c>
      <c r="F5692" s="1">
        <v>45352</v>
      </c>
      <c r="G5692">
        <v>1.82</v>
      </c>
      <c r="H5692">
        <v>86.887500000000003</v>
      </c>
      <c r="I5692">
        <v>23.5</v>
      </c>
      <c r="J5692">
        <v>73.3</v>
      </c>
      <c r="K5692" t="s">
        <v>32</v>
      </c>
      <c r="L5692">
        <v>907.15</v>
      </c>
      <c r="M5692">
        <f>VLOOKUP(K5692,RatingLookup!$A$2:$C$8,2,FALSE)</f>
        <v>0.12</v>
      </c>
      <c r="N5692">
        <f t="shared" si="264"/>
        <v>1.0596241035318976E-2</v>
      </c>
      <c r="O5692">
        <f>VLOOKUP(K5692,RatingLookup!$A$2:$C$8,3,FALSE)</f>
        <v>0.7</v>
      </c>
      <c r="P5692">
        <f t="shared" si="265"/>
        <v>6.7286660386327259</v>
      </c>
      <c r="Q5692" t="str">
        <f t="shared" ca="1" si="266"/>
        <v>No</v>
      </c>
    </row>
    <row r="5693" spans="1:17" x14ac:dyDescent="0.45">
      <c r="A5693" t="s">
        <v>225</v>
      </c>
      <c r="B5693" t="s">
        <v>226</v>
      </c>
      <c r="C5693" t="s">
        <v>19</v>
      </c>
      <c r="D5693" t="s">
        <v>188</v>
      </c>
      <c r="E5693" t="s">
        <v>21</v>
      </c>
      <c r="F5693" s="1">
        <v>45383</v>
      </c>
      <c r="G5693">
        <v>2.16</v>
      </c>
      <c r="H5693">
        <v>82.032300000000006</v>
      </c>
      <c r="I5693">
        <v>23.06</v>
      </c>
      <c r="J5693">
        <v>72.95</v>
      </c>
      <c r="K5693" t="s">
        <v>32</v>
      </c>
      <c r="L5693">
        <v>888.32</v>
      </c>
      <c r="M5693">
        <f>VLOOKUP(K5693,RatingLookup!$A$2:$C$8,2,FALSE)</f>
        <v>0.12</v>
      </c>
      <c r="N5693">
        <f t="shared" si="264"/>
        <v>1.0596241035318976E-2</v>
      </c>
      <c r="O5693">
        <f>VLOOKUP(K5693,RatingLookup!$A$2:$C$8,3,FALSE)</f>
        <v>0.7</v>
      </c>
      <c r="P5693">
        <f t="shared" si="265"/>
        <v>6.5889969855461867</v>
      </c>
      <c r="Q5693" t="str">
        <f t="shared" ca="1" si="266"/>
        <v>No</v>
      </c>
    </row>
    <row r="5694" spans="1:17" x14ac:dyDescent="0.45">
      <c r="A5694" t="s">
        <v>225</v>
      </c>
      <c r="B5694" t="s">
        <v>226</v>
      </c>
      <c r="C5694" t="s">
        <v>19</v>
      </c>
      <c r="D5694" t="s">
        <v>188</v>
      </c>
      <c r="E5694" t="s">
        <v>21</v>
      </c>
      <c r="F5694" s="1">
        <v>45413</v>
      </c>
      <c r="G5694">
        <v>2.0299999999999998</v>
      </c>
      <c r="H5694">
        <v>85.083799999999997</v>
      </c>
      <c r="I5694">
        <v>20.399999999999999</v>
      </c>
      <c r="J5694">
        <v>69.66</v>
      </c>
      <c r="K5694" t="s">
        <v>32</v>
      </c>
      <c r="L5694">
        <v>961.87</v>
      </c>
      <c r="M5694">
        <f>VLOOKUP(K5694,RatingLookup!$A$2:$C$8,2,FALSE)</f>
        <v>0.12</v>
      </c>
      <c r="N5694">
        <f t="shared" si="264"/>
        <v>1.0596241035318976E-2</v>
      </c>
      <c r="O5694">
        <f>VLOOKUP(K5694,RatingLookup!$A$2:$C$8,3,FALSE)</f>
        <v>0.7</v>
      </c>
      <c r="P5694">
        <f t="shared" si="265"/>
        <v>7.1345444552495838</v>
      </c>
      <c r="Q5694" t="str">
        <f t="shared" ca="1" si="266"/>
        <v>No</v>
      </c>
    </row>
    <row r="5695" spans="1:17" x14ac:dyDescent="0.45">
      <c r="A5695" t="s">
        <v>225</v>
      </c>
      <c r="B5695" t="s">
        <v>226</v>
      </c>
      <c r="C5695" t="s">
        <v>19</v>
      </c>
      <c r="D5695" t="s">
        <v>188</v>
      </c>
      <c r="E5695" t="s">
        <v>21</v>
      </c>
      <c r="F5695" s="1">
        <v>45444</v>
      </c>
      <c r="G5695">
        <v>1.08</v>
      </c>
      <c r="H5695">
        <v>79.451800000000006</v>
      </c>
      <c r="I5695">
        <v>25.26</v>
      </c>
      <c r="J5695">
        <v>98.84</v>
      </c>
      <c r="K5695" t="s">
        <v>32</v>
      </c>
      <c r="L5695">
        <v>840.23</v>
      </c>
      <c r="M5695">
        <f>VLOOKUP(K5695,RatingLookup!$A$2:$C$8,2,FALSE)</f>
        <v>0.12</v>
      </c>
      <c r="N5695">
        <f t="shared" si="264"/>
        <v>1.0596241035318976E-2</v>
      </c>
      <c r="O5695">
        <f>VLOOKUP(K5695,RatingLookup!$A$2:$C$8,3,FALSE)</f>
        <v>0.7</v>
      </c>
      <c r="P5695">
        <f t="shared" si="265"/>
        <v>6.2322957235742447</v>
      </c>
      <c r="Q5695" t="str">
        <f t="shared" ca="1" si="266"/>
        <v>No</v>
      </c>
    </row>
    <row r="5696" spans="1:17" x14ac:dyDescent="0.45">
      <c r="A5696" t="s">
        <v>225</v>
      </c>
      <c r="B5696" t="s">
        <v>226</v>
      </c>
      <c r="C5696" t="s">
        <v>19</v>
      </c>
      <c r="D5696" t="s">
        <v>188</v>
      </c>
      <c r="E5696" t="s">
        <v>21</v>
      </c>
      <c r="F5696" s="1">
        <v>45474</v>
      </c>
      <c r="G5696">
        <v>1.72</v>
      </c>
      <c r="H5696">
        <v>77.784599999999998</v>
      </c>
      <c r="I5696">
        <v>12.93</v>
      </c>
      <c r="J5696">
        <v>93.74</v>
      </c>
      <c r="K5696" t="s">
        <v>32</v>
      </c>
      <c r="L5696">
        <v>921.17</v>
      </c>
      <c r="M5696">
        <f>VLOOKUP(K5696,RatingLookup!$A$2:$C$8,2,FALSE)</f>
        <v>0.12</v>
      </c>
      <c r="N5696">
        <f t="shared" si="264"/>
        <v>1.0596241035318976E-2</v>
      </c>
      <c r="O5696">
        <f>VLOOKUP(K5696,RatingLookup!$A$2:$C$8,3,FALSE)</f>
        <v>0.7</v>
      </c>
      <c r="P5696">
        <f t="shared" si="265"/>
        <v>6.8326575481533469</v>
      </c>
      <c r="Q5696" t="str">
        <f t="shared" ca="1" si="266"/>
        <v>No</v>
      </c>
    </row>
    <row r="5697" spans="1:17" x14ac:dyDescent="0.45">
      <c r="A5697" t="s">
        <v>225</v>
      </c>
      <c r="B5697" t="s">
        <v>226</v>
      </c>
      <c r="C5697" t="s">
        <v>19</v>
      </c>
      <c r="D5697" t="s">
        <v>188</v>
      </c>
      <c r="E5697" t="s">
        <v>21</v>
      </c>
      <c r="F5697" s="1">
        <v>45505</v>
      </c>
      <c r="G5697">
        <v>2.2999999999999998</v>
      </c>
      <c r="H5697">
        <v>80.514200000000002</v>
      </c>
      <c r="I5697">
        <v>19.13</v>
      </c>
      <c r="J5697">
        <v>79.94</v>
      </c>
      <c r="K5697" t="s">
        <v>32</v>
      </c>
      <c r="L5697">
        <v>942.23</v>
      </c>
      <c r="M5697">
        <f>VLOOKUP(K5697,RatingLookup!$A$2:$C$8,2,FALSE)</f>
        <v>0.12</v>
      </c>
      <c r="N5697">
        <f t="shared" si="264"/>
        <v>1.0596241035318976E-2</v>
      </c>
      <c r="O5697">
        <f>VLOOKUP(K5697,RatingLookup!$A$2:$C$8,3,FALSE)</f>
        <v>0.7</v>
      </c>
      <c r="P5697">
        <f t="shared" si="265"/>
        <v>6.9888673334960183</v>
      </c>
      <c r="Q5697" t="str">
        <f t="shared" ca="1" si="266"/>
        <v>No</v>
      </c>
    </row>
    <row r="5698" spans="1:17" x14ac:dyDescent="0.45">
      <c r="A5698" t="s">
        <v>225</v>
      </c>
      <c r="B5698" t="s">
        <v>226</v>
      </c>
      <c r="C5698" t="s">
        <v>19</v>
      </c>
      <c r="D5698" t="s">
        <v>188</v>
      </c>
      <c r="E5698" t="s">
        <v>21</v>
      </c>
      <c r="F5698" s="1">
        <v>45536</v>
      </c>
      <c r="G5698">
        <v>1.81</v>
      </c>
      <c r="H5698">
        <v>85.090800000000002</v>
      </c>
      <c r="I5698">
        <v>16.41</v>
      </c>
      <c r="J5698">
        <v>82.97</v>
      </c>
      <c r="K5698" t="s">
        <v>32</v>
      </c>
      <c r="L5698">
        <v>935.29</v>
      </c>
      <c r="M5698">
        <f>VLOOKUP(K5698,RatingLookup!$A$2:$C$8,2,FALSE)</f>
        <v>0.12</v>
      </c>
      <c r="N5698">
        <f t="shared" ref="N5698:N5761" si="267">1-(1-M5698)^(1/12)</f>
        <v>1.0596241035318976E-2</v>
      </c>
      <c r="O5698">
        <f>VLOOKUP(K5698,RatingLookup!$A$2:$C$8,3,FALSE)</f>
        <v>0.7</v>
      </c>
      <c r="P5698">
        <f t="shared" ref="P5698:P5761" si="268">L5698*N5698*O5698</f>
        <v>6.937390794546439</v>
      </c>
      <c r="Q5698" t="str">
        <f t="shared" ref="Q5698:Q5761" ca="1" si="269">IF(RAND()&lt;N5698,"Yes","No")</f>
        <v>No</v>
      </c>
    </row>
    <row r="5699" spans="1:17" x14ac:dyDescent="0.45">
      <c r="A5699" t="s">
        <v>225</v>
      </c>
      <c r="B5699" t="s">
        <v>226</v>
      </c>
      <c r="C5699" t="s">
        <v>19</v>
      </c>
      <c r="D5699" t="s">
        <v>188</v>
      </c>
      <c r="E5699" t="s">
        <v>21</v>
      </c>
      <c r="F5699" s="1">
        <v>45566</v>
      </c>
      <c r="G5699">
        <v>1.69</v>
      </c>
      <c r="H5699">
        <v>84.772900000000007</v>
      </c>
      <c r="I5699">
        <v>19.64</v>
      </c>
      <c r="J5699">
        <v>86.08</v>
      </c>
      <c r="K5699" t="s">
        <v>32</v>
      </c>
      <c r="L5699">
        <v>935.46</v>
      </c>
      <c r="M5699">
        <f>VLOOKUP(K5699,RatingLookup!$A$2:$C$8,2,FALSE)</f>
        <v>0.12</v>
      </c>
      <c r="N5699">
        <f t="shared" si="267"/>
        <v>1.0596241035318976E-2</v>
      </c>
      <c r="O5699">
        <f>VLOOKUP(K5699,RatingLookup!$A$2:$C$8,3,FALSE)</f>
        <v>0.7</v>
      </c>
      <c r="P5699">
        <f t="shared" si="268"/>
        <v>6.9386517472296427</v>
      </c>
      <c r="Q5699" t="str">
        <f t="shared" ca="1" si="269"/>
        <v>No</v>
      </c>
    </row>
    <row r="5700" spans="1:17" x14ac:dyDescent="0.45">
      <c r="A5700" t="s">
        <v>225</v>
      </c>
      <c r="B5700" t="s">
        <v>226</v>
      </c>
      <c r="C5700" t="s">
        <v>19</v>
      </c>
      <c r="D5700" t="s">
        <v>188</v>
      </c>
      <c r="E5700" t="s">
        <v>21</v>
      </c>
      <c r="F5700" s="1">
        <v>45597</v>
      </c>
      <c r="G5700">
        <v>1.4</v>
      </c>
      <c r="H5700">
        <v>81.968000000000004</v>
      </c>
      <c r="I5700">
        <v>27.7</v>
      </c>
      <c r="J5700">
        <v>58.44</v>
      </c>
      <c r="K5700" t="s">
        <v>32</v>
      </c>
      <c r="L5700">
        <v>910.3</v>
      </c>
      <c r="M5700">
        <f>VLOOKUP(K5700,RatingLookup!$A$2:$C$8,2,FALSE)</f>
        <v>0.12</v>
      </c>
      <c r="N5700">
        <f t="shared" si="267"/>
        <v>1.0596241035318976E-2</v>
      </c>
      <c r="O5700">
        <f>VLOOKUP(K5700,RatingLookup!$A$2:$C$8,3,FALSE)</f>
        <v>0.7</v>
      </c>
      <c r="P5700">
        <f t="shared" si="268"/>
        <v>6.7520307501156038</v>
      </c>
      <c r="Q5700" t="str">
        <f t="shared" ca="1" si="269"/>
        <v>No</v>
      </c>
    </row>
    <row r="5701" spans="1:17" x14ac:dyDescent="0.45">
      <c r="A5701" t="s">
        <v>225</v>
      </c>
      <c r="B5701" t="s">
        <v>226</v>
      </c>
      <c r="C5701" t="s">
        <v>19</v>
      </c>
      <c r="D5701" t="s">
        <v>188</v>
      </c>
      <c r="E5701" t="s">
        <v>21</v>
      </c>
      <c r="F5701" s="1">
        <v>45627</v>
      </c>
      <c r="G5701">
        <v>1.32</v>
      </c>
      <c r="H5701">
        <v>84.096699999999998</v>
      </c>
      <c r="I5701">
        <v>22.74</v>
      </c>
      <c r="J5701">
        <v>84.92</v>
      </c>
      <c r="K5701" t="s">
        <v>32</v>
      </c>
      <c r="L5701">
        <v>852.85</v>
      </c>
      <c r="M5701">
        <f>VLOOKUP(K5701,RatingLookup!$A$2:$C$8,2,FALSE)</f>
        <v>0.12</v>
      </c>
      <c r="N5701">
        <f t="shared" si="267"/>
        <v>1.0596241035318976E-2</v>
      </c>
      <c r="O5701">
        <f>VLOOKUP(K5701,RatingLookup!$A$2:$C$8,3,FALSE)</f>
        <v>0.7</v>
      </c>
      <c r="P5701">
        <f t="shared" si="268"/>
        <v>6.3259029168802519</v>
      </c>
      <c r="Q5701" t="str">
        <f t="shared" ca="1" si="269"/>
        <v>No</v>
      </c>
    </row>
    <row r="5702" spans="1:17" x14ac:dyDescent="0.45">
      <c r="A5702" t="s">
        <v>227</v>
      </c>
      <c r="B5702" t="s">
        <v>228</v>
      </c>
      <c r="C5702" t="s">
        <v>40</v>
      </c>
      <c r="D5702" t="s">
        <v>188</v>
      </c>
      <c r="E5702" t="s">
        <v>21</v>
      </c>
      <c r="F5702" s="1">
        <v>43831</v>
      </c>
      <c r="G5702">
        <v>1.44</v>
      </c>
      <c r="H5702">
        <v>77.013000000000005</v>
      </c>
      <c r="I5702">
        <v>15.16</v>
      </c>
      <c r="J5702">
        <v>86.86</v>
      </c>
      <c r="K5702" t="s">
        <v>22</v>
      </c>
      <c r="L5702">
        <v>672.87</v>
      </c>
      <c r="M5702">
        <f>VLOOKUP(K5702,RatingLookup!$A$2:$C$8,2,FALSE)</f>
        <v>5.0000000000000001E-3</v>
      </c>
      <c r="N5702">
        <f t="shared" si="267"/>
        <v>4.1762458919303302E-4</v>
      </c>
      <c r="O5702">
        <f>VLOOKUP(K5702,RatingLookup!$A$2:$C$8,3,FALSE)</f>
        <v>0.45</v>
      </c>
      <c r="P5702">
        <f t="shared" si="268"/>
        <v>0.12645317579864226</v>
      </c>
      <c r="Q5702" t="str">
        <f t="shared" ca="1" si="269"/>
        <v>No</v>
      </c>
    </row>
    <row r="5703" spans="1:17" x14ac:dyDescent="0.45">
      <c r="A5703" t="s">
        <v>227</v>
      </c>
      <c r="B5703" t="s">
        <v>228</v>
      </c>
      <c r="C5703" t="s">
        <v>40</v>
      </c>
      <c r="D5703" t="s">
        <v>188</v>
      </c>
      <c r="E5703" t="s">
        <v>21</v>
      </c>
      <c r="F5703" s="1">
        <v>43862</v>
      </c>
      <c r="G5703">
        <v>0.71</v>
      </c>
      <c r="H5703">
        <v>80.147900000000007</v>
      </c>
      <c r="I5703">
        <v>26.11</v>
      </c>
      <c r="J5703">
        <v>72.11</v>
      </c>
      <c r="K5703" t="s">
        <v>22</v>
      </c>
      <c r="L5703">
        <v>671.24</v>
      </c>
      <c r="M5703">
        <f>VLOOKUP(K5703,RatingLookup!$A$2:$C$8,2,FALSE)</f>
        <v>5.0000000000000001E-3</v>
      </c>
      <c r="N5703">
        <f t="shared" si="267"/>
        <v>4.1762458919303302E-4</v>
      </c>
      <c r="O5703">
        <f>VLOOKUP(K5703,RatingLookup!$A$2:$C$8,3,FALSE)</f>
        <v>0.45</v>
      </c>
      <c r="P5703">
        <f t="shared" si="268"/>
        <v>0.12614684816246918</v>
      </c>
      <c r="Q5703" t="str">
        <f t="shared" ca="1" si="269"/>
        <v>No</v>
      </c>
    </row>
    <row r="5704" spans="1:17" x14ac:dyDescent="0.45">
      <c r="A5704" t="s">
        <v>227</v>
      </c>
      <c r="B5704" t="s">
        <v>228</v>
      </c>
      <c r="C5704" t="s">
        <v>40</v>
      </c>
      <c r="D5704" t="s">
        <v>188</v>
      </c>
      <c r="E5704" t="s">
        <v>21</v>
      </c>
      <c r="F5704" s="1">
        <v>43891</v>
      </c>
      <c r="G5704">
        <v>1.73</v>
      </c>
      <c r="H5704">
        <v>80.562899999999999</v>
      </c>
      <c r="I5704">
        <v>5</v>
      </c>
      <c r="J5704">
        <v>60.21</v>
      </c>
      <c r="K5704" t="s">
        <v>22</v>
      </c>
      <c r="L5704">
        <v>678.03</v>
      </c>
      <c r="M5704">
        <f>VLOOKUP(K5704,RatingLookup!$A$2:$C$8,2,FALSE)</f>
        <v>5.0000000000000001E-3</v>
      </c>
      <c r="N5704">
        <f t="shared" si="267"/>
        <v>4.1762458919303302E-4</v>
      </c>
      <c r="O5704">
        <f>VLOOKUP(K5704,RatingLookup!$A$2:$C$8,3,FALSE)</f>
        <v>0.45</v>
      </c>
      <c r="P5704">
        <f t="shared" si="268"/>
        <v>0.12742290009474846</v>
      </c>
      <c r="Q5704" t="str">
        <f t="shared" ca="1" si="269"/>
        <v>No</v>
      </c>
    </row>
    <row r="5705" spans="1:17" x14ac:dyDescent="0.45">
      <c r="A5705" t="s">
        <v>227</v>
      </c>
      <c r="B5705" t="s">
        <v>228</v>
      </c>
      <c r="C5705" t="s">
        <v>40</v>
      </c>
      <c r="D5705" t="s">
        <v>188</v>
      </c>
      <c r="E5705" t="s">
        <v>21</v>
      </c>
      <c r="F5705" s="1">
        <v>43922</v>
      </c>
      <c r="G5705">
        <v>2.2400000000000002</v>
      </c>
      <c r="H5705">
        <v>82.314499999999995</v>
      </c>
      <c r="I5705">
        <v>20.350000000000001</v>
      </c>
      <c r="J5705">
        <v>76.28</v>
      </c>
      <c r="K5705" t="s">
        <v>22</v>
      </c>
      <c r="L5705">
        <v>656.19</v>
      </c>
      <c r="M5705">
        <f>VLOOKUP(K5705,RatingLookup!$A$2:$C$8,2,FALSE)</f>
        <v>5.0000000000000001E-3</v>
      </c>
      <c r="N5705">
        <f t="shared" si="267"/>
        <v>4.1762458919303302E-4</v>
      </c>
      <c r="O5705">
        <f>VLOOKUP(K5705,RatingLookup!$A$2:$C$8,3,FALSE)</f>
        <v>0.45</v>
      </c>
      <c r="P5705">
        <f t="shared" si="268"/>
        <v>0.12331848563215937</v>
      </c>
      <c r="Q5705" t="str">
        <f t="shared" ca="1" si="269"/>
        <v>No</v>
      </c>
    </row>
    <row r="5706" spans="1:17" x14ac:dyDescent="0.45">
      <c r="A5706" t="s">
        <v>227</v>
      </c>
      <c r="B5706" t="s">
        <v>228</v>
      </c>
      <c r="C5706" t="s">
        <v>40</v>
      </c>
      <c r="D5706" t="s">
        <v>188</v>
      </c>
      <c r="E5706" t="s">
        <v>21</v>
      </c>
      <c r="F5706" s="1">
        <v>43952</v>
      </c>
      <c r="G5706">
        <v>1.04</v>
      </c>
      <c r="H5706">
        <v>77.869699999999995</v>
      </c>
      <c r="I5706">
        <v>21.68</v>
      </c>
      <c r="J5706">
        <v>79.78</v>
      </c>
      <c r="K5706" t="s">
        <v>22</v>
      </c>
      <c r="L5706">
        <v>626.07000000000005</v>
      </c>
      <c r="M5706">
        <f>VLOOKUP(K5706,RatingLookup!$A$2:$C$8,2,FALSE)</f>
        <v>5.0000000000000001E-3</v>
      </c>
      <c r="N5706">
        <f t="shared" si="267"/>
        <v>4.1762458919303302E-4</v>
      </c>
      <c r="O5706">
        <f>VLOOKUP(K5706,RatingLookup!$A$2:$C$8,3,FALSE)</f>
        <v>0.45</v>
      </c>
      <c r="P5706">
        <f t="shared" si="268"/>
        <v>0.117658001950237</v>
      </c>
      <c r="Q5706" t="str">
        <f t="shared" ca="1" si="269"/>
        <v>No</v>
      </c>
    </row>
    <row r="5707" spans="1:17" x14ac:dyDescent="0.45">
      <c r="A5707" t="s">
        <v>227</v>
      </c>
      <c r="B5707" t="s">
        <v>228</v>
      </c>
      <c r="C5707" t="s">
        <v>40</v>
      </c>
      <c r="D5707" t="s">
        <v>188</v>
      </c>
      <c r="E5707" t="s">
        <v>21</v>
      </c>
      <c r="F5707" s="1">
        <v>43983</v>
      </c>
      <c r="G5707">
        <v>0.76</v>
      </c>
      <c r="H5707">
        <v>82.168999999999997</v>
      </c>
      <c r="I5707">
        <v>23.15</v>
      </c>
      <c r="J5707">
        <v>70.88</v>
      </c>
      <c r="K5707" t="s">
        <v>22</v>
      </c>
      <c r="L5707">
        <v>705.8</v>
      </c>
      <c r="M5707">
        <f>VLOOKUP(K5707,RatingLookup!$A$2:$C$8,2,FALSE)</f>
        <v>5.0000000000000001E-3</v>
      </c>
      <c r="N5707">
        <f t="shared" si="267"/>
        <v>4.1762458919303302E-4</v>
      </c>
      <c r="O5707">
        <f>VLOOKUP(K5707,RatingLookup!$A$2:$C$8,3,FALSE)</f>
        <v>0.45</v>
      </c>
      <c r="P5707">
        <f t="shared" si="268"/>
        <v>0.13264174577359922</v>
      </c>
      <c r="Q5707" t="str">
        <f t="shared" ca="1" si="269"/>
        <v>No</v>
      </c>
    </row>
    <row r="5708" spans="1:17" x14ac:dyDescent="0.45">
      <c r="A5708" t="s">
        <v>227</v>
      </c>
      <c r="B5708" t="s">
        <v>228</v>
      </c>
      <c r="C5708" t="s">
        <v>40</v>
      </c>
      <c r="D5708" t="s">
        <v>188</v>
      </c>
      <c r="E5708" t="s">
        <v>21</v>
      </c>
      <c r="F5708" s="1">
        <v>44013</v>
      </c>
      <c r="G5708">
        <v>1.75</v>
      </c>
      <c r="H5708">
        <v>83.800899999999999</v>
      </c>
      <c r="I5708">
        <v>10.6</v>
      </c>
      <c r="J5708">
        <v>62.41</v>
      </c>
      <c r="K5708" t="s">
        <v>22</v>
      </c>
      <c r="L5708">
        <v>633.65</v>
      </c>
      <c r="M5708">
        <f>VLOOKUP(K5708,RatingLookup!$A$2:$C$8,2,FALSE)</f>
        <v>5.0000000000000001E-3</v>
      </c>
      <c r="N5708">
        <f t="shared" si="267"/>
        <v>4.1762458919303302E-4</v>
      </c>
      <c r="O5708">
        <f>VLOOKUP(K5708,RatingLookup!$A$2:$C$8,3,FALSE)</f>
        <v>0.45</v>
      </c>
      <c r="P5708">
        <f t="shared" si="268"/>
        <v>0.11908251942397441</v>
      </c>
      <c r="Q5708" t="str">
        <f t="shared" ca="1" si="269"/>
        <v>No</v>
      </c>
    </row>
    <row r="5709" spans="1:17" x14ac:dyDescent="0.45">
      <c r="A5709" t="s">
        <v>227</v>
      </c>
      <c r="B5709" t="s">
        <v>228</v>
      </c>
      <c r="C5709" t="s">
        <v>40</v>
      </c>
      <c r="D5709" t="s">
        <v>188</v>
      </c>
      <c r="E5709" t="s">
        <v>21</v>
      </c>
      <c r="F5709" s="1">
        <v>44044</v>
      </c>
      <c r="G5709">
        <v>2.5099999999999998</v>
      </c>
      <c r="H5709">
        <v>81.051500000000004</v>
      </c>
      <c r="I5709">
        <v>13.95</v>
      </c>
      <c r="J5709">
        <v>78.62</v>
      </c>
      <c r="K5709" t="s">
        <v>22</v>
      </c>
      <c r="L5709">
        <v>630.47</v>
      </c>
      <c r="M5709">
        <f>VLOOKUP(K5709,RatingLookup!$A$2:$C$8,2,FALSE)</f>
        <v>5.0000000000000001E-3</v>
      </c>
      <c r="N5709">
        <f t="shared" si="267"/>
        <v>4.1762458919303302E-4</v>
      </c>
      <c r="O5709">
        <f>VLOOKUP(K5709,RatingLookup!$A$2:$C$8,3,FALSE)</f>
        <v>0.45</v>
      </c>
      <c r="P5709">
        <f t="shared" si="268"/>
        <v>0.1184848986368392</v>
      </c>
      <c r="Q5709" t="str">
        <f t="shared" ca="1" si="269"/>
        <v>No</v>
      </c>
    </row>
    <row r="5710" spans="1:17" x14ac:dyDescent="0.45">
      <c r="A5710" t="s">
        <v>227</v>
      </c>
      <c r="B5710" t="s">
        <v>228</v>
      </c>
      <c r="C5710" t="s">
        <v>40</v>
      </c>
      <c r="D5710" t="s">
        <v>188</v>
      </c>
      <c r="E5710" t="s">
        <v>21</v>
      </c>
      <c r="F5710" s="1">
        <v>44075</v>
      </c>
      <c r="G5710">
        <v>1.28</v>
      </c>
      <c r="H5710">
        <v>82.177800000000005</v>
      </c>
      <c r="I5710">
        <v>12.33</v>
      </c>
      <c r="J5710">
        <v>64.239999999999995</v>
      </c>
      <c r="K5710" t="s">
        <v>22</v>
      </c>
      <c r="L5710">
        <v>673.07</v>
      </c>
      <c r="M5710">
        <f>VLOOKUP(K5710,RatingLookup!$A$2:$C$8,2,FALSE)</f>
        <v>5.0000000000000001E-3</v>
      </c>
      <c r="N5710">
        <f t="shared" si="267"/>
        <v>4.1762458919303302E-4</v>
      </c>
      <c r="O5710">
        <f>VLOOKUP(K5710,RatingLookup!$A$2:$C$8,3,FALSE)</f>
        <v>0.45</v>
      </c>
      <c r="P5710">
        <f t="shared" si="268"/>
        <v>0.12649076201166964</v>
      </c>
      <c r="Q5710" t="str">
        <f t="shared" ca="1" si="269"/>
        <v>No</v>
      </c>
    </row>
    <row r="5711" spans="1:17" x14ac:dyDescent="0.45">
      <c r="A5711" t="s">
        <v>227</v>
      </c>
      <c r="B5711" t="s">
        <v>228</v>
      </c>
      <c r="C5711" t="s">
        <v>40</v>
      </c>
      <c r="D5711" t="s">
        <v>188</v>
      </c>
      <c r="E5711" t="s">
        <v>21</v>
      </c>
      <c r="F5711" s="1">
        <v>44105</v>
      </c>
      <c r="G5711">
        <v>1.21</v>
      </c>
      <c r="H5711">
        <v>78.428299999999993</v>
      </c>
      <c r="I5711">
        <v>25.73</v>
      </c>
      <c r="J5711">
        <v>62.8</v>
      </c>
      <c r="K5711" t="s">
        <v>22</v>
      </c>
      <c r="L5711">
        <v>679.84</v>
      </c>
      <c r="M5711">
        <f>VLOOKUP(K5711,RatingLookup!$A$2:$C$8,2,FALSE)</f>
        <v>5.0000000000000001E-3</v>
      </c>
      <c r="N5711">
        <f t="shared" si="267"/>
        <v>4.1762458919303302E-4</v>
      </c>
      <c r="O5711">
        <f>VLOOKUP(K5711,RatingLookup!$A$2:$C$8,3,FALSE)</f>
        <v>0.45</v>
      </c>
      <c r="P5711">
        <f t="shared" si="268"/>
        <v>0.1277630553226462</v>
      </c>
      <c r="Q5711" t="str">
        <f t="shared" ca="1" si="269"/>
        <v>No</v>
      </c>
    </row>
    <row r="5712" spans="1:17" x14ac:dyDescent="0.45">
      <c r="A5712" t="s">
        <v>227</v>
      </c>
      <c r="B5712" t="s">
        <v>228</v>
      </c>
      <c r="C5712" t="s">
        <v>40</v>
      </c>
      <c r="D5712" t="s">
        <v>188</v>
      </c>
      <c r="E5712" t="s">
        <v>21</v>
      </c>
      <c r="F5712" s="1">
        <v>44136</v>
      </c>
      <c r="G5712">
        <v>1.4</v>
      </c>
      <c r="H5712">
        <v>81.309299999999993</v>
      </c>
      <c r="I5712">
        <v>15.71</v>
      </c>
      <c r="J5712">
        <v>86.53</v>
      </c>
      <c r="K5712" t="s">
        <v>22</v>
      </c>
      <c r="L5712">
        <v>655.89</v>
      </c>
      <c r="M5712">
        <f>VLOOKUP(K5712,RatingLookup!$A$2:$C$8,2,FALSE)</f>
        <v>5.0000000000000001E-3</v>
      </c>
      <c r="N5712">
        <f t="shared" si="267"/>
        <v>4.1762458919303302E-4</v>
      </c>
      <c r="O5712">
        <f>VLOOKUP(K5712,RatingLookup!$A$2:$C$8,3,FALSE)</f>
        <v>0.45</v>
      </c>
      <c r="P5712">
        <f t="shared" si="268"/>
        <v>0.1232621063126183</v>
      </c>
      <c r="Q5712" t="str">
        <f t="shared" ca="1" si="269"/>
        <v>No</v>
      </c>
    </row>
    <row r="5713" spans="1:17" x14ac:dyDescent="0.45">
      <c r="A5713" t="s">
        <v>227</v>
      </c>
      <c r="B5713" t="s">
        <v>228</v>
      </c>
      <c r="C5713" t="s">
        <v>40</v>
      </c>
      <c r="D5713" t="s">
        <v>188</v>
      </c>
      <c r="E5713" t="s">
        <v>21</v>
      </c>
      <c r="F5713" s="1">
        <v>44166</v>
      </c>
      <c r="G5713">
        <v>1.1200000000000001</v>
      </c>
      <c r="H5713">
        <v>81.099199999999996</v>
      </c>
      <c r="I5713">
        <v>14.6</v>
      </c>
      <c r="J5713">
        <v>86.58</v>
      </c>
      <c r="K5713" t="s">
        <v>22</v>
      </c>
      <c r="L5713">
        <v>720.21</v>
      </c>
      <c r="M5713">
        <f>VLOOKUP(K5713,RatingLookup!$A$2:$C$8,2,FALSE)</f>
        <v>5.0000000000000001E-3</v>
      </c>
      <c r="N5713">
        <f t="shared" si="267"/>
        <v>4.1762458919303302E-4</v>
      </c>
      <c r="O5713">
        <f>VLOOKUP(K5713,RatingLookup!$A$2:$C$8,3,FALSE)</f>
        <v>0.45</v>
      </c>
      <c r="P5713">
        <f t="shared" si="268"/>
        <v>0.13534983242222143</v>
      </c>
      <c r="Q5713" t="str">
        <f t="shared" ca="1" si="269"/>
        <v>No</v>
      </c>
    </row>
    <row r="5714" spans="1:17" x14ac:dyDescent="0.45">
      <c r="A5714" t="s">
        <v>227</v>
      </c>
      <c r="B5714" t="s">
        <v>228</v>
      </c>
      <c r="C5714" t="s">
        <v>40</v>
      </c>
      <c r="D5714" t="s">
        <v>188</v>
      </c>
      <c r="E5714" t="s">
        <v>21</v>
      </c>
      <c r="F5714" s="1">
        <v>44197</v>
      </c>
      <c r="G5714">
        <v>1.07</v>
      </c>
      <c r="H5714">
        <v>76.977500000000006</v>
      </c>
      <c r="I5714">
        <v>5.91</v>
      </c>
      <c r="J5714">
        <v>65.12</v>
      </c>
      <c r="K5714" t="s">
        <v>22</v>
      </c>
      <c r="L5714">
        <v>656.65</v>
      </c>
      <c r="M5714">
        <f>VLOOKUP(K5714,RatingLookup!$A$2:$C$8,2,FALSE)</f>
        <v>5.0000000000000001E-3</v>
      </c>
      <c r="N5714">
        <f t="shared" si="267"/>
        <v>4.1762458919303302E-4</v>
      </c>
      <c r="O5714">
        <f>VLOOKUP(K5714,RatingLookup!$A$2:$C$8,3,FALSE)</f>
        <v>0.45</v>
      </c>
      <c r="P5714">
        <f t="shared" si="268"/>
        <v>0.1234049339221223</v>
      </c>
      <c r="Q5714" t="str">
        <f t="shared" ca="1" si="269"/>
        <v>No</v>
      </c>
    </row>
    <row r="5715" spans="1:17" x14ac:dyDescent="0.45">
      <c r="A5715" t="s">
        <v>227</v>
      </c>
      <c r="B5715" t="s">
        <v>228</v>
      </c>
      <c r="C5715" t="s">
        <v>40</v>
      </c>
      <c r="D5715" t="s">
        <v>188</v>
      </c>
      <c r="E5715" t="s">
        <v>21</v>
      </c>
      <c r="F5715" s="1">
        <v>44228</v>
      </c>
      <c r="G5715">
        <v>1.21</v>
      </c>
      <c r="H5715">
        <v>79.2363</v>
      </c>
      <c r="I5715">
        <v>21.03</v>
      </c>
      <c r="J5715">
        <v>72.66</v>
      </c>
      <c r="K5715" t="s">
        <v>22</v>
      </c>
      <c r="L5715">
        <v>716.77</v>
      </c>
      <c r="M5715">
        <f>VLOOKUP(K5715,RatingLookup!$A$2:$C$8,2,FALSE)</f>
        <v>5.0000000000000001E-3</v>
      </c>
      <c r="N5715">
        <f t="shared" si="267"/>
        <v>4.1762458919303302E-4</v>
      </c>
      <c r="O5715">
        <f>VLOOKUP(K5715,RatingLookup!$A$2:$C$8,3,FALSE)</f>
        <v>0.45</v>
      </c>
      <c r="P5715">
        <f t="shared" si="268"/>
        <v>0.13470334955815064</v>
      </c>
      <c r="Q5715" t="str">
        <f t="shared" ca="1" si="269"/>
        <v>No</v>
      </c>
    </row>
    <row r="5716" spans="1:17" x14ac:dyDescent="0.45">
      <c r="A5716" t="s">
        <v>227</v>
      </c>
      <c r="B5716" t="s">
        <v>228</v>
      </c>
      <c r="C5716" t="s">
        <v>40</v>
      </c>
      <c r="D5716" t="s">
        <v>188</v>
      </c>
      <c r="E5716" t="s">
        <v>21</v>
      </c>
      <c r="F5716" s="1">
        <v>44256</v>
      </c>
      <c r="G5716">
        <v>1.41</v>
      </c>
      <c r="H5716">
        <v>82.849699999999999</v>
      </c>
      <c r="I5716">
        <v>17.079999999999998</v>
      </c>
      <c r="J5716">
        <v>82.47</v>
      </c>
      <c r="K5716" t="s">
        <v>23</v>
      </c>
      <c r="L5716">
        <v>723.41</v>
      </c>
      <c r="M5716">
        <f>VLOOKUP(K5716,RatingLookup!$A$2:$C$8,2,FALSE)</f>
        <v>1E-3</v>
      </c>
      <c r="N5716">
        <f t="shared" si="267"/>
        <v>8.3371552197619714E-5</v>
      </c>
      <c r="O5716">
        <f>VLOOKUP(K5716,RatingLookup!$A$2:$C$8,3,FALSE)</f>
        <v>0.3</v>
      </c>
      <c r="P5716">
        <f t="shared" si="268"/>
        <v>1.8093544372584022E-2</v>
      </c>
      <c r="Q5716" t="str">
        <f t="shared" ca="1" si="269"/>
        <v>No</v>
      </c>
    </row>
    <row r="5717" spans="1:17" x14ac:dyDescent="0.45">
      <c r="A5717" t="s">
        <v>227</v>
      </c>
      <c r="B5717" t="s">
        <v>228</v>
      </c>
      <c r="C5717" t="s">
        <v>40</v>
      </c>
      <c r="D5717" t="s">
        <v>188</v>
      </c>
      <c r="E5717" t="s">
        <v>21</v>
      </c>
      <c r="F5717" s="1">
        <v>44287</v>
      </c>
      <c r="G5717">
        <v>0.24</v>
      </c>
      <c r="H5717">
        <v>72.396100000000004</v>
      </c>
      <c r="I5717">
        <v>21.8</v>
      </c>
      <c r="J5717">
        <v>84.43</v>
      </c>
      <c r="K5717" t="s">
        <v>23</v>
      </c>
      <c r="L5717">
        <v>675.7</v>
      </c>
      <c r="M5717">
        <f>VLOOKUP(K5717,RatingLookup!$A$2:$C$8,2,FALSE)</f>
        <v>1E-3</v>
      </c>
      <c r="N5717">
        <f t="shared" si="267"/>
        <v>8.3371552197619714E-5</v>
      </c>
      <c r="O5717">
        <f>VLOOKUP(K5717,RatingLookup!$A$2:$C$8,3,FALSE)</f>
        <v>0.3</v>
      </c>
      <c r="P5717">
        <f t="shared" si="268"/>
        <v>1.6900247345979492E-2</v>
      </c>
      <c r="Q5717" t="str">
        <f t="shared" ca="1" si="269"/>
        <v>No</v>
      </c>
    </row>
    <row r="5718" spans="1:17" x14ac:dyDescent="0.45">
      <c r="A5718" t="s">
        <v>227</v>
      </c>
      <c r="B5718" t="s">
        <v>228</v>
      </c>
      <c r="C5718" t="s">
        <v>40</v>
      </c>
      <c r="D5718" t="s">
        <v>188</v>
      </c>
      <c r="E5718" t="s">
        <v>21</v>
      </c>
      <c r="F5718" s="1">
        <v>44317</v>
      </c>
      <c r="G5718">
        <v>3.18</v>
      </c>
      <c r="H5718">
        <v>79.707599999999999</v>
      </c>
      <c r="I5718">
        <v>10.220000000000001</v>
      </c>
      <c r="J5718">
        <v>82.6</v>
      </c>
      <c r="K5718" t="s">
        <v>23</v>
      </c>
      <c r="L5718">
        <v>717.06</v>
      </c>
      <c r="M5718">
        <f>VLOOKUP(K5718,RatingLookup!$A$2:$C$8,2,FALSE)</f>
        <v>1E-3</v>
      </c>
      <c r="N5718">
        <f t="shared" si="267"/>
        <v>8.3371552197619714E-5</v>
      </c>
      <c r="O5718">
        <f>VLOOKUP(K5718,RatingLookup!$A$2:$C$8,3,FALSE)</f>
        <v>0.3</v>
      </c>
      <c r="P5718">
        <f t="shared" si="268"/>
        <v>1.7934721565647557E-2</v>
      </c>
      <c r="Q5718" t="str">
        <f t="shared" ca="1" si="269"/>
        <v>No</v>
      </c>
    </row>
    <row r="5719" spans="1:17" x14ac:dyDescent="0.45">
      <c r="A5719" t="s">
        <v>227</v>
      </c>
      <c r="B5719" t="s">
        <v>228</v>
      </c>
      <c r="C5719" t="s">
        <v>40</v>
      </c>
      <c r="D5719" t="s">
        <v>188</v>
      </c>
      <c r="E5719" t="s">
        <v>21</v>
      </c>
      <c r="F5719" s="1">
        <v>44348</v>
      </c>
      <c r="G5719">
        <v>1.73</v>
      </c>
      <c r="H5719">
        <v>78.590900000000005</v>
      </c>
      <c r="I5719">
        <v>29.5</v>
      </c>
      <c r="J5719">
        <v>95.99</v>
      </c>
      <c r="K5719" t="s">
        <v>23</v>
      </c>
      <c r="L5719">
        <v>677.92</v>
      </c>
      <c r="M5719">
        <f>VLOOKUP(K5719,RatingLookup!$A$2:$C$8,2,FALSE)</f>
        <v>1E-3</v>
      </c>
      <c r="N5719">
        <f t="shared" si="267"/>
        <v>8.3371552197619714E-5</v>
      </c>
      <c r="O5719">
        <f>VLOOKUP(K5719,RatingLookup!$A$2:$C$8,3,FALSE)</f>
        <v>0.3</v>
      </c>
      <c r="P5719">
        <f t="shared" si="268"/>
        <v>1.6955772799743106E-2</v>
      </c>
      <c r="Q5719" t="str">
        <f t="shared" ca="1" si="269"/>
        <v>No</v>
      </c>
    </row>
    <row r="5720" spans="1:17" x14ac:dyDescent="0.45">
      <c r="A5720" t="s">
        <v>227</v>
      </c>
      <c r="B5720" t="s">
        <v>228</v>
      </c>
      <c r="C5720" t="s">
        <v>40</v>
      </c>
      <c r="D5720" t="s">
        <v>188</v>
      </c>
      <c r="E5720" t="s">
        <v>21</v>
      </c>
      <c r="F5720" s="1">
        <v>44378</v>
      </c>
      <c r="G5720">
        <v>0.44</v>
      </c>
      <c r="H5720">
        <v>78.176699999999997</v>
      </c>
      <c r="I5720">
        <v>22.93</v>
      </c>
      <c r="J5720">
        <v>89.67</v>
      </c>
      <c r="K5720" t="s">
        <v>23</v>
      </c>
      <c r="L5720">
        <v>708.51</v>
      </c>
      <c r="M5720">
        <f>VLOOKUP(K5720,RatingLookup!$A$2:$C$8,2,FALSE)</f>
        <v>1E-3</v>
      </c>
      <c r="N5720">
        <f t="shared" si="267"/>
        <v>8.3371552197619714E-5</v>
      </c>
      <c r="O5720">
        <f>VLOOKUP(K5720,RatingLookup!$A$2:$C$8,3,FALSE)</f>
        <v>0.3</v>
      </c>
      <c r="P5720">
        <f t="shared" si="268"/>
        <v>1.7720873534260662E-2</v>
      </c>
      <c r="Q5720" t="str">
        <f t="shared" ca="1" si="269"/>
        <v>No</v>
      </c>
    </row>
    <row r="5721" spans="1:17" x14ac:dyDescent="0.45">
      <c r="A5721" t="s">
        <v>227</v>
      </c>
      <c r="B5721" t="s">
        <v>228</v>
      </c>
      <c r="C5721" t="s">
        <v>40</v>
      </c>
      <c r="D5721" t="s">
        <v>188</v>
      </c>
      <c r="E5721" t="s">
        <v>21</v>
      </c>
      <c r="F5721" s="1">
        <v>44409</v>
      </c>
      <c r="G5721">
        <v>1.65</v>
      </c>
      <c r="H5721">
        <v>84.298599999999993</v>
      </c>
      <c r="I5721">
        <v>18.670000000000002</v>
      </c>
      <c r="J5721">
        <v>75.72</v>
      </c>
      <c r="K5721" t="s">
        <v>23</v>
      </c>
      <c r="L5721">
        <v>742.19</v>
      </c>
      <c r="M5721">
        <f>VLOOKUP(K5721,RatingLookup!$A$2:$C$8,2,FALSE)</f>
        <v>1E-3</v>
      </c>
      <c r="N5721">
        <f t="shared" si="267"/>
        <v>8.3371552197619714E-5</v>
      </c>
      <c r="O5721">
        <f>VLOOKUP(K5721,RatingLookup!$A$2:$C$8,3,FALSE)</f>
        <v>0.3</v>
      </c>
      <c r="P5721">
        <f t="shared" si="268"/>
        <v>1.8563259697665414E-2</v>
      </c>
      <c r="Q5721" t="str">
        <f t="shared" ca="1" si="269"/>
        <v>No</v>
      </c>
    </row>
    <row r="5722" spans="1:17" x14ac:dyDescent="0.45">
      <c r="A5722" t="s">
        <v>227</v>
      </c>
      <c r="B5722" t="s">
        <v>228</v>
      </c>
      <c r="C5722" t="s">
        <v>40</v>
      </c>
      <c r="D5722" t="s">
        <v>188</v>
      </c>
      <c r="E5722" t="s">
        <v>21</v>
      </c>
      <c r="F5722" s="1">
        <v>44440</v>
      </c>
      <c r="G5722">
        <v>0.94</v>
      </c>
      <c r="H5722">
        <v>82.531599999999997</v>
      </c>
      <c r="I5722">
        <v>15.86</v>
      </c>
      <c r="J5722">
        <v>75.62</v>
      </c>
      <c r="K5722" t="s">
        <v>23</v>
      </c>
      <c r="L5722">
        <v>657.38</v>
      </c>
      <c r="M5722">
        <f>VLOOKUP(K5722,RatingLookup!$A$2:$C$8,2,FALSE)</f>
        <v>1E-3</v>
      </c>
      <c r="N5722">
        <f t="shared" si="267"/>
        <v>8.3371552197619714E-5</v>
      </c>
      <c r="O5722">
        <f>VLOOKUP(K5722,RatingLookup!$A$2:$C$8,3,FALSE)</f>
        <v>0.3</v>
      </c>
      <c r="P5722">
        <f t="shared" si="268"/>
        <v>1.6442037295101374E-2</v>
      </c>
      <c r="Q5722" t="str">
        <f t="shared" ca="1" si="269"/>
        <v>No</v>
      </c>
    </row>
    <row r="5723" spans="1:17" x14ac:dyDescent="0.45">
      <c r="A5723" t="s">
        <v>227</v>
      </c>
      <c r="B5723" t="s">
        <v>228</v>
      </c>
      <c r="C5723" t="s">
        <v>40</v>
      </c>
      <c r="D5723" t="s">
        <v>188</v>
      </c>
      <c r="E5723" t="s">
        <v>21</v>
      </c>
      <c r="F5723" s="1">
        <v>44470</v>
      </c>
      <c r="G5723">
        <v>2.25</v>
      </c>
      <c r="H5723">
        <v>82.102000000000004</v>
      </c>
      <c r="I5723">
        <v>15.54</v>
      </c>
      <c r="J5723">
        <v>70.400000000000006</v>
      </c>
      <c r="K5723" t="s">
        <v>23</v>
      </c>
      <c r="L5723">
        <v>676.43</v>
      </c>
      <c r="M5723">
        <f>VLOOKUP(K5723,RatingLookup!$A$2:$C$8,2,FALSE)</f>
        <v>1E-3</v>
      </c>
      <c r="N5723">
        <f t="shared" si="267"/>
        <v>8.3371552197619714E-5</v>
      </c>
      <c r="O5723">
        <f>VLOOKUP(K5723,RatingLookup!$A$2:$C$8,3,FALSE)</f>
        <v>0.3</v>
      </c>
      <c r="P5723">
        <f t="shared" si="268"/>
        <v>1.6918505715910769E-2</v>
      </c>
      <c r="Q5723" t="str">
        <f t="shared" ca="1" si="269"/>
        <v>No</v>
      </c>
    </row>
    <row r="5724" spans="1:17" x14ac:dyDescent="0.45">
      <c r="A5724" t="s">
        <v>227</v>
      </c>
      <c r="B5724" t="s">
        <v>228</v>
      </c>
      <c r="C5724" t="s">
        <v>40</v>
      </c>
      <c r="D5724" t="s">
        <v>188</v>
      </c>
      <c r="E5724" t="s">
        <v>21</v>
      </c>
      <c r="F5724" s="1">
        <v>44501</v>
      </c>
      <c r="G5724">
        <v>1.1299999999999999</v>
      </c>
      <c r="H5724">
        <v>84.289199999999994</v>
      </c>
      <c r="I5724">
        <v>6.43</v>
      </c>
      <c r="J5724">
        <v>87.35</v>
      </c>
      <c r="K5724" t="s">
        <v>23</v>
      </c>
      <c r="L5724">
        <v>682</v>
      </c>
      <c r="M5724">
        <f>VLOOKUP(K5724,RatingLookup!$A$2:$C$8,2,FALSE)</f>
        <v>1E-3</v>
      </c>
      <c r="N5724">
        <f t="shared" si="267"/>
        <v>8.3371552197619714E-5</v>
      </c>
      <c r="O5724">
        <f>VLOOKUP(K5724,RatingLookup!$A$2:$C$8,3,FALSE)</f>
        <v>0.3</v>
      </c>
      <c r="P5724">
        <f t="shared" si="268"/>
        <v>1.7057819579632993E-2</v>
      </c>
      <c r="Q5724" t="str">
        <f t="shared" ca="1" si="269"/>
        <v>No</v>
      </c>
    </row>
    <row r="5725" spans="1:17" x14ac:dyDescent="0.45">
      <c r="A5725" t="s">
        <v>227</v>
      </c>
      <c r="B5725" t="s">
        <v>228</v>
      </c>
      <c r="C5725" t="s">
        <v>40</v>
      </c>
      <c r="D5725" t="s">
        <v>188</v>
      </c>
      <c r="E5725" t="s">
        <v>21</v>
      </c>
      <c r="F5725" s="1">
        <v>44531</v>
      </c>
      <c r="G5725">
        <v>1.7</v>
      </c>
      <c r="H5725">
        <v>83.584999999999994</v>
      </c>
      <c r="I5725">
        <v>10.6</v>
      </c>
      <c r="J5725">
        <v>63.32</v>
      </c>
      <c r="K5725" t="s">
        <v>23</v>
      </c>
      <c r="L5725">
        <v>692.57</v>
      </c>
      <c r="M5725">
        <f>VLOOKUP(K5725,RatingLookup!$A$2:$C$8,2,FALSE)</f>
        <v>1E-3</v>
      </c>
      <c r="N5725">
        <f t="shared" si="267"/>
        <v>8.3371552197619714E-5</v>
      </c>
      <c r="O5725">
        <f>VLOOKUP(K5725,RatingLookup!$A$2:$C$8,3,FALSE)</f>
        <v>0.3</v>
      </c>
      <c r="P5725">
        <f t="shared" si="268"/>
        <v>1.7322190771651647E-2</v>
      </c>
      <c r="Q5725" t="str">
        <f t="shared" ca="1" si="269"/>
        <v>No</v>
      </c>
    </row>
    <row r="5726" spans="1:17" x14ac:dyDescent="0.45">
      <c r="A5726" t="s">
        <v>227</v>
      </c>
      <c r="B5726" t="s">
        <v>228</v>
      </c>
      <c r="C5726" t="s">
        <v>40</v>
      </c>
      <c r="D5726" t="s">
        <v>188</v>
      </c>
      <c r="E5726" t="s">
        <v>21</v>
      </c>
      <c r="F5726" s="1">
        <v>44562</v>
      </c>
      <c r="G5726">
        <v>0.61</v>
      </c>
      <c r="H5726">
        <v>83.9559</v>
      </c>
      <c r="I5726">
        <v>15.98</v>
      </c>
      <c r="J5726">
        <v>75.98</v>
      </c>
      <c r="K5726" t="s">
        <v>23</v>
      </c>
      <c r="L5726">
        <v>630.72</v>
      </c>
      <c r="M5726">
        <f>VLOOKUP(K5726,RatingLookup!$A$2:$C$8,2,FALSE)</f>
        <v>1E-3</v>
      </c>
      <c r="N5726">
        <f t="shared" si="267"/>
        <v>8.3371552197619714E-5</v>
      </c>
      <c r="O5726">
        <f>VLOOKUP(K5726,RatingLookup!$A$2:$C$8,3,FALSE)</f>
        <v>0.3</v>
      </c>
      <c r="P5726">
        <f t="shared" si="268"/>
        <v>1.5775231620624813E-2</v>
      </c>
      <c r="Q5726" t="str">
        <f t="shared" ca="1" si="269"/>
        <v>No</v>
      </c>
    </row>
    <row r="5727" spans="1:17" x14ac:dyDescent="0.45">
      <c r="A5727" t="s">
        <v>227</v>
      </c>
      <c r="B5727" t="s">
        <v>228</v>
      </c>
      <c r="C5727" t="s">
        <v>40</v>
      </c>
      <c r="D5727" t="s">
        <v>188</v>
      </c>
      <c r="E5727" t="s">
        <v>21</v>
      </c>
      <c r="F5727" s="1">
        <v>44593</v>
      </c>
      <c r="G5727">
        <v>1.36</v>
      </c>
      <c r="H5727">
        <v>79.049099999999996</v>
      </c>
      <c r="I5727">
        <v>17.34</v>
      </c>
      <c r="J5727">
        <v>73.36</v>
      </c>
      <c r="K5727" t="s">
        <v>23</v>
      </c>
      <c r="L5727">
        <v>680.5</v>
      </c>
      <c r="M5727">
        <f>VLOOKUP(K5727,RatingLookup!$A$2:$C$8,2,FALSE)</f>
        <v>1E-3</v>
      </c>
      <c r="N5727">
        <f t="shared" si="267"/>
        <v>8.3371552197619714E-5</v>
      </c>
      <c r="O5727">
        <f>VLOOKUP(K5727,RatingLookup!$A$2:$C$8,3,FALSE)</f>
        <v>0.3</v>
      </c>
      <c r="P5727">
        <f t="shared" si="268"/>
        <v>1.7020302381144065E-2</v>
      </c>
      <c r="Q5727" t="str">
        <f t="shared" ca="1" si="269"/>
        <v>No</v>
      </c>
    </row>
    <row r="5728" spans="1:17" x14ac:dyDescent="0.45">
      <c r="A5728" t="s">
        <v>227</v>
      </c>
      <c r="B5728" t="s">
        <v>228</v>
      </c>
      <c r="C5728" t="s">
        <v>40</v>
      </c>
      <c r="D5728" t="s">
        <v>188</v>
      </c>
      <c r="E5728" t="s">
        <v>21</v>
      </c>
      <c r="F5728" s="1">
        <v>44621</v>
      </c>
      <c r="G5728">
        <v>2.4700000000000002</v>
      </c>
      <c r="H5728">
        <v>82.387799999999999</v>
      </c>
      <c r="I5728">
        <v>19.52</v>
      </c>
      <c r="J5728">
        <v>84.43</v>
      </c>
      <c r="K5728" t="s">
        <v>23</v>
      </c>
      <c r="L5728">
        <v>707.08</v>
      </c>
      <c r="M5728">
        <f>VLOOKUP(K5728,RatingLookup!$A$2:$C$8,2,FALSE)</f>
        <v>1E-3</v>
      </c>
      <c r="N5728">
        <f t="shared" si="267"/>
        <v>8.3371552197619714E-5</v>
      </c>
      <c r="O5728">
        <f>VLOOKUP(K5728,RatingLookup!$A$2:$C$8,3,FALSE)</f>
        <v>0.3</v>
      </c>
      <c r="P5728">
        <f t="shared" si="268"/>
        <v>1.7685107138367885E-2</v>
      </c>
      <c r="Q5728" t="str">
        <f t="shared" ca="1" si="269"/>
        <v>No</v>
      </c>
    </row>
    <row r="5729" spans="1:17" x14ac:dyDescent="0.45">
      <c r="A5729" t="s">
        <v>227</v>
      </c>
      <c r="B5729" t="s">
        <v>228</v>
      </c>
      <c r="C5729" t="s">
        <v>40</v>
      </c>
      <c r="D5729" t="s">
        <v>188</v>
      </c>
      <c r="E5729" t="s">
        <v>21</v>
      </c>
      <c r="F5729" s="1">
        <v>44652</v>
      </c>
      <c r="G5729">
        <v>1.49</v>
      </c>
      <c r="H5729">
        <v>84.604799999999997</v>
      </c>
      <c r="I5729">
        <v>15.07</v>
      </c>
      <c r="J5729">
        <v>73.19</v>
      </c>
      <c r="K5729" t="s">
        <v>23</v>
      </c>
      <c r="L5729">
        <v>670.96</v>
      </c>
      <c r="M5729">
        <f>VLOOKUP(K5729,RatingLookup!$A$2:$C$8,2,FALSE)</f>
        <v>1E-3</v>
      </c>
      <c r="N5729">
        <f t="shared" si="267"/>
        <v>8.3371552197619714E-5</v>
      </c>
      <c r="O5729">
        <f>VLOOKUP(K5729,RatingLookup!$A$2:$C$8,3,FALSE)</f>
        <v>0.3</v>
      </c>
      <c r="P5729">
        <f t="shared" si="268"/>
        <v>1.6781692998754476E-2</v>
      </c>
      <c r="Q5729" t="str">
        <f t="shared" ca="1" si="269"/>
        <v>No</v>
      </c>
    </row>
    <row r="5730" spans="1:17" x14ac:dyDescent="0.45">
      <c r="A5730" t="s">
        <v>227</v>
      </c>
      <c r="B5730" t="s">
        <v>228</v>
      </c>
      <c r="C5730" t="s">
        <v>40</v>
      </c>
      <c r="D5730" t="s">
        <v>188</v>
      </c>
      <c r="E5730" t="s">
        <v>21</v>
      </c>
      <c r="F5730" s="1">
        <v>44682</v>
      </c>
      <c r="G5730">
        <v>2.35</v>
      </c>
      <c r="H5730">
        <v>83.948599999999999</v>
      </c>
      <c r="I5730">
        <v>19.96</v>
      </c>
      <c r="J5730">
        <v>93.38</v>
      </c>
      <c r="K5730" t="s">
        <v>23</v>
      </c>
      <c r="L5730">
        <v>664.27</v>
      </c>
      <c r="M5730">
        <f>VLOOKUP(K5730,RatingLookup!$A$2:$C$8,2,FALSE)</f>
        <v>1E-3</v>
      </c>
      <c r="N5730">
        <f t="shared" si="267"/>
        <v>8.3371552197619714E-5</v>
      </c>
      <c r="O5730">
        <f>VLOOKUP(K5730,RatingLookup!$A$2:$C$8,3,FALSE)</f>
        <v>0.3</v>
      </c>
      <c r="P5730">
        <f t="shared" si="268"/>
        <v>1.6614366293493853E-2</v>
      </c>
      <c r="Q5730" t="str">
        <f t="shared" ca="1" si="269"/>
        <v>No</v>
      </c>
    </row>
    <row r="5731" spans="1:17" x14ac:dyDescent="0.45">
      <c r="A5731" t="s">
        <v>227</v>
      </c>
      <c r="B5731" t="s">
        <v>228</v>
      </c>
      <c r="C5731" t="s">
        <v>40</v>
      </c>
      <c r="D5731" t="s">
        <v>188</v>
      </c>
      <c r="E5731" t="s">
        <v>21</v>
      </c>
      <c r="F5731" s="1">
        <v>44713</v>
      </c>
      <c r="G5731">
        <v>1.45</v>
      </c>
      <c r="H5731">
        <v>85.396500000000003</v>
      </c>
      <c r="I5731">
        <v>28.72</v>
      </c>
      <c r="J5731">
        <v>73.739999999999995</v>
      </c>
      <c r="K5731" t="s">
        <v>23</v>
      </c>
      <c r="L5731">
        <v>692.94</v>
      </c>
      <c r="M5731">
        <f>VLOOKUP(K5731,RatingLookup!$A$2:$C$8,2,FALSE)</f>
        <v>1E-3</v>
      </c>
      <c r="N5731">
        <f t="shared" si="267"/>
        <v>8.3371552197619714E-5</v>
      </c>
      <c r="O5731">
        <f>VLOOKUP(K5731,RatingLookup!$A$2:$C$8,3,FALSE)</f>
        <v>0.3</v>
      </c>
      <c r="P5731">
        <f t="shared" si="268"/>
        <v>1.7331445013945582E-2</v>
      </c>
      <c r="Q5731" t="str">
        <f t="shared" ca="1" si="269"/>
        <v>No</v>
      </c>
    </row>
    <row r="5732" spans="1:17" x14ac:dyDescent="0.45">
      <c r="A5732" t="s">
        <v>227</v>
      </c>
      <c r="B5732" t="s">
        <v>228</v>
      </c>
      <c r="C5732" t="s">
        <v>40</v>
      </c>
      <c r="D5732" t="s">
        <v>188</v>
      </c>
      <c r="E5732" t="s">
        <v>21</v>
      </c>
      <c r="F5732" s="1">
        <v>44743</v>
      </c>
      <c r="G5732">
        <v>1.1499999999999999</v>
      </c>
      <c r="H5732">
        <v>86.765199999999993</v>
      </c>
      <c r="I5732">
        <v>18.88</v>
      </c>
      <c r="J5732">
        <v>73.150000000000006</v>
      </c>
      <c r="K5732" t="s">
        <v>23</v>
      </c>
      <c r="L5732">
        <v>717.81</v>
      </c>
      <c r="M5732">
        <f>VLOOKUP(K5732,RatingLookup!$A$2:$C$8,2,FALSE)</f>
        <v>1E-3</v>
      </c>
      <c r="N5732">
        <f t="shared" si="267"/>
        <v>8.3371552197619714E-5</v>
      </c>
      <c r="O5732">
        <f>VLOOKUP(K5732,RatingLookup!$A$2:$C$8,3,FALSE)</f>
        <v>0.3</v>
      </c>
      <c r="P5732">
        <f t="shared" si="268"/>
        <v>1.7953480164892021E-2</v>
      </c>
      <c r="Q5732" t="str">
        <f t="shared" ca="1" si="269"/>
        <v>No</v>
      </c>
    </row>
    <row r="5733" spans="1:17" x14ac:dyDescent="0.45">
      <c r="A5733" t="s">
        <v>227</v>
      </c>
      <c r="B5733" t="s">
        <v>228</v>
      </c>
      <c r="C5733" t="s">
        <v>40</v>
      </c>
      <c r="D5733" t="s">
        <v>188</v>
      </c>
      <c r="E5733" t="s">
        <v>21</v>
      </c>
      <c r="F5733" s="1">
        <v>44774</v>
      </c>
      <c r="G5733">
        <v>2.63</v>
      </c>
      <c r="H5733">
        <v>83.954099999999997</v>
      </c>
      <c r="I5733">
        <v>17.23</v>
      </c>
      <c r="J5733">
        <v>66.83</v>
      </c>
      <c r="K5733" t="s">
        <v>23</v>
      </c>
      <c r="L5733">
        <v>706.66</v>
      </c>
      <c r="M5733">
        <f>VLOOKUP(K5733,RatingLookup!$A$2:$C$8,2,FALSE)</f>
        <v>1E-3</v>
      </c>
      <c r="N5733">
        <f t="shared" si="267"/>
        <v>8.3371552197619714E-5</v>
      </c>
      <c r="O5733">
        <f>VLOOKUP(K5733,RatingLookup!$A$2:$C$8,3,FALSE)</f>
        <v>0.3</v>
      </c>
      <c r="P5733">
        <f t="shared" si="268"/>
        <v>1.7674602322790983E-2</v>
      </c>
      <c r="Q5733" t="str">
        <f t="shared" ca="1" si="269"/>
        <v>No</v>
      </c>
    </row>
    <row r="5734" spans="1:17" x14ac:dyDescent="0.45">
      <c r="A5734" t="s">
        <v>227</v>
      </c>
      <c r="B5734" t="s">
        <v>228</v>
      </c>
      <c r="C5734" t="s">
        <v>40</v>
      </c>
      <c r="D5734" t="s">
        <v>188</v>
      </c>
      <c r="E5734" t="s">
        <v>21</v>
      </c>
      <c r="F5734" s="1">
        <v>44805</v>
      </c>
      <c r="G5734">
        <v>0.73</v>
      </c>
      <c r="H5734">
        <v>84.634100000000004</v>
      </c>
      <c r="I5734">
        <v>21.7</v>
      </c>
      <c r="J5734">
        <v>79.45</v>
      </c>
      <c r="K5734" t="s">
        <v>23</v>
      </c>
      <c r="L5734">
        <v>749.81</v>
      </c>
      <c r="M5734">
        <f>VLOOKUP(K5734,RatingLookup!$A$2:$C$8,2,FALSE)</f>
        <v>1E-3</v>
      </c>
      <c r="N5734">
        <f t="shared" si="267"/>
        <v>8.3371552197619714E-5</v>
      </c>
      <c r="O5734">
        <f>VLOOKUP(K5734,RatingLookup!$A$2:$C$8,3,FALSE)</f>
        <v>0.3</v>
      </c>
      <c r="P5734">
        <f t="shared" si="268"/>
        <v>1.875384706598917E-2</v>
      </c>
      <c r="Q5734" t="str">
        <f t="shared" ca="1" si="269"/>
        <v>No</v>
      </c>
    </row>
    <row r="5735" spans="1:17" x14ac:dyDescent="0.45">
      <c r="A5735" t="s">
        <v>227</v>
      </c>
      <c r="B5735" t="s">
        <v>228</v>
      </c>
      <c r="C5735" t="s">
        <v>40</v>
      </c>
      <c r="D5735" t="s">
        <v>188</v>
      </c>
      <c r="E5735" t="s">
        <v>21</v>
      </c>
      <c r="F5735" s="1">
        <v>44835</v>
      </c>
      <c r="G5735">
        <v>2.0499999999999998</v>
      </c>
      <c r="H5735">
        <v>84.263599999999997</v>
      </c>
      <c r="I5735">
        <v>16.899999999999999</v>
      </c>
      <c r="J5735">
        <v>81.66</v>
      </c>
      <c r="K5735" t="s">
        <v>23</v>
      </c>
      <c r="L5735">
        <v>678.78</v>
      </c>
      <c r="M5735">
        <f>VLOOKUP(K5735,RatingLookup!$A$2:$C$8,2,FALSE)</f>
        <v>1E-3</v>
      </c>
      <c r="N5735">
        <f t="shared" si="267"/>
        <v>8.3371552197619714E-5</v>
      </c>
      <c r="O5735">
        <f>VLOOKUP(K5735,RatingLookup!$A$2:$C$8,3,FALSE)</f>
        <v>0.3</v>
      </c>
      <c r="P5735">
        <f t="shared" si="268"/>
        <v>1.6977282660210091E-2</v>
      </c>
      <c r="Q5735" t="str">
        <f t="shared" ca="1" si="269"/>
        <v>No</v>
      </c>
    </row>
    <row r="5736" spans="1:17" x14ac:dyDescent="0.45">
      <c r="A5736" t="s">
        <v>227</v>
      </c>
      <c r="B5736" t="s">
        <v>228</v>
      </c>
      <c r="C5736" t="s">
        <v>40</v>
      </c>
      <c r="D5736" t="s">
        <v>188</v>
      </c>
      <c r="E5736" t="s">
        <v>21</v>
      </c>
      <c r="F5736" s="1">
        <v>44866</v>
      </c>
      <c r="G5736">
        <v>1.44</v>
      </c>
      <c r="H5736">
        <v>78.440899999999999</v>
      </c>
      <c r="I5736">
        <v>21.88</v>
      </c>
      <c r="J5736">
        <v>80.42</v>
      </c>
      <c r="K5736" t="s">
        <v>23</v>
      </c>
      <c r="L5736">
        <v>647.21</v>
      </c>
      <c r="M5736">
        <f>VLOOKUP(K5736,RatingLookup!$A$2:$C$8,2,FALSE)</f>
        <v>1E-3</v>
      </c>
      <c r="N5736">
        <f t="shared" si="267"/>
        <v>8.3371552197619714E-5</v>
      </c>
      <c r="O5736">
        <f>VLOOKUP(K5736,RatingLookup!$A$2:$C$8,3,FALSE)</f>
        <v>0.3</v>
      </c>
      <c r="P5736">
        <f t="shared" si="268"/>
        <v>1.6187670689346435E-2</v>
      </c>
      <c r="Q5736" t="str">
        <f t="shared" ca="1" si="269"/>
        <v>No</v>
      </c>
    </row>
    <row r="5737" spans="1:17" x14ac:dyDescent="0.45">
      <c r="A5737" t="s">
        <v>227</v>
      </c>
      <c r="B5737" t="s">
        <v>228</v>
      </c>
      <c r="C5737" t="s">
        <v>40</v>
      </c>
      <c r="D5737" t="s">
        <v>188</v>
      </c>
      <c r="E5737" t="s">
        <v>21</v>
      </c>
      <c r="F5737" s="1">
        <v>44896</v>
      </c>
      <c r="G5737">
        <v>1.5</v>
      </c>
      <c r="H5737">
        <v>82.8506</v>
      </c>
      <c r="I5737">
        <v>20.04</v>
      </c>
      <c r="J5737">
        <v>80.81</v>
      </c>
      <c r="K5737" t="s">
        <v>23</v>
      </c>
      <c r="L5737">
        <v>705.1</v>
      </c>
      <c r="M5737">
        <f>VLOOKUP(K5737,RatingLookup!$A$2:$C$8,2,FALSE)</f>
        <v>1E-3</v>
      </c>
      <c r="N5737">
        <f t="shared" si="267"/>
        <v>8.3371552197619714E-5</v>
      </c>
      <c r="O5737">
        <f>VLOOKUP(K5737,RatingLookup!$A$2:$C$8,3,FALSE)</f>
        <v>0.3</v>
      </c>
      <c r="P5737">
        <f t="shared" si="268"/>
        <v>1.7635584436362498E-2</v>
      </c>
      <c r="Q5737" t="str">
        <f t="shared" ca="1" si="269"/>
        <v>No</v>
      </c>
    </row>
    <row r="5738" spans="1:17" x14ac:dyDescent="0.45">
      <c r="A5738" t="s">
        <v>227</v>
      </c>
      <c r="B5738" t="s">
        <v>228</v>
      </c>
      <c r="C5738" t="s">
        <v>40</v>
      </c>
      <c r="D5738" t="s">
        <v>188</v>
      </c>
      <c r="E5738" t="s">
        <v>21</v>
      </c>
      <c r="F5738" s="1">
        <v>44927</v>
      </c>
      <c r="G5738">
        <v>1.59</v>
      </c>
      <c r="H5738">
        <v>82.191599999999994</v>
      </c>
      <c r="I5738">
        <v>17.079999999999998</v>
      </c>
      <c r="J5738">
        <v>83.34</v>
      </c>
      <c r="K5738" t="s">
        <v>23</v>
      </c>
      <c r="L5738">
        <v>811.84</v>
      </c>
      <c r="M5738">
        <f>VLOOKUP(K5738,RatingLookup!$A$2:$C$8,2,FALSE)</f>
        <v>1E-3</v>
      </c>
      <c r="N5738">
        <f t="shared" si="267"/>
        <v>8.3371552197619714E-5</v>
      </c>
      <c r="O5738">
        <f>VLOOKUP(K5738,RatingLookup!$A$2:$C$8,3,FALSE)</f>
        <v>0.3</v>
      </c>
      <c r="P5738">
        <f t="shared" si="268"/>
        <v>2.0305308280834676E-2</v>
      </c>
      <c r="Q5738" t="str">
        <f t="shared" ca="1" si="269"/>
        <v>No</v>
      </c>
    </row>
    <row r="5739" spans="1:17" x14ac:dyDescent="0.45">
      <c r="A5739" t="s">
        <v>227</v>
      </c>
      <c r="B5739" t="s">
        <v>228</v>
      </c>
      <c r="C5739" t="s">
        <v>40</v>
      </c>
      <c r="D5739" t="s">
        <v>188</v>
      </c>
      <c r="E5739" t="s">
        <v>21</v>
      </c>
      <c r="F5739" s="1">
        <v>44958</v>
      </c>
      <c r="G5739">
        <v>1.47</v>
      </c>
      <c r="H5739">
        <v>82.517600000000002</v>
      </c>
      <c r="I5739">
        <v>14.77</v>
      </c>
      <c r="J5739">
        <v>72.05</v>
      </c>
      <c r="K5739" t="s">
        <v>23</v>
      </c>
      <c r="L5739">
        <v>685.6</v>
      </c>
      <c r="M5739">
        <f>VLOOKUP(K5739,RatingLookup!$A$2:$C$8,2,FALSE)</f>
        <v>1E-3</v>
      </c>
      <c r="N5739">
        <f t="shared" si="267"/>
        <v>8.3371552197619714E-5</v>
      </c>
      <c r="O5739">
        <f>VLOOKUP(K5739,RatingLookup!$A$2:$C$8,3,FALSE)</f>
        <v>0.3</v>
      </c>
      <c r="P5739">
        <f t="shared" si="268"/>
        <v>1.7147860856006423E-2</v>
      </c>
      <c r="Q5739" t="str">
        <f t="shared" ca="1" si="269"/>
        <v>No</v>
      </c>
    </row>
    <row r="5740" spans="1:17" x14ac:dyDescent="0.45">
      <c r="A5740" t="s">
        <v>227</v>
      </c>
      <c r="B5740" t="s">
        <v>228</v>
      </c>
      <c r="C5740" t="s">
        <v>40</v>
      </c>
      <c r="D5740" t="s">
        <v>188</v>
      </c>
      <c r="E5740" t="s">
        <v>21</v>
      </c>
      <c r="F5740" s="1">
        <v>44986</v>
      </c>
      <c r="G5740">
        <v>1.44</v>
      </c>
      <c r="H5740">
        <v>85.601500000000001</v>
      </c>
      <c r="I5740">
        <v>6.48</v>
      </c>
      <c r="J5740">
        <v>77.06</v>
      </c>
      <c r="K5740" t="s">
        <v>23</v>
      </c>
      <c r="L5740">
        <v>696.1</v>
      </c>
      <c r="M5740">
        <f>VLOOKUP(K5740,RatingLookup!$A$2:$C$8,2,FALSE)</f>
        <v>1E-3</v>
      </c>
      <c r="N5740">
        <f t="shared" si="267"/>
        <v>8.3371552197619714E-5</v>
      </c>
      <c r="O5740">
        <f>VLOOKUP(K5740,RatingLookup!$A$2:$C$8,3,FALSE)</f>
        <v>0.3</v>
      </c>
      <c r="P5740">
        <f t="shared" si="268"/>
        <v>1.7410481245428926E-2</v>
      </c>
      <c r="Q5740" t="str">
        <f t="shared" ca="1" si="269"/>
        <v>No</v>
      </c>
    </row>
    <row r="5741" spans="1:17" x14ac:dyDescent="0.45">
      <c r="A5741" t="s">
        <v>227</v>
      </c>
      <c r="B5741" t="s">
        <v>228</v>
      </c>
      <c r="C5741" t="s">
        <v>40</v>
      </c>
      <c r="D5741" t="s">
        <v>188</v>
      </c>
      <c r="E5741" t="s">
        <v>21</v>
      </c>
      <c r="F5741" s="1">
        <v>45017</v>
      </c>
      <c r="G5741">
        <v>0.77</v>
      </c>
      <c r="H5741">
        <v>80.721299999999999</v>
      </c>
      <c r="I5741">
        <v>7.81</v>
      </c>
      <c r="J5741">
        <v>77.31</v>
      </c>
      <c r="K5741" t="s">
        <v>23</v>
      </c>
      <c r="L5741">
        <v>717.48</v>
      </c>
      <c r="M5741">
        <f>VLOOKUP(K5741,RatingLookup!$A$2:$C$8,2,FALSE)</f>
        <v>1E-3</v>
      </c>
      <c r="N5741">
        <f t="shared" si="267"/>
        <v>8.3371552197619714E-5</v>
      </c>
      <c r="O5741">
        <f>VLOOKUP(K5741,RatingLookup!$A$2:$C$8,3,FALSE)</f>
        <v>0.3</v>
      </c>
      <c r="P5741">
        <f t="shared" si="268"/>
        <v>1.7945226381224456E-2</v>
      </c>
      <c r="Q5741" t="str">
        <f t="shared" ca="1" si="269"/>
        <v>No</v>
      </c>
    </row>
    <row r="5742" spans="1:17" x14ac:dyDescent="0.45">
      <c r="A5742" t="s">
        <v>227</v>
      </c>
      <c r="B5742" t="s">
        <v>228</v>
      </c>
      <c r="C5742" t="s">
        <v>40</v>
      </c>
      <c r="D5742" t="s">
        <v>188</v>
      </c>
      <c r="E5742" t="s">
        <v>21</v>
      </c>
      <c r="F5742" s="1">
        <v>45047</v>
      </c>
      <c r="G5742">
        <v>1.55</v>
      </c>
      <c r="H5742">
        <v>80.492500000000007</v>
      </c>
      <c r="I5742">
        <v>19.350000000000001</v>
      </c>
      <c r="J5742">
        <v>79.52</v>
      </c>
      <c r="K5742" t="s">
        <v>23</v>
      </c>
      <c r="L5742">
        <v>711.55</v>
      </c>
      <c r="M5742">
        <f>VLOOKUP(K5742,RatingLookup!$A$2:$C$8,2,FALSE)</f>
        <v>1E-3</v>
      </c>
      <c r="N5742">
        <f t="shared" si="267"/>
        <v>8.3371552197619714E-5</v>
      </c>
      <c r="O5742">
        <f>VLOOKUP(K5742,RatingLookup!$A$2:$C$8,3,FALSE)</f>
        <v>0.3</v>
      </c>
      <c r="P5742">
        <f t="shared" si="268"/>
        <v>1.7796908389864891E-2</v>
      </c>
      <c r="Q5742" t="str">
        <f t="shared" ca="1" si="269"/>
        <v>No</v>
      </c>
    </row>
    <row r="5743" spans="1:17" x14ac:dyDescent="0.45">
      <c r="A5743" t="s">
        <v>227</v>
      </c>
      <c r="B5743" t="s">
        <v>228</v>
      </c>
      <c r="C5743" t="s">
        <v>40</v>
      </c>
      <c r="D5743" t="s">
        <v>188</v>
      </c>
      <c r="E5743" t="s">
        <v>21</v>
      </c>
      <c r="F5743" s="1">
        <v>45078</v>
      </c>
      <c r="G5743">
        <v>1.97</v>
      </c>
      <c r="H5743">
        <v>80.6614</v>
      </c>
      <c r="I5743">
        <v>17.690000000000001</v>
      </c>
      <c r="J5743">
        <v>59.36</v>
      </c>
      <c r="K5743" t="s">
        <v>23</v>
      </c>
      <c r="L5743">
        <v>744.5</v>
      </c>
      <c r="M5743">
        <f>VLOOKUP(K5743,RatingLookup!$A$2:$C$8,2,FALSE)</f>
        <v>1E-3</v>
      </c>
      <c r="N5743">
        <f t="shared" si="267"/>
        <v>8.3371552197619714E-5</v>
      </c>
      <c r="O5743">
        <f>VLOOKUP(K5743,RatingLookup!$A$2:$C$8,3,FALSE)</f>
        <v>0.3</v>
      </c>
      <c r="P5743">
        <f t="shared" si="268"/>
        <v>1.8621036183338362E-2</v>
      </c>
      <c r="Q5743" t="str">
        <f t="shared" ca="1" si="269"/>
        <v>No</v>
      </c>
    </row>
    <row r="5744" spans="1:17" x14ac:dyDescent="0.45">
      <c r="A5744" t="s">
        <v>227</v>
      </c>
      <c r="B5744" t="s">
        <v>228</v>
      </c>
      <c r="C5744" t="s">
        <v>40</v>
      </c>
      <c r="D5744" t="s">
        <v>188</v>
      </c>
      <c r="E5744" t="s">
        <v>21</v>
      </c>
      <c r="F5744" s="1">
        <v>45108</v>
      </c>
      <c r="G5744">
        <v>2.62</v>
      </c>
      <c r="H5744">
        <v>85.506299999999996</v>
      </c>
      <c r="I5744">
        <v>22.06</v>
      </c>
      <c r="J5744">
        <v>80.2</v>
      </c>
      <c r="K5744" t="s">
        <v>23</v>
      </c>
      <c r="L5744">
        <v>820.47</v>
      </c>
      <c r="M5744">
        <f>VLOOKUP(K5744,RatingLookup!$A$2:$C$8,2,FALSE)</f>
        <v>1E-3</v>
      </c>
      <c r="N5744">
        <f t="shared" si="267"/>
        <v>8.3371552197619714E-5</v>
      </c>
      <c r="O5744">
        <f>VLOOKUP(K5744,RatingLookup!$A$2:$C$8,3,FALSE)</f>
        <v>0.3</v>
      </c>
      <c r="P5744">
        <f t="shared" si="268"/>
        <v>2.0521157229474313E-2</v>
      </c>
      <c r="Q5744" t="str">
        <f t="shared" ca="1" si="269"/>
        <v>No</v>
      </c>
    </row>
    <row r="5745" spans="1:17" x14ac:dyDescent="0.45">
      <c r="A5745" t="s">
        <v>227</v>
      </c>
      <c r="B5745" t="s">
        <v>228</v>
      </c>
      <c r="C5745" t="s">
        <v>40</v>
      </c>
      <c r="D5745" t="s">
        <v>188</v>
      </c>
      <c r="E5745" t="s">
        <v>21</v>
      </c>
      <c r="F5745" s="1">
        <v>45139</v>
      </c>
      <c r="G5745">
        <v>1.66</v>
      </c>
      <c r="H5745">
        <v>82.081000000000003</v>
      </c>
      <c r="I5745">
        <v>23.42</v>
      </c>
      <c r="J5745">
        <v>49.25</v>
      </c>
      <c r="K5745" t="s">
        <v>23</v>
      </c>
      <c r="L5745">
        <v>712.87</v>
      </c>
      <c r="M5745">
        <f>VLOOKUP(K5745,RatingLookup!$A$2:$C$8,2,FALSE)</f>
        <v>1E-3</v>
      </c>
      <c r="N5745">
        <f t="shared" si="267"/>
        <v>8.3371552197619714E-5</v>
      </c>
      <c r="O5745">
        <f>VLOOKUP(K5745,RatingLookup!$A$2:$C$8,3,FALSE)</f>
        <v>0.3</v>
      </c>
      <c r="P5745">
        <f t="shared" si="268"/>
        <v>1.7829923524535149E-2</v>
      </c>
      <c r="Q5745" t="str">
        <f t="shared" ca="1" si="269"/>
        <v>No</v>
      </c>
    </row>
    <row r="5746" spans="1:17" x14ac:dyDescent="0.45">
      <c r="A5746" t="s">
        <v>227</v>
      </c>
      <c r="B5746" t="s">
        <v>228</v>
      </c>
      <c r="C5746" t="s">
        <v>40</v>
      </c>
      <c r="D5746" t="s">
        <v>188</v>
      </c>
      <c r="E5746" t="s">
        <v>21</v>
      </c>
      <c r="F5746" s="1">
        <v>45170</v>
      </c>
      <c r="G5746">
        <v>1.5</v>
      </c>
      <c r="H5746">
        <v>78.932199999999995</v>
      </c>
      <c r="I5746">
        <v>16.440000000000001</v>
      </c>
      <c r="J5746">
        <v>71.17</v>
      </c>
      <c r="K5746" t="s">
        <v>23</v>
      </c>
      <c r="L5746">
        <v>750.19</v>
      </c>
      <c r="M5746">
        <f>VLOOKUP(K5746,RatingLookup!$A$2:$C$8,2,FALSE)</f>
        <v>1E-3</v>
      </c>
      <c r="N5746">
        <f t="shared" si="267"/>
        <v>8.3371552197619714E-5</v>
      </c>
      <c r="O5746">
        <f>VLOOKUP(K5746,RatingLookup!$A$2:$C$8,3,FALSE)</f>
        <v>0.3</v>
      </c>
      <c r="P5746">
        <f t="shared" si="268"/>
        <v>1.8763351422939698E-2</v>
      </c>
      <c r="Q5746" t="str">
        <f t="shared" ca="1" si="269"/>
        <v>No</v>
      </c>
    </row>
    <row r="5747" spans="1:17" x14ac:dyDescent="0.45">
      <c r="A5747" t="s">
        <v>227</v>
      </c>
      <c r="B5747" t="s">
        <v>228</v>
      </c>
      <c r="C5747" t="s">
        <v>40</v>
      </c>
      <c r="D5747" t="s">
        <v>188</v>
      </c>
      <c r="E5747" t="s">
        <v>21</v>
      </c>
      <c r="F5747" s="1">
        <v>45200</v>
      </c>
      <c r="G5747">
        <v>1.98</v>
      </c>
      <c r="H5747">
        <v>80.969499999999996</v>
      </c>
      <c r="I5747">
        <v>9.9499999999999993</v>
      </c>
      <c r="J5747">
        <v>83.07</v>
      </c>
      <c r="K5747" t="s">
        <v>48</v>
      </c>
      <c r="L5747">
        <v>809.76</v>
      </c>
      <c r="M5747">
        <f>VLOOKUP(K5747,RatingLookup!$A$2:$C$8,2,FALSE)</f>
        <v>5.0000000000000001E-4</v>
      </c>
      <c r="N5747">
        <f t="shared" si="267"/>
        <v>4.167621832917856E-5</v>
      </c>
      <c r="O5747">
        <f>VLOOKUP(K5747,RatingLookup!$A$2:$C$8,3,FALSE)</f>
        <v>0.25</v>
      </c>
      <c r="P5747">
        <f t="shared" si="268"/>
        <v>8.4369336385589078E-3</v>
      </c>
      <c r="Q5747" t="str">
        <f t="shared" ca="1" si="269"/>
        <v>No</v>
      </c>
    </row>
    <row r="5748" spans="1:17" x14ac:dyDescent="0.45">
      <c r="A5748" t="s">
        <v>227</v>
      </c>
      <c r="B5748" t="s">
        <v>228</v>
      </c>
      <c r="C5748" t="s">
        <v>40</v>
      </c>
      <c r="D5748" t="s">
        <v>188</v>
      </c>
      <c r="E5748" t="s">
        <v>21</v>
      </c>
      <c r="F5748" s="1">
        <v>45231</v>
      </c>
      <c r="G5748">
        <v>1.3</v>
      </c>
      <c r="H5748">
        <v>83.916600000000003</v>
      </c>
      <c r="I5748">
        <v>10.43</v>
      </c>
      <c r="J5748">
        <v>68.81</v>
      </c>
      <c r="K5748" t="s">
        <v>48</v>
      </c>
      <c r="L5748">
        <v>746.96</v>
      </c>
      <c r="M5748">
        <f>VLOOKUP(K5748,RatingLookup!$A$2:$C$8,2,FALSE)</f>
        <v>5.0000000000000001E-4</v>
      </c>
      <c r="N5748">
        <f t="shared" si="267"/>
        <v>4.167621832917856E-5</v>
      </c>
      <c r="O5748">
        <f>VLOOKUP(K5748,RatingLookup!$A$2:$C$8,3,FALSE)</f>
        <v>0.25</v>
      </c>
      <c r="P5748">
        <f t="shared" si="268"/>
        <v>7.7826170107908044E-3</v>
      </c>
      <c r="Q5748" t="str">
        <f t="shared" ca="1" si="269"/>
        <v>No</v>
      </c>
    </row>
    <row r="5749" spans="1:17" x14ac:dyDescent="0.45">
      <c r="A5749" t="s">
        <v>227</v>
      </c>
      <c r="B5749" t="s">
        <v>228</v>
      </c>
      <c r="C5749" t="s">
        <v>40</v>
      </c>
      <c r="D5749" t="s">
        <v>188</v>
      </c>
      <c r="E5749" t="s">
        <v>21</v>
      </c>
      <c r="F5749" s="1">
        <v>45261</v>
      </c>
      <c r="G5749">
        <v>1.36</v>
      </c>
      <c r="H5749">
        <v>85.247200000000007</v>
      </c>
      <c r="I5749">
        <v>15.19</v>
      </c>
      <c r="J5749">
        <v>57.02</v>
      </c>
      <c r="K5749" t="s">
        <v>48</v>
      </c>
      <c r="L5749">
        <v>792.14</v>
      </c>
      <c r="M5749">
        <f>VLOOKUP(K5749,RatingLookup!$A$2:$C$8,2,FALSE)</f>
        <v>5.0000000000000001E-4</v>
      </c>
      <c r="N5749">
        <f t="shared" si="267"/>
        <v>4.167621832917856E-5</v>
      </c>
      <c r="O5749">
        <f>VLOOKUP(K5749,RatingLookup!$A$2:$C$8,3,FALSE)</f>
        <v>0.25</v>
      </c>
      <c r="P5749">
        <f t="shared" si="268"/>
        <v>8.2533498968188762E-3</v>
      </c>
      <c r="Q5749" t="str">
        <f t="shared" ca="1" si="269"/>
        <v>No</v>
      </c>
    </row>
    <row r="5750" spans="1:17" x14ac:dyDescent="0.45">
      <c r="A5750" t="s">
        <v>227</v>
      </c>
      <c r="B5750" t="s">
        <v>228</v>
      </c>
      <c r="C5750" t="s">
        <v>40</v>
      </c>
      <c r="D5750" t="s">
        <v>188</v>
      </c>
      <c r="E5750" t="s">
        <v>21</v>
      </c>
      <c r="F5750" s="1">
        <v>45292</v>
      </c>
      <c r="G5750">
        <v>0.88</v>
      </c>
      <c r="H5750">
        <v>83.080600000000004</v>
      </c>
      <c r="I5750">
        <v>24.27</v>
      </c>
      <c r="J5750">
        <v>85.64</v>
      </c>
      <c r="K5750" t="s">
        <v>48</v>
      </c>
      <c r="L5750">
        <v>735.98</v>
      </c>
      <c r="M5750">
        <f>VLOOKUP(K5750,RatingLookup!$A$2:$C$8,2,FALSE)</f>
        <v>5.0000000000000001E-4</v>
      </c>
      <c r="N5750">
        <f t="shared" si="267"/>
        <v>4.167621832917856E-5</v>
      </c>
      <c r="O5750">
        <f>VLOOKUP(K5750,RatingLookup!$A$2:$C$8,3,FALSE)</f>
        <v>0.25</v>
      </c>
      <c r="P5750">
        <f t="shared" si="268"/>
        <v>7.6682157914772092E-3</v>
      </c>
      <c r="Q5750" t="str">
        <f t="shared" ca="1" si="269"/>
        <v>No</v>
      </c>
    </row>
    <row r="5751" spans="1:17" x14ac:dyDescent="0.45">
      <c r="A5751" t="s">
        <v>227</v>
      </c>
      <c r="B5751" t="s">
        <v>228</v>
      </c>
      <c r="C5751" t="s">
        <v>40</v>
      </c>
      <c r="D5751" t="s">
        <v>188</v>
      </c>
      <c r="E5751" t="s">
        <v>21</v>
      </c>
      <c r="F5751" s="1">
        <v>45323</v>
      </c>
      <c r="G5751">
        <v>2.17</v>
      </c>
      <c r="H5751">
        <v>77.975800000000007</v>
      </c>
      <c r="I5751">
        <v>24.78</v>
      </c>
      <c r="J5751">
        <v>78.430000000000007</v>
      </c>
      <c r="K5751" t="s">
        <v>48</v>
      </c>
      <c r="L5751">
        <v>732.46</v>
      </c>
      <c r="M5751">
        <f>VLOOKUP(K5751,RatingLookup!$A$2:$C$8,2,FALSE)</f>
        <v>5.0000000000000001E-4</v>
      </c>
      <c r="N5751">
        <f t="shared" si="267"/>
        <v>4.167621832917856E-5</v>
      </c>
      <c r="O5751">
        <f>VLOOKUP(K5751,RatingLookup!$A$2:$C$8,3,FALSE)</f>
        <v>0.25</v>
      </c>
      <c r="P5751">
        <f t="shared" si="268"/>
        <v>7.6315407193475321E-3</v>
      </c>
      <c r="Q5751" t="str">
        <f t="shared" ca="1" si="269"/>
        <v>No</v>
      </c>
    </row>
    <row r="5752" spans="1:17" x14ac:dyDescent="0.45">
      <c r="A5752" t="s">
        <v>227</v>
      </c>
      <c r="B5752" t="s">
        <v>228</v>
      </c>
      <c r="C5752" t="s">
        <v>40</v>
      </c>
      <c r="D5752" t="s">
        <v>188</v>
      </c>
      <c r="E5752" t="s">
        <v>21</v>
      </c>
      <c r="F5752" s="1">
        <v>45352</v>
      </c>
      <c r="G5752">
        <v>1.35</v>
      </c>
      <c r="H5752">
        <v>81.302099999999996</v>
      </c>
      <c r="I5752">
        <v>5</v>
      </c>
      <c r="J5752">
        <v>82.98</v>
      </c>
      <c r="K5752" t="s">
        <v>48</v>
      </c>
      <c r="L5752">
        <v>682.59</v>
      </c>
      <c r="M5752">
        <f>VLOOKUP(K5752,RatingLookup!$A$2:$C$8,2,FALSE)</f>
        <v>5.0000000000000001E-4</v>
      </c>
      <c r="N5752">
        <f t="shared" si="267"/>
        <v>4.167621832917856E-5</v>
      </c>
      <c r="O5752">
        <f>VLOOKUP(K5752,RatingLookup!$A$2:$C$8,3,FALSE)</f>
        <v>0.25</v>
      </c>
      <c r="P5752">
        <f t="shared" si="268"/>
        <v>7.1119424673284984E-3</v>
      </c>
      <c r="Q5752" t="str">
        <f t="shared" ca="1" si="269"/>
        <v>No</v>
      </c>
    </row>
    <row r="5753" spans="1:17" x14ac:dyDescent="0.45">
      <c r="A5753" t="s">
        <v>227</v>
      </c>
      <c r="B5753" t="s">
        <v>228</v>
      </c>
      <c r="C5753" t="s">
        <v>40</v>
      </c>
      <c r="D5753" t="s">
        <v>188</v>
      </c>
      <c r="E5753" t="s">
        <v>21</v>
      </c>
      <c r="F5753" s="1">
        <v>45383</v>
      </c>
      <c r="G5753">
        <v>1.81</v>
      </c>
      <c r="H5753">
        <v>87.376000000000005</v>
      </c>
      <c r="I5753">
        <v>18.25</v>
      </c>
      <c r="J5753">
        <v>74.930000000000007</v>
      </c>
      <c r="K5753" t="s">
        <v>48</v>
      </c>
      <c r="L5753">
        <v>703.56</v>
      </c>
      <c r="M5753">
        <f>VLOOKUP(K5753,RatingLookup!$A$2:$C$8,2,FALSE)</f>
        <v>5.0000000000000001E-4</v>
      </c>
      <c r="N5753">
        <f t="shared" si="267"/>
        <v>4.167621832917856E-5</v>
      </c>
      <c r="O5753">
        <f>VLOOKUP(K5753,RatingLookup!$A$2:$C$8,3,FALSE)</f>
        <v>0.25</v>
      </c>
      <c r="P5753">
        <f t="shared" si="268"/>
        <v>7.3304300419192161E-3</v>
      </c>
      <c r="Q5753" t="str">
        <f t="shared" ca="1" si="269"/>
        <v>No</v>
      </c>
    </row>
    <row r="5754" spans="1:17" x14ac:dyDescent="0.45">
      <c r="A5754" t="s">
        <v>227</v>
      </c>
      <c r="B5754" t="s">
        <v>228</v>
      </c>
      <c r="C5754" t="s">
        <v>40</v>
      </c>
      <c r="D5754" t="s">
        <v>188</v>
      </c>
      <c r="E5754" t="s">
        <v>21</v>
      </c>
      <c r="F5754" s="1">
        <v>45413</v>
      </c>
      <c r="G5754">
        <v>1.48</v>
      </c>
      <c r="H5754">
        <v>80.713899999999995</v>
      </c>
      <c r="I5754">
        <v>19.350000000000001</v>
      </c>
      <c r="J5754">
        <v>96.84</v>
      </c>
      <c r="K5754" t="s">
        <v>48</v>
      </c>
      <c r="L5754">
        <v>704.16</v>
      </c>
      <c r="M5754">
        <f>VLOOKUP(K5754,RatingLookup!$A$2:$C$8,2,FALSE)</f>
        <v>5.0000000000000001E-4</v>
      </c>
      <c r="N5754">
        <f t="shared" si="267"/>
        <v>4.167621832917856E-5</v>
      </c>
      <c r="O5754">
        <f>VLOOKUP(K5754,RatingLookup!$A$2:$C$8,3,FALSE)</f>
        <v>0.25</v>
      </c>
      <c r="P5754">
        <f t="shared" si="268"/>
        <v>7.3366814746685938E-3</v>
      </c>
      <c r="Q5754" t="str">
        <f t="shared" ca="1" si="269"/>
        <v>No</v>
      </c>
    </row>
    <row r="5755" spans="1:17" x14ac:dyDescent="0.45">
      <c r="A5755" t="s">
        <v>227</v>
      </c>
      <c r="B5755" t="s">
        <v>228</v>
      </c>
      <c r="C5755" t="s">
        <v>40</v>
      </c>
      <c r="D5755" t="s">
        <v>188</v>
      </c>
      <c r="E5755" t="s">
        <v>21</v>
      </c>
      <c r="F5755" s="1">
        <v>45444</v>
      </c>
      <c r="G5755">
        <v>1.51</v>
      </c>
      <c r="H5755">
        <v>85.943399999999997</v>
      </c>
      <c r="I5755">
        <v>23.42</v>
      </c>
      <c r="J5755">
        <v>84.38</v>
      </c>
      <c r="K5755" t="s">
        <v>48</v>
      </c>
      <c r="L5755">
        <v>844.5</v>
      </c>
      <c r="M5755">
        <f>VLOOKUP(K5755,RatingLookup!$A$2:$C$8,2,FALSE)</f>
        <v>5.0000000000000001E-4</v>
      </c>
      <c r="N5755">
        <f t="shared" si="267"/>
        <v>4.167621832917856E-5</v>
      </c>
      <c r="O5755">
        <f>VLOOKUP(K5755,RatingLookup!$A$2:$C$8,3,FALSE)</f>
        <v>0.25</v>
      </c>
      <c r="P5755">
        <f t="shared" si="268"/>
        <v>8.7988915947478236E-3</v>
      </c>
      <c r="Q5755" t="str">
        <f t="shared" ca="1" si="269"/>
        <v>No</v>
      </c>
    </row>
    <row r="5756" spans="1:17" x14ac:dyDescent="0.45">
      <c r="A5756" t="s">
        <v>227</v>
      </c>
      <c r="B5756" t="s">
        <v>228</v>
      </c>
      <c r="C5756" t="s">
        <v>40</v>
      </c>
      <c r="D5756" t="s">
        <v>188</v>
      </c>
      <c r="E5756" t="s">
        <v>21</v>
      </c>
      <c r="F5756" s="1">
        <v>45474</v>
      </c>
      <c r="G5756">
        <v>1.44</v>
      </c>
      <c r="H5756">
        <v>86.773399999999995</v>
      </c>
      <c r="I5756">
        <v>11.69</v>
      </c>
      <c r="J5756">
        <v>83.85</v>
      </c>
      <c r="K5756" t="s">
        <v>48</v>
      </c>
      <c r="L5756">
        <v>690.41</v>
      </c>
      <c r="M5756">
        <f>VLOOKUP(K5756,RatingLookup!$A$2:$C$8,2,FALSE)</f>
        <v>5.0000000000000001E-4</v>
      </c>
      <c r="N5756">
        <f t="shared" si="267"/>
        <v>4.167621832917856E-5</v>
      </c>
      <c r="O5756">
        <f>VLOOKUP(K5756,RatingLookup!$A$2:$C$8,3,FALSE)</f>
        <v>0.25</v>
      </c>
      <c r="P5756">
        <f t="shared" si="268"/>
        <v>7.1934194741620425E-3</v>
      </c>
      <c r="Q5756" t="str">
        <f t="shared" ca="1" si="269"/>
        <v>No</v>
      </c>
    </row>
    <row r="5757" spans="1:17" x14ac:dyDescent="0.45">
      <c r="A5757" t="s">
        <v>227</v>
      </c>
      <c r="B5757" t="s">
        <v>228</v>
      </c>
      <c r="C5757" t="s">
        <v>40</v>
      </c>
      <c r="D5757" t="s">
        <v>188</v>
      </c>
      <c r="E5757" t="s">
        <v>21</v>
      </c>
      <c r="F5757" s="1">
        <v>45505</v>
      </c>
      <c r="G5757">
        <v>1.48</v>
      </c>
      <c r="H5757">
        <v>78.909800000000004</v>
      </c>
      <c r="I5757">
        <v>22.69</v>
      </c>
      <c r="J5757">
        <v>76.650000000000006</v>
      </c>
      <c r="K5757" t="s">
        <v>48</v>
      </c>
      <c r="L5757">
        <v>773.69</v>
      </c>
      <c r="M5757">
        <f>VLOOKUP(K5757,RatingLookup!$A$2:$C$8,2,FALSE)</f>
        <v>5.0000000000000001E-4</v>
      </c>
      <c r="N5757">
        <f t="shared" si="267"/>
        <v>4.167621832917856E-5</v>
      </c>
      <c r="O5757">
        <f>VLOOKUP(K5757,RatingLookup!$A$2:$C$8,3,FALSE)</f>
        <v>0.25</v>
      </c>
      <c r="P5757">
        <f t="shared" si="268"/>
        <v>8.0611183397755401E-3</v>
      </c>
      <c r="Q5757" t="str">
        <f t="shared" ca="1" si="269"/>
        <v>No</v>
      </c>
    </row>
    <row r="5758" spans="1:17" x14ac:dyDescent="0.45">
      <c r="A5758" t="s">
        <v>227</v>
      </c>
      <c r="B5758" t="s">
        <v>228</v>
      </c>
      <c r="C5758" t="s">
        <v>40</v>
      </c>
      <c r="D5758" t="s">
        <v>188</v>
      </c>
      <c r="E5758" t="s">
        <v>21</v>
      </c>
      <c r="F5758" s="1">
        <v>45536</v>
      </c>
      <c r="G5758">
        <v>1.22</v>
      </c>
      <c r="H5758">
        <v>85.121899999999997</v>
      </c>
      <c r="I5758">
        <v>31.77</v>
      </c>
      <c r="J5758">
        <v>72.959999999999994</v>
      </c>
      <c r="K5758" t="s">
        <v>48</v>
      </c>
      <c r="L5758">
        <v>765.08</v>
      </c>
      <c r="M5758">
        <f>VLOOKUP(K5758,RatingLookup!$A$2:$C$8,2,FALSE)</f>
        <v>5.0000000000000001E-4</v>
      </c>
      <c r="N5758">
        <f t="shared" si="267"/>
        <v>4.167621832917856E-5</v>
      </c>
      <c r="O5758">
        <f>VLOOKUP(K5758,RatingLookup!$A$2:$C$8,3,FALSE)</f>
        <v>0.25</v>
      </c>
      <c r="P5758">
        <f t="shared" si="268"/>
        <v>7.9714102798219832E-3</v>
      </c>
      <c r="Q5758" t="str">
        <f t="shared" ca="1" si="269"/>
        <v>No</v>
      </c>
    </row>
    <row r="5759" spans="1:17" x14ac:dyDescent="0.45">
      <c r="A5759" t="s">
        <v>227</v>
      </c>
      <c r="B5759" t="s">
        <v>228</v>
      </c>
      <c r="C5759" t="s">
        <v>40</v>
      </c>
      <c r="D5759" t="s">
        <v>188</v>
      </c>
      <c r="E5759" t="s">
        <v>21</v>
      </c>
      <c r="F5759" s="1">
        <v>45566</v>
      </c>
      <c r="G5759">
        <v>0.75</v>
      </c>
      <c r="H5759">
        <v>84.799599999999998</v>
      </c>
      <c r="I5759">
        <v>15.59</v>
      </c>
      <c r="J5759">
        <v>88.17</v>
      </c>
      <c r="K5759" t="s">
        <v>48</v>
      </c>
      <c r="L5759">
        <v>746.99</v>
      </c>
      <c r="M5759">
        <f>VLOOKUP(K5759,RatingLookup!$A$2:$C$8,2,FALSE)</f>
        <v>5.0000000000000001E-4</v>
      </c>
      <c r="N5759">
        <f t="shared" si="267"/>
        <v>4.167621832917856E-5</v>
      </c>
      <c r="O5759">
        <f>VLOOKUP(K5759,RatingLookup!$A$2:$C$8,3,FALSE)</f>
        <v>0.25</v>
      </c>
      <c r="P5759">
        <f t="shared" si="268"/>
        <v>7.7829295824282732E-3</v>
      </c>
      <c r="Q5759" t="str">
        <f t="shared" ca="1" si="269"/>
        <v>No</v>
      </c>
    </row>
    <row r="5760" spans="1:17" x14ac:dyDescent="0.45">
      <c r="A5760" t="s">
        <v>227</v>
      </c>
      <c r="B5760" t="s">
        <v>228</v>
      </c>
      <c r="C5760" t="s">
        <v>40</v>
      </c>
      <c r="D5760" t="s">
        <v>188</v>
      </c>
      <c r="E5760" t="s">
        <v>21</v>
      </c>
      <c r="F5760" s="1">
        <v>45597</v>
      </c>
      <c r="G5760">
        <v>2.14</v>
      </c>
      <c r="H5760">
        <v>82.112399999999994</v>
      </c>
      <c r="I5760">
        <v>25.76</v>
      </c>
      <c r="J5760">
        <v>78.53</v>
      </c>
      <c r="K5760" t="s">
        <v>48</v>
      </c>
      <c r="L5760">
        <v>642.35</v>
      </c>
      <c r="M5760">
        <f>VLOOKUP(K5760,RatingLookup!$A$2:$C$8,2,FALSE)</f>
        <v>5.0000000000000001E-4</v>
      </c>
      <c r="N5760">
        <f t="shared" si="267"/>
        <v>4.167621832917856E-5</v>
      </c>
      <c r="O5760">
        <f>VLOOKUP(K5760,RatingLookup!$A$2:$C$8,3,FALSE)</f>
        <v>0.25</v>
      </c>
      <c r="P5760">
        <f t="shared" si="268"/>
        <v>6.6926797109369621E-3</v>
      </c>
      <c r="Q5760" t="str">
        <f t="shared" ca="1" si="269"/>
        <v>No</v>
      </c>
    </row>
    <row r="5761" spans="1:17" x14ac:dyDescent="0.45">
      <c r="A5761" t="s">
        <v>227</v>
      </c>
      <c r="B5761" t="s">
        <v>228</v>
      </c>
      <c r="C5761" t="s">
        <v>40</v>
      </c>
      <c r="D5761" t="s">
        <v>188</v>
      </c>
      <c r="E5761" t="s">
        <v>21</v>
      </c>
      <c r="F5761" s="1">
        <v>45627</v>
      </c>
      <c r="G5761">
        <v>1.63</v>
      </c>
      <c r="H5761">
        <v>78.135499999999993</v>
      </c>
      <c r="I5761">
        <v>20.97</v>
      </c>
      <c r="J5761">
        <v>74</v>
      </c>
      <c r="K5761" t="s">
        <v>48</v>
      </c>
      <c r="L5761">
        <v>718.69</v>
      </c>
      <c r="M5761">
        <f>VLOOKUP(K5761,RatingLookup!$A$2:$C$8,2,FALSE)</f>
        <v>5.0000000000000001E-4</v>
      </c>
      <c r="N5761">
        <f t="shared" si="267"/>
        <v>4.167621832917856E-5</v>
      </c>
      <c r="O5761">
        <f>VLOOKUP(K5761,RatingLookup!$A$2:$C$8,3,FALSE)</f>
        <v>0.25</v>
      </c>
      <c r="P5761">
        <f t="shared" si="268"/>
        <v>7.4880703377493358E-3</v>
      </c>
      <c r="Q5761" t="str">
        <f t="shared" ca="1" si="269"/>
        <v>No</v>
      </c>
    </row>
    <row r="5762" spans="1:17" x14ac:dyDescent="0.45">
      <c r="A5762" t="s">
        <v>229</v>
      </c>
      <c r="B5762" t="s">
        <v>230</v>
      </c>
      <c r="C5762" t="s">
        <v>85</v>
      </c>
      <c r="D5762" t="s">
        <v>188</v>
      </c>
      <c r="E5762" t="s">
        <v>21</v>
      </c>
      <c r="F5762" s="1">
        <v>43831</v>
      </c>
      <c r="G5762">
        <v>1.72</v>
      </c>
      <c r="H5762">
        <v>82.978300000000004</v>
      </c>
      <c r="I5762">
        <v>19.420000000000002</v>
      </c>
      <c r="J5762">
        <v>86.06</v>
      </c>
      <c r="K5762" t="s">
        <v>30</v>
      </c>
      <c r="L5762">
        <v>3738.17</v>
      </c>
      <c r="M5762">
        <f>VLOOKUP(K5762,RatingLookup!$A$2:$C$8,2,FALSE)</f>
        <v>1.4999999999999999E-2</v>
      </c>
      <c r="N5762">
        <f t="shared" ref="N5762:N5825" si="270">1-(1-M5762)^(1/12)</f>
        <v>1.2586770182638762E-3</v>
      </c>
      <c r="O5762">
        <f>VLOOKUP(K5762,RatingLookup!$A$2:$C$8,3,FALSE)</f>
        <v>0.5</v>
      </c>
      <c r="P5762">
        <f t="shared" ref="P5762:P5825" si="271">L5762*N5762*O5762</f>
        <v>2.3525743346817372</v>
      </c>
      <c r="Q5762" t="str">
        <f t="shared" ref="Q5762:Q5825" ca="1" si="272">IF(RAND()&lt;N5762,"Yes","No")</f>
        <v>No</v>
      </c>
    </row>
    <row r="5763" spans="1:17" x14ac:dyDescent="0.45">
      <c r="A5763" t="s">
        <v>229</v>
      </c>
      <c r="B5763" t="s">
        <v>230</v>
      </c>
      <c r="C5763" t="s">
        <v>85</v>
      </c>
      <c r="D5763" t="s">
        <v>188</v>
      </c>
      <c r="E5763" t="s">
        <v>21</v>
      </c>
      <c r="F5763" s="1">
        <v>43862</v>
      </c>
      <c r="G5763">
        <v>1.58</v>
      </c>
      <c r="H5763">
        <v>81.962100000000007</v>
      </c>
      <c r="I5763">
        <v>5</v>
      </c>
      <c r="J5763">
        <v>70.099999999999994</v>
      </c>
      <c r="K5763" t="s">
        <v>30</v>
      </c>
      <c r="L5763">
        <v>3802.53</v>
      </c>
      <c r="M5763">
        <f>VLOOKUP(K5763,RatingLookup!$A$2:$C$8,2,FALSE)</f>
        <v>1.4999999999999999E-2</v>
      </c>
      <c r="N5763">
        <f t="shared" si="270"/>
        <v>1.2586770182638762E-3</v>
      </c>
      <c r="O5763">
        <f>VLOOKUP(K5763,RatingLookup!$A$2:$C$8,3,FALSE)</f>
        <v>0.5</v>
      </c>
      <c r="P5763">
        <f t="shared" si="271"/>
        <v>2.3930785611294687</v>
      </c>
      <c r="Q5763" t="str">
        <f t="shared" ca="1" si="272"/>
        <v>No</v>
      </c>
    </row>
    <row r="5764" spans="1:17" x14ac:dyDescent="0.45">
      <c r="A5764" t="s">
        <v>229</v>
      </c>
      <c r="B5764" t="s">
        <v>230</v>
      </c>
      <c r="C5764" t="s">
        <v>85</v>
      </c>
      <c r="D5764" t="s">
        <v>188</v>
      </c>
      <c r="E5764" t="s">
        <v>21</v>
      </c>
      <c r="F5764" s="1">
        <v>43891</v>
      </c>
      <c r="G5764">
        <v>2.02</v>
      </c>
      <c r="H5764">
        <v>85.068799999999996</v>
      </c>
      <c r="I5764">
        <v>16.13</v>
      </c>
      <c r="J5764">
        <v>72.67</v>
      </c>
      <c r="K5764" t="s">
        <v>30</v>
      </c>
      <c r="L5764">
        <v>3643.11</v>
      </c>
      <c r="M5764">
        <f>VLOOKUP(K5764,RatingLookup!$A$2:$C$8,2,FALSE)</f>
        <v>1.4999999999999999E-2</v>
      </c>
      <c r="N5764">
        <f t="shared" si="270"/>
        <v>1.2586770182638762E-3</v>
      </c>
      <c r="O5764">
        <f>VLOOKUP(K5764,RatingLookup!$A$2:$C$8,3,FALSE)</f>
        <v>0.5</v>
      </c>
      <c r="P5764">
        <f t="shared" si="271"/>
        <v>2.2927494160036552</v>
      </c>
      <c r="Q5764" t="str">
        <f t="shared" ca="1" si="272"/>
        <v>No</v>
      </c>
    </row>
    <row r="5765" spans="1:17" x14ac:dyDescent="0.45">
      <c r="A5765" t="s">
        <v>229</v>
      </c>
      <c r="B5765" t="s">
        <v>230</v>
      </c>
      <c r="C5765" t="s">
        <v>85</v>
      </c>
      <c r="D5765" t="s">
        <v>188</v>
      </c>
      <c r="E5765" t="s">
        <v>21</v>
      </c>
      <c r="F5765" s="1">
        <v>43922</v>
      </c>
      <c r="G5765">
        <v>1.02</v>
      </c>
      <c r="H5765">
        <v>80.307599999999994</v>
      </c>
      <c r="I5765">
        <v>24.06</v>
      </c>
      <c r="J5765">
        <v>68.349999999999994</v>
      </c>
      <c r="K5765" t="s">
        <v>30</v>
      </c>
      <c r="L5765">
        <v>3685.48</v>
      </c>
      <c r="M5765">
        <f>VLOOKUP(K5765,RatingLookup!$A$2:$C$8,2,FALSE)</f>
        <v>1.4999999999999999E-2</v>
      </c>
      <c r="N5765">
        <f t="shared" si="270"/>
        <v>1.2586770182638762E-3</v>
      </c>
      <c r="O5765">
        <f>VLOOKUP(K5765,RatingLookup!$A$2:$C$8,3,FALSE)</f>
        <v>0.5</v>
      </c>
      <c r="P5765">
        <f t="shared" si="271"/>
        <v>2.3194144886355752</v>
      </c>
      <c r="Q5765" t="str">
        <f t="shared" ca="1" si="272"/>
        <v>No</v>
      </c>
    </row>
    <row r="5766" spans="1:17" x14ac:dyDescent="0.45">
      <c r="A5766" t="s">
        <v>229</v>
      </c>
      <c r="B5766" t="s">
        <v>230</v>
      </c>
      <c r="C5766" t="s">
        <v>85</v>
      </c>
      <c r="D5766" t="s">
        <v>188</v>
      </c>
      <c r="E5766" t="s">
        <v>21</v>
      </c>
      <c r="F5766" s="1">
        <v>43952</v>
      </c>
      <c r="G5766">
        <v>1.74</v>
      </c>
      <c r="H5766">
        <v>82.055899999999994</v>
      </c>
      <c r="I5766">
        <v>19.68</v>
      </c>
      <c r="J5766">
        <v>82.22</v>
      </c>
      <c r="K5766" t="s">
        <v>30</v>
      </c>
      <c r="L5766">
        <v>3866.18</v>
      </c>
      <c r="M5766">
        <f>VLOOKUP(K5766,RatingLookup!$A$2:$C$8,2,FALSE)</f>
        <v>1.4999999999999999E-2</v>
      </c>
      <c r="N5766">
        <f t="shared" si="270"/>
        <v>1.2586770182638762E-3</v>
      </c>
      <c r="O5766">
        <f>VLOOKUP(K5766,RatingLookup!$A$2:$C$8,3,FALSE)</f>
        <v>0.5</v>
      </c>
      <c r="P5766">
        <f t="shared" si="271"/>
        <v>2.4331359572357165</v>
      </c>
      <c r="Q5766" t="str">
        <f t="shared" ca="1" si="272"/>
        <v>No</v>
      </c>
    </row>
    <row r="5767" spans="1:17" x14ac:dyDescent="0.45">
      <c r="A5767" t="s">
        <v>229</v>
      </c>
      <c r="B5767" t="s">
        <v>230</v>
      </c>
      <c r="C5767" t="s">
        <v>85</v>
      </c>
      <c r="D5767" t="s">
        <v>188</v>
      </c>
      <c r="E5767" t="s">
        <v>21</v>
      </c>
      <c r="F5767" s="1">
        <v>43983</v>
      </c>
      <c r="G5767">
        <v>0.94</v>
      </c>
      <c r="H5767">
        <v>82.984399999999994</v>
      </c>
      <c r="I5767">
        <v>19.79</v>
      </c>
      <c r="J5767">
        <v>92.7</v>
      </c>
      <c r="K5767" t="s">
        <v>30</v>
      </c>
      <c r="L5767">
        <v>3434.68</v>
      </c>
      <c r="M5767">
        <f>VLOOKUP(K5767,RatingLookup!$A$2:$C$8,2,FALSE)</f>
        <v>1.4999999999999999E-2</v>
      </c>
      <c r="N5767">
        <f t="shared" si="270"/>
        <v>1.2586770182638762E-3</v>
      </c>
      <c r="O5767">
        <f>VLOOKUP(K5767,RatingLookup!$A$2:$C$8,3,FALSE)</f>
        <v>0.5</v>
      </c>
      <c r="P5767">
        <f t="shared" si="271"/>
        <v>2.1615763905452852</v>
      </c>
      <c r="Q5767" t="str">
        <f t="shared" ca="1" si="272"/>
        <v>No</v>
      </c>
    </row>
    <row r="5768" spans="1:17" x14ac:dyDescent="0.45">
      <c r="A5768" t="s">
        <v>229</v>
      </c>
      <c r="B5768" t="s">
        <v>230</v>
      </c>
      <c r="C5768" t="s">
        <v>85</v>
      </c>
      <c r="D5768" t="s">
        <v>188</v>
      </c>
      <c r="E5768" t="s">
        <v>21</v>
      </c>
      <c r="F5768" s="1">
        <v>44013</v>
      </c>
      <c r="G5768">
        <v>0.51</v>
      </c>
      <c r="H5768">
        <v>83.404499999999999</v>
      </c>
      <c r="I5768">
        <v>19.46</v>
      </c>
      <c r="J5768">
        <v>74.23</v>
      </c>
      <c r="K5768" t="s">
        <v>30</v>
      </c>
      <c r="L5768">
        <v>3757.36</v>
      </c>
      <c r="M5768">
        <f>VLOOKUP(K5768,RatingLookup!$A$2:$C$8,2,FALSE)</f>
        <v>1.4999999999999999E-2</v>
      </c>
      <c r="N5768">
        <f t="shared" si="270"/>
        <v>1.2586770182638762E-3</v>
      </c>
      <c r="O5768">
        <f>VLOOKUP(K5768,RatingLookup!$A$2:$C$8,3,FALSE)</f>
        <v>0.5</v>
      </c>
      <c r="P5768">
        <f t="shared" si="271"/>
        <v>2.3646513406719789</v>
      </c>
      <c r="Q5768" t="str">
        <f t="shared" ca="1" si="272"/>
        <v>No</v>
      </c>
    </row>
    <row r="5769" spans="1:17" x14ac:dyDescent="0.45">
      <c r="A5769" t="s">
        <v>229</v>
      </c>
      <c r="B5769" t="s">
        <v>230</v>
      </c>
      <c r="C5769" t="s">
        <v>85</v>
      </c>
      <c r="D5769" t="s">
        <v>188</v>
      </c>
      <c r="E5769" t="s">
        <v>21</v>
      </c>
      <c r="F5769" s="1">
        <v>44044</v>
      </c>
      <c r="G5769">
        <v>0.52</v>
      </c>
      <c r="H5769">
        <v>80.366200000000006</v>
      </c>
      <c r="I5769">
        <v>25.47</v>
      </c>
      <c r="J5769">
        <v>60.87</v>
      </c>
      <c r="K5769" t="s">
        <v>30</v>
      </c>
      <c r="L5769">
        <v>3621.06</v>
      </c>
      <c r="M5769">
        <f>VLOOKUP(K5769,RatingLookup!$A$2:$C$8,2,FALSE)</f>
        <v>1.4999999999999999E-2</v>
      </c>
      <c r="N5769">
        <f t="shared" si="270"/>
        <v>1.2586770182638762E-3</v>
      </c>
      <c r="O5769">
        <f>VLOOKUP(K5769,RatingLookup!$A$2:$C$8,3,FALSE)</f>
        <v>0.5</v>
      </c>
      <c r="P5769">
        <f t="shared" si="271"/>
        <v>2.278872501877296</v>
      </c>
      <c r="Q5769" t="str">
        <f t="shared" ca="1" si="272"/>
        <v>No</v>
      </c>
    </row>
    <row r="5770" spans="1:17" x14ac:dyDescent="0.45">
      <c r="A5770" t="s">
        <v>229</v>
      </c>
      <c r="B5770" t="s">
        <v>230</v>
      </c>
      <c r="C5770" t="s">
        <v>85</v>
      </c>
      <c r="D5770" t="s">
        <v>188</v>
      </c>
      <c r="E5770" t="s">
        <v>21</v>
      </c>
      <c r="F5770" s="1">
        <v>44075</v>
      </c>
      <c r="G5770">
        <v>0.98</v>
      </c>
      <c r="H5770">
        <v>79.904799999999994</v>
      </c>
      <c r="I5770">
        <v>24.37</v>
      </c>
      <c r="J5770">
        <v>65.08</v>
      </c>
      <c r="K5770" t="s">
        <v>30</v>
      </c>
      <c r="L5770">
        <v>3845.05</v>
      </c>
      <c r="M5770">
        <f>VLOOKUP(K5770,RatingLookup!$A$2:$C$8,2,FALSE)</f>
        <v>1.4999999999999999E-2</v>
      </c>
      <c r="N5770">
        <f t="shared" si="270"/>
        <v>1.2586770182638762E-3</v>
      </c>
      <c r="O5770">
        <f>VLOOKUP(K5770,RatingLookup!$A$2:$C$8,3,FALSE)</f>
        <v>0.5</v>
      </c>
      <c r="P5770">
        <f t="shared" si="271"/>
        <v>2.4198380345377588</v>
      </c>
      <c r="Q5770" t="str">
        <f t="shared" ca="1" si="272"/>
        <v>No</v>
      </c>
    </row>
    <row r="5771" spans="1:17" x14ac:dyDescent="0.45">
      <c r="A5771" t="s">
        <v>229</v>
      </c>
      <c r="B5771" t="s">
        <v>230</v>
      </c>
      <c r="C5771" t="s">
        <v>85</v>
      </c>
      <c r="D5771" t="s">
        <v>188</v>
      </c>
      <c r="E5771" t="s">
        <v>21</v>
      </c>
      <c r="F5771" s="1">
        <v>44105</v>
      </c>
      <c r="G5771">
        <v>1.71</v>
      </c>
      <c r="H5771">
        <v>83.309200000000004</v>
      </c>
      <c r="I5771">
        <v>16.73</v>
      </c>
      <c r="J5771">
        <v>69.64</v>
      </c>
      <c r="K5771" t="s">
        <v>30</v>
      </c>
      <c r="L5771">
        <v>3929.73</v>
      </c>
      <c r="M5771">
        <f>VLOOKUP(K5771,RatingLookup!$A$2:$C$8,2,FALSE)</f>
        <v>1.4999999999999999E-2</v>
      </c>
      <c r="N5771">
        <f t="shared" si="270"/>
        <v>1.2586770182638762E-3</v>
      </c>
      <c r="O5771">
        <f>VLOOKUP(K5771,RatingLookup!$A$2:$C$8,3,FALSE)</f>
        <v>0.5</v>
      </c>
      <c r="P5771">
        <f t="shared" si="271"/>
        <v>2.4731304194910511</v>
      </c>
      <c r="Q5771" t="str">
        <f t="shared" ca="1" si="272"/>
        <v>No</v>
      </c>
    </row>
    <row r="5772" spans="1:17" x14ac:dyDescent="0.45">
      <c r="A5772" t="s">
        <v>229</v>
      </c>
      <c r="B5772" t="s">
        <v>230</v>
      </c>
      <c r="C5772" t="s">
        <v>85</v>
      </c>
      <c r="D5772" t="s">
        <v>188</v>
      </c>
      <c r="E5772" t="s">
        <v>21</v>
      </c>
      <c r="F5772" s="1">
        <v>44136</v>
      </c>
      <c r="G5772">
        <v>1.18</v>
      </c>
      <c r="H5772">
        <v>83.408799999999999</v>
      </c>
      <c r="I5772">
        <v>18.190000000000001</v>
      </c>
      <c r="J5772">
        <v>68.930000000000007</v>
      </c>
      <c r="K5772" t="s">
        <v>30</v>
      </c>
      <c r="L5772">
        <v>3727.62</v>
      </c>
      <c r="M5772">
        <f>VLOOKUP(K5772,RatingLookup!$A$2:$C$8,2,FALSE)</f>
        <v>1.4999999999999999E-2</v>
      </c>
      <c r="N5772">
        <f t="shared" si="270"/>
        <v>1.2586770182638762E-3</v>
      </c>
      <c r="O5772">
        <f>VLOOKUP(K5772,RatingLookup!$A$2:$C$8,3,FALSE)</f>
        <v>0.5</v>
      </c>
      <c r="P5772">
        <f t="shared" si="271"/>
        <v>2.3459348134103952</v>
      </c>
      <c r="Q5772" t="str">
        <f t="shared" ca="1" si="272"/>
        <v>No</v>
      </c>
    </row>
    <row r="5773" spans="1:17" x14ac:dyDescent="0.45">
      <c r="A5773" t="s">
        <v>229</v>
      </c>
      <c r="B5773" t="s">
        <v>230</v>
      </c>
      <c r="C5773" t="s">
        <v>85</v>
      </c>
      <c r="D5773" t="s">
        <v>188</v>
      </c>
      <c r="E5773" t="s">
        <v>21</v>
      </c>
      <c r="F5773" s="1">
        <v>44166</v>
      </c>
      <c r="G5773">
        <v>0.46</v>
      </c>
      <c r="H5773">
        <v>83.128699999999995</v>
      </c>
      <c r="I5773">
        <v>16.420000000000002</v>
      </c>
      <c r="J5773">
        <v>82.81</v>
      </c>
      <c r="K5773" t="s">
        <v>30</v>
      </c>
      <c r="L5773">
        <v>3726.36</v>
      </c>
      <c r="M5773">
        <f>VLOOKUP(K5773,RatingLookup!$A$2:$C$8,2,FALSE)</f>
        <v>1.4999999999999999E-2</v>
      </c>
      <c r="N5773">
        <f t="shared" si="270"/>
        <v>1.2586770182638762E-3</v>
      </c>
      <c r="O5773">
        <f>VLOOKUP(K5773,RatingLookup!$A$2:$C$8,3,FALSE)</f>
        <v>0.5</v>
      </c>
      <c r="P5773">
        <f t="shared" si="271"/>
        <v>2.3451418468888892</v>
      </c>
      <c r="Q5773" t="str">
        <f t="shared" ca="1" si="272"/>
        <v>No</v>
      </c>
    </row>
    <row r="5774" spans="1:17" x14ac:dyDescent="0.45">
      <c r="A5774" t="s">
        <v>229</v>
      </c>
      <c r="B5774" t="s">
        <v>230</v>
      </c>
      <c r="C5774" t="s">
        <v>85</v>
      </c>
      <c r="D5774" t="s">
        <v>188</v>
      </c>
      <c r="E5774" t="s">
        <v>21</v>
      </c>
      <c r="F5774" s="1">
        <v>44197</v>
      </c>
      <c r="G5774">
        <v>1.06</v>
      </c>
      <c r="H5774">
        <v>82.726100000000002</v>
      </c>
      <c r="I5774">
        <v>9.49</v>
      </c>
      <c r="J5774">
        <v>98.35</v>
      </c>
      <c r="K5774" t="s">
        <v>30</v>
      </c>
      <c r="L5774">
        <v>3945.65</v>
      </c>
      <c r="M5774">
        <f>VLOOKUP(K5774,RatingLookup!$A$2:$C$8,2,FALSE)</f>
        <v>1.4999999999999999E-2</v>
      </c>
      <c r="N5774">
        <f t="shared" si="270"/>
        <v>1.2586770182638762E-3</v>
      </c>
      <c r="O5774">
        <f>VLOOKUP(K5774,RatingLookup!$A$2:$C$8,3,FALSE)</f>
        <v>0.5</v>
      </c>
      <c r="P5774">
        <f t="shared" si="271"/>
        <v>2.4831494885564318</v>
      </c>
      <c r="Q5774" t="str">
        <f t="shared" ca="1" si="272"/>
        <v>No</v>
      </c>
    </row>
    <row r="5775" spans="1:17" x14ac:dyDescent="0.45">
      <c r="A5775" t="s">
        <v>229</v>
      </c>
      <c r="B5775" t="s">
        <v>230</v>
      </c>
      <c r="C5775" t="s">
        <v>85</v>
      </c>
      <c r="D5775" t="s">
        <v>188</v>
      </c>
      <c r="E5775" t="s">
        <v>21</v>
      </c>
      <c r="F5775" s="1">
        <v>44228</v>
      </c>
      <c r="G5775">
        <v>0.56999999999999995</v>
      </c>
      <c r="H5775">
        <v>81.278800000000004</v>
      </c>
      <c r="I5775">
        <v>13.76</v>
      </c>
      <c r="J5775">
        <v>88.11</v>
      </c>
      <c r="K5775" t="s">
        <v>30</v>
      </c>
      <c r="L5775">
        <v>3901.43</v>
      </c>
      <c r="M5775">
        <f>VLOOKUP(K5775,RatingLookup!$A$2:$C$8,2,FALSE)</f>
        <v>1.4999999999999999E-2</v>
      </c>
      <c r="N5775">
        <f t="shared" si="270"/>
        <v>1.2586770182638762E-3</v>
      </c>
      <c r="O5775">
        <f>VLOOKUP(K5775,RatingLookup!$A$2:$C$8,3,FALSE)</f>
        <v>0.5</v>
      </c>
      <c r="P5775">
        <f t="shared" si="271"/>
        <v>2.4553201396826174</v>
      </c>
      <c r="Q5775" t="str">
        <f t="shared" ca="1" si="272"/>
        <v>No</v>
      </c>
    </row>
    <row r="5776" spans="1:17" x14ac:dyDescent="0.45">
      <c r="A5776" t="s">
        <v>229</v>
      </c>
      <c r="B5776" t="s">
        <v>230</v>
      </c>
      <c r="C5776" t="s">
        <v>85</v>
      </c>
      <c r="D5776" t="s">
        <v>188</v>
      </c>
      <c r="E5776" t="s">
        <v>21</v>
      </c>
      <c r="F5776" s="1">
        <v>44256</v>
      </c>
      <c r="G5776">
        <v>1.43</v>
      </c>
      <c r="H5776">
        <v>77.883799999999994</v>
      </c>
      <c r="I5776">
        <v>8.64</v>
      </c>
      <c r="J5776">
        <v>67.19</v>
      </c>
      <c r="K5776" t="s">
        <v>30</v>
      </c>
      <c r="L5776">
        <v>3654.48</v>
      </c>
      <c r="M5776">
        <f>VLOOKUP(K5776,RatingLookup!$A$2:$C$8,2,FALSE)</f>
        <v>1.4999999999999999E-2</v>
      </c>
      <c r="N5776">
        <f t="shared" si="270"/>
        <v>1.2586770182638762E-3</v>
      </c>
      <c r="O5776">
        <f>VLOOKUP(K5776,RatingLookup!$A$2:$C$8,3,FALSE)</f>
        <v>0.5</v>
      </c>
      <c r="P5776">
        <f t="shared" si="271"/>
        <v>2.299904994852485</v>
      </c>
      <c r="Q5776" t="str">
        <f t="shared" ca="1" si="272"/>
        <v>No</v>
      </c>
    </row>
    <row r="5777" spans="1:17" x14ac:dyDescent="0.45">
      <c r="A5777" t="s">
        <v>229</v>
      </c>
      <c r="B5777" t="s">
        <v>230</v>
      </c>
      <c r="C5777" t="s">
        <v>85</v>
      </c>
      <c r="D5777" t="s">
        <v>188</v>
      </c>
      <c r="E5777" t="s">
        <v>21</v>
      </c>
      <c r="F5777" s="1">
        <v>44287</v>
      </c>
      <c r="G5777">
        <v>2.27</v>
      </c>
      <c r="H5777">
        <v>79.918800000000005</v>
      </c>
      <c r="I5777">
        <v>21.49</v>
      </c>
      <c r="J5777">
        <v>86.68</v>
      </c>
      <c r="K5777" t="s">
        <v>30</v>
      </c>
      <c r="L5777">
        <v>3853.71</v>
      </c>
      <c r="M5777">
        <f>VLOOKUP(K5777,RatingLookup!$A$2:$C$8,2,FALSE)</f>
        <v>1.4999999999999999E-2</v>
      </c>
      <c r="N5777">
        <f t="shared" si="270"/>
        <v>1.2586770182638762E-3</v>
      </c>
      <c r="O5777">
        <f>VLOOKUP(K5777,RatingLookup!$A$2:$C$8,3,FALSE)</f>
        <v>0.5</v>
      </c>
      <c r="P5777">
        <f t="shared" si="271"/>
        <v>2.4252881060268412</v>
      </c>
      <c r="Q5777" t="str">
        <f t="shared" ca="1" si="272"/>
        <v>No</v>
      </c>
    </row>
    <row r="5778" spans="1:17" x14ac:dyDescent="0.45">
      <c r="A5778" t="s">
        <v>229</v>
      </c>
      <c r="B5778" t="s">
        <v>230</v>
      </c>
      <c r="C5778" t="s">
        <v>85</v>
      </c>
      <c r="D5778" t="s">
        <v>188</v>
      </c>
      <c r="E5778" t="s">
        <v>21</v>
      </c>
      <c r="F5778" s="1">
        <v>44317</v>
      </c>
      <c r="G5778">
        <v>0.87</v>
      </c>
      <c r="H5778">
        <v>77.588399999999993</v>
      </c>
      <c r="I5778">
        <v>9.94</v>
      </c>
      <c r="J5778">
        <v>79.290000000000006</v>
      </c>
      <c r="K5778" t="s">
        <v>31</v>
      </c>
      <c r="L5778">
        <v>3900.5</v>
      </c>
      <c r="M5778">
        <f>VLOOKUP(K5778,RatingLookup!$A$2:$C$8,2,FALSE)</f>
        <v>0.04</v>
      </c>
      <c r="N5778">
        <f t="shared" si="270"/>
        <v>3.3960531989175591E-3</v>
      </c>
      <c r="O5778">
        <f>VLOOKUP(K5778,RatingLookup!$A$2:$C$8,3,FALSE)</f>
        <v>0.6</v>
      </c>
      <c r="P5778">
        <f t="shared" si="271"/>
        <v>7.9477833014267638</v>
      </c>
      <c r="Q5778" t="str">
        <f t="shared" ca="1" si="272"/>
        <v>No</v>
      </c>
    </row>
    <row r="5779" spans="1:17" x14ac:dyDescent="0.45">
      <c r="A5779" t="s">
        <v>229</v>
      </c>
      <c r="B5779" t="s">
        <v>230</v>
      </c>
      <c r="C5779" t="s">
        <v>85</v>
      </c>
      <c r="D5779" t="s">
        <v>188</v>
      </c>
      <c r="E5779" t="s">
        <v>21</v>
      </c>
      <c r="F5779" s="1">
        <v>44348</v>
      </c>
      <c r="G5779">
        <v>2.06</v>
      </c>
      <c r="H5779">
        <v>82.062100000000001</v>
      </c>
      <c r="I5779">
        <v>22.91</v>
      </c>
      <c r="J5779">
        <v>76.02</v>
      </c>
      <c r="K5779" t="s">
        <v>31</v>
      </c>
      <c r="L5779">
        <v>3740.58</v>
      </c>
      <c r="M5779">
        <f>VLOOKUP(K5779,RatingLookup!$A$2:$C$8,2,FALSE)</f>
        <v>0.04</v>
      </c>
      <c r="N5779">
        <f t="shared" si="270"/>
        <v>3.3960531989175591E-3</v>
      </c>
      <c r="O5779">
        <f>VLOOKUP(K5779,RatingLookup!$A$2:$C$8,3,FALSE)</f>
        <v>0.6</v>
      </c>
      <c r="P5779">
        <f t="shared" si="271"/>
        <v>7.6219252048842252</v>
      </c>
      <c r="Q5779" t="str">
        <f t="shared" ca="1" si="272"/>
        <v>No</v>
      </c>
    </row>
    <row r="5780" spans="1:17" x14ac:dyDescent="0.45">
      <c r="A5780" t="s">
        <v>229</v>
      </c>
      <c r="B5780" t="s">
        <v>230</v>
      </c>
      <c r="C5780" t="s">
        <v>85</v>
      </c>
      <c r="D5780" t="s">
        <v>188</v>
      </c>
      <c r="E5780" t="s">
        <v>21</v>
      </c>
      <c r="F5780" s="1">
        <v>44378</v>
      </c>
      <c r="G5780">
        <v>1.1100000000000001</v>
      </c>
      <c r="H5780">
        <v>84.064599999999999</v>
      </c>
      <c r="I5780">
        <v>23.25</v>
      </c>
      <c r="J5780">
        <v>72.17</v>
      </c>
      <c r="K5780" t="s">
        <v>31</v>
      </c>
      <c r="L5780">
        <v>3184.65</v>
      </c>
      <c r="M5780">
        <f>VLOOKUP(K5780,RatingLookup!$A$2:$C$8,2,FALSE)</f>
        <v>0.04</v>
      </c>
      <c r="N5780">
        <f t="shared" si="270"/>
        <v>3.3960531989175591E-3</v>
      </c>
      <c r="O5780">
        <f>VLOOKUP(K5780,RatingLookup!$A$2:$C$8,3,FALSE)</f>
        <v>0.6</v>
      </c>
      <c r="P5780">
        <f t="shared" si="271"/>
        <v>6.4891444919596832</v>
      </c>
      <c r="Q5780" t="str">
        <f t="shared" ca="1" si="272"/>
        <v>No</v>
      </c>
    </row>
    <row r="5781" spans="1:17" x14ac:dyDescent="0.45">
      <c r="A5781" t="s">
        <v>229</v>
      </c>
      <c r="B5781" t="s">
        <v>230</v>
      </c>
      <c r="C5781" t="s">
        <v>85</v>
      </c>
      <c r="D5781" t="s">
        <v>188</v>
      </c>
      <c r="E5781" t="s">
        <v>21</v>
      </c>
      <c r="F5781" s="1">
        <v>44409</v>
      </c>
      <c r="G5781">
        <v>1.63</v>
      </c>
      <c r="H5781">
        <v>78.55</v>
      </c>
      <c r="I5781">
        <v>13.39</v>
      </c>
      <c r="J5781">
        <v>90.99</v>
      </c>
      <c r="K5781" t="s">
        <v>31</v>
      </c>
      <c r="L5781">
        <v>3462.42</v>
      </c>
      <c r="M5781">
        <f>VLOOKUP(K5781,RatingLookup!$A$2:$C$8,2,FALSE)</f>
        <v>0.04</v>
      </c>
      <c r="N5781">
        <f t="shared" si="270"/>
        <v>3.3960531989175591E-3</v>
      </c>
      <c r="O5781">
        <f>VLOOKUP(K5781,RatingLookup!$A$2:$C$8,3,FALSE)</f>
        <v>0.6</v>
      </c>
      <c r="P5781">
        <f t="shared" si="271"/>
        <v>7.0551375101976808</v>
      </c>
      <c r="Q5781" t="str">
        <f t="shared" ca="1" si="272"/>
        <v>No</v>
      </c>
    </row>
    <row r="5782" spans="1:17" x14ac:dyDescent="0.45">
      <c r="A5782" t="s">
        <v>229</v>
      </c>
      <c r="B5782" t="s">
        <v>230</v>
      </c>
      <c r="C5782" t="s">
        <v>85</v>
      </c>
      <c r="D5782" t="s">
        <v>188</v>
      </c>
      <c r="E5782" t="s">
        <v>21</v>
      </c>
      <c r="F5782" s="1">
        <v>44440</v>
      </c>
      <c r="G5782">
        <v>2.0499999999999998</v>
      </c>
      <c r="H5782">
        <v>81.7774</v>
      </c>
      <c r="I5782">
        <v>27.21</v>
      </c>
      <c r="J5782">
        <v>67.790000000000006</v>
      </c>
      <c r="K5782" t="s">
        <v>31</v>
      </c>
      <c r="L5782">
        <v>3360.89</v>
      </c>
      <c r="M5782">
        <f>VLOOKUP(K5782,RatingLookup!$A$2:$C$8,2,FALSE)</f>
        <v>0.04</v>
      </c>
      <c r="N5782">
        <f t="shared" si="270"/>
        <v>3.3960531989175591E-3</v>
      </c>
      <c r="O5782">
        <f>VLOOKUP(K5782,RatingLookup!$A$2:$C$8,3,FALSE)</f>
        <v>0.6</v>
      </c>
      <c r="P5782">
        <f t="shared" si="271"/>
        <v>6.8482567414260211</v>
      </c>
      <c r="Q5782" t="str">
        <f t="shared" ca="1" si="272"/>
        <v>No</v>
      </c>
    </row>
    <row r="5783" spans="1:17" x14ac:dyDescent="0.45">
      <c r="A5783" t="s">
        <v>229</v>
      </c>
      <c r="B5783" t="s">
        <v>230</v>
      </c>
      <c r="C5783" t="s">
        <v>85</v>
      </c>
      <c r="D5783" t="s">
        <v>188</v>
      </c>
      <c r="E5783" t="s">
        <v>21</v>
      </c>
      <c r="F5783" s="1">
        <v>44470</v>
      </c>
      <c r="G5783">
        <v>1.78</v>
      </c>
      <c r="H5783">
        <v>88.149199999999993</v>
      </c>
      <c r="I5783">
        <v>10.81</v>
      </c>
      <c r="J5783">
        <v>80.37</v>
      </c>
      <c r="K5783" t="s">
        <v>31</v>
      </c>
      <c r="L5783">
        <v>3706.25</v>
      </c>
      <c r="M5783">
        <f>VLOOKUP(K5783,RatingLookup!$A$2:$C$8,2,FALSE)</f>
        <v>0.04</v>
      </c>
      <c r="N5783">
        <f t="shared" si="270"/>
        <v>3.3960531989175591E-3</v>
      </c>
      <c r="O5783">
        <f>VLOOKUP(K5783,RatingLookup!$A$2:$C$8,3,FALSE)</f>
        <v>0.6</v>
      </c>
      <c r="P5783">
        <f t="shared" si="271"/>
        <v>7.5519733010929215</v>
      </c>
      <c r="Q5783" t="str">
        <f t="shared" ca="1" si="272"/>
        <v>No</v>
      </c>
    </row>
    <row r="5784" spans="1:17" x14ac:dyDescent="0.45">
      <c r="A5784" t="s">
        <v>229</v>
      </c>
      <c r="B5784" t="s">
        <v>230</v>
      </c>
      <c r="C5784" t="s">
        <v>85</v>
      </c>
      <c r="D5784" t="s">
        <v>188</v>
      </c>
      <c r="E5784" t="s">
        <v>21</v>
      </c>
      <c r="F5784" s="1">
        <v>44501</v>
      </c>
      <c r="G5784">
        <v>1.5</v>
      </c>
      <c r="H5784">
        <v>85.3583</v>
      </c>
      <c r="I5784">
        <v>10.02</v>
      </c>
      <c r="J5784">
        <v>68.53</v>
      </c>
      <c r="K5784" t="s">
        <v>31</v>
      </c>
      <c r="L5784">
        <v>3473.58</v>
      </c>
      <c r="M5784">
        <f>VLOOKUP(K5784,RatingLookup!$A$2:$C$8,2,FALSE)</f>
        <v>0.04</v>
      </c>
      <c r="N5784">
        <f t="shared" si="270"/>
        <v>3.3960531989175591E-3</v>
      </c>
      <c r="O5784">
        <f>VLOOKUP(K5784,RatingLookup!$A$2:$C$8,3,FALSE)</f>
        <v>0.6</v>
      </c>
      <c r="P5784">
        <f t="shared" si="271"/>
        <v>7.0778774824176329</v>
      </c>
      <c r="Q5784" t="str">
        <f t="shared" ca="1" si="272"/>
        <v>No</v>
      </c>
    </row>
    <row r="5785" spans="1:17" x14ac:dyDescent="0.45">
      <c r="A5785" t="s">
        <v>229</v>
      </c>
      <c r="B5785" t="s">
        <v>230</v>
      </c>
      <c r="C5785" t="s">
        <v>85</v>
      </c>
      <c r="D5785" t="s">
        <v>188</v>
      </c>
      <c r="E5785" t="s">
        <v>21</v>
      </c>
      <c r="F5785" s="1">
        <v>44531</v>
      </c>
      <c r="G5785">
        <v>1.39</v>
      </c>
      <c r="H5785">
        <v>83.816199999999995</v>
      </c>
      <c r="I5785">
        <v>17.63</v>
      </c>
      <c r="J5785">
        <v>85.83</v>
      </c>
      <c r="K5785" t="s">
        <v>31</v>
      </c>
      <c r="L5785">
        <v>3605.73</v>
      </c>
      <c r="M5785">
        <f>VLOOKUP(K5785,RatingLookup!$A$2:$C$8,2,FALSE)</f>
        <v>0.04</v>
      </c>
      <c r="N5785">
        <f t="shared" si="270"/>
        <v>3.3960531989175591E-3</v>
      </c>
      <c r="O5785">
        <f>VLOOKUP(K5785,RatingLookup!$A$2:$C$8,3,FALSE)</f>
        <v>0.6</v>
      </c>
      <c r="P5785">
        <f t="shared" si="271"/>
        <v>7.3471505405598059</v>
      </c>
      <c r="Q5785" t="str">
        <f t="shared" ca="1" si="272"/>
        <v>No</v>
      </c>
    </row>
    <row r="5786" spans="1:17" x14ac:dyDescent="0.45">
      <c r="A5786" t="s">
        <v>229</v>
      </c>
      <c r="B5786" t="s">
        <v>230</v>
      </c>
      <c r="C5786" t="s">
        <v>85</v>
      </c>
      <c r="D5786" t="s">
        <v>188</v>
      </c>
      <c r="E5786" t="s">
        <v>21</v>
      </c>
      <c r="F5786" s="1">
        <v>44562</v>
      </c>
      <c r="G5786">
        <v>1.71</v>
      </c>
      <c r="H5786">
        <v>81.490099999999998</v>
      </c>
      <c r="I5786">
        <v>17.84</v>
      </c>
      <c r="J5786">
        <v>85.23</v>
      </c>
      <c r="K5786" t="s">
        <v>31</v>
      </c>
      <c r="L5786">
        <v>3804.16</v>
      </c>
      <c r="M5786">
        <f>VLOOKUP(K5786,RatingLookup!$A$2:$C$8,2,FALSE)</f>
        <v>0.04</v>
      </c>
      <c r="N5786">
        <f t="shared" si="270"/>
        <v>3.3960531989175591E-3</v>
      </c>
      <c r="O5786">
        <f>VLOOKUP(K5786,RatingLookup!$A$2:$C$8,3,FALSE)</f>
        <v>0.6</v>
      </c>
      <c r="P5786">
        <f t="shared" si="271"/>
        <v>7.7514778423165316</v>
      </c>
      <c r="Q5786" t="str">
        <f t="shared" ca="1" si="272"/>
        <v>No</v>
      </c>
    </row>
    <row r="5787" spans="1:17" x14ac:dyDescent="0.45">
      <c r="A5787" t="s">
        <v>229</v>
      </c>
      <c r="B5787" t="s">
        <v>230</v>
      </c>
      <c r="C5787" t="s">
        <v>85</v>
      </c>
      <c r="D5787" t="s">
        <v>188</v>
      </c>
      <c r="E5787" t="s">
        <v>21</v>
      </c>
      <c r="F5787" s="1">
        <v>44593</v>
      </c>
      <c r="G5787">
        <v>0.52</v>
      </c>
      <c r="H5787">
        <v>82.0886</v>
      </c>
      <c r="I5787">
        <v>11.58</v>
      </c>
      <c r="J5787">
        <v>81.09</v>
      </c>
      <c r="K5787" t="s">
        <v>31</v>
      </c>
      <c r="L5787">
        <v>3499.65</v>
      </c>
      <c r="M5787">
        <f>VLOOKUP(K5787,RatingLookup!$A$2:$C$8,2,FALSE)</f>
        <v>0.04</v>
      </c>
      <c r="N5787">
        <f t="shared" si="270"/>
        <v>3.3960531989175591E-3</v>
      </c>
      <c r="O5787">
        <f>VLOOKUP(K5787,RatingLookup!$A$2:$C$8,3,FALSE)</f>
        <v>0.6</v>
      </c>
      <c r="P5787">
        <f t="shared" si="271"/>
        <v>7.1309985465551016</v>
      </c>
      <c r="Q5787" t="str">
        <f t="shared" ca="1" si="272"/>
        <v>No</v>
      </c>
    </row>
    <row r="5788" spans="1:17" x14ac:dyDescent="0.45">
      <c r="A5788" t="s">
        <v>229</v>
      </c>
      <c r="B5788" t="s">
        <v>230</v>
      </c>
      <c r="C5788" t="s">
        <v>85</v>
      </c>
      <c r="D5788" t="s">
        <v>188</v>
      </c>
      <c r="E5788" t="s">
        <v>21</v>
      </c>
      <c r="F5788" s="1">
        <v>44621</v>
      </c>
      <c r="G5788">
        <v>1.21</v>
      </c>
      <c r="H5788">
        <v>78.846100000000007</v>
      </c>
      <c r="I5788">
        <v>12.69</v>
      </c>
      <c r="J5788">
        <v>86.46</v>
      </c>
      <c r="K5788" t="s">
        <v>31</v>
      </c>
      <c r="L5788">
        <v>3236.93</v>
      </c>
      <c r="M5788">
        <f>VLOOKUP(K5788,RatingLookup!$A$2:$C$8,2,FALSE)</f>
        <v>0.04</v>
      </c>
      <c r="N5788">
        <f t="shared" si="270"/>
        <v>3.3960531989175591E-3</v>
      </c>
      <c r="O5788">
        <f>VLOOKUP(K5788,RatingLookup!$A$2:$C$8,3,FALSE)</f>
        <v>0.6</v>
      </c>
      <c r="P5788">
        <f t="shared" si="271"/>
        <v>6.5956718887033281</v>
      </c>
      <c r="Q5788" t="str">
        <f t="shared" ca="1" si="272"/>
        <v>No</v>
      </c>
    </row>
    <row r="5789" spans="1:17" x14ac:dyDescent="0.45">
      <c r="A5789" t="s">
        <v>229</v>
      </c>
      <c r="B5789" t="s">
        <v>230</v>
      </c>
      <c r="C5789" t="s">
        <v>85</v>
      </c>
      <c r="D5789" t="s">
        <v>188</v>
      </c>
      <c r="E5789" t="s">
        <v>21</v>
      </c>
      <c r="F5789" s="1">
        <v>44652</v>
      </c>
      <c r="G5789">
        <v>0.48</v>
      </c>
      <c r="H5789">
        <v>85.030799999999999</v>
      </c>
      <c r="I5789">
        <v>16.29</v>
      </c>
      <c r="J5789">
        <v>75.040000000000006</v>
      </c>
      <c r="K5789" t="s">
        <v>31</v>
      </c>
      <c r="L5789">
        <v>3631.78</v>
      </c>
      <c r="M5789">
        <f>VLOOKUP(K5789,RatingLookup!$A$2:$C$8,2,FALSE)</f>
        <v>0.04</v>
      </c>
      <c r="N5789">
        <f t="shared" si="270"/>
        <v>3.3960531989175591E-3</v>
      </c>
      <c r="O5789">
        <f>VLOOKUP(K5789,RatingLookup!$A$2:$C$8,3,FALSE)</f>
        <v>0.6</v>
      </c>
      <c r="P5789">
        <f t="shared" si="271"/>
        <v>7.400230852058888</v>
      </c>
      <c r="Q5789" t="str">
        <f t="shared" ca="1" si="272"/>
        <v>No</v>
      </c>
    </row>
    <row r="5790" spans="1:17" x14ac:dyDescent="0.45">
      <c r="A5790" t="s">
        <v>229</v>
      </c>
      <c r="B5790" t="s">
        <v>230</v>
      </c>
      <c r="C5790" t="s">
        <v>85</v>
      </c>
      <c r="D5790" t="s">
        <v>188</v>
      </c>
      <c r="E5790" t="s">
        <v>21</v>
      </c>
      <c r="F5790" s="1">
        <v>44682</v>
      </c>
      <c r="G5790">
        <v>1.1000000000000001</v>
      </c>
      <c r="H5790">
        <v>83.732500000000002</v>
      </c>
      <c r="I5790">
        <v>18.96</v>
      </c>
      <c r="J5790">
        <v>92.79</v>
      </c>
      <c r="K5790" t="s">
        <v>31</v>
      </c>
      <c r="L5790">
        <v>3599.79</v>
      </c>
      <c r="M5790">
        <f>VLOOKUP(K5790,RatingLookup!$A$2:$C$8,2,FALSE)</f>
        <v>0.04</v>
      </c>
      <c r="N5790">
        <f t="shared" si="270"/>
        <v>3.3960531989175591E-3</v>
      </c>
      <c r="O5790">
        <f>VLOOKUP(K5790,RatingLookup!$A$2:$C$8,3,FALSE)</f>
        <v>0.6</v>
      </c>
      <c r="P5790">
        <f t="shared" si="271"/>
        <v>7.3350470069588631</v>
      </c>
      <c r="Q5790" t="str">
        <f t="shared" ca="1" si="272"/>
        <v>No</v>
      </c>
    </row>
    <row r="5791" spans="1:17" x14ac:dyDescent="0.45">
      <c r="A5791" t="s">
        <v>229</v>
      </c>
      <c r="B5791" t="s">
        <v>230</v>
      </c>
      <c r="C5791" t="s">
        <v>85</v>
      </c>
      <c r="D5791" t="s">
        <v>188</v>
      </c>
      <c r="E5791" t="s">
        <v>21</v>
      </c>
      <c r="F5791" s="1">
        <v>44713</v>
      </c>
      <c r="G5791">
        <v>0.98</v>
      </c>
      <c r="H5791">
        <v>80.819699999999997</v>
      </c>
      <c r="I5791">
        <v>21.96</v>
      </c>
      <c r="J5791">
        <v>84.56</v>
      </c>
      <c r="K5791" t="s">
        <v>31</v>
      </c>
      <c r="L5791">
        <v>3585.03</v>
      </c>
      <c r="M5791">
        <f>VLOOKUP(K5791,RatingLookup!$A$2:$C$8,2,FALSE)</f>
        <v>0.04</v>
      </c>
      <c r="N5791">
        <f t="shared" si="270"/>
        <v>3.3960531989175591E-3</v>
      </c>
      <c r="O5791">
        <f>VLOOKUP(K5791,RatingLookup!$A$2:$C$8,3,FALSE)</f>
        <v>0.6</v>
      </c>
      <c r="P5791">
        <f t="shared" si="271"/>
        <v>7.3049715598292506</v>
      </c>
      <c r="Q5791" t="str">
        <f t="shared" ca="1" si="272"/>
        <v>No</v>
      </c>
    </row>
    <row r="5792" spans="1:17" x14ac:dyDescent="0.45">
      <c r="A5792" t="s">
        <v>229</v>
      </c>
      <c r="B5792" t="s">
        <v>230</v>
      </c>
      <c r="C5792" t="s">
        <v>85</v>
      </c>
      <c r="D5792" t="s">
        <v>188</v>
      </c>
      <c r="E5792" t="s">
        <v>21</v>
      </c>
      <c r="F5792" s="1">
        <v>44743</v>
      </c>
      <c r="G5792">
        <v>1.24</v>
      </c>
      <c r="H5792">
        <v>83.500100000000003</v>
      </c>
      <c r="I5792">
        <v>24.11</v>
      </c>
      <c r="J5792">
        <v>73.87</v>
      </c>
      <c r="K5792" t="s">
        <v>31</v>
      </c>
      <c r="L5792">
        <v>3748.18</v>
      </c>
      <c r="M5792">
        <f>VLOOKUP(K5792,RatingLookup!$A$2:$C$8,2,FALSE)</f>
        <v>0.04</v>
      </c>
      <c r="N5792">
        <f t="shared" si="270"/>
        <v>3.3960531989175591E-3</v>
      </c>
      <c r="O5792">
        <f>VLOOKUP(K5792,RatingLookup!$A$2:$C$8,3,FALSE)</f>
        <v>0.6</v>
      </c>
      <c r="P5792">
        <f t="shared" si="271"/>
        <v>7.6374112074712892</v>
      </c>
      <c r="Q5792" t="str">
        <f t="shared" ca="1" si="272"/>
        <v>No</v>
      </c>
    </row>
    <row r="5793" spans="1:17" x14ac:dyDescent="0.45">
      <c r="A5793" t="s">
        <v>229</v>
      </c>
      <c r="B5793" t="s">
        <v>230</v>
      </c>
      <c r="C5793" t="s">
        <v>85</v>
      </c>
      <c r="D5793" t="s">
        <v>188</v>
      </c>
      <c r="E5793" t="s">
        <v>21</v>
      </c>
      <c r="F5793" s="1">
        <v>44774</v>
      </c>
      <c r="G5793">
        <v>1.5</v>
      </c>
      <c r="H5793">
        <v>81.676299999999998</v>
      </c>
      <c r="I5793">
        <v>20.8</v>
      </c>
      <c r="J5793">
        <v>74.95</v>
      </c>
      <c r="K5793" t="s">
        <v>31</v>
      </c>
      <c r="L5793">
        <v>3638.22</v>
      </c>
      <c r="M5793">
        <f>VLOOKUP(K5793,RatingLookup!$A$2:$C$8,2,FALSE)</f>
        <v>0.04</v>
      </c>
      <c r="N5793">
        <f t="shared" si="270"/>
        <v>3.3960531989175591E-3</v>
      </c>
      <c r="O5793">
        <f>VLOOKUP(K5793,RatingLookup!$A$2:$C$8,3,FALSE)</f>
        <v>0.6</v>
      </c>
      <c r="P5793">
        <f t="shared" si="271"/>
        <v>7.413353201619505</v>
      </c>
      <c r="Q5793" t="str">
        <f t="shared" ca="1" si="272"/>
        <v>No</v>
      </c>
    </row>
    <row r="5794" spans="1:17" x14ac:dyDescent="0.45">
      <c r="A5794" t="s">
        <v>229</v>
      </c>
      <c r="B5794" t="s">
        <v>230</v>
      </c>
      <c r="C5794" t="s">
        <v>85</v>
      </c>
      <c r="D5794" t="s">
        <v>188</v>
      </c>
      <c r="E5794" t="s">
        <v>21</v>
      </c>
      <c r="F5794" s="1">
        <v>44805</v>
      </c>
      <c r="G5794">
        <v>2.4900000000000002</v>
      </c>
      <c r="H5794">
        <v>81.881200000000007</v>
      </c>
      <c r="I5794">
        <v>25.51</v>
      </c>
      <c r="J5794">
        <v>79.989999999999995</v>
      </c>
      <c r="K5794" t="s">
        <v>31</v>
      </c>
      <c r="L5794">
        <v>3573.74</v>
      </c>
      <c r="M5794">
        <f>VLOOKUP(K5794,RatingLookup!$A$2:$C$8,2,FALSE)</f>
        <v>0.04</v>
      </c>
      <c r="N5794">
        <f t="shared" si="270"/>
        <v>3.3960531989175591E-3</v>
      </c>
      <c r="O5794">
        <f>VLOOKUP(K5794,RatingLookup!$A$2:$C$8,3,FALSE)</f>
        <v>0.6</v>
      </c>
      <c r="P5794">
        <f t="shared" si="271"/>
        <v>7.2819666954597819</v>
      </c>
      <c r="Q5794" t="str">
        <f t="shared" ca="1" si="272"/>
        <v>No</v>
      </c>
    </row>
    <row r="5795" spans="1:17" x14ac:dyDescent="0.45">
      <c r="A5795" t="s">
        <v>229</v>
      </c>
      <c r="B5795" t="s">
        <v>230</v>
      </c>
      <c r="C5795" t="s">
        <v>85</v>
      </c>
      <c r="D5795" t="s">
        <v>188</v>
      </c>
      <c r="E5795" t="s">
        <v>21</v>
      </c>
      <c r="F5795" s="1">
        <v>44835</v>
      </c>
      <c r="G5795">
        <v>1.51</v>
      </c>
      <c r="H5795">
        <v>80.837400000000002</v>
      </c>
      <c r="I5795">
        <v>15.06</v>
      </c>
      <c r="J5795">
        <v>60.8</v>
      </c>
      <c r="K5795" t="s">
        <v>31</v>
      </c>
      <c r="L5795">
        <v>3310.8</v>
      </c>
      <c r="M5795">
        <f>VLOOKUP(K5795,RatingLookup!$A$2:$C$8,2,FALSE)</f>
        <v>0.04</v>
      </c>
      <c r="N5795">
        <f t="shared" si="270"/>
        <v>3.3960531989175591E-3</v>
      </c>
      <c r="O5795">
        <f>VLOOKUP(K5795,RatingLookup!$A$2:$C$8,3,FALSE)</f>
        <v>0.6</v>
      </c>
      <c r="P5795">
        <f t="shared" si="271"/>
        <v>6.7461917585857529</v>
      </c>
      <c r="Q5795" t="str">
        <f t="shared" ca="1" si="272"/>
        <v>No</v>
      </c>
    </row>
    <row r="5796" spans="1:17" x14ac:dyDescent="0.45">
      <c r="A5796" t="s">
        <v>229</v>
      </c>
      <c r="B5796" t="s">
        <v>230</v>
      </c>
      <c r="C5796" t="s">
        <v>85</v>
      </c>
      <c r="D5796" t="s">
        <v>188</v>
      </c>
      <c r="E5796" t="s">
        <v>21</v>
      </c>
      <c r="F5796" s="1">
        <v>44866</v>
      </c>
      <c r="G5796">
        <v>1.47</v>
      </c>
      <c r="H5796">
        <v>84.244500000000002</v>
      </c>
      <c r="I5796">
        <v>20.170000000000002</v>
      </c>
      <c r="J5796">
        <v>77.3</v>
      </c>
      <c r="K5796" t="s">
        <v>31</v>
      </c>
      <c r="L5796">
        <v>3205.57</v>
      </c>
      <c r="M5796">
        <f>VLOOKUP(K5796,RatingLookup!$A$2:$C$8,2,FALSE)</f>
        <v>0.04</v>
      </c>
      <c r="N5796">
        <f t="shared" si="270"/>
        <v>3.3960531989175591E-3</v>
      </c>
      <c r="O5796">
        <f>VLOOKUP(K5796,RatingLookup!$A$2:$C$8,3,FALSE)</f>
        <v>0.6</v>
      </c>
      <c r="P5796">
        <f t="shared" si="271"/>
        <v>6.5317717517124967</v>
      </c>
      <c r="Q5796" t="str">
        <f t="shared" ca="1" si="272"/>
        <v>No</v>
      </c>
    </row>
    <row r="5797" spans="1:17" x14ac:dyDescent="0.45">
      <c r="A5797" t="s">
        <v>229</v>
      </c>
      <c r="B5797" t="s">
        <v>230</v>
      </c>
      <c r="C5797" t="s">
        <v>85</v>
      </c>
      <c r="D5797" t="s">
        <v>188</v>
      </c>
      <c r="E5797" t="s">
        <v>21</v>
      </c>
      <c r="F5797" s="1">
        <v>44896</v>
      </c>
      <c r="G5797">
        <v>1.53</v>
      </c>
      <c r="H5797">
        <v>80.706999999999994</v>
      </c>
      <c r="I5797">
        <v>11.83</v>
      </c>
      <c r="J5797">
        <v>92.7</v>
      </c>
      <c r="K5797" t="s">
        <v>31</v>
      </c>
      <c r="L5797">
        <v>3210.96</v>
      </c>
      <c r="M5797">
        <f>VLOOKUP(K5797,RatingLookup!$A$2:$C$8,2,FALSE)</f>
        <v>0.04</v>
      </c>
      <c r="N5797">
        <f t="shared" si="270"/>
        <v>3.3960531989175591E-3</v>
      </c>
      <c r="O5797">
        <f>VLOOKUP(K5797,RatingLookup!$A$2:$C$8,3,FALSE)</f>
        <v>0.6</v>
      </c>
      <c r="P5797">
        <f t="shared" si="271"/>
        <v>6.5427545877577957</v>
      </c>
      <c r="Q5797" t="str">
        <f t="shared" ca="1" si="272"/>
        <v>No</v>
      </c>
    </row>
    <row r="5798" spans="1:17" x14ac:dyDescent="0.45">
      <c r="A5798" t="s">
        <v>229</v>
      </c>
      <c r="B5798" t="s">
        <v>230</v>
      </c>
      <c r="C5798" t="s">
        <v>85</v>
      </c>
      <c r="D5798" t="s">
        <v>188</v>
      </c>
      <c r="E5798" t="s">
        <v>21</v>
      </c>
      <c r="F5798" s="1">
        <v>44927</v>
      </c>
      <c r="G5798">
        <v>1.3</v>
      </c>
      <c r="H5798">
        <v>81.638599999999997</v>
      </c>
      <c r="I5798">
        <v>24</v>
      </c>
      <c r="J5798">
        <v>80.77</v>
      </c>
      <c r="K5798" t="s">
        <v>31</v>
      </c>
      <c r="L5798">
        <v>3542.8</v>
      </c>
      <c r="M5798">
        <f>VLOOKUP(K5798,RatingLookup!$A$2:$C$8,2,FALSE)</f>
        <v>0.04</v>
      </c>
      <c r="N5798">
        <f t="shared" si="270"/>
        <v>3.3960531989175591E-3</v>
      </c>
      <c r="O5798">
        <f>VLOOKUP(K5798,RatingLookup!$A$2:$C$8,3,FALSE)</f>
        <v>0.6</v>
      </c>
      <c r="P5798">
        <f t="shared" si="271"/>
        <v>7.2189223638750777</v>
      </c>
      <c r="Q5798" t="str">
        <f t="shared" ca="1" si="272"/>
        <v>No</v>
      </c>
    </row>
    <row r="5799" spans="1:17" x14ac:dyDescent="0.45">
      <c r="A5799" t="s">
        <v>229</v>
      </c>
      <c r="B5799" t="s">
        <v>230</v>
      </c>
      <c r="C5799" t="s">
        <v>85</v>
      </c>
      <c r="D5799" t="s">
        <v>188</v>
      </c>
      <c r="E5799" t="s">
        <v>21</v>
      </c>
      <c r="F5799" s="1">
        <v>44958</v>
      </c>
      <c r="G5799">
        <v>1.46</v>
      </c>
      <c r="H5799">
        <v>79.549300000000002</v>
      </c>
      <c r="I5799">
        <v>15.85</v>
      </c>
      <c r="J5799">
        <v>65.61</v>
      </c>
      <c r="K5799" t="s">
        <v>31</v>
      </c>
      <c r="L5799">
        <v>3424.14</v>
      </c>
      <c r="M5799">
        <f>VLOOKUP(K5799,RatingLookup!$A$2:$C$8,2,FALSE)</f>
        <v>0.04</v>
      </c>
      <c r="N5799">
        <f t="shared" si="270"/>
        <v>3.3960531989175591E-3</v>
      </c>
      <c r="O5799">
        <f>VLOOKUP(K5799,RatingLookup!$A$2:$C$8,3,FALSE)</f>
        <v>0.6</v>
      </c>
      <c r="P5799">
        <f t="shared" si="271"/>
        <v>6.977136960324942</v>
      </c>
      <c r="Q5799" t="str">
        <f t="shared" ca="1" si="272"/>
        <v>No</v>
      </c>
    </row>
    <row r="5800" spans="1:17" x14ac:dyDescent="0.45">
      <c r="A5800" t="s">
        <v>229</v>
      </c>
      <c r="B5800" t="s">
        <v>230</v>
      </c>
      <c r="C5800" t="s">
        <v>85</v>
      </c>
      <c r="D5800" t="s">
        <v>188</v>
      </c>
      <c r="E5800" t="s">
        <v>21</v>
      </c>
      <c r="F5800" s="1">
        <v>44986</v>
      </c>
      <c r="G5800">
        <v>1.6</v>
      </c>
      <c r="H5800">
        <v>86.668199999999999</v>
      </c>
      <c r="I5800">
        <v>22.78</v>
      </c>
      <c r="J5800">
        <v>76.28</v>
      </c>
      <c r="K5800" t="s">
        <v>31</v>
      </c>
      <c r="L5800">
        <v>3298.67</v>
      </c>
      <c r="M5800">
        <f>VLOOKUP(K5800,RatingLookup!$A$2:$C$8,2,FALSE)</f>
        <v>0.04</v>
      </c>
      <c r="N5800">
        <f t="shared" si="270"/>
        <v>3.3960531989175591E-3</v>
      </c>
      <c r="O5800">
        <f>VLOOKUP(K5800,RatingLookup!$A$2:$C$8,3,FALSE)</f>
        <v>0.6</v>
      </c>
      <c r="P5800">
        <f t="shared" si="271"/>
        <v>6.7214752834040299</v>
      </c>
      <c r="Q5800" t="str">
        <f t="shared" ca="1" si="272"/>
        <v>No</v>
      </c>
    </row>
    <row r="5801" spans="1:17" x14ac:dyDescent="0.45">
      <c r="A5801" t="s">
        <v>229</v>
      </c>
      <c r="B5801" t="s">
        <v>230</v>
      </c>
      <c r="C5801" t="s">
        <v>85</v>
      </c>
      <c r="D5801" t="s">
        <v>188</v>
      </c>
      <c r="E5801" t="s">
        <v>21</v>
      </c>
      <c r="F5801" s="1">
        <v>45017</v>
      </c>
      <c r="G5801">
        <v>1.29</v>
      </c>
      <c r="H5801">
        <v>82.497500000000002</v>
      </c>
      <c r="I5801">
        <v>12.54</v>
      </c>
      <c r="J5801">
        <v>65.959999999999994</v>
      </c>
      <c r="K5801" t="s">
        <v>31</v>
      </c>
      <c r="L5801">
        <v>3276.86</v>
      </c>
      <c r="M5801">
        <f>VLOOKUP(K5801,RatingLookup!$A$2:$C$8,2,FALSE)</f>
        <v>0.04</v>
      </c>
      <c r="N5801">
        <f t="shared" si="270"/>
        <v>3.3960531989175591E-3</v>
      </c>
      <c r="O5801">
        <f>VLOOKUP(K5801,RatingLookup!$A$2:$C$8,3,FALSE)</f>
        <v>0.6</v>
      </c>
      <c r="P5801">
        <f t="shared" si="271"/>
        <v>6.6770345312429962</v>
      </c>
      <c r="Q5801" t="str">
        <f t="shared" ca="1" si="272"/>
        <v>No</v>
      </c>
    </row>
    <row r="5802" spans="1:17" x14ac:dyDescent="0.45">
      <c r="A5802" t="s">
        <v>229</v>
      </c>
      <c r="B5802" t="s">
        <v>230</v>
      </c>
      <c r="C5802" t="s">
        <v>85</v>
      </c>
      <c r="D5802" t="s">
        <v>188</v>
      </c>
      <c r="E5802" t="s">
        <v>21</v>
      </c>
      <c r="F5802" s="1">
        <v>45047</v>
      </c>
      <c r="G5802">
        <v>1.63</v>
      </c>
      <c r="H5802">
        <v>82.917900000000003</v>
      </c>
      <c r="I5802">
        <v>20.87</v>
      </c>
      <c r="J5802">
        <v>75.56</v>
      </c>
      <c r="K5802" t="s">
        <v>31</v>
      </c>
      <c r="L5802">
        <v>3318.38</v>
      </c>
      <c r="M5802">
        <f>VLOOKUP(K5802,RatingLookup!$A$2:$C$8,2,FALSE)</f>
        <v>0.04</v>
      </c>
      <c r="N5802">
        <f t="shared" si="270"/>
        <v>3.3960531989175591E-3</v>
      </c>
      <c r="O5802">
        <f>VLOOKUP(K5802,RatingLookup!$A$2:$C$8,3,FALSE)</f>
        <v>0.6</v>
      </c>
      <c r="P5802">
        <f t="shared" si="271"/>
        <v>6.7616370085344304</v>
      </c>
      <c r="Q5802" t="str">
        <f t="shared" ca="1" si="272"/>
        <v>No</v>
      </c>
    </row>
    <row r="5803" spans="1:17" x14ac:dyDescent="0.45">
      <c r="A5803" t="s">
        <v>229</v>
      </c>
      <c r="B5803" t="s">
        <v>230</v>
      </c>
      <c r="C5803" t="s">
        <v>85</v>
      </c>
      <c r="D5803" t="s">
        <v>188</v>
      </c>
      <c r="E5803" t="s">
        <v>21</v>
      </c>
      <c r="F5803" s="1">
        <v>45078</v>
      </c>
      <c r="G5803">
        <v>2.54</v>
      </c>
      <c r="H5803">
        <v>81.066800000000001</v>
      </c>
      <c r="I5803">
        <v>30.43</v>
      </c>
      <c r="J5803">
        <v>65.709999999999994</v>
      </c>
      <c r="K5803" t="s">
        <v>31</v>
      </c>
      <c r="L5803">
        <v>3330.02</v>
      </c>
      <c r="M5803">
        <f>VLOOKUP(K5803,RatingLookup!$A$2:$C$8,2,FALSE)</f>
        <v>0.04</v>
      </c>
      <c r="N5803">
        <f t="shared" si="270"/>
        <v>3.3960531989175591E-3</v>
      </c>
      <c r="O5803">
        <f>VLOOKUP(K5803,RatingLookup!$A$2:$C$8,3,FALSE)</f>
        <v>0.6</v>
      </c>
      <c r="P5803">
        <f t="shared" si="271"/>
        <v>6.7853550440756702</v>
      </c>
      <c r="Q5803" t="str">
        <f t="shared" ca="1" si="272"/>
        <v>No</v>
      </c>
    </row>
    <row r="5804" spans="1:17" x14ac:dyDescent="0.45">
      <c r="A5804" t="s">
        <v>229</v>
      </c>
      <c r="B5804" t="s">
        <v>230</v>
      </c>
      <c r="C5804" t="s">
        <v>85</v>
      </c>
      <c r="D5804" t="s">
        <v>188</v>
      </c>
      <c r="E5804" t="s">
        <v>21</v>
      </c>
      <c r="F5804" s="1">
        <v>45108</v>
      </c>
      <c r="G5804">
        <v>1.89</v>
      </c>
      <c r="H5804">
        <v>79.153199999999998</v>
      </c>
      <c r="I5804">
        <v>19.02</v>
      </c>
      <c r="J5804">
        <v>75.08</v>
      </c>
      <c r="K5804" t="s">
        <v>31</v>
      </c>
      <c r="L5804">
        <v>3155.73</v>
      </c>
      <c r="M5804">
        <f>VLOOKUP(K5804,RatingLookup!$A$2:$C$8,2,FALSE)</f>
        <v>0.04</v>
      </c>
      <c r="N5804">
        <f t="shared" si="270"/>
        <v>3.3960531989175591E-3</v>
      </c>
      <c r="O5804">
        <f>VLOOKUP(K5804,RatingLookup!$A$2:$C$8,3,FALSE)</f>
        <v>0.6</v>
      </c>
      <c r="P5804">
        <f t="shared" si="271"/>
        <v>6.4302161768520651</v>
      </c>
      <c r="Q5804" t="str">
        <f t="shared" ca="1" si="272"/>
        <v>No</v>
      </c>
    </row>
    <row r="5805" spans="1:17" x14ac:dyDescent="0.45">
      <c r="A5805" t="s">
        <v>229</v>
      </c>
      <c r="B5805" t="s">
        <v>230</v>
      </c>
      <c r="C5805" t="s">
        <v>85</v>
      </c>
      <c r="D5805" t="s">
        <v>188</v>
      </c>
      <c r="E5805" t="s">
        <v>21</v>
      </c>
      <c r="F5805" s="1">
        <v>45139</v>
      </c>
      <c r="G5805">
        <v>1.44</v>
      </c>
      <c r="H5805">
        <v>78.689700000000002</v>
      </c>
      <c r="I5805">
        <v>24.99</v>
      </c>
      <c r="J5805">
        <v>87.31</v>
      </c>
      <c r="K5805" t="s">
        <v>31</v>
      </c>
      <c r="L5805">
        <v>3435.33</v>
      </c>
      <c r="M5805">
        <f>VLOOKUP(K5805,RatingLookup!$A$2:$C$8,2,FALSE)</f>
        <v>0.04</v>
      </c>
      <c r="N5805">
        <f t="shared" si="270"/>
        <v>3.3960531989175591E-3</v>
      </c>
      <c r="O5805">
        <f>VLOOKUP(K5805,RatingLookup!$A$2:$C$8,3,FALSE)</f>
        <v>0.6</v>
      </c>
      <c r="P5805">
        <f t="shared" si="271"/>
        <v>6.9999380615024753</v>
      </c>
      <c r="Q5805" t="str">
        <f t="shared" ca="1" si="272"/>
        <v>No</v>
      </c>
    </row>
    <row r="5806" spans="1:17" x14ac:dyDescent="0.45">
      <c r="A5806" t="s">
        <v>229</v>
      </c>
      <c r="B5806" t="s">
        <v>230</v>
      </c>
      <c r="C5806" t="s">
        <v>85</v>
      </c>
      <c r="D5806" t="s">
        <v>188</v>
      </c>
      <c r="E5806" t="s">
        <v>21</v>
      </c>
      <c r="F5806" s="1">
        <v>45170</v>
      </c>
      <c r="G5806">
        <v>0.48</v>
      </c>
      <c r="H5806">
        <v>83.666700000000006</v>
      </c>
      <c r="I5806">
        <v>15.35</v>
      </c>
      <c r="J5806">
        <v>70.900000000000006</v>
      </c>
      <c r="K5806" t="s">
        <v>31</v>
      </c>
      <c r="L5806">
        <v>3547.7</v>
      </c>
      <c r="M5806">
        <f>VLOOKUP(K5806,RatingLookup!$A$2:$C$8,2,FALSE)</f>
        <v>0.04</v>
      </c>
      <c r="N5806">
        <f t="shared" si="270"/>
        <v>3.3960531989175591E-3</v>
      </c>
      <c r="O5806">
        <f>VLOOKUP(K5806,RatingLookup!$A$2:$C$8,3,FALSE)</f>
        <v>0.6</v>
      </c>
      <c r="P5806">
        <f t="shared" si="271"/>
        <v>7.2289067602798944</v>
      </c>
      <c r="Q5806" t="str">
        <f t="shared" ca="1" si="272"/>
        <v>No</v>
      </c>
    </row>
    <row r="5807" spans="1:17" x14ac:dyDescent="0.45">
      <c r="A5807" t="s">
        <v>229</v>
      </c>
      <c r="B5807" t="s">
        <v>230</v>
      </c>
      <c r="C5807" t="s">
        <v>85</v>
      </c>
      <c r="D5807" t="s">
        <v>188</v>
      </c>
      <c r="E5807" t="s">
        <v>21</v>
      </c>
      <c r="F5807" s="1">
        <v>45200</v>
      </c>
      <c r="G5807">
        <v>2.88</v>
      </c>
      <c r="H5807">
        <v>81.343599999999995</v>
      </c>
      <c r="I5807">
        <v>25.38</v>
      </c>
      <c r="J5807">
        <v>88.63</v>
      </c>
      <c r="K5807" t="s">
        <v>31</v>
      </c>
      <c r="L5807">
        <v>3478.03</v>
      </c>
      <c r="M5807">
        <f>VLOOKUP(K5807,RatingLookup!$A$2:$C$8,2,FALSE)</f>
        <v>0.04</v>
      </c>
      <c r="N5807">
        <f t="shared" si="270"/>
        <v>3.3960531989175591E-3</v>
      </c>
      <c r="O5807">
        <f>VLOOKUP(K5807,RatingLookup!$A$2:$C$8,3,FALSE)</f>
        <v>0.6</v>
      </c>
      <c r="P5807">
        <f t="shared" si="271"/>
        <v>7.0869449444587422</v>
      </c>
      <c r="Q5807" t="str">
        <f t="shared" ca="1" si="272"/>
        <v>No</v>
      </c>
    </row>
    <row r="5808" spans="1:17" x14ac:dyDescent="0.45">
      <c r="A5808" t="s">
        <v>229</v>
      </c>
      <c r="B5808" t="s">
        <v>230</v>
      </c>
      <c r="C5808" t="s">
        <v>85</v>
      </c>
      <c r="D5808" t="s">
        <v>188</v>
      </c>
      <c r="E5808" t="s">
        <v>21</v>
      </c>
      <c r="F5808" s="1">
        <v>45231</v>
      </c>
      <c r="G5808">
        <v>1.78</v>
      </c>
      <c r="H5808">
        <v>82.199299999999994</v>
      </c>
      <c r="I5808">
        <v>13.1</v>
      </c>
      <c r="J5808">
        <v>92.62</v>
      </c>
      <c r="K5808" t="s">
        <v>31</v>
      </c>
      <c r="L5808">
        <v>3383.2</v>
      </c>
      <c r="M5808">
        <f>VLOOKUP(K5808,RatingLookup!$A$2:$C$8,2,FALSE)</f>
        <v>0.04</v>
      </c>
      <c r="N5808">
        <f t="shared" si="270"/>
        <v>3.3960531989175591E-3</v>
      </c>
      <c r="O5808">
        <f>VLOOKUP(K5808,RatingLookup!$A$2:$C$8,3,FALSE)</f>
        <v>0.6</v>
      </c>
      <c r="P5808">
        <f t="shared" si="271"/>
        <v>6.8937163095467318</v>
      </c>
      <c r="Q5808" t="str">
        <f t="shared" ca="1" si="272"/>
        <v>No</v>
      </c>
    </row>
    <row r="5809" spans="1:17" x14ac:dyDescent="0.45">
      <c r="A5809" t="s">
        <v>229</v>
      </c>
      <c r="B5809" t="s">
        <v>230</v>
      </c>
      <c r="C5809" t="s">
        <v>85</v>
      </c>
      <c r="D5809" t="s">
        <v>188</v>
      </c>
      <c r="E5809" t="s">
        <v>21</v>
      </c>
      <c r="F5809" s="1">
        <v>45261</v>
      </c>
      <c r="G5809">
        <v>1.18</v>
      </c>
      <c r="H5809">
        <v>83.9405</v>
      </c>
      <c r="I5809">
        <v>15.86</v>
      </c>
      <c r="J5809">
        <v>78.72</v>
      </c>
      <c r="K5809" t="s">
        <v>31</v>
      </c>
      <c r="L5809">
        <v>3371.41</v>
      </c>
      <c r="M5809">
        <f>VLOOKUP(K5809,RatingLookup!$A$2:$C$8,2,FALSE)</f>
        <v>0.04</v>
      </c>
      <c r="N5809">
        <f t="shared" si="270"/>
        <v>3.3960531989175591E-3</v>
      </c>
      <c r="O5809">
        <f>VLOOKUP(K5809,RatingLookup!$A$2:$C$8,3,FALSE)</f>
        <v>0.6</v>
      </c>
      <c r="P5809">
        <f t="shared" si="271"/>
        <v>6.8696926292175879</v>
      </c>
      <c r="Q5809" t="str">
        <f t="shared" ca="1" si="272"/>
        <v>No</v>
      </c>
    </row>
    <row r="5810" spans="1:17" x14ac:dyDescent="0.45">
      <c r="A5810" t="s">
        <v>229</v>
      </c>
      <c r="B5810" t="s">
        <v>230</v>
      </c>
      <c r="C5810" t="s">
        <v>85</v>
      </c>
      <c r="D5810" t="s">
        <v>188</v>
      </c>
      <c r="E5810" t="s">
        <v>21</v>
      </c>
      <c r="F5810" s="1">
        <v>45292</v>
      </c>
      <c r="G5810">
        <v>1.0900000000000001</v>
      </c>
      <c r="H5810">
        <v>84.093800000000002</v>
      </c>
      <c r="I5810">
        <v>19.52</v>
      </c>
      <c r="J5810">
        <v>86.76</v>
      </c>
      <c r="K5810" t="s">
        <v>31</v>
      </c>
      <c r="L5810">
        <v>3790.59</v>
      </c>
      <c r="M5810">
        <f>VLOOKUP(K5810,RatingLookup!$A$2:$C$8,2,FALSE)</f>
        <v>0.04</v>
      </c>
      <c r="N5810">
        <f t="shared" si="270"/>
        <v>3.3960531989175591E-3</v>
      </c>
      <c r="O5810">
        <f>VLOOKUP(K5810,RatingLookup!$A$2:$C$8,3,FALSE)</f>
        <v>0.6</v>
      </c>
      <c r="P5810">
        <f t="shared" si="271"/>
        <v>7.7238271771709464</v>
      </c>
      <c r="Q5810" t="str">
        <f t="shared" ca="1" si="272"/>
        <v>No</v>
      </c>
    </row>
    <row r="5811" spans="1:17" x14ac:dyDescent="0.45">
      <c r="A5811" t="s">
        <v>229</v>
      </c>
      <c r="B5811" t="s">
        <v>230</v>
      </c>
      <c r="C5811" t="s">
        <v>85</v>
      </c>
      <c r="D5811" t="s">
        <v>188</v>
      </c>
      <c r="E5811" t="s">
        <v>21</v>
      </c>
      <c r="F5811" s="1">
        <v>45323</v>
      </c>
      <c r="G5811">
        <v>0.97</v>
      </c>
      <c r="H5811">
        <v>86.757599999999996</v>
      </c>
      <c r="I5811">
        <v>16.36</v>
      </c>
      <c r="J5811">
        <v>82.27</v>
      </c>
      <c r="K5811" t="s">
        <v>31</v>
      </c>
      <c r="L5811">
        <v>3603.65</v>
      </c>
      <c r="M5811">
        <f>VLOOKUP(K5811,RatingLookup!$A$2:$C$8,2,FALSE)</f>
        <v>0.04</v>
      </c>
      <c r="N5811">
        <f t="shared" si="270"/>
        <v>3.3960531989175591E-3</v>
      </c>
      <c r="O5811">
        <f>VLOOKUP(K5811,RatingLookup!$A$2:$C$8,3,FALSE)</f>
        <v>0.6</v>
      </c>
      <c r="P5811">
        <f t="shared" si="271"/>
        <v>7.3429122661675565</v>
      </c>
      <c r="Q5811" t="str">
        <f t="shared" ca="1" si="272"/>
        <v>No</v>
      </c>
    </row>
    <row r="5812" spans="1:17" x14ac:dyDescent="0.45">
      <c r="A5812" t="s">
        <v>229</v>
      </c>
      <c r="B5812" t="s">
        <v>230</v>
      </c>
      <c r="C5812" t="s">
        <v>85</v>
      </c>
      <c r="D5812" t="s">
        <v>188</v>
      </c>
      <c r="E5812" t="s">
        <v>21</v>
      </c>
      <c r="F5812" s="1">
        <v>45352</v>
      </c>
      <c r="G5812">
        <v>2.06</v>
      </c>
      <c r="H5812">
        <v>78.126099999999994</v>
      </c>
      <c r="I5812">
        <v>12.15</v>
      </c>
      <c r="J5812">
        <v>77.790000000000006</v>
      </c>
      <c r="K5812" t="s">
        <v>31</v>
      </c>
      <c r="L5812">
        <v>3483.7</v>
      </c>
      <c r="M5812">
        <f>VLOOKUP(K5812,RatingLookup!$A$2:$C$8,2,FALSE)</f>
        <v>0.04</v>
      </c>
      <c r="N5812">
        <f t="shared" si="270"/>
        <v>3.3960531989175591E-3</v>
      </c>
      <c r="O5812">
        <f>VLOOKUP(K5812,RatingLookup!$A$2:$C$8,3,FALSE)</f>
        <v>0.6</v>
      </c>
      <c r="P5812">
        <f t="shared" si="271"/>
        <v>7.09849831744146</v>
      </c>
      <c r="Q5812" t="str">
        <f t="shared" ca="1" si="272"/>
        <v>No</v>
      </c>
    </row>
    <row r="5813" spans="1:17" x14ac:dyDescent="0.45">
      <c r="A5813" t="s">
        <v>229</v>
      </c>
      <c r="B5813" t="s">
        <v>230</v>
      </c>
      <c r="C5813" t="s">
        <v>85</v>
      </c>
      <c r="D5813" t="s">
        <v>188</v>
      </c>
      <c r="E5813" t="s">
        <v>21</v>
      </c>
      <c r="F5813" s="1">
        <v>45383</v>
      </c>
      <c r="G5813">
        <v>2.41</v>
      </c>
      <c r="H5813">
        <v>84.166899999999998</v>
      </c>
      <c r="I5813">
        <v>19.36</v>
      </c>
      <c r="J5813">
        <v>76.03</v>
      </c>
      <c r="K5813" t="s">
        <v>31</v>
      </c>
      <c r="L5813">
        <v>3360.86</v>
      </c>
      <c r="M5813">
        <f>VLOOKUP(K5813,RatingLookup!$A$2:$C$8,2,FALSE)</f>
        <v>0.04</v>
      </c>
      <c r="N5813">
        <f t="shared" si="270"/>
        <v>3.3960531989175591E-3</v>
      </c>
      <c r="O5813">
        <f>VLOOKUP(K5813,RatingLookup!$A$2:$C$8,3,FALSE)</f>
        <v>0.6</v>
      </c>
      <c r="P5813">
        <f t="shared" si="271"/>
        <v>6.8481956124684409</v>
      </c>
      <c r="Q5813" t="str">
        <f t="shared" ca="1" si="272"/>
        <v>No</v>
      </c>
    </row>
    <row r="5814" spans="1:17" x14ac:dyDescent="0.45">
      <c r="A5814" t="s">
        <v>229</v>
      </c>
      <c r="B5814" t="s">
        <v>230</v>
      </c>
      <c r="C5814" t="s">
        <v>85</v>
      </c>
      <c r="D5814" t="s">
        <v>188</v>
      </c>
      <c r="E5814" t="s">
        <v>21</v>
      </c>
      <c r="F5814" s="1">
        <v>45413</v>
      </c>
      <c r="G5814">
        <v>1.72</v>
      </c>
      <c r="H5814">
        <v>84.406199999999998</v>
      </c>
      <c r="I5814">
        <v>11.59</v>
      </c>
      <c r="J5814">
        <v>79.19</v>
      </c>
      <c r="K5814" t="s">
        <v>31</v>
      </c>
      <c r="L5814">
        <v>3719.92</v>
      </c>
      <c r="M5814">
        <f>VLOOKUP(K5814,RatingLookup!$A$2:$C$8,2,FALSE)</f>
        <v>0.04</v>
      </c>
      <c r="N5814">
        <f t="shared" si="270"/>
        <v>3.3960531989175591E-3</v>
      </c>
      <c r="O5814">
        <f>VLOOKUP(K5814,RatingLookup!$A$2:$C$8,3,FALSE)</f>
        <v>0.6</v>
      </c>
      <c r="P5814">
        <f t="shared" si="271"/>
        <v>7.5798277294304439</v>
      </c>
      <c r="Q5814" t="str">
        <f t="shared" ca="1" si="272"/>
        <v>No</v>
      </c>
    </row>
    <row r="5815" spans="1:17" x14ac:dyDescent="0.45">
      <c r="A5815" t="s">
        <v>229</v>
      </c>
      <c r="B5815" t="s">
        <v>230</v>
      </c>
      <c r="C5815" t="s">
        <v>85</v>
      </c>
      <c r="D5815" t="s">
        <v>188</v>
      </c>
      <c r="E5815" t="s">
        <v>21</v>
      </c>
      <c r="F5815" s="1">
        <v>45444</v>
      </c>
      <c r="G5815">
        <v>1.67</v>
      </c>
      <c r="H5815">
        <v>85.779399999999995</v>
      </c>
      <c r="I5815">
        <v>30.77</v>
      </c>
      <c r="J5815">
        <v>72.540000000000006</v>
      </c>
      <c r="K5815" t="s">
        <v>31</v>
      </c>
      <c r="L5815">
        <v>3621.2</v>
      </c>
      <c r="M5815">
        <f>VLOOKUP(K5815,RatingLookup!$A$2:$C$8,2,FALSE)</f>
        <v>0.04</v>
      </c>
      <c r="N5815">
        <f t="shared" si="270"/>
        <v>3.3960531989175591E-3</v>
      </c>
      <c r="O5815">
        <f>VLOOKUP(K5815,RatingLookup!$A$2:$C$8,3,FALSE)</f>
        <v>0.6</v>
      </c>
      <c r="P5815">
        <f t="shared" si="271"/>
        <v>7.3786727063521589</v>
      </c>
      <c r="Q5815" t="str">
        <f t="shared" ca="1" si="272"/>
        <v>No</v>
      </c>
    </row>
    <row r="5816" spans="1:17" x14ac:dyDescent="0.45">
      <c r="A5816" t="s">
        <v>229</v>
      </c>
      <c r="B5816" t="s">
        <v>230</v>
      </c>
      <c r="C5816" t="s">
        <v>85</v>
      </c>
      <c r="D5816" t="s">
        <v>188</v>
      </c>
      <c r="E5816" t="s">
        <v>21</v>
      </c>
      <c r="F5816" s="1">
        <v>45474</v>
      </c>
      <c r="G5816">
        <v>1.76</v>
      </c>
      <c r="H5816">
        <v>80.219700000000003</v>
      </c>
      <c r="I5816">
        <v>24.63</v>
      </c>
      <c r="J5816">
        <v>70.44</v>
      </c>
      <c r="K5816" t="s">
        <v>31</v>
      </c>
      <c r="L5816">
        <v>3833.02</v>
      </c>
      <c r="M5816">
        <f>VLOOKUP(K5816,RatingLookup!$A$2:$C$8,2,FALSE)</f>
        <v>0.04</v>
      </c>
      <c r="N5816">
        <f t="shared" si="270"/>
        <v>3.3960531989175591E-3</v>
      </c>
      <c r="O5816">
        <f>VLOOKUP(K5816,RatingLookup!$A$2:$C$8,3,FALSE)</f>
        <v>0.6</v>
      </c>
      <c r="P5816">
        <f t="shared" si="271"/>
        <v>7.8102838995089883</v>
      </c>
      <c r="Q5816" t="str">
        <f t="shared" ca="1" si="272"/>
        <v>No</v>
      </c>
    </row>
    <row r="5817" spans="1:17" x14ac:dyDescent="0.45">
      <c r="A5817" t="s">
        <v>229</v>
      </c>
      <c r="B5817" t="s">
        <v>230</v>
      </c>
      <c r="C5817" t="s">
        <v>85</v>
      </c>
      <c r="D5817" t="s">
        <v>188</v>
      </c>
      <c r="E5817" t="s">
        <v>21</v>
      </c>
      <c r="F5817" s="1">
        <v>45505</v>
      </c>
      <c r="G5817">
        <v>1.59</v>
      </c>
      <c r="H5817">
        <v>82.714600000000004</v>
      </c>
      <c r="I5817">
        <v>15.1</v>
      </c>
      <c r="J5817">
        <v>86.58</v>
      </c>
      <c r="K5817" t="s">
        <v>31</v>
      </c>
      <c r="L5817">
        <v>3537.98</v>
      </c>
      <c r="M5817">
        <f>VLOOKUP(K5817,RatingLookup!$A$2:$C$8,2,FALSE)</f>
        <v>0.04</v>
      </c>
      <c r="N5817">
        <f t="shared" si="270"/>
        <v>3.3960531989175591E-3</v>
      </c>
      <c r="O5817">
        <f>VLOOKUP(K5817,RatingLookup!$A$2:$C$8,3,FALSE)</f>
        <v>0.6</v>
      </c>
      <c r="P5817">
        <f t="shared" si="271"/>
        <v>7.2091009780238071</v>
      </c>
      <c r="Q5817" t="str">
        <f t="shared" ca="1" si="272"/>
        <v>No</v>
      </c>
    </row>
    <row r="5818" spans="1:17" x14ac:dyDescent="0.45">
      <c r="A5818" t="s">
        <v>229</v>
      </c>
      <c r="B5818" t="s">
        <v>230</v>
      </c>
      <c r="C5818" t="s">
        <v>85</v>
      </c>
      <c r="D5818" t="s">
        <v>188</v>
      </c>
      <c r="E5818" t="s">
        <v>21</v>
      </c>
      <c r="F5818" s="1">
        <v>45536</v>
      </c>
      <c r="G5818">
        <v>1.59</v>
      </c>
      <c r="H5818">
        <v>81.244200000000006</v>
      </c>
      <c r="I5818">
        <v>17.510000000000002</v>
      </c>
      <c r="J5818">
        <v>73.22</v>
      </c>
      <c r="K5818" t="s">
        <v>31</v>
      </c>
      <c r="L5818">
        <v>3190.71</v>
      </c>
      <c r="M5818">
        <f>VLOOKUP(K5818,RatingLookup!$A$2:$C$8,2,FALSE)</f>
        <v>0.04</v>
      </c>
      <c r="N5818">
        <f t="shared" si="270"/>
        <v>3.3960531989175591E-3</v>
      </c>
      <c r="O5818">
        <f>VLOOKUP(K5818,RatingLookup!$A$2:$C$8,3,FALSE)</f>
        <v>0.6</v>
      </c>
      <c r="P5818">
        <f t="shared" si="271"/>
        <v>6.501492541390947</v>
      </c>
      <c r="Q5818" t="str">
        <f t="shared" ca="1" si="272"/>
        <v>No</v>
      </c>
    </row>
    <row r="5819" spans="1:17" x14ac:dyDescent="0.45">
      <c r="A5819" t="s">
        <v>229</v>
      </c>
      <c r="B5819" t="s">
        <v>230</v>
      </c>
      <c r="C5819" t="s">
        <v>85</v>
      </c>
      <c r="D5819" t="s">
        <v>188</v>
      </c>
      <c r="E5819" t="s">
        <v>21</v>
      </c>
      <c r="F5819" s="1">
        <v>45566</v>
      </c>
      <c r="G5819">
        <v>1.42</v>
      </c>
      <c r="H5819">
        <v>87.832700000000003</v>
      </c>
      <c r="I5819">
        <v>21.26</v>
      </c>
      <c r="J5819">
        <v>62.4</v>
      </c>
      <c r="K5819" t="s">
        <v>31</v>
      </c>
      <c r="L5819">
        <v>3555.02</v>
      </c>
      <c r="M5819">
        <f>VLOOKUP(K5819,RatingLookup!$A$2:$C$8,2,FALSE)</f>
        <v>0.04</v>
      </c>
      <c r="N5819">
        <f t="shared" si="270"/>
        <v>3.3960531989175591E-3</v>
      </c>
      <c r="O5819">
        <f>VLOOKUP(K5819,RatingLookup!$A$2:$C$8,3,FALSE)</f>
        <v>0.6</v>
      </c>
      <c r="P5819">
        <f t="shared" si="271"/>
        <v>7.2438222259295406</v>
      </c>
      <c r="Q5819" t="str">
        <f t="shared" ca="1" si="272"/>
        <v>No</v>
      </c>
    </row>
    <row r="5820" spans="1:17" x14ac:dyDescent="0.45">
      <c r="A5820" t="s">
        <v>229</v>
      </c>
      <c r="B5820" t="s">
        <v>230</v>
      </c>
      <c r="C5820" t="s">
        <v>85</v>
      </c>
      <c r="D5820" t="s">
        <v>188</v>
      </c>
      <c r="E5820" t="s">
        <v>21</v>
      </c>
      <c r="F5820" s="1">
        <v>45597</v>
      </c>
      <c r="G5820">
        <v>2.11</v>
      </c>
      <c r="H5820">
        <v>81.268100000000004</v>
      </c>
      <c r="I5820">
        <v>16.97</v>
      </c>
      <c r="J5820">
        <v>76.42</v>
      </c>
      <c r="K5820" t="s">
        <v>31</v>
      </c>
      <c r="L5820">
        <v>3401.09</v>
      </c>
      <c r="M5820">
        <f>VLOOKUP(K5820,RatingLookup!$A$2:$C$8,2,FALSE)</f>
        <v>0.04</v>
      </c>
      <c r="N5820">
        <f t="shared" si="270"/>
        <v>3.3960531989175591E-3</v>
      </c>
      <c r="O5820">
        <f>VLOOKUP(K5820,RatingLookup!$A$2:$C$8,3,FALSE)</f>
        <v>0.6</v>
      </c>
      <c r="P5820">
        <f t="shared" si="271"/>
        <v>6.9301695445839124</v>
      </c>
      <c r="Q5820" t="str">
        <f t="shared" ca="1" si="272"/>
        <v>No</v>
      </c>
    </row>
    <row r="5821" spans="1:17" x14ac:dyDescent="0.45">
      <c r="A5821" t="s">
        <v>229</v>
      </c>
      <c r="B5821" t="s">
        <v>230</v>
      </c>
      <c r="C5821" t="s">
        <v>85</v>
      </c>
      <c r="D5821" t="s">
        <v>188</v>
      </c>
      <c r="E5821" t="s">
        <v>21</v>
      </c>
      <c r="F5821" s="1">
        <v>45627</v>
      </c>
      <c r="G5821">
        <v>0.55000000000000004</v>
      </c>
      <c r="H5821">
        <v>84.135999999999996</v>
      </c>
      <c r="I5821">
        <v>19.670000000000002</v>
      </c>
      <c r="J5821">
        <v>77.63</v>
      </c>
      <c r="K5821" t="s">
        <v>31</v>
      </c>
      <c r="L5821">
        <v>3518.97</v>
      </c>
      <c r="M5821">
        <f>VLOOKUP(K5821,RatingLookup!$A$2:$C$8,2,FALSE)</f>
        <v>0.04</v>
      </c>
      <c r="N5821">
        <f t="shared" si="270"/>
        <v>3.3960531989175591E-3</v>
      </c>
      <c r="O5821">
        <f>VLOOKUP(K5821,RatingLookup!$A$2:$C$8,3,FALSE)</f>
        <v>0.6</v>
      </c>
      <c r="P5821">
        <f t="shared" si="271"/>
        <v>7.1703655952369525</v>
      </c>
      <c r="Q5821" t="str">
        <f t="shared" ca="1" si="272"/>
        <v>No</v>
      </c>
    </row>
    <row r="5822" spans="1:17" x14ac:dyDescent="0.45">
      <c r="A5822" t="s">
        <v>231</v>
      </c>
      <c r="B5822" t="s">
        <v>232</v>
      </c>
      <c r="C5822" t="s">
        <v>19</v>
      </c>
      <c r="D5822" t="s">
        <v>188</v>
      </c>
      <c r="E5822" t="s">
        <v>21</v>
      </c>
      <c r="F5822" s="1">
        <v>43831</v>
      </c>
      <c r="G5822">
        <v>1.7</v>
      </c>
      <c r="H5822">
        <v>84.914299999999997</v>
      </c>
      <c r="I5822">
        <v>23.37</v>
      </c>
      <c r="J5822">
        <v>85.32</v>
      </c>
      <c r="K5822" t="s">
        <v>31</v>
      </c>
      <c r="L5822">
        <v>675.67</v>
      </c>
      <c r="M5822">
        <f>VLOOKUP(K5822,RatingLookup!$A$2:$C$8,2,FALSE)</f>
        <v>0.04</v>
      </c>
      <c r="N5822">
        <f t="shared" si="270"/>
        <v>3.3960531989175591E-3</v>
      </c>
      <c r="O5822">
        <f>VLOOKUP(K5822,RatingLookup!$A$2:$C$8,3,FALSE)</f>
        <v>0.6</v>
      </c>
      <c r="P5822">
        <f t="shared" si="271"/>
        <v>1.3767667589475763</v>
      </c>
      <c r="Q5822" t="str">
        <f t="shared" ca="1" si="272"/>
        <v>No</v>
      </c>
    </row>
    <row r="5823" spans="1:17" x14ac:dyDescent="0.45">
      <c r="A5823" t="s">
        <v>231</v>
      </c>
      <c r="B5823" t="s">
        <v>232</v>
      </c>
      <c r="C5823" t="s">
        <v>19</v>
      </c>
      <c r="D5823" t="s">
        <v>188</v>
      </c>
      <c r="E5823" t="s">
        <v>21</v>
      </c>
      <c r="F5823" s="1">
        <v>43862</v>
      </c>
      <c r="G5823">
        <v>0.83</v>
      </c>
      <c r="H5823">
        <v>84.141000000000005</v>
      </c>
      <c r="I5823">
        <v>20</v>
      </c>
      <c r="J5823">
        <v>75.17</v>
      </c>
      <c r="K5823" t="s">
        <v>31</v>
      </c>
      <c r="L5823">
        <v>814.96</v>
      </c>
      <c r="M5823">
        <f>VLOOKUP(K5823,RatingLookup!$A$2:$C$8,2,FALSE)</f>
        <v>0.04</v>
      </c>
      <c r="N5823">
        <f t="shared" si="270"/>
        <v>3.3960531989175591E-3</v>
      </c>
      <c r="O5823">
        <f>VLOOKUP(K5823,RatingLookup!$A$2:$C$8,3,FALSE)</f>
        <v>0.6</v>
      </c>
      <c r="P5823">
        <f t="shared" si="271"/>
        <v>1.6605885089939123</v>
      </c>
      <c r="Q5823" t="str">
        <f t="shared" ca="1" si="272"/>
        <v>No</v>
      </c>
    </row>
    <row r="5824" spans="1:17" x14ac:dyDescent="0.45">
      <c r="A5824" t="s">
        <v>231</v>
      </c>
      <c r="B5824" t="s">
        <v>232</v>
      </c>
      <c r="C5824" t="s">
        <v>19</v>
      </c>
      <c r="D5824" t="s">
        <v>188</v>
      </c>
      <c r="E5824" t="s">
        <v>21</v>
      </c>
      <c r="F5824" s="1">
        <v>43891</v>
      </c>
      <c r="G5824">
        <v>0.32</v>
      </c>
      <c r="H5824">
        <v>84.510300000000001</v>
      </c>
      <c r="I5824">
        <v>24.81</v>
      </c>
      <c r="J5824">
        <v>79.47</v>
      </c>
      <c r="K5824" t="s">
        <v>31</v>
      </c>
      <c r="L5824">
        <v>659.87</v>
      </c>
      <c r="M5824">
        <f>VLOOKUP(K5824,RatingLookup!$A$2:$C$8,2,FALSE)</f>
        <v>0.04</v>
      </c>
      <c r="N5824">
        <f t="shared" si="270"/>
        <v>3.3960531989175591E-3</v>
      </c>
      <c r="O5824">
        <f>VLOOKUP(K5824,RatingLookup!$A$2:$C$8,3,FALSE)</f>
        <v>0.6</v>
      </c>
      <c r="P5824">
        <f t="shared" si="271"/>
        <v>1.344572174621838</v>
      </c>
      <c r="Q5824" t="str">
        <f t="shared" ca="1" si="272"/>
        <v>No</v>
      </c>
    </row>
    <row r="5825" spans="1:17" x14ac:dyDescent="0.45">
      <c r="A5825" t="s">
        <v>231</v>
      </c>
      <c r="B5825" t="s">
        <v>232</v>
      </c>
      <c r="C5825" t="s">
        <v>19</v>
      </c>
      <c r="D5825" t="s">
        <v>188</v>
      </c>
      <c r="E5825" t="s">
        <v>21</v>
      </c>
      <c r="F5825" s="1">
        <v>43922</v>
      </c>
      <c r="G5825">
        <v>1.36</v>
      </c>
      <c r="H5825">
        <v>79.142099999999999</v>
      </c>
      <c r="I5825">
        <v>19.38</v>
      </c>
      <c r="J5825">
        <v>67</v>
      </c>
      <c r="K5825" t="s">
        <v>31</v>
      </c>
      <c r="L5825">
        <v>697.4</v>
      </c>
      <c r="M5825">
        <f>VLOOKUP(K5825,RatingLookup!$A$2:$C$8,2,FALSE)</f>
        <v>0.04</v>
      </c>
      <c r="N5825">
        <f t="shared" si="270"/>
        <v>3.3960531989175591E-3</v>
      </c>
      <c r="O5825">
        <f>VLOOKUP(K5825,RatingLookup!$A$2:$C$8,3,FALSE)</f>
        <v>0.6</v>
      </c>
      <c r="P5825">
        <f t="shared" si="271"/>
        <v>1.4210445005550634</v>
      </c>
      <c r="Q5825" t="str">
        <f t="shared" ca="1" si="272"/>
        <v>No</v>
      </c>
    </row>
    <row r="5826" spans="1:17" x14ac:dyDescent="0.45">
      <c r="A5826" t="s">
        <v>231</v>
      </c>
      <c r="B5826" t="s">
        <v>232</v>
      </c>
      <c r="C5826" t="s">
        <v>19</v>
      </c>
      <c r="D5826" t="s">
        <v>188</v>
      </c>
      <c r="E5826" t="s">
        <v>21</v>
      </c>
      <c r="F5826" s="1">
        <v>43952</v>
      </c>
      <c r="G5826">
        <v>1.58</v>
      </c>
      <c r="H5826">
        <v>80.736900000000006</v>
      </c>
      <c r="I5826">
        <v>16.03</v>
      </c>
      <c r="J5826">
        <v>97.95</v>
      </c>
      <c r="K5826" t="s">
        <v>30</v>
      </c>
      <c r="L5826">
        <v>737.12</v>
      </c>
      <c r="M5826">
        <f>VLOOKUP(K5826,RatingLookup!$A$2:$C$8,2,FALSE)</f>
        <v>1.4999999999999999E-2</v>
      </c>
      <c r="N5826">
        <f t="shared" ref="N5826:N5889" si="273">1-(1-M5826)^(1/12)</f>
        <v>1.2586770182638762E-3</v>
      </c>
      <c r="O5826">
        <f>VLOOKUP(K5826,RatingLookup!$A$2:$C$8,3,FALSE)</f>
        <v>0.5</v>
      </c>
      <c r="P5826">
        <f t="shared" ref="P5826:P5889" si="274">L5826*N5826*O5826</f>
        <v>0.46389800185133423</v>
      </c>
      <c r="Q5826" t="str">
        <f t="shared" ref="Q5826:Q5889" ca="1" si="275">IF(RAND()&lt;N5826,"Yes","No")</f>
        <v>No</v>
      </c>
    </row>
    <row r="5827" spans="1:17" x14ac:dyDescent="0.45">
      <c r="A5827" t="s">
        <v>231</v>
      </c>
      <c r="B5827" t="s">
        <v>232</v>
      </c>
      <c r="C5827" t="s">
        <v>19</v>
      </c>
      <c r="D5827" t="s">
        <v>188</v>
      </c>
      <c r="E5827" t="s">
        <v>21</v>
      </c>
      <c r="F5827" s="1">
        <v>43983</v>
      </c>
      <c r="G5827">
        <v>1.36</v>
      </c>
      <c r="H5827">
        <v>80.1952</v>
      </c>
      <c r="I5827">
        <v>18.11</v>
      </c>
      <c r="J5827">
        <v>64.77</v>
      </c>
      <c r="K5827" t="s">
        <v>30</v>
      </c>
      <c r="L5827">
        <v>670.76</v>
      </c>
      <c r="M5827">
        <f>VLOOKUP(K5827,RatingLookup!$A$2:$C$8,2,FALSE)</f>
        <v>1.4999999999999999E-2</v>
      </c>
      <c r="N5827">
        <f t="shared" si="273"/>
        <v>1.2586770182638762E-3</v>
      </c>
      <c r="O5827">
        <f>VLOOKUP(K5827,RatingLookup!$A$2:$C$8,3,FALSE)</f>
        <v>0.5</v>
      </c>
      <c r="P5827">
        <f t="shared" si="274"/>
        <v>0.4221350983853388</v>
      </c>
      <c r="Q5827" t="str">
        <f t="shared" ca="1" si="275"/>
        <v>No</v>
      </c>
    </row>
    <row r="5828" spans="1:17" x14ac:dyDescent="0.45">
      <c r="A5828" t="s">
        <v>231</v>
      </c>
      <c r="B5828" t="s">
        <v>232</v>
      </c>
      <c r="C5828" t="s">
        <v>19</v>
      </c>
      <c r="D5828" t="s">
        <v>188</v>
      </c>
      <c r="E5828" t="s">
        <v>21</v>
      </c>
      <c r="F5828" s="1">
        <v>44013</v>
      </c>
      <c r="G5828">
        <v>2.0299999999999998</v>
      </c>
      <c r="H5828">
        <v>84.634</v>
      </c>
      <c r="I5828">
        <v>25.04</v>
      </c>
      <c r="J5828">
        <v>74.88</v>
      </c>
      <c r="K5828" t="s">
        <v>30</v>
      </c>
      <c r="L5828">
        <v>687.41</v>
      </c>
      <c r="M5828">
        <f>VLOOKUP(K5828,RatingLookup!$A$2:$C$8,2,FALSE)</f>
        <v>1.4999999999999999E-2</v>
      </c>
      <c r="N5828">
        <f t="shared" si="273"/>
        <v>1.2586770182638762E-3</v>
      </c>
      <c r="O5828">
        <f>VLOOKUP(K5828,RatingLookup!$A$2:$C$8,3,FALSE)</f>
        <v>0.5</v>
      </c>
      <c r="P5828">
        <f t="shared" si="274"/>
        <v>0.43261358456238558</v>
      </c>
      <c r="Q5828" t="str">
        <f t="shared" ca="1" si="275"/>
        <v>No</v>
      </c>
    </row>
    <row r="5829" spans="1:17" x14ac:dyDescent="0.45">
      <c r="A5829" t="s">
        <v>231</v>
      </c>
      <c r="B5829" t="s">
        <v>232</v>
      </c>
      <c r="C5829" t="s">
        <v>19</v>
      </c>
      <c r="D5829" t="s">
        <v>188</v>
      </c>
      <c r="E5829" t="s">
        <v>21</v>
      </c>
      <c r="F5829" s="1">
        <v>44044</v>
      </c>
      <c r="G5829">
        <v>1.51</v>
      </c>
      <c r="H5829">
        <v>75.367400000000004</v>
      </c>
      <c r="I5829">
        <v>23.98</v>
      </c>
      <c r="J5829">
        <v>65.81</v>
      </c>
      <c r="K5829" t="s">
        <v>30</v>
      </c>
      <c r="L5829">
        <v>703.94</v>
      </c>
      <c r="M5829">
        <f>VLOOKUP(K5829,RatingLookup!$A$2:$C$8,2,FALSE)</f>
        <v>1.4999999999999999E-2</v>
      </c>
      <c r="N5829">
        <f t="shared" si="273"/>
        <v>1.2586770182638762E-3</v>
      </c>
      <c r="O5829">
        <f>VLOOKUP(K5829,RatingLookup!$A$2:$C$8,3,FALSE)</f>
        <v>0.5</v>
      </c>
      <c r="P5829">
        <f t="shared" si="274"/>
        <v>0.44301655011833657</v>
      </c>
      <c r="Q5829" t="str">
        <f t="shared" ca="1" si="275"/>
        <v>No</v>
      </c>
    </row>
    <row r="5830" spans="1:17" x14ac:dyDescent="0.45">
      <c r="A5830" t="s">
        <v>231</v>
      </c>
      <c r="B5830" t="s">
        <v>232</v>
      </c>
      <c r="C5830" t="s">
        <v>19</v>
      </c>
      <c r="D5830" t="s">
        <v>188</v>
      </c>
      <c r="E5830" t="s">
        <v>21</v>
      </c>
      <c r="F5830" s="1">
        <v>44075</v>
      </c>
      <c r="G5830">
        <v>0.99</v>
      </c>
      <c r="H5830">
        <v>80.070300000000003</v>
      </c>
      <c r="I5830">
        <v>5</v>
      </c>
      <c r="J5830">
        <v>63.1</v>
      </c>
      <c r="K5830" t="s">
        <v>30</v>
      </c>
      <c r="L5830">
        <v>736.65</v>
      </c>
      <c r="M5830">
        <f>VLOOKUP(K5830,RatingLookup!$A$2:$C$8,2,FALSE)</f>
        <v>1.4999999999999999E-2</v>
      </c>
      <c r="N5830">
        <f t="shared" si="273"/>
        <v>1.2586770182638762E-3</v>
      </c>
      <c r="O5830">
        <f>VLOOKUP(K5830,RatingLookup!$A$2:$C$8,3,FALSE)</f>
        <v>0.5</v>
      </c>
      <c r="P5830">
        <f t="shared" si="274"/>
        <v>0.46360221275204222</v>
      </c>
      <c r="Q5830" t="str">
        <f t="shared" ca="1" si="275"/>
        <v>No</v>
      </c>
    </row>
    <row r="5831" spans="1:17" x14ac:dyDescent="0.45">
      <c r="A5831" t="s">
        <v>231</v>
      </c>
      <c r="B5831" t="s">
        <v>232</v>
      </c>
      <c r="C5831" t="s">
        <v>19</v>
      </c>
      <c r="D5831" t="s">
        <v>188</v>
      </c>
      <c r="E5831" t="s">
        <v>21</v>
      </c>
      <c r="F5831" s="1">
        <v>44105</v>
      </c>
      <c r="G5831">
        <v>0.77</v>
      </c>
      <c r="H5831">
        <v>76.358999999999995</v>
      </c>
      <c r="I5831">
        <v>16.079999999999998</v>
      </c>
      <c r="J5831">
        <v>78.48</v>
      </c>
      <c r="K5831" t="s">
        <v>30</v>
      </c>
      <c r="L5831">
        <v>716.69</v>
      </c>
      <c r="M5831">
        <f>VLOOKUP(K5831,RatingLookup!$A$2:$C$8,2,FALSE)</f>
        <v>1.4999999999999999E-2</v>
      </c>
      <c r="N5831">
        <f t="shared" si="273"/>
        <v>1.2586770182638762E-3</v>
      </c>
      <c r="O5831">
        <f>VLOOKUP(K5831,RatingLookup!$A$2:$C$8,3,FALSE)</f>
        <v>0.5</v>
      </c>
      <c r="P5831">
        <f t="shared" si="274"/>
        <v>0.45104061610976875</v>
      </c>
      <c r="Q5831" t="str">
        <f t="shared" ca="1" si="275"/>
        <v>No</v>
      </c>
    </row>
    <row r="5832" spans="1:17" x14ac:dyDescent="0.45">
      <c r="A5832" t="s">
        <v>231</v>
      </c>
      <c r="B5832" t="s">
        <v>232</v>
      </c>
      <c r="C5832" t="s">
        <v>19</v>
      </c>
      <c r="D5832" t="s">
        <v>188</v>
      </c>
      <c r="E5832" t="s">
        <v>21</v>
      </c>
      <c r="F5832" s="1">
        <v>44136</v>
      </c>
      <c r="G5832">
        <v>2.11</v>
      </c>
      <c r="H5832">
        <v>77.880899999999997</v>
      </c>
      <c r="I5832">
        <v>22.49</v>
      </c>
      <c r="J5832">
        <v>77.52</v>
      </c>
      <c r="K5832" t="s">
        <v>30</v>
      </c>
      <c r="L5832">
        <v>721.33</v>
      </c>
      <c r="M5832">
        <f>VLOOKUP(K5832,RatingLookup!$A$2:$C$8,2,FALSE)</f>
        <v>1.4999999999999999E-2</v>
      </c>
      <c r="N5832">
        <f t="shared" si="273"/>
        <v>1.2586770182638762E-3</v>
      </c>
      <c r="O5832">
        <f>VLOOKUP(K5832,RatingLookup!$A$2:$C$8,3,FALSE)</f>
        <v>0.5</v>
      </c>
      <c r="P5832">
        <f t="shared" si="274"/>
        <v>0.45396074679214093</v>
      </c>
      <c r="Q5832" t="str">
        <f t="shared" ca="1" si="275"/>
        <v>No</v>
      </c>
    </row>
    <row r="5833" spans="1:17" x14ac:dyDescent="0.45">
      <c r="A5833" t="s">
        <v>231</v>
      </c>
      <c r="B5833" t="s">
        <v>232</v>
      </c>
      <c r="C5833" t="s">
        <v>19</v>
      </c>
      <c r="D5833" t="s">
        <v>188</v>
      </c>
      <c r="E5833" t="s">
        <v>21</v>
      </c>
      <c r="F5833" s="1">
        <v>44166</v>
      </c>
      <c r="G5833">
        <v>1.1299999999999999</v>
      </c>
      <c r="H5833">
        <v>83.165599999999998</v>
      </c>
      <c r="I5833">
        <v>20.6</v>
      </c>
      <c r="J5833">
        <v>79.53</v>
      </c>
      <c r="K5833" t="s">
        <v>30</v>
      </c>
      <c r="L5833">
        <v>666.02</v>
      </c>
      <c r="M5833">
        <f>VLOOKUP(K5833,RatingLookup!$A$2:$C$8,2,FALSE)</f>
        <v>1.4999999999999999E-2</v>
      </c>
      <c r="N5833">
        <f t="shared" si="273"/>
        <v>1.2586770182638762E-3</v>
      </c>
      <c r="O5833">
        <f>VLOOKUP(K5833,RatingLookup!$A$2:$C$8,3,FALSE)</f>
        <v>0.5</v>
      </c>
      <c r="P5833">
        <f t="shared" si="274"/>
        <v>0.41915203385205341</v>
      </c>
      <c r="Q5833" t="str">
        <f t="shared" ca="1" si="275"/>
        <v>No</v>
      </c>
    </row>
    <row r="5834" spans="1:17" x14ac:dyDescent="0.45">
      <c r="A5834" t="s">
        <v>231</v>
      </c>
      <c r="B5834" t="s">
        <v>232</v>
      </c>
      <c r="C5834" t="s">
        <v>19</v>
      </c>
      <c r="D5834" t="s">
        <v>188</v>
      </c>
      <c r="E5834" t="s">
        <v>21</v>
      </c>
      <c r="F5834" s="1">
        <v>44197</v>
      </c>
      <c r="G5834">
        <v>1.65</v>
      </c>
      <c r="H5834">
        <v>79.857399999999998</v>
      </c>
      <c r="I5834">
        <v>19.82</v>
      </c>
      <c r="J5834">
        <v>71.92</v>
      </c>
      <c r="K5834" t="s">
        <v>30</v>
      </c>
      <c r="L5834">
        <v>690.2</v>
      </c>
      <c r="M5834">
        <f>VLOOKUP(K5834,RatingLookup!$A$2:$C$8,2,FALSE)</f>
        <v>1.4999999999999999E-2</v>
      </c>
      <c r="N5834">
        <f t="shared" si="273"/>
        <v>1.2586770182638762E-3</v>
      </c>
      <c r="O5834">
        <f>VLOOKUP(K5834,RatingLookup!$A$2:$C$8,3,FALSE)</f>
        <v>0.5</v>
      </c>
      <c r="P5834">
        <f t="shared" si="274"/>
        <v>0.43436943900286373</v>
      </c>
      <c r="Q5834" t="str">
        <f t="shared" ca="1" si="275"/>
        <v>No</v>
      </c>
    </row>
    <row r="5835" spans="1:17" x14ac:dyDescent="0.45">
      <c r="A5835" t="s">
        <v>231</v>
      </c>
      <c r="B5835" t="s">
        <v>232</v>
      </c>
      <c r="C5835" t="s">
        <v>19</v>
      </c>
      <c r="D5835" t="s">
        <v>188</v>
      </c>
      <c r="E5835" t="s">
        <v>21</v>
      </c>
      <c r="F5835" s="1">
        <v>44228</v>
      </c>
      <c r="G5835">
        <v>1.9</v>
      </c>
      <c r="H5835">
        <v>83.836299999999994</v>
      </c>
      <c r="I5835">
        <v>24.31</v>
      </c>
      <c r="J5835">
        <v>67.34</v>
      </c>
      <c r="K5835" t="s">
        <v>30</v>
      </c>
      <c r="L5835">
        <v>680.77</v>
      </c>
      <c r="M5835">
        <f>VLOOKUP(K5835,RatingLookup!$A$2:$C$8,2,FALSE)</f>
        <v>1.4999999999999999E-2</v>
      </c>
      <c r="N5835">
        <f t="shared" si="273"/>
        <v>1.2586770182638762E-3</v>
      </c>
      <c r="O5835">
        <f>VLOOKUP(K5835,RatingLookup!$A$2:$C$8,3,FALSE)</f>
        <v>0.5</v>
      </c>
      <c r="P5835">
        <f t="shared" si="274"/>
        <v>0.42843477686174952</v>
      </c>
      <c r="Q5835" t="str">
        <f t="shared" ca="1" si="275"/>
        <v>No</v>
      </c>
    </row>
    <row r="5836" spans="1:17" x14ac:dyDescent="0.45">
      <c r="A5836" t="s">
        <v>231</v>
      </c>
      <c r="B5836" t="s">
        <v>232</v>
      </c>
      <c r="C5836" t="s">
        <v>19</v>
      </c>
      <c r="D5836" t="s">
        <v>188</v>
      </c>
      <c r="E5836" t="s">
        <v>21</v>
      </c>
      <c r="F5836" s="1">
        <v>44256</v>
      </c>
      <c r="G5836">
        <v>0.75</v>
      </c>
      <c r="H5836">
        <v>85.580600000000004</v>
      </c>
      <c r="I5836">
        <v>35.56</v>
      </c>
      <c r="J5836">
        <v>81.599999999999994</v>
      </c>
      <c r="K5836" t="s">
        <v>30</v>
      </c>
      <c r="L5836">
        <v>710.9</v>
      </c>
      <c r="M5836">
        <f>VLOOKUP(K5836,RatingLookup!$A$2:$C$8,2,FALSE)</f>
        <v>1.4999999999999999E-2</v>
      </c>
      <c r="N5836">
        <f t="shared" si="273"/>
        <v>1.2586770182638762E-3</v>
      </c>
      <c r="O5836">
        <f>VLOOKUP(K5836,RatingLookup!$A$2:$C$8,3,FALSE)</f>
        <v>0.5</v>
      </c>
      <c r="P5836">
        <f t="shared" si="274"/>
        <v>0.44739674614189479</v>
      </c>
      <c r="Q5836" t="str">
        <f t="shared" ca="1" si="275"/>
        <v>No</v>
      </c>
    </row>
    <row r="5837" spans="1:17" x14ac:dyDescent="0.45">
      <c r="A5837" t="s">
        <v>231</v>
      </c>
      <c r="B5837" t="s">
        <v>232</v>
      </c>
      <c r="C5837" t="s">
        <v>19</v>
      </c>
      <c r="D5837" t="s">
        <v>188</v>
      </c>
      <c r="E5837" t="s">
        <v>21</v>
      </c>
      <c r="F5837" s="1">
        <v>44287</v>
      </c>
      <c r="G5837">
        <v>1.21</v>
      </c>
      <c r="H5837">
        <v>80.680599999999998</v>
      </c>
      <c r="I5837">
        <v>9.44</v>
      </c>
      <c r="J5837">
        <v>66.05</v>
      </c>
      <c r="K5837" t="s">
        <v>30</v>
      </c>
      <c r="L5837">
        <v>703.87</v>
      </c>
      <c r="M5837">
        <f>VLOOKUP(K5837,RatingLookup!$A$2:$C$8,2,FALSE)</f>
        <v>1.4999999999999999E-2</v>
      </c>
      <c r="N5837">
        <f t="shared" si="273"/>
        <v>1.2586770182638762E-3</v>
      </c>
      <c r="O5837">
        <f>VLOOKUP(K5837,RatingLookup!$A$2:$C$8,3,FALSE)</f>
        <v>0.5</v>
      </c>
      <c r="P5837">
        <f t="shared" si="274"/>
        <v>0.44297249642269726</v>
      </c>
      <c r="Q5837" t="str">
        <f t="shared" ca="1" si="275"/>
        <v>No</v>
      </c>
    </row>
    <row r="5838" spans="1:17" x14ac:dyDescent="0.45">
      <c r="A5838" t="s">
        <v>231</v>
      </c>
      <c r="B5838" t="s">
        <v>232</v>
      </c>
      <c r="C5838" t="s">
        <v>19</v>
      </c>
      <c r="D5838" t="s">
        <v>188</v>
      </c>
      <c r="E5838" t="s">
        <v>21</v>
      </c>
      <c r="F5838" s="1">
        <v>44317</v>
      </c>
      <c r="G5838">
        <v>0.4</v>
      </c>
      <c r="H5838">
        <v>79.254199999999997</v>
      </c>
      <c r="I5838">
        <v>28.3</v>
      </c>
      <c r="J5838">
        <v>84.89</v>
      </c>
      <c r="K5838" t="s">
        <v>30</v>
      </c>
      <c r="L5838">
        <v>689.74</v>
      </c>
      <c r="M5838">
        <f>VLOOKUP(K5838,RatingLookup!$A$2:$C$8,2,FALSE)</f>
        <v>1.4999999999999999E-2</v>
      </c>
      <c r="N5838">
        <f t="shared" si="273"/>
        <v>1.2586770182638762E-3</v>
      </c>
      <c r="O5838">
        <f>VLOOKUP(K5838,RatingLookup!$A$2:$C$8,3,FALSE)</f>
        <v>0.5</v>
      </c>
      <c r="P5838">
        <f t="shared" si="274"/>
        <v>0.43407994328866301</v>
      </c>
      <c r="Q5838" t="str">
        <f t="shared" ca="1" si="275"/>
        <v>No</v>
      </c>
    </row>
    <row r="5839" spans="1:17" x14ac:dyDescent="0.45">
      <c r="A5839" t="s">
        <v>231</v>
      </c>
      <c r="B5839" t="s">
        <v>232</v>
      </c>
      <c r="C5839" t="s">
        <v>19</v>
      </c>
      <c r="D5839" t="s">
        <v>188</v>
      </c>
      <c r="E5839" t="s">
        <v>21</v>
      </c>
      <c r="F5839" s="1">
        <v>44348</v>
      </c>
      <c r="G5839">
        <v>2.0699999999999998</v>
      </c>
      <c r="H5839">
        <v>81.432699999999997</v>
      </c>
      <c r="I5839">
        <v>30.16</v>
      </c>
      <c r="J5839">
        <v>65.319999999999993</v>
      </c>
      <c r="K5839" t="s">
        <v>30</v>
      </c>
      <c r="L5839">
        <v>756.41</v>
      </c>
      <c r="M5839">
        <f>VLOOKUP(K5839,RatingLookup!$A$2:$C$8,2,FALSE)</f>
        <v>1.4999999999999999E-2</v>
      </c>
      <c r="N5839">
        <f t="shared" si="273"/>
        <v>1.2586770182638762E-3</v>
      </c>
      <c r="O5839">
        <f>VLOOKUP(K5839,RatingLookup!$A$2:$C$8,3,FALSE)</f>
        <v>0.5</v>
      </c>
      <c r="P5839">
        <f t="shared" si="274"/>
        <v>0.47603794169248931</v>
      </c>
      <c r="Q5839" t="str">
        <f t="shared" ca="1" si="275"/>
        <v>No</v>
      </c>
    </row>
    <row r="5840" spans="1:17" x14ac:dyDescent="0.45">
      <c r="A5840" t="s">
        <v>231</v>
      </c>
      <c r="B5840" t="s">
        <v>232</v>
      </c>
      <c r="C5840" t="s">
        <v>19</v>
      </c>
      <c r="D5840" t="s">
        <v>188</v>
      </c>
      <c r="E5840" t="s">
        <v>21</v>
      </c>
      <c r="F5840" s="1">
        <v>44378</v>
      </c>
      <c r="G5840">
        <v>1.69</v>
      </c>
      <c r="H5840">
        <v>84.107299999999995</v>
      </c>
      <c r="I5840">
        <v>27.36</v>
      </c>
      <c r="J5840">
        <v>84.41</v>
      </c>
      <c r="K5840" t="s">
        <v>30</v>
      </c>
      <c r="L5840">
        <v>668.51</v>
      </c>
      <c r="M5840">
        <f>VLOOKUP(K5840,RatingLookup!$A$2:$C$8,2,FALSE)</f>
        <v>1.4999999999999999E-2</v>
      </c>
      <c r="N5840">
        <f t="shared" si="273"/>
        <v>1.2586770182638762E-3</v>
      </c>
      <c r="O5840">
        <f>VLOOKUP(K5840,RatingLookup!$A$2:$C$8,3,FALSE)</f>
        <v>0.5</v>
      </c>
      <c r="P5840">
        <f t="shared" si="274"/>
        <v>0.42071908673979197</v>
      </c>
      <c r="Q5840" t="str">
        <f t="shared" ca="1" si="275"/>
        <v>No</v>
      </c>
    </row>
    <row r="5841" spans="1:17" x14ac:dyDescent="0.45">
      <c r="A5841" t="s">
        <v>231</v>
      </c>
      <c r="B5841" t="s">
        <v>232</v>
      </c>
      <c r="C5841" t="s">
        <v>19</v>
      </c>
      <c r="D5841" t="s">
        <v>188</v>
      </c>
      <c r="E5841" t="s">
        <v>21</v>
      </c>
      <c r="F5841" s="1">
        <v>44409</v>
      </c>
      <c r="G5841">
        <v>2.12</v>
      </c>
      <c r="H5841">
        <v>82.168999999999997</v>
      </c>
      <c r="I5841">
        <v>11.32</v>
      </c>
      <c r="J5841">
        <v>75.5</v>
      </c>
      <c r="K5841" t="s">
        <v>30</v>
      </c>
      <c r="L5841">
        <v>725.95</v>
      </c>
      <c r="M5841">
        <f>VLOOKUP(K5841,RatingLookup!$A$2:$C$8,2,FALSE)</f>
        <v>1.4999999999999999E-2</v>
      </c>
      <c r="N5841">
        <f t="shared" si="273"/>
        <v>1.2586770182638762E-3</v>
      </c>
      <c r="O5841">
        <f>VLOOKUP(K5841,RatingLookup!$A$2:$C$8,3,FALSE)</f>
        <v>0.5</v>
      </c>
      <c r="P5841">
        <f t="shared" si="274"/>
        <v>0.45686829070433049</v>
      </c>
      <c r="Q5841" t="str">
        <f t="shared" ca="1" si="275"/>
        <v>No</v>
      </c>
    </row>
    <row r="5842" spans="1:17" x14ac:dyDescent="0.45">
      <c r="A5842" t="s">
        <v>231</v>
      </c>
      <c r="B5842" t="s">
        <v>232</v>
      </c>
      <c r="C5842" t="s">
        <v>19</v>
      </c>
      <c r="D5842" t="s">
        <v>188</v>
      </c>
      <c r="E5842" t="s">
        <v>21</v>
      </c>
      <c r="F5842" s="1">
        <v>44440</v>
      </c>
      <c r="G5842">
        <v>2.15</v>
      </c>
      <c r="H5842">
        <v>80.837599999999995</v>
      </c>
      <c r="I5842">
        <v>16.690000000000001</v>
      </c>
      <c r="J5842">
        <v>87.68</v>
      </c>
      <c r="K5842" t="s">
        <v>30</v>
      </c>
      <c r="L5842">
        <v>739.71</v>
      </c>
      <c r="M5842">
        <f>VLOOKUP(K5842,RatingLookup!$A$2:$C$8,2,FALSE)</f>
        <v>1.4999999999999999E-2</v>
      </c>
      <c r="N5842">
        <f t="shared" si="273"/>
        <v>1.2586770182638762E-3</v>
      </c>
      <c r="O5842">
        <f>VLOOKUP(K5842,RatingLookup!$A$2:$C$8,3,FALSE)</f>
        <v>0.5</v>
      </c>
      <c r="P5842">
        <f t="shared" si="274"/>
        <v>0.46552798858998595</v>
      </c>
      <c r="Q5842" t="str">
        <f t="shared" ca="1" si="275"/>
        <v>No</v>
      </c>
    </row>
    <row r="5843" spans="1:17" x14ac:dyDescent="0.45">
      <c r="A5843" t="s">
        <v>231</v>
      </c>
      <c r="B5843" t="s">
        <v>232</v>
      </c>
      <c r="C5843" t="s">
        <v>19</v>
      </c>
      <c r="D5843" t="s">
        <v>188</v>
      </c>
      <c r="E5843" t="s">
        <v>21</v>
      </c>
      <c r="F5843" s="1">
        <v>44470</v>
      </c>
      <c r="G5843">
        <v>0.8</v>
      </c>
      <c r="H5843">
        <v>79.818399999999997</v>
      </c>
      <c r="I5843">
        <v>23.16</v>
      </c>
      <c r="J5843">
        <v>74.790000000000006</v>
      </c>
      <c r="K5843" t="s">
        <v>30</v>
      </c>
      <c r="L5843">
        <v>693.88</v>
      </c>
      <c r="M5843">
        <f>VLOOKUP(K5843,RatingLookup!$A$2:$C$8,2,FALSE)</f>
        <v>1.4999999999999999E-2</v>
      </c>
      <c r="N5843">
        <f t="shared" si="273"/>
        <v>1.2586770182638762E-3</v>
      </c>
      <c r="O5843">
        <f>VLOOKUP(K5843,RatingLookup!$A$2:$C$8,3,FALSE)</f>
        <v>0.5</v>
      </c>
      <c r="P5843">
        <f t="shared" si="274"/>
        <v>0.43668540471646922</v>
      </c>
      <c r="Q5843" t="str">
        <f t="shared" ca="1" si="275"/>
        <v>No</v>
      </c>
    </row>
    <row r="5844" spans="1:17" x14ac:dyDescent="0.45">
      <c r="A5844" t="s">
        <v>231</v>
      </c>
      <c r="B5844" t="s">
        <v>232</v>
      </c>
      <c r="C5844" t="s">
        <v>19</v>
      </c>
      <c r="D5844" t="s">
        <v>188</v>
      </c>
      <c r="E5844" t="s">
        <v>21</v>
      </c>
      <c r="F5844" s="1">
        <v>44501</v>
      </c>
      <c r="G5844">
        <v>1.4</v>
      </c>
      <c r="H5844">
        <v>84.247699999999995</v>
      </c>
      <c r="I5844">
        <v>16.2</v>
      </c>
      <c r="J5844">
        <v>84.46</v>
      </c>
      <c r="K5844" t="s">
        <v>30</v>
      </c>
      <c r="L5844">
        <v>692.93</v>
      </c>
      <c r="M5844">
        <f>VLOOKUP(K5844,RatingLookup!$A$2:$C$8,2,FALSE)</f>
        <v>1.4999999999999999E-2</v>
      </c>
      <c r="N5844">
        <f t="shared" si="273"/>
        <v>1.2586770182638762E-3</v>
      </c>
      <c r="O5844">
        <f>VLOOKUP(K5844,RatingLookup!$A$2:$C$8,3,FALSE)</f>
        <v>0.5</v>
      </c>
      <c r="P5844">
        <f t="shared" si="274"/>
        <v>0.43608753313279386</v>
      </c>
      <c r="Q5844" t="str">
        <f t="shared" ca="1" si="275"/>
        <v>No</v>
      </c>
    </row>
    <row r="5845" spans="1:17" x14ac:dyDescent="0.45">
      <c r="A5845" t="s">
        <v>231</v>
      </c>
      <c r="B5845" t="s">
        <v>232</v>
      </c>
      <c r="C5845" t="s">
        <v>19</v>
      </c>
      <c r="D5845" t="s">
        <v>188</v>
      </c>
      <c r="E5845" t="s">
        <v>21</v>
      </c>
      <c r="F5845" s="1">
        <v>44531</v>
      </c>
      <c r="G5845">
        <v>2.25</v>
      </c>
      <c r="H5845">
        <v>80.632300000000001</v>
      </c>
      <c r="I5845">
        <v>12.24</v>
      </c>
      <c r="J5845">
        <v>80.44</v>
      </c>
      <c r="K5845" t="s">
        <v>30</v>
      </c>
      <c r="L5845">
        <v>770.5</v>
      </c>
      <c r="M5845">
        <f>VLOOKUP(K5845,RatingLookup!$A$2:$C$8,2,FALSE)</f>
        <v>1.4999999999999999E-2</v>
      </c>
      <c r="N5845">
        <f t="shared" si="273"/>
        <v>1.2586770182638762E-3</v>
      </c>
      <c r="O5845">
        <f>VLOOKUP(K5845,RatingLookup!$A$2:$C$8,3,FALSE)</f>
        <v>0.5</v>
      </c>
      <c r="P5845">
        <f t="shared" si="274"/>
        <v>0.48490532128615832</v>
      </c>
      <c r="Q5845" t="str">
        <f t="shared" ca="1" si="275"/>
        <v>No</v>
      </c>
    </row>
    <row r="5846" spans="1:17" x14ac:dyDescent="0.45">
      <c r="A5846" t="s">
        <v>231</v>
      </c>
      <c r="B5846" t="s">
        <v>232</v>
      </c>
      <c r="C5846" t="s">
        <v>19</v>
      </c>
      <c r="D5846" t="s">
        <v>188</v>
      </c>
      <c r="E5846" t="s">
        <v>21</v>
      </c>
      <c r="F5846" s="1">
        <v>44562</v>
      </c>
      <c r="G5846">
        <v>1.32</v>
      </c>
      <c r="H5846">
        <v>83.356700000000004</v>
      </c>
      <c r="I5846">
        <v>17.079999999999998</v>
      </c>
      <c r="J5846">
        <v>71.540000000000006</v>
      </c>
      <c r="K5846" t="s">
        <v>30</v>
      </c>
      <c r="L5846">
        <v>740.58</v>
      </c>
      <c r="M5846">
        <f>VLOOKUP(K5846,RatingLookup!$A$2:$C$8,2,FALSE)</f>
        <v>1.4999999999999999E-2</v>
      </c>
      <c r="N5846">
        <f t="shared" si="273"/>
        <v>1.2586770182638762E-3</v>
      </c>
      <c r="O5846">
        <f>VLOOKUP(K5846,RatingLookup!$A$2:$C$8,3,FALSE)</f>
        <v>0.5</v>
      </c>
      <c r="P5846">
        <f t="shared" si="274"/>
        <v>0.46607551309293077</v>
      </c>
      <c r="Q5846" t="str">
        <f t="shared" ca="1" si="275"/>
        <v>No</v>
      </c>
    </row>
    <row r="5847" spans="1:17" x14ac:dyDescent="0.45">
      <c r="A5847" t="s">
        <v>231</v>
      </c>
      <c r="B5847" t="s">
        <v>232</v>
      </c>
      <c r="C5847" t="s">
        <v>19</v>
      </c>
      <c r="D5847" t="s">
        <v>188</v>
      </c>
      <c r="E5847" t="s">
        <v>21</v>
      </c>
      <c r="F5847" s="1">
        <v>44593</v>
      </c>
      <c r="G5847">
        <v>0.75</v>
      </c>
      <c r="H5847">
        <v>80.207700000000003</v>
      </c>
      <c r="I5847">
        <v>17.45</v>
      </c>
      <c r="J5847">
        <v>63.77</v>
      </c>
      <c r="K5847" t="s">
        <v>30</v>
      </c>
      <c r="L5847">
        <v>683.38</v>
      </c>
      <c r="M5847">
        <f>VLOOKUP(K5847,RatingLookup!$A$2:$C$8,2,FALSE)</f>
        <v>1.4999999999999999E-2</v>
      </c>
      <c r="N5847">
        <f t="shared" si="273"/>
        <v>1.2586770182638762E-3</v>
      </c>
      <c r="O5847">
        <f>VLOOKUP(K5847,RatingLookup!$A$2:$C$8,3,FALSE)</f>
        <v>0.5</v>
      </c>
      <c r="P5847">
        <f t="shared" si="274"/>
        <v>0.43007735037058387</v>
      </c>
      <c r="Q5847" t="str">
        <f t="shared" ca="1" si="275"/>
        <v>No</v>
      </c>
    </row>
    <row r="5848" spans="1:17" x14ac:dyDescent="0.45">
      <c r="A5848" t="s">
        <v>231</v>
      </c>
      <c r="B5848" t="s">
        <v>232</v>
      </c>
      <c r="C5848" t="s">
        <v>19</v>
      </c>
      <c r="D5848" t="s">
        <v>188</v>
      </c>
      <c r="E5848" t="s">
        <v>21</v>
      </c>
      <c r="F5848" s="1">
        <v>44621</v>
      </c>
      <c r="G5848">
        <v>1.6</v>
      </c>
      <c r="H5848">
        <v>82.377700000000004</v>
      </c>
      <c r="I5848">
        <v>25.08</v>
      </c>
      <c r="J5848">
        <v>84.79</v>
      </c>
      <c r="K5848" t="s">
        <v>30</v>
      </c>
      <c r="L5848">
        <v>684.88</v>
      </c>
      <c r="M5848">
        <f>VLOOKUP(K5848,RatingLookup!$A$2:$C$8,2,FALSE)</f>
        <v>1.4999999999999999E-2</v>
      </c>
      <c r="N5848">
        <f t="shared" si="273"/>
        <v>1.2586770182638762E-3</v>
      </c>
      <c r="O5848">
        <f>VLOOKUP(K5848,RatingLookup!$A$2:$C$8,3,FALSE)</f>
        <v>0.5</v>
      </c>
      <c r="P5848">
        <f t="shared" si="274"/>
        <v>0.43102135813428177</v>
      </c>
      <c r="Q5848" t="str">
        <f t="shared" ca="1" si="275"/>
        <v>No</v>
      </c>
    </row>
    <row r="5849" spans="1:17" x14ac:dyDescent="0.45">
      <c r="A5849" t="s">
        <v>231</v>
      </c>
      <c r="B5849" t="s">
        <v>232</v>
      </c>
      <c r="C5849" t="s">
        <v>19</v>
      </c>
      <c r="D5849" t="s">
        <v>188</v>
      </c>
      <c r="E5849" t="s">
        <v>21</v>
      </c>
      <c r="F5849" s="1">
        <v>44652</v>
      </c>
      <c r="G5849">
        <v>2.0699999999999998</v>
      </c>
      <c r="H5849">
        <v>79.448800000000006</v>
      </c>
      <c r="I5849">
        <v>27.31</v>
      </c>
      <c r="J5849">
        <v>90.45</v>
      </c>
      <c r="K5849" t="s">
        <v>30</v>
      </c>
      <c r="L5849">
        <v>690.14</v>
      </c>
      <c r="M5849">
        <f>VLOOKUP(K5849,RatingLookup!$A$2:$C$8,2,FALSE)</f>
        <v>1.4999999999999999E-2</v>
      </c>
      <c r="N5849">
        <f t="shared" si="273"/>
        <v>1.2586770182638762E-3</v>
      </c>
      <c r="O5849">
        <f>VLOOKUP(K5849,RatingLookup!$A$2:$C$8,3,FALSE)</f>
        <v>0.5</v>
      </c>
      <c r="P5849">
        <f t="shared" si="274"/>
        <v>0.43433167869231576</v>
      </c>
      <c r="Q5849" t="str">
        <f t="shared" ca="1" si="275"/>
        <v>No</v>
      </c>
    </row>
    <row r="5850" spans="1:17" x14ac:dyDescent="0.45">
      <c r="A5850" t="s">
        <v>231</v>
      </c>
      <c r="B5850" t="s">
        <v>232</v>
      </c>
      <c r="C5850" t="s">
        <v>19</v>
      </c>
      <c r="D5850" t="s">
        <v>188</v>
      </c>
      <c r="E5850" t="s">
        <v>21</v>
      </c>
      <c r="F5850" s="1">
        <v>44682</v>
      </c>
      <c r="G5850">
        <v>0.36</v>
      </c>
      <c r="H5850">
        <v>82.285200000000003</v>
      </c>
      <c r="I5850">
        <v>5.71</v>
      </c>
      <c r="J5850">
        <v>65.989999999999995</v>
      </c>
      <c r="K5850" t="s">
        <v>30</v>
      </c>
      <c r="L5850">
        <v>696.35</v>
      </c>
      <c r="M5850">
        <f>VLOOKUP(K5850,RatingLookup!$A$2:$C$8,2,FALSE)</f>
        <v>1.4999999999999999E-2</v>
      </c>
      <c r="N5850">
        <f t="shared" si="273"/>
        <v>1.2586770182638762E-3</v>
      </c>
      <c r="O5850">
        <f>VLOOKUP(K5850,RatingLookup!$A$2:$C$8,3,FALSE)</f>
        <v>0.5</v>
      </c>
      <c r="P5850">
        <f t="shared" si="274"/>
        <v>0.4382398708340251</v>
      </c>
      <c r="Q5850" t="str">
        <f t="shared" ca="1" si="275"/>
        <v>No</v>
      </c>
    </row>
    <row r="5851" spans="1:17" x14ac:dyDescent="0.45">
      <c r="A5851" t="s">
        <v>231</v>
      </c>
      <c r="B5851" t="s">
        <v>232</v>
      </c>
      <c r="C5851" t="s">
        <v>19</v>
      </c>
      <c r="D5851" t="s">
        <v>188</v>
      </c>
      <c r="E5851" t="s">
        <v>21</v>
      </c>
      <c r="F5851" s="1">
        <v>44713</v>
      </c>
      <c r="G5851">
        <v>1.99</v>
      </c>
      <c r="H5851">
        <v>82.399199999999993</v>
      </c>
      <c r="I5851">
        <v>17.600000000000001</v>
      </c>
      <c r="J5851">
        <v>81.19</v>
      </c>
      <c r="K5851" t="s">
        <v>30</v>
      </c>
      <c r="L5851">
        <v>723.81</v>
      </c>
      <c r="M5851">
        <f>VLOOKUP(K5851,RatingLookup!$A$2:$C$8,2,FALSE)</f>
        <v>1.4999999999999999E-2</v>
      </c>
      <c r="N5851">
        <f t="shared" si="273"/>
        <v>1.2586770182638762E-3</v>
      </c>
      <c r="O5851">
        <f>VLOOKUP(K5851,RatingLookup!$A$2:$C$8,3,FALSE)</f>
        <v>0.5</v>
      </c>
      <c r="P5851">
        <f t="shared" si="274"/>
        <v>0.4555215062947881</v>
      </c>
      <c r="Q5851" t="str">
        <f t="shared" ca="1" si="275"/>
        <v>No</v>
      </c>
    </row>
    <row r="5852" spans="1:17" x14ac:dyDescent="0.45">
      <c r="A5852" t="s">
        <v>231</v>
      </c>
      <c r="B5852" t="s">
        <v>232</v>
      </c>
      <c r="C5852" t="s">
        <v>19</v>
      </c>
      <c r="D5852" t="s">
        <v>188</v>
      </c>
      <c r="E5852" t="s">
        <v>21</v>
      </c>
      <c r="F5852" s="1">
        <v>44743</v>
      </c>
      <c r="G5852">
        <v>1.53</v>
      </c>
      <c r="H5852">
        <v>86.447299999999998</v>
      </c>
      <c r="I5852">
        <v>17.29</v>
      </c>
      <c r="J5852">
        <v>67.83</v>
      </c>
      <c r="K5852" t="s">
        <v>30</v>
      </c>
      <c r="L5852">
        <v>762.1</v>
      </c>
      <c r="M5852">
        <f>VLOOKUP(K5852,RatingLookup!$A$2:$C$8,2,FALSE)</f>
        <v>1.4999999999999999E-2</v>
      </c>
      <c r="N5852">
        <f t="shared" si="273"/>
        <v>1.2586770182638762E-3</v>
      </c>
      <c r="O5852">
        <f>VLOOKUP(K5852,RatingLookup!$A$2:$C$8,3,FALSE)</f>
        <v>0.5</v>
      </c>
      <c r="P5852">
        <f t="shared" si="274"/>
        <v>0.47961887780945006</v>
      </c>
      <c r="Q5852" t="str">
        <f t="shared" ca="1" si="275"/>
        <v>No</v>
      </c>
    </row>
    <row r="5853" spans="1:17" x14ac:dyDescent="0.45">
      <c r="A5853" t="s">
        <v>231</v>
      </c>
      <c r="B5853" t="s">
        <v>232</v>
      </c>
      <c r="C5853" t="s">
        <v>19</v>
      </c>
      <c r="D5853" t="s">
        <v>188</v>
      </c>
      <c r="E5853" t="s">
        <v>21</v>
      </c>
      <c r="F5853" s="1">
        <v>44774</v>
      </c>
      <c r="G5853">
        <v>2.97</v>
      </c>
      <c r="H5853">
        <v>83.281599999999997</v>
      </c>
      <c r="I5853">
        <v>14.46</v>
      </c>
      <c r="J5853">
        <v>92.97</v>
      </c>
      <c r="K5853" t="s">
        <v>30</v>
      </c>
      <c r="L5853">
        <v>695.34</v>
      </c>
      <c r="M5853">
        <f>VLOOKUP(K5853,RatingLookup!$A$2:$C$8,2,FALSE)</f>
        <v>1.4999999999999999E-2</v>
      </c>
      <c r="N5853">
        <f t="shared" si="273"/>
        <v>1.2586770182638762E-3</v>
      </c>
      <c r="O5853">
        <f>VLOOKUP(K5853,RatingLookup!$A$2:$C$8,3,FALSE)</f>
        <v>0.5</v>
      </c>
      <c r="P5853">
        <f t="shared" si="274"/>
        <v>0.43760423893980188</v>
      </c>
      <c r="Q5853" t="str">
        <f t="shared" ca="1" si="275"/>
        <v>No</v>
      </c>
    </row>
    <row r="5854" spans="1:17" x14ac:dyDescent="0.45">
      <c r="A5854" t="s">
        <v>231</v>
      </c>
      <c r="B5854" t="s">
        <v>232</v>
      </c>
      <c r="C5854" t="s">
        <v>19</v>
      </c>
      <c r="D5854" t="s">
        <v>188</v>
      </c>
      <c r="E5854" t="s">
        <v>21</v>
      </c>
      <c r="F5854" s="1">
        <v>44805</v>
      </c>
      <c r="G5854">
        <v>2.27</v>
      </c>
      <c r="H5854">
        <v>80.602800000000002</v>
      </c>
      <c r="I5854">
        <v>23.29</v>
      </c>
      <c r="J5854">
        <v>59.31</v>
      </c>
      <c r="K5854" t="s">
        <v>30</v>
      </c>
      <c r="L5854">
        <v>692.4</v>
      </c>
      <c r="M5854">
        <f>VLOOKUP(K5854,RatingLookup!$A$2:$C$8,2,FALSE)</f>
        <v>1.4999999999999999E-2</v>
      </c>
      <c r="N5854">
        <f t="shared" si="273"/>
        <v>1.2586770182638762E-3</v>
      </c>
      <c r="O5854">
        <f>VLOOKUP(K5854,RatingLookup!$A$2:$C$8,3,FALSE)</f>
        <v>0.5</v>
      </c>
      <c r="P5854">
        <f t="shared" si="274"/>
        <v>0.43575398372295393</v>
      </c>
      <c r="Q5854" t="str">
        <f t="shared" ca="1" si="275"/>
        <v>No</v>
      </c>
    </row>
    <row r="5855" spans="1:17" x14ac:dyDescent="0.45">
      <c r="A5855" t="s">
        <v>231</v>
      </c>
      <c r="B5855" t="s">
        <v>232</v>
      </c>
      <c r="C5855" t="s">
        <v>19</v>
      </c>
      <c r="D5855" t="s">
        <v>188</v>
      </c>
      <c r="E5855" t="s">
        <v>21</v>
      </c>
      <c r="F5855" s="1">
        <v>44835</v>
      </c>
      <c r="G5855">
        <v>0.67</v>
      </c>
      <c r="H5855">
        <v>81.782799999999995</v>
      </c>
      <c r="I5855">
        <v>14.29</v>
      </c>
      <c r="J5855">
        <v>90.02</v>
      </c>
      <c r="K5855" t="s">
        <v>30</v>
      </c>
      <c r="L5855">
        <v>715.44</v>
      </c>
      <c r="M5855">
        <f>VLOOKUP(K5855,RatingLookup!$A$2:$C$8,2,FALSE)</f>
        <v>1.4999999999999999E-2</v>
      </c>
      <c r="N5855">
        <f t="shared" si="273"/>
        <v>1.2586770182638762E-3</v>
      </c>
      <c r="O5855">
        <f>VLOOKUP(K5855,RatingLookup!$A$2:$C$8,3,FALSE)</f>
        <v>0.5</v>
      </c>
      <c r="P5855">
        <f t="shared" si="274"/>
        <v>0.45025394297335386</v>
      </c>
      <c r="Q5855" t="str">
        <f t="shared" ca="1" si="275"/>
        <v>No</v>
      </c>
    </row>
    <row r="5856" spans="1:17" x14ac:dyDescent="0.45">
      <c r="A5856" t="s">
        <v>231</v>
      </c>
      <c r="B5856" t="s">
        <v>232</v>
      </c>
      <c r="C5856" t="s">
        <v>19</v>
      </c>
      <c r="D5856" t="s">
        <v>188</v>
      </c>
      <c r="E5856" t="s">
        <v>21</v>
      </c>
      <c r="F5856" s="1">
        <v>44866</v>
      </c>
      <c r="G5856">
        <v>0.38</v>
      </c>
      <c r="H5856">
        <v>82.505099999999999</v>
      </c>
      <c r="I5856">
        <v>19.05</v>
      </c>
      <c r="J5856">
        <v>86.21</v>
      </c>
      <c r="K5856" t="s">
        <v>30</v>
      </c>
      <c r="L5856">
        <v>684.91</v>
      </c>
      <c r="M5856">
        <f>VLOOKUP(K5856,RatingLookup!$A$2:$C$8,2,FALSE)</f>
        <v>1.4999999999999999E-2</v>
      </c>
      <c r="N5856">
        <f t="shared" si="273"/>
        <v>1.2586770182638762E-3</v>
      </c>
      <c r="O5856">
        <f>VLOOKUP(K5856,RatingLookup!$A$2:$C$8,3,FALSE)</f>
        <v>0.5</v>
      </c>
      <c r="P5856">
        <f t="shared" si="274"/>
        <v>0.43104023828955573</v>
      </c>
      <c r="Q5856" t="str">
        <f t="shared" ca="1" si="275"/>
        <v>No</v>
      </c>
    </row>
    <row r="5857" spans="1:17" x14ac:dyDescent="0.45">
      <c r="A5857" t="s">
        <v>231</v>
      </c>
      <c r="B5857" t="s">
        <v>232</v>
      </c>
      <c r="C5857" t="s">
        <v>19</v>
      </c>
      <c r="D5857" t="s">
        <v>188</v>
      </c>
      <c r="E5857" t="s">
        <v>21</v>
      </c>
      <c r="F5857" s="1">
        <v>44896</v>
      </c>
      <c r="G5857">
        <v>2.67</v>
      </c>
      <c r="H5857">
        <v>81.767099999999999</v>
      </c>
      <c r="I5857">
        <v>25.22</v>
      </c>
      <c r="J5857">
        <v>75.55</v>
      </c>
      <c r="K5857" t="s">
        <v>30</v>
      </c>
      <c r="L5857">
        <v>698.12</v>
      </c>
      <c r="M5857">
        <f>VLOOKUP(K5857,RatingLookup!$A$2:$C$8,2,FALSE)</f>
        <v>1.4999999999999999E-2</v>
      </c>
      <c r="N5857">
        <f t="shared" si="273"/>
        <v>1.2586770182638762E-3</v>
      </c>
      <c r="O5857">
        <f>VLOOKUP(K5857,RatingLookup!$A$2:$C$8,3,FALSE)</f>
        <v>0.5</v>
      </c>
      <c r="P5857">
        <f t="shared" si="274"/>
        <v>0.43935379999518864</v>
      </c>
      <c r="Q5857" t="str">
        <f t="shared" ca="1" si="275"/>
        <v>No</v>
      </c>
    </row>
    <row r="5858" spans="1:17" x14ac:dyDescent="0.45">
      <c r="A5858" t="s">
        <v>231</v>
      </c>
      <c r="B5858" t="s">
        <v>232</v>
      </c>
      <c r="C5858" t="s">
        <v>19</v>
      </c>
      <c r="D5858" t="s">
        <v>188</v>
      </c>
      <c r="E5858" t="s">
        <v>21</v>
      </c>
      <c r="F5858" s="1">
        <v>44927</v>
      </c>
      <c r="G5858">
        <v>1.48</v>
      </c>
      <c r="H5858">
        <v>76.635999999999996</v>
      </c>
      <c r="I5858">
        <v>16.28</v>
      </c>
      <c r="J5858">
        <v>74.05</v>
      </c>
      <c r="K5858" t="s">
        <v>30</v>
      </c>
      <c r="L5858">
        <v>753.69</v>
      </c>
      <c r="M5858">
        <f>VLOOKUP(K5858,RatingLookup!$A$2:$C$8,2,FALSE)</f>
        <v>1.4999999999999999E-2</v>
      </c>
      <c r="N5858">
        <f t="shared" si="273"/>
        <v>1.2586770182638762E-3</v>
      </c>
      <c r="O5858">
        <f>VLOOKUP(K5858,RatingLookup!$A$2:$C$8,3,FALSE)</f>
        <v>0.5</v>
      </c>
      <c r="P5858">
        <f t="shared" si="274"/>
        <v>0.47432614094765047</v>
      </c>
      <c r="Q5858" t="str">
        <f t="shared" ca="1" si="275"/>
        <v>No</v>
      </c>
    </row>
    <row r="5859" spans="1:17" x14ac:dyDescent="0.45">
      <c r="A5859" t="s">
        <v>231</v>
      </c>
      <c r="B5859" t="s">
        <v>232</v>
      </c>
      <c r="C5859" t="s">
        <v>19</v>
      </c>
      <c r="D5859" t="s">
        <v>188</v>
      </c>
      <c r="E5859" t="s">
        <v>21</v>
      </c>
      <c r="F5859" s="1">
        <v>44958</v>
      </c>
      <c r="G5859">
        <v>2.2999999999999998</v>
      </c>
      <c r="H5859">
        <v>84.530100000000004</v>
      </c>
      <c r="I5859">
        <v>18.8</v>
      </c>
      <c r="J5859">
        <v>80.41</v>
      </c>
      <c r="K5859" t="s">
        <v>30</v>
      </c>
      <c r="L5859">
        <v>654.47</v>
      </c>
      <c r="M5859">
        <f>VLOOKUP(K5859,RatingLookup!$A$2:$C$8,2,FALSE)</f>
        <v>1.4999999999999999E-2</v>
      </c>
      <c r="N5859">
        <f t="shared" si="273"/>
        <v>1.2586770182638762E-3</v>
      </c>
      <c r="O5859">
        <f>VLOOKUP(K5859,RatingLookup!$A$2:$C$8,3,FALSE)</f>
        <v>0.5</v>
      </c>
      <c r="P5859">
        <f t="shared" si="274"/>
        <v>0.41188317407157954</v>
      </c>
      <c r="Q5859" t="str">
        <f t="shared" ca="1" si="275"/>
        <v>No</v>
      </c>
    </row>
    <row r="5860" spans="1:17" x14ac:dyDescent="0.45">
      <c r="A5860" t="s">
        <v>231</v>
      </c>
      <c r="B5860" t="s">
        <v>232</v>
      </c>
      <c r="C5860" t="s">
        <v>19</v>
      </c>
      <c r="D5860" t="s">
        <v>188</v>
      </c>
      <c r="E5860" t="s">
        <v>21</v>
      </c>
      <c r="F5860" s="1">
        <v>44986</v>
      </c>
      <c r="G5860">
        <v>0.82</v>
      </c>
      <c r="H5860">
        <v>81.890100000000004</v>
      </c>
      <c r="I5860">
        <v>17.66</v>
      </c>
      <c r="J5860">
        <v>66.5</v>
      </c>
      <c r="K5860" t="s">
        <v>30</v>
      </c>
      <c r="L5860">
        <v>680.05</v>
      </c>
      <c r="M5860">
        <f>VLOOKUP(K5860,RatingLookup!$A$2:$C$8,2,FALSE)</f>
        <v>1.4999999999999999E-2</v>
      </c>
      <c r="N5860">
        <f t="shared" si="273"/>
        <v>1.2586770182638762E-3</v>
      </c>
      <c r="O5860">
        <f>VLOOKUP(K5860,RatingLookup!$A$2:$C$8,3,FALSE)</f>
        <v>0.5</v>
      </c>
      <c r="P5860">
        <f t="shared" si="274"/>
        <v>0.4279816531351745</v>
      </c>
      <c r="Q5860" t="str">
        <f t="shared" ca="1" si="275"/>
        <v>No</v>
      </c>
    </row>
    <row r="5861" spans="1:17" x14ac:dyDescent="0.45">
      <c r="A5861" t="s">
        <v>231</v>
      </c>
      <c r="B5861" t="s">
        <v>232</v>
      </c>
      <c r="C5861" t="s">
        <v>19</v>
      </c>
      <c r="D5861" t="s">
        <v>188</v>
      </c>
      <c r="E5861" t="s">
        <v>21</v>
      </c>
      <c r="F5861" s="1">
        <v>45017</v>
      </c>
      <c r="G5861">
        <v>1.08</v>
      </c>
      <c r="H5861">
        <v>86.949100000000001</v>
      </c>
      <c r="I5861">
        <v>20.16</v>
      </c>
      <c r="J5861">
        <v>74.02</v>
      </c>
      <c r="K5861" t="s">
        <v>30</v>
      </c>
      <c r="L5861">
        <v>728.22</v>
      </c>
      <c r="M5861">
        <f>VLOOKUP(K5861,RatingLookup!$A$2:$C$8,2,FALSE)</f>
        <v>1.4999999999999999E-2</v>
      </c>
      <c r="N5861">
        <f t="shared" si="273"/>
        <v>1.2586770182638762E-3</v>
      </c>
      <c r="O5861">
        <f>VLOOKUP(K5861,RatingLookup!$A$2:$C$8,3,FALSE)</f>
        <v>0.5</v>
      </c>
      <c r="P5861">
        <f t="shared" si="274"/>
        <v>0.45829688912006</v>
      </c>
      <c r="Q5861" t="str">
        <f t="shared" ca="1" si="275"/>
        <v>No</v>
      </c>
    </row>
    <row r="5862" spans="1:17" x14ac:dyDescent="0.45">
      <c r="A5862" t="s">
        <v>231</v>
      </c>
      <c r="B5862" t="s">
        <v>232</v>
      </c>
      <c r="C5862" t="s">
        <v>19</v>
      </c>
      <c r="D5862" t="s">
        <v>188</v>
      </c>
      <c r="E5862" t="s">
        <v>21</v>
      </c>
      <c r="F5862" s="1">
        <v>45047</v>
      </c>
      <c r="G5862">
        <v>0.24</v>
      </c>
      <c r="H5862">
        <v>84.204499999999996</v>
      </c>
      <c r="I5862">
        <v>20.02</v>
      </c>
      <c r="J5862">
        <v>81.94</v>
      </c>
      <c r="K5862" t="s">
        <v>30</v>
      </c>
      <c r="L5862">
        <v>674.7</v>
      </c>
      <c r="M5862">
        <f>VLOOKUP(K5862,RatingLookup!$A$2:$C$8,2,FALSE)</f>
        <v>1.4999999999999999E-2</v>
      </c>
      <c r="N5862">
        <f t="shared" si="273"/>
        <v>1.2586770182638762E-3</v>
      </c>
      <c r="O5862">
        <f>VLOOKUP(K5862,RatingLookup!$A$2:$C$8,3,FALSE)</f>
        <v>0.5</v>
      </c>
      <c r="P5862">
        <f t="shared" si="274"/>
        <v>0.42461469211131869</v>
      </c>
      <c r="Q5862" t="str">
        <f t="shared" ca="1" si="275"/>
        <v>No</v>
      </c>
    </row>
    <row r="5863" spans="1:17" x14ac:dyDescent="0.45">
      <c r="A5863" t="s">
        <v>231</v>
      </c>
      <c r="B5863" t="s">
        <v>232</v>
      </c>
      <c r="C5863" t="s">
        <v>19</v>
      </c>
      <c r="D5863" t="s">
        <v>188</v>
      </c>
      <c r="E5863" t="s">
        <v>21</v>
      </c>
      <c r="F5863" s="1">
        <v>45078</v>
      </c>
      <c r="G5863">
        <v>2</v>
      </c>
      <c r="H5863">
        <v>80.63</v>
      </c>
      <c r="I5863">
        <v>25.49</v>
      </c>
      <c r="J5863">
        <v>73.8</v>
      </c>
      <c r="K5863" t="s">
        <v>30</v>
      </c>
      <c r="L5863">
        <v>643.08000000000004</v>
      </c>
      <c r="M5863">
        <f>VLOOKUP(K5863,RatingLookup!$A$2:$C$8,2,FALSE)</f>
        <v>1.4999999999999999E-2</v>
      </c>
      <c r="N5863">
        <f t="shared" si="273"/>
        <v>1.2586770182638762E-3</v>
      </c>
      <c r="O5863">
        <f>VLOOKUP(K5863,RatingLookup!$A$2:$C$8,3,FALSE)</f>
        <v>0.5</v>
      </c>
      <c r="P5863">
        <f t="shared" si="274"/>
        <v>0.4047150084525668</v>
      </c>
      <c r="Q5863" t="str">
        <f t="shared" ca="1" si="275"/>
        <v>No</v>
      </c>
    </row>
    <row r="5864" spans="1:17" x14ac:dyDescent="0.45">
      <c r="A5864" t="s">
        <v>231</v>
      </c>
      <c r="B5864" t="s">
        <v>232</v>
      </c>
      <c r="C5864" t="s">
        <v>19</v>
      </c>
      <c r="D5864" t="s">
        <v>188</v>
      </c>
      <c r="E5864" t="s">
        <v>21</v>
      </c>
      <c r="F5864" s="1">
        <v>45108</v>
      </c>
      <c r="G5864">
        <v>2.65</v>
      </c>
      <c r="H5864">
        <v>82.790899999999993</v>
      </c>
      <c r="I5864">
        <v>24.77</v>
      </c>
      <c r="J5864">
        <v>91.61</v>
      </c>
      <c r="K5864" t="s">
        <v>30</v>
      </c>
      <c r="L5864">
        <v>679.98</v>
      </c>
      <c r="M5864">
        <f>VLOOKUP(K5864,RatingLookup!$A$2:$C$8,2,FALSE)</f>
        <v>1.4999999999999999E-2</v>
      </c>
      <c r="N5864">
        <f t="shared" si="273"/>
        <v>1.2586770182638762E-3</v>
      </c>
      <c r="O5864">
        <f>VLOOKUP(K5864,RatingLookup!$A$2:$C$8,3,FALSE)</f>
        <v>0.5</v>
      </c>
      <c r="P5864">
        <f t="shared" si="274"/>
        <v>0.4279375994395353</v>
      </c>
      <c r="Q5864" t="str">
        <f t="shared" ca="1" si="275"/>
        <v>No</v>
      </c>
    </row>
    <row r="5865" spans="1:17" x14ac:dyDescent="0.45">
      <c r="A5865" t="s">
        <v>231</v>
      </c>
      <c r="B5865" t="s">
        <v>232</v>
      </c>
      <c r="C5865" t="s">
        <v>19</v>
      </c>
      <c r="D5865" t="s">
        <v>188</v>
      </c>
      <c r="E5865" t="s">
        <v>21</v>
      </c>
      <c r="F5865" s="1">
        <v>45139</v>
      </c>
      <c r="G5865">
        <v>0.54</v>
      </c>
      <c r="H5865">
        <v>82.320599999999999</v>
      </c>
      <c r="I5865">
        <v>9.77</v>
      </c>
      <c r="J5865">
        <v>52.03</v>
      </c>
      <c r="K5865" t="s">
        <v>30</v>
      </c>
      <c r="L5865">
        <v>702.5</v>
      </c>
      <c r="M5865">
        <f>VLOOKUP(K5865,RatingLookup!$A$2:$C$8,2,FALSE)</f>
        <v>1.4999999999999999E-2</v>
      </c>
      <c r="N5865">
        <f t="shared" si="273"/>
        <v>1.2586770182638762E-3</v>
      </c>
      <c r="O5865">
        <f>VLOOKUP(K5865,RatingLookup!$A$2:$C$8,3,FALSE)</f>
        <v>0.5</v>
      </c>
      <c r="P5865">
        <f t="shared" si="274"/>
        <v>0.44211030266518653</v>
      </c>
      <c r="Q5865" t="str">
        <f t="shared" ca="1" si="275"/>
        <v>No</v>
      </c>
    </row>
    <row r="5866" spans="1:17" x14ac:dyDescent="0.45">
      <c r="A5866" t="s">
        <v>231</v>
      </c>
      <c r="B5866" t="s">
        <v>232</v>
      </c>
      <c r="C5866" t="s">
        <v>19</v>
      </c>
      <c r="D5866" t="s">
        <v>188</v>
      </c>
      <c r="E5866" t="s">
        <v>21</v>
      </c>
      <c r="F5866" s="1">
        <v>45170</v>
      </c>
      <c r="G5866">
        <v>1.02</v>
      </c>
      <c r="H5866">
        <v>81.907600000000002</v>
      </c>
      <c r="I5866">
        <v>15.97</v>
      </c>
      <c r="J5866">
        <v>90.7</v>
      </c>
      <c r="K5866" t="s">
        <v>30</v>
      </c>
      <c r="L5866">
        <v>714.28</v>
      </c>
      <c r="M5866">
        <f>VLOOKUP(K5866,RatingLookup!$A$2:$C$8,2,FALSE)</f>
        <v>1.4999999999999999E-2</v>
      </c>
      <c r="N5866">
        <f t="shared" si="273"/>
        <v>1.2586770182638762E-3</v>
      </c>
      <c r="O5866">
        <f>VLOOKUP(K5866,RatingLookup!$A$2:$C$8,3,FALSE)</f>
        <v>0.5</v>
      </c>
      <c r="P5866">
        <f t="shared" si="274"/>
        <v>0.44952391030276073</v>
      </c>
      <c r="Q5866" t="str">
        <f t="shared" ca="1" si="275"/>
        <v>No</v>
      </c>
    </row>
    <row r="5867" spans="1:17" x14ac:dyDescent="0.45">
      <c r="A5867" t="s">
        <v>231</v>
      </c>
      <c r="B5867" t="s">
        <v>232</v>
      </c>
      <c r="C5867" t="s">
        <v>19</v>
      </c>
      <c r="D5867" t="s">
        <v>188</v>
      </c>
      <c r="E5867" t="s">
        <v>21</v>
      </c>
      <c r="F5867" s="1">
        <v>45200</v>
      </c>
      <c r="G5867">
        <v>1.41</v>
      </c>
      <c r="H5867">
        <v>79.714799999999997</v>
      </c>
      <c r="I5867">
        <v>23.14</v>
      </c>
      <c r="J5867">
        <v>94.2</v>
      </c>
      <c r="K5867" t="s">
        <v>30</v>
      </c>
      <c r="L5867">
        <v>753.28</v>
      </c>
      <c r="M5867">
        <f>VLOOKUP(K5867,RatingLookup!$A$2:$C$8,2,FALSE)</f>
        <v>1.4999999999999999E-2</v>
      </c>
      <c r="N5867">
        <f t="shared" si="273"/>
        <v>1.2586770182638762E-3</v>
      </c>
      <c r="O5867">
        <f>VLOOKUP(K5867,RatingLookup!$A$2:$C$8,3,FALSE)</f>
        <v>0.5</v>
      </c>
      <c r="P5867">
        <f t="shared" si="274"/>
        <v>0.47406811215890632</v>
      </c>
      <c r="Q5867" t="str">
        <f t="shared" ca="1" si="275"/>
        <v>No</v>
      </c>
    </row>
    <row r="5868" spans="1:17" x14ac:dyDescent="0.45">
      <c r="A5868" t="s">
        <v>231</v>
      </c>
      <c r="B5868" t="s">
        <v>232</v>
      </c>
      <c r="C5868" t="s">
        <v>19</v>
      </c>
      <c r="D5868" t="s">
        <v>188</v>
      </c>
      <c r="E5868" t="s">
        <v>21</v>
      </c>
      <c r="F5868" s="1">
        <v>45231</v>
      </c>
      <c r="G5868">
        <v>1.1100000000000001</v>
      </c>
      <c r="H5868">
        <v>80.857600000000005</v>
      </c>
      <c r="I5868">
        <v>23.26</v>
      </c>
      <c r="J5868">
        <v>67.09</v>
      </c>
      <c r="K5868" t="s">
        <v>30</v>
      </c>
      <c r="L5868">
        <v>673.92</v>
      </c>
      <c r="M5868">
        <f>VLOOKUP(K5868,RatingLookup!$A$2:$C$8,2,FALSE)</f>
        <v>1.4999999999999999E-2</v>
      </c>
      <c r="N5868">
        <f t="shared" si="273"/>
        <v>1.2586770182638762E-3</v>
      </c>
      <c r="O5868">
        <f>VLOOKUP(K5868,RatingLookup!$A$2:$C$8,3,FALSE)</f>
        <v>0.5</v>
      </c>
      <c r="P5868">
        <f t="shared" si="274"/>
        <v>0.4241238080741957</v>
      </c>
      <c r="Q5868" t="str">
        <f t="shared" ca="1" si="275"/>
        <v>No</v>
      </c>
    </row>
    <row r="5869" spans="1:17" x14ac:dyDescent="0.45">
      <c r="A5869" t="s">
        <v>231</v>
      </c>
      <c r="B5869" t="s">
        <v>232</v>
      </c>
      <c r="C5869" t="s">
        <v>19</v>
      </c>
      <c r="D5869" t="s">
        <v>188</v>
      </c>
      <c r="E5869" t="s">
        <v>21</v>
      </c>
      <c r="F5869" s="1">
        <v>45261</v>
      </c>
      <c r="G5869">
        <v>2.19</v>
      </c>
      <c r="H5869">
        <v>87.924099999999996</v>
      </c>
      <c r="I5869">
        <v>22.33</v>
      </c>
      <c r="J5869">
        <v>63.31</v>
      </c>
      <c r="K5869" t="s">
        <v>30</v>
      </c>
      <c r="L5869">
        <v>701.77</v>
      </c>
      <c r="M5869">
        <f>VLOOKUP(K5869,RatingLookup!$A$2:$C$8,2,FALSE)</f>
        <v>1.4999999999999999E-2</v>
      </c>
      <c r="N5869">
        <f t="shared" si="273"/>
        <v>1.2586770182638762E-3</v>
      </c>
      <c r="O5869">
        <f>VLOOKUP(K5869,RatingLookup!$A$2:$C$8,3,FALSE)</f>
        <v>0.5</v>
      </c>
      <c r="P5869">
        <f t="shared" si="274"/>
        <v>0.44165088555352022</v>
      </c>
      <c r="Q5869" t="str">
        <f t="shared" ca="1" si="275"/>
        <v>No</v>
      </c>
    </row>
    <row r="5870" spans="1:17" x14ac:dyDescent="0.45">
      <c r="A5870" t="s">
        <v>231</v>
      </c>
      <c r="B5870" t="s">
        <v>232</v>
      </c>
      <c r="C5870" t="s">
        <v>19</v>
      </c>
      <c r="D5870" t="s">
        <v>188</v>
      </c>
      <c r="E5870" t="s">
        <v>21</v>
      </c>
      <c r="F5870" s="1">
        <v>45292</v>
      </c>
      <c r="G5870">
        <v>1.8</v>
      </c>
      <c r="H5870">
        <v>82.849699999999999</v>
      </c>
      <c r="I5870">
        <v>20.55</v>
      </c>
      <c r="J5870">
        <v>82.98</v>
      </c>
      <c r="K5870" t="s">
        <v>30</v>
      </c>
      <c r="L5870">
        <v>703.69</v>
      </c>
      <c r="M5870">
        <f>VLOOKUP(K5870,RatingLookup!$A$2:$C$8,2,FALSE)</f>
        <v>1.4999999999999999E-2</v>
      </c>
      <c r="N5870">
        <f t="shared" si="273"/>
        <v>1.2586770182638762E-3</v>
      </c>
      <c r="O5870">
        <f>VLOOKUP(K5870,RatingLookup!$A$2:$C$8,3,FALSE)</f>
        <v>0.5</v>
      </c>
      <c r="P5870">
        <f t="shared" si="274"/>
        <v>0.44285921549105356</v>
      </c>
      <c r="Q5870" t="str">
        <f t="shared" ca="1" si="275"/>
        <v>No</v>
      </c>
    </row>
    <row r="5871" spans="1:17" x14ac:dyDescent="0.45">
      <c r="A5871" t="s">
        <v>231</v>
      </c>
      <c r="B5871" t="s">
        <v>232</v>
      </c>
      <c r="C5871" t="s">
        <v>19</v>
      </c>
      <c r="D5871" t="s">
        <v>188</v>
      </c>
      <c r="E5871" t="s">
        <v>21</v>
      </c>
      <c r="F5871" s="1">
        <v>45323</v>
      </c>
      <c r="G5871">
        <v>1.27</v>
      </c>
      <c r="H5871">
        <v>81.838700000000003</v>
      </c>
      <c r="I5871">
        <v>18.62</v>
      </c>
      <c r="J5871">
        <v>90.93</v>
      </c>
      <c r="K5871" t="s">
        <v>30</v>
      </c>
      <c r="L5871">
        <v>741.42</v>
      </c>
      <c r="M5871">
        <f>VLOOKUP(K5871,RatingLookup!$A$2:$C$8,2,FALSE)</f>
        <v>1.4999999999999999E-2</v>
      </c>
      <c r="N5871">
        <f t="shared" si="273"/>
        <v>1.2586770182638762E-3</v>
      </c>
      <c r="O5871">
        <f>VLOOKUP(K5871,RatingLookup!$A$2:$C$8,3,FALSE)</f>
        <v>0.5</v>
      </c>
      <c r="P5871">
        <f t="shared" si="274"/>
        <v>0.46660415744060152</v>
      </c>
      <c r="Q5871" t="str">
        <f t="shared" ca="1" si="275"/>
        <v>No</v>
      </c>
    </row>
    <row r="5872" spans="1:17" x14ac:dyDescent="0.45">
      <c r="A5872" t="s">
        <v>231</v>
      </c>
      <c r="B5872" t="s">
        <v>232</v>
      </c>
      <c r="C5872" t="s">
        <v>19</v>
      </c>
      <c r="D5872" t="s">
        <v>188</v>
      </c>
      <c r="E5872" t="s">
        <v>21</v>
      </c>
      <c r="F5872" s="1">
        <v>45352</v>
      </c>
      <c r="G5872">
        <v>1.44</v>
      </c>
      <c r="H5872">
        <v>82.034700000000001</v>
      </c>
      <c r="I5872">
        <v>23.42</v>
      </c>
      <c r="J5872">
        <v>89.73</v>
      </c>
      <c r="K5872" t="s">
        <v>30</v>
      </c>
      <c r="L5872">
        <v>722.89</v>
      </c>
      <c r="M5872">
        <f>VLOOKUP(K5872,RatingLookup!$A$2:$C$8,2,FALSE)</f>
        <v>1.4999999999999999E-2</v>
      </c>
      <c r="N5872">
        <f t="shared" si="273"/>
        <v>1.2586770182638762E-3</v>
      </c>
      <c r="O5872">
        <f>VLOOKUP(K5872,RatingLookup!$A$2:$C$8,3,FALSE)</f>
        <v>0.5</v>
      </c>
      <c r="P5872">
        <f t="shared" si="274"/>
        <v>0.45494251486638676</v>
      </c>
      <c r="Q5872" t="str">
        <f t="shared" ca="1" si="275"/>
        <v>No</v>
      </c>
    </row>
    <row r="5873" spans="1:17" x14ac:dyDescent="0.45">
      <c r="A5873" t="s">
        <v>231</v>
      </c>
      <c r="B5873" t="s">
        <v>232</v>
      </c>
      <c r="C5873" t="s">
        <v>19</v>
      </c>
      <c r="D5873" t="s">
        <v>188</v>
      </c>
      <c r="E5873" t="s">
        <v>21</v>
      </c>
      <c r="F5873" s="1">
        <v>45383</v>
      </c>
      <c r="G5873">
        <v>1.41</v>
      </c>
      <c r="H5873">
        <v>83.228399999999993</v>
      </c>
      <c r="I5873">
        <v>30.65</v>
      </c>
      <c r="J5873">
        <v>55.84</v>
      </c>
      <c r="K5873" t="s">
        <v>30</v>
      </c>
      <c r="L5873">
        <v>723.29</v>
      </c>
      <c r="M5873">
        <f>VLOOKUP(K5873,RatingLookup!$A$2:$C$8,2,FALSE)</f>
        <v>1.4999999999999999E-2</v>
      </c>
      <c r="N5873">
        <f t="shared" si="273"/>
        <v>1.2586770182638762E-3</v>
      </c>
      <c r="O5873">
        <f>VLOOKUP(K5873,RatingLookup!$A$2:$C$8,3,FALSE)</f>
        <v>0.5</v>
      </c>
      <c r="P5873">
        <f t="shared" si="274"/>
        <v>0.45519425027003951</v>
      </c>
      <c r="Q5873" t="str">
        <f t="shared" ca="1" si="275"/>
        <v>No</v>
      </c>
    </row>
    <row r="5874" spans="1:17" x14ac:dyDescent="0.45">
      <c r="A5874" t="s">
        <v>231</v>
      </c>
      <c r="B5874" t="s">
        <v>232</v>
      </c>
      <c r="C5874" t="s">
        <v>19</v>
      </c>
      <c r="D5874" t="s">
        <v>188</v>
      </c>
      <c r="E5874" t="s">
        <v>21</v>
      </c>
      <c r="F5874" s="1">
        <v>45413</v>
      </c>
      <c r="G5874">
        <v>1.33</v>
      </c>
      <c r="H5874">
        <v>78.4114</v>
      </c>
      <c r="I5874">
        <v>17.78</v>
      </c>
      <c r="J5874">
        <v>92.99</v>
      </c>
      <c r="K5874" t="s">
        <v>30</v>
      </c>
      <c r="L5874">
        <v>678.29</v>
      </c>
      <c r="M5874">
        <f>VLOOKUP(K5874,RatingLookup!$A$2:$C$8,2,FALSE)</f>
        <v>1.4999999999999999E-2</v>
      </c>
      <c r="N5874">
        <f t="shared" si="273"/>
        <v>1.2586770182638762E-3</v>
      </c>
      <c r="O5874">
        <f>VLOOKUP(K5874,RatingLookup!$A$2:$C$8,3,FALSE)</f>
        <v>0.5</v>
      </c>
      <c r="P5874">
        <f t="shared" si="274"/>
        <v>0.4268740173591023</v>
      </c>
      <c r="Q5874" t="str">
        <f t="shared" ca="1" si="275"/>
        <v>No</v>
      </c>
    </row>
    <row r="5875" spans="1:17" x14ac:dyDescent="0.45">
      <c r="A5875" t="s">
        <v>231</v>
      </c>
      <c r="B5875" t="s">
        <v>232</v>
      </c>
      <c r="C5875" t="s">
        <v>19</v>
      </c>
      <c r="D5875" t="s">
        <v>188</v>
      </c>
      <c r="E5875" t="s">
        <v>21</v>
      </c>
      <c r="F5875" s="1">
        <v>45444</v>
      </c>
      <c r="G5875">
        <v>1.41</v>
      </c>
      <c r="H5875">
        <v>76.662499999999994</v>
      </c>
      <c r="I5875">
        <v>14.3</v>
      </c>
      <c r="J5875">
        <v>84.17</v>
      </c>
      <c r="K5875" t="s">
        <v>30</v>
      </c>
      <c r="L5875">
        <v>643.82000000000005</v>
      </c>
      <c r="M5875">
        <f>VLOOKUP(K5875,RatingLookup!$A$2:$C$8,2,FALSE)</f>
        <v>1.4999999999999999E-2</v>
      </c>
      <c r="N5875">
        <f t="shared" si="273"/>
        <v>1.2586770182638762E-3</v>
      </c>
      <c r="O5875">
        <f>VLOOKUP(K5875,RatingLookup!$A$2:$C$8,3,FALSE)</f>
        <v>0.5</v>
      </c>
      <c r="P5875">
        <f t="shared" si="274"/>
        <v>0.40518071894932445</v>
      </c>
      <c r="Q5875" t="str">
        <f t="shared" ca="1" si="275"/>
        <v>No</v>
      </c>
    </row>
    <row r="5876" spans="1:17" x14ac:dyDescent="0.45">
      <c r="A5876" t="s">
        <v>231</v>
      </c>
      <c r="B5876" t="s">
        <v>232</v>
      </c>
      <c r="C5876" t="s">
        <v>19</v>
      </c>
      <c r="D5876" t="s">
        <v>188</v>
      </c>
      <c r="E5876" t="s">
        <v>21</v>
      </c>
      <c r="F5876" s="1">
        <v>45474</v>
      </c>
      <c r="G5876">
        <v>1.8</v>
      </c>
      <c r="H5876">
        <v>85.608099999999993</v>
      </c>
      <c r="I5876">
        <v>19.09</v>
      </c>
      <c r="J5876">
        <v>77.260000000000005</v>
      </c>
      <c r="K5876" t="s">
        <v>30</v>
      </c>
      <c r="L5876">
        <v>701.7</v>
      </c>
      <c r="M5876">
        <f>VLOOKUP(K5876,RatingLookup!$A$2:$C$8,2,FALSE)</f>
        <v>1.4999999999999999E-2</v>
      </c>
      <c r="N5876">
        <f t="shared" si="273"/>
        <v>1.2586770182638762E-3</v>
      </c>
      <c r="O5876">
        <f>VLOOKUP(K5876,RatingLookup!$A$2:$C$8,3,FALSE)</f>
        <v>0.5</v>
      </c>
      <c r="P5876">
        <f t="shared" si="274"/>
        <v>0.44160683185788102</v>
      </c>
      <c r="Q5876" t="str">
        <f t="shared" ca="1" si="275"/>
        <v>No</v>
      </c>
    </row>
    <row r="5877" spans="1:17" x14ac:dyDescent="0.45">
      <c r="A5877" t="s">
        <v>231</v>
      </c>
      <c r="B5877" t="s">
        <v>232</v>
      </c>
      <c r="C5877" t="s">
        <v>19</v>
      </c>
      <c r="D5877" t="s">
        <v>188</v>
      </c>
      <c r="E5877" t="s">
        <v>21</v>
      </c>
      <c r="F5877" s="1">
        <v>45505</v>
      </c>
      <c r="G5877">
        <v>1.37</v>
      </c>
      <c r="H5877">
        <v>82.705699999999993</v>
      </c>
      <c r="I5877">
        <v>12.26</v>
      </c>
      <c r="J5877">
        <v>79.92</v>
      </c>
      <c r="K5877" t="s">
        <v>30</v>
      </c>
      <c r="L5877">
        <v>760.1</v>
      </c>
      <c r="M5877">
        <f>VLOOKUP(K5877,RatingLookup!$A$2:$C$8,2,FALSE)</f>
        <v>1.4999999999999999E-2</v>
      </c>
      <c r="N5877">
        <f t="shared" si="273"/>
        <v>1.2586770182638762E-3</v>
      </c>
      <c r="O5877">
        <f>VLOOKUP(K5877,RatingLookup!$A$2:$C$8,3,FALSE)</f>
        <v>0.5</v>
      </c>
      <c r="P5877">
        <f t="shared" si="274"/>
        <v>0.47836020079118619</v>
      </c>
      <c r="Q5877" t="str">
        <f t="shared" ca="1" si="275"/>
        <v>No</v>
      </c>
    </row>
    <row r="5878" spans="1:17" x14ac:dyDescent="0.45">
      <c r="A5878" t="s">
        <v>231</v>
      </c>
      <c r="B5878" t="s">
        <v>232</v>
      </c>
      <c r="C5878" t="s">
        <v>19</v>
      </c>
      <c r="D5878" t="s">
        <v>188</v>
      </c>
      <c r="E5878" t="s">
        <v>21</v>
      </c>
      <c r="F5878" s="1">
        <v>45536</v>
      </c>
      <c r="G5878">
        <v>1.69</v>
      </c>
      <c r="H5878">
        <v>80.6648</v>
      </c>
      <c r="I5878">
        <v>19.34</v>
      </c>
      <c r="J5878">
        <v>79.87</v>
      </c>
      <c r="K5878" t="s">
        <v>30</v>
      </c>
      <c r="L5878">
        <v>658.95</v>
      </c>
      <c r="M5878">
        <f>VLOOKUP(K5878,RatingLookup!$A$2:$C$8,2,FALSE)</f>
        <v>1.4999999999999999E-2</v>
      </c>
      <c r="N5878">
        <f t="shared" si="273"/>
        <v>1.2586770182638762E-3</v>
      </c>
      <c r="O5878">
        <f>VLOOKUP(K5878,RatingLookup!$A$2:$C$8,3,FALSE)</f>
        <v>0.5</v>
      </c>
      <c r="P5878">
        <f t="shared" si="274"/>
        <v>0.41470261059249064</v>
      </c>
      <c r="Q5878" t="str">
        <f t="shared" ca="1" si="275"/>
        <v>No</v>
      </c>
    </row>
    <row r="5879" spans="1:17" x14ac:dyDescent="0.45">
      <c r="A5879" t="s">
        <v>231</v>
      </c>
      <c r="B5879" t="s">
        <v>232</v>
      </c>
      <c r="C5879" t="s">
        <v>19</v>
      </c>
      <c r="D5879" t="s">
        <v>188</v>
      </c>
      <c r="E5879" t="s">
        <v>21</v>
      </c>
      <c r="F5879" s="1">
        <v>45566</v>
      </c>
      <c r="G5879">
        <v>2.2599999999999998</v>
      </c>
      <c r="H5879">
        <v>75.409700000000001</v>
      </c>
      <c r="I5879">
        <v>20.82</v>
      </c>
      <c r="J5879">
        <v>81.48</v>
      </c>
      <c r="K5879" t="s">
        <v>30</v>
      </c>
      <c r="L5879">
        <v>653.63</v>
      </c>
      <c r="M5879">
        <f>VLOOKUP(K5879,RatingLookup!$A$2:$C$8,2,FALSE)</f>
        <v>1.4999999999999999E-2</v>
      </c>
      <c r="N5879">
        <f t="shared" si="273"/>
        <v>1.2586770182638762E-3</v>
      </c>
      <c r="O5879">
        <f>VLOOKUP(K5879,RatingLookup!$A$2:$C$8,3,FALSE)</f>
        <v>0.5</v>
      </c>
      <c r="P5879">
        <f t="shared" si="274"/>
        <v>0.41135452972390874</v>
      </c>
      <c r="Q5879" t="str">
        <f t="shared" ca="1" si="275"/>
        <v>No</v>
      </c>
    </row>
    <row r="5880" spans="1:17" x14ac:dyDescent="0.45">
      <c r="A5880" t="s">
        <v>231</v>
      </c>
      <c r="B5880" t="s">
        <v>232</v>
      </c>
      <c r="C5880" t="s">
        <v>19</v>
      </c>
      <c r="D5880" t="s">
        <v>188</v>
      </c>
      <c r="E5880" t="s">
        <v>21</v>
      </c>
      <c r="F5880" s="1">
        <v>45597</v>
      </c>
      <c r="G5880">
        <v>0.54</v>
      </c>
      <c r="H5880">
        <v>84.975899999999996</v>
      </c>
      <c r="I5880">
        <v>18.23</v>
      </c>
      <c r="J5880">
        <v>64.42</v>
      </c>
      <c r="K5880" t="s">
        <v>30</v>
      </c>
      <c r="L5880">
        <v>737.31</v>
      </c>
      <c r="M5880">
        <f>VLOOKUP(K5880,RatingLookup!$A$2:$C$8,2,FALSE)</f>
        <v>1.4999999999999999E-2</v>
      </c>
      <c r="N5880">
        <f t="shared" si="273"/>
        <v>1.2586770182638762E-3</v>
      </c>
      <c r="O5880">
        <f>VLOOKUP(K5880,RatingLookup!$A$2:$C$8,3,FALSE)</f>
        <v>0.5</v>
      </c>
      <c r="P5880">
        <f t="shared" si="274"/>
        <v>0.46401757616806927</v>
      </c>
      <c r="Q5880" t="str">
        <f t="shared" ca="1" si="275"/>
        <v>No</v>
      </c>
    </row>
    <row r="5881" spans="1:17" x14ac:dyDescent="0.45">
      <c r="A5881" t="s">
        <v>231</v>
      </c>
      <c r="B5881" t="s">
        <v>232</v>
      </c>
      <c r="C5881" t="s">
        <v>19</v>
      </c>
      <c r="D5881" t="s">
        <v>188</v>
      </c>
      <c r="E5881" t="s">
        <v>21</v>
      </c>
      <c r="F5881" s="1">
        <v>45627</v>
      </c>
      <c r="G5881">
        <v>1.54</v>
      </c>
      <c r="H5881">
        <v>80.419899999999998</v>
      </c>
      <c r="I5881">
        <v>9.3800000000000008</v>
      </c>
      <c r="J5881">
        <v>98.03</v>
      </c>
      <c r="K5881" t="s">
        <v>30</v>
      </c>
      <c r="L5881">
        <v>757.98</v>
      </c>
      <c r="M5881">
        <f>VLOOKUP(K5881,RatingLookup!$A$2:$C$8,2,FALSE)</f>
        <v>1.4999999999999999E-2</v>
      </c>
      <c r="N5881">
        <f t="shared" si="273"/>
        <v>1.2586770182638762E-3</v>
      </c>
      <c r="O5881">
        <f>VLOOKUP(K5881,RatingLookup!$A$2:$C$8,3,FALSE)</f>
        <v>0.5</v>
      </c>
      <c r="P5881">
        <f t="shared" si="274"/>
        <v>0.47702600315182647</v>
      </c>
      <c r="Q5881" t="str">
        <f t="shared" ca="1" si="275"/>
        <v>No</v>
      </c>
    </row>
    <row r="5882" spans="1:17" x14ac:dyDescent="0.45">
      <c r="A5882" t="s">
        <v>233</v>
      </c>
      <c r="B5882" t="s">
        <v>234</v>
      </c>
      <c r="C5882" t="s">
        <v>85</v>
      </c>
      <c r="D5882" t="s">
        <v>188</v>
      </c>
      <c r="E5882" t="s">
        <v>21</v>
      </c>
      <c r="F5882" s="1">
        <v>43831</v>
      </c>
      <c r="G5882">
        <v>1.82</v>
      </c>
      <c r="H5882">
        <v>87.833799999999997</v>
      </c>
      <c r="I5882">
        <v>13.18</v>
      </c>
      <c r="J5882">
        <v>74.09</v>
      </c>
      <c r="K5882" t="s">
        <v>30</v>
      </c>
      <c r="L5882">
        <v>608.73</v>
      </c>
      <c r="M5882">
        <f>VLOOKUP(K5882,RatingLookup!$A$2:$C$8,2,FALSE)</f>
        <v>1.4999999999999999E-2</v>
      </c>
      <c r="N5882">
        <f t="shared" si="273"/>
        <v>1.2586770182638762E-3</v>
      </c>
      <c r="O5882">
        <f>VLOOKUP(K5882,RatingLookup!$A$2:$C$8,3,FALSE)</f>
        <v>0.5</v>
      </c>
      <c r="P5882">
        <f t="shared" si="274"/>
        <v>0.38309723066388468</v>
      </c>
      <c r="Q5882" t="str">
        <f t="shared" ca="1" si="275"/>
        <v>No</v>
      </c>
    </row>
    <row r="5883" spans="1:17" x14ac:dyDescent="0.45">
      <c r="A5883" t="s">
        <v>233</v>
      </c>
      <c r="B5883" t="s">
        <v>234</v>
      </c>
      <c r="C5883" t="s">
        <v>85</v>
      </c>
      <c r="D5883" t="s">
        <v>188</v>
      </c>
      <c r="E5883" t="s">
        <v>21</v>
      </c>
      <c r="F5883" s="1">
        <v>43862</v>
      </c>
      <c r="G5883">
        <v>1.71</v>
      </c>
      <c r="H5883">
        <v>78.363</v>
      </c>
      <c r="I5883">
        <v>20.91</v>
      </c>
      <c r="J5883">
        <v>70.150000000000006</v>
      </c>
      <c r="K5883" t="s">
        <v>30</v>
      </c>
      <c r="L5883">
        <v>539.33000000000004</v>
      </c>
      <c r="M5883">
        <f>VLOOKUP(K5883,RatingLookup!$A$2:$C$8,2,FALSE)</f>
        <v>1.4999999999999999E-2</v>
      </c>
      <c r="N5883">
        <f t="shared" si="273"/>
        <v>1.2586770182638762E-3</v>
      </c>
      <c r="O5883">
        <f>VLOOKUP(K5883,RatingLookup!$A$2:$C$8,3,FALSE)</f>
        <v>0.5</v>
      </c>
      <c r="P5883">
        <f t="shared" si="274"/>
        <v>0.3394211381301282</v>
      </c>
      <c r="Q5883" t="str">
        <f t="shared" ca="1" si="275"/>
        <v>No</v>
      </c>
    </row>
    <row r="5884" spans="1:17" x14ac:dyDescent="0.45">
      <c r="A5884" t="s">
        <v>233</v>
      </c>
      <c r="B5884" t="s">
        <v>234</v>
      </c>
      <c r="C5884" t="s">
        <v>85</v>
      </c>
      <c r="D5884" t="s">
        <v>188</v>
      </c>
      <c r="E5884" t="s">
        <v>21</v>
      </c>
      <c r="F5884" s="1">
        <v>43891</v>
      </c>
      <c r="G5884">
        <v>1.79</v>
      </c>
      <c r="H5884">
        <v>86.826099999999997</v>
      </c>
      <c r="I5884">
        <v>24.98</v>
      </c>
      <c r="J5884">
        <v>76.739999999999995</v>
      </c>
      <c r="K5884" t="s">
        <v>30</v>
      </c>
      <c r="L5884">
        <v>561.04999999999995</v>
      </c>
      <c r="M5884">
        <f>VLOOKUP(K5884,RatingLookup!$A$2:$C$8,2,FALSE)</f>
        <v>1.4999999999999999E-2</v>
      </c>
      <c r="N5884">
        <f t="shared" si="273"/>
        <v>1.2586770182638762E-3</v>
      </c>
      <c r="O5884">
        <f>VLOOKUP(K5884,RatingLookup!$A$2:$C$8,3,FALSE)</f>
        <v>0.5</v>
      </c>
      <c r="P5884">
        <f t="shared" si="274"/>
        <v>0.35309037054847386</v>
      </c>
      <c r="Q5884" t="str">
        <f t="shared" ca="1" si="275"/>
        <v>No</v>
      </c>
    </row>
    <row r="5885" spans="1:17" x14ac:dyDescent="0.45">
      <c r="A5885" t="s">
        <v>233</v>
      </c>
      <c r="B5885" t="s">
        <v>234</v>
      </c>
      <c r="C5885" t="s">
        <v>85</v>
      </c>
      <c r="D5885" t="s">
        <v>188</v>
      </c>
      <c r="E5885" t="s">
        <v>21</v>
      </c>
      <c r="F5885" s="1">
        <v>43922</v>
      </c>
      <c r="G5885">
        <v>2.14</v>
      </c>
      <c r="H5885">
        <v>82.434600000000003</v>
      </c>
      <c r="I5885">
        <v>25.52</v>
      </c>
      <c r="J5885">
        <v>77.099999999999994</v>
      </c>
      <c r="K5885" t="s">
        <v>30</v>
      </c>
      <c r="L5885">
        <v>577.99</v>
      </c>
      <c r="M5885">
        <f>VLOOKUP(K5885,RatingLookup!$A$2:$C$8,2,FALSE)</f>
        <v>1.4999999999999999E-2</v>
      </c>
      <c r="N5885">
        <f t="shared" si="273"/>
        <v>1.2586770182638762E-3</v>
      </c>
      <c r="O5885">
        <f>VLOOKUP(K5885,RatingLookup!$A$2:$C$8,3,FALSE)</f>
        <v>0.5</v>
      </c>
      <c r="P5885">
        <f t="shared" si="274"/>
        <v>0.36375136489316889</v>
      </c>
      <c r="Q5885" t="str">
        <f t="shared" ca="1" si="275"/>
        <v>No</v>
      </c>
    </row>
    <row r="5886" spans="1:17" x14ac:dyDescent="0.45">
      <c r="A5886" t="s">
        <v>233</v>
      </c>
      <c r="B5886" t="s">
        <v>234</v>
      </c>
      <c r="C5886" t="s">
        <v>85</v>
      </c>
      <c r="D5886" t="s">
        <v>188</v>
      </c>
      <c r="E5886" t="s">
        <v>21</v>
      </c>
      <c r="F5886" s="1">
        <v>43952</v>
      </c>
      <c r="G5886">
        <v>2.35</v>
      </c>
      <c r="H5886">
        <v>85.765500000000003</v>
      </c>
      <c r="I5886">
        <v>16.72</v>
      </c>
      <c r="J5886">
        <v>76.62</v>
      </c>
      <c r="K5886" t="s">
        <v>30</v>
      </c>
      <c r="L5886">
        <v>551.41999999999996</v>
      </c>
      <c r="M5886">
        <f>VLOOKUP(K5886,RatingLookup!$A$2:$C$8,2,FALSE)</f>
        <v>1.4999999999999999E-2</v>
      </c>
      <c r="N5886">
        <f t="shared" si="273"/>
        <v>1.2586770182638762E-3</v>
      </c>
      <c r="O5886">
        <f>VLOOKUP(K5886,RatingLookup!$A$2:$C$8,3,FALSE)</f>
        <v>0.5</v>
      </c>
      <c r="P5886">
        <f t="shared" si="274"/>
        <v>0.34702984070553328</v>
      </c>
      <c r="Q5886" t="str">
        <f t="shared" ca="1" si="275"/>
        <v>No</v>
      </c>
    </row>
    <row r="5887" spans="1:17" x14ac:dyDescent="0.45">
      <c r="A5887" t="s">
        <v>233</v>
      </c>
      <c r="B5887" t="s">
        <v>234</v>
      </c>
      <c r="C5887" t="s">
        <v>85</v>
      </c>
      <c r="D5887" t="s">
        <v>188</v>
      </c>
      <c r="E5887" t="s">
        <v>21</v>
      </c>
      <c r="F5887" s="1">
        <v>43983</v>
      </c>
      <c r="G5887">
        <v>1.17</v>
      </c>
      <c r="H5887">
        <v>82.498900000000006</v>
      </c>
      <c r="I5887">
        <v>10.44</v>
      </c>
      <c r="J5887">
        <v>70.44</v>
      </c>
      <c r="K5887" t="s">
        <v>30</v>
      </c>
      <c r="L5887">
        <v>530.59</v>
      </c>
      <c r="M5887">
        <f>VLOOKUP(K5887,RatingLookup!$A$2:$C$8,2,FALSE)</f>
        <v>1.4999999999999999E-2</v>
      </c>
      <c r="N5887">
        <f t="shared" si="273"/>
        <v>1.2586770182638762E-3</v>
      </c>
      <c r="O5887">
        <f>VLOOKUP(K5887,RatingLookup!$A$2:$C$8,3,FALSE)</f>
        <v>0.5</v>
      </c>
      <c r="P5887">
        <f t="shared" si="274"/>
        <v>0.33392071956031505</v>
      </c>
      <c r="Q5887" t="str">
        <f t="shared" ca="1" si="275"/>
        <v>No</v>
      </c>
    </row>
    <row r="5888" spans="1:17" x14ac:dyDescent="0.45">
      <c r="A5888" t="s">
        <v>233</v>
      </c>
      <c r="B5888" t="s">
        <v>234</v>
      </c>
      <c r="C5888" t="s">
        <v>85</v>
      </c>
      <c r="D5888" t="s">
        <v>188</v>
      </c>
      <c r="E5888" t="s">
        <v>21</v>
      </c>
      <c r="F5888" s="1">
        <v>44013</v>
      </c>
      <c r="G5888">
        <v>1.52</v>
      </c>
      <c r="H5888">
        <v>88.636700000000005</v>
      </c>
      <c r="I5888">
        <v>17.93</v>
      </c>
      <c r="J5888">
        <v>79.64</v>
      </c>
      <c r="K5888" t="s">
        <v>30</v>
      </c>
      <c r="L5888">
        <v>595.48</v>
      </c>
      <c r="M5888">
        <f>VLOOKUP(K5888,RatingLookup!$A$2:$C$8,2,FALSE)</f>
        <v>1.4999999999999999E-2</v>
      </c>
      <c r="N5888">
        <f t="shared" si="273"/>
        <v>1.2586770182638762E-3</v>
      </c>
      <c r="O5888">
        <f>VLOOKUP(K5888,RatingLookup!$A$2:$C$8,3,FALSE)</f>
        <v>0.5</v>
      </c>
      <c r="P5888">
        <f t="shared" si="274"/>
        <v>0.37475849541788653</v>
      </c>
      <c r="Q5888" t="str">
        <f t="shared" ca="1" si="275"/>
        <v>No</v>
      </c>
    </row>
    <row r="5889" spans="1:17" x14ac:dyDescent="0.45">
      <c r="A5889" t="s">
        <v>233</v>
      </c>
      <c r="B5889" t="s">
        <v>234</v>
      </c>
      <c r="C5889" t="s">
        <v>85</v>
      </c>
      <c r="D5889" t="s">
        <v>188</v>
      </c>
      <c r="E5889" t="s">
        <v>21</v>
      </c>
      <c r="F5889" s="1">
        <v>44044</v>
      </c>
      <c r="G5889">
        <v>2.04</v>
      </c>
      <c r="H5889">
        <v>75.9315</v>
      </c>
      <c r="I5889">
        <v>25.05</v>
      </c>
      <c r="J5889">
        <v>67.63</v>
      </c>
      <c r="K5889" t="s">
        <v>22</v>
      </c>
      <c r="L5889">
        <v>608.22</v>
      </c>
      <c r="M5889">
        <f>VLOOKUP(K5889,RatingLookup!$A$2:$C$8,2,FALSE)</f>
        <v>5.0000000000000001E-3</v>
      </c>
      <c r="N5889">
        <f t="shared" si="273"/>
        <v>4.1762458919303302E-4</v>
      </c>
      <c r="O5889">
        <f>VLOOKUP(K5889,RatingLookup!$A$2:$C$8,3,FALSE)</f>
        <v>0.45</v>
      </c>
      <c r="P5889">
        <f t="shared" si="274"/>
        <v>0.11430343243754394</v>
      </c>
      <c r="Q5889" t="str">
        <f t="shared" ca="1" si="275"/>
        <v>No</v>
      </c>
    </row>
    <row r="5890" spans="1:17" x14ac:dyDescent="0.45">
      <c r="A5890" t="s">
        <v>233</v>
      </c>
      <c r="B5890" t="s">
        <v>234</v>
      </c>
      <c r="C5890" t="s">
        <v>85</v>
      </c>
      <c r="D5890" t="s">
        <v>188</v>
      </c>
      <c r="E5890" t="s">
        <v>21</v>
      </c>
      <c r="F5890" s="1">
        <v>44075</v>
      </c>
      <c r="G5890">
        <v>1.1499999999999999</v>
      </c>
      <c r="H5890">
        <v>90.111699999999999</v>
      </c>
      <c r="I5890">
        <v>19.36</v>
      </c>
      <c r="J5890">
        <v>99.39</v>
      </c>
      <c r="K5890" t="s">
        <v>22</v>
      </c>
      <c r="L5890">
        <v>563.54999999999995</v>
      </c>
      <c r="M5890">
        <f>VLOOKUP(K5890,RatingLookup!$A$2:$C$8,2,FALSE)</f>
        <v>5.0000000000000001E-3</v>
      </c>
      <c r="N5890">
        <f t="shared" ref="N5890:N5953" si="276">1-(1-M5890)^(1/12)</f>
        <v>4.1762458919303302E-4</v>
      </c>
      <c r="O5890">
        <f>VLOOKUP(K5890,RatingLookup!$A$2:$C$8,3,FALSE)</f>
        <v>0.45</v>
      </c>
      <c r="P5890">
        <f t="shared" ref="P5890:P5953" si="277">L5890*N5890*O5890</f>
        <v>0.10590855175788019</v>
      </c>
      <c r="Q5890" t="str">
        <f t="shared" ref="Q5890:Q5953" ca="1" si="278">IF(RAND()&lt;N5890,"Yes","No")</f>
        <v>No</v>
      </c>
    </row>
    <row r="5891" spans="1:17" x14ac:dyDescent="0.45">
      <c r="A5891" t="s">
        <v>233</v>
      </c>
      <c r="B5891" t="s">
        <v>234</v>
      </c>
      <c r="C5891" t="s">
        <v>85</v>
      </c>
      <c r="D5891" t="s">
        <v>188</v>
      </c>
      <c r="E5891" t="s">
        <v>21</v>
      </c>
      <c r="F5891" s="1">
        <v>44105</v>
      </c>
      <c r="G5891">
        <v>1.31</v>
      </c>
      <c r="H5891">
        <v>84.510900000000007</v>
      </c>
      <c r="I5891">
        <v>21.62</v>
      </c>
      <c r="J5891">
        <v>76.5</v>
      </c>
      <c r="K5891" t="s">
        <v>22</v>
      </c>
      <c r="L5891">
        <v>589.11</v>
      </c>
      <c r="M5891">
        <f>VLOOKUP(K5891,RatingLookup!$A$2:$C$8,2,FALSE)</f>
        <v>5.0000000000000001E-3</v>
      </c>
      <c r="N5891">
        <f t="shared" si="276"/>
        <v>4.1762458919303302E-4</v>
      </c>
      <c r="O5891">
        <f>VLOOKUP(K5891,RatingLookup!$A$2:$C$8,3,FALSE)</f>
        <v>0.45</v>
      </c>
      <c r="P5891">
        <f t="shared" si="277"/>
        <v>0.11071206978277846</v>
      </c>
      <c r="Q5891" t="str">
        <f t="shared" ca="1" si="278"/>
        <v>No</v>
      </c>
    </row>
    <row r="5892" spans="1:17" x14ac:dyDescent="0.45">
      <c r="A5892" t="s">
        <v>233</v>
      </c>
      <c r="B5892" t="s">
        <v>234</v>
      </c>
      <c r="C5892" t="s">
        <v>85</v>
      </c>
      <c r="D5892" t="s">
        <v>188</v>
      </c>
      <c r="E5892" t="s">
        <v>21</v>
      </c>
      <c r="F5892" s="1">
        <v>44136</v>
      </c>
      <c r="G5892">
        <v>2.78</v>
      </c>
      <c r="H5892">
        <v>81.172300000000007</v>
      </c>
      <c r="I5892">
        <v>22.81</v>
      </c>
      <c r="J5892">
        <v>61.19</v>
      </c>
      <c r="K5892" t="s">
        <v>22</v>
      </c>
      <c r="L5892">
        <v>549.30999999999995</v>
      </c>
      <c r="M5892">
        <f>VLOOKUP(K5892,RatingLookup!$A$2:$C$8,2,FALSE)</f>
        <v>5.0000000000000001E-3</v>
      </c>
      <c r="N5892">
        <f t="shared" si="276"/>
        <v>4.1762458919303302E-4</v>
      </c>
      <c r="O5892">
        <f>VLOOKUP(K5892,RatingLookup!$A$2:$C$8,3,FALSE)</f>
        <v>0.45</v>
      </c>
      <c r="P5892">
        <f t="shared" si="277"/>
        <v>0.10323241339033123</v>
      </c>
      <c r="Q5892" t="str">
        <f t="shared" ca="1" si="278"/>
        <v>No</v>
      </c>
    </row>
    <row r="5893" spans="1:17" x14ac:dyDescent="0.45">
      <c r="A5893" t="s">
        <v>233</v>
      </c>
      <c r="B5893" t="s">
        <v>234</v>
      </c>
      <c r="C5893" t="s">
        <v>85</v>
      </c>
      <c r="D5893" t="s">
        <v>188</v>
      </c>
      <c r="E5893" t="s">
        <v>21</v>
      </c>
      <c r="F5893" s="1">
        <v>44166</v>
      </c>
      <c r="G5893">
        <v>1.53</v>
      </c>
      <c r="H5893">
        <v>77.678200000000004</v>
      </c>
      <c r="I5893">
        <v>17.2</v>
      </c>
      <c r="J5893">
        <v>69.84</v>
      </c>
      <c r="K5893" t="s">
        <v>22</v>
      </c>
      <c r="L5893">
        <v>540.45000000000005</v>
      </c>
      <c r="M5893">
        <f>VLOOKUP(K5893,RatingLookup!$A$2:$C$8,2,FALSE)</f>
        <v>5.0000000000000001E-3</v>
      </c>
      <c r="N5893">
        <f t="shared" si="276"/>
        <v>4.1762458919303302E-4</v>
      </c>
      <c r="O5893">
        <f>VLOOKUP(K5893,RatingLookup!$A$2:$C$8,3,FALSE)</f>
        <v>0.45</v>
      </c>
      <c r="P5893">
        <f t="shared" si="277"/>
        <v>0.10156734415321862</v>
      </c>
      <c r="Q5893" t="str">
        <f t="shared" ca="1" si="278"/>
        <v>No</v>
      </c>
    </row>
    <row r="5894" spans="1:17" x14ac:dyDescent="0.45">
      <c r="A5894" t="s">
        <v>233</v>
      </c>
      <c r="B5894" t="s">
        <v>234</v>
      </c>
      <c r="C5894" t="s">
        <v>85</v>
      </c>
      <c r="D5894" t="s">
        <v>188</v>
      </c>
      <c r="E5894" t="s">
        <v>21</v>
      </c>
      <c r="F5894" s="1">
        <v>44197</v>
      </c>
      <c r="G5894">
        <v>1.59</v>
      </c>
      <c r="H5894">
        <v>81.7483</v>
      </c>
      <c r="I5894">
        <v>10.130000000000001</v>
      </c>
      <c r="J5894">
        <v>73.53</v>
      </c>
      <c r="K5894" t="s">
        <v>22</v>
      </c>
      <c r="L5894">
        <v>599.30999999999995</v>
      </c>
      <c r="M5894">
        <f>VLOOKUP(K5894,RatingLookup!$A$2:$C$8,2,FALSE)</f>
        <v>5.0000000000000001E-3</v>
      </c>
      <c r="N5894">
        <f t="shared" si="276"/>
        <v>4.1762458919303302E-4</v>
      </c>
      <c r="O5894">
        <f>VLOOKUP(K5894,RatingLookup!$A$2:$C$8,3,FALSE)</f>
        <v>0.45</v>
      </c>
      <c r="P5894">
        <f t="shared" si="277"/>
        <v>0.11262896664717448</v>
      </c>
      <c r="Q5894" t="str">
        <f t="shared" ca="1" si="278"/>
        <v>No</v>
      </c>
    </row>
    <row r="5895" spans="1:17" x14ac:dyDescent="0.45">
      <c r="A5895" t="s">
        <v>233</v>
      </c>
      <c r="B5895" t="s">
        <v>234</v>
      </c>
      <c r="C5895" t="s">
        <v>85</v>
      </c>
      <c r="D5895" t="s">
        <v>188</v>
      </c>
      <c r="E5895" t="s">
        <v>21</v>
      </c>
      <c r="F5895" s="1">
        <v>44228</v>
      </c>
      <c r="G5895">
        <v>0.51</v>
      </c>
      <c r="H5895">
        <v>79.498099999999994</v>
      </c>
      <c r="I5895">
        <v>16.809999999999999</v>
      </c>
      <c r="J5895">
        <v>69.900000000000006</v>
      </c>
      <c r="K5895" t="s">
        <v>22</v>
      </c>
      <c r="L5895">
        <v>543.52</v>
      </c>
      <c r="M5895">
        <f>VLOOKUP(K5895,RatingLookup!$A$2:$C$8,2,FALSE)</f>
        <v>5.0000000000000001E-3</v>
      </c>
      <c r="N5895">
        <f t="shared" si="276"/>
        <v>4.1762458919303302E-4</v>
      </c>
      <c r="O5895">
        <f>VLOOKUP(K5895,RatingLookup!$A$2:$C$8,3,FALSE)</f>
        <v>0.45</v>
      </c>
      <c r="P5895">
        <f t="shared" si="277"/>
        <v>0.10214429252318878</v>
      </c>
      <c r="Q5895" t="str">
        <f t="shared" ca="1" si="278"/>
        <v>No</v>
      </c>
    </row>
    <row r="5896" spans="1:17" x14ac:dyDescent="0.45">
      <c r="A5896" t="s">
        <v>233</v>
      </c>
      <c r="B5896" t="s">
        <v>234</v>
      </c>
      <c r="C5896" t="s">
        <v>85</v>
      </c>
      <c r="D5896" t="s">
        <v>188</v>
      </c>
      <c r="E5896" t="s">
        <v>21</v>
      </c>
      <c r="F5896" s="1">
        <v>44256</v>
      </c>
      <c r="G5896">
        <v>2.7</v>
      </c>
      <c r="H5896">
        <v>80.862899999999996</v>
      </c>
      <c r="I5896">
        <v>16.03</v>
      </c>
      <c r="J5896">
        <v>72.97</v>
      </c>
      <c r="K5896" t="s">
        <v>22</v>
      </c>
      <c r="L5896">
        <v>541.27</v>
      </c>
      <c r="M5896">
        <f>VLOOKUP(K5896,RatingLookup!$A$2:$C$8,2,FALSE)</f>
        <v>5.0000000000000001E-3</v>
      </c>
      <c r="N5896">
        <f t="shared" si="276"/>
        <v>4.1762458919303302E-4</v>
      </c>
      <c r="O5896">
        <f>VLOOKUP(K5896,RatingLookup!$A$2:$C$8,3,FALSE)</f>
        <v>0.45</v>
      </c>
      <c r="P5896">
        <f t="shared" si="277"/>
        <v>0.10172144762663084</v>
      </c>
      <c r="Q5896" t="str">
        <f t="shared" ca="1" si="278"/>
        <v>No</v>
      </c>
    </row>
    <row r="5897" spans="1:17" x14ac:dyDescent="0.45">
      <c r="A5897" t="s">
        <v>233</v>
      </c>
      <c r="B5897" t="s">
        <v>234</v>
      </c>
      <c r="C5897" t="s">
        <v>85</v>
      </c>
      <c r="D5897" t="s">
        <v>188</v>
      </c>
      <c r="E5897" t="s">
        <v>21</v>
      </c>
      <c r="F5897" s="1">
        <v>44287</v>
      </c>
      <c r="G5897">
        <v>2.25</v>
      </c>
      <c r="H5897">
        <v>76.710099999999997</v>
      </c>
      <c r="I5897">
        <v>19.29</v>
      </c>
      <c r="J5897">
        <v>83.62</v>
      </c>
      <c r="K5897" t="s">
        <v>30</v>
      </c>
      <c r="L5897">
        <v>549.61</v>
      </c>
      <c r="M5897">
        <f>VLOOKUP(K5897,RatingLookup!$A$2:$C$8,2,FALSE)</f>
        <v>1.4999999999999999E-2</v>
      </c>
      <c r="N5897">
        <f t="shared" si="276"/>
        <v>1.2586770182638762E-3</v>
      </c>
      <c r="O5897">
        <f>VLOOKUP(K5897,RatingLookup!$A$2:$C$8,3,FALSE)</f>
        <v>0.5</v>
      </c>
      <c r="P5897">
        <f t="shared" si="277"/>
        <v>0.34589073800400449</v>
      </c>
      <c r="Q5897" t="str">
        <f t="shared" ca="1" si="278"/>
        <v>No</v>
      </c>
    </row>
    <row r="5898" spans="1:17" x14ac:dyDescent="0.45">
      <c r="A5898" t="s">
        <v>233</v>
      </c>
      <c r="B5898" t="s">
        <v>234</v>
      </c>
      <c r="C5898" t="s">
        <v>85</v>
      </c>
      <c r="D5898" t="s">
        <v>188</v>
      </c>
      <c r="E5898" t="s">
        <v>21</v>
      </c>
      <c r="F5898" s="1">
        <v>44317</v>
      </c>
      <c r="G5898">
        <v>1.03</v>
      </c>
      <c r="H5898">
        <v>82.215299999999999</v>
      </c>
      <c r="I5898">
        <v>20.190000000000001</v>
      </c>
      <c r="J5898">
        <v>67.5</v>
      </c>
      <c r="K5898" t="s">
        <v>30</v>
      </c>
      <c r="L5898">
        <v>526.66</v>
      </c>
      <c r="M5898">
        <f>VLOOKUP(K5898,RatingLookup!$A$2:$C$8,2,FALSE)</f>
        <v>1.4999999999999999E-2</v>
      </c>
      <c r="N5898">
        <f t="shared" si="276"/>
        <v>1.2586770182638762E-3</v>
      </c>
      <c r="O5898">
        <f>VLOOKUP(K5898,RatingLookup!$A$2:$C$8,3,FALSE)</f>
        <v>0.5</v>
      </c>
      <c r="P5898">
        <f t="shared" si="277"/>
        <v>0.3314474192194265</v>
      </c>
      <c r="Q5898" t="str">
        <f t="shared" ca="1" si="278"/>
        <v>No</v>
      </c>
    </row>
    <row r="5899" spans="1:17" x14ac:dyDescent="0.45">
      <c r="A5899" t="s">
        <v>233</v>
      </c>
      <c r="B5899" t="s">
        <v>234</v>
      </c>
      <c r="C5899" t="s">
        <v>85</v>
      </c>
      <c r="D5899" t="s">
        <v>188</v>
      </c>
      <c r="E5899" t="s">
        <v>21</v>
      </c>
      <c r="F5899" s="1">
        <v>44348</v>
      </c>
      <c r="G5899">
        <v>1.67</v>
      </c>
      <c r="H5899">
        <v>82.874399999999994</v>
      </c>
      <c r="I5899">
        <v>13.91</v>
      </c>
      <c r="J5899">
        <v>84.52</v>
      </c>
      <c r="K5899" t="s">
        <v>22</v>
      </c>
      <c r="L5899">
        <v>536.45000000000005</v>
      </c>
      <c r="M5899">
        <f>VLOOKUP(K5899,RatingLookup!$A$2:$C$8,2,FALSE)</f>
        <v>5.0000000000000001E-3</v>
      </c>
      <c r="N5899">
        <f t="shared" si="276"/>
        <v>4.1762458919303302E-4</v>
      </c>
      <c r="O5899">
        <f>VLOOKUP(K5899,RatingLookup!$A$2:$C$8,3,FALSE)</f>
        <v>0.45</v>
      </c>
      <c r="P5899">
        <f t="shared" si="277"/>
        <v>0.10081561989267115</v>
      </c>
      <c r="Q5899" t="str">
        <f t="shared" ca="1" si="278"/>
        <v>No</v>
      </c>
    </row>
    <row r="5900" spans="1:17" x14ac:dyDescent="0.45">
      <c r="A5900" t="s">
        <v>233</v>
      </c>
      <c r="B5900" t="s">
        <v>234</v>
      </c>
      <c r="C5900" t="s">
        <v>85</v>
      </c>
      <c r="D5900" t="s">
        <v>188</v>
      </c>
      <c r="E5900" t="s">
        <v>21</v>
      </c>
      <c r="F5900" s="1">
        <v>44378</v>
      </c>
      <c r="G5900">
        <v>2.39</v>
      </c>
      <c r="H5900">
        <v>83.590299999999999</v>
      </c>
      <c r="I5900">
        <v>23.26</v>
      </c>
      <c r="J5900">
        <v>93.48</v>
      </c>
      <c r="K5900" t="s">
        <v>22</v>
      </c>
      <c r="L5900">
        <v>583.98</v>
      </c>
      <c r="M5900">
        <f>VLOOKUP(K5900,RatingLookup!$A$2:$C$8,2,FALSE)</f>
        <v>5.0000000000000001E-3</v>
      </c>
      <c r="N5900">
        <f t="shared" si="276"/>
        <v>4.1762458919303302E-4</v>
      </c>
      <c r="O5900">
        <f>VLOOKUP(K5900,RatingLookup!$A$2:$C$8,3,FALSE)</f>
        <v>0.45</v>
      </c>
      <c r="P5900">
        <f t="shared" si="277"/>
        <v>0.10974798341862635</v>
      </c>
      <c r="Q5900" t="str">
        <f t="shared" ca="1" si="278"/>
        <v>No</v>
      </c>
    </row>
    <row r="5901" spans="1:17" x14ac:dyDescent="0.45">
      <c r="A5901" t="s">
        <v>233</v>
      </c>
      <c r="B5901" t="s">
        <v>234</v>
      </c>
      <c r="C5901" t="s">
        <v>85</v>
      </c>
      <c r="D5901" t="s">
        <v>188</v>
      </c>
      <c r="E5901" t="s">
        <v>21</v>
      </c>
      <c r="F5901" s="1">
        <v>44409</v>
      </c>
      <c r="G5901">
        <v>1.29</v>
      </c>
      <c r="H5901">
        <v>80.545900000000003</v>
      </c>
      <c r="I5901">
        <v>13.28</v>
      </c>
      <c r="J5901">
        <v>76.37</v>
      </c>
      <c r="K5901" t="s">
        <v>22</v>
      </c>
      <c r="L5901">
        <v>598.63</v>
      </c>
      <c r="M5901">
        <f>VLOOKUP(K5901,RatingLookup!$A$2:$C$8,2,FALSE)</f>
        <v>5.0000000000000001E-3</v>
      </c>
      <c r="N5901">
        <f t="shared" si="276"/>
        <v>4.1762458919303302E-4</v>
      </c>
      <c r="O5901">
        <f>VLOOKUP(K5901,RatingLookup!$A$2:$C$8,3,FALSE)</f>
        <v>0.45</v>
      </c>
      <c r="P5901">
        <f t="shared" si="277"/>
        <v>0.11250117352288143</v>
      </c>
      <c r="Q5901" t="str">
        <f t="shared" ca="1" si="278"/>
        <v>No</v>
      </c>
    </row>
    <row r="5902" spans="1:17" x14ac:dyDescent="0.45">
      <c r="A5902" t="s">
        <v>233</v>
      </c>
      <c r="B5902" t="s">
        <v>234</v>
      </c>
      <c r="C5902" t="s">
        <v>85</v>
      </c>
      <c r="D5902" t="s">
        <v>188</v>
      </c>
      <c r="E5902" t="s">
        <v>21</v>
      </c>
      <c r="F5902" s="1">
        <v>44440</v>
      </c>
      <c r="G5902">
        <v>2.04</v>
      </c>
      <c r="H5902">
        <v>81.783199999999994</v>
      </c>
      <c r="I5902">
        <v>20.09</v>
      </c>
      <c r="J5902">
        <v>81.900000000000006</v>
      </c>
      <c r="K5902" t="s">
        <v>22</v>
      </c>
      <c r="L5902">
        <v>595.14</v>
      </c>
      <c r="M5902">
        <f>VLOOKUP(K5902,RatingLookup!$A$2:$C$8,2,FALSE)</f>
        <v>5.0000000000000001E-3</v>
      </c>
      <c r="N5902">
        <f t="shared" si="276"/>
        <v>4.1762458919303302E-4</v>
      </c>
      <c r="O5902">
        <f>VLOOKUP(K5902,RatingLookup!$A$2:$C$8,3,FALSE)</f>
        <v>0.45</v>
      </c>
      <c r="P5902">
        <f t="shared" si="277"/>
        <v>0.11184529410555376</v>
      </c>
      <c r="Q5902" t="str">
        <f t="shared" ca="1" si="278"/>
        <v>No</v>
      </c>
    </row>
    <row r="5903" spans="1:17" x14ac:dyDescent="0.45">
      <c r="A5903" t="s">
        <v>233</v>
      </c>
      <c r="B5903" t="s">
        <v>234</v>
      </c>
      <c r="C5903" t="s">
        <v>85</v>
      </c>
      <c r="D5903" t="s">
        <v>188</v>
      </c>
      <c r="E5903" t="s">
        <v>21</v>
      </c>
      <c r="F5903" s="1">
        <v>44470</v>
      </c>
      <c r="G5903">
        <v>1.55</v>
      </c>
      <c r="H5903">
        <v>82.108699999999999</v>
      </c>
      <c r="I5903">
        <v>24.52</v>
      </c>
      <c r="J5903">
        <v>51.44</v>
      </c>
      <c r="K5903" t="s">
        <v>22</v>
      </c>
      <c r="L5903">
        <v>599.23</v>
      </c>
      <c r="M5903">
        <f>VLOOKUP(K5903,RatingLookup!$A$2:$C$8,2,FALSE)</f>
        <v>5.0000000000000001E-3</v>
      </c>
      <c r="N5903">
        <f t="shared" si="276"/>
        <v>4.1762458919303302E-4</v>
      </c>
      <c r="O5903">
        <f>VLOOKUP(K5903,RatingLookup!$A$2:$C$8,3,FALSE)</f>
        <v>0.45</v>
      </c>
      <c r="P5903">
        <f t="shared" si="277"/>
        <v>0.11261393216196354</v>
      </c>
      <c r="Q5903" t="str">
        <f t="shared" ca="1" si="278"/>
        <v>No</v>
      </c>
    </row>
    <row r="5904" spans="1:17" x14ac:dyDescent="0.45">
      <c r="A5904" t="s">
        <v>233</v>
      </c>
      <c r="B5904" t="s">
        <v>234</v>
      </c>
      <c r="C5904" t="s">
        <v>85</v>
      </c>
      <c r="D5904" t="s">
        <v>188</v>
      </c>
      <c r="E5904" t="s">
        <v>21</v>
      </c>
      <c r="F5904" s="1">
        <v>44501</v>
      </c>
      <c r="G5904">
        <v>1.84</v>
      </c>
      <c r="H5904">
        <v>79.846999999999994</v>
      </c>
      <c r="I5904">
        <v>19.05</v>
      </c>
      <c r="J5904">
        <v>67.400000000000006</v>
      </c>
      <c r="K5904" t="s">
        <v>22</v>
      </c>
      <c r="L5904">
        <v>608.74</v>
      </c>
      <c r="M5904">
        <f>VLOOKUP(K5904,RatingLookup!$A$2:$C$8,2,FALSE)</f>
        <v>5.0000000000000001E-3</v>
      </c>
      <c r="N5904">
        <f t="shared" si="276"/>
        <v>4.1762458919303302E-4</v>
      </c>
      <c r="O5904">
        <f>VLOOKUP(K5904,RatingLookup!$A$2:$C$8,3,FALSE)</f>
        <v>0.45</v>
      </c>
      <c r="P5904">
        <f t="shared" si="277"/>
        <v>0.11440115659141513</v>
      </c>
      <c r="Q5904" t="str">
        <f t="shared" ca="1" si="278"/>
        <v>No</v>
      </c>
    </row>
    <row r="5905" spans="1:17" x14ac:dyDescent="0.45">
      <c r="A5905" t="s">
        <v>233</v>
      </c>
      <c r="B5905" t="s">
        <v>234</v>
      </c>
      <c r="C5905" t="s">
        <v>85</v>
      </c>
      <c r="D5905" t="s">
        <v>188</v>
      </c>
      <c r="E5905" t="s">
        <v>21</v>
      </c>
      <c r="F5905" s="1">
        <v>44531</v>
      </c>
      <c r="G5905">
        <v>0.02</v>
      </c>
      <c r="H5905">
        <v>80.743099999999998</v>
      </c>
      <c r="I5905">
        <v>6.14</v>
      </c>
      <c r="J5905">
        <v>83.42</v>
      </c>
      <c r="K5905" t="s">
        <v>23</v>
      </c>
      <c r="L5905">
        <v>563.73</v>
      </c>
      <c r="M5905">
        <f>VLOOKUP(K5905,RatingLookup!$A$2:$C$8,2,FALSE)</f>
        <v>1E-3</v>
      </c>
      <c r="N5905">
        <f t="shared" si="276"/>
        <v>8.3371552197619714E-5</v>
      </c>
      <c r="O5905">
        <f>VLOOKUP(K5905,RatingLookup!$A$2:$C$8,3,FALSE)</f>
        <v>0.3</v>
      </c>
      <c r="P5905">
        <f t="shared" si="277"/>
        <v>1.4099713536109247E-2</v>
      </c>
      <c r="Q5905" t="str">
        <f t="shared" ca="1" si="278"/>
        <v>No</v>
      </c>
    </row>
    <row r="5906" spans="1:17" x14ac:dyDescent="0.45">
      <c r="A5906" t="s">
        <v>233</v>
      </c>
      <c r="B5906" t="s">
        <v>234</v>
      </c>
      <c r="C5906" t="s">
        <v>85</v>
      </c>
      <c r="D5906" t="s">
        <v>188</v>
      </c>
      <c r="E5906" t="s">
        <v>21</v>
      </c>
      <c r="F5906" s="1">
        <v>44562</v>
      </c>
      <c r="G5906">
        <v>1.05</v>
      </c>
      <c r="H5906">
        <v>81.597099999999998</v>
      </c>
      <c r="I5906">
        <v>27.12</v>
      </c>
      <c r="J5906">
        <v>94.93</v>
      </c>
      <c r="K5906" t="s">
        <v>23</v>
      </c>
      <c r="L5906">
        <v>571.29</v>
      </c>
      <c r="M5906">
        <f>VLOOKUP(K5906,RatingLookup!$A$2:$C$8,2,FALSE)</f>
        <v>1E-3</v>
      </c>
      <c r="N5906">
        <f t="shared" si="276"/>
        <v>8.3371552197619714E-5</v>
      </c>
      <c r="O5906">
        <f>VLOOKUP(K5906,RatingLookup!$A$2:$C$8,3,FALSE)</f>
        <v>0.3</v>
      </c>
      <c r="P5906">
        <f t="shared" si="277"/>
        <v>1.4288800216493449E-2</v>
      </c>
      <c r="Q5906" t="str">
        <f t="shared" ca="1" si="278"/>
        <v>No</v>
      </c>
    </row>
    <row r="5907" spans="1:17" x14ac:dyDescent="0.45">
      <c r="A5907" t="s">
        <v>233</v>
      </c>
      <c r="B5907" t="s">
        <v>234</v>
      </c>
      <c r="C5907" t="s">
        <v>85</v>
      </c>
      <c r="D5907" t="s">
        <v>188</v>
      </c>
      <c r="E5907" t="s">
        <v>21</v>
      </c>
      <c r="F5907" s="1">
        <v>44593</v>
      </c>
      <c r="G5907">
        <v>1.83</v>
      </c>
      <c r="H5907">
        <v>81.473200000000006</v>
      </c>
      <c r="I5907">
        <v>9.0299999999999994</v>
      </c>
      <c r="J5907">
        <v>88.82</v>
      </c>
      <c r="K5907" t="s">
        <v>23</v>
      </c>
      <c r="L5907">
        <v>583.1</v>
      </c>
      <c r="M5907">
        <f>VLOOKUP(K5907,RatingLookup!$A$2:$C$8,2,FALSE)</f>
        <v>1E-3</v>
      </c>
      <c r="N5907">
        <f t="shared" si="276"/>
        <v>8.3371552197619714E-5</v>
      </c>
      <c r="O5907">
        <f>VLOOKUP(K5907,RatingLookup!$A$2:$C$8,3,FALSE)</f>
        <v>0.3</v>
      </c>
      <c r="P5907">
        <f t="shared" si="277"/>
        <v>1.4584185625929617E-2</v>
      </c>
      <c r="Q5907" t="str">
        <f t="shared" ca="1" si="278"/>
        <v>No</v>
      </c>
    </row>
    <row r="5908" spans="1:17" x14ac:dyDescent="0.45">
      <c r="A5908" t="s">
        <v>233</v>
      </c>
      <c r="B5908" t="s">
        <v>234</v>
      </c>
      <c r="C5908" t="s">
        <v>85</v>
      </c>
      <c r="D5908" t="s">
        <v>188</v>
      </c>
      <c r="E5908" t="s">
        <v>21</v>
      </c>
      <c r="F5908" s="1">
        <v>44621</v>
      </c>
      <c r="G5908">
        <v>0.11</v>
      </c>
      <c r="H5908">
        <v>78.953999999999994</v>
      </c>
      <c r="I5908">
        <v>24</v>
      </c>
      <c r="J5908">
        <v>75.150000000000006</v>
      </c>
      <c r="K5908" t="s">
        <v>23</v>
      </c>
      <c r="L5908">
        <v>596.05999999999995</v>
      </c>
      <c r="M5908">
        <f>VLOOKUP(K5908,RatingLookup!$A$2:$C$8,2,FALSE)</f>
        <v>1E-3</v>
      </c>
      <c r="N5908">
        <f t="shared" si="276"/>
        <v>8.3371552197619714E-5</v>
      </c>
      <c r="O5908">
        <f>VLOOKUP(K5908,RatingLookup!$A$2:$C$8,3,FALSE)</f>
        <v>0.3</v>
      </c>
      <c r="P5908">
        <f t="shared" si="277"/>
        <v>1.490833422087396E-2</v>
      </c>
      <c r="Q5908" t="str">
        <f t="shared" ca="1" si="278"/>
        <v>No</v>
      </c>
    </row>
    <row r="5909" spans="1:17" x14ac:dyDescent="0.45">
      <c r="A5909" t="s">
        <v>233</v>
      </c>
      <c r="B5909" t="s">
        <v>234</v>
      </c>
      <c r="C5909" t="s">
        <v>85</v>
      </c>
      <c r="D5909" t="s">
        <v>188</v>
      </c>
      <c r="E5909" t="s">
        <v>21</v>
      </c>
      <c r="F5909" s="1">
        <v>44652</v>
      </c>
      <c r="G5909">
        <v>1.25</v>
      </c>
      <c r="H5909">
        <v>81.697999999999993</v>
      </c>
      <c r="I5909">
        <v>10.68</v>
      </c>
      <c r="J5909">
        <v>83.22</v>
      </c>
      <c r="K5909" t="s">
        <v>22</v>
      </c>
      <c r="L5909">
        <v>536.35</v>
      </c>
      <c r="M5909">
        <f>VLOOKUP(K5909,RatingLookup!$A$2:$C$8,2,FALSE)</f>
        <v>5.0000000000000001E-3</v>
      </c>
      <c r="N5909">
        <f t="shared" si="276"/>
        <v>4.1762458919303302E-4</v>
      </c>
      <c r="O5909">
        <f>VLOOKUP(K5909,RatingLookup!$A$2:$C$8,3,FALSE)</f>
        <v>0.45</v>
      </c>
      <c r="P5909">
        <f t="shared" si="277"/>
        <v>0.10079682678615748</v>
      </c>
      <c r="Q5909" t="str">
        <f t="shared" ca="1" si="278"/>
        <v>No</v>
      </c>
    </row>
    <row r="5910" spans="1:17" x14ac:dyDescent="0.45">
      <c r="A5910" t="s">
        <v>233</v>
      </c>
      <c r="B5910" t="s">
        <v>234</v>
      </c>
      <c r="C5910" t="s">
        <v>85</v>
      </c>
      <c r="D5910" t="s">
        <v>188</v>
      </c>
      <c r="E5910" t="s">
        <v>21</v>
      </c>
      <c r="F5910" s="1">
        <v>44682</v>
      </c>
      <c r="G5910">
        <v>1.61</v>
      </c>
      <c r="H5910">
        <v>82.359200000000001</v>
      </c>
      <c r="I5910">
        <v>11.73</v>
      </c>
      <c r="J5910">
        <v>69.86</v>
      </c>
      <c r="K5910" t="s">
        <v>22</v>
      </c>
      <c r="L5910">
        <v>569.71</v>
      </c>
      <c r="M5910">
        <f>VLOOKUP(K5910,RatingLookup!$A$2:$C$8,2,FALSE)</f>
        <v>5.0000000000000001E-3</v>
      </c>
      <c r="N5910">
        <f t="shared" si="276"/>
        <v>4.1762458919303302E-4</v>
      </c>
      <c r="O5910">
        <f>VLOOKUP(K5910,RatingLookup!$A$2:$C$8,3,FALSE)</f>
        <v>0.45</v>
      </c>
      <c r="P5910">
        <f t="shared" si="277"/>
        <v>0.10706620711912329</v>
      </c>
      <c r="Q5910" t="str">
        <f t="shared" ca="1" si="278"/>
        <v>No</v>
      </c>
    </row>
    <row r="5911" spans="1:17" x14ac:dyDescent="0.45">
      <c r="A5911" t="s">
        <v>233</v>
      </c>
      <c r="B5911" t="s">
        <v>234</v>
      </c>
      <c r="C5911" t="s">
        <v>85</v>
      </c>
      <c r="D5911" t="s">
        <v>188</v>
      </c>
      <c r="E5911" t="s">
        <v>21</v>
      </c>
      <c r="F5911" s="1">
        <v>44713</v>
      </c>
      <c r="G5911">
        <v>1.88</v>
      </c>
      <c r="H5911">
        <v>83.661900000000003</v>
      </c>
      <c r="I5911">
        <v>18.45</v>
      </c>
      <c r="J5911">
        <v>80.03</v>
      </c>
      <c r="K5911" t="s">
        <v>22</v>
      </c>
      <c r="L5911">
        <v>576.54</v>
      </c>
      <c r="M5911">
        <f>VLOOKUP(K5911,RatingLookup!$A$2:$C$8,2,FALSE)</f>
        <v>5.0000000000000001E-3</v>
      </c>
      <c r="N5911">
        <f t="shared" si="276"/>
        <v>4.1762458919303302E-4</v>
      </c>
      <c r="O5911">
        <f>VLOOKUP(K5911,RatingLookup!$A$2:$C$8,3,FALSE)</f>
        <v>0.45</v>
      </c>
      <c r="P5911">
        <f t="shared" si="277"/>
        <v>0.10834977629400806</v>
      </c>
      <c r="Q5911" t="str">
        <f t="shared" ca="1" si="278"/>
        <v>No</v>
      </c>
    </row>
    <row r="5912" spans="1:17" x14ac:dyDescent="0.45">
      <c r="A5912" t="s">
        <v>233</v>
      </c>
      <c r="B5912" t="s">
        <v>234</v>
      </c>
      <c r="C5912" t="s">
        <v>85</v>
      </c>
      <c r="D5912" t="s">
        <v>188</v>
      </c>
      <c r="E5912" t="s">
        <v>21</v>
      </c>
      <c r="F5912" s="1">
        <v>44743</v>
      </c>
      <c r="G5912">
        <v>2.6</v>
      </c>
      <c r="H5912">
        <v>85.770399999999995</v>
      </c>
      <c r="I5912">
        <v>17.41</v>
      </c>
      <c r="J5912">
        <v>76.03</v>
      </c>
      <c r="K5912" t="s">
        <v>22</v>
      </c>
      <c r="L5912">
        <v>535.24</v>
      </c>
      <c r="M5912">
        <f>VLOOKUP(K5912,RatingLookup!$A$2:$C$8,2,FALSE)</f>
        <v>5.0000000000000001E-3</v>
      </c>
      <c r="N5912">
        <f t="shared" si="276"/>
        <v>4.1762458919303302E-4</v>
      </c>
      <c r="O5912">
        <f>VLOOKUP(K5912,RatingLookup!$A$2:$C$8,3,FALSE)</f>
        <v>0.45</v>
      </c>
      <c r="P5912">
        <f t="shared" si="277"/>
        <v>0.10058822330385554</v>
      </c>
      <c r="Q5912" t="str">
        <f t="shared" ca="1" si="278"/>
        <v>No</v>
      </c>
    </row>
    <row r="5913" spans="1:17" x14ac:dyDescent="0.45">
      <c r="A5913" t="s">
        <v>233</v>
      </c>
      <c r="B5913" t="s">
        <v>234</v>
      </c>
      <c r="C5913" t="s">
        <v>85</v>
      </c>
      <c r="D5913" t="s">
        <v>188</v>
      </c>
      <c r="E5913" t="s">
        <v>21</v>
      </c>
      <c r="F5913" s="1">
        <v>44774</v>
      </c>
      <c r="G5913">
        <v>0.83</v>
      </c>
      <c r="H5913">
        <v>77.568899999999999</v>
      </c>
      <c r="I5913">
        <v>26.51</v>
      </c>
      <c r="J5913">
        <v>89.95</v>
      </c>
      <c r="K5913" t="s">
        <v>22</v>
      </c>
      <c r="L5913">
        <v>615.80999999999995</v>
      </c>
      <c r="M5913">
        <f>VLOOKUP(K5913,RatingLookup!$A$2:$C$8,2,FALSE)</f>
        <v>5.0000000000000001E-3</v>
      </c>
      <c r="N5913">
        <f t="shared" si="276"/>
        <v>4.1762458919303302E-4</v>
      </c>
      <c r="O5913">
        <f>VLOOKUP(K5913,RatingLookup!$A$2:$C$8,3,FALSE)</f>
        <v>0.45</v>
      </c>
      <c r="P5913">
        <f t="shared" si="277"/>
        <v>0.11572982922193274</v>
      </c>
      <c r="Q5913" t="str">
        <f t="shared" ca="1" si="278"/>
        <v>No</v>
      </c>
    </row>
    <row r="5914" spans="1:17" x14ac:dyDescent="0.45">
      <c r="A5914" t="s">
        <v>233</v>
      </c>
      <c r="B5914" t="s">
        <v>234</v>
      </c>
      <c r="C5914" t="s">
        <v>85</v>
      </c>
      <c r="D5914" t="s">
        <v>188</v>
      </c>
      <c r="E5914" t="s">
        <v>21</v>
      </c>
      <c r="F5914" s="1">
        <v>44805</v>
      </c>
      <c r="G5914">
        <v>1.39</v>
      </c>
      <c r="H5914">
        <v>81.057599999999994</v>
      </c>
      <c r="I5914">
        <v>25.45</v>
      </c>
      <c r="J5914">
        <v>75.58</v>
      </c>
      <c r="K5914" t="s">
        <v>22</v>
      </c>
      <c r="L5914">
        <v>481.25</v>
      </c>
      <c r="M5914">
        <f>VLOOKUP(K5914,RatingLookup!$A$2:$C$8,2,FALSE)</f>
        <v>5.0000000000000001E-3</v>
      </c>
      <c r="N5914">
        <f t="shared" si="276"/>
        <v>4.1762458919303302E-4</v>
      </c>
      <c r="O5914">
        <f>VLOOKUP(K5914,RatingLookup!$A$2:$C$8,3,FALSE)</f>
        <v>0.45</v>
      </c>
      <c r="P5914">
        <f t="shared" si="277"/>
        <v>9.0441825097116221E-2</v>
      </c>
      <c r="Q5914" t="str">
        <f t="shared" ca="1" si="278"/>
        <v>No</v>
      </c>
    </row>
    <row r="5915" spans="1:17" x14ac:dyDescent="0.45">
      <c r="A5915" t="s">
        <v>233</v>
      </c>
      <c r="B5915" t="s">
        <v>234</v>
      </c>
      <c r="C5915" t="s">
        <v>85</v>
      </c>
      <c r="D5915" t="s">
        <v>188</v>
      </c>
      <c r="E5915" t="s">
        <v>21</v>
      </c>
      <c r="F5915" s="1">
        <v>44835</v>
      </c>
      <c r="G5915">
        <v>1.87</v>
      </c>
      <c r="H5915">
        <v>86.808999999999997</v>
      </c>
      <c r="I5915">
        <v>31.27</v>
      </c>
      <c r="J5915">
        <v>85.24</v>
      </c>
      <c r="K5915" t="s">
        <v>22</v>
      </c>
      <c r="L5915">
        <v>623.71</v>
      </c>
      <c r="M5915">
        <f>VLOOKUP(K5915,RatingLookup!$A$2:$C$8,2,FALSE)</f>
        <v>5.0000000000000001E-3</v>
      </c>
      <c r="N5915">
        <f t="shared" si="276"/>
        <v>4.1762458919303302E-4</v>
      </c>
      <c r="O5915">
        <f>VLOOKUP(K5915,RatingLookup!$A$2:$C$8,3,FALSE)</f>
        <v>0.45</v>
      </c>
      <c r="P5915">
        <f t="shared" si="277"/>
        <v>0.11721448463651397</v>
      </c>
      <c r="Q5915" t="str">
        <f t="shared" ca="1" si="278"/>
        <v>No</v>
      </c>
    </row>
    <row r="5916" spans="1:17" x14ac:dyDescent="0.45">
      <c r="A5916" t="s">
        <v>233</v>
      </c>
      <c r="B5916" t="s">
        <v>234</v>
      </c>
      <c r="C5916" t="s">
        <v>85</v>
      </c>
      <c r="D5916" t="s">
        <v>188</v>
      </c>
      <c r="E5916" t="s">
        <v>21</v>
      </c>
      <c r="F5916" s="1">
        <v>44866</v>
      </c>
      <c r="G5916">
        <v>1.95</v>
      </c>
      <c r="H5916">
        <v>84.691500000000005</v>
      </c>
      <c r="I5916">
        <v>24.2</v>
      </c>
      <c r="J5916">
        <v>67.72</v>
      </c>
      <c r="K5916" t="s">
        <v>22</v>
      </c>
      <c r="L5916">
        <v>548.57000000000005</v>
      </c>
      <c r="M5916">
        <f>VLOOKUP(K5916,RatingLookup!$A$2:$C$8,2,FALSE)</f>
        <v>5.0000000000000001E-3</v>
      </c>
      <c r="N5916">
        <f t="shared" si="276"/>
        <v>4.1762458919303302E-4</v>
      </c>
      <c r="O5916">
        <f>VLOOKUP(K5916,RatingLookup!$A$2:$C$8,3,FALSE)</f>
        <v>0.45</v>
      </c>
      <c r="P5916">
        <f t="shared" si="277"/>
        <v>0.10309334440212997</v>
      </c>
      <c r="Q5916" t="str">
        <f t="shared" ca="1" si="278"/>
        <v>No</v>
      </c>
    </row>
    <row r="5917" spans="1:17" x14ac:dyDescent="0.45">
      <c r="A5917" t="s">
        <v>233</v>
      </c>
      <c r="B5917" t="s">
        <v>234</v>
      </c>
      <c r="C5917" t="s">
        <v>85</v>
      </c>
      <c r="D5917" t="s">
        <v>188</v>
      </c>
      <c r="E5917" t="s">
        <v>21</v>
      </c>
      <c r="F5917" s="1">
        <v>44896</v>
      </c>
      <c r="G5917">
        <v>2.11</v>
      </c>
      <c r="H5917">
        <v>81.128399999999999</v>
      </c>
      <c r="I5917">
        <v>11.84</v>
      </c>
      <c r="J5917">
        <v>75.69</v>
      </c>
      <c r="K5917" t="s">
        <v>23</v>
      </c>
      <c r="L5917">
        <v>590.16999999999996</v>
      </c>
      <c r="M5917">
        <f>VLOOKUP(K5917,RatingLookup!$A$2:$C$8,2,FALSE)</f>
        <v>1E-3</v>
      </c>
      <c r="N5917">
        <f t="shared" si="276"/>
        <v>8.3371552197619714E-5</v>
      </c>
      <c r="O5917">
        <f>VLOOKUP(K5917,RatingLookup!$A$2:$C$8,3,FALSE)</f>
        <v>0.3</v>
      </c>
      <c r="P5917">
        <f t="shared" si="277"/>
        <v>1.4761016688140767E-2</v>
      </c>
      <c r="Q5917" t="str">
        <f t="shared" ca="1" si="278"/>
        <v>No</v>
      </c>
    </row>
    <row r="5918" spans="1:17" x14ac:dyDescent="0.45">
      <c r="A5918" t="s">
        <v>233</v>
      </c>
      <c r="B5918" t="s">
        <v>234</v>
      </c>
      <c r="C5918" t="s">
        <v>85</v>
      </c>
      <c r="D5918" t="s">
        <v>188</v>
      </c>
      <c r="E5918" t="s">
        <v>21</v>
      </c>
      <c r="F5918" s="1">
        <v>44927</v>
      </c>
      <c r="G5918">
        <v>1.07</v>
      </c>
      <c r="H5918">
        <v>80.895399999999995</v>
      </c>
      <c r="I5918">
        <v>12.31</v>
      </c>
      <c r="J5918">
        <v>86.15</v>
      </c>
      <c r="K5918" t="s">
        <v>23</v>
      </c>
      <c r="L5918">
        <v>575.41999999999996</v>
      </c>
      <c r="M5918">
        <f>VLOOKUP(K5918,RatingLookup!$A$2:$C$8,2,FALSE)</f>
        <v>1E-3</v>
      </c>
      <c r="N5918">
        <f t="shared" si="276"/>
        <v>8.3371552197619714E-5</v>
      </c>
      <c r="O5918">
        <f>VLOOKUP(K5918,RatingLookup!$A$2:$C$8,3,FALSE)</f>
        <v>0.3</v>
      </c>
      <c r="P5918">
        <f t="shared" si="277"/>
        <v>1.43920975696663E-2</v>
      </c>
      <c r="Q5918" t="str">
        <f t="shared" ca="1" si="278"/>
        <v>No</v>
      </c>
    </row>
    <row r="5919" spans="1:17" x14ac:dyDescent="0.45">
      <c r="A5919" t="s">
        <v>233</v>
      </c>
      <c r="B5919" t="s">
        <v>234</v>
      </c>
      <c r="C5919" t="s">
        <v>85</v>
      </c>
      <c r="D5919" t="s">
        <v>188</v>
      </c>
      <c r="E5919" t="s">
        <v>21</v>
      </c>
      <c r="F5919" s="1">
        <v>44958</v>
      </c>
      <c r="G5919">
        <v>1.42</v>
      </c>
      <c r="H5919">
        <v>85.996899999999997</v>
      </c>
      <c r="I5919">
        <v>12.77</v>
      </c>
      <c r="J5919">
        <v>67.28</v>
      </c>
      <c r="K5919" t="s">
        <v>23</v>
      </c>
      <c r="L5919">
        <v>623.91999999999996</v>
      </c>
      <c r="M5919">
        <f>VLOOKUP(K5919,RatingLookup!$A$2:$C$8,2,FALSE)</f>
        <v>1E-3</v>
      </c>
      <c r="N5919">
        <f t="shared" si="276"/>
        <v>8.3371552197619714E-5</v>
      </c>
      <c r="O5919">
        <f>VLOOKUP(K5919,RatingLookup!$A$2:$C$8,3,FALSE)</f>
        <v>0.3</v>
      </c>
      <c r="P5919">
        <f t="shared" si="277"/>
        <v>1.5605153654141666E-2</v>
      </c>
      <c r="Q5919" t="str">
        <f t="shared" ca="1" si="278"/>
        <v>No</v>
      </c>
    </row>
    <row r="5920" spans="1:17" x14ac:dyDescent="0.45">
      <c r="A5920" t="s">
        <v>233</v>
      </c>
      <c r="B5920" t="s">
        <v>234</v>
      </c>
      <c r="C5920" t="s">
        <v>85</v>
      </c>
      <c r="D5920" t="s">
        <v>188</v>
      </c>
      <c r="E5920" t="s">
        <v>21</v>
      </c>
      <c r="F5920" s="1">
        <v>44986</v>
      </c>
      <c r="G5920">
        <v>1.94</v>
      </c>
      <c r="H5920">
        <v>80.459199999999996</v>
      </c>
      <c r="I5920">
        <v>22.68</v>
      </c>
      <c r="J5920">
        <v>82.88</v>
      </c>
      <c r="K5920" t="s">
        <v>23</v>
      </c>
      <c r="L5920">
        <v>543.47</v>
      </c>
      <c r="M5920">
        <f>VLOOKUP(K5920,RatingLookup!$A$2:$C$8,2,FALSE)</f>
        <v>1E-3</v>
      </c>
      <c r="N5920">
        <f t="shared" si="276"/>
        <v>8.3371552197619714E-5</v>
      </c>
      <c r="O5920">
        <f>VLOOKUP(K5920,RatingLookup!$A$2:$C$8,3,FALSE)</f>
        <v>0.3</v>
      </c>
      <c r="P5920">
        <f t="shared" si="277"/>
        <v>1.3592981241852115E-2</v>
      </c>
      <c r="Q5920" t="str">
        <f t="shared" ca="1" si="278"/>
        <v>No</v>
      </c>
    </row>
    <row r="5921" spans="1:17" x14ac:dyDescent="0.45">
      <c r="A5921" t="s">
        <v>233</v>
      </c>
      <c r="B5921" t="s">
        <v>234</v>
      </c>
      <c r="C5921" t="s">
        <v>85</v>
      </c>
      <c r="D5921" t="s">
        <v>188</v>
      </c>
      <c r="E5921" t="s">
        <v>21</v>
      </c>
      <c r="F5921" s="1">
        <v>45017</v>
      </c>
      <c r="G5921">
        <v>1.5</v>
      </c>
      <c r="H5921">
        <v>82.365700000000004</v>
      </c>
      <c r="I5921">
        <v>21.04</v>
      </c>
      <c r="J5921">
        <v>72.72</v>
      </c>
      <c r="K5921" t="s">
        <v>23</v>
      </c>
      <c r="L5921">
        <v>585.54</v>
      </c>
      <c r="M5921">
        <f>VLOOKUP(K5921,RatingLookup!$A$2:$C$8,2,FALSE)</f>
        <v>1E-3</v>
      </c>
      <c r="N5921">
        <f t="shared" si="276"/>
        <v>8.3371552197619714E-5</v>
      </c>
      <c r="O5921">
        <f>VLOOKUP(K5921,RatingLookup!$A$2:$C$8,3,FALSE)</f>
        <v>0.3</v>
      </c>
      <c r="P5921">
        <f t="shared" si="277"/>
        <v>1.4645213602138272E-2</v>
      </c>
      <c r="Q5921" t="str">
        <f t="shared" ca="1" si="278"/>
        <v>No</v>
      </c>
    </row>
    <row r="5922" spans="1:17" x14ac:dyDescent="0.45">
      <c r="A5922" t="s">
        <v>233</v>
      </c>
      <c r="B5922" t="s">
        <v>234</v>
      </c>
      <c r="C5922" t="s">
        <v>85</v>
      </c>
      <c r="D5922" t="s">
        <v>188</v>
      </c>
      <c r="E5922" t="s">
        <v>21</v>
      </c>
      <c r="F5922" s="1">
        <v>45047</v>
      </c>
      <c r="G5922">
        <v>1.25</v>
      </c>
      <c r="H5922">
        <v>79.205100000000002</v>
      </c>
      <c r="I5922">
        <v>19.170000000000002</v>
      </c>
      <c r="J5922">
        <v>95.2</v>
      </c>
      <c r="K5922" t="s">
        <v>23</v>
      </c>
      <c r="L5922">
        <v>569.28</v>
      </c>
      <c r="M5922">
        <f>VLOOKUP(K5922,RatingLookup!$A$2:$C$8,2,FALSE)</f>
        <v>1E-3</v>
      </c>
      <c r="N5922">
        <f t="shared" si="276"/>
        <v>8.3371552197619714E-5</v>
      </c>
      <c r="O5922">
        <f>VLOOKUP(K5922,RatingLookup!$A$2:$C$8,3,FALSE)</f>
        <v>0.3</v>
      </c>
      <c r="P5922">
        <f t="shared" si="277"/>
        <v>1.4238527170518284E-2</v>
      </c>
      <c r="Q5922" t="str">
        <f t="shared" ca="1" si="278"/>
        <v>No</v>
      </c>
    </row>
    <row r="5923" spans="1:17" x14ac:dyDescent="0.45">
      <c r="A5923" t="s">
        <v>233</v>
      </c>
      <c r="B5923" t="s">
        <v>234</v>
      </c>
      <c r="C5923" t="s">
        <v>85</v>
      </c>
      <c r="D5923" t="s">
        <v>188</v>
      </c>
      <c r="E5923" t="s">
        <v>21</v>
      </c>
      <c r="F5923" s="1">
        <v>45078</v>
      </c>
      <c r="G5923">
        <v>2.2000000000000002</v>
      </c>
      <c r="H5923">
        <v>76.8596</v>
      </c>
      <c r="I5923">
        <v>31.31</v>
      </c>
      <c r="J5923">
        <v>88.65</v>
      </c>
      <c r="K5923" t="s">
        <v>48</v>
      </c>
      <c r="L5923">
        <v>596.79999999999995</v>
      </c>
      <c r="M5923">
        <f>VLOOKUP(K5923,RatingLookup!$A$2:$C$8,2,FALSE)</f>
        <v>5.0000000000000001E-4</v>
      </c>
      <c r="N5923">
        <f t="shared" si="276"/>
        <v>4.167621832917856E-5</v>
      </c>
      <c r="O5923">
        <f>VLOOKUP(K5923,RatingLookup!$A$2:$C$8,3,FALSE)</f>
        <v>0.25</v>
      </c>
      <c r="P5923">
        <f t="shared" si="277"/>
        <v>6.2180917747134403E-3</v>
      </c>
      <c r="Q5923" t="str">
        <f t="shared" ca="1" si="278"/>
        <v>No</v>
      </c>
    </row>
    <row r="5924" spans="1:17" x14ac:dyDescent="0.45">
      <c r="A5924" t="s">
        <v>233</v>
      </c>
      <c r="B5924" t="s">
        <v>234</v>
      </c>
      <c r="C5924" t="s">
        <v>85</v>
      </c>
      <c r="D5924" t="s">
        <v>188</v>
      </c>
      <c r="E5924" t="s">
        <v>21</v>
      </c>
      <c r="F5924" s="1">
        <v>45108</v>
      </c>
      <c r="G5924">
        <v>1.48</v>
      </c>
      <c r="H5924">
        <v>84.885400000000004</v>
      </c>
      <c r="I5924">
        <v>26.2</v>
      </c>
      <c r="J5924">
        <v>70.17</v>
      </c>
      <c r="K5924" t="s">
        <v>23</v>
      </c>
      <c r="L5924">
        <v>584.97</v>
      </c>
      <c r="M5924">
        <f>VLOOKUP(K5924,RatingLookup!$A$2:$C$8,2,FALSE)</f>
        <v>1E-3</v>
      </c>
      <c r="N5924">
        <f t="shared" si="276"/>
        <v>8.3371552197619714E-5</v>
      </c>
      <c r="O5924">
        <f>VLOOKUP(K5924,RatingLookup!$A$2:$C$8,3,FALSE)</f>
        <v>0.3</v>
      </c>
      <c r="P5924">
        <f t="shared" si="277"/>
        <v>1.4630957066712481E-2</v>
      </c>
      <c r="Q5924" t="str">
        <f t="shared" ca="1" si="278"/>
        <v>No</v>
      </c>
    </row>
    <row r="5925" spans="1:17" x14ac:dyDescent="0.45">
      <c r="A5925" t="s">
        <v>233</v>
      </c>
      <c r="B5925" t="s">
        <v>234</v>
      </c>
      <c r="C5925" t="s">
        <v>85</v>
      </c>
      <c r="D5925" t="s">
        <v>188</v>
      </c>
      <c r="E5925" t="s">
        <v>21</v>
      </c>
      <c r="F5925" s="1">
        <v>45139</v>
      </c>
      <c r="G5925">
        <v>1.1000000000000001</v>
      </c>
      <c r="H5925">
        <v>81.161199999999994</v>
      </c>
      <c r="I5925">
        <v>19.53</v>
      </c>
      <c r="J5925">
        <v>89.25</v>
      </c>
      <c r="K5925" t="s">
        <v>23</v>
      </c>
      <c r="L5925">
        <v>546.34</v>
      </c>
      <c r="M5925">
        <f>VLOOKUP(K5925,RatingLookup!$A$2:$C$8,2,FALSE)</f>
        <v>1E-3</v>
      </c>
      <c r="N5925">
        <f t="shared" si="276"/>
        <v>8.3371552197619714E-5</v>
      </c>
      <c r="O5925">
        <f>VLOOKUP(K5925,RatingLookup!$A$2:$C$8,3,FALSE)</f>
        <v>0.3</v>
      </c>
      <c r="P5925">
        <f t="shared" si="277"/>
        <v>1.3664764148294267E-2</v>
      </c>
      <c r="Q5925" t="str">
        <f t="shared" ca="1" si="278"/>
        <v>No</v>
      </c>
    </row>
    <row r="5926" spans="1:17" x14ac:dyDescent="0.45">
      <c r="A5926" t="s">
        <v>233</v>
      </c>
      <c r="B5926" t="s">
        <v>234</v>
      </c>
      <c r="C5926" t="s">
        <v>85</v>
      </c>
      <c r="D5926" t="s">
        <v>188</v>
      </c>
      <c r="E5926" t="s">
        <v>21</v>
      </c>
      <c r="F5926" s="1">
        <v>45170</v>
      </c>
      <c r="G5926">
        <v>1.41</v>
      </c>
      <c r="H5926">
        <v>80.764399999999995</v>
      </c>
      <c r="I5926">
        <v>22.66</v>
      </c>
      <c r="J5926">
        <v>84.75</v>
      </c>
      <c r="K5926" t="s">
        <v>23</v>
      </c>
      <c r="L5926">
        <v>623.01</v>
      </c>
      <c r="M5926">
        <f>VLOOKUP(K5926,RatingLookup!$A$2:$C$8,2,FALSE)</f>
        <v>1E-3</v>
      </c>
      <c r="N5926">
        <f t="shared" si="276"/>
        <v>8.3371552197619714E-5</v>
      </c>
      <c r="O5926">
        <f>VLOOKUP(K5926,RatingLookup!$A$2:$C$8,3,FALSE)</f>
        <v>0.3</v>
      </c>
      <c r="P5926">
        <f t="shared" si="277"/>
        <v>1.5582393220391715E-2</v>
      </c>
      <c r="Q5926" t="str">
        <f t="shared" ca="1" si="278"/>
        <v>No</v>
      </c>
    </row>
    <row r="5927" spans="1:17" x14ac:dyDescent="0.45">
      <c r="A5927" t="s">
        <v>233</v>
      </c>
      <c r="B5927" t="s">
        <v>234</v>
      </c>
      <c r="C5927" t="s">
        <v>85</v>
      </c>
      <c r="D5927" t="s">
        <v>188</v>
      </c>
      <c r="E5927" t="s">
        <v>21</v>
      </c>
      <c r="F5927" s="1">
        <v>45200</v>
      </c>
      <c r="G5927">
        <v>0.75</v>
      </c>
      <c r="H5927">
        <v>82.994299999999996</v>
      </c>
      <c r="I5927">
        <v>5</v>
      </c>
      <c r="J5927">
        <v>78.84</v>
      </c>
      <c r="K5927" t="s">
        <v>22</v>
      </c>
      <c r="L5927">
        <v>582.78</v>
      </c>
      <c r="M5927">
        <f>VLOOKUP(K5927,RatingLookup!$A$2:$C$8,2,FALSE)</f>
        <v>5.0000000000000001E-3</v>
      </c>
      <c r="N5927">
        <f t="shared" si="276"/>
        <v>4.1762458919303302E-4</v>
      </c>
      <c r="O5927">
        <f>VLOOKUP(K5927,RatingLookup!$A$2:$C$8,3,FALSE)</f>
        <v>0.45</v>
      </c>
      <c r="P5927">
        <f t="shared" si="277"/>
        <v>0.10952246614046211</v>
      </c>
      <c r="Q5927" t="str">
        <f t="shared" ca="1" si="278"/>
        <v>No</v>
      </c>
    </row>
    <row r="5928" spans="1:17" x14ac:dyDescent="0.45">
      <c r="A5928" t="s">
        <v>233</v>
      </c>
      <c r="B5928" t="s">
        <v>234</v>
      </c>
      <c r="C5928" t="s">
        <v>85</v>
      </c>
      <c r="D5928" t="s">
        <v>188</v>
      </c>
      <c r="E5928" t="s">
        <v>21</v>
      </c>
      <c r="F5928" s="1">
        <v>45231</v>
      </c>
      <c r="G5928">
        <v>1.8</v>
      </c>
      <c r="H5928">
        <v>81.254999999999995</v>
      </c>
      <c r="I5928">
        <v>28.8</v>
      </c>
      <c r="J5928">
        <v>80.05</v>
      </c>
      <c r="K5928" t="s">
        <v>22</v>
      </c>
      <c r="L5928">
        <v>634.19000000000005</v>
      </c>
      <c r="M5928">
        <f>VLOOKUP(K5928,RatingLookup!$A$2:$C$8,2,FALSE)</f>
        <v>5.0000000000000001E-3</v>
      </c>
      <c r="N5928">
        <f t="shared" si="276"/>
        <v>4.1762458919303302E-4</v>
      </c>
      <c r="O5928">
        <f>VLOOKUP(K5928,RatingLookup!$A$2:$C$8,3,FALSE)</f>
        <v>0.45</v>
      </c>
      <c r="P5928">
        <f t="shared" si="277"/>
        <v>0.11918400219914833</v>
      </c>
      <c r="Q5928" t="str">
        <f t="shared" ca="1" si="278"/>
        <v>No</v>
      </c>
    </row>
    <row r="5929" spans="1:17" x14ac:dyDescent="0.45">
      <c r="A5929" t="s">
        <v>233</v>
      </c>
      <c r="B5929" t="s">
        <v>234</v>
      </c>
      <c r="C5929" t="s">
        <v>85</v>
      </c>
      <c r="D5929" t="s">
        <v>188</v>
      </c>
      <c r="E5929" t="s">
        <v>21</v>
      </c>
      <c r="F5929" s="1">
        <v>45261</v>
      </c>
      <c r="G5929">
        <v>2.0299999999999998</v>
      </c>
      <c r="H5929">
        <v>80.448999999999998</v>
      </c>
      <c r="I5929">
        <v>25.3</v>
      </c>
      <c r="J5929">
        <v>88.38</v>
      </c>
      <c r="K5929" t="s">
        <v>22</v>
      </c>
      <c r="L5929">
        <v>598</v>
      </c>
      <c r="M5929">
        <f>VLOOKUP(K5929,RatingLookup!$A$2:$C$8,2,FALSE)</f>
        <v>5.0000000000000001E-3</v>
      </c>
      <c r="N5929">
        <f t="shared" si="276"/>
        <v>4.1762458919303302E-4</v>
      </c>
      <c r="O5929">
        <f>VLOOKUP(K5929,RatingLookup!$A$2:$C$8,3,FALSE)</f>
        <v>0.45</v>
      </c>
      <c r="P5929">
        <f t="shared" si="277"/>
        <v>0.11238277695184519</v>
      </c>
      <c r="Q5929" t="str">
        <f t="shared" ca="1" si="278"/>
        <v>No</v>
      </c>
    </row>
    <row r="5930" spans="1:17" x14ac:dyDescent="0.45">
      <c r="A5930" t="s">
        <v>233</v>
      </c>
      <c r="B5930" t="s">
        <v>234</v>
      </c>
      <c r="C5930" t="s">
        <v>85</v>
      </c>
      <c r="D5930" t="s">
        <v>188</v>
      </c>
      <c r="E5930" t="s">
        <v>21</v>
      </c>
      <c r="F5930" s="1">
        <v>45292</v>
      </c>
      <c r="G5930">
        <v>2.1</v>
      </c>
      <c r="H5930">
        <v>81.936300000000003</v>
      </c>
      <c r="I5930">
        <v>22.6</v>
      </c>
      <c r="J5930">
        <v>76.430000000000007</v>
      </c>
      <c r="K5930" t="s">
        <v>22</v>
      </c>
      <c r="L5930">
        <v>580.37</v>
      </c>
      <c r="M5930">
        <f>VLOOKUP(K5930,RatingLookup!$A$2:$C$8,2,FALSE)</f>
        <v>5.0000000000000001E-3</v>
      </c>
      <c r="N5930">
        <f t="shared" si="276"/>
        <v>4.1762458919303302E-4</v>
      </c>
      <c r="O5930">
        <f>VLOOKUP(K5930,RatingLookup!$A$2:$C$8,3,FALSE)</f>
        <v>0.45</v>
      </c>
      <c r="P5930">
        <f t="shared" si="277"/>
        <v>0.10906955227348226</v>
      </c>
      <c r="Q5930" t="str">
        <f t="shared" ca="1" si="278"/>
        <v>No</v>
      </c>
    </row>
    <row r="5931" spans="1:17" x14ac:dyDescent="0.45">
      <c r="A5931" t="s">
        <v>233</v>
      </c>
      <c r="B5931" t="s">
        <v>234</v>
      </c>
      <c r="C5931" t="s">
        <v>85</v>
      </c>
      <c r="D5931" t="s">
        <v>188</v>
      </c>
      <c r="E5931" t="s">
        <v>21</v>
      </c>
      <c r="F5931" s="1">
        <v>45323</v>
      </c>
      <c r="G5931">
        <v>1.76</v>
      </c>
      <c r="H5931">
        <v>82.636200000000002</v>
      </c>
      <c r="I5931">
        <v>12.1</v>
      </c>
      <c r="J5931">
        <v>76.8</v>
      </c>
      <c r="K5931" t="s">
        <v>22</v>
      </c>
      <c r="L5931">
        <v>608.59</v>
      </c>
      <c r="M5931">
        <f>VLOOKUP(K5931,RatingLookup!$A$2:$C$8,2,FALSE)</f>
        <v>5.0000000000000001E-3</v>
      </c>
      <c r="N5931">
        <f t="shared" si="276"/>
        <v>4.1762458919303302E-4</v>
      </c>
      <c r="O5931">
        <f>VLOOKUP(K5931,RatingLookup!$A$2:$C$8,3,FALSE)</f>
        <v>0.45</v>
      </c>
      <c r="P5931">
        <f t="shared" si="277"/>
        <v>0.1143729669316446</v>
      </c>
      <c r="Q5931" t="str">
        <f t="shared" ca="1" si="278"/>
        <v>No</v>
      </c>
    </row>
    <row r="5932" spans="1:17" x14ac:dyDescent="0.45">
      <c r="A5932" t="s">
        <v>233</v>
      </c>
      <c r="B5932" t="s">
        <v>234</v>
      </c>
      <c r="C5932" t="s">
        <v>85</v>
      </c>
      <c r="D5932" t="s">
        <v>188</v>
      </c>
      <c r="E5932" t="s">
        <v>21</v>
      </c>
      <c r="F5932" s="1">
        <v>45352</v>
      </c>
      <c r="G5932">
        <v>1.43</v>
      </c>
      <c r="H5932">
        <v>82.596100000000007</v>
      </c>
      <c r="I5932">
        <v>5.56</v>
      </c>
      <c r="J5932">
        <v>74.099999999999994</v>
      </c>
      <c r="K5932" t="s">
        <v>22</v>
      </c>
      <c r="L5932">
        <v>563.53</v>
      </c>
      <c r="M5932">
        <f>VLOOKUP(K5932,RatingLookup!$A$2:$C$8,2,FALSE)</f>
        <v>5.0000000000000001E-3</v>
      </c>
      <c r="N5932">
        <f t="shared" si="276"/>
        <v>4.1762458919303302E-4</v>
      </c>
      <c r="O5932">
        <f>VLOOKUP(K5932,RatingLookup!$A$2:$C$8,3,FALSE)</f>
        <v>0.45</v>
      </c>
      <c r="P5932">
        <f t="shared" si="277"/>
        <v>0.10590479313657745</v>
      </c>
      <c r="Q5932" t="str">
        <f t="shared" ca="1" si="278"/>
        <v>No</v>
      </c>
    </row>
    <row r="5933" spans="1:17" x14ac:dyDescent="0.45">
      <c r="A5933" t="s">
        <v>233</v>
      </c>
      <c r="B5933" t="s">
        <v>234</v>
      </c>
      <c r="C5933" t="s">
        <v>85</v>
      </c>
      <c r="D5933" t="s">
        <v>188</v>
      </c>
      <c r="E5933" t="s">
        <v>21</v>
      </c>
      <c r="F5933" s="1">
        <v>45383</v>
      </c>
      <c r="G5933">
        <v>1.26</v>
      </c>
      <c r="H5933">
        <v>86.778599999999997</v>
      </c>
      <c r="I5933">
        <v>22.95</v>
      </c>
      <c r="J5933">
        <v>81.84</v>
      </c>
      <c r="K5933" t="s">
        <v>22</v>
      </c>
      <c r="L5933">
        <v>660.37</v>
      </c>
      <c r="M5933">
        <f>VLOOKUP(K5933,RatingLookup!$A$2:$C$8,2,FALSE)</f>
        <v>5.0000000000000001E-3</v>
      </c>
      <c r="N5933">
        <f t="shared" si="276"/>
        <v>4.1762458919303302E-4</v>
      </c>
      <c r="O5933">
        <f>VLOOKUP(K5933,RatingLookup!$A$2:$C$8,3,FALSE)</f>
        <v>0.45</v>
      </c>
      <c r="P5933">
        <f t="shared" si="277"/>
        <v>0.12410403748443144</v>
      </c>
      <c r="Q5933" t="str">
        <f t="shared" ca="1" si="278"/>
        <v>No</v>
      </c>
    </row>
    <row r="5934" spans="1:17" x14ac:dyDescent="0.45">
      <c r="A5934" t="s">
        <v>233</v>
      </c>
      <c r="B5934" t="s">
        <v>234</v>
      </c>
      <c r="C5934" t="s">
        <v>85</v>
      </c>
      <c r="D5934" t="s">
        <v>188</v>
      </c>
      <c r="E5934" t="s">
        <v>21</v>
      </c>
      <c r="F5934" s="1">
        <v>45413</v>
      </c>
      <c r="G5934">
        <v>0.4</v>
      </c>
      <c r="H5934">
        <v>77.235600000000005</v>
      </c>
      <c r="I5934">
        <v>13.76</v>
      </c>
      <c r="J5934">
        <v>74.53</v>
      </c>
      <c r="K5934" t="s">
        <v>22</v>
      </c>
      <c r="L5934">
        <v>648.11</v>
      </c>
      <c r="M5934">
        <f>VLOOKUP(K5934,RatingLookup!$A$2:$C$8,2,FALSE)</f>
        <v>5.0000000000000001E-3</v>
      </c>
      <c r="N5934">
        <f t="shared" si="276"/>
        <v>4.1762458919303302E-4</v>
      </c>
      <c r="O5934">
        <f>VLOOKUP(K5934,RatingLookup!$A$2:$C$8,3,FALSE)</f>
        <v>0.45</v>
      </c>
      <c r="P5934">
        <f t="shared" si="277"/>
        <v>0.12180000262585348</v>
      </c>
      <c r="Q5934" t="str">
        <f t="shared" ca="1" si="278"/>
        <v>No</v>
      </c>
    </row>
    <row r="5935" spans="1:17" x14ac:dyDescent="0.45">
      <c r="A5935" t="s">
        <v>233</v>
      </c>
      <c r="B5935" t="s">
        <v>234</v>
      </c>
      <c r="C5935" t="s">
        <v>85</v>
      </c>
      <c r="D5935" t="s">
        <v>188</v>
      </c>
      <c r="E5935" t="s">
        <v>21</v>
      </c>
      <c r="F5935" s="1">
        <v>45444</v>
      </c>
      <c r="G5935">
        <v>2.2200000000000002</v>
      </c>
      <c r="H5935">
        <v>82.588300000000004</v>
      </c>
      <c r="I5935">
        <v>16.61</v>
      </c>
      <c r="J5935">
        <v>102.35</v>
      </c>
      <c r="K5935" t="s">
        <v>22</v>
      </c>
      <c r="L5935">
        <v>582.17999999999995</v>
      </c>
      <c r="M5935">
        <f>VLOOKUP(K5935,RatingLookup!$A$2:$C$8,2,FALSE)</f>
        <v>5.0000000000000001E-3</v>
      </c>
      <c r="N5935">
        <f t="shared" si="276"/>
        <v>4.1762458919303302E-4</v>
      </c>
      <c r="O5935">
        <f>VLOOKUP(K5935,RatingLookup!$A$2:$C$8,3,FALSE)</f>
        <v>0.45</v>
      </c>
      <c r="P5935">
        <f t="shared" si="277"/>
        <v>0.10940970750137997</v>
      </c>
      <c r="Q5935" t="str">
        <f t="shared" ca="1" si="278"/>
        <v>No</v>
      </c>
    </row>
    <row r="5936" spans="1:17" x14ac:dyDescent="0.45">
      <c r="A5936" t="s">
        <v>233</v>
      </c>
      <c r="B5936" t="s">
        <v>234</v>
      </c>
      <c r="C5936" t="s">
        <v>85</v>
      </c>
      <c r="D5936" t="s">
        <v>188</v>
      </c>
      <c r="E5936" t="s">
        <v>21</v>
      </c>
      <c r="F5936" s="1">
        <v>45474</v>
      </c>
      <c r="G5936">
        <v>0.92</v>
      </c>
      <c r="H5936">
        <v>84.474500000000006</v>
      </c>
      <c r="I5936">
        <v>20.82</v>
      </c>
      <c r="J5936">
        <v>72.989999999999995</v>
      </c>
      <c r="K5936" t="s">
        <v>22</v>
      </c>
      <c r="L5936">
        <v>591.27</v>
      </c>
      <c r="M5936">
        <f>VLOOKUP(K5936,RatingLookup!$A$2:$C$8,2,FALSE)</f>
        <v>5.0000000000000001E-3</v>
      </c>
      <c r="N5936">
        <f t="shared" si="276"/>
        <v>4.1762458919303302E-4</v>
      </c>
      <c r="O5936">
        <f>VLOOKUP(K5936,RatingLookup!$A$2:$C$8,3,FALSE)</f>
        <v>0.45</v>
      </c>
      <c r="P5936">
        <f t="shared" si="277"/>
        <v>0.11111800088347408</v>
      </c>
      <c r="Q5936" t="str">
        <f t="shared" ca="1" si="278"/>
        <v>No</v>
      </c>
    </row>
    <row r="5937" spans="1:17" x14ac:dyDescent="0.45">
      <c r="A5937" t="s">
        <v>233</v>
      </c>
      <c r="B5937" t="s">
        <v>234</v>
      </c>
      <c r="C5937" t="s">
        <v>85</v>
      </c>
      <c r="D5937" t="s">
        <v>188</v>
      </c>
      <c r="E5937" t="s">
        <v>21</v>
      </c>
      <c r="F5937" s="1">
        <v>45505</v>
      </c>
      <c r="G5937">
        <v>0.99</v>
      </c>
      <c r="H5937">
        <v>82.921000000000006</v>
      </c>
      <c r="I5937">
        <v>15.57</v>
      </c>
      <c r="J5937">
        <v>83.64</v>
      </c>
      <c r="K5937" t="s">
        <v>22</v>
      </c>
      <c r="L5937">
        <v>628.92999999999995</v>
      </c>
      <c r="M5937">
        <f>VLOOKUP(K5937,RatingLookup!$A$2:$C$8,2,FALSE)</f>
        <v>5.0000000000000001E-3</v>
      </c>
      <c r="N5937">
        <f t="shared" si="276"/>
        <v>4.1762458919303302E-4</v>
      </c>
      <c r="O5937">
        <f>VLOOKUP(K5937,RatingLookup!$A$2:$C$8,3,FALSE)</f>
        <v>0.45</v>
      </c>
      <c r="P5937">
        <f t="shared" si="277"/>
        <v>0.11819548479652842</v>
      </c>
      <c r="Q5937" t="str">
        <f t="shared" ca="1" si="278"/>
        <v>No</v>
      </c>
    </row>
    <row r="5938" spans="1:17" x14ac:dyDescent="0.45">
      <c r="A5938" t="s">
        <v>233</v>
      </c>
      <c r="B5938" t="s">
        <v>234</v>
      </c>
      <c r="C5938" t="s">
        <v>85</v>
      </c>
      <c r="D5938" t="s">
        <v>188</v>
      </c>
      <c r="E5938" t="s">
        <v>21</v>
      </c>
      <c r="F5938" s="1">
        <v>45536</v>
      </c>
      <c r="G5938">
        <v>1.91</v>
      </c>
      <c r="H5938">
        <v>83.705500000000001</v>
      </c>
      <c r="I5938">
        <v>25.38</v>
      </c>
      <c r="J5938">
        <v>79.040000000000006</v>
      </c>
      <c r="K5938" t="s">
        <v>23</v>
      </c>
      <c r="L5938">
        <v>576.88</v>
      </c>
      <c r="M5938">
        <f>VLOOKUP(K5938,RatingLookup!$A$2:$C$8,2,FALSE)</f>
        <v>1E-3</v>
      </c>
      <c r="N5938">
        <f t="shared" si="276"/>
        <v>8.3371552197619714E-5</v>
      </c>
      <c r="O5938">
        <f>VLOOKUP(K5938,RatingLookup!$A$2:$C$8,3,FALSE)</f>
        <v>0.3</v>
      </c>
      <c r="P5938">
        <f t="shared" si="277"/>
        <v>1.4428614309528858E-2</v>
      </c>
      <c r="Q5938" t="str">
        <f t="shared" ca="1" si="278"/>
        <v>No</v>
      </c>
    </row>
    <row r="5939" spans="1:17" x14ac:dyDescent="0.45">
      <c r="A5939" t="s">
        <v>233</v>
      </c>
      <c r="B5939" t="s">
        <v>234</v>
      </c>
      <c r="C5939" t="s">
        <v>85</v>
      </c>
      <c r="D5939" t="s">
        <v>188</v>
      </c>
      <c r="E5939" t="s">
        <v>21</v>
      </c>
      <c r="F5939" s="1">
        <v>45566</v>
      </c>
      <c r="G5939">
        <v>1.59</v>
      </c>
      <c r="H5939">
        <v>82.480999999999995</v>
      </c>
      <c r="I5939">
        <v>28.68</v>
      </c>
      <c r="J5939">
        <v>68.55</v>
      </c>
      <c r="K5939" t="s">
        <v>23</v>
      </c>
      <c r="L5939">
        <v>596.95000000000005</v>
      </c>
      <c r="M5939">
        <f>VLOOKUP(K5939,RatingLookup!$A$2:$C$8,2,FALSE)</f>
        <v>1E-3</v>
      </c>
      <c r="N5939">
        <f t="shared" si="276"/>
        <v>8.3371552197619714E-5</v>
      </c>
      <c r="O5939">
        <f>VLOOKUP(K5939,RatingLookup!$A$2:$C$8,3,FALSE)</f>
        <v>0.3</v>
      </c>
      <c r="P5939">
        <f t="shared" si="277"/>
        <v>1.4930594425310728E-2</v>
      </c>
      <c r="Q5939" t="str">
        <f t="shared" ca="1" si="278"/>
        <v>No</v>
      </c>
    </row>
    <row r="5940" spans="1:17" x14ac:dyDescent="0.45">
      <c r="A5940" t="s">
        <v>233</v>
      </c>
      <c r="B5940" t="s">
        <v>234</v>
      </c>
      <c r="C5940" t="s">
        <v>85</v>
      </c>
      <c r="D5940" t="s">
        <v>188</v>
      </c>
      <c r="E5940" t="s">
        <v>21</v>
      </c>
      <c r="F5940" s="1">
        <v>45597</v>
      </c>
      <c r="G5940">
        <v>2.1800000000000002</v>
      </c>
      <c r="H5940">
        <v>82.001099999999994</v>
      </c>
      <c r="I5940">
        <v>25.11</v>
      </c>
      <c r="J5940">
        <v>79.95</v>
      </c>
      <c r="K5940" t="s">
        <v>23</v>
      </c>
      <c r="L5940">
        <v>601.91999999999996</v>
      </c>
      <c r="M5940">
        <f>VLOOKUP(K5940,RatingLookup!$A$2:$C$8,2,FALSE)</f>
        <v>1E-3</v>
      </c>
      <c r="N5940">
        <f t="shared" si="276"/>
        <v>8.3371552197619714E-5</v>
      </c>
      <c r="O5940">
        <f>VLOOKUP(K5940,RatingLookup!$A$2:$C$8,3,FALSE)</f>
        <v>0.3</v>
      </c>
      <c r="P5940">
        <f t="shared" si="277"/>
        <v>1.5054901409637377E-2</v>
      </c>
      <c r="Q5940" t="str">
        <f t="shared" ca="1" si="278"/>
        <v>No</v>
      </c>
    </row>
    <row r="5941" spans="1:17" x14ac:dyDescent="0.45">
      <c r="A5941" t="s">
        <v>233</v>
      </c>
      <c r="B5941" t="s">
        <v>234</v>
      </c>
      <c r="C5941" t="s">
        <v>85</v>
      </c>
      <c r="D5941" t="s">
        <v>188</v>
      </c>
      <c r="E5941" t="s">
        <v>21</v>
      </c>
      <c r="F5941" s="1">
        <v>45627</v>
      </c>
      <c r="G5941">
        <v>0.7</v>
      </c>
      <c r="H5941">
        <v>86.316199999999995</v>
      </c>
      <c r="I5941">
        <v>28.38</v>
      </c>
      <c r="J5941">
        <v>68.400000000000006</v>
      </c>
      <c r="K5941" t="s">
        <v>23</v>
      </c>
      <c r="L5941">
        <v>656.68</v>
      </c>
      <c r="M5941">
        <f>VLOOKUP(K5941,RatingLookup!$A$2:$C$8,2,FALSE)</f>
        <v>1E-3</v>
      </c>
      <c r="N5941">
        <f t="shared" si="276"/>
        <v>8.3371552197619714E-5</v>
      </c>
      <c r="O5941">
        <f>VLOOKUP(K5941,RatingLookup!$A$2:$C$8,3,FALSE)</f>
        <v>0.3</v>
      </c>
      <c r="P5941">
        <f t="shared" si="277"/>
        <v>1.6424529269139874E-2</v>
      </c>
      <c r="Q5941" t="str">
        <f t="shared" ca="1" si="278"/>
        <v>No</v>
      </c>
    </row>
    <row r="5942" spans="1:17" x14ac:dyDescent="0.45">
      <c r="A5942" t="s">
        <v>235</v>
      </c>
      <c r="B5942" t="s">
        <v>236</v>
      </c>
      <c r="C5942" t="s">
        <v>29</v>
      </c>
      <c r="D5942" t="s">
        <v>188</v>
      </c>
      <c r="E5942" t="s">
        <v>21</v>
      </c>
      <c r="F5942" s="1">
        <v>43831</v>
      </c>
      <c r="G5942">
        <v>1.44</v>
      </c>
      <c r="H5942">
        <v>81.244799999999998</v>
      </c>
      <c r="I5942">
        <v>24.53</v>
      </c>
      <c r="J5942">
        <v>82.47</v>
      </c>
      <c r="K5942" t="s">
        <v>31</v>
      </c>
      <c r="L5942">
        <v>578.35</v>
      </c>
      <c r="M5942">
        <f>VLOOKUP(K5942,RatingLookup!$A$2:$C$8,2,FALSE)</f>
        <v>0.04</v>
      </c>
      <c r="N5942">
        <f t="shared" si="276"/>
        <v>3.3960531989175591E-3</v>
      </c>
      <c r="O5942">
        <f>VLOOKUP(K5942,RatingLookup!$A$2:$C$8,3,FALSE)</f>
        <v>0.6</v>
      </c>
      <c r="P5942">
        <f t="shared" si="277"/>
        <v>1.1784644205563821</v>
      </c>
      <c r="Q5942" t="str">
        <f t="shared" ca="1" si="278"/>
        <v>No</v>
      </c>
    </row>
    <row r="5943" spans="1:17" x14ac:dyDescent="0.45">
      <c r="A5943" t="s">
        <v>235</v>
      </c>
      <c r="B5943" t="s">
        <v>236</v>
      </c>
      <c r="C5943" t="s">
        <v>29</v>
      </c>
      <c r="D5943" t="s">
        <v>188</v>
      </c>
      <c r="E5943" t="s">
        <v>21</v>
      </c>
      <c r="F5943" s="1">
        <v>43862</v>
      </c>
      <c r="G5943">
        <v>2.38</v>
      </c>
      <c r="H5943">
        <v>81.147199999999998</v>
      </c>
      <c r="I5943">
        <v>19.34</v>
      </c>
      <c r="J5943">
        <v>72.260000000000005</v>
      </c>
      <c r="K5943" t="s">
        <v>31</v>
      </c>
      <c r="L5943">
        <v>660.85</v>
      </c>
      <c r="M5943">
        <f>VLOOKUP(K5943,RatingLookup!$A$2:$C$8,2,FALSE)</f>
        <v>0.04</v>
      </c>
      <c r="N5943">
        <f t="shared" si="276"/>
        <v>3.3960531989175591E-3</v>
      </c>
      <c r="O5943">
        <f>VLOOKUP(K5943,RatingLookup!$A$2:$C$8,3,FALSE)</f>
        <v>0.6</v>
      </c>
      <c r="P5943">
        <f t="shared" si="277"/>
        <v>1.3465690539028015</v>
      </c>
      <c r="Q5943" t="str">
        <f t="shared" ca="1" si="278"/>
        <v>No</v>
      </c>
    </row>
    <row r="5944" spans="1:17" x14ac:dyDescent="0.45">
      <c r="A5944" t="s">
        <v>235</v>
      </c>
      <c r="B5944" t="s">
        <v>236</v>
      </c>
      <c r="C5944" t="s">
        <v>29</v>
      </c>
      <c r="D5944" t="s">
        <v>188</v>
      </c>
      <c r="E5944" t="s">
        <v>21</v>
      </c>
      <c r="F5944" s="1">
        <v>43891</v>
      </c>
      <c r="G5944">
        <v>2.19</v>
      </c>
      <c r="H5944">
        <v>81.426699999999997</v>
      </c>
      <c r="I5944">
        <v>21.35</v>
      </c>
      <c r="J5944">
        <v>57.63</v>
      </c>
      <c r="K5944" t="s">
        <v>31</v>
      </c>
      <c r="L5944">
        <v>599.71</v>
      </c>
      <c r="M5944">
        <f>VLOOKUP(K5944,RatingLookup!$A$2:$C$8,2,FALSE)</f>
        <v>0.04</v>
      </c>
      <c r="N5944">
        <f t="shared" si="276"/>
        <v>3.3960531989175591E-3</v>
      </c>
      <c r="O5944">
        <f>VLOOKUP(K5944,RatingLookup!$A$2:$C$8,3,FALSE)</f>
        <v>0.6</v>
      </c>
      <c r="P5944">
        <f t="shared" si="277"/>
        <v>1.2219882383537097</v>
      </c>
      <c r="Q5944" t="str">
        <f t="shared" ca="1" si="278"/>
        <v>No</v>
      </c>
    </row>
    <row r="5945" spans="1:17" x14ac:dyDescent="0.45">
      <c r="A5945" t="s">
        <v>235</v>
      </c>
      <c r="B5945" t="s">
        <v>236</v>
      </c>
      <c r="C5945" t="s">
        <v>29</v>
      </c>
      <c r="D5945" t="s">
        <v>188</v>
      </c>
      <c r="E5945" t="s">
        <v>21</v>
      </c>
      <c r="F5945" s="1">
        <v>43922</v>
      </c>
      <c r="G5945">
        <v>1.74</v>
      </c>
      <c r="H5945">
        <v>80.675399999999996</v>
      </c>
      <c r="I5945">
        <v>20.58</v>
      </c>
      <c r="J5945">
        <v>74.16</v>
      </c>
      <c r="K5945" t="s">
        <v>32</v>
      </c>
      <c r="L5945">
        <v>646.99</v>
      </c>
      <c r="M5945">
        <f>VLOOKUP(K5945,RatingLookup!$A$2:$C$8,2,FALSE)</f>
        <v>0.12</v>
      </c>
      <c r="N5945">
        <f t="shared" si="276"/>
        <v>1.0596241035318976E-2</v>
      </c>
      <c r="O5945">
        <f>VLOOKUP(K5945,RatingLookup!$A$2:$C$8,3,FALSE)</f>
        <v>0.7</v>
      </c>
      <c r="P5945">
        <f t="shared" si="277"/>
        <v>4.7989633912087166</v>
      </c>
      <c r="Q5945" t="str">
        <f t="shared" ca="1" si="278"/>
        <v>No</v>
      </c>
    </row>
    <row r="5946" spans="1:17" x14ac:dyDescent="0.45">
      <c r="A5946" t="s">
        <v>235</v>
      </c>
      <c r="B5946" t="s">
        <v>236</v>
      </c>
      <c r="C5946" t="s">
        <v>29</v>
      </c>
      <c r="D5946" t="s">
        <v>188</v>
      </c>
      <c r="E5946" t="s">
        <v>21</v>
      </c>
      <c r="F5946" s="1">
        <v>43952</v>
      </c>
      <c r="G5946">
        <v>1.42</v>
      </c>
      <c r="H5946">
        <v>85.729399999999998</v>
      </c>
      <c r="I5946">
        <v>24.08</v>
      </c>
      <c r="J5946">
        <v>66.91</v>
      </c>
      <c r="K5946" t="s">
        <v>32</v>
      </c>
      <c r="L5946">
        <v>652.85</v>
      </c>
      <c r="M5946">
        <f>VLOOKUP(K5946,RatingLookup!$A$2:$C$8,2,FALSE)</f>
        <v>0.12</v>
      </c>
      <c r="N5946">
        <f t="shared" si="276"/>
        <v>1.0596241035318976E-2</v>
      </c>
      <c r="O5946">
        <f>VLOOKUP(K5946,RatingLookup!$A$2:$C$8,3,FALSE)</f>
        <v>0.7</v>
      </c>
      <c r="P5946">
        <f t="shared" si="277"/>
        <v>4.8424291719355956</v>
      </c>
      <c r="Q5946" t="str">
        <f t="shared" ca="1" si="278"/>
        <v>No</v>
      </c>
    </row>
    <row r="5947" spans="1:17" x14ac:dyDescent="0.45">
      <c r="A5947" t="s">
        <v>235</v>
      </c>
      <c r="B5947" t="s">
        <v>236</v>
      </c>
      <c r="C5947" t="s">
        <v>29</v>
      </c>
      <c r="D5947" t="s">
        <v>188</v>
      </c>
      <c r="E5947" t="s">
        <v>21</v>
      </c>
      <c r="F5947" s="1">
        <v>43983</v>
      </c>
      <c r="G5947">
        <v>1.65</v>
      </c>
      <c r="H5947">
        <v>80.4803</v>
      </c>
      <c r="I5947">
        <v>17.670000000000002</v>
      </c>
      <c r="J5947">
        <v>80.94</v>
      </c>
      <c r="K5947" t="s">
        <v>32</v>
      </c>
      <c r="L5947">
        <v>640.83000000000004</v>
      </c>
      <c r="M5947">
        <f>VLOOKUP(K5947,RatingLookup!$A$2:$C$8,2,FALSE)</f>
        <v>0.12</v>
      </c>
      <c r="N5947">
        <f t="shared" si="276"/>
        <v>1.0596241035318976E-2</v>
      </c>
      <c r="O5947">
        <f>VLOOKUP(K5947,RatingLookup!$A$2:$C$8,3,FALSE)</f>
        <v>0.7</v>
      </c>
      <c r="P5947">
        <f t="shared" si="277"/>
        <v>4.7532723998644215</v>
      </c>
      <c r="Q5947" t="str">
        <f t="shared" ca="1" si="278"/>
        <v>No</v>
      </c>
    </row>
    <row r="5948" spans="1:17" x14ac:dyDescent="0.45">
      <c r="A5948" t="s">
        <v>235</v>
      </c>
      <c r="B5948" t="s">
        <v>236</v>
      </c>
      <c r="C5948" t="s">
        <v>29</v>
      </c>
      <c r="D5948" t="s">
        <v>188</v>
      </c>
      <c r="E5948" t="s">
        <v>21</v>
      </c>
      <c r="F5948" s="1">
        <v>44013</v>
      </c>
      <c r="G5948">
        <v>1.6</v>
      </c>
      <c r="H5948">
        <v>82.861699999999999</v>
      </c>
      <c r="I5948">
        <v>14.72</v>
      </c>
      <c r="J5948">
        <v>84.21</v>
      </c>
      <c r="K5948" t="s">
        <v>32</v>
      </c>
      <c r="L5948">
        <v>594.75</v>
      </c>
      <c r="M5948">
        <f>VLOOKUP(K5948,RatingLookup!$A$2:$C$8,2,FALSE)</f>
        <v>0.12</v>
      </c>
      <c r="N5948">
        <f t="shared" si="276"/>
        <v>1.0596241035318976E-2</v>
      </c>
      <c r="O5948">
        <f>VLOOKUP(K5948,RatingLookup!$A$2:$C$8,3,FALSE)</f>
        <v>0.7</v>
      </c>
      <c r="P5948">
        <f t="shared" si="277"/>
        <v>4.4114800490291728</v>
      </c>
      <c r="Q5948" t="str">
        <f t="shared" ca="1" si="278"/>
        <v>No</v>
      </c>
    </row>
    <row r="5949" spans="1:17" x14ac:dyDescent="0.45">
      <c r="A5949" t="s">
        <v>235</v>
      </c>
      <c r="B5949" t="s">
        <v>236</v>
      </c>
      <c r="C5949" t="s">
        <v>29</v>
      </c>
      <c r="D5949" t="s">
        <v>188</v>
      </c>
      <c r="E5949" t="s">
        <v>21</v>
      </c>
      <c r="F5949" s="1">
        <v>44044</v>
      </c>
      <c r="G5949">
        <v>1.87</v>
      </c>
      <c r="H5949">
        <v>80.457999999999998</v>
      </c>
      <c r="I5949">
        <v>19.43</v>
      </c>
      <c r="J5949">
        <v>73.209999999999994</v>
      </c>
      <c r="K5949" t="s">
        <v>32</v>
      </c>
      <c r="L5949">
        <v>614.1</v>
      </c>
      <c r="M5949">
        <f>VLOOKUP(K5949,RatingLookup!$A$2:$C$8,2,FALSE)</f>
        <v>0.12</v>
      </c>
      <c r="N5949">
        <f t="shared" si="276"/>
        <v>1.0596241035318976E-2</v>
      </c>
      <c r="O5949">
        <f>VLOOKUP(K5949,RatingLookup!$A$2:$C$8,3,FALSE)</f>
        <v>0.7</v>
      </c>
      <c r="P5949">
        <f t="shared" si="277"/>
        <v>4.5550061338525687</v>
      </c>
      <c r="Q5949" t="str">
        <f t="shared" ca="1" si="278"/>
        <v>No</v>
      </c>
    </row>
    <row r="5950" spans="1:17" x14ac:dyDescent="0.45">
      <c r="A5950" t="s">
        <v>235</v>
      </c>
      <c r="B5950" t="s">
        <v>236</v>
      </c>
      <c r="C5950" t="s">
        <v>29</v>
      </c>
      <c r="D5950" t="s">
        <v>188</v>
      </c>
      <c r="E5950" t="s">
        <v>21</v>
      </c>
      <c r="F5950" s="1">
        <v>44075</v>
      </c>
      <c r="G5950">
        <v>1.56</v>
      </c>
      <c r="H5950">
        <v>81.225800000000007</v>
      </c>
      <c r="I5950">
        <v>10.79</v>
      </c>
      <c r="J5950">
        <v>72.42</v>
      </c>
      <c r="K5950" t="s">
        <v>32</v>
      </c>
      <c r="L5950">
        <v>587.27</v>
      </c>
      <c r="M5950">
        <f>VLOOKUP(K5950,RatingLookup!$A$2:$C$8,2,FALSE)</f>
        <v>0.12</v>
      </c>
      <c r="N5950">
        <f t="shared" si="276"/>
        <v>1.0596241035318976E-2</v>
      </c>
      <c r="O5950">
        <f>VLOOKUP(K5950,RatingLookup!$A$2:$C$8,3,FALSE)</f>
        <v>0.7</v>
      </c>
      <c r="P5950">
        <f t="shared" si="277"/>
        <v>4.3559981309682421</v>
      </c>
      <c r="Q5950" t="str">
        <f t="shared" ca="1" si="278"/>
        <v>No</v>
      </c>
    </row>
    <row r="5951" spans="1:17" x14ac:dyDescent="0.45">
      <c r="A5951" t="s">
        <v>235</v>
      </c>
      <c r="B5951" t="s">
        <v>236</v>
      </c>
      <c r="C5951" t="s">
        <v>29</v>
      </c>
      <c r="D5951" t="s">
        <v>188</v>
      </c>
      <c r="E5951" t="s">
        <v>21</v>
      </c>
      <c r="F5951" s="1">
        <v>44105</v>
      </c>
      <c r="G5951">
        <v>2.21</v>
      </c>
      <c r="H5951">
        <v>83.981800000000007</v>
      </c>
      <c r="I5951">
        <v>23.15</v>
      </c>
      <c r="J5951">
        <v>81.010000000000005</v>
      </c>
      <c r="K5951" t="s">
        <v>32</v>
      </c>
      <c r="L5951">
        <v>563.16999999999996</v>
      </c>
      <c r="M5951">
        <f>VLOOKUP(K5951,RatingLookup!$A$2:$C$8,2,FALSE)</f>
        <v>0.12</v>
      </c>
      <c r="N5951">
        <f t="shared" si="276"/>
        <v>1.0596241035318976E-2</v>
      </c>
      <c r="O5951">
        <f>VLOOKUP(K5951,RatingLookup!$A$2:$C$8,3,FALSE)</f>
        <v>0.7</v>
      </c>
      <c r="P5951">
        <f t="shared" si="277"/>
        <v>4.1772395447024104</v>
      </c>
      <c r="Q5951" t="str">
        <f t="shared" ca="1" si="278"/>
        <v>No</v>
      </c>
    </row>
    <row r="5952" spans="1:17" x14ac:dyDescent="0.45">
      <c r="A5952" t="s">
        <v>235</v>
      </c>
      <c r="B5952" t="s">
        <v>236</v>
      </c>
      <c r="C5952" t="s">
        <v>29</v>
      </c>
      <c r="D5952" t="s">
        <v>188</v>
      </c>
      <c r="E5952" t="s">
        <v>21</v>
      </c>
      <c r="F5952" s="1">
        <v>44136</v>
      </c>
      <c r="G5952">
        <v>0.79</v>
      </c>
      <c r="H5952">
        <v>84.434100000000001</v>
      </c>
      <c r="I5952">
        <v>30.03</v>
      </c>
      <c r="J5952">
        <v>79.75</v>
      </c>
      <c r="K5952" t="s">
        <v>32</v>
      </c>
      <c r="L5952">
        <v>671.56</v>
      </c>
      <c r="M5952">
        <f>VLOOKUP(K5952,RatingLookup!$A$2:$C$8,2,FALSE)</f>
        <v>0.12</v>
      </c>
      <c r="N5952">
        <f t="shared" si="276"/>
        <v>1.0596241035318976E-2</v>
      </c>
      <c r="O5952">
        <f>VLOOKUP(K5952,RatingLookup!$A$2:$C$8,3,FALSE)</f>
        <v>0.7</v>
      </c>
      <c r="P5952">
        <f t="shared" si="277"/>
        <v>4.9812081407751672</v>
      </c>
      <c r="Q5952" t="str">
        <f t="shared" ca="1" si="278"/>
        <v>No</v>
      </c>
    </row>
    <row r="5953" spans="1:17" x14ac:dyDescent="0.45">
      <c r="A5953" t="s">
        <v>235</v>
      </c>
      <c r="B5953" t="s">
        <v>236</v>
      </c>
      <c r="C5953" t="s">
        <v>29</v>
      </c>
      <c r="D5953" t="s">
        <v>188</v>
      </c>
      <c r="E5953" t="s">
        <v>21</v>
      </c>
      <c r="F5953" s="1">
        <v>44166</v>
      </c>
      <c r="G5953">
        <v>1.01</v>
      </c>
      <c r="H5953">
        <v>80.219200000000001</v>
      </c>
      <c r="I5953">
        <v>8.52</v>
      </c>
      <c r="J5953">
        <v>83.59</v>
      </c>
      <c r="K5953" t="s">
        <v>32</v>
      </c>
      <c r="L5953">
        <v>604.07000000000005</v>
      </c>
      <c r="M5953">
        <f>VLOOKUP(K5953,RatingLookup!$A$2:$C$8,2,FALSE)</f>
        <v>0.12</v>
      </c>
      <c r="N5953">
        <f t="shared" si="276"/>
        <v>1.0596241035318976E-2</v>
      </c>
      <c r="O5953">
        <f>VLOOKUP(K5953,RatingLookup!$A$2:$C$8,3,FALSE)</f>
        <v>0.7</v>
      </c>
      <c r="P5953">
        <f t="shared" si="277"/>
        <v>4.4806099255435932</v>
      </c>
      <c r="Q5953" t="str">
        <f t="shared" ca="1" si="278"/>
        <v>No</v>
      </c>
    </row>
    <row r="5954" spans="1:17" x14ac:dyDescent="0.45">
      <c r="A5954" t="s">
        <v>235</v>
      </c>
      <c r="B5954" t="s">
        <v>236</v>
      </c>
      <c r="C5954" t="s">
        <v>29</v>
      </c>
      <c r="D5954" t="s">
        <v>188</v>
      </c>
      <c r="E5954" t="s">
        <v>21</v>
      </c>
      <c r="F5954" s="1">
        <v>44197</v>
      </c>
      <c r="G5954">
        <v>1.8</v>
      </c>
      <c r="H5954">
        <v>83.984300000000005</v>
      </c>
      <c r="I5954">
        <v>22.79</v>
      </c>
      <c r="J5954">
        <v>85.9</v>
      </c>
      <c r="K5954" t="s">
        <v>32</v>
      </c>
      <c r="L5954">
        <v>641.79999999999995</v>
      </c>
      <c r="M5954">
        <f>VLOOKUP(K5954,RatingLookup!$A$2:$C$8,2,FALSE)</f>
        <v>0.12</v>
      </c>
      <c r="N5954">
        <f t="shared" ref="N5954:N6001" si="279">1-(1-M5954)^(1/12)</f>
        <v>1.0596241035318976E-2</v>
      </c>
      <c r="O5954">
        <f>VLOOKUP(K5954,RatingLookup!$A$2:$C$8,3,FALSE)</f>
        <v>0.7</v>
      </c>
      <c r="P5954">
        <f t="shared" ref="P5954:P6001" si="280">L5954*N5954*O5954</f>
        <v>4.7604672475274024</v>
      </c>
      <c r="Q5954" t="str">
        <f t="shared" ref="Q5954:Q6001" ca="1" si="281">IF(RAND()&lt;N5954,"Yes","No")</f>
        <v>No</v>
      </c>
    </row>
    <row r="5955" spans="1:17" x14ac:dyDescent="0.45">
      <c r="A5955" t="s">
        <v>235</v>
      </c>
      <c r="B5955" t="s">
        <v>236</v>
      </c>
      <c r="C5955" t="s">
        <v>29</v>
      </c>
      <c r="D5955" t="s">
        <v>188</v>
      </c>
      <c r="E5955" t="s">
        <v>21</v>
      </c>
      <c r="F5955" s="1">
        <v>44228</v>
      </c>
      <c r="G5955">
        <v>0.61</v>
      </c>
      <c r="H5955">
        <v>83.695700000000002</v>
      </c>
      <c r="I5955">
        <v>17.48</v>
      </c>
      <c r="J5955">
        <v>59.46</v>
      </c>
      <c r="K5955" t="s">
        <v>32</v>
      </c>
      <c r="L5955">
        <v>599.82000000000005</v>
      </c>
      <c r="M5955">
        <f>VLOOKUP(K5955,RatingLookup!$A$2:$C$8,2,FALSE)</f>
        <v>0.12</v>
      </c>
      <c r="N5955">
        <f t="shared" si="279"/>
        <v>1.0596241035318976E-2</v>
      </c>
      <c r="O5955">
        <f>VLOOKUP(K5955,RatingLookup!$A$2:$C$8,3,FALSE)</f>
        <v>0.7</v>
      </c>
      <c r="P5955">
        <f t="shared" si="280"/>
        <v>4.4490861084635203</v>
      </c>
      <c r="Q5955" t="str">
        <f t="shared" ca="1" si="281"/>
        <v>No</v>
      </c>
    </row>
    <row r="5956" spans="1:17" x14ac:dyDescent="0.45">
      <c r="A5956" t="s">
        <v>235</v>
      </c>
      <c r="B5956" t="s">
        <v>236</v>
      </c>
      <c r="C5956" t="s">
        <v>29</v>
      </c>
      <c r="D5956" t="s">
        <v>188</v>
      </c>
      <c r="E5956" t="s">
        <v>21</v>
      </c>
      <c r="F5956" s="1">
        <v>44256</v>
      </c>
      <c r="G5956">
        <v>0.87</v>
      </c>
      <c r="H5956">
        <v>83.113399999999999</v>
      </c>
      <c r="I5956">
        <v>27.09</v>
      </c>
      <c r="J5956">
        <v>82.81</v>
      </c>
      <c r="K5956" t="s">
        <v>32</v>
      </c>
      <c r="L5956">
        <v>610.57000000000005</v>
      </c>
      <c r="M5956">
        <f>VLOOKUP(K5956,RatingLookup!$A$2:$C$8,2,FALSE)</f>
        <v>0.12</v>
      </c>
      <c r="N5956">
        <f t="shared" si="279"/>
        <v>1.0596241035318976E-2</v>
      </c>
      <c r="O5956">
        <f>VLOOKUP(K5956,RatingLookup!$A$2:$C$8,3,FALSE)</f>
        <v>0.7</v>
      </c>
      <c r="P5956">
        <f t="shared" si="280"/>
        <v>4.5288228222542948</v>
      </c>
      <c r="Q5956" t="str">
        <f t="shared" ca="1" si="281"/>
        <v>No</v>
      </c>
    </row>
    <row r="5957" spans="1:17" x14ac:dyDescent="0.45">
      <c r="A5957" t="s">
        <v>235</v>
      </c>
      <c r="B5957" t="s">
        <v>236</v>
      </c>
      <c r="C5957" t="s">
        <v>29</v>
      </c>
      <c r="D5957" t="s">
        <v>188</v>
      </c>
      <c r="E5957" t="s">
        <v>21</v>
      </c>
      <c r="F5957" s="1">
        <v>44287</v>
      </c>
      <c r="G5957">
        <v>1.46</v>
      </c>
      <c r="H5957">
        <v>83.838099999999997</v>
      </c>
      <c r="I5957">
        <v>14.72</v>
      </c>
      <c r="J5957">
        <v>78.64</v>
      </c>
      <c r="K5957" t="s">
        <v>32</v>
      </c>
      <c r="L5957">
        <v>613.88</v>
      </c>
      <c r="M5957">
        <f>VLOOKUP(K5957,RatingLookup!$A$2:$C$8,2,FALSE)</f>
        <v>0.12</v>
      </c>
      <c r="N5957">
        <f t="shared" si="279"/>
        <v>1.0596241035318976E-2</v>
      </c>
      <c r="O5957">
        <f>VLOOKUP(K5957,RatingLookup!$A$2:$C$8,3,FALSE)</f>
        <v>0.7</v>
      </c>
      <c r="P5957">
        <f t="shared" si="280"/>
        <v>4.553374312733129</v>
      </c>
      <c r="Q5957" t="str">
        <f t="shared" ca="1" si="281"/>
        <v>No</v>
      </c>
    </row>
    <row r="5958" spans="1:17" x14ac:dyDescent="0.45">
      <c r="A5958" t="s">
        <v>235</v>
      </c>
      <c r="B5958" t="s">
        <v>236</v>
      </c>
      <c r="C5958" t="s">
        <v>29</v>
      </c>
      <c r="D5958" t="s">
        <v>188</v>
      </c>
      <c r="E5958" t="s">
        <v>21</v>
      </c>
      <c r="F5958" s="1">
        <v>44317</v>
      </c>
      <c r="G5958">
        <v>1.27</v>
      </c>
      <c r="H5958">
        <v>78.351299999999995</v>
      </c>
      <c r="I5958">
        <v>18.59</v>
      </c>
      <c r="J5958">
        <v>80.69</v>
      </c>
      <c r="K5958" t="s">
        <v>32</v>
      </c>
      <c r="L5958">
        <v>651.5</v>
      </c>
      <c r="M5958">
        <f>VLOOKUP(K5958,RatingLookup!$A$2:$C$8,2,FALSE)</f>
        <v>0.12</v>
      </c>
      <c r="N5958">
        <f t="shared" si="279"/>
        <v>1.0596241035318976E-2</v>
      </c>
      <c r="O5958">
        <f>VLOOKUP(K5958,RatingLookup!$A$2:$C$8,3,FALSE)</f>
        <v>0.7</v>
      </c>
      <c r="P5958">
        <f t="shared" si="280"/>
        <v>4.8324157241572188</v>
      </c>
      <c r="Q5958" t="str">
        <f t="shared" ca="1" si="281"/>
        <v>No</v>
      </c>
    </row>
    <row r="5959" spans="1:17" x14ac:dyDescent="0.45">
      <c r="A5959" t="s">
        <v>235</v>
      </c>
      <c r="B5959" t="s">
        <v>236</v>
      </c>
      <c r="C5959" t="s">
        <v>29</v>
      </c>
      <c r="D5959" t="s">
        <v>188</v>
      </c>
      <c r="E5959" t="s">
        <v>21</v>
      </c>
      <c r="F5959" s="1">
        <v>44348</v>
      </c>
      <c r="G5959">
        <v>0.45</v>
      </c>
      <c r="H5959">
        <v>86.021199999999993</v>
      </c>
      <c r="I5959">
        <v>16.16</v>
      </c>
      <c r="J5959">
        <v>77.39</v>
      </c>
      <c r="K5959" t="s">
        <v>32</v>
      </c>
      <c r="L5959">
        <v>593.08000000000004</v>
      </c>
      <c r="M5959">
        <f>VLOOKUP(K5959,RatingLookup!$A$2:$C$8,2,FALSE)</f>
        <v>0.12</v>
      </c>
      <c r="N5959">
        <f t="shared" si="279"/>
        <v>1.0596241035318976E-2</v>
      </c>
      <c r="O5959">
        <f>VLOOKUP(K5959,RatingLookup!$A$2:$C$8,3,FALSE)</f>
        <v>0.7</v>
      </c>
      <c r="P5959">
        <f t="shared" si="280"/>
        <v>4.3990930432588851</v>
      </c>
      <c r="Q5959" t="str">
        <f t="shared" ca="1" si="281"/>
        <v>No</v>
      </c>
    </row>
    <row r="5960" spans="1:17" x14ac:dyDescent="0.45">
      <c r="A5960" t="s">
        <v>235</v>
      </c>
      <c r="B5960" t="s">
        <v>236</v>
      </c>
      <c r="C5960" t="s">
        <v>29</v>
      </c>
      <c r="D5960" t="s">
        <v>188</v>
      </c>
      <c r="E5960" t="s">
        <v>21</v>
      </c>
      <c r="F5960" s="1">
        <v>44378</v>
      </c>
      <c r="G5960">
        <v>1.59</v>
      </c>
      <c r="H5960">
        <v>82.252499999999998</v>
      </c>
      <c r="I5960">
        <v>23.23</v>
      </c>
      <c r="J5960">
        <v>74.760000000000005</v>
      </c>
      <c r="K5960" t="s">
        <v>32</v>
      </c>
      <c r="L5960">
        <v>664.97</v>
      </c>
      <c r="M5960">
        <f>VLOOKUP(K5960,RatingLookup!$A$2:$C$8,2,FALSE)</f>
        <v>0.12</v>
      </c>
      <c r="N5960">
        <f t="shared" si="279"/>
        <v>1.0596241035318976E-2</v>
      </c>
      <c r="O5960">
        <f>VLOOKUP(K5960,RatingLookup!$A$2:$C$8,3,FALSE)</f>
        <v>0.7</v>
      </c>
      <c r="P5960">
        <f t="shared" si="280"/>
        <v>4.9323276808792418</v>
      </c>
      <c r="Q5960" t="str">
        <f t="shared" ca="1" si="281"/>
        <v>No</v>
      </c>
    </row>
    <row r="5961" spans="1:17" x14ac:dyDescent="0.45">
      <c r="A5961" t="s">
        <v>235</v>
      </c>
      <c r="B5961" t="s">
        <v>236</v>
      </c>
      <c r="C5961" t="s">
        <v>29</v>
      </c>
      <c r="D5961" t="s">
        <v>188</v>
      </c>
      <c r="E5961" t="s">
        <v>21</v>
      </c>
      <c r="F5961" s="1">
        <v>44409</v>
      </c>
      <c r="G5961">
        <v>0.02</v>
      </c>
      <c r="H5961">
        <v>84.435900000000004</v>
      </c>
      <c r="I5961">
        <v>22.43</v>
      </c>
      <c r="J5961">
        <v>66.17</v>
      </c>
      <c r="K5961" t="s">
        <v>32</v>
      </c>
      <c r="L5961">
        <v>662.99</v>
      </c>
      <c r="M5961">
        <f>VLOOKUP(K5961,RatingLookup!$A$2:$C$8,2,FALSE)</f>
        <v>0.12</v>
      </c>
      <c r="N5961">
        <f t="shared" si="279"/>
        <v>1.0596241035318976E-2</v>
      </c>
      <c r="O5961">
        <f>VLOOKUP(K5961,RatingLookup!$A$2:$C$8,3,FALSE)</f>
        <v>0.7</v>
      </c>
      <c r="P5961">
        <f t="shared" si="280"/>
        <v>4.9176412908042897</v>
      </c>
      <c r="Q5961" t="str">
        <f t="shared" ca="1" si="281"/>
        <v>No</v>
      </c>
    </row>
    <row r="5962" spans="1:17" x14ac:dyDescent="0.45">
      <c r="A5962" t="s">
        <v>235</v>
      </c>
      <c r="B5962" t="s">
        <v>236</v>
      </c>
      <c r="C5962" t="s">
        <v>29</v>
      </c>
      <c r="D5962" t="s">
        <v>188</v>
      </c>
      <c r="E5962" t="s">
        <v>21</v>
      </c>
      <c r="F5962" s="1">
        <v>44440</v>
      </c>
      <c r="G5962">
        <v>1.23</v>
      </c>
      <c r="H5962">
        <v>81.399699999999996</v>
      </c>
      <c r="I5962">
        <v>14.76</v>
      </c>
      <c r="J5962">
        <v>77.7</v>
      </c>
      <c r="K5962" t="s">
        <v>32</v>
      </c>
      <c r="L5962">
        <v>634.98</v>
      </c>
      <c r="M5962">
        <f>VLOOKUP(K5962,RatingLookup!$A$2:$C$8,2,FALSE)</f>
        <v>0.12</v>
      </c>
      <c r="N5962">
        <f t="shared" si="279"/>
        <v>1.0596241035318976E-2</v>
      </c>
      <c r="O5962">
        <f>VLOOKUP(K5962,RatingLookup!$A$2:$C$8,3,FALSE)</f>
        <v>0.7</v>
      </c>
      <c r="P5962">
        <f t="shared" si="280"/>
        <v>4.7098807928247899</v>
      </c>
      <c r="Q5962" t="str">
        <f t="shared" ca="1" si="281"/>
        <v>No</v>
      </c>
    </row>
    <row r="5963" spans="1:17" x14ac:dyDescent="0.45">
      <c r="A5963" t="s">
        <v>235</v>
      </c>
      <c r="B5963" t="s">
        <v>236</v>
      </c>
      <c r="C5963" t="s">
        <v>29</v>
      </c>
      <c r="D5963" t="s">
        <v>188</v>
      </c>
      <c r="E5963" t="s">
        <v>21</v>
      </c>
      <c r="F5963" s="1">
        <v>44470</v>
      </c>
      <c r="G5963">
        <v>1.45</v>
      </c>
      <c r="H5963">
        <v>87.6892</v>
      </c>
      <c r="I5963">
        <v>12.12</v>
      </c>
      <c r="J5963">
        <v>66.97</v>
      </c>
      <c r="K5963" t="s">
        <v>32</v>
      </c>
      <c r="L5963">
        <v>576.5</v>
      </c>
      <c r="M5963">
        <f>VLOOKUP(K5963,RatingLookup!$A$2:$C$8,2,FALSE)</f>
        <v>0.12</v>
      </c>
      <c r="N5963">
        <f t="shared" si="279"/>
        <v>1.0596241035318976E-2</v>
      </c>
      <c r="O5963">
        <f>VLOOKUP(K5963,RatingLookup!$A$2:$C$8,3,FALSE)</f>
        <v>0.7</v>
      </c>
      <c r="P5963">
        <f t="shared" si="280"/>
        <v>4.2761130698029728</v>
      </c>
      <c r="Q5963" t="str">
        <f t="shared" ca="1" si="281"/>
        <v>No</v>
      </c>
    </row>
    <row r="5964" spans="1:17" x14ac:dyDescent="0.45">
      <c r="A5964" t="s">
        <v>235</v>
      </c>
      <c r="B5964" t="s">
        <v>236</v>
      </c>
      <c r="C5964" t="s">
        <v>29</v>
      </c>
      <c r="D5964" t="s">
        <v>188</v>
      </c>
      <c r="E5964" t="s">
        <v>21</v>
      </c>
      <c r="F5964" s="1">
        <v>44501</v>
      </c>
      <c r="G5964">
        <v>1.74</v>
      </c>
      <c r="H5964">
        <v>85.656800000000004</v>
      </c>
      <c r="I5964">
        <v>14.1</v>
      </c>
      <c r="J5964">
        <v>65.66</v>
      </c>
      <c r="K5964" t="s">
        <v>32</v>
      </c>
      <c r="L5964">
        <v>631.35</v>
      </c>
      <c r="M5964">
        <f>VLOOKUP(K5964,RatingLookup!$A$2:$C$8,2,FALSE)</f>
        <v>0.12</v>
      </c>
      <c r="N5964">
        <f t="shared" si="279"/>
        <v>1.0596241035318976E-2</v>
      </c>
      <c r="O5964">
        <f>VLOOKUP(K5964,RatingLookup!$A$2:$C$8,3,FALSE)</f>
        <v>0.7</v>
      </c>
      <c r="P5964">
        <f t="shared" si="280"/>
        <v>4.6829557443540448</v>
      </c>
      <c r="Q5964" t="str">
        <f t="shared" ca="1" si="281"/>
        <v>No</v>
      </c>
    </row>
    <row r="5965" spans="1:17" x14ac:dyDescent="0.45">
      <c r="A5965" t="s">
        <v>235</v>
      </c>
      <c r="B5965" t="s">
        <v>236</v>
      </c>
      <c r="C5965" t="s">
        <v>29</v>
      </c>
      <c r="D5965" t="s">
        <v>188</v>
      </c>
      <c r="E5965" t="s">
        <v>21</v>
      </c>
      <c r="F5965" s="1">
        <v>44531</v>
      </c>
      <c r="G5965">
        <v>1.78</v>
      </c>
      <c r="H5965">
        <v>85.029799999999994</v>
      </c>
      <c r="I5965">
        <v>18.2</v>
      </c>
      <c r="J5965">
        <v>79.83</v>
      </c>
      <c r="K5965" t="s">
        <v>32</v>
      </c>
      <c r="L5965">
        <v>621.49</v>
      </c>
      <c r="M5965">
        <f>VLOOKUP(K5965,RatingLookup!$A$2:$C$8,2,FALSE)</f>
        <v>0.12</v>
      </c>
      <c r="N5965">
        <f t="shared" si="279"/>
        <v>1.0596241035318976E-2</v>
      </c>
      <c r="O5965">
        <f>VLOOKUP(K5965,RatingLookup!$A$2:$C$8,3,FALSE)</f>
        <v>0.7</v>
      </c>
      <c r="P5965">
        <f t="shared" si="280"/>
        <v>4.609820488728273</v>
      </c>
      <c r="Q5965" t="str">
        <f t="shared" ca="1" si="281"/>
        <v>No</v>
      </c>
    </row>
    <row r="5966" spans="1:17" x14ac:dyDescent="0.45">
      <c r="A5966" t="s">
        <v>235</v>
      </c>
      <c r="B5966" t="s">
        <v>236</v>
      </c>
      <c r="C5966" t="s">
        <v>29</v>
      </c>
      <c r="D5966" t="s">
        <v>188</v>
      </c>
      <c r="E5966" t="s">
        <v>21</v>
      </c>
      <c r="F5966" s="1">
        <v>44562</v>
      </c>
      <c r="G5966">
        <v>1.75</v>
      </c>
      <c r="H5966">
        <v>77.071399999999997</v>
      </c>
      <c r="I5966">
        <v>14.67</v>
      </c>
      <c r="J5966">
        <v>72.400000000000006</v>
      </c>
      <c r="K5966" t="s">
        <v>32</v>
      </c>
      <c r="L5966">
        <v>585.46</v>
      </c>
      <c r="M5966">
        <f>VLOOKUP(K5966,RatingLookup!$A$2:$C$8,2,FALSE)</f>
        <v>0.12</v>
      </c>
      <c r="N5966">
        <f t="shared" si="279"/>
        <v>1.0596241035318976E-2</v>
      </c>
      <c r="O5966">
        <f>VLOOKUP(K5966,RatingLookup!$A$2:$C$8,3,FALSE)</f>
        <v>0.7</v>
      </c>
      <c r="P5966">
        <f t="shared" si="280"/>
        <v>4.3425726935764937</v>
      </c>
      <c r="Q5966" t="str">
        <f t="shared" ca="1" si="281"/>
        <v>No</v>
      </c>
    </row>
    <row r="5967" spans="1:17" x14ac:dyDescent="0.45">
      <c r="A5967" t="s">
        <v>235</v>
      </c>
      <c r="B5967" t="s">
        <v>236</v>
      </c>
      <c r="C5967" t="s">
        <v>29</v>
      </c>
      <c r="D5967" t="s">
        <v>188</v>
      </c>
      <c r="E5967" t="s">
        <v>21</v>
      </c>
      <c r="F5967" s="1">
        <v>44593</v>
      </c>
      <c r="G5967">
        <v>1.32</v>
      </c>
      <c r="H5967">
        <v>81.063699999999997</v>
      </c>
      <c r="I5967">
        <v>22.21</v>
      </c>
      <c r="J5967">
        <v>80.14</v>
      </c>
      <c r="K5967" t="s">
        <v>32</v>
      </c>
      <c r="L5967">
        <v>587.16</v>
      </c>
      <c r="M5967">
        <f>VLOOKUP(K5967,RatingLookup!$A$2:$C$8,2,FALSE)</f>
        <v>0.12</v>
      </c>
      <c r="N5967">
        <f t="shared" si="279"/>
        <v>1.0596241035318976E-2</v>
      </c>
      <c r="O5967">
        <f>VLOOKUP(K5967,RatingLookup!$A$2:$C$8,3,FALSE)</f>
        <v>0.7</v>
      </c>
      <c r="P5967">
        <f t="shared" si="280"/>
        <v>4.3551822204085227</v>
      </c>
      <c r="Q5967" t="str">
        <f t="shared" ca="1" si="281"/>
        <v>No</v>
      </c>
    </row>
    <row r="5968" spans="1:17" x14ac:dyDescent="0.45">
      <c r="A5968" t="s">
        <v>235</v>
      </c>
      <c r="B5968" t="s">
        <v>236</v>
      </c>
      <c r="C5968" t="s">
        <v>29</v>
      </c>
      <c r="D5968" t="s">
        <v>188</v>
      </c>
      <c r="E5968" t="s">
        <v>21</v>
      </c>
      <c r="F5968" s="1">
        <v>44621</v>
      </c>
      <c r="G5968">
        <v>1.03</v>
      </c>
      <c r="H5968">
        <v>78.990799999999993</v>
      </c>
      <c r="I5968">
        <v>16.420000000000002</v>
      </c>
      <c r="J5968">
        <v>70.91</v>
      </c>
      <c r="K5968" t="s">
        <v>32</v>
      </c>
      <c r="L5968">
        <v>614.37</v>
      </c>
      <c r="M5968">
        <f>VLOOKUP(K5968,RatingLookup!$A$2:$C$8,2,FALSE)</f>
        <v>0.12</v>
      </c>
      <c r="N5968">
        <f t="shared" si="279"/>
        <v>1.0596241035318976E-2</v>
      </c>
      <c r="O5968">
        <f>VLOOKUP(K5968,RatingLookup!$A$2:$C$8,3,FALSE)</f>
        <v>0.7</v>
      </c>
      <c r="P5968">
        <f t="shared" si="280"/>
        <v>4.5570088234082426</v>
      </c>
      <c r="Q5968" t="str">
        <f t="shared" ca="1" si="281"/>
        <v>No</v>
      </c>
    </row>
    <row r="5969" spans="1:17" x14ac:dyDescent="0.45">
      <c r="A5969" t="s">
        <v>235</v>
      </c>
      <c r="B5969" t="s">
        <v>236</v>
      </c>
      <c r="C5969" t="s">
        <v>29</v>
      </c>
      <c r="D5969" t="s">
        <v>188</v>
      </c>
      <c r="E5969" t="s">
        <v>21</v>
      </c>
      <c r="F5969" s="1">
        <v>44652</v>
      </c>
      <c r="G5969">
        <v>2.66</v>
      </c>
      <c r="H5969">
        <v>86.278400000000005</v>
      </c>
      <c r="I5969">
        <v>21.7</v>
      </c>
      <c r="J5969">
        <v>87.46</v>
      </c>
      <c r="K5969" t="s">
        <v>32</v>
      </c>
      <c r="L5969">
        <v>610.51</v>
      </c>
      <c r="M5969">
        <f>VLOOKUP(K5969,RatingLookup!$A$2:$C$8,2,FALSE)</f>
        <v>0.12</v>
      </c>
      <c r="N5969">
        <f t="shared" si="279"/>
        <v>1.0596241035318976E-2</v>
      </c>
      <c r="O5969">
        <f>VLOOKUP(K5969,RatingLookup!$A$2:$C$8,3,FALSE)</f>
        <v>0.7</v>
      </c>
      <c r="P5969">
        <f t="shared" si="280"/>
        <v>4.5283777801308114</v>
      </c>
      <c r="Q5969" t="str">
        <f t="shared" ca="1" si="281"/>
        <v>No</v>
      </c>
    </row>
    <row r="5970" spans="1:17" x14ac:dyDescent="0.45">
      <c r="A5970" t="s">
        <v>235</v>
      </c>
      <c r="B5970" t="s">
        <v>236</v>
      </c>
      <c r="C5970" t="s">
        <v>29</v>
      </c>
      <c r="D5970" t="s">
        <v>188</v>
      </c>
      <c r="E5970" t="s">
        <v>21</v>
      </c>
      <c r="F5970" s="1">
        <v>44682</v>
      </c>
      <c r="G5970">
        <v>0.88</v>
      </c>
      <c r="H5970">
        <v>85.112499999999997</v>
      </c>
      <c r="I5970">
        <v>17.46</v>
      </c>
      <c r="J5970">
        <v>79.180000000000007</v>
      </c>
      <c r="K5970" t="s">
        <v>32</v>
      </c>
      <c r="L5970">
        <v>675.86</v>
      </c>
      <c r="M5970">
        <f>VLOOKUP(K5970,RatingLookup!$A$2:$C$8,2,FALSE)</f>
        <v>0.12</v>
      </c>
      <c r="N5970">
        <f t="shared" si="279"/>
        <v>1.0596241035318976E-2</v>
      </c>
      <c r="O5970">
        <f>VLOOKUP(K5970,RatingLookup!$A$2:$C$8,3,FALSE)</f>
        <v>0.7</v>
      </c>
      <c r="P5970">
        <f t="shared" si="280"/>
        <v>5.0131028262914779</v>
      </c>
      <c r="Q5970" t="str">
        <f t="shared" ca="1" si="281"/>
        <v>No</v>
      </c>
    </row>
    <row r="5971" spans="1:17" x14ac:dyDescent="0.45">
      <c r="A5971" t="s">
        <v>235</v>
      </c>
      <c r="B5971" t="s">
        <v>236</v>
      </c>
      <c r="C5971" t="s">
        <v>29</v>
      </c>
      <c r="D5971" t="s">
        <v>188</v>
      </c>
      <c r="E5971" t="s">
        <v>21</v>
      </c>
      <c r="F5971" s="1">
        <v>44713</v>
      </c>
      <c r="G5971">
        <v>1.66</v>
      </c>
      <c r="H5971">
        <v>84.244200000000006</v>
      </c>
      <c r="I5971">
        <v>15.81</v>
      </c>
      <c r="J5971">
        <v>72.14</v>
      </c>
      <c r="K5971" t="s">
        <v>32</v>
      </c>
      <c r="L5971">
        <v>634.47</v>
      </c>
      <c r="M5971">
        <f>VLOOKUP(K5971,RatingLookup!$A$2:$C$8,2,FALSE)</f>
        <v>0.12</v>
      </c>
      <c r="N5971">
        <f t="shared" si="279"/>
        <v>1.0596241035318976E-2</v>
      </c>
      <c r="O5971">
        <f>VLOOKUP(K5971,RatingLookup!$A$2:$C$8,3,FALSE)</f>
        <v>0.7</v>
      </c>
      <c r="P5971">
        <f t="shared" si="280"/>
        <v>4.7060979347751815</v>
      </c>
      <c r="Q5971" t="str">
        <f t="shared" ca="1" si="281"/>
        <v>No</v>
      </c>
    </row>
    <row r="5972" spans="1:17" x14ac:dyDescent="0.45">
      <c r="A5972" t="s">
        <v>235</v>
      </c>
      <c r="B5972" t="s">
        <v>236</v>
      </c>
      <c r="C5972" t="s">
        <v>29</v>
      </c>
      <c r="D5972" t="s">
        <v>188</v>
      </c>
      <c r="E5972" t="s">
        <v>21</v>
      </c>
      <c r="F5972" s="1">
        <v>44743</v>
      </c>
      <c r="G5972">
        <v>1.17</v>
      </c>
      <c r="H5972">
        <v>82.712699999999998</v>
      </c>
      <c r="I5972">
        <v>11.08</v>
      </c>
      <c r="J5972">
        <v>94.85</v>
      </c>
      <c r="K5972" t="s">
        <v>32</v>
      </c>
      <c r="L5972">
        <v>600.91999999999996</v>
      </c>
      <c r="M5972">
        <f>VLOOKUP(K5972,RatingLookup!$A$2:$C$8,2,FALSE)</f>
        <v>0.12</v>
      </c>
      <c r="N5972">
        <f t="shared" si="279"/>
        <v>1.0596241035318976E-2</v>
      </c>
      <c r="O5972">
        <f>VLOOKUP(K5972,RatingLookup!$A$2:$C$8,3,FALSE)</f>
        <v>0.7</v>
      </c>
      <c r="P5972">
        <f t="shared" si="280"/>
        <v>4.4572452140607144</v>
      </c>
      <c r="Q5972" t="str">
        <f t="shared" ca="1" si="281"/>
        <v>No</v>
      </c>
    </row>
    <row r="5973" spans="1:17" x14ac:dyDescent="0.45">
      <c r="A5973" t="s">
        <v>235</v>
      </c>
      <c r="B5973" t="s">
        <v>236</v>
      </c>
      <c r="C5973" t="s">
        <v>29</v>
      </c>
      <c r="D5973" t="s">
        <v>188</v>
      </c>
      <c r="E5973" t="s">
        <v>21</v>
      </c>
      <c r="F5973" s="1">
        <v>44774</v>
      </c>
      <c r="G5973">
        <v>1.86</v>
      </c>
      <c r="H5973">
        <v>83.417199999999994</v>
      </c>
      <c r="I5973">
        <v>16.25</v>
      </c>
      <c r="J5973">
        <v>77.709999999999994</v>
      </c>
      <c r="K5973" t="s">
        <v>32</v>
      </c>
      <c r="L5973">
        <v>593.53</v>
      </c>
      <c r="M5973">
        <f>VLOOKUP(K5973,RatingLookup!$A$2:$C$8,2,FALSE)</f>
        <v>0.12</v>
      </c>
      <c r="N5973">
        <f t="shared" si="279"/>
        <v>1.0596241035318976E-2</v>
      </c>
      <c r="O5973">
        <f>VLOOKUP(K5973,RatingLookup!$A$2:$C$8,3,FALSE)</f>
        <v>0.7</v>
      </c>
      <c r="P5973">
        <f t="shared" si="280"/>
        <v>4.4024308591850101</v>
      </c>
      <c r="Q5973" t="str">
        <f t="shared" ca="1" si="281"/>
        <v>No</v>
      </c>
    </row>
    <row r="5974" spans="1:17" x14ac:dyDescent="0.45">
      <c r="A5974" t="s">
        <v>235</v>
      </c>
      <c r="B5974" t="s">
        <v>236</v>
      </c>
      <c r="C5974" t="s">
        <v>29</v>
      </c>
      <c r="D5974" t="s">
        <v>188</v>
      </c>
      <c r="E5974" t="s">
        <v>21</v>
      </c>
      <c r="F5974" s="1">
        <v>44805</v>
      </c>
      <c r="G5974">
        <v>2.5499999999999998</v>
      </c>
      <c r="H5974">
        <v>81.001599999999996</v>
      </c>
      <c r="I5974">
        <v>34.090000000000003</v>
      </c>
      <c r="J5974">
        <v>71.38</v>
      </c>
      <c r="K5974" t="s">
        <v>32</v>
      </c>
      <c r="L5974">
        <v>597.21</v>
      </c>
      <c r="M5974">
        <f>VLOOKUP(K5974,RatingLookup!$A$2:$C$8,2,FALSE)</f>
        <v>0.12</v>
      </c>
      <c r="N5974">
        <f t="shared" si="279"/>
        <v>1.0596241035318976E-2</v>
      </c>
      <c r="O5974">
        <f>VLOOKUP(K5974,RatingLookup!$A$2:$C$8,3,FALSE)</f>
        <v>0.7</v>
      </c>
      <c r="P5974">
        <f t="shared" si="280"/>
        <v>4.4297267760919921</v>
      </c>
      <c r="Q5974" t="str">
        <f t="shared" ca="1" si="281"/>
        <v>No</v>
      </c>
    </row>
    <row r="5975" spans="1:17" x14ac:dyDescent="0.45">
      <c r="A5975" t="s">
        <v>235</v>
      </c>
      <c r="B5975" t="s">
        <v>236</v>
      </c>
      <c r="C5975" t="s">
        <v>29</v>
      </c>
      <c r="D5975" t="s">
        <v>188</v>
      </c>
      <c r="E5975" t="s">
        <v>21</v>
      </c>
      <c r="F5975" s="1">
        <v>44835</v>
      </c>
      <c r="G5975">
        <v>1.1200000000000001</v>
      </c>
      <c r="H5975">
        <v>80.602199999999996</v>
      </c>
      <c r="I5975">
        <v>11.77</v>
      </c>
      <c r="J5975">
        <v>69.23</v>
      </c>
      <c r="K5975" t="s">
        <v>32</v>
      </c>
      <c r="L5975">
        <v>685.24</v>
      </c>
      <c r="M5975">
        <f>VLOOKUP(K5975,RatingLookup!$A$2:$C$8,2,FALSE)</f>
        <v>0.12</v>
      </c>
      <c r="N5975">
        <f t="shared" si="279"/>
        <v>1.0596241035318976E-2</v>
      </c>
      <c r="O5975">
        <f>VLOOKUP(K5975,RatingLookup!$A$2:$C$8,3,FALSE)</f>
        <v>0.7</v>
      </c>
      <c r="P5975">
        <f t="shared" si="280"/>
        <v>5.0826777449293825</v>
      </c>
      <c r="Q5975" t="str">
        <f t="shared" ca="1" si="281"/>
        <v>No</v>
      </c>
    </row>
    <row r="5976" spans="1:17" x14ac:dyDescent="0.45">
      <c r="A5976" t="s">
        <v>235</v>
      </c>
      <c r="B5976" t="s">
        <v>236</v>
      </c>
      <c r="C5976" t="s">
        <v>29</v>
      </c>
      <c r="D5976" t="s">
        <v>188</v>
      </c>
      <c r="E5976" t="s">
        <v>21</v>
      </c>
      <c r="F5976" s="1">
        <v>44866</v>
      </c>
      <c r="G5976">
        <v>0.95</v>
      </c>
      <c r="H5976">
        <v>83.831100000000006</v>
      </c>
      <c r="I5976">
        <v>19.63</v>
      </c>
      <c r="J5976">
        <v>95.03</v>
      </c>
      <c r="K5976" t="s">
        <v>32</v>
      </c>
      <c r="L5976">
        <v>605.41999999999996</v>
      </c>
      <c r="M5976">
        <f>VLOOKUP(K5976,RatingLookup!$A$2:$C$8,2,FALSE)</f>
        <v>0.12</v>
      </c>
      <c r="N5976">
        <f t="shared" si="279"/>
        <v>1.0596241035318976E-2</v>
      </c>
      <c r="O5976">
        <f>VLOOKUP(K5976,RatingLookup!$A$2:$C$8,3,FALSE)</f>
        <v>0.7</v>
      </c>
      <c r="P5976">
        <f t="shared" si="280"/>
        <v>4.49062337332197</v>
      </c>
      <c r="Q5976" t="str">
        <f t="shared" ca="1" si="281"/>
        <v>No</v>
      </c>
    </row>
    <row r="5977" spans="1:17" x14ac:dyDescent="0.45">
      <c r="A5977" t="s">
        <v>235</v>
      </c>
      <c r="B5977" t="s">
        <v>236</v>
      </c>
      <c r="C5977" t="s">
        <v>29</v>
      </c>
      <c r="D5977" t="s">
        <v>188</v>
      </c>
      <c r="E5977" t="s">
        <v>21</v>
      </c>
      <c r="F5977" s="1">
        <v>44896</v>
      </c>
      <c r="G5977">
        <v>1.76</v>
      </c>
      <c r="H5977">
        <v>83.227999999999994</v>
      </c>
      <c r="I5977">
        <v>9.67</v>
      </c>
      <c r="J5977">
        <v>82.96</v>
      </c>
      <c r="K5977" t="s">
        <v>32</v>
      </c>
      <c r="L5977">
        <v>624.27</v>
      </c>
      <c r="M5977">
        <f>VLOOKUP(K5977,RatingLookup!$A$2:$C$8,2,FALSE)</f>
        <v>0.12</v>
      </c>
      <c r="N5977">
        <f t="shared" si="279"/>
        <v>1.0596241035318976E-2</v>
      </c>
      <c r="O5977">
        <f>VLOOKUP(K5977,RatingLookup!$A$2:$C$8,3,FALSE)</f>
        <v>0.7</v>
      </c>
      <c r="P5977">
        <f t="shared" si="280"/>
        <v>4.630440773783004</v>
      </c>
      <c r="Q5977" t="str">
        <f t="shared" ca="1" si="281"/>
        <v>No</v>
      </c>
    </row>
    <row r="5978" spans="1:17" x14ac:dyDescent="0.45">
      <c r="A5978" t="s">
        <v>235</v>
      </c>
      <c r="B5978" t="s">
        <v>236</v>
      </c>
      <c r="C5978" t="s">
        <v>29</v>
      </c>
      <c r="D5978" t="s">
        <v>188</v>
      </c>
      <c r="E5978" t="s">
        <v>21</v>
      </c>
      <c r="F5978" s="1">
        <v>44927</v>
      </c>
      <c r="G5978">
        <v>1.34</v>
      </c>
      <c r="H5978">
        <v>79.746099999999998</v>
      </c>
      <c r="I5978">
        <v>19.309999999999999</v>
      </c>
      <c r="J5978">
        <v>84.8</v>
      </c>
      <c r="K5978" t="s">
        <v>32</v>
      </c>
      <c r="L5978">
        <v>566.37</v>
      </c>
      <c r="M5978">
        <f>VLOOKUP(K5978,RatingLookup!$A$2:$C$8,2,FALSE)</f>
        <v>0.12</v>
      </c>
      <c r="N5978">
        <f t="shared" si="279"/>
        <v>1.0596241035318976E-2</v>
      </c>
      <c r="O5978">
        <f>VLOOKUP(K5978,RatingLookup!$A$2:$C$8,3,FALSE)</f>
        <v>0.7</v>
      </c>
      <c r="P5978">
        <f t="shared" si="280"/>
        <v>4.2009751246215252</v>
      </c>
      <c r="Q5978" t="str">
        <f t="shared" ca="1" si="281"/>
        <v>No</v>
      </c>
    </row>
    <row r="5979" spans="1:17" x14ac:dyDescent="0.45">
      <c r="A5979" t="s">
        <v>235</v>
      </c>
      <c r="B5979" t="s">
        <v>236</v>
      </c>
      <c r="C5979" t="s">
        <v>29</v>
      </c>
      <c r="D5979" t="s">
        <v>188</v>
      </c>
      <c r="E5979" t="s">
        <v>21</v>
      </c>
      <c r="F5979" s="1">
        <v>44958</v>
      </c>
      <c r="G5979">
        <v>1</v>
      </c>
      <c r="H5979">
        <v>79.195400000000006</v>
      </c>
      <c r="I5979">
        <v>15.79</v>
      </c>
      <c r="J5979">
        <v>60.61</v>
      </c>
      <c r="K5979" t="s">
        <v>32</v>
      </c>
      <c r="L5979">
        <v>654.36</v>
      </c>
      <c r="M5979">
        <f>VLOOKUP(K5979,RatingLookup!$A$2:$C$8,2,FALSE)</f>
        <v>0.12</v>
      </c>
      <c r="N5979">
        <f t="shared" si="279"/>
        <v>1.0596241035318976E-2</v>
      </c>
      <c r="O5979">
        <f>VLOOKUP(K5979,RatingLookup!$A$2:$C$8,3,FALSE)</f>
        <v>0.7</v>
      </c>
      <c r="P5979">
        <f t="shared" si="280"/>
        <v>4.853629398709927</v>
      </c>
      <c r="Q5979" t="str">
        <f t="shared" ca="1" si="281"/>
        <v>No</v>
      </c>
    </row>
    <row r="5980" spans="1:17" x14ac:dyDescent="0.45">
      <c r="A5980" t="s">
        <v>235</v>
      </c>
      <c r="B5980" t="s">
        <v>236</v>
      </c>
      <c r="C5980" t="s">
        <v>29</v>
      </c>
      <c r="D5980" t="s">
        <v>188</v>
      </c>
      <c r="E5980" t="s">
        <v>21</v>
      </c>
      <c r="F5980" s="1">
        <v>44986</v>
      </c>
      <c r="G5980">
        <v>2.2200000000000002</v>
      </c>
      <c r="H5980">
        <v>82.1845</v>
      </c>
      <c r="I5980">
        <v>20.399999999999999</v>
      </c>
      <c r="J5980">
        <v>89.69</v>
      </c>
      <c r="K5980" t="s">
        <v>32</v>
      </c>
      <c r="L5980">
        <v>592.92999999999995</v>
      </c>
      <c r="M5980">
        <f>VLOOKUP(K5980,RatingLookup!$A$2:$C$8,2,FALSE)</f>
        <v>0.12</v>
      </c>
      <c r="N5980">
        <f t="shared" si="279"/>
        <v>1.0596241035318976E-2</v>
      </c>
      <c r="O5980">
        <f>VLOOKUP(K5980,RatingLookup!$A$2:$C$8,3,FALSE)</f>
        <v>0.7</v>
      </c>
      <c r="P5980">
        <f t="shared" si="280"/>
        <v>4.3979804379501761</v>
      </c>
      <c r="Q5980" t="str">
        <f t="shared" ca="1" si="281"/>
        <v>No</v>
      </c>
    </row>
    <row r="5981" spans="1:17" x14ac:dyDescent="0.45">
      <c r="A5981" t="s">
        <v>235</v>
      </c>
      <c r="B5981" t="s">
        <v>236</v>
      </c>
      <c r="C5981" t="s">
        <v>29</v>
      </c>
      <c r="D5981" t="s">
        <v>188</v>
      </c>
      <c r="E5981" t="s">
        <v>21</v>
      </c>
      <c r="F5981" s="1">
        <v>45017</v>
      </c>
      <c r="G5981">
        <v>0.75</v>
      </c>
      <c r="H5981">
        <v>76.876900000000006</v>
      </c>
      <c r="I5981">
        <v>14.45</v>
      </c>
      <c r="J5981">
        <v>72.14</v>
      </c>
      <c r="K5981" t="s">
        <v>32</v>
      </c>
      <c r="L5981">
        <v>682.95</v>
      </c>
      <c r="M5981">
        <f>VLOOKUP(K5981,RatingLookup!$A$2:$C$8,2,FALSE)</f>
        <v>0.12</v>
      </c>
      <c r="N5981">
        <f t="shared" si="279"/>
        <v>1.0596241035318976E-2</v>
      </c>
      <c r="O5981">
        <f>VLOOKUP(K5981,RatingLookup!$A$2:$C$8,3,FALSE)</f>
        <v>0.7</v>
      </c>
      <c r="P5981">
        <f t="shared" si="280"/>
        <v>5.0656919705497661</v>
      </c>
      <c r="Q5981" t="str">
        <f t="shared" ca="1" si="281"/>
        <v>No</v>
      </c>
    </row>
    <row r="5982" spans="1:17" x14ac:dyDescent="0.45">
      <c r="A5982" t="s">
        <v>235</v>
      </c>
      <c r="B5982" t="s">
        <v>236</v>
      </c>
      <c r="C5982" t="s">
        <v>29</v>
      </c>
      <c r="D5982" t="s">
        <v>188</v>
      </c>
      <c r="E5982" t="s">
        <v>21</v>
      </c>
      <c r="F5982" s="1">
        <v>45047</v>
      </c>
      <c r="G5982">
        <v>1.88</v>
      </c>
      <c r="H5982">
        <v>79.858099999999993</v>
      </c>
      <c r="I5982">
        <v>25.23</v>
      </c>
      <c r="J5982">
        <v>90.14</v>
      </c>
      <c r="K5982" t="s">
        <v>32</v>
      </c>
      <c r="L5982">
        <v>603.28</v>
      </c>
      <c r="M5982">
        <f>VLOOKUP(K5982,RatingLookup!$A$2:$C$8,2,FALSE)</f>
        <v>0.12</v>
      </c>
      <c r="N5982">
        <f t="shared" si="279"/>
        <v>1.0596241035318976E-2</v>
      </c>
      <c r="O5982">
        <f>VLOOKUP(K5982,RatingLookup!$A$2:$C$8,3,FALSE)</f>
        <v>0.7</v>
      </c>
      <c r="P5982">
        <f t="shared" si="280"/>
        <v>4.4747502042510616</v>
      </c>
      <c r="Q5982" t="str">
        <f t="shared" ca="1" si="281"/>
        <v>No</v>
      </c>
    </row>
    <row r="5983" spans="1:17" x14ac:dyDescent="0.45">
      <c r="A5983" t="s">
        <v>235</v>
      </c>
      <c r="B5983" t="s">
        <v>236</v>
      </c>
      <c r="C5983" t="s">
        <v>29</v>
      </c>
      <c r="D5983" t="s">
        <v>188</v>
      </c>
      <c r="E5983" t="s">
        <v>21</v>
      </c>
      <c r="F5983" s="1">
        <v>45078</v>
      </c>
      <c r="G5983">
        <v>1.57</v>
      </c>
      <c r="H5983">
        <v>86.467799999999997</v>
      </c>
      <c r="I5983">
        <v>8.2899999999999991</v>
      </c>
      <c r="J5983">
        <v>73.28</v>
      </c>
      <c r="K5983" t="s">
        <v>32</v>
      </c>
      <c r="L5983">
        <v>606.70000000000005</v>
      </c>
      <c r="M5983">
        <f>VLOOKUP(K5983,RatingLookup!$A$2:$C$8,2,FALSE)</f>
        <v>0.12</v>
      </c>
      <c r="N5983">
        <f t="shared" si="279"/>
        <v>1.0596241035318976E-2</v>
      </c>
      <c r="O5983">
        <f>VLOOKUP(K5983,RatingLookup!$A$2:$C$8,3,FALSE)</f>
        <v>0.7</v>
      </c>
      <c r="P5983">
        <f t="shared" si="280"/>
        <v>4.5001176052896161</v>
      </c>
      <c r="Q5983" t="str">
        <f t="shared" ca="1" si="281"/>
        <v>No</v>
      </c>
    </row>
    <row r="5984" spans="1:17" x14ac:dyDescent="0.45">
      <c r="A5984" t="s">
        <v>235</v>
      </c>
      <c r="B5984" t="s">
        <v>236</v>
      </c>
      <c r="C5984" t="s">
        <v>29</v>
      </c>
      <c r="D5984" t="s">
        <v>188</v>
      </c>
      <c r="E5984" t="s">
        <v>21</v>
      </c>
      <c r="F5984" s="1">
        <v>45108</v>
      </c>
      <c r="G5984">
        <v>1.06</v>
      </c>
      <c r="H5984">
        <v>82.562200000000004</v>
      </c>
      <c r="I5984">
        <v>21.96</v>
      </c>
      <c r="J5984">
        <v>76.040000000000006</v>
      </c>
      <c r="K5984" t="s">
        <v>32</v>
      </c>
      <c r="L5984">
        <v>642.79</v>
      </c>
      <c r="M5984">
        <f>VLOOKUP(K5984,RatingLookup!$A$2:$C$8,2,FALSE)</f>
        <v>0.12</v>
      </c>
      <c r="N5984">
        <f t="shared" si="279"/>
        <v>1.0596241035318976E-2</v>
      </c>
      <c r="O5984">
        <f>VLOOKUP(K5984,RatingLookup!$A$2:$C$8,3,FALSE)</f>
        <v>0.7</v>
      </c>
      <c r="P5984">
        <f t="shared" si="280"/>
        <v>4.7678104425648788</v>
      </c>
      <c r="Q5984" t="str">
        <f t="shared" ca="1" si="281"/>
        <v>No</v>
      </c>
    </row>
    <row r="5985" spans="1:17" x14ac:dyDescent="0.45">
      <c r="A5985" t="s">
        <v>235</v>
      </c>
      <c r="B5985" t="s">
        <v>236</v>
      </c>
      <c r="C5985" t="s">
        <v>29</v>
      </c>
      <c r="D5985" t="s">
        <v>188</v>
      </c>
      <c r="E5985" t="s">
        <v>21</v>
      </c>
      <c r="F5985" s="1">
        <v>45139</v>
      </c>
      <c r="G5985">
        <v>1.57</v>
      </c>
      <c r="H5985">
        <v>86.456800000000001</v>
      </c>
      <c r="I5985">
        <v>25.87</v>
      </c>
      <c r="J5985">
        <v>71.239999999999995</v>
      </c>
      <c r="K5985" t="s">
        <v>32</v>
      </c>
      <c r="L5985">
        <v>653.91</v>
      </c>
      <c r="M5985">
        <f>VLOOKUP(K5985,RatingLookup!$A$2:$C$8,2,FALSE)</f>
        <v>0.12</v>
      </c>
      <c r="N5985">
        <f t="shared" si="279"/>
        <v>1.0596241035318976E-2</v>
      </c>
      <c r="O5985">
        <f>VLOOKUP(K5985,RatingLookup!$A$2:$C$8,3,FALSE)</f>
        <v>0.7</v>
      </c>
      <c r="P5985">
        <f t="shared" si="280"/>
        <v>4.850291582783802</v>
      </c>
      <c r="Q5985" t="str">
        <f t="shared" ca="1" si="281"/>
        <v>No</v>
      </c>
    </row>
    <row r="5986" spans="1:17" x14ac:dyDescent="0.45">
      <c r="A5986" t="s">
        <v>235</v>
      </c>
      <c r="B5986" t="s">
        <v>236</v>
      </c>
      <c r="C5986" t="s">
        <v>29</v>
      </c>
      <c r="D5986" t="s">
        <v>188</v>
      </c>
      <c r="E5986" t="s">
        <v>21</v>
      </c>
      <c r="F5986" s="1">
        <v>45170</v>
      </c>
      <c r="G5986">
        <v>1.3</v>
      </c>
      <c r="H5986">
        <v>85.991399999999999</v>
      </c>
      <c r="I5986">
        <v>24.61</v>
      </c>
      <c r="J5986">
        <v>74.150000000000006</v>
      </c>
      <c r="K5986" t="s">
        <v>32</v>
      </c>
      <c r="L5986">
        <v>583.17999999999995</v>
      </c>
      <c r="M5986">
        <f>VLOOKUP(K5986,RatingLookup!$A$2:$C$8,2,FALSE)</f>
        <v>0.12</v>
      </c>
      <c r="N5986">
        <f t="shared" si="279"/>
        <v>1.0596241035318976E-2</v>
      </c>
      <c r="O5986">
        <f>VLOOKUP(K5986,RatingLookup!$A$2:$C$8,3,FALSE)</f>
        <v>0.7</v>
      </c>
      <c r="P5986">
        <f t="shared" si="280"/>
        <v>4.3256610928841237</v>
      </c>
      <c r="Q5986" t="str">
        <f t="shared" ca="1" si="281"/>
        <v>No</v>
      </c>
    </row>
    <row r="5987" spans="1:17" x14ac:dyDescent="0.45">
      <c r="A5987" t="s">
        <v>235</v>
      </c>
      <c r="B5987" t="s">
        <v>236</v>
      </c>
      <c r="C5987" t="s">
        <v>29</v>
      </c>
      <c r="D5987" t="s">
        <v>188</v>
      </c>
      <c r="E5987" t="s">
        <v>21</v>
      </c>
      <c r="F5987" s="1">
        <v>45200</v>
      </c>
      <c r="G5987">
        <v>2.2799999999999998</v>
      </c>
      <c r="H5987">
        <v>80.895499999999998</v>
      </c>
      <c r="I5987">
        <v>23.22</v>
      </c>
      <c r="J5987">
        <v>69.14</v>
      </c>
      <c r="K5987" t="s">
        <v>32</v>
      </c>
      <c r="L5987">
        <v>588.25</v>
      </c>
      <c r="M5987">
        <f>VLOOKUP(K5987,RatingLookup!$A$2:$C$8,2,FALSE)</f>
        <v>0.12</v>
      </c>
      <c r="N5987">
        <f t="shared" si="279"/>
        <v>1.0596241035318976E-2</v>
      </c>
      <c r="O5987">
        <f>VLOOKUP(K5987,RatingLookup!$A$2:$C$8,3,FALSE)</f>
        <v>0.7</v>
      </c>
      <c r="P5987">
        <f t="shared" si="280"/>
        <v>4.3632671523184712</v>
      </c>
      <c r="Q5987" t="str">
        <f t="shared" ca="1" si="281"/>
        <v>No</v>
      </c>
    </row>
    <row r="5988" spans="1:17" x14ac:dyDescent="0.45">
      <c r="A5988" t="s">
        <v>235</v>
      </c>
      <c r="B5988" t="s">
        <v>236</v>
      </c>
      <c r="C5988" t="s">
        <v>29</v>
      </c>
      <c r="D5988" t="s">
        <v>188</v>
      </c>
      <c r="E5988" t="s">
        <v>21</v>
      </c>
      <c r="F5988" s="1">
        <v>45231</v>
      </c>
      <c r="G5988">
        <v>1.59</v>
      </c>
      <c r="H5988">
        <v>82.014099999999999</v>
      </c>
      <c r="I5988">
        <v>24.24</v>
      </c>
      <c r="J5988">
        <v>68.05</v>
      </c>
      <c r="K5988" t="s">
        <v>32</v>
      </c>
      <c r="L5988">
        <v>586.59</v>
      </c>
      <c r="M5988">
        <f>VLOOKUP(K5988,RatingLookup!$A$2:$C$8,2,FALSE)</f>
        <v>0.12</v>
      </c>
      <c r="N5988">
        <f t="shared" si="279"/>
        <v>1.0596241035318976E-2</v>
      </c>
      <c r="O5988">
        <f>VLOOKUP(K5988,RatingLookup!$A$2:$C$8,3,FALSE)</f>
        <v>0.7</v>
      </c>
      <c r="P5988">
        <f t="shared" si="280"/>
        <v>4.3509543202354308</v>
      </c>
      <c r="Q5988" t="str">
        <f t="shared" ca="1" si="281"/>
        <v>No</v>
      </c>
    </row>
    <row r="5989" spans="1:17" x14ac:dyDescent="0.45">
      <c r="A5989" t="s">
        <v>235</v>
      </c>
      <c r="B5989" t="s">
        <v>236</v>
      </c>
      <c r="C5989" t="s">
        <v>29</v>
      </c>
      <c r="D5989" t="s">
        <v>188</v>
      </c>
      <c r="E5989" t="s">
        <v>21</v>
      </c>
      <c r="F5989" s="1">
        <v>45261</v>
      </c>
      <c r="G5989">
        <v>2.15</v>
      </c>
      <c r="H5989">
        <v>79.984999999999999</v>
      </c>
      <c r="I5989">
        <v>8.24</v>
      </c>
      <c r="J5989">
        <v>69.83</v>
      </c>
      <c r="K5989" t="s">
        <v>32</v>
      </c>
      <c r="L5989">
        <v>649.19000000000005</v>
      </c>
      <c r="M5989">
        <f>VLOOKUP(K5989,RatingLookup!$A$2:$C$8,2,FALSE)</f>
        <v>0.12</v>
      </c>
      <c r="N5989">
        <f t="shared" si="279"/>
        <v>1.0596241035318976E-2</v>
      </c>
      <c r="O5989">
        <f>VLOOKUP(K5989,RatingLookup!$A$2:$C$8,3,FALSE)</f>
        <v>0.7</v>
      </c>
      <c r="P5989">
        <f t="shared" si="280"/>
        <v>4.8152816024031084</v>
      </c>
      <c r="Q5989" t="str">
        <f t="shared" ca="1" si="281"/>
        <v>No</v>
      </c>
    </row>
    <row r="5990" spans="1:17" x14ac:dyDescent="0.45">
      <c r="A5990" t="s">
        <v>235</v>
      </c>
      <c r="B5990" t="s">
        <v>236</v>
      </c>
      <c r="C5990" t="s">
        <v>29</v>
      </c>
      <c r="D5990" t="s">
        <v>188</v>
      </c>
      <c r="E5990" t="s">
        <v>21</v>
      </c>
      <c r="F5990" s="1">
        <v>45292</v>
      </c>
      <c r="G5990">
        <v>1.01</v>
      </c>
      <c r="H5990">
        <v>79.239999999999995</v>
      </c>
      <c r="I5990">
        <v>22.78</v>
      </c>
      <c r="J5990">
        <v>67.569999999999993</v>
      </c>
      <c r="K5990" t="s">
        <v>32</v>
      </c>
      <c r="L5990">
        <v>628.53</v>
      </c>
      <c r="M5990">
        <f>VLOOKUP(K5990,RatingLookup!$A$2:$C$8,2,FALSE)</f>
        <v>0.12</v>
      </c>
      <c r="N5990">
        <f t="shared" si="279"/>
        <v>1.0596241035318976E-2</v>
      </c>
      <c r="O5990">
        <f>VLOOKUP(K5990,RatingLookup!$A$2:$C$8,3,FALSE)</f>
        <v>0.7</v>
      </c>
      <c r="P5990">
        <f t="shared" si="280"/>
        <v>4.6620387645503243</v>
      </c>
      <c r="Q5990" t="str">
        <f t="shared" ca="1" si="281"/>
        <v>No</v>
      </c>
    </row>
    <row r="5991" spans="1:17" x14ac:dyDescent="0.45">
      <c r="A5991" t="s">
        <v>235</v>
      </c>
      <c r="B5991" t="s">
        <v>236</v>
      </c>
      <c r="C5991" t="s">
        <v>29</v>
      </c>
      <c r="D5991" t="s">
        <v>188</v>
      </c>
      <c r="E5991" t="s">
        <v>21</v>
      </c>
      <c r="F5991" s="1">
        <v>45323</v>
      </c>
      <c r="G5991">
        <v>1.38</v>
      </c>
      <c r="H5991">
        <v>85.211100000000002</v>
      </c>
      <c r="I5991">
        <v>28.26</v>
      </c>
      <c r="J5991">
        <v>94.7</v>
      </c>
      <c r="K5991" t="s">
        <v>32</v>
      </c>
      <c r="L5991">
        <v>616.17999999999995</v>
      </c>
      <c r="M5991">
        <f>VLOOKUP(K5991,RatingLookup!$A$2:$C$8,2,FALSE)</f>
        <v>0.12</v>
      </c>
      <c r="N5991">
        <f t="shared" si="279"/>
        <v>1.0596241035318976E-2</v>
      </c>
      <c r="O5991">
        <f>VLOOKUP(K5991,RatingLookup!$A$2:$C$8,3,FALSE)</f>
        <v>0.7</v>
      </c>
      <c r="P5991">
        <f t="shared" si="280"/>
        <v>4.5704342607999919</v>
      </c>
      <c r="Q5991" t="str">
        <f t="shared" ca="1" si="281"/>
        <v>No</v>
      </c>
    </row>
    <row r="5992" spans="1:17" x14ac:dyDescent="0.45">
      <c r="A5992" t="s">
        <v>235</v>
      </c>
      <c r="B5992" t="s">
        <v>236</v>
      </c>
      <c r="C5992" t="s">
        <v>29</v>
      </c>
      <c r="D5992" t="s">
        <v>188</v>
      </c>
      <c r="E5992" t="s">
        <v>21</v>
      </c>
      <c r="F5992" s="1">
        <v>45352</v>
      </c>
      <c r="G5992">
        <v>1.66</v>
      </c>
      <c r="H5992">
        <v>83.335499999999996</v>
      </c>
      <c r="I5992">
        <v>9.73</v>
      </c>
      <c r="J5992">
        <v>87.11</v>
      </c>
      <c r="K5992" t="s">
        <v>32</v>
      </c>
      <c r="L5992">
        <v>638.02</v>
      </c>
      <c r="M5992">
        <f>VLOOKUP(K5992,RatingLookup!$A$2:$C$8,2,FALSE)</f>
        <v>0.12</v>
      </c>
      <c r="N5992">
        <f t="shared" si="279"/>
        <v>1.0596241035318976E-2</v>
      </c>
      <c r="O5992">
        <f>VLOOKUP(K5992,RatingLookup!$A$2:$C$8,3,FALSE)</f>
        <v>0.7</v>
      </c>
      <c r="P5992">
        <f t="shared" si="280"/>
        <v>4.7324295937479484</v>
      </c>
      <c r="Q5992" t="str">
        <f t="shared" ca="1" si="281"/>
        <v>No</v>
      </c>
    </row>
    <row r="5993" spans="1:17" x14ac:dyDescent="0.45">
      <c r="A5993" t="s">
        <v>235</v>
      </c>
      <c r="B5993" t="s">
        <v>236</v>
      </c>
      <c r="C5993" t="s">
        <v>29</v>
      </c>
      <c r="D5993" t="s">
        <v>188</v>
      </c>
      <c r="E5993" t="s">
        <v>21</v>
      </c>
      <c r="F5993" s="1">
        <v>45383</v>
      </c>
      <c r="G5993">
        <v>1.96</v>
      </c>
      <c r="H5993">
        <v>81.798000000000002</v>
      </c>
      <c r="I5993">
        <v>26.09</v>
      </c>
      <c r="J5993">
        <v>70.42</v>
      </c>
      <c r="K5993" t="s">
        <v>32</v>
      </c>
      <c r="L5993">
        <v>587.51</v>
      </c>
      <c r="M5993">
        <f>VLOOKUP(K5993,RatingLookup!$A$2:$C$8,2,FALSE)</f>
        <v>0.12</v>
      </c>
      <c r="N5993">
        <f t="shared" si="279"/>
        <v>1.0596241035318976E-2</v>
      </c>
      <c r="O5993">
        <f>VLOOKUP(K5993,RatingLookup!$A$2:$C$8,3,FALSE)</f>
        <v>0.7</v>
      </c>
      <c r="P5993">
        <f t="shared" si="280"/>
        <v>4.3577782994621757</v>
      </c>
      <c r="Q5993" t="str">
        <f t="shared" ca="1" si="281"/>
        <v>No</v>
      </c>
    </row>
    <row r="5994" spans="1:17" x14ac:dyDescent="0.45">
      <c r="A5994" t="s">
        <v>235</v>
      </c>
      <c r="B5994" t="s">
        <v>236</v>
      </c>
      <c r="C5994" t="s">
        <v>29</v>
      </c>
      <c r="D5994" t="s">
        <v>188</v>
      </c>
      <c r="E5994" t="s">
        <v>21</v>
      </c>
      <c r="F5994" s="1">
        <v>45413</v>
      </c>
      <c r="G5994">
        <v>0.86</v>
      </c>
      <c r="H5994">
        <v>81.989900000000006</v>
      </c>
      <c r="I5994">
        <v>21.53</v>
      </c>
      <c r="J5994">
        <v>86.97</v>
      </c>
      <c r="K5994" t="s">
        <v>32</v>
      </c>
      <c r="L5994">
        <v>575.76</v>
      </c>
      <c r="M5994">
        <f>VLOOKUP(K5994,RatingLookup!$A$2:$C$8,2,FALSE)</f>
        <v>0.12</v>
      </c>
      <c r="N5994">
        <f t="shared" si="279"/>
        <v>1.0596241035318976E-2</v>
      </c>
      <c r="O5994">
        <f>VLOOKUP(K5994,RatingLookup!$A$2:$C$8,3,FALSE)</f>
        <v>0.7</v>
      </c>
      <c r="P5994">
        <f t="shared" si="280"/>
        <v>4.2706242169466773</v>
      </c>
      <c r="Q5994" t="str">
        <f t="shared" ca="1" si="281"/>
        <v>No</v>
      </c>
    </row>
    <row r="5995" spans="1:17" x14ac:dyDescent="0.45">
      <c r="A5995" t="s">
        <v>235</v>
      </c>
      <c r="B5995" t="s">
        <v>236</v>
      </c>
      <c r="C5995" t="s">
        <v>29</v>
      </c>
      <c r="D5995" t="s">
        <v>188</v>
      </c>
      <c r="E5995" t="s">
        <v>21</v>
      </c>
      <c r="F5995" s="1">
        <v>45444</v>
      </c>
      <c r="G5995">
        <v>2.11</v>
      </c>
      <c r="H5995">
        <v>79.593500000000006</v>
      </c>
      <c r="I5995">
        <v>26.6</v>
      </c>
      <c r="J5995">
        <v>84.05</v>
      </c>
      <c r="K5995" t="s">
        <v>32</v>
      </c>
      <c r="L5995">
        <v>674.16</v>
      </c>
      <c r="M5995">
        <f>VLOOKUP(K5995,RatingLookup!$A$2:$C$8,2,FALSE)</f>
        <v>0.12</v>
      </c>
      <c r="N5995">
        <f t="shared" si="279"/>
        <v>1.0596241035318976E-2</v>
      </c>
      <c r="O5995">
        <f>VLOOKUP(K5995,RatingLookup!$A$2:$C$8,3,FALSE)</f>
        <v>0.7</v>
      </c>
      <c r="P5995">
        <f t="shared" si="280"/>
        <v>5.000493299459448</v>
      </c>
      <c r="Q5995" t="str">
        <f t="shared" ca="1" si="281"/>
        <v>No</v>
      </c>
    </row>
    <row r="5996" spans="1:17" x14ac:dyDescent="0.45">
      <c r="A5996" t="s">
        <v>235</v>
      </c>
      <c r="B5996" t="s">
        <v>236</v>
      </c>
      <c r="C5996" t="s">
        <v>29</v>
      </c>
      <c r="D5996" t="s">
        <v>188</v>
      </c>
      <c r="E5996" t="s">
        <v>21</v>
      </c>
      <c r="F5996" s="1">
        <v>45474</v>
      </c>
      <c r="G5996">
        <v>0.64</v>
      </c>
      <c r="H5996">
        <v>83.808000000000007</v>
      </c>
      <c r="I5996">
        <v>27.89</v>
      </c>
      <c r="J5996">
        <v>85.05</v>
      </c>
      <c r="K5996" t="s">
        <v>32</v>
      </c>
      <c r="L5996">
        <v>549.23</v>
      </c>
      <c r="M5996">
        <f>VLOOKUP(K5996,RatingLookup!$A$2:$C$8,2,FALSE)</f>
        <v>0.12</v>
      </c>
      <c r="N5996">
        <f t="shared" si="279"/>
        <v>1.0596241035318976E-2</v>
      </c>
      <c r="O5996">
        <f>VLOOKUP(K5996,RatingLookup!$A$2:$C$8,3,FALSE)</f>
        <v>0.7</v>
      </c>
      <c r="P5996">
        <f t="shared" si="280"/>
        <v>4.0738414246797685</v>
      </c>
      <c r="Q5996" t="str">
        <f t="shared" ca="1" si="281"/>
        <v>No</v>
      </c>
    </row>
    <row r="5997" spans="1:17" x14ac:dyDescent="0.45">
      <c r="A5997" t="s">
        <v>235</v>
      </c>
      <c r="B5997" t="s">
        <v>236</v>
      </c>
      <c r="C5997" t="s">
        <v>29</v>
      </c>
      <c r="D5997" t="s">
        <v>188</v>
      </c>
      <c r="E5997" t="s">
        <v>21</v>
      </c>
      <c r="F5997" s="1">
        <v>45505</v>
      </c>
      <c r="G5997">
        <v>0.25</v>
      </c>
      <c r="H5997">
        <v>84.293400000000005</v>
      </c>
      <c r="I5997">
        <v>11.3</v>
      </c>
      <c r="J5997">
        <v>74.81</v>
      </c>
      <c r="K5997" t="s">
        <v>32</v>
      </c>
      <c r="L5997">
        <v>642.23</v>
      </c>
      <c r="M5997">
        <f>VLOOKUP(K5997,RatingLookup!$A$2:$C$8,2,FALSE)</f>
        <v>0.12</v>
      </c>
      <c r="N5997">
        <f t="shared" si="279"/>
        <v>1.0596241035318976E-2</v>
      </c>
      <c r="O5997">
        <f>VLOOKUP(K5997,RatingLookup!$A$2:$C$8,3,FALSE)</f>
        <v>0.7</v>
      </c>
      <c r="P5997">
        <f t="shared" si="280"/>
        <v>4.7636567160790335</v>
      </c>
      <c r="Q5997" t="str">
        <f t="shared" ca="1" si="281"/>
        <v>No</v>
      </c>
    </row>
    <row r="5998" spans="1:17" x14ac:dyDescent="0.45">
      <c r="A5998" t="s">
        <v>235</v>
      </c>
      <c r="B5998" t="s">
        <v>236</v>
      </c>
      <c r="C5998" t="s">
        <v>29</v>
      </c>
      <c r="D5998" t="s">
        <v>188</v>
      </c>
      <c r="E5998" t="s">
        <v>21</v>
      </c>
      <c r="F5998" s="1">
        <v>45536</v>
      </c>
      <c r="G5998">
        <v>1.98</v>
      </c>
      <c r="H5998">
        <v>82.980099999999993</v>
      </c>
      <c r="I5998">
        <v>25.13</v>
      </c>
      <c r="J5998">
        <v>76.3</v>
      </c>
      <c r="K5998" t="s">
        <v>32</v>
      </c>
      <c r="L5998">
        <v>621.08000000000004</v>
      </c>
      <c r="M5998">
        <f>VLOOKUP(K5998,RatingLookup!$A$2:$C$8,2,FALSE)</f>
        <v>0.12</v>
      </c>
      <c r="N5998">
        <f t="shared" si="279"/>
        <v>1.0596241035318976E-2</v>
      </c>
      <c r="O5998">
        <f>VLOOKUP(K5998,RatingLookup!$A$2:$C$8,3,FALSE)</f>
        <v>0.7</v>
      </c>
      <c r="P5998">
        <f t="shared" si="280"/>
        <v>4.6067793675511366</v>
      </c>
      <c r="Q5998" t="str">
        <f t="shared" ca="1" si="281"/>
        <v>No</v>
      </c>
    </row>
    <row r="5999" spans="1:17" x14ac:dyDescent="0.45">
      <c r="A5999" t="s">
        <v>235</v>
      </c>
      <c r="B5999" t="s">
        <v>236</v>
      </c>
      <c r="C5999" t="s">
        <v>29</v>
      </c>
      <c r="D5999" t="s">
        <v>188</v>
      </c>
      <c r="E5999" t="s">
        <v>21</v>
      </c>
      <c r="F5999" s="1">
        <v>45566</v>
      </c>
      <c r="G5999">
        <v>2.7</v>
      </c>
      <c r="H5999">
        <v>83.534400000000005</v>
      </c>
      <c r="I5999">
        <v>23.3</v>
      </c>
      <c r="J5999">
        <v>63.23</v>
      </c>
      <c r="K5999" t="s">
        <v>32</v>
      </c>
      <c r="L5999">
        <v>616.19000000000005</v>
      </c>
      <c r="M5999">
        <f>VLOOKUP(K5999,RatingLookup!$A$2:$C$8,2,FALSE)</f>
        <v>0.12</v>
      </c>
      <c r="N5999">
        <f t="shared" si="279"/>
        <v>1.0596241035318976E-2</v>
      </c>
      <c r="O5999">
        <f>VLOOKUP(K5999,RatingLookup!$A$2:$C$8,3,FALSE)</f>
        <v>0.7</v>
      </c>
      <c r="P5999">
        <f t="shared" si="280"/>
        <v>4.5705084344872402</v>
      </c>
      <c r="Q5999" t="str">
        <f t="shared" ca="1" si="281"/>
        <v>No</v>
      </c>
    </row>
    <row r="6000" spans="1:17" x14ac:dyDescent="0.45">
      <c r="A6000" t="s">
        <v>235</v>
      </c>
      <c r="B6000" t="s">
        <v>236</v>
      </c>
      <c r="C6000" t="s">
        <v>29</v>
      </c>
      <c r="D6000" t="s">
        <v>188</v>
      </c>
      <c r="E6000" t="s">
        <v>21</v>
      </c>
      <c r="F6000" s="1">
        <v>45597</v>
      </c>
      <c r="G6000">
        <v>1.34</v>
      </c>
      <c r="H6000">
        <v>82.434399999999997</v>
      </c>
      <c r="I6000">
        <v>12.5</v>
      </c>
      <c r="J6000">
        <v>75.72</v>
      </c>
      <c r="K6000" t="s">
        <v>32</v>
      </c>
      <c r="L6000">
        <v>679.49</v>
      </c>
      <c r="M6000">
        <f>VLOOKUP(K6000,RatingLookup!$A$2:$C$8,2,FALSE)</f>
        <v>0.12</v>
      </c>
      <c r="N6000">
        <f t="shared" si="279"/>
        <v>1.0596241035318976E-2</v>
      </c>
      <c r="O6000">
        <f>VLOOKUP(K6000,RatingLookup!$A$2:$C$8,3,FALSE)</f>
        <v>0.7</v>
      </c>
      <c r="P6000">
        <f t="shared" si="280"/>
        <v>5.0400278747622238</v>
      </c>
      <c r="Q6000" t="str">
        <f t="shared" ca="1" si="281"/>
        <v>No</v>
      </c>
    </row>
    <row r="6001" spans="1:17" x14ac:dyDescent="0.45">
      <c r="A6001" t="s">
        <v>235</v>
      </c>
      <c r="B6001" t="s">
        <v>236</v>
      </c>
      <c r="C6001" t="s">
        <v>29</v>
      </c>
      <c r="D6001" t="s">
        <v>188</v>
      </c>
      <c r="E6001" t="s">
        <v>21</v>
      </c>
      <c r="F6001" s="1">
        <v>45627</v>
      </c>
      <c r="G6001">
        <v>1.51</v>
      </c>
      <c r="H6001">
        <v>76.957599999999999</v>
      </c>
      <c r="I6001">
        <v>32.1</v>
      </c>
      <c r="J6001">
        <v>88.36</v>
      </c>
      <c r="K6001" t="s">
        <v>32</v>
      </c>
      <c r="L6001">
        <v>574.55999999999995</v>
      </c>
      <c r="M6001">
        <f>VLOOKUP(K6001,RatingLookup!$A$2:$C$8,2,FALSE)</f>
        <v>0.12</v>
      </c>
      <c r="N6001">
        <f t="shared" si="279"/>
        <v>1.0596241035318976E-2</v>
      </c>
      <c r="O6001">
        <f>VLOOKUP(K6001,RatingLookup!$A$2:$C$8,3,FALSE)</f>
        <v>0.7</v>
      </c>
      <c r="P6001">
        <f t="shared" si="280"/>
        <v>4.2617233744770093</v>
      </c>
      <c r="Q6001" t="str">
        <f t="shared" ca="1" si="281"/>
        <v>No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25" x14ac:dyDescent="0.45"/>
  <sheetData>
    <row r="1" spans="1:3" x14ac:dyDescent="0.45">
      <c r="A1" t="s">
        <v>237</v>
      </c>
      <c r="B1" t="s">
        <v>12</v>
      </c>
      <c r="C1" t="s">
        <v>14</v>
      </c>
    </row>
    <row r="2" spans="1:3" x14ac:dyDescent="0.45">
      <c r="A2" t="s">
        <v>82</v>
      </c>
      <c r="B2">
        <v>1E-4</v>
      </c>
      <c r="C2">
        <v>0.2</v>
      </c>
    </row>
    <row r="3" spans="1:3" x14ac:dyDescent="0.45">
      <c r="A3" t="s">
        <v>48</v>
      </c>
      <c r="B3">
        <v>5.0000000000000001E-4</v>
      </c>
      <c r="C3">
        <v>0.25</v>
      </c>
    </row>
    <row r="4" spans="1:3" x14ac:dyDescent="0.45">
      <c r="A4" t="s">
        <v>23</v>
      </c>
      <c r="B4">
        <v>1E-3</v>
      </c>
      <c r="C4">
        <v>0.3</v>
      </c>
    </row>
    <row r="5" spans="1:3" x14ac:dyDescent="0.45">
      <c r="A5" t="s">
        <v>22</v>
      </c>
      <c r="B5">
        <v>5.0000000000000001E-3</v>
      </c>
      <c r="C5">
        <v>0.45</v>
      </c>
    </row>
    <row r="6" spans="1:3" x14ac:dyDescent="0.45">
      <c r="A6" t="s">
        <v>30</v>
      </c>
      <c r="B6">
        <v>1.4999999999999999E-2</v>
      </c>
      <c r="C6">
        <v>0.5</v>
      </c>
    </row>
    <row r="7" spans="1:3" x14ac:dyDescent="0.45">
      <c r="A7" t="s">
        <v>31</v>
      </c>
      <c r="B7">
        <v>0.04</v>
      </c>
      <c r="C7">
        <v>0.6</v>
      </c>
    </row>
    <row r="8" spans="1:3" x14ac:dyDescent="0.45">
      <c r="A8" t="s">
        <v>32</v>
      </c>
      <c r="B8">
        <v>0.12</v>
      </c>
      <c r="C8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credit_risk_data</vt:lpstr>
      <vt:lpstr>RatingLookup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Bansal, Vaneet (वनीत बंसल)</cp:lastModifiedBy>
  <dcterms:created xsi:type="dcterms:W3CDTF">2025-11-03T04:59:40Z</dcterms:created>
  <dcterms:modified xsi:type="dcterms:W3CDTF">2025-11-03T05:26:43Z</dcterms:modified>
</cp:coreProperties>
</file>